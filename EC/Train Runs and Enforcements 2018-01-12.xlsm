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Runs'!$A$12:$AG$600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5" i="1" l="1"/>
  <c r="P114" i="1"/>
  <c r="P107" i="1"/>
  <c r="N108" i="1"/>
  <c r="P95" i="1"/>
  <c r="P61" i="1"/>
  <c r="AM50" i="1"/>
  <c r="X51" i="1"/>
  <c r="K50" i="1"/>
  <c r="L50" i="1"/>
  <c r="M50" i="1"/>
  <c r="N50" i="1"/>
  <c r="V50" i="1"/>
  <c r="S25" i="3" s="1"/>
  <c r="AA50" i="1"/>
  <c r="AB50" i="1"/>
  <c r="AC50" i="1"/>
  <c r="AD50" i="1"/>
  <c r="T50" i="1" s="1"/>
  <c r="AE50" i="1"/>
  <c r="R24" i="3" s="1"/>
  <c r="AF50" i="1"/>
  <c r="AH50" i="1"/>
  <c r="AN50" i="1"/>
  <c r="AO50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S15" i="3" s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R14" i="3" s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/>
  <c r="V60" i="1"/>
  <c r="X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V61" i="1"/>
  <c r="S21" i="3" s="1"/>
  <c r="Y61" i="1"/>
  <c r="Z61" i="1"/>
  <c r="AA61" i="1" s="1"/>
  <c r="AB61" i="1"/>
  <c r="AC61" i="1"/>
  <c r="AD61" i="1"/>
  <c r="AE61" i="1"/>
  <c r="R21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/>
  <c r="T81" i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11" i="3" s="1"/>
  <c r="Y82" i="1"/>
  <c r="Z82" i="1"/>
  <c r="AA82" i="1" s="1"/>
  <c r="AB82" i="1"/>
  <c r="AC82" i="1"/>
  <c r="AD82" i="1"/>
  <c r="T82" i="1" s="1"/>
  <c r="AE82" i="1"/>
  <c r="R11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AO87" i="1"/>
  <c r="K88" i="1"/>
  <c r="L88" i="1"/>
  <c r="M88" i="1"/>
  <c r="N88" i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X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V95" i="1"/>
  <c r="S19" i="3" s="1"/>
  <c r="Y95" i="1"/>
  <c r="Z95" i="1"/>
  <c r="AB95" i="1"/>
  <c r="AC95" i="1"/>
  <c r="AD95" i="1"/>
  <c r="X95" i="1" s="1"/>
  <c r="AE95" i="1"/>
  <c r="R9" i="3" s="1"/>
  <c r="AF95" i="1"/>
  <c r="AH95" i="1"/>
  <c r="AM95" i="1"/>
  <c r="AN95" i="1"/>
  <c r="AO95" i="1"/>
  <c r="K96" i="1"/>
  <c r="L96" i="1"/>
  <c r="M96" i="1"/>
  <c r="N96" i="1" s="1"/>
  <c r="V96" i="1"/>
  <c r="X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/>
  <c r="T97" i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X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/>
  <c r="T101" i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X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AO105" i="1"/>
  <c r="K106" i="1"/>
  <c r="L106" i="1"/>
  <c r="M106" i="1"/>
  <c r="V106" i="1"/>
  <c r="Y106" i="1"/>
  <c r="Z106" i="1"/>
  <c r="AB106" i="1"/>
  <c r="AC106" i="1"/>
  <c r="AD106" i="1"/>
  <c r="T106" i="1" s="1"/>
  <c r="AE106" i="1"/>
  <c r="R27" i="3" s="1"/>
  <c r="AF106" i="1"/>
  <c r="AH106" i="1"/>
  <c r="AM106" i="1"/>
  <c r="AN106" i="1"/>
  <c r="AO106" i="1"/>
  <c r="K107" i="1"/>
  <c r="L107" i="1"/>
  <c r="M107" i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V108" i="1"/>
  <c r="Y108" i="1"/>
  <c r="AA108" i="1" s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T110" i="1"/>
  <c r="V110" i="1"/>
  <c r="Y110" i="1"/>
  <c r="AA110" i="1" s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X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AO113" i="1"/>
  <c r="K114" i="1"/>
  <c r="L114" i="1"/>
  <c r="M114" i="1"/>
  <c r="V114" i="1"/>
  <c r="S23" i="3" s="1"/>
  <c r="Y114" i="1"/>
  <c r="Z114" i="1"/>
  <c r="AA114" i="1" s="1"/>
  <c r="AB114" i="1"/>
  <c r="AC114" i="1"/>
  <c r="AD114" i="1"/>
  <c r="T114" i="1" s="1"/>
  <c r="AE114" i="1"/>
  <c r="R22" i="3" s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AA116" i="1" s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/>
  <c r="T117" i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AO119" i="1"/>
  <c r="K120" i="1"/>
  <c r="L120" i="1"/>
  <c r="M120" i="1"/>
  <c r="N120" i="1"/>
  <c r="T120" i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AM121" i="1"/>
  <c r="AN121" i="1"/>
  <c r="AO121" i="1"/>
  <c r="K122" i="1"/>
  <c r="L122" i="1"/>
  <c r="M122" i="1"/>
  <c r="N122" i="1" s="1"/>
  <c r="T122" i="1"/>
  <c r="V122" i="1"/>
  <c r="Y122" i="1"/>
  <c r="AA122" i="1" s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T125" i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S13" i="3" s="1"/>
  <c r="Y129" i="1"/>
  <c r="Z129" i="1"/>
  <c r="AB129" i="1"/>
  <c r="AC129" i="1"/>
  <c r="AD129" i="1"/>
  <c r="AE129" i="1"/>
  <c r="R13" i="3" s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/>
  <c r="V131" i="1"/>
  <c r="Y131" i="1"/>
  <c r="AA131" i="1" s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/>
  <c r="V133" i="1"/>
  <c r="Y133" i="1"/>
  <c r="AA133" i="1" s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/>
  <c r="V135" i="1"/>
  <c r="Y135" i="1"/>
  <c r="AA135" i="1" s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Z139" i="1"/>
  <c r="AA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/>
  <c r="V141" i="1"/>
  <c r="Y141" i="1"/>
  <c r="Z141" i="1"/>
  <c r="AA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AA143" i="1" s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S20" i="3" s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S18" i="3" s="1"/>
  <c r="Y152" i="1"/>
  <c r="Z152" i="1"/>
  <c r="AA152" i="1" s="1"/>
  <c r="AB152" i="1"/>
  <c r="AC152" i="1"/>
  <c r="AD152" i="1"/>
  <c r="T152" i="1" s="1"/>
  <c r="AE152" i="1"/>
  <c r="R18" i="3" s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X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8" i="3" s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/>
  <c r="V218" i="1"/>
  <c r="X218" i="1"/>
  <c r="Y218" i="1"/>
  <c r="Z218" i="1"/>
  <c r="AA218" i="1" s="1"/>
  <c r="AB218" i="1"/>
  <c r="AC218" i="1"/>
  <c r="AD218" i="1"/>
  <c r="T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AO173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/>
  <c r="V230" i="1"/>
  <c r="S37" i="3" s="1"/>
  <c r="Y230" i="1"/>
  <c r="Z230" i="1"/>
  <c r="AB230" i="1"/>
  <c r="AC230" i="1"/>
  <c r="AD230" i="1"/>
  <c r="T230" i="1" s="1"/>
  <c r="AE230" i="1"/>
  <c r="R37" i="3" s="1"/>
  <c r="AF230" i="1"/>
  <c r="AH175" i="1"/>
  <c r="AM175" i="1"/>
  <c r="AN175" i="1"/>
  <c r="AO175" i="1"/>
  <c r="K231" i="1"/>
  <c r="L231" i="1"/>
  <c r="M231" i="1"/>
  <c r="N231" i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N232" i="1"/>
  <c r="V232" i="1"/>
  <c r="X232" i="1"/>
  <c r="Y232" i="1"/>
  <c r="Z232" i="1"/>
  <c r="AA232" i="1" s="1"/>
  <c r="AB232" i="1"/>
  <c r="AC232" i="1"/>
  <c r="AD232" i="1"/>
  <c r="T232" i="1" s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78" i="1"/>
  <c r="AM178" i="1"/>
  <c r="AN178" i="1"/>
  <c r="AO178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79" i="1"/>
  <c r="AM179" i="1"/>
  <c r="AN179" i="1"/>
  <c r="AO179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0" i="1"/>
  <c r="AM180" i="1"/>
  <c r="AN180" i="1"/>
  <c r="AO180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181" i="1"/>
  <c r="AM181" i="1"/>
  <c r="AN181" i="1"/>
  <c r="AO181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82" i="1"/>
  <c r="AM182" i="1"/>
  <c r="AN182" i="1"/>
  <c r="AO182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3" i="1"/>
  <c r="AM183" i="1"/>
  <c r="AN183" i="1"/>
  <c r="AO183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4" i="1"/>
  <c r="AM184" i="1"/>
  <c r="AN184" i="1"/>
  <c r="AO184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85" i="1"/>
  <c r="AM185" i="1"/>
  <c r="AN185" i="1"/>
  <c r="AO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AM186" i="1"/>
  <c r="AN186" i="1"/>
  <c r="AO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AO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AO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AO18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0" i="1"/>
  <c r="AM190" i="1"/>
  <c r="AN190" i="1"/>
  <c r="AO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AM191" i="1"/>
  <c r="AN191" i="1"/>
  <c r="AO19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AM192" i="1"/>
  <c r="AN192" i="1"/>
  <c r="AO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AM193" i="1"/>
  <c r="AN193" i="1"/>
  <c r="AO193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94" i="1"/>
  <c r="AM194" i="1"/>
  <c r="AN194" i="1"/>
  <c r="AO194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195" i="1"/>
  <c r="AM195" i="1"/>
  <c r="AN195" i="1"/>
  <c r="AO195" i="1"/>
  <c r="K177" i="1"/>
  <c r="L177" i="1"/>
  <c r="M177" i="1"/>
  <c r="N177" i="1"/>
  <c r="V177" i="1"/>
  <c r="Y177" i="1"/>
  <c r="Z177" i="1"/>
  <c r="AB177" i="1"/>
  <c r="AC177" i="1"/>
  <c r="AD177" i="1"/>
  <c r="T177" i="1" s="1"/>
  <c r="AE177" i="1"/>
  <c r="AF177" i="1"/>
  <c r="AH196" i="1"/>
  <c r="AM196" i="1"/>
  <c r="AN196" i="1"/>
  <c r="AO196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197" i="1"/>
  <c r="AM197" i="1"/>
  <c r="AN197" i="1"/>
  <c r="AO197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98" i="1"/>
  <c r="AM198" i="1"/>
  <c r="AN198" i="1"/>
  <c r="AO198" i="1"/>
  <c r="K180" i="1"/>
  <c r="L180" i="1"/>
  <c r="M180" i="1"/>
  <c r="N180" i="1"/>
  <c r="V180" i="1"/>
  <c r="S29" i="3" s="1"/>
  <c r="Y180" i="1"/>
  <c r="Z180" i="1"/>
  <c r="AB180" i="1"/>
  <c r="AC180" i="1"/>
  <c r="AD180" i="1"/>
  <c r="T180" i="1" s="1"/>
  <c r="AE180" i="1"/>
  <c r="R29" i="3" s="1"/>
  <c r="AF180" i="1"/>
  <c r="AH199" i="1"/>
  <c r="AM199" i="1"/>
  <c r="AN199" i="1"/>
  <c r="AO199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200" i="1"/>
  <c r="AM200" i="1"/>
  <c r="AN200" i="1"/>
  <c r="AO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AM201" i="1"/>
  <c r="AN201" i="1"/>
  <c r="AO201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2" i="1"/>
  <c r="AM202" i="1"/>
  <c r="AN202" i="1"/>
  <c r="AO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3" i="1"/>
  <c r="AM203" i="1"/>
  <c r="AN203" i="1"/>
  <c r="AO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AM204" i="1"/>
  <c r="AN204" i="1"/>
  <c r="AO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5" i="1"/>
  <c r="AM205" i="1"/>
  <c r="AN205" i="1"/>
  <c r="AO20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6" i="1"/>
  <c r="AM206" i="1"/>
  <c r="AN206" i="1"/>
  <c r="AO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AM207" i="1"/>
  <c r="AN207" i="1"/>
  <c r="AO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AM208" i="1"/>
  <c r="AN208" i="1"/>
  <c r="AO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AN209" i="1"/>
  <c r="AO20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AM210" i="1"/>
  <c r="AN210" i="1"/>
  <c r="AO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R30" i="3" s="1"/>
  <c r="AF192" i="1"/>
  <c r="AH211" i="1"/>
  <c r="AM211" i="1"/>
  <c r="AN211" i="1"/>
  <c r="AO211" i="1"/>
  <c r="K193" i="1"/>
  <c r="L193" i="1"/>
  <c r="M193" i="1"/>
  <c r="N193" i="1" s="1"/>
  <c r="V193" i="1"/>
  <c r="S33" i="3" s="1"/>
  <c r="Y193" i="1"/>
  <c r="Z193" i="1"/>
  <c r="AA193" i="1" s="1"/>
  <c r="AB193" i="1"/>
  <c r="AC193" i="1"/>
  <c r="AD193" i="1"/>
  <c r="T193" i="1" s="1"/>
  <c r="AE193" i="1"/>
  <c r="R33" i="3" s="1"/>
  <c r="AF193" i="1"/>
  <c r="AH212" i="1"/>
  <c r="AM212" i="1"/>
  <c r="AN212" i="1"/>
  <c r="AO21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3" i="1"/>
  <c r="AM213" i="1"/>
  <c r="AN213" i="1"/>
  <c r="AO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AN215" i="1"/>
  <c r="AO215" i="1"/>
  <c r="K197" i="1"/>
  <c r="L197" i="1"/>
  <c r="M197" i="1"/>
  <c r="N197" i="1" s="1"/>
  <c r="V197" i="1"/>
  <c r="S28" i="3" s="1"/>
  <c r="Y197" i="1"/>
  <c r="Z197" i="1"/>
  <c r="AB197" i="1"/>
  <c r="AC197" i="1"/>
  <c r="AD197" i="1"/>
  <c r="T197" i="1" s="1"/>
  <c r="AE197" i="1"/>
  <c r="R28" i="3" s="1"/>
  <c r="AF197" i="1"/>
  <c r="AH216" i="1"/>
  <c r="AM216" i="1"/>
  <c r="AN216" i="1"/>
  <c r="AO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AM217" i="1"/>
  <c r="AN217" i="1"/>
  <c r="AO217" i="1"/>
  <c r="K199" i="1"/>
  <c r="L199" i="1"/>
  <c r="M199" i="1"/>
  <c r="N199" i="1" s="1"/>
  <c r="V199" i="1"/>
  <c r="S35" i="3" s="1"/>
  <c r="Y199" i="1"/>
  <c r="Z199" i="1"/>
  <c r="AB199" i="1"/>
  <c r="AC199" i="1"/>
  <c r="AD199" i="1"/>
  <c r="T199" i="1" s="1"/>
  <c r="AE199" i="1"/>
  <c r="R35" i="3" s="1"/>
  <c r="AF199" i="1"/>
  <c r="AH218" i="1"/>
  <c r="AM218" i="1"/>
  <c r="AN218" i="1"/>
  <c r="AO218" i="1"/>
  <c r="K200" i="1"/>
  <c r="L200" i="1"/>
  <c r="M200" i="1"/>
  <c r="N200" i="1" s="1"/>
  <c r="V200" i="1"/>
  <c r="S34" i="3" s="1"/>
  <c r="Y200" i="1"/>
  <c r="Z200" i="1"/>
  <c r="AB200" i="1"/>
  <c r="AC200" i="1"/>
  <c r="AD200" i="1"/>
  <c r="T200" i="1" s="1"/>
  <c r="AE200" i="1"/>
  <c r="R34" i="3" s="1"/>
  <c r="AF200" i="1"/>
  <c r="AH219" i="1"/>
  <c r="AM219" i="1"/>
  <c r="AN219" i="1"/>
  <c r="AO219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0" i="1"/>
  <c r="AM220" i="1"/>
  <c r="AN220" i="1"/>
  <c r="AO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AM221" i="1"/>
  <c r="AN221" i="1"/>
  <c r="AO221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AO222" i="1"/>
  <c r="K204" i="1"/>
  <c r="L204" i="1"/>
  <c r="M204" i="1"/>
  <c r="N204" i="1" s="1"/>
  <c r="V204" i="1"/>
  <c r="S32" i="3" s="1"/>
  <c r="Y204" i="1"/>
  <c r="Z204" i="1"/>
  <c r="AB204" i="1"/>
  <c r="AC204" i="1"/>
  <c r="AD204" i="1"/>
  <c r="T204" i="1" s="1"/>
  <c r="AE204" i="1"/>
  <c r="R31" i="3" s="1"/>
  <c r="AF204" i="1"/>
  <c r="AH223" i="1"/>
  <c r="AM223" i="1"/>
  <c r="AN223" i="1"/>
  <c r="AO223" i="1"/>
  <c r="K205" i="1"/>
  <c r="L205" i="1"/>
  <c r="M205" i="1"/>
  <c r="N205" i="1"/>
  <c r="V205" i="1"/>
  <c r="Y205" i="1"/>
  <c r="Z205" i="1"/>
  <c r="AB205" i="1"/>
  <c r="AC205" i="1"/>
  <c r="AD205" i="1"/>
  <c r="X205" i="1" s="1"/>
  <c r="AE205" i="1"/>
  <c r="AF205" i="1"/>
  <c r="AH224" i="1"/>
  <c r="AM224" i="1"/>
  <c r="AN224" i="1"/>
  <c r="AO224" i="1"/>
  <c r="K206" i="1"/>
  <c r="L206" i="1"/>
  <c r="M206" i="1"/>
  <c r="N206" i="1"/>
  <c r="V206" i="1"/>
  <c r="X206" i="1"/>
  <c r="Y206" i="1"/>
  <c r="Z206" i="1"/>
  <c r="AA206" i="1" s="1"/>
  <c r="AB206" i="1"/>
  <c r="AC206" i="1"/>
  <c r="AD206" i="1"/>
  <c r="T206" i="1" s="1"/>
  <c r="AE206" i="1"/>
  <c r="AF206" i="1"/>
  <c r="AH225" i="1"/>
  <c r="AM225" i="1"/>
  <c r="AN225" i="1"/>
  <c r="AO225" i="1"/>
  <c r="K207" i="1"/>
  <c r="L207" i="1"/>
  <c r="M207" i="1"/>
  <c r="N207" i="1" s="1"/>
  <c r="V207" i="1"/>
  <c r="Y207" i="1"/>
  <c r="Z207" i="1"/>
  <c r="AA207" i="1" s="1"/>
  <c r="AB207" i="1"/>
  <c r="AC207" i="1"/>
  <c r="AD207" i="1"/>
  <c r="X207" i="1" s="1"/>
  <c r="AE207" i="1"/>
  <c r="AF207" i="1"/>
  <c r="AH226" i="1"/>
  <c r="AM226" i="1"/>
  <c r="AN226" i="1"/>
  <c r="AO226" i="1"/>
  <c r="K208" i="1"/>
  <c r="L208" i="1"/>
  <c r="M208" i="1"/>
  <c r="N208" i="1" s="1"/>
  <c r="V208" i="1"/>
  <c r="Y208" i="1"/>
  <c r="Z208" i="1"/>
  <c r="AA208" i="1"/>
  <c r="AB208" i="1"/>
  <c r="AC208" i="1"/>
  <c r="AD208" i="1"/>
  <c r="AE208" i="1"/>
  <c r="AF208" i="1"/>
  <c r="AH227" i="1"/>
  <c r="AM227" i="1"/>
  <c r="AN227" i="1"/>
  <c r="AO227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8" i="1"/>
  <c r="AM228" i="1"/>
  <c r="AN228" i="1"/>
  <c r="AO228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229" i="1"/>
  <c r="AM229" i="1"/>
  <c r="AN229" i="1"/>
  <c r="AO229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AH230" i="1"/>
  <c r="AM230" i="1"/>
  <c r="AN230" i="1"/>
  <c r="AO230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31" i="1"/>
  <c r="AM231" i="1"/>
  <c r="AN231" i="1"/>
  <c r="AO231" i="1"/>
  <c r="K226" i="1"/>
  <c r="L226" i="1"/>
  <c r="M226" i="1"/>
  <c r="N226" i="1"/>
  <c r="T226" i="1"/>
  <c r="V226" i="1"/>
  <c r="Y226" i="1"/>
  <c r="Z226" i="1"/>
  <c r="AA226" i="1"/>
  <c r="AB226" i="1"/>
  <c r="AC226" i="1"/>
  <c r="AD226" i="1"/>
  <c r="AE226" i="1"/>
  <c r="AF226" i="1"/>
  <c r="AH232" i="1"/>
  <c r="AM232" i="1"/>
  <c r="AN232" i="1"/>
  <c r="AO232" i="1"/>
  <c r="K227" i="1"/>
  <c r="L227" i="1"/>
  <c r="M227" i="1"/>
  <c r="N227" i="1"/>
  <c r="V227" i="1"/>
  <c r="Y227" i="1"/>
  <c r="Z227" i="1"/>
  <c r="AA227" i="1" s="1"/>
  <c r="AB227" i="1"/>
  <c r="AC227" i="1"/>
  <c r="AD227" i="1"/>
  <c r="T227" i="1" s="1"/>
  <c r="AE227" i="1"/>
  <c r="AF227" i="1"/>
  <c r="AH233" i="1"/>
  <c r="AM233" i="1"/>
  <c r="AN233" i="1"/>
  <c r="AO233" i="1"/>
  <c r="M15" i="3"/>
  <c r="R15" i="3"/>
  <c r="U15" i="3"/>
  <c r="T15" i="3" s="1"/>
  <c r="V15" i="3"/>
  <c r="X15" i="3"/>
  <c r="M12" i="3"/>
  <c r="R12" i="3"/>
  <c r="S12" i="3"/>
  <c r="U12" i="3"/>
  <c r="V12" i="3"/>
  <c r="X12" i="3"/>
  <c r="M14" i="3"/>
  <c r="S14" i="3"/>
  <c r="U14" i="3"/>
  <c r="AC14" i="3" s="1"/>
  <c r="V14" i="3"/>
  <c r="X14" i="3"/>
  <c r="M17" i="3"/>
  <c r="R17" i="3"/>
  <c r="U17" i="3"/>
  <c r="T17" i="3" s="1"/>
  <c r="V17" i="3"/>
  <c r="X17" i="3"/>
  <c r="M24" i="3"/>
  <c r="S24" i="3"/>
  <c r="U24" i="3"/>
  <c r="T24" i="3" s="1"/>
  <c r="V24" i="3"/>
  <c r="X24" i="3"/>
  <c r="M25" i="3"/>
  <c r="R25" i="3"/>
  <c r="U25" i="3"/>
  <c r="V25" i="3"/>
  <c r="X25" i="3"/>
  <c r="M21" i="3"/>
  <c r="U21" i="3"/>
  <c r="AC21" i="3" s="1"/>
  <c r="V21" i="3"/>
  <c r="X21" i="3"/>
  <c r="M29" i="3"/>
  <c r="U29" i="3"/>
  <c r="T29" i="3" s="1"/>
  <c r="V29" i="3"/>
  <c r="X29" i="3"/>
  <c r="AD15" i="3"/>
  <c r="AE15" i="3"/>
  <c r="M11" i="3"/>
  <c r="U11" i="3"/>
  <c r="T11" i="3" s="1"/>
  <c r="V11" i="3"/>
  <c r="X11" i="3"/>
  <c r="M9" i="3"/>
  <c r="S9" i="3"/>
  <c r="U9" i="3"/>
  <c r="AD17" i="3" s="1"/>
  <c r="V9" i="3"/>
  <c r="X9" i="3"/>
  <c r="M19" i="3"/>
  <c r="R19" i="3"/>
  <c r="U19" i="3"/>
  <c r="AC19" i="3" s="1"/>
  <c r="V19" i="3"/>
  <c r="X19" i="3"/>
  <c r="M10" i="3"/>
  <c r="R10" i="3"/>
  <c r="S10" i="3"/>
  <c r="U10" i="3"/>
  <c r="V10" i="3"/>
  <c r="X10" i="3"/>
  <c r="M23" i="3"/>
  <c r="R23" i="3"/>
  <c r="U23" i="3"/>
  <c r="T23" i="3" s="1"/>
  <c r="V23" i="3"/>
  <c r="X23" i="3"/>
  <c r="M22" i="3"/>
  <c r="S22" i="3"/>
  <c r="U22" i="3"/>
  <c r="AD21" i="3" s="1"/>
  <c r="V22" i="3"/>
  <c r="X22" i="3"/>
  <c r="M26" i="3"/>
  <c r="R26" i="3"/>
  <c r="S26" i="3"/>
  <c r="U26" i="3"/>
  <c r="AC26" i="3" s="1"/>
  <c r="V26" i="3"/>
  <c r="X26" i="3"/>
  <c r="M27" i="3"/>
  <c r="S27" i="3"/>
  <c r="U27" i="3"/>
  <c r="T27" i="3" s="1"/>
  <c r="V27" i="3"/>
  <c r="X27" i="3"/>
  <c r="AD23" i="3"/>
  <c r="AE23" i="3"/>
  <c r="M33" i="3"/>
  <c r="U33" i="3"/>
  <c r="T33" i="3" s="1"/>
  <c r="V33" i="3"/>
  <c r="X33" i="3"/>
  <c r="M30" i="3"/>
  <c r="S30" i="3"/>
  <c r="U30" i="3"/>
  <c r="AD25" i="3" s="1"/>
  <c r="V30" i="3"/>
  <c r="X30" i="3"/>
  <c r="M36" i="3"/>
  <c r="U36" i="3"/>
  <c r="AC36" i="3" s="1"/>
  <c r="V36" i="3"/>
  <c r="X36" i="3"/>
  <c r="M37" i="3"/>
  <c r="U37" i="3"/>
  <c r="T37" i="3" s="1"/>
  <c r="V37" i="3"/>
  <c r="X37" i="3"/>
  <c r="M28" i="3"/>
  <c r="U28" i="3"/>
  <c r="T28" i="3" s="1"/>
  <c r="V28" i="3"/>
  <c r="X28" i="3"/>
  <c r="M35" i="3"/>
  <c r="U35" i="3"/>
  <c r="V35" i="3"/>
  <c r="X35" i="3"/>
  <c r="AC35" i="3"/>
  <c r="M7" i="3"/>
  <c r="R7" i="3"/>
  <c r="S7" i="3"/>
  <c r="U7" i="3"/>
  <c r="AC7" i="3" s="1"/>
  <c r="V7" i="3"/>
  <c r="X7" i="3"/>
  <c r="M13" i="3"/>
  <c r="T13" i="3"/>
  <c r="U13" i="3"/>
  <c r="V13" i="3"/>
  <c r="X13" i="3"/>
  <c r="AC13" i="3"/>
  <c r="M34" i="3"/>
  <c r="U34" i="3"/>
  <c r="T34" i="3" s="1"/>
  <c r="V34" i="3"/>
  <c r="X34" i="3"/>
  <c r="M20" i="3"/>
  <c r="R20" i="3"/>
  <c r="U20" i="3"/>
  <c r="AD33" i="3" s="1"/>
  <c r="V20" i="3"/>
  <c r="X20" i="3"/>
  <c r="M31" i="3"/>
  <c r="S31" i="3"/>
  <c r="U31" i="3"/>
  <c r="AC31" i="3" s="1"/>
  <c r="V31" i="3"/>
  <c r="X31" i="3"/>
  <c r="M32" i="3"/>
  <c r="U32" i="3"/>
  <c r="AD32" i="3" s="1"/>
  <c r="V32" i="3"/>
  <c r="X32" i="3"/>
  <c r="AD35" i="3"/>
  <c r="M18" i="3"/>
  <c r="U18" i="3"/>
  <c r="T18" i="3" s="1"/>
  <c r="V18" i="3"/>
  <c r="X18" i="3"/>
  <c r="M8" i="3"/>
  <c r="S8" i="3"/>
  <c r="U8" i="3"/>
  <c r="V8" i="3"/>
  <c r="X8" i="3"/>
  <c r="AG50" i="1"/>
  <c r="AG16" i="1"/>
  <c r="AG20" i="1"/>
  <c r="AG24" i="1"/>
  <c r="AG28" i="1"/>
  <c r="AG32" i="1"/>
  <c r="AG36" i="1"/>
  <c r="AG40" i="1"/>
  <c r="AG44" i="1"/>
  <c r="AG48" i="1"/>
  <c r="AG53" i="1"/>
  <c r="AG57" i="1"/>
  <c r="AG61" i="1"/>
  <c r="AG65" i="1"/>
  <c r="AG71" i="1"/>
  <c r="AG75" i="1"/>
  <c r="AG79" i="1"/>
  <c r="AG83" i="1"/>
  <c r="AG87" i="1"/>
  <c r="AG91" i="1"/>
  <c r="AG95" i="1"/>
  <c r="AG99" i="1"/>
  <c r="AG103" i="1"/>
  <c r="AG107" i="1"/>
  <c r="AG111" i="1"/>
  <c r="AG115" i="1"/>
  <c r="AG119" i="1"/>
  <c r="AG18" i="1"/>
  <c r="AG23" i="1"/>
  <c r="AG29" i="1"/>
  <c r="AG34" i="1"/>
  <c r="AG39" i="1"/>
  <c r="AG45" i="1"/>
  <c r="AG51" i="1"/>
  <c r="AG56" i="1"/>
  <c r="AG62" i="1"/>
  <c r="AG69" i="1"/>
  <c r="AG74" i="1"/>
  <c r="AG80" i="1"/>
  <c r="AG85" i="1"/>
  <c r="AG90" i="1"/>
  <c r="AG96" i="1"/>
  <c r="AG101" i="1"/>
  <c r="AG106" i="1"/>
  <c r="AG112" i="1"/>
  <c r="AG117" i="1"/>
  <c r="AG122" i="1"/>
  <c r="AG126" i="1"/>
  <c r="AG128" i="1"/>
  <c r="AG132" i="1"/>
  <c r="AG136" i="1"/>
  <c r="AG140" i="1"/>
  <c r="AG144" i="1"/>
  <c r="AG148" i="1"/>
  <c r="AG152" i="1"/>
  <c r="AG156" i="1"/>
  <c r="AG209" i="1"/>
  <c r="AG213" i="1"/>
  <c r="AG217" i="1"/>
  <c r="AG221" i="1"/>
  <c r="AG231" i="1"/>
  <c r="AG161" i="1"/>
  <c r="AG165" i="1"/>
  <c r="AG169" i="1"/>
  <c r="AG173" i="1"/>
  <c r="AG177" i="1"/>
  <c r="AG181" i="1"/>
  <c r="AG185" i="1"/>
  <c r="AG189" i="1"/>
  <c r="AG193" i="1"/>
  <c r="AG197" i="1"/>
  <c r="AG201" i="1"/>
  <c r="AG205" i="1"/>
  <c r="AG222" i="1"/>
  <c r="AG226" i="1"/>
  <c r="AG30" i="1"/>
  <c r="AG41" i="1"/>
  <c r="AG52" i="1"/>
  <c r="AG63" i="1"/>
  <c r="AG70" i="1"/>
  <c r="AG76" i="1"/>
  <c r="AG86" i="1"/>
  <c r="AG92" i="1"/>
  <c r="AG97" i="1"/>
  <c r="AG108" i="1"/>
  <c r="AG113" i="1"/>
  <c r="AG118" i="1"/>
  <c r="AG127" i="1"/>
  <c r="AG129" i="1"/>
  <c r="AG133" i="1"/>
  <c r="AG141" i="1"/>
  <c r="AG145" i="1"/>
  <c r="AG149" i="1"/>
  <c r="AG157" i="1"/>
  <c r="AG210" i="1"/>
  <c r="AG214" i="1"/>
  <c r="AG228" i="1"/>
  <c r="AG232" i="1"/>
  <c r="AG162" i="1"/>
  <c r="AG170" i="1"/>
  <c r="AG174" i="1"/>
  <c r="AG182" i="1"/>
  <c r="AG186" i="1"/>
  <c r="AG190" i="1"/>
  <c r="AG198" i="1"/>
  <c r="AG202" i="1"/>
  <c r="AG206" i="1"/>
  <c r="AG227" i="1"/>
  <c r="AG15" i="1"/>
  <c r="AG21" i="1"/>
  <c r="AG26" i="1"/>
  <c r="AG31" i="1"/>
  <c r="AG37" i="1"/>
  <c r="AG42" i="1"/>
  <c r="AG47" i="1"/>
  <c r="AG54" i="1"/>
  <c r="AG59" i="1"/>
  <c r="AG64" i="1"/>
  <c r="AG72" i="1"/>
  <c r="AG82" i="1"/>
  <c r="AG88" i="1"/>
  <c r="AG93" i="1"/>
  <c r="AG98" i="1"/>
  <c r="AG104" i="1"/>
  <c r="AG109" i="1"/>
  <c r="AG114" i="1"/>
  <c r="AG120" i="1"/>
  <c r="AG66" i="1"/>
  <c r="AG130" i="1"/>
  <c r="AG134" i="1"/>
  <c r="AG138" i="1"/>
  <c r="AG142" i="1"/>
  <c r="AG150" i="1"/>
  <c r="AG154" i="1"/>
  <c r="AG158" i="1"/>
  <c r="AG215" i="1"/>
  <c r="AG219" i="1"/>
  <c r="AG229" i="1"/>
  <c r="AG163" i="1"/>
  <c r="AG167" i="1"/>
  <c r="AG175" i="1"/>
  <c r="AG179" i="1"/>
  <c r="AG187" i="1"/>
  <c r="AG191" i="1"/>
  <c r="AG199" i="1"/>
  <c r="AG203" i="1"/>
  <c r="AG224" i="1"/>
  <c r="AG17" i="1"/>
  <c r="AG22" i="1"/>
  <c r="AG27" i="1"/>
  <c r="AG33" i="1"/>
  <c r="AG38" i="1"/>
  <c r="AG43" i="1"/>
  <c r="AG49" i="1"/>
  <c r="AG55" i="1"/>
  <c r="AG60" i="1"/>
  <c r="AG67" i="1"/>
  <c r="AG73" i="1"/>
  <c r="AG78" i="1"/>
  <c r="AG84" i="1"/>
  <c r="AG89" i="1"/>
  <c r="AG94" i="1"/>
  <c r="AG100" i="1"/>
  <c r="AG105" i="1"/>
  <c r="AG110" i="1"/>
  <c r="AG116" i="1"/>
  <c r="AG121" i="1"/>
  <c r="AG125" i="1"/>
  <c r="AG68" i="1"/>
  <c r="AG135" i="1"/>
  <c r="AG139" i="1"/>
  <c r="AG143" i="1"/>
  <c r="AG147" i="1"/>
  <c r="AG151" i="1"/>
  <c r="AG155" i="1"/>
  <c r="AG159" i="1"/>
  <c r="AG212" i="1"/>
  <c r="AG216" i="1"/>
  <c r="AG220" i="1"/>
  <c r="AG230" i="1"/>
  <c r="AG160" i="1"/>
  <c r="AG168" i="1"/>
  <c r="AG172" i="1"/>
  <c r="AG176" i="1"/>
  <c r="AG180" i="1"/>
  <c r="AG184" i="1"/>
  <c r="AG188" i="1"/>
  <c r="AG196" i="1"/>
  <c r="AG200" i="1"/>
  <c r="AG204" i="1"/>
  <c r="AG225" i="1"/>
  <c r="AG14" i="1"/>
  <c r="AG19" i="1"/>
  <c r="AG25" i="1"/>
  <c r="AG35" i="1"/>
  <c r="AG46" i="1"/>
  <c r="AG58" i="1"/>
  <c r="AG81" i="1"/>
  <c r="AG102" i="1"/>
  <c r="AG123" i="1"/>
  <c r="AG137" i="1"/>
  <c r="AG153" i="1"/>
  <c r="AG218" i="1"/>
  <c r="AG166" i="1"/>
  <c r="AG178" i="1"/>
  <c r="AG194" i="1"/>
  <c r="AG223" i="1"/>
  <c r="AG77" i="1"/>
  <c r="AG124" i="1"/>
  <c r="AG146" i="1"/>
  <c r="AG211" i="1"/>
  <c r="AG233" i="1"/>
  <c r="AG171" i="1"/>
  <c r="AG183" i="1"/>
  <c r="AG195" i="1"/>
  <c r="AG207" i="1"/>
  <c r="AG131" i="1"/>
  <c r="AG164" i="1"/>
  <c r="AG192" i="1"/>
  <c r="AG208" i="1"/>
  <c r="W25" i="3"/>
  <c r="W35" i="3"/>
  <c r="W15" i="3"/>
  <c r="W19" i="3"/>
  <c r="W31" i="3"/>
  <c r="W37" i="3"/>
  <c r="W11" i="3"/>
  <c r="W18" i="3"/>
  <c r="W9" i="3"/>
  <c r="W20" i="3"/>
  <c r="W28" i="3"/>
  <c r="W26" i="3"/>
  <c r="W17" i="3"/>
  <c r="W13" i="3"/>
  <c r="W23" i="3"/>
  <c r="W22" i="3"/>
  <c r="W8" i="3"/>
  <c r="W14" i="3"/>
  <c r="W36" i="3"/>
  <c r="W29" i="3"/>
  <c r="W32" i="3"/>
  <c r="W33" i="3"/>
  <c r="W12" i="3"/>
  <c r="W30" i="3"/>
  <c r="W27" i="3"/>
  <c r="W21" i="3"/>
  <c r="W7" i="3"/>
  <c r="W10" i="3"/>
  <c r="W24" i="3"/>
  <c r="W34" i="3"/>
  <c r="S17" i="3" l="1"/>
  <c r="X50" i="1"/>
  <c r="U50" i="1"/>
  <c r="S50" i="1" s="1"/>
  <c r="AI50" i="1"/>
  <c r="W50" i="1"/>
  <c r="AD28" i="3"/>
  <c r="AC33" i="3"/>
  <c r="AD36" i="3"/>
  <c r="AE27" i="3"/>
  <c r="R36" i="3"/>
  <c r="AD13" i="3"/>
  <c r="AC15" i="3"/>
  <c r="AA222" i="1"/>
  <c r="T208" i="1"/>
  <c r="X208" i="1"/>
  <c r="X227" i="1"/>
  <c r="T225" i="1"/>
  <c r="AA223" i="1"/>
  <c r="AA200" i="1"/>
  <c r="X198" i="1"/>
  <c r="AA182" i="1"/>
  <c r="AA181" i="1"/>
  <c r="AA180" i="1"/>
  <c r="AA179" i="1"/>
  <c r="AA177" i="1"/>
  <c r="AA176" i="1"/>
  <c r="AA175" i="1"/>
  <c r="AA174" i="1"/>
  <c r="X228" i="1"/>
  <c r="AA219" i="1"/>
  <c r="AA213" i="1"/>
  <c r="AA212" i="1"/>
  <c r="AA211" i="1"/>
  <c r="AA210" i="1"/>
  <c r="AA151" i="1"/>
  <c r="AA147" i="1"/>
  <c r="X145" i="1"/>
  <c r="AA134" i="1"/>
  <c r="AA130" i="1"/>
  <c r="AA129" i="1"/>
  <c r="X124" i="1"/>
  <c r="X123" i="1"/>
  <c r="X116" i="1"/>
  <c r="AA109" i="1"/>
  <c r="AA107" i="1"/>
  <c r="X80" i="1"/>
  <c r="X74" i="1"/>
  <c r="AA56" i="1"/>
  <c r="AA52" i="1"/>
  <c r="AA51" i="1"/>
  <c r="AA49" i="1"/>
  <c r="AA48" i="1"/>
  <c r="AA38" i="1"/>
  <c r="X190" i="1"/>
  <c r="AA225" i="1"/>
  <c r="AA205" i="1"/>
  <c r="AA198" i="1"/>
  <c r="X174" i="1"/>
  <c r="AA167" i="1"/>
  <c r="X210" i="1"/>
  <c r="AA149" i="1"/>
  <c r="AA145" i="1"/>
  <c r="AA142" i="1"/>
  <c r="AA138" i="1"/>
  <c r="AA137" i="1"/>
  <c r="AA127" i="1"/>
  <c r="AA124" i="1"/>
  <c r="X120" i="1"/>
  <c r="AA120" i="1"/>
  <c r="AA118" i="1"/>
  <c r="X117" i="1"/>
  <c r="X108" i="1"/>
  <c r="X104" i="1"/>
  <c r="AA99" i="1"/>
  <c r="X97" i="1"/>
  <c r="AA96" i="1"/>
  <c r="AA93" i="1"/>
  <c r="AA92" i="1"/>
  <c r="AA91" i="1"/>
  <c r="AA90" i="1"/>
  <c r="AA88" i="1"/>
  <c r="AA87" i="1"/>
  <c r="AA86" i="1"/>
  <c r="AA85" i="1"/>
  <c r="AA83" i="1"/>
  <c r="X81" i="1"/>
  <c r="AA80" i="1"/>
  <c r="AA77" i="1"/>
  <c r="AA76" i="1"/>
  <c r="AA75" i="1"/>
  <c r="AA74" i="1"/>
  <c r="AA72" i="1"/>
  <c r="AA71" i="1"/>
  <c r="AA70" i="1"/>
  <c r="AA69" i="1"/>
  <c r="AA68" i="1"/>
  <c r="AA67" i="1"/>
  <c r="AA54" i="1"/>
  <c r="X43" i="1"/>
  <c r="AA40" i="1"/>
  <c r="AA36" i="1"/>
  <c r="AA192" i="1"/>
  <c r="AA191" i="1"/>
  <c r="AA190" i="1"/>
  <c r="AA185" i="1"/>
  <c r="AA106" i="1"/>
  <c r="AA105" i="1"/>
  <c r="T194" i="1"/>
  <c r="X194" i="1"/>
  <c r="X89" i="1"/>
  <c r="T89" i="1"/>
  <c r="X170" i="1"/>
  <c r="T214" i="1"/>
  <c r="X214" i="1"/>
  <c r="T84" i="1"/>
  <c r="U84" i="1" s="1"/>
  <c r="S84" i="1" s="1"/>
  <c r="X84" i="1"/>
  <c r="T78" i="1"/>
  <c r="X78" i="1"/>
  <c r="T41" i="1"/>
  <c r="X41" i="1"/>
  <c r="S36" i="3"/>
  <c r="X186" i="1"/>
  <c r="AA178" i="1"/>
  <c r="AA168" i="1"/>
  <c r="X166" i="1"/>
  <c r="T162" i="1"/>
  <c r="X162" i="1"/>
  <c r="T94" i="1"/>
  <c r="X94" i="1"/>
  <c r="X73" i="1"/>
  <c r="T73" i="1"/>
  <c r="U73" i="1" s="1"/>
  <c r="S73" i="1" s="1"/>
  <c r="X222" i="1"/>
  <c r="T222" i="1"/>
  <c r="X226" i="1"/>
  <c r="T223" i="1"/>
  <c r="U223" i="1" s="1"/>
  <c r="S223" i="1" s="1"/>
  <c r="T207" i="1"/>
  <c r="T205" i="1"/>
  <c r="X202" i="1"/>
  <c r="AA199" i="1"/>
  <c r="AA197" i="1"/>
  <c r="AA196" i="1"/>
  <c r="AA195" i="1"/>
  <c r="AA194" i="1"/>
  <c r="W194" i="1" s="1"/>
  <c r="AA184" i="1"/>
  <c r="X182" i="1"/>
  <c r="T178" i="1"/>
  <c r="X178" i="1"/>
  <c r="AA169" i="1"/>
  <c r="T153" i="1"/>
  <c r="X153" i="1"/>
  <c r="X224" i="1"/>
  <c r="AA204" i="1"/>
  <c r="AA203" i="1"/>
  <c r="AA202" i="1"/>
  <c r="AA189" i="1"/>
  <c r="AA188" i="1"/>
  <c r="AA187" i="1"/>
  <c r="AA186" i="1"/>
  <c r="AA173" i="1"/>
  <c r="AA172" i="1"/>
  <c r="AA171" i="1"/>
  <c r="AA170" i="1"/>
  <c r="AA231" i="1"/>
  <c r="AA230" i="1"/>
  <c r="AA221" i="1"/>
  <c r="AA153" i="1"/>
  <c r="AA140" i="1"/>
  <c r="W140" i="1" s="1"/>
  <c r="AA132" i="1"/>
  <c r="AA112" i="1"/>
  <c r="T112" i="1"/>
  <c r="X109" i="1"/>
  <c r="T109" i="1"/>
  <c r="AA98" i="1"/>
  <c r="T98" i="1"/>
  <c r="X98" i="1"/>
  <c r="AA217" i="1"/>
  <c r="AA216" i="1"/>
  <c r="AA215" i="1"/>
  <c r="AA214" i="1"/>
  <c r="AA155" i="1"/>
  <c r="T149" i="1"/>
  <c r="X149" i="1"/>
  <c r="AA144" i="1"/>
  <c r="AA136" i="1"/>
  <c r="AA128" i="1"/>
  <c r="X127" i="1"/>
  <c r="AA121" i="1"/>
  <c r="AA115" i="1"/>
  <c r="X107" i="1"/>
  <c r="X99" i="1"/>
  <c r="T58" i="1"/>
  <c r="X58" i="1"/>
  <c r="AA14" i="1"/>
  <c r="X88" i="1"/>
  <c r="X82" i="1"/>
  <c r="X72" i="1"/>
  <c r="X52" i="1"/>
  <c r="AA47" i="1"/>
  <c r="AA46" i="1"/>
  <c r="W46" i="1" s="1"/>
  <c r="AA45" i="1"/>
  <c r="AA44" i="1"/>
  <c r="AA43" i="1"/>
  <c r="X35" i="1"/>
  <c r="AA229" i="1"/>
  <c r="AA228" i="1"/>
  <c r="AA209" i="1"/>
  <c r="AA159" i="1"/>
  <c r="AA158" i="1"/>
  <c r="AA157" i="1"/>
  <c r="X125" i="1"/>
  <c r="AA119" i="1"/>
  <c r="AA113" i="1"/>
  <c r="X102" i="1"/>
  <c r="X101" i="1"/>
  <c r="AA100" i="1"/>
  <c r="AA95" i="1"/>
  <c r="AA94" i="1"/>
  <c r="T93" i="1"/>
  <c r="X92" i="1"/>
  <c r="AA89" i="1"/>
  <c r="X86" i="1"/>
  <c r="X85" i="1"/>
  <c r="AA84" i="1"/>
  <c r="AA79" i="1"/>
  <c r="AA78" i="1"/>
  <c r="T77" i="1"/>
  <c r="X76" i="1"/>
  <c r="AA73" i="1"/>
  <c r="X70" i="1"/>
  <c r="AA59" i="1"/>
  <c r="AA58" i="1"/>
  <c r="X49" i="1"/>
  <c r="AA42" i="1"/>
  <c r="AA41" i="1"/>
  <c r="U227" i="1"/>
  <c r="S227" i="1" s="1"/>
  <c r="AI233" i="1"/>
  <c r="U226" i="1"/>
  <c r="S226" i="1" s="1"/>
  <c r="AI232" i="1"/>
  <c r="U225" i="1"/>
  <c r="S225" i="1" s="1"/>
  <c r="AI231" i="1"/>
  <c r="U224" i="1"/>
  <c r="S224" i="1" s="1"/>
  <c r="AI230" i="1"/>
  <c r="AI229" i="1"/>
  <c r="U222" i="1"/>
  <c r="S222" i="1" s="1"/>
  <c r="AI228" i="1"/>
  <c r="U208" i="1"/>
  <c r="S208" i="1" s="1"/>
  <c r="AI227" i="1"/>
  <c r="U207" i="1"/>
  <c r="S207" i="1" s="1"/>
  <c r="AI226" i="1"/>
  <c r="U206" i="1"/>
  <c r="S206" i="1" s="1"/>
  <c r="AI225" i="1"/>
  <c r="U205" i="1"/>
  <c r="S205" i="1" s="1"/>
  <c r="AI224" i="1"/>
  <c r="U204" i="1"/>
  <c r="S204" i="1" s="1"/>
  <c r="AI223" i="1"/>
  <c r="U203" i="1"/>
  <c r="S203" i="1" s="1"/>
  <c r="AI222" i="1"/>
  <c r="U202" i="1"/>
  <c r="S202" i="1" s="1"/>
  <c r="AI221" i="1"/>
  <c r="U201" i="1"/>
  <c r="S201" i="1" s="1"/>
  <c r="AI220" i="1"/>
  <c r="U200" i="1"/>
  <c r="S200" i="1"/>
  <c r="AI219" i="1"/>
  <c r="U199" i="1"/>
  <c r="S199" i="1" s="1"/>
  <c r="AI218" i="1"/>
  <c r="U198" i="1"/>
  <c r="S198" i="1" s="1"/>
  <c r="AI217" i="1"/>
  <c r="U197" i="1"/>
  <c r="S197" i="1" s="1"/>
  <c r="AI216" i="1"/>
  <c r="U196" i="1"/>
  <c r="S196" i="1" s="1"/>
  <c r="AI215" i="1"/>
  <c r="U195" i="1"/>
  <c r="S195" i="1" s="1"/>
  <c r="AI214" i="1"/>
  <c r="U194" i="1"/>
  <c r="S194" i="1" s="1"/>
  <c r="AI213" i="1"/>
  <c r="U193" i="1"/>
  <c r="S193" i="1" s="1"/>
  <c r="AI212" i="1"/>
  <c r="U192" i="1"/>
  <c r="S192" i="1" s="1"/>
  <c r="AI211" i="1"/>
  <c r="U191" i="1"/>
  <c r="S191" i="1"/>
  <c r="AI210" i="1"/>
  <c r="U190" i="1"/>
  <c r="S190" i="1" s="1"/>
  <c r="AI209" i="1"/>
  <c r="U189" i="1"/>
  <c r="S189" i="1" s="1"/>
  <c r="AI208" i="1"/>
  <c r="U188" i="1"/>
  <c r="S188" i="1" s="1"/>
  <c r="AI207" i="1"/>
  <c r="U187" i="1"/>
  <c r="S187" i="1" s="1"/>
  <c r="AI206" i="1"/>
  <c r="U186" i="1"/>
  <c r="S186" i="1" s="1"/>
  <c r="AI205" i="1"/>
  <c r="U185" i="1"/>
  <c r="S185" i="1" s="1"/>
  <c r="AI204" i="1"/>
  <c r="U184" i="1"/>
  <c r="S184" i="1" s="1"/>
  <c r="AI203" i="1"/>
  <c r="U183" i="1"/>
  <c r="S183" i="1" s="1"/>
  <c r="AI202" i="1"/>
  <c r="U182" i="1"/>
  <c r="S182" i="1" s="1"/>
  <c r="AI201" i="1"/>
  <c r="U181" i="1"/>
  <c r="S181" i="1" s="1"/>
  <c r="AI200" i="1"/>
  <c r="U180" i="1"/>
  <c r="S180" i="1" s="1"/>
  <c r="AI199" i="1"/>
  <c r="U179" i="1"/>
  <c r="S179" i="1" s="1"/>
  <c r="AI198" i="1"/>
  <c r="U178" i="1"/>
  <c r="S178" i="1" s="1"/>
  <c r="AI197" i="1"/>
  <c r="U177" i="1"/>
  <c r="S177" i="1" s="1"/>
  <c r="AI196" i="1"/>
  <c r="U176" i="1"/>
  <c r="S176" i="1" s="1"/>
  <c r="AI195" i="1"/>
  <c r="U175" i="1"/>
  <c r="S175" i="1" s="1"/>
  <c r="AI194" i="1"/>
  <c r="U174" i="1"/>
  <c r="AI193" i="1"/>
  <c r="S174" i="1"/>
  <c r="U173" i="1"/>
  <c r="S173" i="1" s="1"/>
  <c r="AI192" i="1"/>
  <c r="U172" i="1"/>
  <c r="S172" i="1" s="1"/>
  <c r="AI191" i="1"/>
  <c r="U171" i="1"/>
  <c r="S171" i="1" s="1"/>
  <c r="AI190" i="1"/>
  <c r="U170" i="1"/>
  <c r="S170" i="1" s="1"/>
  <c r="AI189" i="1"/>
  <c r="U169" i="1"/>
  <c r="S169" i="1" s="1"/>
  <c r="AI188" i="1"/>
  <c r="U168" i="1"/>
  <c r="S168" i="1" s="1"/>
  <c r="AI187" i="1"/>
  <c r="U167" i="1"/>
  <c r="S167" i="1"/>
  <c r="AI186" i="1"/>
  <c r="U166" i="1"/>
  <c r="S166" i="1" s="1"/>
  <c r="AI185" i="1"/>
  <c r="U165" i="1"/>
  <c r="S165" i="1" s="1"/>
  <c r="AI184" i="1"/>
  <c r="U164" i="1"/>
  <c r="S164" i="1" s="1"/>
  <c r="AI183" i="1"/>
  <c r="U163" i="1"/>
  <c r="S163" i="1" s="1"/>
  <c r="AI182" i="1"/>
  <c r="U162" i="1"/>
  <c r="S162" i="1" s="1"/>
  <c r="AI181" i="1"/>
  <c r="U161" i="1"/>
  <c r="S161" i="1" s="1"/>
  <c r="AI180" i="1"/>
  <c r="U160" i="1"/>
  <c r="S160" i="1" s="1"/>
  <c r="AI179" i="1"/>
  <c r="U233" i="1"/>
  <c r="S233" i="1" s="1"/>
  <c r="AI178" i="1"/>
  <c r="U232" i="1"/>
  <c r="S232" i="1" s="1"/>
  <c r="AI177" i="1"/>
  <c r="U231" i="1"/>
  <c r="S231" i="1" s="1"/>
  <c r="AI176" i="1"/>
  <c r="U230" i="1"/>
  <c r="S230" i="1" s="1"/>
  <c r="AI175" i="1"/>
  <c r="U229" i="1"/>
  <c r="S229" i="1"/>
  <c r="AI174" i="1"/>
  <c r="U228" i="1"/>
  <c r="S228" i="1" s="1"/>
  <c r="AI173" i="1"/>
  <c r="U221" i="1"/>
  <c r="S221" i="1" s="1"/>
  <c r="AI172" i="1"/>
  <c r="U220" i="1"/>
  <c r="S220" i="1" s="1"/>
  <c r="AI171" i="1"/>
  <c r="U219" i="1"/>
  <c r="S219" i="1" s="1"/>
  <c r="AI170" i="1"/>
  <c r="U218" i="1"/>
  <c r="S218" i="1" s="1"/>
  <c r="AI169" i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U211" i="1"/>
  <c r="S211" i="1" s="1"/>
  <c r="AI162" i="1"/>
  <c r="U210" i="1"/>
  <c r="S210" i="1" s="1"/>
  <c r="AI161" i="1"/>
  <c r="U209" i="1"/>
  <c r="S209" i="1" s="1"/>
  <c r="AI160" i="1"/>
  <c r="U159" i="1"/>
  <c r="S159" i="1" s="1"/>
  <c r="AI159" i="1"/>
  <c r="U158" i="1"/>
  <c r="S158" i="1" s="1"/>
  <c r="AI158" i="1"/>
  <c r="U157" i="1"/>
  <c r="S157" i="1" s="1"/>
  <c r="AI157" i="1"/>
  <c r="U156" i="1"/>
  <c r="S156" i="1" s="1"/>
  <c r="AI156" i="1"/>
  <c r="U155" i="1"/>
  <c r="S155" i="1" s="1"/>
  <c r="AI155" i="1"/>
  <c r="U154" i="1"/>
  <c r="S154" i="1" s="1"/>
  <c r="AI154" i="1"/>
  <c r="U153" i="1"/>
  <c r="AI153" i="1"/>
  <c r="S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68" i="1"/>
  <c r="W68" i="1"/>
  <c r="AI66" i="1"/>
  <c r="U66" i="1"/>
  <c r="S66" i="1" s="1"/>
  <c r="W66" i="1"/>
  <c r="AI127" i="1"/>
  <c r="U126" i="1"/>
  <c r="S126" i="1" s="1"/>
  <c r="AI126" i="1"/>
  <c r="U125" i="1"/>
  <c r="S125" i="1" s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U117" i="1"/>
  <c r="S117" i="1" s="1"/>
  <c r="AI117" i="1"/>
  <c r="U116" i="1"/>
  <c r="S116" i="1" s="1"/>
  <c r="AI116" i="1"/>
  <c r="AI115" i="1"/>
  <c r="U114" i="1"/>
  <c r="S114" i="1" s="1"/>
  <c r="AI114" i="1"/>
  <c r="AI113" i="1"/>
  <c r="U112" i="1"/>
  <c r="S112" i="1" s="1"/>
  <c r="AI112" i="1"/>
  <c r="AI111" i="1"/>
  <c r="U110" i="1"/>
  <c r="S110" i="1" s="1"/>
  <c r="AI110" i="1"/>
  <c r="U109" i="1"/>
  <c r="S109" i="1" s="1"/>
  <c r="AI109" i="1"/>
  <c r="U108" i="1"/>
  <c r="S108" i="1" s="1"/>
  <c r="AI108" i="1"/>
  <c r="AI107" i="1"/>
  <c r="U106" i="1"/>
  <c r="AI106" i="1"/>
  <c r="AI105" i="1"/>
  <c r="U104" i="1"/>
  <c r="S104" i="1" s="1"/>
  <c r="AI104" i="1"/>
  <c r="AI103" i="1"/>
  <c r="U102" i="1"/>
  <c r="S102" i="1" s="1"/>
  <c r="AI102" i="1"/>
  <c r="U101" i="1"/>
  <c r="S101" i="1" s="1"/>
  <c r="AI101" i="1"/>
  <c r="U100" i="1"/>
  <c r="S100" i="1" s="1"/>
  <c r="AI100" i="1"/>
  <c r="AI99" i="1"/>
  <c r="U98" i="1"/>
  <c r="S98" i="1" s="1"/>
  <c r="AI98" i="1"/>
  <c r="U97" i="1"/>
  <c r="S97" i="1" s="1"/>
  <c r="AI97" i="1"/>
  <c r="U96" i="1"/>
  <c r="S96" i="1" s="1"/>
  <c r="AI96" i="1"/>
  <c r="AI95" i="1"/>
  <c r="U94" i="1"/>
  <c r="S94" i="1" s="1"/>
  <c r="AI94" i="1"/>
  <c r="U93" i="1"/>
  <c r="S93" i="1" s="1"/>
  <c r="AI93" i="1"/>
  <c r="U92" i="1"/>
  <c r="S92" i="1" s="1"/>
  <c r="AI92" i="1"/>
  <c r="AI91" i="1"/>
  <c r="U90" i="1"/>
  <c r="S90" i="1" s="1"/>
  <c r="AI90" i="1"/>
  <c r="U89" i="1"/>
  <c r="S89" i="1" s="1"/>
  <c r="AI89" i="1"/>
  <c r="U88" i="1"/>
  <c r="S88" i="1" s="1"/>
  <c r="AI88" i="1"/>
  <c r="AI87" i="1"/>
  <c r="U86" i="1"/>
  <c r="S86" i="1" s="1"/>
  <c r="AI86" i="1"/>
  <c r="U85" i="1"/>
  <c r="S85" i="1" s="1"/>
  <c r="AI85" i="1"/>
  <c r="AI84" i="1"/>
  <c r="AI83" i="1"/>
  <c r="U82" i="1"/>
  <c r="S82" i="1" s="1"/>
  <c r="AI82" i="1"/>
  <c r="U81" i="1"/>
  <c r="S81" i="1" s="1"/>
  <c r="AI81" i="1"/>
  <c r="U80" i="1"/>
  <c r="S80" i="1" s="1"/>
  <c r="AI80" i="1"/>
  <c r="AI79" i="1"/>
  <c r="U78" i="1"/>
  <c r="S78" i="1"/>
  <c r="AI78" i="1"/>
  <c r="U77" i="1"/>
  <c r="S77" i="1" s="1"/>
  <c r="AI77" i="1"/>
  <c r="U76" i="1"/>
  <c r="S76" i="1" s="1"/>
  <c r="AI76" i="1"/>
  <c r="AI75" i="1"/>
  <c r="U74" i="1"/>
  <c r="S74" i="1"/>
  <c r="AI74" i="1"/>
  <c r="AI73" i="1"/>
  <c r="U72" i="1"/>
  <c r="S72" i="1" s="1"/>
  <c r="AI72" i="1"/>
  <c r="AI71" i="1"/>
  <c r="U70" i="1"/>
  <c r="S70" i="1" s="1"/>
  <c r="AI70" i="1"/>
  <c r="AI69" i="1"/>
  <c r="AI67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U54" i="1"/>
  <c r="S54" i="1" s="1"/>
  <c r="AI54" i="1"/>
  <c r="AI53" i="1"/>
  <c r="U52" i="1"/>
  <c r="S52" i="1" s="1"/>
  <c r="AI52" i="1"/>
  <c r="AI51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U43" i="1"/>
  <c r="S43" i="1" s="1"/>
  <c r="AI43" i="1"/>
  <c r="AI42" i="1"/>
  <c r="U41" i="1"/>
  <c r="S41" i="1" s="1"/>
  <c r="AI41" i="1"/>
  <c r="AI40" i="1"/>
  <c r="U39" i="1"/>
  <c r="S39" i="1" s="1"/>
  <c r="AI39" i="1"/>
  <c r="AI38" i="1"/>
  <c r="U37" i="1"/>
  <c r="S37" i="1" s="1"/>
  <c r="AI37" i="1"/>
  <c r="AI36" i="1"/>
  <c r="U35" i="1"/>
  <c r="S35" i="1" s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3" i="1"/>
  <c r="W207" i="1"/>
  <c r="W120" i="1"/>
  <c r="W226" i="1"/>
  <c r="W208" i="1"/>
  <c r="W205" i="1"/>
  <c r="W108" i="1"/>
  <c r="W227" i="1"/>
  <c r="W224" i="1"/>
  <c r="W206" i="1"/>
  <c r="W116" i="1"/>
  <c r="W104" i="1"/>
  <c r="W225" i="1"/>
  <c r="W222" i="1"/>
  <c r="W124" i="1"/>
  <c r="W112" i="1"/>
  <c r="W196" i="1"/>
  <c r="W192" i="1"/>
  <c r="W164" i="1"/>
  <c r="W216" i="1"/>
  <c r="W135" i="1"/>
  <c r="W127" i="1"/>
  <c r="W126" i="1"/>
  <c r="W119" i="1"/>
  <c r="W118" i="1"/>
  <c r="W111" i="1"/>
  <c r="W110" i="1"/>
  <c r="W103" i="1"/>
  <c r="W97" i="1"/>
  <c r="W87" i="1"/>
  <c r="W81" i="1"/>
  <c r="W71" i="1"/>
  <c r="W56" i="1"/>
  <c r="W54" i="1"/>
  <c r="W39" i="1"/>
  <c r="W37" i="1"/>
  <c r="R32" i="3"/>
  <c r="X203" i="1"/>
  <c r="W201" i="1"/>
  <c r="X199" i="1"/>
  <c r="W197" i="1"/>
  <c r="X195" i="1"/>
  <c r="W193" i="1"/>
  <c r="X191" i="1"/>
  <c r="W189" i="1"/>
  <c r="X187" i="1"/>
  <c r="W185" i="1"/>
  <c r="X183" i="1"/>
  <c r="W181" i="1"/>
  <c r="X179" i="1"/>
  <c r="W177" i="1"/>
  <c r="X175" i="1"/>
  <c r="W173" i="1"/>
  <c r="X171" i="1"/>
  <c r="W169" i="1"/>
  <c r="X167" i="1"/>
  <c r="W165" i="1"/>
  <c r="X163" i="1"/>
  <c r="W161" i="1"/>
  <c r="X233" i="1"/>
  <c r="W231" i="1"/>
  <c r="X229" i="1"/>
  <c r="W221" i="1"/>
  <c r="X219" i="1"/>
  <c r="W217" i="1"/>
  <c r="X215" i="1"/>
  <c r="W213" i="1"/>
  <c r="X211" i="1"/>
  <c r="W209" i="1"/>
  <c r="X158" i="1"/>
  <c r="W156" i="1"/>
  <c r="X154" i="1"/>
  <c r="W152" i="1"/>
  <c r="X150" i="1"/>
  <c r="W148" i="1"/>
  <c r="X146" i="1"/>
  <c r="W142" i="1"/>
  <c r="W138" i="1"/>
  <c r="W134" i="1"/>
  <c r="W130" i="1"/>
  <c r="X122" i="1"/>
  <c r="X114" i="1"/>
  <c r="X106" i="1"/>
  <c r="W101" i="1"/>
  <c r="W91" i="1"/>
  <c r="W85" i="1"/>
  <c r="W75" i="1"/>
  <c r="W69" i="1"/>
  <c r="W67" i="1"/>
  <c r="W200" i="1"/>
  <c r="W188" i="1"/>
  <c r="W176" i="1"/>
  <c r="W220" i="1"/>
  <c r="W139" i="1"/>
  <c r="W131" i="1"/>
  <c r="X204" i="1"/>
  <c r="W202" i="1"/>
  <c r="X200" i="1"/>
  <c r="W198" i="1"/>
  <c r="X196" i="1"/>
  <c r="X188" i="1"/>
  <c r="W186" i="1"/>
  <c r="X184" i="1"/>
  <c r="X176" i="1"/>
  <c r="X172" i="1"/>
  <c r="X164" i="1"/>
  <c r="X230" i="1"/>
  <c r="W228" i="1"/>
  <c r="X220" i="1"/>
  <c r="X216" i="1"/>
  <c r="W210" i="1"/>
  <c r="X159" i="1"/>
  <c r="W153" i="1"/>
  <c r="X151" i="1"/>
  <c r="W145" i="1"/>
  <c r="W141" i="1"/>
  <c r="W137" i="1"/>
  <c r="W123" i="1"/>
  <c r="W122" i="1"/>
  <c r="T121" i="1"/>
  <c r="U121" i="1" s="1"/>
  <c r="S121" i="1" s="1"/>
  <c r="W204" i="1"/>
  <c r="W184" i="1"/>
  <c r="W180" i="1"/>
  <c r="W172" i="1"/>
  <c r="W168" i="1"/>
  <c r="W160" i="1"/>
  <c r="W230" i="1"/>
  <c r="W212" i="1"/>
  <c r="W159" i="1"/>
  <c r="W155" i="1"/>
  <c r="W151" i="1"/>
  <c r="W147" i="1"/>
  <c r="W143" i="1"/>
  <c r="X192" i="1"/>
  <c r="W190" i="1"/>
  <c r="W182" i="1"/>
  <c r="X180" i="1"/>
  <c r="W178" i="1"/>
  <c r="W174" i="1"/>
  <c r="W170" i="1"/>
  <c r="X168" i="1"/>
  <c r="W166" i="1"/>
  <c r="W162" i="1"/>
  <c r="X160" i="1"/>
  <c r="W232" i="1"/>
  <c r="W218" i="1"/>
  <c r="W214" i="1"/>
  <c r="X212" i="1"/>
  <c r="W157" i="1"/>
  <c r="X155" i="1"/>
  <c r="W149" i="1"/>
  <c r="X147" i="1"/>
  <c r="W133" i="1"/>
  <c r="W129" i="1"/>
  <c r="W115" i="1"/>
  <c r="W114" i="1"/>
  <c r="T113" i="1"/>
  <c r="U113" i="1" s="1"/>
  <c r="S113" i="1" s="1"/>
  <c r="W107" i="1"/>
  <c r="W106" i="1"/>
  <c r="T105" i="1"/>
  <c r="U105" i="1" s="1"/>
  <c r="S105" i="1" s="1"/>
  <c r="W95" i="1"/>
  <c r="W89" i="1"/>
  <c r="W79" i="1"/>
  <c r="W73" i="1"/>
  <c r="W64" i="1"/>
  <c r="W62" i="1"/>
  <c r="W47" i="1"/>
  <c r="W45" i="1"/>
  <c r="W203" i="1"/>
  <c r="X201" i="1"/>
  <c r="W199" i="1"/>
  <c r="X197" i="1"/>
  <c r="W195" i="1"/>
  <c r="X193" i="1"/>
  <c r="W191" i="1"/>
  <c r="X189" i="1"/>
  <c r="W187" i="1"/>
  <c r="X185" i="1"/>
  <c r="W183" i="1"/>
  <c r="X181" i="1"/>
  <c r="W179" i="1"/>
  <c r="X177" i="1"/>
  <c r="W175" i="1"/>
  <c r="X173" i="1"/>
  <c r="W171" i="1"/>
  <c r="X169" i="1"/>
  <c r="W167" i="1"/>
  <c r="X165" i="1"/>
  <c r="W163" i="1"/>
  <c r="X161" i="1"/>
  <c r="W233" i="1"/>
  <c r="X231" i="1"/>
  <c r="W229" i="1"/>
  <c r="X221" i="1"/>
  <c r="W219" i="1"/>
  <c r="X217" i="1"/>
  <c r="W215" i="1"/>
  <c r="X213" i="1"/>
  <c r="W211" i="1"/>
  <c r="X209" i="1"/>
  <c r="W158" i="1"/>
  <c r="X156" i="1"/>
  <c r="W154" i="1"/>
  <c r="X152" i="1"/>
  <c r="W150" i="1"/>
  <c r="X148" i="1"/>
  <c r="W146" i="1"/>
  <c r="W144" i="1"/>
  <c r="W136" i="1"/>
  <c r="W132" i="1"/>
  <c r="W128" i="1"/>
  <c r="X126" i="1"/>
  <c r="X118" i="1"/>
  <c r="X110" i="1"/>
  <c r="W99" i="1"/>
  <c r="W93" i="1"/>
  <c r="W83" i="1"/>
  <c r="W77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3" i="1"/>
  <c r="U123" i="1" s="1"/>
  <c r="S123" i="1" s="1"/>
  <c r="W121" i="1"/>
  <c r="T115" i="1"/>
  <c r="U115" i="1" s="1"/>
  <c r="S115" i="1" s="1"/>
  <c r="W113" i="1"/>
  <c r="T107" i="1"/>
  <c r="U107" i="1" s="1"/>
  <c r="S107" i="1" s="1"/>
  <c r="W105" i="1"/>
  <c r="T67" i="1"/>
  <c r="U67" i="1" s="1"/>
  <c r="S67" i="1" s="1"/>
  <c r="X67" i="1"/>
  <c r="T63" i="1"/>
  <c r="U63" i="1" s="1"/>
  <c r="S63" i="1" s="1"/>
  <c r="X63" i="1"/>
  <c r="X64" i="1"/>
  <c r="T53" i="1"/>
  <c r="U53" i="1" s="1"/>
  <c r="S53" i="1" s="1"/>
  <c r="X53" i="1"/>
  <c r="X54" i="1"/>
  <c r="T46" i="1"/>
  <c r="U46" i="1" s="1"/>
  <c r="S46" i="1" s="1"/>
  <c r="X46" i="1"/>
  <c r="X47" i="1"/>
  <c r="T36" i="1"/>
  <c r="U36" i="1" s="1"/>
  <c r="S36" i="1" s="1"/>
  <c r="X36" i="1"/>
  <c r="X37" i="1"/>
  <c r="T127" i="1"/>
  <c r="U127" i="1" s="1"/>
  <c r="S127" i="1" s="1"/>
  <c r="W125" i="1"/>
  <c r="T119" i="1"/>
  <c r="U119" i="1" s="1"/>
  <c r="S119" i="1" s="1"/>
  <c r="W117" i="1"/>
  <c r="T111" i="1"/>
  <c r="U111" i="1" s="1"/>
  <c r="S111" i="1" s="1"/>
  <c r="W109" i="1"/>
  <c r="T103" i="1"/>
  <c r="U103" i="1" s="1"/>
  <c r="S103" i="1" s="1"/>
  <c r="T99" i="1"/>
  <c r="U99" i="1" s="1"/>
  <c r="S99" i="1" s="1"/>
  <c r="T95" i="1"/>
  <c r="U95" i="1" s="1"/>
  <c r="S95" i="1" s="1"/>
  <c r="T91" i="1"/>
  <c r="U91" i="1" s="1"/>
  <c r="S91" i="1" s="1"/>
  <c r="T87" i="1"/>
  <c r="U87" i="1" s="1"/>
  <c r="S87" i="1" s="1"/>
  <c r="T83" i="1"/>
  <c r="U83" i="1" s="1"/>
  <c r="S83" i="1" s="1"/>
  <c r="T79" i="1"/>
  <c r="U79" i="1" s="1"/>
  <c r="S79" i="1" s="1"/>
  <c r="T75" i="1"/>
  <c r="U75" i="1" s="1"/>
  <c r="S75" i="1" s="1"/>
  <c r="T71" i="1"/>
  <c r="U71" i="1" s="1"/>
  <c r="S71" i="1" s="1"/>
  <c r="T69" i="1"/>
  <c r="U69" i="1" s="1"/>
  <c r="S69" i="1" s="1"/>
  <c r="X69" i="1"/>
  <c r="T61" i="1"/>
  <c r="U61" i="1" s="1"/>
  <c r="S61" i="1" s="1"/>
  <c r="X61" i="1"/>
  <c r="X62" i="1"/>
  <c r="T55" i="1"/>
  <c r="U55" i="1" s="1"/>
  <c r="S55" i="1" s="1"/>
  <c r="X55" i="1"/>
  <c r="X56" i="1"/>
  <c r="T44" i="1"/>
  <c r="U44" i="1" s="1"/>
  <c r="S44" i="1" s="1"/>
  <c r="X44" i="1"/>
  <c r="X45" i="1"/>
  <c r="T38" i="1"/>
  <c r="U38" i="1" s="1"/>
  <c r="S38" i="1" s="1"/>
  <c r="X38" i="1"/>
  <c r="X39" i="1"/>
  <c r="W102" i="1"/>
  <c r="W100" i="1"/>
  <c r="W98" i="1"/>
  <c r="W96" i="1"/>
  <c r="W94" i="1"/>
  <c r="W92" i="1"/>
  <c r="W90" i="1"/>
  <c r="W88" i="1"/>
  <c r="W86" i="1"/>
  <c r="W84" i="1"/>
  <c r="W82" i="1"/>
  <c r="W80" i="1"/>
  <c r="W78" i="1"/>
  <c r="W76" i="1"/>
  <c r="W74" i="1"/>
  <c r="W72" i="1"/>
  <c r="W70" i="1"/>
  <c r="T65" i="1"/>
  <c r="U65" i="1" s="1"/>
  <c r="S65" i="1" s="1"/>
  <c r="X65" i="1"/>
  <c r="W58" i="1"/>
  <c r="T57" i="1"/>
  <c r="U57" i="1" s="1"/>
  <c r="S57" i="1" s="1"/>
  <c r="X57" i="1"/>
  <c r="W49" i="1"/>
  <c r="T48" i="1"/>
  <c r="U48" i="1" s="1"/>
  <c r="S48" i="1" s="1"/>
  <c r="X48" i="1"/>
  <c r="W41" i="1"/>
  <c r="T40" i="1"/>
  <c r="U40" i="1" s="1"/>
  <c r="S40" i="1" s="1"/>
  <c r="X40" i="1"/>
  <c r="T68" i="1"/>
  <c r="U68" i="1" s="1"/>
  <c r="S68" i="1" s="1"/>
  <c r="X68" i="1"/>
  <c r="W60" i="1"/>
  <c r="T59" i="1"/>
  <c r="U59" i="1" s="1"/>
  <c r="S59" i="1" s="1"/>
  <c r="X59" i="1"/>
  <c r="W52" i="1"/>
  <c r="T51" i="1"/>
  <c r="U51" i="1" s="1"/>
  <c r="S51" i="1" s="1"/>
  <c r="W43" i="1"/>
  <c r="T42" i="1"/>
  <c r="U42" i="1" s="1"/>
  <c r="S42" i="1" s="1"/>
  <c r="X42" i="1"/>
  <c r="W35" i="1"/>
  <c r="T34" i="1"/>
  <c r="U34" i="1" s="1"/>
  <c r="S34" i="1" s="1"/>
  <c r="X34" i="1"/>
  <c r="X33" i="1"/>
  <c r="T33" i="1"/>
  <c r="U33" i="1" s="1"/>
  <c r="S33" i="1" s="1"/>
  <c r="T32" i="1"/>
  <c r="U32" i="1" s="1"/>
  <c r="S32" i="1" s="1"/>
  <c r="X32" i="1"/>
  <c r="X31" i="1"/>
  <c r="T31" i="1"/>
  <c r="U31" i="1" s="1"/>
  <c r="S31" i="1" s="1"/>
  <c r="T30" i="1"/>
  <c r="U30" i="1" s="1"/>
  <c r="S30" i="1" s="1"/>
  <c r="X30" i="1"/>
  <c r="X29" i="1"/>
  <c r="T29" i="1"/>
  <c r="U29" i="1" s="1"/>
  <c r="S29" i="1" s="1"/>
  <c r="T28" i="1"/>
  <c r="U28" i="1" s="1"/>
  <c r="S28" i="1" s="1"/>
  <c r="X28" i="1"/>
  <c r="X27" i="1"/>
  <c r="T27" i="1"/>
  <c r="U27" i="1" s="1"/>
  <c r="S27" i="1" s="1"/>
  <c r="T26" i="1"/>
  <c r="U26" i="1" s="1"/>
  <c r="S26" i="1" s="1"/>
  <c r="X26" i="1"/>
  <c r="X25" i="1"/>
  <c r="T25" i="1"/>
  <c r="U25" i="1" s="1"/>
  <c r="S25" i="1" s="1"/>
  <c r="T24" i="1"/>
  <c r="U24" i="1" s="1"/>
  <c r="S24" i="1" s="1"/>
  <c r="X24" i="1"/>
  <c r="X23" i="1"/>
  <c r="T23" i="1"/>
  <c r="U23" i="1" s="1"/>
  <c r="S23" i="1" s="1"/>
  <c r="T22" i="1"/>
  <c r="U22" i="1" s="1"/>
  <c r="S22" i="1" s="1"/>
  <c r="X22" i="1"/>
  <c r="X21" i="1"/>
  <c r="T21" i="1"/>
  <c r="U21" i="1" s="1"/>
  <c r="S21" i="1" s="1"/>
  <c r="T20" i="1"/>
  <c r="U20" i="1" s="1"/>
  <c r="S20" i="1" s="1"/>
  <c r="X20" i="1"/>
  <c r="X19" i="1"/>
  <c r="T19" i="1"/>
  <c r="U19" i="1" s="1"/>
  <c r="S19" i="1" s="1"/>
  <c r="T18" i="1"/>
  <c r="U18" i="1" s="1"/>
  <c r="S18" i="1" s="1"/>
  <c r="X18" i="1"/>
  <c r="X17" i="1"/>
  <c r="T17" i="1"/>
  <c r="U17" i="1" s="1"/>
  <c r="S17" i="1" s="1"/>
  <c r="T16" i="1"/>
  <c r="U16" i="1" s="1"/>
  <c r="S16" i="1" s="1"/>
  <c r="X16" i="1"/>
  <c r="X15" i="1"/>
  <c r="T15" i="1"/>
  <c r="U15" i="1" s="1"/>
  <c r="S15" i="1" s="1"/>
  <c r="T14" i="1"/>
  <c r="U14" i="1" s="1"/>
  <c r="S14" i="1" s="1"/>
  <c r="W63" i="1"/>
  <c r="W59" i="1"/>
  <c r="W55" i="1"/>
  <c r="W51" i="1"/>
  <c r="W42" i="1"/>
  <c r="W38" i="1"/>
  <c r="W65" i="1"/>
  <c r="W61" i="1"/>
  <c r="W57" i="1"/>
  <c r="W53" i="1"/>
  <c r="W48" i="1"/>
  <c r="W44" i="1"/>
  <c r="W40" i="1"/>
  <c r="W36" i="1"/>
  <c r="W33" i="1"/>
  <c r="W31" i="1"/>
  <c r="W29" i="1"/>
  <c r="W27" i="1"/>
  <c r="W25" i="1"/>
  <c r="W23" i="1"/>
  <c r="W21" i="1"/>
  <c r="W19" i="1"/>
  <c r="W17" i="1"/>
  <c r="W15" i="1"/>
  <c r="X66" i="1"/>
  <c r="W34" i="1"/>
  <c r="W32" i="1"/>
  <c r="W30" i="1"/>
  <c r="W28" i="1"/>
  <c r="W26" i="1"/>
  <c r="W24" i="1"/>
  <c r="W22" i="1"/>
  <c r="W20" i="1"/>
  <c r="W18" i="1"/>
  <c r="W16" i="1"/>
  <c r="W14" i="1"/>
  <c r="AD11" i="3"/>
  <c r="AD27" i="3"/>
  <c r="AE31" i="3"/>
  <c r="AE19" i="3"/>
  <c r="AD9" i="3"/>
  <c r="AD37" i="3"/>
  <c r="AE35" i="3"/>
  <c r="AD31" i="3"/>
  <c r="AD29" i="3"/>
  <c r="AD24" i="3"/>
  <c r="AD20" i="3"/>
  <c r="AD19" i="3"/>
  <c r="AC29" i="3"/>
  <c r="AC25" i="3"/>
  <c r="AD12" i="3"/>
  <c r="AE11" i="3"/>
  <c r="AC12" i="3"/>
  <c r="AD8" i="3"/>
  <c r="AC9" i="3"/>
  <c r="AC24" i="3"/>
  <c r="AC8" i="3"/>
  <c r="AC34" i="3"/>
  <c r="AC27" i="3"/>
  <c r="AC22" i="3"/>
  <c r="AC11" i="3"/>
  <c r="AC32" i="3"/>
  <c r="T32" i="3"/>
  <c r="AC20" i="3"/>
  <c r="AC28" i="3"/>
  <c r="AC10" i="3"/>
  <c r="T10" i="3"/>
  <c r="AC18" i="3"/>
  <c r="AC37" i="3"/>
  <c r="AC30" i="3"/>
  <c r="AC23" i="3"/>
  <c r="AC17" i="3"/>
  <c r="Y18" i="3"/>
  <c r="Y34" i="3"/>
  <c r="Y33" i="3"/>
  <c r="Y23" i="3"/>
  <c r="Y11" i="3"/>
  <c r="Y24" i="3"/>
  <c r="Y32" i="3"/>
  <c r="Y13" i="3"/>
  <c r="Y37" i="3"/>
  <c r="Y10" i="3"/>
  <c r="Y29" i="3"/>
  <c r="Y17" i="3"/>
  <c r="Y31" i="3"/>
  <c r="Y7" i="3"/>
  <c r="Y36" i="3"/>
  <c r="Y26" i="3"/>
  <c r="Y19" i="3"/>
  <c r="Y21" i="3"/>
  <c r="Y14" i="3"/>
  <c r="Y28" i="3"/>
  <c r="Y15" i="3"/>
  <c r="Y27" i="3"/>
  <c r="Y8" i="3"/>
  <c r="Y20" i="3"/>
  <c r="Y35" i="3"/>
  <c r="Y30" i="3"/>
  <c r="Y22" i="3"/>
  <c r="Y9" i="3"/>
  <c r="Y25" i="3"/>
  <c r="Y12" i="3"/>
  <c r="AE22" i="3"/>
  <c r="T26" i="3"/>
  <c r="AD34" i="3"/>
  <c r="AD30" i="3"/>
  <c r="AD26" i="3"/>
  <c r="T30" i="3"/>
  <c r="AD22" i="3"/>
  <c r="AD18" i="3"/>
  <c r="AE17" i="3"/>
  <c r="T9" i="3"/>
  <c r="AD14" i="3"/>
  <c r="AE13" i="3"/>
  <c r="T25" i="3"/>
  <c r="AD10" i="3"/>
  <c r="AE9" i="3"/>
  <c r="T12" i="3"/>
  <c r="AE34" i="3"/>
  <c r="T31" i="3"/>
  <c r="AE30" i="3"/>
  <c r="T7" i="3"/>
  <c r="AE26" i="3"/>
  <c r="T36" i="3"/>
  <c r="AE18" i="3"/>
  <c r="T19" i="3"/>
  <c r="AE14" i="3"/>
  <c r="T21" i="3"/>
  <c r="AE10" i="3"/>
  <c r="T14" i="3"/>
  <c r="AE37" i="3"/>
  <c r="T8" i="3"/>
  <c r="AE33" i="3"/>
  <c r="T20" i="3"/>
  <c r="AE29" i="3"/>
  <c r="T35" i="3"/>
  <c r="AE25" i="3"/>
  <c r="AE21" i="3"/>
  <c r="T22" i="3"/>
  <c r="AE36" i="3"/>
  <c r="AE32" i="3"/>
  <c r="AE28" i="3"/>
  <c r="AE24" i="3"/>
  <c r="AE20" i="3"/>
  <c r="AE12" i="3"/>
  <c r="AE8" i="3"/>
  <c r="S16" i="3"/>
  <c r="R16" i="3"/>
  <c r="M16" i="3"/>
  <c r="U16" i="3"/>
  <c r="V16" i="3"/>
  <c r="X16" i="3"/>
  <c r="AC16" i="3" l="1"/>
  <c r="AD16" i="3"/>
  <c r="AE16" i="3"/>
  <c r="W16" i="3"/>
  <c r="T16" i="3" l="1"/>
  <c r="Y16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15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N12" i="3" s="1"/>
  <c r="G67" i="4"/>
  <c r="G68" i="4"/>
  <c r="G69" i="4"/>
  <c r="G70" i="4"/>
  <c r="N14" i="3" s="1"/>
  <c r="G71" i="4"/>
  <c r="G72" i="4"/>
  <c r="G73" i="4"/>
  <c r="G74" i="4"/>
  <c r="G75" i="4"/>
  <c r="G76" i="4"/>
  <c r="G77" i="4"/>
  <c r="G78" i="4"/>
  <c r="N21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29" i="3" s="1"/>
  <c r="G107" i="4"/>
  <c r="G108" i="4"/>
  <c r="G109" i="4"/>
  <c r="G110" i="4"/>
  <c r="G111" i="4"/>
  <c r="G112" i="4"/>
  <c r="N11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10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30" i="3" s="1"/>
  <c r="G157" i="4"/>
  <c r="N33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28" i="3" s="1"/>
  <c r="G175" i="4"/>
  <c r="G176" i="4"/>
  <c r="N7" i="3" s="1"/>
  <c r="G177" i="4"/>
  <c r="G178" i="4"/>
  <c r="N35" i="3" s="1"/>
  <c r="G179" i="4"/>
  <c r="G180" i="4"/>
  <c r="G181" i="4"/>
  <c r="G182" i="4"/>
  <c r="G183" i="4"/>
  <c r="N13" i="3" s="1"/>
  <c r="G184" i="4"/>
  <c r="G185" i="4"/>
  <c r="G186" i="4"/>
  <c r="G187" i="4"/>
  <c r="G188" i="4"/>
  <c r="G189" i="4"/>
  <c r="G190" i="4"/>
  <c r="G191" i="4"/>
  <c r="N34" i="3" s="1"/>
  <c r="G192" i="4"/>
  <c r="G193" i="4"/>
  <c r="G194" i="4"/>
  <c r="G195" i="4"/>
  <c r="G196" i="4"/>
  <c r="G197" i="4"/>
  <c r="G198" i="4"/>
  <c r="G199" i="4"/>
  <c r="G200" i="4"/>
  <c r="G201" i="4"/>
  <c r="G202" i="4"/>
  <c r="N20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N18" i="3" s="1"/>
  <c r="G215" i="4"/>
  <c r="G216" i="4"/>
  <c r="G217" i="4"/>
  <c r="G218" i="4"/>
  <c r="G219" i="4"/>
  <c r="G220" i="4"/>
  <c r="G221" i="4"/>
  <c r="G222" i="4"/>
  <c r="G223" i="4"/>
  <c r="G2" i="4"/>
  <c r="N23" i="3" l="1"/>
  <c r="N22" i="3"/>
  <c r="N31" i="3"/>
  <c r="N32" i="3"/>
  <c r="N27" i="3"/>
  <c r="N26" i="3"/>
  <c r="N16" i="3"/>
  <c r="N19" i="3"/>
  <c r="N9" i="3"/>
  <c r="N37" i="3"/>
  <c r="N36" i="3"/>
  <c r="N25" i="3"/>
  <c r="N24" i="3"/>
  <c r="N1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<sst xmlns="http://schemas.openxmlformats.org/spreadsheetml/2006/main" count="2835" uniqueCount="1119">
  <si>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</si>
  <si>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</si>
  <si>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</si>
  <si>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</si>
  <si>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</si>
  <si>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</si>
  <si>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</si>
  <si>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</si>
  <si>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</si>
  <si>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</si>
  <si>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</si>
  <si>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</si>
  <si>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</si>
  <si>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</si>
  <si>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</si>
  <si>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</si>
  <si>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</si>
  <si>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</si>
  <si>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</si>
  <si>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</si>
  <si>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</si>
  <si>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</si>
  <si>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</si>
  <si>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</si>
  <si>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</si>
  <si>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</si>
  <si>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</si>
  <si>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</si>
  <si>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</si>
  <si>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</si>
  <si>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</si>
  <si>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</si>
  <si>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</si>
  <si>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</si>
  <si>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</si>
  <si>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</si>
  <si>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</si>
  <si>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</si>
  <si>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</si>
  <si>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</si>
  <si>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</si>
  <si>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</si>
  <si>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</si>
  <si>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</si>
  <si>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</si>
  <si>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</si>
  <si>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</si>
  <si>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</si>
  <si>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</si>
  <si>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</si>
  <si>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</si>
  <si>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</si>
  <si>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</si>
  <si>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</si>
  <si>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</si>
  <si>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</si>
  <si>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</si>
  <si>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</si>
  <si>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</si>
  <si>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</si>
  <si>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</si>
  <si>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</si>
  <si>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</si>
  <si>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</si>
  <si>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</si>
  <si>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</si>
  <si>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</si>
  <si>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</si>
  <si>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</si>
  <si>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</si>
  <si>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</si>
  <si>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</si>
  <si>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</si>
  <si>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</si>
  <si>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</si>
  <si>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</si>
  <si>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</si>
  <si>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</si>
  <si>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</si>
  <si>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</si>
  <si>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</si>
  <si>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</si>
  <si>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</si>
  <si>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</si>
  <si>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</si>
  <si>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</si>
  <si>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</si>
  <si>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</si>
  <si>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</si>
  <si>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</si>
  <si>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</si>
  <si>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</si>
  <si>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</si>
  <si>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</si>
  <si>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</si>
  <si>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</si>
  <si>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</si>
  <si>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</si>
  <si>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</si>
  <si>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</si>
  <si>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</si>
  <si>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</si>
  <si>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</si>
  <si>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</si>
  <si>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</si>
  <si>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</si>
  <si>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</si>
  <si>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</si>
  <si>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</si>
  <si>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</si>
  <si>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</si>
  <si>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</si>
  <si>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</si>
  <si>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</si>
  <si>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</si>
  <si>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</si>
  <si>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</si>
  <si>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</si>
  <si>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</si>
  <si>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</si>
  <si>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</si>
  <si>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</si>
  <si>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</si>
  <si>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</si>
  <si>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</si>
  <si>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</si>
  <si>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</si>
  <si>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</si>
  <si>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</si>
  <si>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</si>
  <si>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</si>
  <si>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</si>
  <si>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</si>
  <si>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</si>
  <si>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</si>
  <si>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</si>
  <si>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</si>
  <si>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</si>
  <si>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</si>
  <si>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</si>
  <si>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</si>
  <si>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</si>
  <si>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</si>
  <si>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</si>
  <si>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</si>
  <si>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</si>
  <si>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</si>
  <si>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</si>
  <si>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</si>
  <si>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</si>
  <si>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</si>
  <si>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</si>
  <si>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</si>
  <si>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</si>
  <si>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</si>
  <si>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</si>
  <si>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</si>
  <si>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</si>
  <si>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</si>
  <si>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</si>
  <si>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</si>
  <si>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</si>
  <si>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</si>
  <si>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</si>
  <si>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</si>
  <si>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</si>
  <si>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</si>
  <si>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</si>
  <si>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</si>
  <si>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</si>
  <si>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</si>
  <si>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</si>
  <si>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</si>
  <si>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</si>
  <si>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</si>
  <si>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</si>
  <si>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</si>
  <si>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</si>
  <si>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</si>
  <si>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</si>
  <si>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</si>
  <si>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</si>
  <si>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</si>
  <si>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</si>
  <si>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</si>
  <si>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</si>
  <si>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</si>
  <si>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</si>
  <si>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</si>
  <si>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</si>
  <si>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</si>
  <si>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</si>
  <si>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</si>
  <si>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</si>
  <si>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</si>
  <si>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</si>
  <si>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</si>
  <si>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</si>
  <si>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</si>
  <si>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</si>
  <si>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</si>
  <si>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</si>
  <si>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</si>
  <si>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</si>
  <si>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</si>
  <si>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</si>
  <si>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</si>
  <si>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</si>
  <si>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</si>
  <si>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</si>
  <si>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</si>
  <si>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</si>
  <si>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</si>
  <si>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</si>
  <si>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</si>
  <si>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</si>
  <si>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</si>
  <si>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</si>
  <si>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</si>
  <si>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</si>
  <si>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</si>
  <si>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</si>
  <si>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</si>
  <si>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</si>
  <si>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</si>
  <si>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</si>
  <si>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</si>
  <si>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</si>
  <si>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</si>
  <si>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</si>
  <si>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</si>
  <si>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</si>
  <si>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</si>
  <si>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</si>
  <si>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</si>
  <si>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</si>
  <si>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</si>
  <si>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</si>
  <si>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</si>
  <si>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</si>
  <si>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</si>
  <si>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</si>
  <si>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</si>
  <si>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</si>
  <si>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</si>
  <si>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</si>
  <si>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</si>
  <si>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</si>
  <si>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</si>
  <si>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</si>
  <si>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</si>
  <si>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</si>
  <si>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</si>
  <si>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</si>
  <si>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</si>
  <si>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</si>
  <si>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</si>
  <si>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</si>
  <si>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</si>
  <si>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</si>
  <si>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</si>
  <si>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</si>
  <si>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</si>
  <si>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</si>
  <si>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</si>
  <si>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</si>
  <si>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</si>
  <si>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</si>
  <si>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</si>
  <si>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</si>
  <si>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</si>
  <si>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</si>
  <si>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</si>
  <si>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</si>
  <si>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</si>
  <si>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</si>
  <si>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</si>
  <si>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</si>
  <si>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</si>
  <si>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</si>
  <si>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</si>
  <si>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</si>
  <si>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</si>
  <si>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</si>
  <si>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</si>
  <si>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</si>
  <si>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</si>
  <si>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</si>
  <si>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</si>
  <si>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</si>
  <si>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</si>
  <si>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</si>
  <si>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</si>
  <si>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</si>
  <si>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</si>
  <si>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</si>
  <si>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</si>
  <si>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</si>
  <si>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</si>
  <si>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</si>
  <si>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</si>
  <si>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</si>
  <si>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</si>
  <si>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</si>
  <si>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</si>
  <si>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</si>
  <si>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</si>
  <si>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</si>
  <si>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</si>
  <si>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</si>
  <si>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</si>
  <si>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</si>
  <si>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</si>
  <si>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</si>
  <si>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</si>
  <si>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</si>
  <si>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</si>
  <si>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</si>
  <si>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</si>
  <si>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</si>
  <si>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</si>
  <si>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</si>
  <si>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</si>
  <si>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</si>
  <si>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</si>
  <si>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</si>
  <si>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</si>
  <si>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</si>
  <si>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</si>
  <si>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</si>
  <si>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</si>
  <si>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</si>
  <si>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</si>
  <si>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</si>
  <si>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</si>
  <si>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</si>
  <si>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</si>
  <si>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</si>
  <si>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</si>
  <si>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</si>
  <si>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</si>
  <si>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</si>
  <si>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</si>
  <si>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</si>
  <si>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</si>
  <si>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</si>
  <si>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</si>
  <si>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</si>
  <si>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</si>
  <si>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</si>
  <si>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</si>
  <si>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</si>
  <si>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</si>
  <si>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</si>
  <si>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</si>
  <si>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</si>
  <si>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</si>
  <si>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</si>
  <si>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</si>
  <si>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</si>
  <si>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</si>
  <si>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</si>
  <si>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</si>
  <si>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</si>
  <si>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</si>
  <si>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</si>
  <si>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</si>
  <si>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</si>
  <si>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</si>
  <si>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</si>
  <si>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</si>
  <si>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</si>
  <si>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</si>
  <si>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</si>
  <si>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</si>
  <si>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</si>
  <si>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</si>
  <si>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</si>
  <si>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</si>
  <si>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</si>
  <si>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</si>
  <si>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</si>
  <si>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</si>
  <si>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</si>
  <si>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</si>
  <si>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</si>
  <si>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</si>
  <si>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</si>
  <si>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</si>
  <si>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</si>
  <si>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</si>
  <si>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</si>
  <si>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</si>
  <si>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</si>
  <si>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</si>
  <si>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</si>
  <si>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</si>
  <si>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</si>
  <si>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</si>
  <si>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</si>
  <si>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</si>
  <si>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</si>
  <si>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</si>
  <si>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</si>
  <si>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</si>
  <si>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</si>
  <si>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</si>
  <si>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</si>
  <si>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</si>
  <si>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</si>
  <si>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</si>
  <si>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</si>
  <si>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</si>
  <si>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</si>
  <si>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</si>
  <si>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</si>
  <si>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</si>
  <si>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</si>
  <si>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</si>
  <si>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</si>
  <si>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</si>
  <si>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</si>
  <si>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</si>
  <si>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</si>
  <si>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</si>
  <si>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</si>
  <si>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</si>
  <si>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</si>
  <si>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</si>
  <si>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</si>
  <si>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</si>
  <si>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</si>
  <si>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</si>
  <si>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</si>
  <si>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</si>
  <si>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</si>
  <si>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AUSTIN</t>
  </si>
  <si>
    <t>Wi-MAX data drop</t>
  </si>
  <si>
    <t>ANDERS</t>
  </si>
  <si>
    <t>STEVEN</t>
  </si>
  <si>
    <t>204:201</t>
  </si>
  <si>
    <t>204:205</t>
  </si>
  <si>
    <t>204:517</t>
  </si>
  <si>
    <t>204:200</t>
  </si>
  <si>
    <t>rtdc.l.rtdc.4019:itc</t>
  </si>
  <si>
    <t>rtdc.l.rtdc.4020:itc</t>
  </si>
  <si>
    <t>204:214</t>
  </si>
  <si>
    <t>SWITCH UNKNOWN</t>
  </si>
  <si>
    <t>Track device (7)</t>
  </si>
  <si>
    <t>rtdc.l.rtdc.4033:itc</t>
  </si>
  <si>
    <t>204:498</t>
  </si>
  <si>
    <t>clear-day</t>
  </si>
  <si>
    <t>Clear</t>
  </si>
  <si>
    <t>clear-night</t>
  </si>
  <si>
    <t>204:551</t>
  </si>
  <si>
    <t>FORTUNATO</t>
  </si>
  <si>
    <t>FRANK</t>
  </si>
  <si>
    <t>204:533</t>
  </si>
  <si>
    <t>204:233286</t>
  </si>
  <si>
    <t>rtdc.l.rtdc.4056:itc</t>
  </si>
  <si>
    <t>DONTE</t>
  </si>
  <si>
    <t>204:149</t>
  </si>
  <si>
    <t>204:455</t>
  </si>
  <si>
    <t>204:185</t>
  </si>
  <si>
    <t>Partly Cloudy</t>
  </si>
  <si>
    <t>partly-cloudy-night</t>
  </si>
  <si>
    <t>204:233000</t>
  </si>
  <si>
    <t>204:464</t>
  </si>
  <si>
    <t>204:495</t>
  </si>
  <si>
    <t>204:502</t>
  </si>
  <si>
    <t>rtdc.l.rtdc.4025:itc</t>
  </si>
  <si>
    <t>rtdc.l.rtdc.4026:itc</t>
  </si>
  <si>
    <t>204:449</t>
  </si>
  <si>
    <t>204:233259</t>
  </si>
  <si>
    <t>204:232934</t>
  </si>
  <si>
    <t>204:223</t>
  </si>
  <si>
    <t>204:537</t>
  </si>
  <si>
    <t>204:473</t>
  </si>
  <si>
    <t>204:453</t>
  </si>
  <si>
    <t>204:506</t>
  </si>
  <si>
    <t>GRADE CROSSING</t>
  </si>
  <si>
    <t>Early Arrival</t>
  </si>
  <si>
    <t>LONG</t>
  </si>
  <si>
    <t>FULLER</t>
  </si>
  <si>
    <t>LORI</t>
  </si>
  <si>
    <t>SANTOS</t>
  </si>
  <si>
    <t>204:493</t>
  </si>
  <si>
    <t>204:233291</t>
  </si>
  <si>
    <t>204:233268</t>
  </si>
  <si>
    <t>204:229</t>
  </si>
  <si>
    <t>204:227</t>
  </si>
  <si>
    <t>300:23302</t>
  </si>
  <si>
    <t>300:58619</t>
  </si>
  <si>
    <t>300:58928</t>
  </si>
  <si>
    <t>300:58933</t>
  </si>
  <si>
    <t>204:157</t>
  </si>
  <si>
    <t>rtdc.l.rtdc.4039:itc</t>
  </si>
  <si>
    <t>rtdc.l.rtdc.4040:itc</t>
  </si>
  <si>
    <t>BONDS</t>
  </si>
  <si>
    <t>REYNALDO</t>
  </si>
  <si>
    <t>YANAI</t>
  </si>
  <si>
    <t>IAN</t>
  </si>
  <si>
    <t>BRUDER</t>
  </si>
  <si>
    <t>RICHARD</t>
  </si>
  <si>
    <t>ZEWDU</t>
  </si>
  <si>
    <t>DEREJE</t>
  </si>
  <si>
    <t>NEWELL</t>
  </si>
  <si>
    <t>204:435</t>
  </si>
  <si>
    <t>204:548</t>
  </si>
  <si>
    <t>204:232938</t>
  </si>
  <si>
    <t>204:247</t>
  </si>
  <si>
    <t>204:424</t>
  </si>
  <si>
    <t>204:155</t>
  </si>
  <si>
    <t>204:135</t>
  </si>
  <si>
    <t>ROCHA</t>
  </si>
  <si>
    <t>YAOTL</t>
  </si>
  <si>
    <t>LOPES</t>
  </si>
  <si>
    <t>KIMBERLY</t>
  </si>
  <si>
    <t>GEBRETEKLE</t>
  </si>
  <si>
    <t>DAGNEW</t>
  </si>
  <si>
    <t>HUFFSMITH</t>
  </si>
  <si>
    <t>MONTY</t>
  </si>
  <si>
    <t>HOLCOMB</t>
  </si>
  <si>
    <t>KAMDEN</t>
  </si>
  <si>
    <t>MCREYNOLDS</t>
  </si>
  <si>
    <t>KYLE</t>
  </si>
  <si>
    <t>precipType</t>
  </si>
  <si>
    <t>rain</t>
  </si>
  <si>
    <t>204:232961</t>
  </si>
  <si>
    <t>204:232994</t>
  </si>
  <si>
    <t>204:156</t>
  </si>
  <si>
    <t>204:519</t>
  </si>
  <si>
    <t>204:216</t>
  </si>
  <si>
    <t>204:232980</t>
  </si>
  <si>
    <t>204:520</t>
  </si>
  <si>
    <t>204:232940</t>
  </si>
  <si>
    <t>204:522</t>
  </si>
  <si>
    <t>204:233288</t>
  </si>
  <si>
    <t>204:198</t>
  </si>
  <si>
    <t>204:233312</t>
  </si>
  <si>
    <t>204:232984</t>
  </si>
  <si>
    <t>204:233266</t>
  </si>
  <si>
    <t>204:221</t>
  </si>
  <si>
    <t>204:233193</t>
  </si>
  <si>
    <t>204:486</t>
  </si>
  <si>
    <t>204:491</t>
  </si>
  <si>
    <t>204:160</t>
  </si>
  <si>
    <t>204:196</t>
  </si>
  <si>
    <t>204:233310</t>
  </si>
  <si>
    <t>204:458</t>
  </si>
  <si>
    <t>204:233264</t>
  </si>
  <si>
    <t>204:232982</t>
  </si>
  <si>
    <t>204:233243</t>
  </si>
  <si>
    <t>300:23304</t>
  </si>
  <si>
    <t>204:166</t>
  </si>
  <si>
    <t>204:153</t>
  </si>
  <si>
    <t>204:444</t>
  </si>
  <si>
    <t>204:450</t>
  </si>
  <si>
    <t>204:164</t>
  </si>
  <si>
    <t>Extended Wi-MAX data drop</t>
  </si>
  <si>
    <t>rtdc.l.rtdc.4005:itc</t>
  </si>
  <si>
    <t>TRACK WARRANT AUTHORITY</t>
  </si>
  <si>
    <t>Form based authority (4)</t>
  </si>
  <si>
    <t>rtdc.l.rtdc.4006:itc</t>
  </si>
  <si>
    <t>rtdc.l.rtdc.4034:itc</t>
  </si>
  <si>
    <t>rtdc.l.rtdc.4032:itc</t>
  </si>
  <si>
    <t>rtdc.l.rtdc.4015:itc</t>
  </si>
  <si>
    <t>842-11</t>
  </si>
  <si>
    <t>849-11</t>
  </si>
  <si>
    <t>238-11</t>
  </si>
  <si>
    <t>rtdc.l.rtdc.4063:itc</t>
  </si>
  <si>
    <t>MAELZER</t>
  </si>
  <si>
    <t>KURT</t>
  </si>
  <si>
    <t>rtdc.l.rtdc.4016:itc</t>
  </si>
  <si>
    <t>STRICKLAND</t>
  </si>
  <si>
    <t>EVAN</t>
  </si>
  <si>
    <t>BADERTSCHER</t>
  </si>
  <si>
    <t>DIANE</t>
  </si>
  <si>
    <t>ROBINSON</t>
  </si>
  <si>
    <t>KADDIBA</t>
  </si>
  <si>
    <t>ELBAUM</t>
  </si>
  <si>
    <t>MIKE</t>
  </si>
  <si>
    <t>303-11</t>
  </si>
  <si>
    <t>220-11</t>
  </si>
  <si>
    <t>840-11</t>
  </si>
  <si>
    <t>223-11</t>
  </si>
  <si>
    <t>305-11</t>
  </si>
  <si>
    <t>222-11</t>
  </si>
  <si>
    <t>225-11</t>
  </si>
  <si>
    <t>843-11</t>
  </si>
  <si>
    <t>227-11</t>
  </si>
  <si>
    <t>224-11</t>
  </si>
  <si>
    <t>226-11</t>
  </si>
  <si>
    <t>229-11</t>
  </si>
  <si>
    <t>845-11</t>
  </si>
  <si>
    <t>228-11</t>
  </si>
  <si>
    <t>844-11</t>
  </si>
  <si>
    <t>233-11</t>
  </si>
  <si>
    <t>230-11</t>
  </si>
  <si>
    <t>847-11</t>
  </si>
  <si>
    <t>235-11</t>
  </si>
  <si>
    <t>846-11</t>
  </si>
  <si>
    <t>232-11</t>
  </si>
  <si>
    <t>234-11</t>
  </si>
  <si>
    <t>237-11</t>
  </si>
  <si>
    <t>239-11</t>
  </si>
  <si>
    <t>236-11</t>
  </si>
  <si>
    <t>908-11</t>
  </si>
  <si>
    <t>241-11</t>
  </si>
  <si>
    <t>243-11</t>
  </si>
  <si>
    <t>240-11</t>
  </si>
  <si>
    <t>242-11</t>
  </si>
  <si>
    <t>313-11</t>
  </si>
  <si>
    <t>307-11</t>
  </si>
  <si>
    <t>244-11</t>
  </si>
  <si>
    <t>309-11</t>
  </si>
  <si>
    <t>311-11</t>
  </si>
  <si>
    <t>204:167</t>
  </si>
  <si>
    <t>204:488</t>
  </si>
  <si>
    <t>204:232976</t>
  </si>
  <si>
    <t>204:471</t>
  </si>
  <si>
    <t>204:232973</t>
  </si>
  <si>
    <t>204:163</t>
  </si>
  <si>
    <t>204:233025</t>
  </si>
  <si>
    <t>204:524</t>
  </si>
  <si>
    <t>204:232977</t>
  </si>
  <si>
    <t>204:529</t>
  </si>
  <si>
    <t>204:233346</t>
  </si>
  <si>
    <t>204:233019</t>
  </si>
  <si>
    <t>204:233314</t>
  </si>
  <si>
    <t>204:232990</t>
  </si>
  <si>
    <t>204:513</t>
  </si>
  <si>
    <t>204:143</t>
  </si>
  <si>
    <t>204:170</t>
  </si>
  <si>
    <t>204:232991</t>
  </si>
  <si>
    <t>204:500</t>
  </si>
  <si>
    <t>204:460</t>
  </si>
  <si>
    <t>204:233280</t>
  </si>
  <si>
    <t>204:147</t>
  </si>
  <si>
    <t>204:451</t>
  </si>
  <si>
    <t>204:232960</t>
  </si>
  <si>
    <t>204:509</t>
  </si>
  <si>
    <t>204:232928</t>
  </si>
  <si>
    <t>204:232888</t>
  </si>
  <si>
    <t>204:220</t>
  </si>
  <si>
    <t>204:233026</t>
  </si>
  <si>
    <t>204:209</t>
  </si>
  <si>
    <t>204:233300</t>
  </si>
  <si>
    <t>204:263</t>
  </si>
  <si>
    <t>204:232889</t>
  </si>
  <si>
    <t>204:233336</t>
  </si>
  <si>
    <t>204:183</t>
  </si>
  <si>
    <t>204:559</t>
  </si>
  <si>
    <t>204:528</t>
  </si>
  <si>
    <t>204:482</t>
  </si>
  <si>
    <t>204:3493</t>
  </si>
  <si>
    <t>300:58965</t>
  </si>
  <si>
    <t>300:58984</t>
  </si>
  <si>
    <t>300:58670</t>
  </si>
  <si>
    <t>300:58993</t>
  </si>
  <si>
    <t>300:58988</t>
  </si>
  <si>
    <t>204:459</t>
  </si>
  <si>
    <t>300:58677</t>
  </si>
  <si>
    <t>204:148</t>
  </si>
  <si>
    <t>204:437</t>
  </si>
  <si>
    <t>204:133</t>
  </si>
  <si>
    <t>start /low /b %USERPROFILE%\Documents\GitHub\eaglep3\Utilities\DownloadLogsFromS3.py --loco 4006 --day 2018-01-12</t>
  </si>
  <si>
    <t>Restricted aspect due to Pecos 4N</t>
  </si>
  <si>
    <t>107-12</t>
  </si>
  <si>
    <t>rtdc.l.rtdc.4003:itc</t>
  </si>
  <si>
    <t>124-12</t>
  </si>
  <si>
    <t>134-12</t>
  </si>
  <si>
    <t>143-12</t>
  </si>
  <si>
    <t>138-12</t>
  </si>
  <si>
    <t>149-12</t>
  </si>
  <si>
    <t>rtdc.l.rtdc.4051:itc</t>
  </si>
  <si>
    <t>820-12</t>
  </si>
  <si>
    <t>rtdc.l.rtdc.4059:itc</t>
  </si>
  <si>
    <t>170-12</t>
  </si>
  <si>
    <t>183-12</t>
  </si>
  <si>
    <t>182-12</t>
  </si>
  <si>
    <t>201-12</t>
  </si>
  <si>
    <t>194-12</t>
  </si>
  <si>
    <t>rtdc.l.rtdc.4052:itc</t>
  </si>
  <si>
    <t>833-12</t>
  </si>
  <si>
    <t>832-12</t>
  </si>
  <si>
    <t>72-12</t>
  </si>
  <si>
    <t>SWITCH ALIGNMENT</t>
  </si>
  <si>
    <t>837-12</t>
  </si>
  <si>
    <t>839-12</t>
  </si>
  <si>
    <t>212-12</t>
  </si>
  <si>
    <t>rtdc.l.rtdc.4027:itc</t>
  </si>
  <si>
    <t>216-12</t>
  </si>
  <si>
    <t>840-12</t>
  </si>
  <si>
    <t>231-12</t>
  </si>
  <si>
    <t>844-12</t>
  </si>
  <si>
    <t>239-12</t>
  </si>
  <si>
    <t>246-12</t>
  </si>
  <si>
    <t>rtdc.l.rtdc.4001:itc</t>
  </si>
  <si>
    <t>300-12</t>
  </si>
  <si>
    <t>101-12</t>
  </si>
  <si>
    <t>rtdc.l.rtdc.4002:itc</t>
  </si>
  <si>
    <t>51-12</t>
  </si>
  <si>
    <t>302-12</t>
  </si>
  <si>
    <t>103-12</t>
  </si>
  <si>
    <t>102-12</t>
  </si>
  <si>
    <t>304-12</t>
  </si>
  <si>
    <t>306-12</t>
  </si>
  <si>
    <t>105-12</t>
  </si>
  <si>
    <t>308-12</t>
  </si>
  <si>
    <t>104-12</t>
  </si>
  <si>
    <t>rtdc.l.rtdc.4004:itc</t>
  </si>
  <si>
    <t>109-12</t>
  </si>
  <si>
    <t>310-12</t>
  </si>
  <si>
    <t>MACDONALD</t>
  </si>
  <si>
    <t>THOMAS</t>
  </si>
  <si>
    <t>111-12</t>
  </si>
  <si>
    <t>901-12</t>
  </si>
  <si>
    <t>113-12</t>
  </si>
  <si>
    <t>106-12</t>
  </si>
  <si>
    <t>800-12</t>
  </si>
  <si>
    <t>108-12</t>
  </si>
  <si>
    <t>312-12</t>
  </si>
  <si>
    <t>115-12</t>
  </si>
  <si>
    <t>801-12</t>
  </si>
  <si>
    <t>112-12</t>
  </si>
  <si>
    <t>110-12</t>
  </si>
  <si>
    <t>117-12</t>
  </si>
  <si>
    <t>902-12</t>
  </si>
  <si>
    <t>BIRENBAUM</t>
  </si>
  <si>
    <t>119-12</t>
  </si>
  <si>
    <t>802-12</t>
  </si>
  <si>
    <t>803-12</t>
  </si>
  <si>
    <t>121-12</t>
  </si>
  <si>
    <t>114-12</t>
  </si>
  <si>
    <t>116-12</t>
  </si>
  <si>
    <t>123-12</t>
  </si>
  <si>
    <t>118-12</t>
  </si>
  <si>
    <t>804-12</t>
  </si>
  <si>
    <t>125-12</t>
  </si>
  <si>
    <t>805-12</t>
  </si>
  <si>
    <t>122-12</t>
  </si>
  <si>
    <t>127-12</t>
  </si>
  <si>
    <t>BEAM</t>
  </si>
  <si>
    <t>ROSS</t>
  </si>
  <si>
    <t>806-12</t>
  </si>
  <si>
    <t>120-12</t>
  </si>
  <si>
    <t>807-12</t>
  </si>
  <si>
    <t>129-12</t>
  </si>
  <si>
    <t>126-12</t>
  </si>
  <si>
    <t>131-12</t>
  </si>
  <si>
    <t>808-12</t>
  </si>
  <si>
    <t>809-12</t>
  </si>
  <si>
    <t>133-12</t>
  </si>
  <si>
    <t>128-12</t>
  </si>
  <si>
    <t>135-12</t>
  </si>
  <si>
    <t>PAGE</t>
  </si>
  <si>
    <t>MARCUS</t>
  </si>
  <si>
    <t>810-12</t>
  </si>
  <si>
    <t>811-12</t>
  </si>
  <si>
    <t>132-12</t>
  </si>
  <si>
    <t>137-12</t>
  </si>
  <si>
    <t>130-12</t>
  </si>
  <si>
    <t>139-12</t>
  </si>
  <si>
    <t>812-12</t>
  </si>
  <si>
    <t>903-12</t>
  </si>
  <si>
    <t>136-12</t>
  </si>
  <si>
    <t>141-12</t>
  </si>
  <si>
    <t>813-12</t>
  </si>
  <si>
    <t>140-12</t>
  </si>
  <si>
    <t>145-12</t>
  </si>
  <si>
    <t>142-12</t>
  </si>
  <si>
    <t>147-12</t>
  </si>
  <si>
    <t>814-12</t>
  </si>
  <si>
    <t>144-12</t>
  </si>
  <si>
    <t>151-12</t>
  </si>
  <si>
    <t>146-12</t>
  </si>
  <si>
    <t>815-12</t>
  </si>
  <si>
    <t>153-12</t>
  </si>
  <si>
    <t>148-12</t>
  </si>
  <si>
    <t>155-12</t>
  </si>
  <si>
    <t>816-12</t>
  </si>
  <si>
    <t>150-12</t>
  </si>
  <si>
    <t>157-12</t>
  </si>
  <si>
    <t>152-12</t>
  </si>
  <si>
    <t>159-12</t>
  </si>
  <si>
    <t>817-12</t>
  </si>
  <si>
    <t>156-12</t>
  </si>
  <si>
    <t>154-12</t>
  </si>
  <si>
    <t>161-12</t>
  </si>
  <si>
    <t>163-12</t>
  </si>
  <si>
    <t>818-12</t>
  </si>
  <si>
    <t>165-12</t>
  </si>
  <si>
    <t>160-12</t>
  </si>
  <si>
    <t>158-12</t>
  </si>
  <si>
    <t>167-12</t>
  </si>
  <si>
    <t>819-12</t>
  </si>
  <si>
    <t>162-12</t>
  </si>
  <si>
    <t>169-12</t>
  </si>
  <si>
    <t>164-12</t>
  </si>
  <si>
    <t>171-12</t>
  </si>
  <si>
    <t>166-12</t>
  </si>
  <si>
    <t>173-12</t>
  </si>
  <si>
    <t>168-12</t>
  </si>
  <si>
    <t>175-12</t>
  </si>
  <si>
    <t>821-12</t>
  </si>
  <si>
    <t>177-12</t>
  </si>
  <si>
    <t>172-12</t>
  </si>
  <si>
    <t>179-12</t>
  </si>
  <si>
    <t>822-12</t>
  </si>
  <si>
    <t>181-12</t>
  </si>
  <si>
    <t>174-12</t>
  </si>
  <si>
    <t>176-12</t>
  </si>
  <si>
    <t>823-12</t>
  </si>
  <si>
    <t>178-12</t>
  </si>
  <si>
    <t>185-12</t>
  </si>
  <si>
    <t>180-12</t>
  </si>
  <si>
    <t>187-12</t>
  </si>
  <si>
    <t>SANTIZO</t>
  </si>
  <si>
    <t>D. EDY</t>
  </si>
  <si>
    <t>824-12</t>
  </si>
  <si>
    <t>189-12</t>
  </si>
  <si>
    <t>184-12</t>
  </si>
  <si>
    <t>191-12</t>
  </si>
  <si>
    <t>825-12</t>
  </si>
  <si>
    <t>186-12</t>
  </si>
  <si>
    <t>188-12</t>
  </si>
  <si>
    <t>193-12</t>
  </si>
  <si>
    <t>904-12</t>
  </si>
  <si>
    <t>195-12</t>
  </si>
  <si>
    <t>826-12</t>
  </si>
  <si>
    <t>190-12</t>
  </si>
  <si>
    <t>827-12</t>
  </si>
  <si>
    <t>197-12</t>
  </si>
  <si>
    <t>192-12</t>
  </si>
  <si>
    <t>199-12</t>
  </si>
  <si>
    <t>828-12</t>
  </si>
  <si>
    <t>829-12</t>
  </si>
  <si>
    <t>196-12</t>
  </si>
  <si>
    <t>75-12</t>
  </si>
  <si>
    <t>DE LA ROSA</t>
  </si>
  <si>
    <t>ALEX</t>
  </si>
  <si>
    <t>203-12</t>
  </si>
  <si>
    <t>830-12</t>
  </si>
  <si>
    <t>831-12</t>
  </si>
  <si>
    <t>198-12</t>
  </si>
  <si>
    <t>205-12</t>
  </si>
  <si>
    <t>200-12</t>
  </si>
  <si>
    <t>207-12</t>
  </si>
  <si>
    <t>77-12</t>
  </si>
  <si>
    <t>202-12</t>
  </si>
  <si>
    <t>209-12</t>
  </si>
  <si>
    <t>204-12</t>
  </si>
  <si>
    <t>206-12</t>
  </si>
  <si>
    <t>211-12</t>
  </si>
  <si>
    <t>834-12</t>
  </si>
  <si>
    <t>835-12</t>
  </si>
  <si>
    <t>213-12</t>
  </si>
  <si>
    <t>208-12</t>
  </si>
  <si>
    <t>210-12</t>
  </si>
  <si>
    <t>215-12</t>
  </si>
  <si>
    <t>836-12</t>
  </si>
  <si>
    <t>217-12</t>
  </si>
  <si>
    <t>214-12</t>
  </si>
  <si>
    <t>219-12</t>
  </si>
  <si>
    <t>838-12</t>
  </si>
  <si>
    <t>301-12</t>
  </si>
  <si>
    <t>221-12</t>
  </si>
  <si>
    <t>906-12</t>
  </si>
  <si>
    <t>218-12</t>
  </si>
  <si>
    <t>841-12</t>
  </si>
  <si>
    <t>303-12</t>
  </si>
  <si>
    <t>223-12</t>
  </si>
  <si>
    <t>220-12</t>
  </si>
  <si>
    <t>305-12</t>
  </si>
  <si>
    <t>222-12</t>
  </si>
  <si>
    <t>225-12</t>
  </si>
  <si>
    <t>843-12</t>
  </si>
  <si>
    <t>224-12</t>
  </si>
  <si>
    <t>227-12</t>
  </si>
  <si>
    <t>842-12</t>
  </si>
  <si>
    <t>229-12</t>
  </si>
  <si>
    <t>226-12</t>
  </si>
  <si>
    <t>845-12</t>
  </si>
  <si>
    <t>228-12</t>
  </si>
  <si>
    <t>233-12</t>
  </si>
  <si>
    <t>230-12</t>
  </si>
  <si>
    <t>847-12</t>
  </si>
  <si>
    <t>232-12</t>
  </si>
  <si>
    <t>846-12</t>
  </si>
  <si>
    <t>235-12</t>
  </si>
  <si>
    <t>234-12</t>
  </si>
  <si>
    <t>237-12</t>
  </si>
  <si>
    <t>849-12</t>
  </si>
  <si>
    <t>236-12</t>
  </si>
  <si>
    <t>908-12</t>
  </si>
  <si>
    <t>241-12</t>
  </si>
  <si>
    <t>238-12</t>
  </si>
  <si>
    <t>240-12</t>
  </si>
  <si>
    <t>243-12</t>
  </si>
  <si>
    <t>245-12</t>
  </si>
  <si>
    <t>242-12</t>
  </si>
  <si>
    <t>307-12</t>
  </si>
  <si>
    <t>244-12</t>
  </si>
  <si>
    <t>309-12</t>
  </si>
  <si>
    <t>311-12</t>
  </si>
  <si>
    <t>313-12</t>
  </si>
  <si>
    <t>partly-cloudy-day</t>
  </si>
  <si>
    <t>Mostly Cloudy</t>
  </si>
  <si>
    <t>204:755</t>
  </si>
  <si>
    <t>204:161</t>
  </si>
  <si>
    <t>204:484</t>
  </si>
  <si>
    <t>204:497</t>
  </si>
  <si>
    <t>204:233293</t>
  </si>
  <si>
    <t>204:466</t>
  </si>
  <si>
    <t>204:232975</t>
  </si>
  <si>
    <t>204:540</t>
  </si>
  <si>
    <t>204:233230</t>
  </si>
  <si>
    <t>204:232917</t>
  </si>
  <si>
    <t>204:438</t>
  </si>
  <si>
    <t>204:232971</t>
  </si>
  <si>
    <t>204:539</t>
  </si>
  <si>
    <t>204:233242</t>
  </si>
  <si>
    <t>204:232915</t>
  </si>
  <si>
    <t>204:176</t>
  </si>
  <si>
    <t>204:233307</t>
  </si>
  <si>
    <t>204:504</t>
  </si>
  <si>
    <t>204:233359</t>
  </si>
  <si>
    <t>204:233036</t>
  </si>
  <si>
    <t>204:233253</t>
  </si>
  <si>
    <t>204:232948</t>
  </si>
  <si>
    <t>204:480</t>
  </si>
  <si>
    <t>204:233276</t>
  </si>
  <si>
    <t>204:233201</t>
  </si>
  <si>
    <t>204:232875</t>
  </si>
  <si>
    <t>204:233295</t>
  </si>
  <si>
    <t>204:194</t>
  </si>
  <si>
    <t>204:433</t>
  </si>
  <si>
    <t>204:233304</t>
  </si>
  <si>
    <t>204:233326</t>
  </si>
  <si>
    <t>204:212</t>
  </si>
  <si>
    <t>204:233283</t>
  </si>
  <si>
    <t>204:232970</t>
  </si>
  <si>
    <t>204:447</t>
  </si>
  <si>
    <t>204:233305</t>
  </si>
  <si>
    <t>204:232989</t>
  </si>
  <si>
    <t>204:207</t>
  </si>
  <si>
    <t>204:233318</t>
  </si>
  <si>
    <t>204:232992</t>
  </si>
  <si>
    <t>204:469</t>
  </si>
  <si>
    <t>204:193823</t>
  </si>
  <si>
    <t>204:233055</t>
  </si>
  <si>
    <t>204:233005</t>
  </si>
  <si>
    <t>204:232953</t>
  </si>
  <si>
    <t>204:189</t>
  </si>
  <si>
    <t>204:233337</t>
  </si>
  <si>
    <t>204:531</t>
  </si>
  <si>
    <t>204:233327</t>
  </si>
  <si>
    <t>204:233010</t>
  </si>
  <si>
    <t>204:174</t>
  </si>
  <si>
    <t>204:232979</t>
  </si>
  <si>
    <t>204:233195</t>
  </si>
  <si>
    <t>204:232873</t>
  </si>
  <si>
    <t>204:233331</t>
  </si>
  <si>
    <t>204:233006</t>
  </si>
  <si>
    <t>204:112</t>
  </si>
  <si>
    <t>204:233328</t>
  </si>
  <si>
    <t>204:178</t>
  </si>
  <si>
    <t>204:478</t>
  </si>
  <si>
    <t>204:233204</t>
  </si>
  <si>
    <t>204:232900</t>
  </si>
  <si>
    <t>204:234</t>
  </si>
  <si>
    <t>204:233191</t>
  </si>
  <si>
    <t>204:232868</t>
  </si>
  <si>
    <t>204:126492</t>
  </si>
  <si>
    <t>204:233011</t>
  </si>
  <si>
    <t>204:114</t>
  </si>
  <si>
    <t>204:233274</t>
  </si>
  <si>
    <t>204:233236</t>
  </si>
  <si>
    <t>204:232909</t>
  </si>
  <si>
    <t>204:467</t>
  </si>
  <si>
    <t>204:187</t>
  </si>
  <si>
    <t>204:233207</t>
  </si>
  <si>
    <t>204:232877</t>
  </si>
  <si>
    <t>204:233261</t>
  </si>
  <si>
    <t>204:190096</t>
  </si>
  <si>
    <t>204:127883</t>
  </si>
  <si>
    <t>204:336</t>
  </si>
  <si>
    <t>204:233192</t>
  </si>
  <si>
    <t>204:232863</t>
  </si>
  <si>
    <t>204:233345</t>
  </si>
  <si>
    <t>204:221979</t>
  </si>
  <si>
    <t>204:232972</t>
  </si>
  <si>
    <t>204:232926</t>
  </si>
  <si>
    <t>204:628</t>
  </si>
  <si>
    <t>204:232879</t>
  </si>
  <si>
    <t>204:233349</t>
  </si>
  <si>
    <t>204:233023</t>
  </si>
  <si>
    <t>204:27438</t>
  </si>
  <si>
    <t>204:232907</t>
  </si>
  <si>
    <t>204:233200</t>
  </si>
  <si>
    <t>204:233220</t>
  </si>
  <si>
    <t>204:232949</t>
  </si>
  <si>
    <t>204:553</t>
  </si>
  <si>
    <t>204:233251</t>
  </si>
  <si>
    <t>204:232930</t>
  </si>
  <si>
    <t>204:252</t>
  </si>
  <si>
    <t>204:232945</t>
  </si>
  <si>
    <t>204:278</t>
  </si>
  <si>
    <t>204:233263</t>
  </si>
  <si>
    <t>204:232968</t>
  </si>
  <si>
    <t>204:243</t>
  </si>
  <si>
    <t>204:568</t>
  </si>
  <si>
    <t>204:233224</t>
  </si>
  <si>
    <t>204:254</t>
  </si>
  <si>
    <t>204:232966</t>
  </si>
  <si>
    <t>204:238</t>
  </si>
  <si>
    <t>204:232974</t>
  </si>
  <si>
    <t>204:233209</t>
  </si>
  <si>
    <t>204:566</t>
  </si>
  <si>
    <t>204:233238</t>
  </si>
  <si>
    <t>300:19680</t>
  </si>
  <si>
    <t>204:145</t>
  </si>
  <si>
    <t>300:24220</t>
  </si>
  <si>
    <t>300:19560</t>
  </si>
  <si>
    <t>204:1153</t>
  </si>
  <si>
    <t>300:23540</t>
  </si>
  <si>
    <t>300:23758</t>
  </si>
  <si>
    <t>300:23316</t>
  </si>
  <si>
    <t>300:23349</t>
  </si>
  <si>
    <t>300:23500</t>
  </si>
  <si>
    <t>300:23724</t>
  </si>
  <si>
    <t>204:3185</t>
  </si>
  <si>
    <t>204:1150</t>
  </si>
  <si>
    <t>300:24335</t>
  </si>
  <si>
    <t>300:23866</t>
  </si>
  <si>
    <t>204:1484</t>
  </si>
  <si>
    <t>300:24224</t>
  </si>
  <si>
    <t>204:1164</t>
  </si>
  <si>
    <t>300:23301</t>
  </si>
  <si>
    <t>300:58617</t>
  </si>
  <si>
    <t>204:108</t>
  </si>
  <si>
    <t>204:413</t>
  </si>
  <si>
    <t>300:58935</t>
  </si>
  <si>
    <t>300:58600</t>
  </si>
  <si>
    <t>204:93</t>
  </si>
  <si>
    <t>300:58944</t>
  </si>
  <si>
    <t>300:58626</t>
  </si>
  <si>
    <t>204:399</t>
  </si>
  <si>
    <t>204:104</t>
  </si>
  <si>
    <t>204:441</t>
  </si>
  <si>
    <t>300:58929</t>
  </si>
  <si>
    <t>204:151</t>
  </si>
  <si>
    <t>204:392</t>
  </si>
  <si>
    <t>204:100</t>
  </si>
  <si>
    <t>300:58931</t>
  </si>
  <si>
    <t>300:58615</t>
  </si>
  <si>
    <t>300:58611</t>
  </si>
  <si>
    <t>300:58926</t>
  </si>
  <si>
    <t>204:462</t>
  </si>
  <si>
    <t>300:58624</t>
  </si>
  <si>
    <t>300:58976</t>
  </si>
  <si>
    <t>300:58664</t>
  </si>
  <si>
    <t>300:58978</t>
  </si>
  <si>
    <t>300:58666</t>
  </si>
  <si>
    <t>300:59010</t>
  </si>
  <si>
    <t>300:58690</t>
  </si>
  <si>
    <t>204:193</t>
  </si>
  <si>
    <t>300:58948</t>
  </si>
  <si>
    <t>300:58630</t>
  </si>
  <si>
    <t>204:137</t>
  </si>
  <si>
    <t>300:58946</t>
  </si>
  <si>
    <t>300:58632</t>
  </si>
  <si>
    <t>204:4742</t>
  </si>
  <si>
    <t>204:140</t>
  </si>
  <si>
    <t>300:58641</t>
  </si>
  <si>
    <t>204:110</t>
  </si>
  <si>
    <t>300:59005</t>
  </si>
  <si>
    <t>300:58963</t>
  </si>
  <si>
    <t>300:58649</t>
  </si>
  <si>
    <t>300:58653</t>
  </si>
  <si>
    <t>204:4675</t>
  </si>
  <si>
    <t>300:58967</t>
  </si>
  <si>
    <t>204:184</t>
  </si>
  <si>
    <t>300:29997</t>
  </si>
  <si>
    <t>300:23383</t>
  </si>
  <si>
    <t>204:113</t>
  </si>
  <si>
    <t>204:397</t>
  </si>
  <si>
    <t>300:24239</t>
  </si>
  <si>
    <t>300:23321</t>
  </si>
  <si>
    <t>204:180</t>
  </si>
  <si>
    <t>300:58688</t>
  </si>
  <si>
    <t>300:28793</t>
  </si>
  <si>
    <t>300:28786</t>
  </si>
  <si>
    <t>start /low /b %USERPROFILE%\Documents\GitHub\eaglep3\Utilities\DownloadLogsFromS3.py --loco 4060 --day 2018-01-12</t>
  </si>
  <si>
    <t>start /low /b %USERPROFILE%\Documents\GitHub\eaglep3\Utilities\DownloadLogsFromS3.py --loco 4003 --day 2018-01-12</t>
  </si>
  <si>
    <t>start /low /b %USERPROFILE%\Documents\GitHub\eaglep3\Utilities\DownloadLogsFromS3.py --loco 4028 --day 2018-01-12</t>
  </si>
  <si>
    <t>start /low /b %USERPROFILE%\Documents\GitHub\eaglep3\Utilities\DownloadLogsFromS3.py --loco 4059 --day 2018-01-12</t>
  </si>
  <si>
    <t>start /low /b %USERPROFILE%\Documents\GitHub\eaglep3\Utilities\DownloadLogsFromS3.py --loco 4015 --day 2018-01-12</t>
  </si>
  <si>
    <t>start /low /b %USERPROFILE%\Documents\GitHub\eaglep3\Utilities\DownloadLogsFromS3.py --loco 4051 --day 2018-01-12</t>
  </si>
  <si>
    <t>start /low /b %USERPROFILE%\Documents\GitHub\eaglep3\Utilities\DownloadLogsFromS3.py --loco 4059 --day 2018-01-13</t>
  </si>
  <si>
    <t>start /low /b %USERPROFILE%\Documents\GitHub\eaglep3\Utilities\DownloadLogsFromS3.py --loco 4025 --day 2018-01-13</t>
  </si>
  <si>
    <t>start /low /b %USERPROFILE%\Documents\GitHub\eaglep3\Utilities\DownloadLogsFromS3.py --loco 4025 --day 2018-01-12</t>
  </si>
  <si>
    <t>start /low /b %USERPROFILE%\Documents\GitHub\eaglep3\Utilities\DownloadLogsFromS3.py --loco 4017 --day 2018-01-12</t>
  </si>
  <si>
    <t>start /low /b %USERPROFILE%\Documents\GitHub\eaglep3\Utilities\DownloadLogsFromS3.py --loco 4027 --day 2018-01-13</t>
  </si>
  <si>
    <t>start /low /b %USERPROFILE%\Documents\GitHub\eaglep3\Utilities\DownloadLogsFromS3.py --loco 4040 --day 2018-01-12</t>
  </si>
  <si>
    <t>start /low /b %USERPROFILE%\Documents\GitHub\eaglep3\Utilities\DownloadLogsFromS3.py --loco 4040 --day 2018-01-13</t>
  </si>
  <si>
    <t>start /low /b %USERPROFILE%\Documents\GitHub\eaglep3\Utilities\DownloadLogsFromS3.py --loco 4052 --day 2018-01-13</t>
  </si>
  <si>
    <t>start /low /b %USERPROFILE%\Documents\GitHub\eaglep3\Utilities\DownloadLogsFromS3.py --loco 4015 --day 2018-01-13</t>
  </si>
  <si>
    <t>start /low /b %USERPROFILE%\Documents\GitHub\eaglep3\Utilities\DownloadLogsFromS3.py --loco 4051 --day 2018-01-13</t>
  </si>
  <si>
    <t>start /low /b %USERPROFILE%\Documents\GitHub\eaglep3\Utilities\DownloadLogsFromS3.py --loco 4016 --day 2018-01-13</t>
  </si>
  <si>
    <t>Wheel tach slip/slide due to emergency braking</t>
  </si>
  <si>
    <t>Restricted aspect</t>
  </si>
  <si>
    <t>Completed run, observed wheel tach slip/slip</t>
  </si>
  <si>
    <t>Poor GPS under Wewatta St.</t>
  </si>
  <si>
    <t>Premature downgrade CP Pena 2N</t>
  </si>
  <si>
    <t>Observed early arrival xing banner for Ulster, no red fence/PTC enforcement</t>
  </si>
  <si>
    <t>Observed Wi-MAX data drop, no PTC enforcement</t>
  </si>
  <si>
    <t>Operator selected wrong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</si>
</sst>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605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43112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43112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COUNTIFS($N$13:$N$9648,"&gt;0",$AG$13:$AG$9648,I1)</f>
        <v>141</v>
      </c>
      <c r="K5" s="39"/>
      <c r="L5" s="171"/>
      <c r="M5" s="40">
        <f>AVERAGEIFS($N$13:$N$9648,$AG$13:$AG$9648,I1)</f>
        <v>36.884042553583832</v>
      </c>
      <c r="N5" s="38">
        <f t="array" ref="N5">MIN(IF($AG$13:$AG$9648=I1,IF(ISNUMBER($N$13:$N$9648),IF($N$13:$N$9648&gt;0,$N$13:$N$9648))))</f>
        <v>33.933333334280178</v>
      </c>
      <c r="O5" s="3">
        <f t="array" ref="O5">MAX(IF($AG$13:$AG$9648=I1,IF(ISNUMBER($N$13:$N$9648),IF($N$13:$N$9648&gt;0,$N$13:$N$9648))))</f>
        <v>42.666666666045785</v>
      </c>
      <c r="P5" s="2"/>
      <c r="R5" s="162" t="s">
        <v>17</v>
      </c>
      <c r="S5" s="206">
        <f>COUNTIFS($N$13:$N$9648,"&gt;0",$AG$13:$AG$9648,R1)</f>
        <v>49</v>
      </c>
      <c r="T5" s="171"/>
      <c r="U5" s="194"/>
      <c r="V5" s="210">
        <f>AVERAGEIFS($N$13:$N$9648,$AG$13:$AG$9648,R1)</f>
        <v>13.699319728683415</v>
      </c>
      <c r="W5" s="211">
        <f t="array" ref="W5">MIN(IF($AG$13:$AG$9648=R1,IF(ISNUMBER($N$13:$N$9648),IF($N$13:$N$9648&gt;0,$N$13:$N$9648))))</f>
        <v>10.183333335444331</v>
      </c>
      <c r="X5" s="199">
        <f t="array" ref="X5">MAX(IF($AG$13:$AG$9648=R1,IF(ISNUMBER($N$13:$N$9648),IF($N$13:$N$9648&gt;0,$N$13:$N$9648))))</f>
        <v>16.383333328412846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COUNT($O$13:$O$406)</f>
        <v>0</v>
      </c>
      <c r="K6" s="39"/>
      <c r="L6" s="171"/>
      <c r="M6" s="40">
        <f>IFERROR(AVERAGE($O$13:$O$406),0)</f>
        <v>0</v>
      </c>
      <c r="N6" s="38">
        <f>MIN($O$13:$O$406)</f>
        <v>0</v>
      </c>
      <c r="O6" s="3">
        <f>MAX($O$13:$O$406)</f>
        <v>0</v>
      </c>
      <c r="P6" s="2"/>
      <c r="R6" s="163" t="s">
        <v>43</v>
      </c>
      <c r="S6" s="206">
        <f>COUNT($O$13:$O$406)</f>
        <v>0</v>
      </c>
      <c r="T6" s="171"/>
      <c r="U6" s="194"/>
      <c r="V6" s="210">
        <f>IFERROR(AVERAGE($O$13:$O$406),0)</f>
        <v>0</v>
      </c>
      <c r="W6" s="211">
        <f>MIN($O$13:$O$406)</f>
        <v>0</v>
      </c>
      <c r="X6" s="199">
        <f>MAX($O$13:$O$406)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COUNTIFS($P$13:$P$9648,"&gt;0",$AG$13:$AG$9648,I1)</f>
        <v>5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COUNTIFS($P$13:$P$9648,"&gt;0",$AG$13:$AG$9648,R1)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1"/>
      <c r="M8" s="40">
        <f>M5</f>
        <v>36.884042553583832</v>
      </c>
      <c r="N8" s="38">
        <f>N5</f>
        <v>33.933333334280178</v>
      </c>
      <c r="O8" s="3">
        <f>O5</f>
        <v>42.666666666045785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13.699319728683415</v>
      </c>
      <c r="W8" s="211">
        <f>W5</f>
        <v>10.183333335444331</v>
      </c>
      <c r="X8" s="199">
        <f>X5</f>
        <v>16.383333328412846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- 2018-01-12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AVERAGE(S13:S148)</f>
        <v>0.99938271604938289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700</v>
      </c>
      <c r="B13" s="7">
        <v>4026</v>
      </c>
      <c r="C13" s="21" t="s">
        <v>191</v>
      </c>
      <c r="D13" s="21" t="s">
        <v>909</v>
      </c>
      <c r="E13" s="13">
        <v>43112.12704861111</v>
      </c>
      <c r="F13" s="13">
        <v>43112.135613425926</v>
      </c>
      <c r="G13" s="7">
        <v>53</v>
      </c>
      <c r="H13" s="21" t="s">
        <v>458</v>
      </c>
      <c r="I13" s="13">
        <v>43112.159305555557</v>
      </c>
      <c r="J13" s="7">
        <v>0</v>
      </c>
      <c r="K13" s="89" t="str">
        <f>IF(ISEVEN(B13),(B13-1)&amp;"/"&amp;B13,B13&amp;"/"&amp;(B13+1))</f>
        <v>4025/4026</v>
      </c>
      <c r="L13" s="184" t="str">
        <f>VLOOKUP(A13,'Trips&amp;Operators'!$C$1:$G$99911,5,FALSE)</f>
        <v>YORK EDGAR</v>
      </c>
      <c r="M13" s="6">
        <f>I13-F13</f>
        <v>2.3692129630944692E-2</v>
      </c>
      <c r="N13" s="7">
        <f>24*60*SUM($M13:$M13)</f>
        <v>34.116666668560356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-12T02:02:57-0700',mode:absolute,to:'2018-01-12T04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7.5499999999999998E-2</v>
      </c>
      <c r="Z13" s="203">
        <f>RIGHT(H13,LEN(H13)-4)/10000</f>
        <v>23.328600000000002</v>
      </c>
      <c r="AA13" s="203">
        <f>ABS(Z13-Y13)</f>
        <v>23.2531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/stypes="app*4026*20180112*"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4026 --swversion DE.1.0.9.0 --startMP 204:755 --initTime 2018-01-12T03:02:57 --startdatetime 2018-01-12T03:15:17 --delay 53 --endMP 204:233286 --enddatetime 2018-01-12T03:49:24 --enforcementcount 0 &gt;&gt;%USERPROFILE%\Documents\GitHub\eaglep3-reporting\EC\2018-01-12-refined-times.txt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{"issue":{"subject":"","project_id":79,"tracker_id":40,"status_id":1,"priority_id":2,"assigned_to_id":338,"start_date":"2018-01-12","description":"","custom_fields":[{"id":1,"name":"Subdivision","value":"EC"},{"id":4,"name":"Milepost","value":"23.3286"},{"id":17,"name":"Train ID","value":"101-12"},{"id":16,"name":"Locomotive ID","value":"4026"},{"id":130,"name":"Impact","value":""},{"id":150,"name":"Time of Event (Mountain Time)","value":"03:49:24"},{"id":151,"name":"Denver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4026 --day 2018-01-12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10:49:24"},{"id":29,"name":"Sharepoint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-12T02:02:57-0700',mode:absolute,to:'2018-01-12T04:49:24-0700'))&amp;_a=(columns:!('Message%20ID',Summary),filters:!(),index:'emp_*',interval:auto,query:(query_string:(analyze_wildcard:!t,query:'%22rtdc.l.rtdc.4026%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705</v>
      </c>
      <c r="B14" s="225">
        <v>4025</v>
      </c>
      <c r="C14" s="227" t="s">
        <v>191</v>
      </c>
      <c r="D14" s="227" t="s">
        <v>528</v>
      </c>
      <c r="E14" s="226">
        <v>43112.160358796296</v>
      </c>
      <c r="F14" s="226">
        <v>43112.17564814815</v>
      </c>
      <c r="G14" s="225">
        <v>65</v>
      </c>
      <c r="H14" s="227" t="s">
        <v>910</v>
      </c>
      <c r="I14" s="226">
        <v>43112.200196759259</v>
      </c>
      <c r="J14" s="225">
        <v>0</v>
      </c>
      <c r="K14" s="237" t="str">
        <f>IF(ISEVEN(B14),(B14-1)&amp;"/"&amp;B14,B14&amp;"/"&amp;(B14+1))</f>
        <v>4025/4026</v>
      </c>
      <c r="L14" s="245" t="str">
        <f>VLOOKUP(A14,'Trips&amp;Operators'!$C$1:$G$99911,5,FALSE)</f>
        <v>YORK EDGAR</v>
      </c>
      <c r="M14" s="224">
        <f>I14-F14</f>
        <v>2.4548611108912155E-2</v>
      </c>
      <c r="N14" s="225">
        <f>24*60*SUM($M14:$M14)</f>
        <v>35.349999996833503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-12T02:50:55-0700',mode:absolute,to:'2018-01-12T05:48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23.296099999999999</v>
      </c>
      <c r="Z14" s="247">
        <f>RIGHT(H14,LEN(H14)-4)/10000</f>
        <v>1.61E-2</v>
      </c>
      <c r="AA14" s="247">
        <f>ABS(Z14-Y14)</f>
        <v>23.279999999999998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/stypes="app*4025*20180112*"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4025 --swversion DE.1.0.9.0 --startMP 204:232961 --initTime 2018-01-12T03:50:55 --startdatetime 2018-01-12T04:12:56 --delay 65 --endMP 204:161 --enddatetime 2018-01-12T04:48:17 --enforcementcount 0 &gt;&gt;%USERPROFILE%\Documents\GitHub\eaglep3-reporting\EC\2018-01-12-refined-times.txt</v>
      </c>
      <c r="AI14" s="238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{"issue":{"subject":"","project_id":79,"tracker_id":40,"status_id":1,"priority_id":2,"assigned_to_id":338,"start_date":"2018-01-12","description":"","custom_fields":[{"id":1,"name":"Subdivision","value":"EC"},{"id":4,"name":"Milepost","value":"0.0161"},{"id":17,"name":"Train ID","value":"102-12"},{"id":16,"name":"Locomotive ID","value":"4025"},{"id":130,"name":"Impact","value":""},{"id":150,"name":"Time of Event (Mountain Time)","value":"04:48:17"},{"id":151,"name":"Denver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7">"start /low /b "&amp;dls3logs&amp;" --loco "&amp;B14&amp;" --day "&amp;TEXT(F14,"YYYY-MM-DD")</f>
        <v>start /low /b %USERPROFILE%\Documents\GitHub\eaglep3\Utilities\DownloadLogsFromS3.py --loco 4025 --day 2018-01-12</v>
      </c>
      <c r="AN14" s="24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11:48:17"},{"id":29,"name":"Sharepoint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-12T02:50:55-0700',mode:absolute,to:'2018-01-12T05:48:17-0700'))&amp;_a=(columns:!('Message%20ID',Summary),filters:!(),index:'emp_*',interval:auto,query:(query_string:(analyze_wildcard:!t,query:'%22rtdc.l.rtdc.4025%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704</v>
      </c>
      <c r="B15" s="225">
        <v>4040</v>
      </c>
      <c r="C15" s="227" t="s">
        <v>191</v>
      </c>
      <c r="D15" s="227" t="s">
        <v>911</v>
      </c>
      <c r="E15" s="226">
        <v>43112.149293981478</v>
      </c>
      <c r="F15" s="226">
        <v>43112.156481481485</v>
      </c>
      <c r="G15" s="225">
        <v>61</v>
      </c>
      <c r="H15" s="227" t="s">
        <v>629</v>
      </c>
      <c r="I15" s="226">
        <v>43112.181122685186</v>
      </c>
      <c r="J15" s="225">
        <v>0</v>
      </c>
      <c r="K15" s="237" t="str">
        <f>IF(ISEVEN(B15),(B15-1)&amp;"/"&amp;B15,B15&amp;"/"&amp;(B15+1))</f>
        <v>4039/4040</v>
      </c>
      <c r="L15" s="245" t="str">
        <f>VLOOKUP(A15,'Trips&amp;Operators'!$C$1:$G$99911,5,FALSE)</f>
        <v>MAELZER KURT</v>
      </c>
      <c r="M15" s="224">
        <f>I15-F15</f>
        <v>2.4641203701321501E-2</v>
      </c>
      <c r="N15" s="225">
        <f>24*60*SUM($M15:$M15)</f>
        <v>35.483333329902962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-12T02:34:59-0700',mode:absolute,to:'2018-01-12T05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4.8399999999999999E-2</v>
      </c>
      <c r="Z15" s="247">
        <f>RIGHT(H15,LEN(H15)-4)/10000</f>
        <v>23.331399999999999</v>
      </c>
      <c r="AA15" s="247">
        <f>ABS(Z15-Y15)</f>
        <v>23.282999999999998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/stypes="app*4040*20180112*"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103-12 --locoid 4040 --swversion DE.1.0.9.0 --startMP 204:484 --initTime 2018-01-12T03:34:59 --startdatetime 2018-01-12T03:45:20 --delay 61 --endMP 204:233314 --enddatetime 2018-01-12T04:20:49 --enforcementcount 0 &gt;&gt;%USERPROFILE%\Documents\GitHub\eaglep3-reporting\EC\2018-01-12-refined-times.txt</v>
      </c>
      <c r="AI1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{"issue":{"subject":"","project_id":79,"tracker_id":40,"status_id":1,"priority_id":2,"assigned_to_id":338,"start_date":"2018-01-12","description":"","custom_fields":[{"id":1,"name":"Subdivision","value":"EC"},{"id":4,"name":"Milepost","value":"23.3314"},{"id":17,"name":"Train ID","value":"103-12"},{"id":16,"name":"Locomotive ID","value":"4040"},{"id":130,"name":"Impact","value":""},{"id":150,"name":"Time of Event (Mountain Time)","value":"04:20:49"},{"id":151,"name":"Denver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4040 --day 2018-01-12</v>
      </c>
      <c r="AN1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-12T02:34:59-0700',mode:absolute,to:'2018-01-12T05:20:49-0700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710</v>
      </c>
      <c r="B16" s="225">
        <v>4039</v>
      </c>
      <c r="C16" s="227" t="s">
        <v>191</v>
      </c>
      <c r="D16" s="227" t="s">
        <v>529</v>
      </c>
      <c r="E16" s="226">
        <v>43112.187303240738</v>
      </c>
      <c r="F16" s="226">
        <v>43112.196087962962</v>
      </c>
      <c r="G16" s="225">
        <v>52</v>
      </c>
      <c r="H16" s="227" t="s">
        <v>547</v>
      </c>
      <c r="I16" s="226">
        <v>43112.221909722219</v>
      </c>
      <c r="J16" s="225">
        <v>0</v>
      </c>
      <c r="K16" s="237" t="str">
        <f>IF(ISEVEN(B16),(B16-1)&amp;"/"&amp;B16,B16&amp;"/"&amp;(B16+1))</f>
        <v>4039/4040</v>
      </c>
      <c r="L16" s="245" t="str">
        <f>VLOOKUP(A16,'Trips&amp;Operators'!$C$1:$G$99911,5,FALSE)</f>
        <v>MAELZER KURT</v>
      </c>
      <c r="M16" s="224">
        <f>I16-F16</f>
        <v>2.5821759256359655E-2</v>
      </c>
      <c r="N16" s="225">
        <f>24*60*SUM($M16:$M16)</f>
        <v>37.183333329157904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-12T03:29:43-0700',mode:absolute,to:'2018-01-12T06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23.299399999999999</v>
      </c>
      <c r="Z16" s="247">
        <f>RIGHT(H16,LEN(H16)-4)/10000</f>
        <v>1.9599999999999999E-2</v>
      </c>
      <c r="AA16" s="247">
        <f>ABS(Z16-Y16)</f>
        <v>23.279799999999998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/stypes="app*4039*20180112*"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104-12 --locoid 4039 --swversion DE.1.0.9.0 --startMP 204:232994 --initTime 2018-01-12T04:29:43 --startdatetime 2018-01-12T04:42:22 --delay 52 --endMP 204:196 --enddatetime 2018-01-12T05:19:33 --enforcementcount 0 &gt;&gt;%USERPROFILE%\Documents\GitHub\eaglep3-reporting\EC\2018-01-12-refined-times.txt</v>
      </c>
      <c r="AI1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{"issue":{"subject":"","project_id":79,"tracker_id":40,"status_id":1,"priority_id":2,"assigned_to_id":338,"start_date":"2018-01-12","description":"","custom_fields":[{"id":1,"name":"Subdivision","value":"EC"},{"id":4,"name":"Milepost","value":"0.0196"},{"id":17,"name":"Train ID","value":"104-12"},{"id":16,"name":"Locomotive ID","value":"4039"},{"id":130,"name":"Impact","value":""},{"id":150,"name":"Time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4039 --day 2018-01-12</v>
      </c>
      <c r="AN1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-12T03:29:43-0700',mode:absolute,to:'2018-01-12T06:19:33-0700'))&amp;_a=(columns:!('Message%20ID',Summary),filters:!(),index:'emp_*',interval:auto,query:(query_string:(analyze_wildcard:!t,query:'%22rtdc.l.rtdc.4039%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708</v>
      </c>
      <c r="B17" s="225">
        <v>4018</v>
      </c>
      <c r="C17" s="227" t="s">
        <v>191</v>
      </c>
      <c r="D17" s="227" t="s">
        <v>912</v>
      </c>
      <c r="E17" s="226">
        <v>43112.173148148147</v>
      </c>
      <c r="F17" s="226">
        <v>43112.177847222221</v>
      </c>
      <c r="G17" s="225">
        <v>68</v>
      </c>
      <c r="H17" s="227" t="s">
        <v>913</v>
      </c>
      <c r="I17" s="226">
        <v>43112.202777777777</v>
      </c>
      <c r="J17" s="225">
        <v>0</v>
      </c>
      <c r="K17" s="237" t="str">
        <f>IF(ISEVEN(B17),(B17-1)&amp;"/"&amp;B17,B17&amp;"/"&amp;(B17+1))</f>
        <v>4017/4018</v>
      </c>
      <c r="L17" s="245" t="str">
        <f>VLOOKUP(A17,'Trips&amp;Operators'!$C$1:$G$99911,5,FALSE)</f>
        <v>BONDS REYNALDO</v>
      </c>
      <c r="M17" s="224">
        <f>I17-F17</f>
        <v>2.4930555555329192E-2</v>
      </c>
      <c r="N17" s="225">
        <f>24*60*SUM($M17:$M17)</f>
        <v>35.899999999674037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-12T03:09:20-0700',mode:absolute,to:'2018-01-12T05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4.9700000000000001E-2</v>
      </c>
      <c r="Z17" s="247">
        <f>RIGHT(H17,LEN(H17)-4)/10000</f>
        <v>23.3293</v>
      </c>
      <c r="AA17" s="247">
        <f>ABS(Z17-Y17)</f>
        <v>23.279599999999999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/stypes="app*4018*20180112*"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105-12 --locoid 4018 --swversion DE.1.0.9.0 --startMP 204:497 --initTime 2018-01-12T04:09:20 --startdatetime 2018-01-12T04:16:06 --delay 68 --endMP 204:233293 --enddatetime 2018-01-12T04:52:00 --enforcementcount 0 &gt;&gt;%USERPROFILE%\Documents\GitHub\eaglep3-reporting\EC\2018-01-12-refined-times.txt</v>
      </c>
      <c r="AI1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{"issue":{"subject":"","project_id":79,"tracker_id":40,"status_id":1,"priority_id":2,"assigned_to_id":338,"start_date":"2018-01-12","description":"","custom_fields":[{"id":1,"name":"Subdivision","value":"EC"},{"id":4,"name":"Milepost","value":"23.3293"},{"id":17,"name":"Train ID","value":"105-12"},{"id":16,"name":"Locomotive ID","value":"4018"},{"id":130,"name":"Impact","value":""},{"id":150,"name":"Time of Event (Mountain Time)","value":"04:52:00"},{"id":151,"name":"Denver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4018 --day 2018-01-12</v>
      </c>
      <c r="AN1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-12T03:09:20-0700',mode:absolute,to:'2018-01-12T05:52:00-0700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719</v>
      </c>
      <c r="B18" s="225">
        <v>4017</v>
      </c>
      <c r="C18" s="227" t="s">
        <v>191</v>
      </c>
      <c r="D18" s="227" t="s">
        <v>625</v>
      </c>
      <c r="E18" s="226">
        <v>43112.213414351849</v>
      </c>
      <c r="F18" s="226">
        <v>43112.217094907406</v>
      </c>
      <c r="G18" s="225">
        <v>47</v>
      </c>
      <c r="H18" s="227" t="s">
        <v>532</v>
      </c>
      <c r="I18" s="226">
        <v>43112.242719907408</v>
      </c>
      <c r="J18" s="225">
        <v>0</v>
      </c>
      <c r="K18" s="237" t="str">
        <f>IF(ISEVEN(B18),(B18-1)&amp;"/"&amp;B18,B18&amp;"/"&amp;(B18+1))</f>
        <v>4017/4018</v>
      </c>
      <c r="L18" s="245" t="str">
        <f>VLOOKUP(A18,'Trips&amp;Operators'!$C$1:$G$99911,5,FALSE)</f>
        <v>BONDS REYNALDO</v>
      </c>
      <c r="M18" s="224">
        <f>I18-F18</f>
        <v>2.5625000002037268E-2</v>
      </c>
      <c r="N18" s="225">
        <f>24*60*SUM($M18:$M18)</f>
        <v>36.900000002933666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-12T04:07:19-0700',mode:absolute,to:'2018-01-12T06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23.297699999999999</v>
      </c>
      <c r="Z18" s="247">
        <f>RIGHT(H18,LEN(H18)-4)/10000</f>
        <v>2.1600000000000001E-2</v>
      </c>
      <c r="AA18" s="247">
        <f>ABS(Z18-Y18)</f>
        <v>23.2761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/stypes="app*4017*20180112*"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106-12 --locoid 4017 --swversion DE.1.0.9.0 --startMP 204:232977 --initTime 2018-01-12T05:07:19 --startdatetime 2018-01-12T05:12:37 --delay 47 --endMP 204:216 --enddatetime 2018-01-12T05:49:31 --enforcementcount 0 &gt;&gt;%USERPROFILE%\Documents\GitHub\eaglep3-reporting\EC\2018-01-12-refined-times.txt</v>
      </c>
      <c r="AI1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{"issue":{"subject":"","project_id":79,"tracker_id":40,"status_id":1,"priority_id":2,"assigned_to_id":338,"start_date":"2018-01-12","description":"","custom_fields":[{"id":1,"name":"Subdivision","value":"EC"},{"id":4,"name":"Milepost","value":"0.0216"},{"id":17,"name":"Train ID","value":"106-12"},{"id":16,"name":"Locomotive ID","value":"4017"},{"id":130,"name":"Impact","value":""},{"id":150,"name":"Time of Event (Mountain Time)","value":"05:49:31"},{"id":151,"name":"Denver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4017 --day 2018-01-12</v>
      </c>
      <c r="AN1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-12T04:07:19-0700',mode:absolute,to:'2018-01-12T06:49:31-0700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668</v>
      </c>
      <c r="B19" s="225">
        <v>4006</v>
      </c>
      <c r="C19" s="227" t="s">
        <v>191</v>
      </c>
      <c r="D19" s="227" t="s">
        <v>914</v>
      </c>
      <c r="E19" s="226">
        <v>43112.183425925927</v>
      </c>
      <c r="F19" s="226">
        <v>43112.187673611108</v>
      </c>
      <c r="G19" s="225">
        <v>75</v>
      </c>
      <c r="H19" s="227" t="s">
        <v>537</v>
      </c>
      <c r="I19" s="226">
        <v>43112.212280092594</v>
      </c>
      <c r="J19" s="225">
        <v>0</v>
      </c>
      <c r="K19" s="237" t="str">
        <f>IF(ISEVEN(B19),(B19-1)&amp;"/"&amp;B19,B19&amp;"/"&amp;(B19+1))</f>
        <v>4005/4006</v>
      </c>
      <c r="L19" s="245" t="str">
        <f>VLOOKUP(A19,'Trips&amp;Operators'!$C$1:$G$99911,5,FALSE)</f>
        <v>GEBRETEKLE DAGNEW</v>
      </c>
      <c r="M19" s="224">
        <f>I19-F19</f>
        <v>2.4606481485534459E-2</v>
      </c>
      <c r="N19" s="225">
        <f>24*60*SUM($M19:$M19)</f>
        <v>35.433333339169621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-12T03:24:08-0700',mode:absolute,to:'2018-01-12T06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4.6600000000000003E-2</v>
      </c>
      <c r="Z19" s="247">
        <f>RIGHT(H19,LEN(H19)-4)/10000</f>
        <v>23.328800000000001</v>
      </c>
      <c r="AA19" s="247">
        <f>ABS(Z19-Y19)</f>
        <v>23.2822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/stypes="app*4006*20180112*"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107-12 --locoid 4006 --swversion DE.1.0.9.0 --startMP 204:466 --initTime 2018-01-12T04:24:08 --startdatetime 2018-01-12T04:30:15 --delay 75 --endMP 204:233288 --enddatetime 2018-01-12T05:05:41 --enforcementcount 0 &gt;&gt;%USERPROFILE%\Documents\GitHub\eaglep3-reporting\EC\2018-01-12-refined-times.txt</v>
      </c>
      <c r="AI1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{"issue":{"subject":"","project_id":79,"tracker_id":40,"status_id":1,"priority_id":2,"assigned_to_id":338,"start_date":"2018-01-12","description":"","custom_fields":[{"id":1,"name":"Subdivision","value":"EC"},{"id":4,"name":"Milepost","value":"23.3288"},{"id":17,"name":"Train ID","value":"107-12"},{"id":16,"name":"Locomotive ID","value":"4006"},{"id":130,"name":"Impact","value":""},{"id":150,"name":"Time of Event (Mountain Time)","value":"05:05:41"},{"id":151,"name":"Denver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4006 --day 2018-01-12</v>
      </c>
      <c r="AN1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-12T03:24:08-0700',mode:absolute,to:'2018-01-12T06:05:41-0700'))&amp;_a=(columns:!('Message%20ID',Summary),filters:!(),index:'emp_*',interval:auto,query:(query_string:(analyze_wildcard:!t,query:'%22rtdc.l.rtdc.4006%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721</v>
      </c>
      <c r="B20" s="225">
        <v>4005</v>
      </c>
      <c r="C20" s="227" t="s">
        <v>191</v>
      </c>
      <c r="D20" s="227" t="s">
        <v>915</v>
      </c>
      <c r="E20" s="226">
        <v>43112.21429398148</v>
      </c>
      <c r="F20" s="226">
        <v>43112.227280092593</v>
      </c>
      <c r="G20" s="225">
        <v>56</v>
      </c>
      <c r="H20" s="227" t="s">
        <v>633</v>
      </c>
      <c r="I20" s="226">
        <v>43112.252604166664</v>
      </c>
      <c r="J20" s="225">
        <v>0</v>
      </c>
      <c r="K20" s="237" t="str">
        <f>IF(ISEVEN(B20),(B20-1)&amp;"/"&amp;B20,B20&amp;"/"&amp;(B20+1))</f>
        <v>4005/4006</v>
      </c>
      <c r="L20" s="245" t="str">
        <f>VLOOKUP(A20,'Trips&amp;Operators'!$C$1:$G$99911,5,FALSE)</f>
        <v>GEBRETEKLE DAGNEW</v>
      </c>
      <c r="M20" s="224">
        <f>I20-F20</f>
        <v>2.5324074071249925E-2</v>
      </c>
      <c r="N20" s="225">
        <f>24*60*SUM($M20:$M20)</f>
        <v>36.466666662599891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-12T04:08:35-0700',mode:absolute,to:'2018-01-12T07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23.297499999999999</v>
      </c>
      <c r="Z20" s="247">
        <f>RIGHT(H20,LEN(H20)-4)/10000</f>
        <v>1.7000000000000001E-2</v>
      </c>
      <c r="AA20" s="247">
        <f>ABS(Z20-Y20)</f>
        <v>23.2805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/stypes="app*4005*20180112*"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108-12 --locoid 4005 --swversion DE.1.0.9.0 --startMP 204:232975 --initTime 2018-01-12T05:08:35 --startdatetime 2018-01-12T05:27:17 --delay 56 --endMP 204:170 --enddatetime 2018-01-12T06:03:45 --enforcementcount 0 &gt;&gt;%USERPROFILE%\Documents\GitHub\eaglep3-reporting\EC\2018-01-12-refined-times.txt</v>
      </c>
      <c r="AI20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{"issue":{"subject":"","project_id":79,"tracker_id":40,"status_id":1,"priority_id":2,"assigned_to_id":338,"start_date":"2018-01-12","description":"","custom_fields":[{"id":1,"name":"Subdivision","value":"EC"},{"id":4,"name":"Milepost","value":"0.017"},{"id":17,"name":"Train ID","value":"108-12"},{"id":16,"name":"Locomotive ID","value":"4005"},{"id":130,"name":"Impact","value":""},{"id":150,"name":"Time of Event (Mountain Time)","value":"06:03:45"},{"id":151,"name":"Denver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4005 --day 2018-01-12</v>
      </c>
      <c r="AN20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-12T04:08:35-0700',mode:absolute,to:'2018-01-12T07:03:45-0700'))&amp;_a=(columns:!('Message%20ID',Summary),filters:!(),index:'emp_*',interval:auto,query:(query_string:(analyze_wildcard:!t,query:'%22rtdc.l.rtdc.4005%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712</v>
      </c>
      <c r="B21" s="225">
        <v>4004</v>
      </c>
      <c r="C21" s="227" t="s">
        <v>191</v>
      </c>
      <c r="D21" s="227" t="s">
        <v>916</v>
      </c>
      <c r="E21" s="226">
        <v>43112.193518518521</v>
      </c>
      <c r="F21" s="226">
        <v>43112.198182870372</v>
      </c>
      <c r="G21" s="225">
        <v>89</v>
      </c>
      <c r="H21" s="227" t="s">
        <v>917</v>
      </c>
      <c r="I21" s="226">
        <v>43112.222951388889</v>
      </c>
      <c r="J21" s="225">
        <v>0</v>
      </c>
      <c r="K21" s="237" t="str">
        <f>IF(ISEVEN(B21),(B21-1)&amp;"/"&amp;B21,B21&amp;"/"&amp;(B21+1))</f>
        <v>4003/4004</v>
      </c>
      <c r="L21" s="245" t="str">
        <f>VLOOKUP(A21,'Trips&amp;Operators'!$C$1:$G$99911,5,FALSE)</f>
        <v>LOPES KIMBERLY</v>
      </c>
      <c r="M21" s="224">
        <f>I21-F21</f>
        <v>2.4768518516793847E-2</v>
      </c>
      <c r="N21" s="225">
        <f>24*60*SUM($M21:$M21)</f>
        <v>35.66666666418314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-12T03:38:40-0700',mode:absolute,to:'2018-01-12T06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5.3999999999999999E-2</v>
      </c>
      <c r="Z21" s="247">
        <f>RIGHT(H21,LEN(H21)-4)/10000</f>
        <v>23.323</v>
      </c>
      <c r="AA21" s="247">
        <f>ABS(Z21-Y21)</f>
        <v>23.269000000000002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/stypes="app*4004*20180112*"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109-12 --locoid 4004 --swversion DE.1.0.9.0 --startMP 204:540 --initTime 2018-01-12T04:38:40 --startdatetime 2018-01-12T04:45:23 --delay 89 --endMP 204:233230 --enddatetime 2018-01-12T05:21:03 --enforcementcount 0 &gt;&gt;%USERPROFILE%\Documents\GitHub\eaglep3-reporting\EC\2018-01-12-refined-times.txt</v>
      </c>
      <c r="AI21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{"issue":{"subject":"","project_id":79,"tracker_id":40,"status_id":1,"priority_id":2,"assigned_to_id":338,"start_date":"2018-01-12","description":"","custom_fields":[{"id":1,"name":"Subdivision","value":"EC"},{"id":4,"name":"Milepost","value":"23.323"},{"id":17,"name":"Train ID","value":"109-12"},{"id":16,"name":"Locomotive ID","value":"4004"},{"id":130,"name":"Impact","value":""},{"id":150,"name":"Time of Event (Mountain Time)","value":"05:21:03"},{"id":151,"name":"Denver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4004 --day 2018-01-12</v>
      </c>
      <c r="AN21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-12T03:38:40-0700',mode:absolute,to:'2018-01-12T06:21:03-0700'))&amp;_a=(columns:!('Message%20ID',Summary),filters:!(),index:'emp_*',interval:auto,query:(query_string:(analyze_wildcard:!t,query:'%22rtdc.l.rtdc.4004%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726</v>
      </c>
      <c r="B22" s="225">
        <v>4003</v>
      </c>
      <c r="C22" s="227" t="s">
        <v>191</v>
      </c>
      <c r="D22" s="227" t="s">
        <v>918</v>
      </c>
      <c r="E22" s="226">
        <v>43112.235046296293</v>
      </c>
      <c r="F22" s="226">
        <v>43112.238136574073</v>
      </c>
      <c r="G22" s="225">
        <v>72</v>
      </c>
      <c r="H22" s="227" t="s">
        <v>489</v>
      </c>
      <c r="I22" s="226">
        <v>43112.263495370367</v>
      </c>
      <c r="J22" s="225">
        <v>0</v>
      </c>
      <c r="K22" s="237" t="str">
        <f>IF(ISEVEN(B22),(B22-1)&amp;"/"&amp;B22,B22&amp;"/"&amp;(B22+1))</f>
        <v>4003/4004</v>
      </c>
      <c r="L22" s="245" t="str">
        <f>VLOOKUP(A22,'Trips&amp;Operators'!$C$1:$G$99911,5,FALSE)</f>
        <v>LOPES KIMBERLY</v>
      </c>
      <c r="M22" s="224">
        <f>I22-F22</f>
        <v>2.5358796294312924E-2</v>
      </c>
      <c r="N22" s="225">
        <f>24*60*SUM($M22:$M22)</f>
        <v>36.516666663810611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-12T04:38:28-0700',mode:absolute,to:'2018-01-12T07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23.291699999999999</v>
      </c>
      <c r="Z22" s="247">
        <f>RIGHT(H22,LEN(H22)-4)/10000</f>
        <v>2.29E-2</v>
      </c>
      <c r="AA22" s="247">
        <f>ABS(Z22-Y22)</f>
        <v>23.268799999999999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/stypes="app*4003*20180112*"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110-12 --locoid 4003 --swversion DE.1.0.9.0 --startMP 204:232917 --initTime 2018-01-12T05:38:28 --startdatetime 2018-01-12T05:42:55 --delay 72 --endMP 204:229 --enddatetime 2018-01-12T06:19:26 --enforcementcount 0 &gt;&gt;%USERPROFILE%\Documents\GitHub\eaglep3-reporting\EC\2018-01-12-refined-times.txt</v>
      </c>
      <c r="AI2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{"issue":{"subject":"","project_id":79,"tracker_id":40,"status_id":1,"priority_id":2,"assigned_to_id":338,"start_date":"2018-01-12","description":"","custom_fields":[{"id":1,"name":"Subdivision","value":"EC"},{"id":4,"name":"Milepost","value":"0.0229"},{"id":17,"name":"Train ID","value":"110-12"},{"id":16,"name":"Locomotive ID","value":"4003"},{"id":130,"name":"Impact","value":""},{"id":150,"name":"Time of Event (Mountain Time)","value":"06:19:26"},{"id":151,"name":"Denver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4003 --day 2018-01-12</v>
      </c>
      <c r="AN2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-12T04:38:28-0700',mode:absolute,to:'2018-01-12T07:19:26-0700'))&amp;_a=(columns:!('Message%20ID',Summary),filters:!(),index:'emp_*',interval:auto,query:(query_string:(analyze_wildcard:!t,query:'%22rtdc.l.rtdc.4003%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716</v>
      </c>
      <c r="B23" s="225">
        <v>4026</v>
      </c>
      <c r="C23" s="227" t="s">
        <v>191</v>
      </c>
      <c r="D23" s="227" t="s">
        <v>919</v>
      </c>
      <c r="E23" s="226">
        <v>43112.201145833336</v>
      </c>
      <c r="F23" s="226">
        <v>43112.208726851852</v>
      </c>
      <c r="G23" s="225">
        <v>47</v>
      </c>
      <c r="H23" s="227" t="s">
        <v>458</v>
      </c>
      <c r="I23" s="226">
        <v>43112.233298611114</v>
      </c>
      <c r="J23" s="225">
        <v>0</v>
      </c>
      <c r="K23" s="237" t="str">
        <f>IF(ISEVEN(B23),(B23-1)&amp;"/"&amp;B23,B23&amp;"/"&amp;(B23+1))</f>
        <v>4025/4026</v>
      </c>
      <c r="L23" s="245" t="str">
        <f>VLOOKUP(A23,'Trips&amp;Operators'!$C$1:$G$99911,5,FALSE)</f>
        <v>YORK EDGAR</v>
      </c>
      <c r="M23" s="224">
        <f>I23-F23</f>
        <v>2.457175926247146E-2</v>
      </c>
      <c r="N23" s="225">
        <f>24*60*SUM($M23:$M23)</f>
        <v>35.383333337958902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-12T03:49:39-0700',mode:absolute,to:'2018-01-12T06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4.3799999999999999E-2</v>
      </c>
      <c r="Z23" s="247">
        <f>RIGHT(H23,LEN(H23)-4)/10000</f>
        <v>23.328600000000002</v>
      </c>
      <c r="AA23" s="247">
        <f>ABS(Z23-Y23)</f>
        <v>23.284800000000001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/stypes="app*4026*20180112*"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111-12 --locoid 4026 --swversion DE.1.0.9.0 --startMP 204:438 --initTime 2018-01-12T04:49:39 --startdatetime 2018-01-12T05:00:34 --delay 47 --endMP 204:233286 --enddatetime 2018-01-12T05:35:57 --enforcementcount 0 &gt;&gt;%USERPROFILE%\Documents\GitHub\eaglep3-reporting\EC\2018-01-12-refined-times.txt</v>
      </c>
      <c r="AI23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{"issue":{"subject":"","project_id":79,"tracker_id":40,"status_id":1,"priority_id":2,"assigned_to_id":338,"start_date":"2018-01-12","description":"","custom_fields":[{"id":1,"name":"Subdivision","value":"EC"},{"id":4,"name":"Milepost","value":"23.3286"},{"id":17,"name":"Train ID","value":"111-12"},{"id":16,"name":"Locomotive ID","value":"4026"},{"id":130,"name":"Impact","value":""},{"id":150,"name":"Time of Event (Mountain Time)","value":"05:35:57"},{"id":151,"name":"Denver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4026 --day 2018-01-12</v>
      </c>
      <c r="AN23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-12T03:49:39-0700',mode:absolute,to:'2018-01-12T06:35:57-0700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725</v>
      </c>
      <c r="B24" s="225">
        <v>4025</v>
      </c>
      <c r="C24" s="227" t="s">
        <v>191</v>
      </c>
      <c r="D24" s="227" t="s">
        <v>920</v>
      </c>
      <c r="E24" s="226">
        <v>43112.234722222223</v>
      </c>
      <c r="F24" s="226">
        <v>43112.248136574075</v>
      </c>
      <c r="G24" s="225">
        <v>55</v>
      </c>
      <c r="H24" s="227" t="s">
        <v>461</v>
      </c>
      <c r="I24" s="226">
        <v>43112.273263888892</v>
      </c>
      <c r="J24" s="225">
        <v>0</v>
      </c>
      <c r="K24" s="237" t="str">
        <f>IF(ISEVEN(B24),(B24-1)&amp;"/"&amp;B24,B24&amp;"/"&amp;(B24+1))</f>
        <v>4025/4026</v>
      </c>
      <c r="L24" s="245" t="str">
        <f>VLOOKUP(A24,'Trips&amp;Operators'!$C$1:$G$99911,5,FALSE)</f>
        <v>YORK EDGAR</v>
      </c>
      <c r="M24" s="224">
        <f>I24-F24</f>
        <v>2.5127314816927537E-2</v>
      </c>
      <c r="N24" s="225">
        <f>24*60*SUM($M24:$M24)</f>
        <v>36.183333336375654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-12T04:38:00-0700',mode:absolute,to:'2018-01-12T07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23.2971</v>
      </c>
      <c r="Z24" s="247">
        <f>RIGHT(H24,LEN(H24)-4)/10000</f>
        <v>1.49E-2</v>
      </c>
      <c r="AA24" s="247">
        <f>ABS(Z24-Y24)</f>
        <v>23.2822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/stypes="app*4025*20180112*"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112-12 --locoid 4025 --swversion DE.1.0.9.0 --startMP 204:232971 --initTime 2018-01-12T05:38:00 --startdatetime 2018-01-12T05:57:19 --delay 55 --endMP 204:149 --enddatetime 2018-01-12T06:33:30 --enforcementcount 0 &gt;&gt;%USERPROFILE%\Documents\GitHub\eaglep3-reporting\EC\2018-01-12-refined-times.txt</v>
      </c>
      <c r="AI2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{"issue":{"subject":"","project_id":79,"tracker_id":40,"status_id":1,"priority_id":2,"assigned_to_id":338,"start_date":"2018-01-12","description":"","custom_fields":[{"id":1,"name":"Subdivision","value":"EC"},{"id":4,"name":"Milepost","value":"0.0149"},{"id":17,"name":"Train ID","value":"112-12"},{"id":16,"name":"Locomotive ID","value":"4025"},{"id":130,"name":"Impact","value":""},{"id":150,"name":"Time of Event (Mountain Time)","value":"06:33:30"},{"id":151,"name":"Denver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4025 --day 2018-01-12</v>
      </c>
      <c r="AN2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-12T04:38:00-0700',mode:absolute,to:'2018-01-12T07:33:30-0700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718</v>
      </c>
      <c r="B25" s="225">
        <v>4060</v>
      </c>
      <c r="C25" s="227" t="s">
        <v>191</v>
      </c>
      <c r="D25" s="227" t="s">
        <v>921</v>
      </c>
      <c r="E25" s="226">
        <v>43112.210358796299</v>
      </c>
      <c r="F25" s="226">
        <v>43112.218981481485</v>
      </c>
      <c r="G25" s="225">
        <v>59</v>
      </c>
      <c r="H25" s="227" t="s">
        <v>922</v>
      </c>
      <c r="I25" s="226">
        <v>43112.243692129632</v>
      </c>
      <c r="J25" s="225">
        <v>0</v>
      </c>
      <c r="K25" s="237" t="str">
        <f>IF(ISEVEN(B25),(B25-1)&amp;"/"&amp;B25,B25&amp;"/"&amp;(B25+1))</f>
        <v>4059/4060</v>
      </c>
      <c r="L25" s="245" t="str">
        <f>VLOOKUP(A25,'Trips&amp;Operators'!$C$1:$G$99911,5,FALSE)</f>
        <v>MACDONALD THOMAS</v>
      </c>
      <c r="M25" s="224">
        <f>I25-F25</f>
        <v>2.47106481474475E-2</v>
      </c>
      <c r="N25" s="225">
        <f>24*60*SUM($M25:$M25)</f>
        <v>35.583333332324401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-12T04:02:55-0700',mode:absolute,to:'2018-01-12T06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5.3900000000000003E-2</v>
      </c>
      <c r="Z25" s="247">
        <f>RIGHT(H25,LEN(H25)-4)/10000</f>
        <v>23.324200000000001</v>
      </c>
      <c r="AA25" s="247">
        <f>ABS(Z25-Y25)</f>
        <v>23.270300000000002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/stypes="app*4060*20180112*"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113-12 --locoid 4060 --swversion DE.1.0.9.0 --startMP 204:539 --initTime 2018-01-12T05:02:55 --startdatetime 2018-01-12T05:15:20 --delay 59 --endMP 204:233242 --enddatetime 2018-01-12T05:50:55 --enforcementcount 0 &gt;&gt;%USERPROFILE%\Documents\GitHub\eaglep3-reporting\EC\2018-01-12-refined-times.txt</v>
      </c>
      <c r="AI2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{"issue":{"subject":"","project_id":79,"tracker_id":40,"status_id":1,"priority_id":2,"assigned_to_id":338,"start_date":"2018-01-12","description":"","custom_fields":[{"id":1,"name":"Subdivision","value":"EC"},{"id":4,"name":"Milepost","value":"23.3242"},{"id":17,"name":"Train ID","value":"113-12"},{"id":16,"name":"Locomotive ID","value":"4060"},{"id":130,"name":"Impact","value":""},{"id":150,"name":"Time of Event (Mountain Time)","value":"05:50:55"},{"id":151,"name":"Denver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4060 --day 2018-01-12</v>
      </c>
      <c r="AN2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-12T04:02:55-0700',mode:absolute,to:'2018-01-12T06:50:55-0700'))&amp;_a=(columns:!('Message%20ID',Summary),filters:!(),index:'emp_*',interval:auto,query:(query_string:(analyze_wildcard:!t,query:'%22rtdc.l.rtdc.4060%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734</v>
      </c>
      <c r="B26" s="225">
        <v>4059</v>
      </c>
      <c r="C26" s="227" t="s">
        <v>191</v>
      </c>
      <c r="D26" s="227" t="s">
        <v>923</v>
      </c>
      <c r="E26" s="226">
        <v>43112.256377314814</v>
      </c>
      <c r="F26" s="226">
        <v>43112.258576388886</v>
      </c>
      <c r="G26" s="225">
        <v>43</v>
      </c>
      <c r="H26" s="227" t="s">
        <v>924</v>
      </c>
      <c r="I26" s="226">
        <v>43112.284687500003</v>
      </c>
      <c r="J26" s="225">
        <v>0</v>
      </c>
      <c r="K26" s="237" t="str">
        <f>IF(ISEVEN(B26),(B26-1)&amp;"/"&amp;B26,B26&amp;"/"&amp;(B26+1))</f>
        <v>4059/4060</v>
      </c>
      <c r="L26" s="245" t="str">
        <f>VLOOKUP(A26,'Trips&amp;Operators'!$C$1:$G$99911,5,FALSE)</f>
        <v>MACDONALD THOMAS</v>
      </c>
      <c r="M26" s="224">
        <f>I26-F26</f>
        <v>2.6111111117643304E-2</v>
      </c>
      <c r="N26" s="225">
        <f>24*60*SUM($M26:$M26)</f>
        <v>37.600000009406358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-12T05:09:11-0700',mode:absolute,to:'2018-01-12T07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23.291499999999999</v>
      </c>
      <c r="Z26" s="247">
        <f>RIGHT(H26,LEN(H26)-4)/10000</f>
        <v>1.7600000000000001E-2</v>
      </c>
      <c r="AA26" s="247">
        <f>ABS(Z26-Y26)</f>
        <v>23.273899999999998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/stypes="app*4059*20180112*"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114-12 --locoid 4059 --swversion DE.1.0.9.0 --startMP 204:232915 --initTime 2018-01-12T06:09:11 --startdatetime 2018-01-12T06:12:21 --delay 43 --endMP 204:176 --enddatetime 2018-01-12T06:49:57 --enforcementcount 0 &gt;&gt;%USERPROFILE%\Documents\GitHub\eaglep3-reporting\EC\2018-01-12-refined-times.txt</v>
      </c>
      <c r="AI2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{"issue":{"subject":"","project_id":79,"tracker_id":40,"status_id":1,"priority_id":2,"assigned_to_id":338,"start_date":"2018-01-12","description":"","custom_fields":[{"id":1,"name":"Subdivision","value":"EC"},{"id":4,"name":"Milepost","value":"0.0176"},{"id":17,"name":"Train ID","value":"114-12"},{"id":16,"name":"Locomotive ID","value":"4059"},{"id":130,"name":"Impact","value":""},{"id":150,"name":"Time of Event (Mountain Time)","value":"06:49:57"},{"id":151,"name":"Denver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4059 --day 2018-01-12</v>
      </c>
      <c r="AN2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-12T05:09:11-0700',mode:absolute,to:'2018-01-12T07:49:57-0700'))&amp;_a=(columns:!('Message%20ID',Summary),filters:!(),index:'emp_*',interval:auto,query:(query_string:(analyze_wildcard:!t,query:'%22rtdc.l.rtdc.4059%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723</v>
      </c>
      <c r="B27" s="225">
        <v>4040</v>
      </c>
      <c r="C27" s="227" t="s">
        <v>191</v>
      </c>
      <c r="D27" s="227" t="s">
        <v>618</v>
      </c>
      <c r="E27" s="226">
        <v>43112.22587962963</v>
      </c>
      <c r="F27" s="226">
        <v>43112.22934027778</v>
      </c>
      <c r="G27" s="225">
        <v>46</v>
      </c>
      <c r="H27" s="227" t="s">
        <v>925</v>
      </c>
      <c r="I27" s="226">
        <v>43112.254537037035</v>
      </c>
      <c r="J27" s="225">
        <v>0</v>
      </c>
      <c r="K27" s="237" t="str">
        <f>IF(ISEVEN(B27),(B27-1)&amp;"/"&amp;B27,B27&amp;"/"&amp;(B27+1))</f>
        <v>4039/4040</v>
      </c>
      <c r="L27" s="245" t="str">
        <f>VLOOKUP(A27,'Trips&amp;Operators'!$C$1:$G$99911,5,FALSE)</f>
        <v>MAELZER KURT</v>
      </c>
      <c r="M27" s="224">
        <f>I27-F27</f>
        <v>2.5196759255777579E-2</v>
      </c>
      <c r="N27" s="225">
        <f>24*60*SUM($M27:$M27)</f>
        <v>36.283333328319713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-12T04:25:16-0700',mode:absolute,to:'2018-01-12T07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4.8800000000000003E-2</v>
      </c>
      <c r="Z27" s="247">
        <f>RIGHT(H27,LEN(H27)-4)/10000</f>
        <v>23.3307</v>
      </c>
      <c r="AA27" s="247">
        <f>ABS(Z27-Y27)</f>
        <v>23.2819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/stypes="app*4040*20180112*"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115-12 --locoid 4040 --swversion DE.1.0.9.0 --startMP 204:488 --initTime 2018-01-12T05:25:16 --startdatetime 2018-01-12T05:30:15 --delay 46 --endMP 204:233307 --enddatetime 2018-01-12T06:06:32 --enforcementcount 0 &gt;&gt;%USERPROFILE%\Documents\GitHub\eaglep3-reporting\EC\2018-01-12-refined-times.txt</v>
      </c>
      <c r="AI2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{"issue":{"subject":"","project_id":79,"tracker_id":40,"status_id":1,"priority_id":2,"assigned_to_id":338,"start_date":"2018-01-12","description":"","custom_fields":[{"id":1,"name":"Subdivision","value":"EC"},{"id":4,"name":"Milepost","value":"23.3307"},{"id":17,"name":"Train ID","value":"115-12"},{"id":16,"name":"Locomotive ID","value":"4040"},{"id":130,"name":"Impact","value":""},{"id":150,"name":"Time of Event (Mountain Time)","value":"06:06:32"},{"id":151,"name":"Denver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4040 --day 2018-01-12</v>
      </c>
      <c r="AN2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-12T04:25:16-0700',mode:absolute,to:'2018-01-12T07:06:32-0700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735</v>
      </c>
      <c r="B28" s="225">
        <v>4039</v>
      </c>
      <c r="C28" s="227" t="s">
        <v>191</v>
      </c>
      <c r="D28" s="227" t="s">
        <v>533</v>
      </c>
      <c r="E28" s="226">
        <v>43112.263009259259</v>
      </c>
      <c r="F28" s="226">
        <v>43112.268935185188</v>
      </c>
      <c r="G28" s="225">
        <v>46</v>
      </c>
      <c r="H28" s="227" t="s">
        <v>617</v>
      </c>
      <c r="I28" s="226">
        <v>43112.294733796298</v>
      </c>
      <c r="J28" s="225">
        <v>0</v>
      </c>
      <c r="K28" s="237" t="str">
        <f>IF(ISEVEN(B28),(B28-1)&amp;"/"&amp;B28,B28&amp;"/"&amp;(B28+1))</f>
        <v>4039/4040</v>
      </c>
      <c r="L28" s="245" t="str">
        <f>VLOOKUP(A28,'Trips&amp;Operators'!$C$1:$G$99911,5,FALSE)</f>
        <v>MAELZER KURT</v>
      </c>
      <c r="M28" s="224">
        <f>I28-F28</f>
        <v>2.5798611110076308E-2</v>
      </c>
      <c r="N28" s="225">
        <f>24*60*SUM($M28:$M28)</f>
        <v>37.149999998509884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-12T05:18:44-0700',mode:absolute,to:'2018-01-12T08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23.297999999999998</v>
      </c>
      <c r="Z28" s="247">
        <f>RIGHT(H28,LEN(H28)-4)/10000</f>
        <v>1.67E-2</v>
      </c>
      <c r="AA28" s="247">
        <f>ABS(Z28-Y28)</f>
        <v>23.281299999999998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/stypes="app*4039*20180112*"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116-12 --locoid 4039 --swversion DE.1.0.9.0 --startMP 204:232980 --initTime 2018-01-12T06:18:44 --startdatetime 2018-01-12T06:27:16 --delay 46 --endMP 204:167 --enddatetime 2018-01-12T07:04:25 --enforcementcount 0 &gt;&gt;%USERPROFILE%\Documents\GitHub\eaglep3-reporting\EC\2018-01-12-refined-times.txt</v>
      </c>
      <c r="AI2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{"issue":{"subject":"","project_id":79,"tracker_id":40,"status_id":1,"priority_id":2,"assigned_to_id":338,"start_date":"2018-01-12","description":"","custom_fields":[{"id":1,"name":"Subdivision","value":"EC"},{"id":4,"name":"Milepost","value":"0.0167"},{"id":17,"name":"Train ID","value":"116-12"},{"id":16,"name":"Locomotive ID","value":"4039"},{"id":130,"name":"Impact","value":""},{"id":150,"name":"Time of Event (Mountain Time)","value":"07:04:25"},{"id":151,"name":"Denver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4039 --day 2018-01-12</v>
      </c>
      <c r="AN2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-12T05:18:44-0700',mode:absolute,to:'2018-01-12T08:04:25-0700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727</v>
      </c>
      <c r="B29" s="225">
        <v>4028</v>
      </c>
      <c r="C29" s="227" t="s">
        <v>191</v>
      </c>
      <c r="D29" s="227" t="s">
        <v>926</v>
      </c>
      <c r="E29" s="226">
        <v>43112.235219907408</v>
      </c>
      <c r="F29" s="226">
        <v>43112.23978009259</v>
      </c>
      <c r="G29" s="225">
        <v>65</v>
      </c>
      <c r="H29" s="227" t="s">
        <v>927</v>
      </c>
      <c r="I29" s="226">
        <v>43112.264745370368</v>
      </c>
      <c r="J29" s="225">
        <v>0</v>
      </c>
      <c r="K29" s="237" t="str">
        <f>IF(ISEVEN(B29),(B29-1)&amp;"/"&amp;B29,B29&amp;"/"&amp;(B29+1))</f>
        <v>4027/4028</v>
      </c>
      <c r="L29" s="245" t="str">
        <f>VLOOKUP(A29,'Trips&amp;Operators'!$C$1:$G$99911,5,FALSE)</f>
        <v>YANAI IAN</v>
      </c>
      <c r="M29" s="224">
        <f>I29-F29</f>
        <v>2.4965277778392192E-2</v>
      </c>
      <c r="N29" s="225">
        <f>24*60*SUM($M29:$M29)</f>
        <v>35.950000000884756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-12T04:38:43-0700',mode:absolute,to:'2018-01-12T07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5.04E-2</v>
      </c>
      <c r="Z29" s="247">
        <f>RIGHT(H29,LEN(H29)-4)/10000</f>
        <v>23.335899999999999</v>
      </c>
      <c r="AA29" s="247">
        <f>ABS(Z29-Y29)</f>
        <v>23.285499999999999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/stypes="app*4028*20180112*"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117-12 --locoid 4028 --swversion DE.1.0.9.0 --startMP 204:504 --initTime 2018-01-12T05:38:43 --startdatetime 2018-01-12T05:45:17 --delay 65 --endMP 204:233359 --enddatetime 2018-01-12T06:21:14 --enforcementcount 0 &gt;&gt;%USERPROFILE%\Documents\GitHub\eaglep3-reporting\EC\2018-01-12-refined-times.txt</v>
      </c>
      <c r="AI2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{"issue":{"subject":"","project_id":79,"tracker_id":40,"status_id":1,"priority_id":2,"assigned_to_id":338,"start_date":"2018-01-12","description":"","custom_fields":[{"id":1,"name":"Subdivision","value":"EC"},{"id":4,"name":"Milepost","value":"23.3359"},{"id":17,"name":"Train ID","value":"117-12"},{"id":16,"name":"Locomotive ID","value":"4028"},{"id":130,"name":"Impact","value":""},{"id":150,"name":"Time of Event (Mountain Time)","value":"06:21:14"},{"id":151,"name":"Denver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4028 --day 2018-01-12</v>
      </c>
      <c r="AN2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-12T04:38:43-0700',mode:absolute,to:'2018-01-12T07:21:14-0700'))&amp;_a=(columns:!('Message%20ID',Summary),filters:!(),index:'emp_*',interval:auto,query:(query_string:(analyze_wildcard:!t,query:'%22rtdc.l.rtdc.4028%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737</v>
      </c>
      <c r="B30" s="225">
        <v>4027</v>
      </c>
      <c r="C30" s="227" t="s">
        <v>191</v>
      </c>
      <c r="D30" s="227" t="s">
        <v>928</v>
      </c>
      <c r="E30" s="226">
        <v>43112.265879629631</v>
      </c>
      <c r="F30" s="226">
        <v>43112.279328703706</v>
      </c>
      <c r="G30" s="225">
        <v>72</v>
      </c>
      <c r="H30" s="227" t="s">
        <v>463</v>
      </c>
      <c r="I30" s="226">
        <v>43112.304664351854</v>
      </c>
      <c r="J30" s="225">
        <v>0</v>
      </c>
      <c r="K30" s="237" t="str">
        <f>IF(ISEVEN(B30),(B30-1)&amp;"/"&amp;B30,B30&amp;"/"&amp;(B30+1))</f>
        <v>4027/4028</v>
      </c>
      <c r="L30" s="245" t="str">
        <f>VLOOKUP(A30,'Trips&amp;Operators'!$C$1:$G$99911,5,FALSE)</f>
        <v>YANAI IAN</v>
      </c>
      <c r="M30" s="224">
        <f>I30-F30</f>
        <v>2.5335648148029577E-2</v>
      </c>
      <c r="N30" s="225">
        <f>24*60*SUM($M30:$M30)</f>
        <v>36.483333333162591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-12T05:22:52-0700',mode:absolute,to:'2018-01-12T08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23.303599999999999</v>
      </c>
      <c r="Z30" s="247">
        <f>RIGHT(H30,LEN(H30)-4)/10000</f>
        <v>1.8499999999999999E-2</v>
      </c>
      <c r="AA30" s="247">
        <f>ABS(Z30-Y30)</f>
        <v>23.2851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/stypes="app*4027*20180112*"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118-12 --locoid 4027 --swversion DE.1.0.9.0 --startMP 204:233036 --initTime 2018-01-12T06:22:52 --startdatetime 2018-01-12T06:42:14 --delay 72 --endMP 204:185 --enddatetime 2018-01-12T07:18:43 --enforcementcount 0 &gt;&gt;%USERPROFILE%\Documents\GitHub\eaglep3-reporting\EC\2018-01-12-refined-times.txt</v>
      </c>
      <c r="AI30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{"issue":{"subject":"","project_id":79,"tracker_id":40,"status_id":1,"priority_id":2,"assigned_to_id":338,"start_date":"2018-01-12","description":"","custom_fields":[{"id":1,"name":"Subdivision","value":"EC"},{"id":4,"name":"Milepost","value":"0.0185"},{"id":17,"name":"Train ID","value":"118-12"},{"id":16,"name":"Locomotive ID","value":"4027"},{"id":130,"name":"Impact","value":""},{"id":150,"name":"Time of Event (Mountain Time)","value":"07:18:43"},{"id":151,"name":"Denver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4027 --day 2018-01-12</v>
      </c>
      <c r="AN30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-12T05:22:52-0700',mode:absolute,to:'2018-01-12T08:18:43-0700'))&amp;_a=(columns:!('Message%20ID',Summary),filters:!(),index:'emp_*',interval:auto,query:(query_string:(analyze_wildcard:!t,query:'%22rtdc.l.rtdc.4027%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730</v>
      </c>
      <c r="B31" s="225">
        <v>4018</v>
      </c>
      <c r="C31" s="227" t="s">
        <v>191</v>
      </c>
      <c r="D31" s="227" t="s">
        <v>479</v>
      </c>
      <c r="E31" s="226">
        <v>43112.244409722225</v>
      </c>
      <c r="F31" s="226">
        <v>43112.250613425924</v>
      </c>
      <c r="G31" s="225">
        <v>50</v>
      </c>
      <c r="H31" s="227" t="s">
        <v>929</v>
      </c>
      <c r="I31" s="226">
        <v>43112.275949074072</v>
      </c>
      <c r="J31" s="225">
        <v>0</v>
      </c>
      <c r="K31" s="237" t="str">
        <f>IF(ISEVEN(B31),(B31-1)&amp;"/"&amp;B31,B31&amp;"/"&amp;(B31+1))</f>
        <v>4017/4018</v>
      </c>
      <c r="L31" s="245" t="str">
        <f>VLOOKUP(A31,'Trips&amp;Operators'!$C$1:$G$99911,5,FALSE)</f>
        <v>BONDS REYNALDO</v>
      </c>
      <c r="M31" s="224">
        <f>I31-F31</f>
        <v>2.5335648148029577E-2</v>
      </c>
      <c r="N31" s="225">
        <f>24*60*SUM($M31:$M31)</f>
        <v>36.483333333162591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-12T04:51:57-0700',mode:absolute,to:'2018-01-12T07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5.0599999999999999E-2</v>
      </c>
      <c r="Z31" s="247">
        <f>RIGHT(H31,LEN(H31)-4)/10000</f>
        <v>23.325299999999999</v>
      </c>
      <c r="AA31" s="247">
        <f>ABS(Z31-Y31)</f>
        <v>23.274699999999999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/stypes="app*4018*20180112*"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119-12 --locoid 4018 --swversion DE.1.0.9.0 --startMP 204:506 --initTime 2018-01-12T05:51:57 --startdatetime 2018-01-12T06:00:53 --delay 50 --endMP 204:233253 --enddatetime 2018-01-12T06:37:22 --enforcementcount 0 &gt;&gt;%USERPROFILE%\Documents\GitHub\eaglep3-reporting\EC\2018-01-12-refined-times.txt</v>
      </c>
      <c r="AI31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{"issue":{"subject":"","project_id":79,"tracker_id":40,"status_id":1,"priority_id":2,"assigned_to_id":338,"start_date":"2018-01-12","description":"","custom_fields":[{"id":1,"name":"Subdivision","value":"EC"},{"id":4,"name":"Milepost","value":"23.3253"},{"id":17,"name":"Train ID","value":"119-12"},{"id":16,"name":"Locomotive ID","value":"4018"},{"id":130,"name":"Impact","value":""},{"id":150,"name":"Time of Event (Mountain Time)","value":"06:37:22"},{"id":151,"name":"Denver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4018 --day 2018-01-12</v>
      </c>
      <c r="AN31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-12T04:51:57-0700',mode:absolute,to:'2018-01-12T07:37:22-0700'))&amp;_a=(columns:!('Message%20ID',Summary),filters:!(),index:'emp_*',interval:auto,query:(query_string:(analyze_wildcard:!t,query:'%22rtdc.l.rtdc.4018%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746</v>
      </c>
      <c r="B32" s="225">
        <v>4017</v>
      </c>
      <c r="C32" s="227" t="s">
        <v>191</v>
      </c>
      <c r="D32" s="227" t="s">
        <v>930</v>
      </c>
      <c r="E32" s="226">
        <v>43112.289467592593</v>
      </c>
      <c r="F32" s="226">
        <v>43112.290659722225</v>
      </c>
      <c r="G32" s="225">
        <v>48</v>
      </c>
      <c r="H32" s="227" t="s">
        <v>440</v>
      </c>
      <c r="I32" s="226">
        <v>43112.316770833335</v>
      </c>
      <c r="J32" s="225">
        <v>0</v>
      </c>
      <c r="K32" s="237" t="str">
        <f>IF(ISEVEN(B32),(B32-1)&amp;"/"&amp;B32,B32&amp;"/"&amp;(B32+1))</f>
        <v>4017/4018</v>
      </c>
      <c r="L32" s="245" t="str">
        <f>VLOOKUP(A32,'Trips&amp;Operators'!$C$1:$G$99911,5,FALSE)</f>
        <v>BONDS REYNALDO</v>
      </c>
      <c r="M32" s="224">
        <f>I32-F32</f>
        <v>2.6111111110367347E-2</v>
      </c>
      <c r="N32" s="225">
        <f>24*60*SUM($M32:$M32)</f>
        <v>37.599999998928979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-12T05:56:50-0700',mode:absolute,to:'2018-01-12T08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23.294799999999999</v>
      </c>
      <c r="Z32" s="247">
        <f>RIGHT(H32,LEN(H32)-4)/10000</f>
        <v>2.01E-2</v>
      </c>
      <c r="AA32" s="247">
        <f>ABS(Z32-Y32)</f>
        <v>23.274699999999999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/stypes="app*4017*20180112*"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120-12 --locoid 4017 --swversion DE.1.0.9.0 --startMP 204:232948 --initTime 2018-01-12T06:56:50 --startdatetime 2018-01-12T06:58:33 --delay 48 --endMP 204:201 --enddatetime 2018-01-12T07:36:09 --enforcementcount 0 &gt;&gt;%USERPROFILE%\Documents\GitHub\eaglep3-reporting\EC\2018-01-12-refined-times.txt</v>
      </c>
      <c r="AI3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{"issue":{"subject":"","project_id":79,"tracker_id":40,"status_id":1,"priority_id":2,"assigned_to_id":338,"start_date":"2018-01-12","description":"","custom_fields":[{"id":1,"name":"Subdivision","value":"EC"},{"id":4,"name":"Milepost","value":"0.0201"},{"id":17,"name":"Train ID","value":"120-12"},{"id":16,"name":"Locomotive ID","value":"4017"},{"id":130,"name":"Impact","value":""},{"id":150,"name":"Time of Event (Mountain Time)","value":"07:36:09"},{"id":151,"name":"Denver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4017 --day 2018-01-12</v>
      </c>
      <c r="AN3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-12T05:56:50-0700',mode:absolute,to:'2018-01-12T08:36:09-0700'))&amp;_a=(columns:!('Message%20ID',Summary),filters:!(),index:'emp_*',interval:auto,query:(query_string:(analyze_wildcard:!t,query:'%22rtdc.l.rtdc.4017%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733</v>
      </c>
      <c r="B33" s="225">
        <v>4006</v>
      </c>
      <c r="C33" s="227" t="s">
        <v>191</v>
      </c>
      <c r="D33" s="227" t="s">
        <v>931</v>
      </c>
      <c r="E33" s="226">
        <v>43112.254907407405</v>
      </c>
      <c r="F33" s="226">
        <v>43112.26059027778</v>
      </c>
      <c r="G33" s="225">
        <v>51</v>
      </c>
      <c r="H33" s="227" t="s">
        <v>932</v>
      </c>
      <c r="I33" s="226">
        <v>43112.285046296296</v>
      </c>
      <c r="J33" s="225">
        <v>0</v>
      </c>
      <c r="K33" s="237" t="str">
        <f>IF(ISEVEN(B33),(B33-1)&amp;"/"&amp;B33,B33&amp;"/"&amp;(B33+1))</f>
        <v>4005/4006</v>
      </c>
      <c r="L33" s="245" t="str">
        <f>VLOOKUP(A33,'Trips&amp;Operators'!$C$1:$G$99911,5,FALSE)</f>
        <v>GEBRETEKLE DAGNEW</v>
      </c>
      <c r="M33" s="224">
        <f>I33-F33</f>
        <v>2.4456018516502809E-2</v>
      </c>
      <c r="N33" s="225">
        <f>24*60*SUM($M33:$M33)</f>
        <v>35.216666663764045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-12T05:07:04-0700',mode:absolute,to:'2018-01-12T07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4.8000000000000001E-2</v>
      </c>
      <c r="Z33" s="247">
        <f>RIGHT(H33,LEN(H33)-4)/10000</f>
        <v>23.3276</v>
      </c>
      <c r="AA33" s="247">
        <f>ABS(Z33-Y33)</f>
        <v>23.279600000000002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/stypes="app*4006*20180112*"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121-12 --locoid 4006 --swversion DE.1.0.9.0 --startMP 204:480 --initTime 2018-01-12T06:07:04 --startdatetime 2018-01-12T06:15:15 --delay 51 --endMP 204:233276 --enddatetime 2018-01-12T06:50:28 --enforcementcount 0 &gt;&gt;%USERPROFILE%\Documents\GitHub\eaglep3-reporting\EC\2018-01-12-refined-times.txt</v>
      </c>
      <c r="AI33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{"issue":{"subject":"","project_id":79,"tracker_id":40,"status_id":1,"priority_id":2,"assigned_to_id":338,"start_date":"2018-01-12","description":"","custom_fields":[{"id":1,"name":"Subdivision","value":"EC"},{"id":4,"name":"Milepost","value":"23.3276"},{"id":17,"name":"Train ID","value":"121-12"},{"id":16,"name":"Locomotive ID","value":"4006"},{"id":130,"name":"Impact","value":""},{"id":150,"name":"Time of Event (Mountain Time)","value":"06:50:28"},{"id":151,"name":"Denver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4006 --day 2018-01-12</v>
      </c>
      <c r="AN33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-12T05:07:04-0700',mode:absolute,to:'2018-01-12T07:50:28-0700'))&amp;_a=(columns:!('Message%20ID',Summary),filters:!(),index:'emp_*',interval:auto,query:(query_string:(analyze_wildcard:!t,query:'%22rtdc.l.rtdc.4006%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741</v>
      </c>
      <c r="B34" s="225">
        <v>4005</v>
      </c>
      <c r="C34" s="227" t="s">
        <v>191</v>
      </c>
      <c r="D34" s="227" t="s">
        <v>625</v>
      </c>
      <c r="E34" s="226">
        <v>43112.28634259259</v>
      </c>
      <c r="F34" s="226">
        <v>43112.300173611111</v>
      </c>
      <c r="G34" s="225">
        <v>48</v>
      </c>
      <c r="H34" s="227" t="s">
        <v>461</v>
      </c>
      <c r="I34" s="226">
        <v>43112.325636574074</v>
      </c>
      <c r="J34" s="225">
        <v>0</v>
      </c>
      <c r="K34" s="237" t="str">
        <f>IF(ISEVEN(B34),(B34-1)&amp;"/"&amp;B34,B34&amp;"/"&amp;(B34+1))</f>
        <v>4005/4006</v>
      </c>
      <c r="L34" s="245" t="str">
        <f>VLOOKUP(A34,'Trips&amp;Operators'!$C$1:$G$99911,5,FALSE)</f>
        <v>GEBRETEKLE DAGNEW</v>
      </c>
      <c r="M34" s="224">
        <f>I34-F34</f>
        <v>2.5462962963501923E-2</v>
      </c>
      <c r="N34" s="225">
        <f>24*60*SUM($M34:$M34)</f>
        <v>36.666666667442769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-12T05:52:20-0700',mode:absolute,to:'2018-01-12T08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23.297699999999999</v>
      </c>
      <c r="Z34" s="247">
        <f>RIGHT(H34,LEN(H34)-4)/10000</f>
        <v>1.49E-2</v>
      </c>
      <c r="AA34" s="247">
        <f>ABS(Z34-Y34)</f>
        <v>23.282799999999998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/stypes="app*4005*20180112*"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122-12 --locoid 4005 --swversion DE.1.0.9.0 --startMP 204:232977 --initTime 2018-01-12T06:52:20 --startdatetime 2018-01-12T07:12:15 --delay 48 --endMP 204:149 --enddatetime 2018-01-12T07:48:55 --enforcementcount 0 &gt;&gt;%USERPROFILE%\Documents\GitHub\eaglep3-reporting\EC\2018-01-12-refined-times.txt</v>
      </c>
      <c r="AI3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{"issue":{"subject":"","project_id":79,"tracker_id":40,"status_id":1,"priority_id":2,"assigned_to_id":338,"start_date":"2018-01-12","description":"","custom_fields":[{"id":1,"name":"Subdivision","value":"EC"},{"id":4,"name":"Milepost","value":"0.0149"},{"id":17,"name":"Train ID","value":"122-12"},{"id":16,"name":"Locomotive ID","value":"4005"},{"id":130,"name":"Impact","value":""},{"id":150,"name":"Time of Event (Mountain Time)","value":"07:48:55"},{"id":151,"name":"Denver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4005 --day 2018-01-12</v>
      </c>
      <c r="AN3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-12T05:52:20-0700',mode:absolute,to:'2018-01-12T08:48:55-0700'))&amp;_a=(columns:!('Message%20ID',Summary),filters:!(),index:'emp_*',interval:auto,query:(query_string:(analyze_wildcard:!t,query:'%22rtdc.l.rtdc.4005%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736</v>
      </c>
      <c r="B35" s="225">
        <v>4004</v>
      </c>
      <c r="C35" s="227" t="s">
        <v>191</v>
      </c>
      <c r="D35" s="227" t="s">
        <v>534</v>
      </c>
      <c r="E35" s="226">
        <v>43112.265196759261</v>
      </c>
      <c r="F35" s="226">
        <v>43112.271111111113</v>
      </c>
      <c r="G35" s="225">
        <v>60</v>
      </c>
      <c r="H35" s="227" t="s">
        <v>933</v>
      </c>
      <c r="I35" s="226">
        <v>43112.294965277775</v>
      </c>
      <c r="J35" s="225">
        <v>0</v>
      </c>
      <c r="K35" s="237" t="str">
        <f>IF(ISEVEN(B35),(B35-1)&amp;"/"&amp;B35,B35&amp;"/"&amp;(B35+1))</f>
        <v>4003/4004</v>
      </c>
      <c r="L35" s="245" t="str">
        <f>VLOOKUP(A35,'Trips&amp;Operators'!$C$1:$G$99911,5,FALSE)</f>
        <v>LOPES KIMBERLY</v>
      </c>
      <c r="M35" s="224">
        <f>I35-F35</f>
        <v>2.3854166662204079E-2</v>
      </c>
      <c r="N35" s="225">
        <f>24*60*SUM($M35:$M35)</f>
        <v>34.349999993573874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-12T05:21:53-0700',mode:absolute,to:'2018-01-12T08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5.1999999999999998E-2</v>
      </c>
      <c r="Z35" s="247">
        <f>RIGHT(H35,LEN(H35)-4)/10000</f>
        <v>23.3201</v>
      </c>
      <c r="AA35" s="247">
        <f>ABS(Z35-Y35)</f>
        <v>23.2681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/stypes="app*4004*20180112*"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123-12 --locoid 4004 --swversion DE.1.0.9.0 --startMP 204:520 --initTime 2018-01-12T06:21:53 --startdatetime 2018-01-12T06:30:24 --delay 60 --endMP 204:233201 --enddatetime 2018-01-12T07:04:45 --enforcementcount 0 &gt;&gt;%USERPROFILE%\Documents\GitHub\eaglep3-reporting\EC\2018-01-12-refined-times.txt</v>
      </c>
      <c r="AI3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{"issue":{"subject":"","project_id":79,"tracker_id":40,"status_id":1,"priority_id":2,"assigned_to_id":338,"start_date":"2018-01-12","description":"","custom_fields":[{"id":1,"name":"Subdivision","value":"EC"},{"id":4,"name":"Milepost","value":"23.3201"},{"id":17,"name":"Train ID","value":"123-12"},{"id":16,"name":"Locomotive ID","value":"4004"},{"id":130,"name":"Impact","value":""},{"id":150,"name":"Time of Event (Mountain Time)","value":"07:04:45"},{"id":151,"name":"Denver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4004 --day 2018-01-12</v>
      </c>
      <c r="AN3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-12T05:21:53-0700',mode:absolute,to:'2018-01-12T08:04:45-0700'))&amp;_a=(columns:!('Message%20ID',Summary),filters:!(),index:'emp_*',interval:auto,query:(query_string:(analyze_wildcard:!t,query:'%22rtdc.l.rtdc.4004%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670</v>
      </c>
      <c r="B36" s="225">
        <v>4003</v>
      </c>
      <c r="C36" s="227" t="s">
        <v>191</v>
      </c>
      <c r="D36" s="227" t="s">
        <v>934</v>
      </c>
      <c r="E36" s="226">
        <v>43112.306203703702</v>
      </c>
      <c r="F36" s="226">
        <v>43112.310648148145</v>
      </c>
      <c r="G36" s="225">
        <v>54</v>
      </c>
      <c r="H36" s="227" t="s">
        <v>644</v>
      </c>
      <c r="I36" s="226">
        <v>43112.336851851855</v>
      </c>
      <c r="J36" s="225">
        <v>0</v>
      </c>
      <c r="K36" s="237" t="str">
        <f>IF(ISEVEN(B36),(B36-1)&amp;"/"&amp;B36,B36&amp;"/"&amp;(B36+1))</f>
        <v>4003/4004</v>
      </c>
      <c r="L36" s="245" t="str">
        <f>VLOOKUP(A36,'Trips&amp;Operators'!$C$1:$G$99911,5,FALSE)</f>
        <v>LOPES KIMBERLY</v>
      </c>
      <c r="M36" s="224">
        <f>I36-F36</f>
        <v>2.620370371005265E-2</v>
      </c>
      <c r="N36" s="225">
        <f>24*60*SUM($M36:$M36)</f>
        <v>37.733333342475817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-12T06:20:56-0700',mode:absolute,to:'2018-01-12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23.287500000000001</v>
      </c>
      <c r="Z36" s="247">
        <f>RIGHT(H36,LEN(H36)-4)/10000</f>
        <v>2.1999999999999999E-2</v>
      </c>
      <c r="AA36" s="247">
        <f>ABS(Z36-Y36)</f>
        <v>23.265500000000003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/stypes="app*4003*20180112*"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124-12 --locoid 4003 --swversion DE.1.0.9.0 --startMP 204:232875 --initTime 2018-01-12T07:20:56 --startdatetime 2018-01-12T07:27:20 --delay 54 --endMP 204:220 --enddatetime 2018-01-12T08:05:04 --enforcementcount 0 &gt;&gt;%USERPROFILE%\Documents\GitHub\eaglep3-reporting\EC\2018-01-12-refined-times.txt</v>
      </c>
      <c r="AI3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{"issue":{"subject":"","project_id":79,"tracker_id":40,"status_id":1,"priority_id":2,"assigned_to_id":338,"start_date":"2018-01-12","description":"","custom_fields":[{"id":1,"name":"Subdivision","value":"EC"},{"id":4,"name":"Milepost","value":"0.022"},{"id":17,"name":"Train ID","value":"124-12"},{"id":16,"name":"Locomotive ID","value":"4003"},{"id":130,"name":"Impact","value":""},{"id":150,"name":"Time of Event (Mountain Time)","value":"08:05:04"},{"id":151,"name":"Denver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4003 --day 2018-01-12</v>
      </c>
      <c r="AN3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-12T06:20:56-0700',mode:absolute,to:'2018-01-12T09:05:04-0700'))&amp;_a=(columns:!('Message%20ID',Summary),filters:!(),index:'emp_*',interval:auto,query:(query_string:(analyze_wildcard:!t,query:'%22rtdc.l.rtdc.4003%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739</v>
      </c>
      <c r="B37" s="225">
        <v>4026</v>
      </c>
      <c r="C37" s="227" t="s">
        <v>191</v>
      </c>
      <c r="D37" s="227" t="s">
        <v>549</v>
      </c>
      <c r="E37" s="226">
        <v>43112.274282407408</v>
      </c>
      <c r="F37" s="226">
        <v>43112.281458333331</v>
      </c>
      <c r="G37" s="225">
        <v>79</v>
      </c>
      <c r="H37" s="227" t="s">
        <v>637</v>
      </c>
      <c r="I37" s="226">
        <v>43112.305671296293</v>
      </c>
      <c r="J37" s="225">
        <v>0</v>
      </c>
      <c r="K37" s="237" t="str">
        <f>IF(ISEVEN(B37),(B37-1)&amp;"/"&amp;B37,B37&amp;"/"&amp;(B37+1))</f>
        <v>4025/4026</v>
      </c>
      <c r="L37" s="245" t="str">
        <f>VLOOKUP(A37,'Trips&amp;Operators'!$C$1:$G$99911,5,FALSE)</f>
        <v>YORK EDGAR</v>
      </c>
      <c r="M37" s="224">
        <f>I37-F37</f>
        <v>2.421296296233777E-2</v>
      </c>
      <c r="N37" s="225">
        <f>24*60*SUM($M37:$M37)</f>
        <v>34.866666665766388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-12T05:34:58-0700',mode:absolute,to:'2018-01-12T08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4.58E-2</v>
      </c>
      <c r="Z37" s="247">
        <f>RIGHT(H37,LEN(H37)-4)/10000</f>
        <v>23.327999999999999</v>
      </c>
      <c r="AA37" s="247">
        <f>ABS(Z37-Y37)</f>
        <v>23.2822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/stypes="app*4026*20180112*"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125-12 --locoid 4026 --swversion DE.1.0.9.0 --startMP 204:458 --initTime 2018-01-12T06:34:58 --startdatetime 2018-01-12T06:45:18 --delay 79 --endMP 204:233280 --enddatetime 2018-01-12T07:20:10 --enforcementcount 0 &gt;&gt;%USERPROFILE%\Documents\GitHub\eaglep3-reporting\EC\2018-01-12-refined-times.txt</v>
      </c>
      <c r="AI3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{"issue":{"subject":"","project_id":79,"tracker_id":40,"status_id":1,"priority_id":2,"assigned_to_id":338,"start_date":"2018-01-12","description":"","custom_fields":[{"id":1,"name":"Subdivision","value":"EC"},{"id":4,"name":"Milepost","value":"23.328"},{"id":17,"name":"Train ID","value":"125-12"},{"id":16,"name":"Locomotive ID","value":"4026"},{"id":130,"name":"Impact","value":""},{"id":150,"name":"Time of Event (Mountain Time)","value":"07:20:10"},{"id":151,"name":"Denver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4026 --day 2018-01-12</v>
      </c>
      <c r="AN3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-12T05:34:58-0700',mode:absolute,to:'2018-01-12T08:20:10-0700'))&amp;_a=(columns:!('Message%20ID',Summary),filters:!(),index:'emp_*',interval:auto,query:(query_string:(analyze_wildcard:!t,query:'%22rtdc.l.rtdc.4026%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749</v>
      </c>
      <c r="B38" s="225">
        <v>4025</v>
      </c>
      <c r="C38" s="227" t="s">
        <v>191</v>
      </c>
      <c r="D38" s="227" t="s">
        <v>619</v>
      </c>
      <c r="E38" s="226">
        <v>43112.306793981479</v>
      </c>
      <c r="F38" s="226">
        <v>43112.321099537039</v>
      </c>
      <c r="G38" s="225">
        <v>64</v>
      </c>
      <c r="H38" s="227" t="s">
        <v>530</v>
      </c>
      <c r="I38" s="226">
        <v>43112.345995370371</v>
      </c>
      <c r="J38" s="225">
        <v>0</v>
      </c>
      <c r="K38" s="237" t="str">
        <f>IF(ISEVEN(B38),(B38-1)&amp;"/"&amp;B38,B38&amp;"/"&amp;(B38+1))</f>
        <v>4025/4026</v>
      </c>
      <c r="L38" s="245" t="str">
        <f>VLOOKUP(A38,'Trips&amp;Operators'!$C$1:$G$99911,5,FALSE)</f>
        <v>YORK EDGAR</v>
      </c>
      <c r="M38" s="224">
        <f>I38-F38</f>
        <v>2.4895833332266193E-2</v>
      </c>
      <c r="N38" s="225">
        <f>24*60*SUM($M38:$M38)</f>
        <v>35.849999998463318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-12T06:21:47-0700',mode:absolute,to:'2018-01-12T09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23.297599999999999</v>
      </c>
      <c r="Z38" s="247">
        <f>RIGHT(H38,LEN(H38)-4)/10000</f>
        <v>1.5599999999999999E-2</v>
      </c>
      <c r="AA38" s="247">
        <f>ABS(Z38-Y38)</f>
        <v>23.282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/stypes="app*4025*20180112*"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126-12 --locoid 4025 --swversion DE.1.0.9.0 --startMP 204:232976 --initTime 2018-01-12T07:21:47 --startdatetime 2018-01-12T07:42:23 --delay 64 --endMP 204:156 --enddatetime 2018-01-12T08:18:14 --enforcementcount 0 &gt;&gt;%USERPROFILE%\Documents\GitHub\eaglep3-reporting\EC\2018-01-12-refined-times.txt</v>
      </c>
      <c r="AI3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{"issue":{"subject":"","project_id":79,"tracker_id":40,"status_id":1,"priority_id":2,"assigned_to_id":338,"start_date":"2018-01-12","description":"","custom_fields":[{"id":1,"name":"Subdivision","value":"EC"},{"id":4,"name":"Milepost","value":"0.0156"},{"id":17,"name":"Train ID","value":"126-12"},{"id":16,"name":"Locomotive ID","value":"4025"},{"id":130,"name":"Impact","value":""},{"id":150,"name":"Time of Event (Mountain Time)","value":"08:18:14"},{"id":151,"name":"Denver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4025 --day 2018-01-12</v>
      </c>
      <c r="AN3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-12T06:21:47-0700',mode:absolute,to:'2018-01-12T09:18:14-0700'))&amp;_a=(columns:!('Message%20ID',Summary),filters:!(),index:'emp_*',interval:auto,query:(query_string:(analyze_wildcard:!t,query:'%22rtdc.l.rtdc.4025%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742</v>
      </c>
      <c r="B39" s="225">
        <v>4060</v>
      </c>
      <c r="C39" s="227" t="s">
        <v>191</v>
      </c>
      <c r="D39" s="227" t="s">
        <v>545</v>
      </c>
      <c r="E39" s="226">
        <v>43112.287905092591</v>
      </c>
      <c r="F39" s="226">
        <v>43112.292037037034</v>
      </c>
      <c r="G39" s="225">
        <v>62</v>
      </c>
      <c r="H39" s="227" t="s">
        <v>935</v>
      </c>
      <c r="I39" s="226">
        <v>43112.319791666669</v>
      </c>
      <c r="J39" s="225">
        <v>0</v>
      </c>
      <c r="K39" s="237" t="str">
        <f>IF(ISEVEN(B39),(B39-1)&amp;"/"&amp;B39,B39&amp;"/"&amp;(B39+1))</f>
        <v>4059/4060</v>
      </c>
      <c r="L39" s="245" t="str">
        <f>VLOOKUP(A39,'Trips&amp;Operators'!$C$1:$G$99911,5,FALSE)</f>
        <v>BEAM ROSS</v>
      </c>
      <c r="M39" s="224">
        <f>I39-F39</f>
        <v>2.775462963472819E-2</v>
      </c>
      <c r="N39" s="225">
        <f>24*60*SUM($M39:$M39)</f>
        <v>39.966666674008593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-12T05:54:35-0700',mode:absolute,to:'2018-01-12T08:40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4.9099999999999998E-2</v>
      </c>
      <c r="Z39" s="247">
        <f>RIGHT(H39,LEN(H39)-4)/10000</f>
        <v>23.329499999999999</v>
      </c>
      <c r="AA39" s="247">
        <f>ABS(Z39-Y39)</f>
        <v>23.2804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/stypes="app*4060*20180112*"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127-12 --locoid 4060 --swversion DE.1.0.9.0 --startMP 204:491 --initTime 2018-01-12T06:54:35 --startdatetime 2018-01-12T07:00:32 --delay 62 --endMP 204:233295 --enddatetime 2018-01-12T07:40:30 --enforcementcount 0 &gt;&gt;%USERPROFILE%\Documents\GitHub\eaglep3-reporting\EC\2018-01-12-refined-times.txt</v>
      </c>
      <c r="AI3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{"issue":{"subject":"","project_id":79,"tracker_id":40,"status_id":1,"priority_id":2,"assigned_to_id":338,"start_date":"2018-01-12","description":"","custom_fields":[{"id":1,"name":"Subdivision","value":"EC"},{"id":4,"name":"Milepost","value":"23.3295"},{"id":17,"name":"Train ID","value":"127-12"},{"id":16,"name":"Locomotive ID","value":"4060"},{"id":130,"name":"Impact","value":""},{"id":150,"name":"Time of Event (Mountain Time)","value":"07:40:30"},{"id":151,"name":"Denver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4060 --day 2018-01-12</v>
      </c>
      <c r="AN3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-12T05:54:35-0700',mode:absolute,to:'2018-01-12T08:40:30-0700'))&amp;_a=(columns:!('Message%20ID',Summary),filters:!(),index:'emp_*',interval:auto,query:(query_string:(analyze_wildcard:!t,query:'%22rtdc.l.rtdc.4060%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754</v>
      </c>
      <c r="B40" s="225">
        <v>4059</v>
      </c>
      <c r="C40" s="227" t="s">
        <v>191</v>
      </c>
      <c r="D40" s="227" t="s">
        <v>533</v>
      </c>
      <c r="E40" s="226">
        <v>43112.320972222224</v>
      </c>
      <c r="F40" s="226">
        <v>43112.331666666665</v>
      </c>
      <c r="G40" s="225">
        <v>83</v>
      </c>
      <c r="H40" s="227" t="s">
        <v>936</v>
      </c>
      <c r="I40" s="226">
        <v>43112.357569444444</v>
      </c>
      <c r="J40" s="225">
        <v>0</v>
      </c>
      <c r="K40" s="237" t="str">
        <f>IF(ISEVEN(B40),(B40-1)&amp;"/"&amp;B40,B40&amp;"/"&amp;(B40+1))</f>
        <v>4059/4060</v>
      </c>
      <c r="L40" s="245" t="str">
        <f>VLOOKUP(A40,'Trips&amp;Operators'!$C$1:$G$99911,5,FALSE)</f>
        <v>BEAM ROSS</v>
      </c>
      <c r="M40" s="224">
        <f>I40-F40</f>
        <v>2.5902777779265307E-2</v>
      </c>
      <c r="N40" s="225">
        <f>24*60*SUM($M40:$M40)</f>
        <v>37.300000002142042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-12T06:42:12-0700',mode:absolute,to:'2018-01-12T09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23.297999999999998</v>
      </c>
      <c r="Z40" s="247">
        <f>RIGHT(H40,LEN(H40)-4)/10000</f>
        <v>1.9400000000000001E-2</v>
      </c>
      <c r="AA40" s="247">
        <f>ABS(Z40-Y40)</f>
        <v>23.278599999999997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/stypes="app*4059*20180112*"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128-12 --locoid 4059 --swversion DE.1.0.9.0 --startMP 204:232980 --initTime 2018-01-12T07:42:12 --startdatetime 2018-01-12T07:57:36 --delay 83 --endMP 204:194 --enddatetime 2018-01-12T08:34:54 --enforcementcount 0 &gt;&gt;%USERPROFILE%\Documents\GitHub\eaglep3-reporting\EC\2018-01-12-refined-times.txt</v>
      </c>
      <c r="AI40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{"issue":{"subject":"","project_id":79,"tracker_id":40,"status_id":1,"priority_id":2,"assigned_to_id":338,"start_date":"2018-01-12","description":"","custom_fields":[{"id":1,"name":"Subdivision","value":"EC"},{"id":4,"name":"Milepost","value":"0.0194"},{"id":17,"name":"Train ID","value":"128-12"},{"id":16,"name":"Locomotive ID","value":"4059"},{"id":130,"name":"Impact","value":""},{"id":150,"name":"Time of Event (Mountain Time)","value":"08:34:54"},{"id":151,"name":"Denver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4059 --day 2018-01-12</v>
      </c>
      <c r="AN40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-12T06:42:12-0700',mode:absolute,to:'2018-01-12T09:34:54-0700'))&amp;_a=(columns:!('Message%20ID',Summary),filters:!(),index:'emp_*',interval:auto,query:(query_string:(analyze_wildcard:!t,query:'%22rtdc.l.rtdc.4059%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748</v>
      </c>
      <c r="B41" s="225">
        <v>4040</v>
      </c>
      <c r="C41" s="227" t="s">
        <v>191</v>
      </c>
      <c r="D41" s="227" t="s">
        <v>937</v>
      </c>
      <c r="E41" s="226">
        <v>43112.297534722224</v>
      </c>
      <c r="F41" s="226">
        <v>43112.30228009259</v>
      </c>
      <c r="G41" s="225">
        <v>47</v>
      </c>
      <c r="H41" s="227" t="s">
        <v>938</v>
      </c>
      <c r="I41" s="226">
        <v>43112.326979166668</v>
      </c>
      <c r="J41" s="225">
        <v>0</v>
      </c>
      <c r="K41" s="237" t="str">
        <f>IF(ISEVEN(B41),(B41-1)&amp;"/"&amp;B41,B41&amp;"/"&amp;(B41+1))</f>
        <v>4039/4040</v>
      </c>
      <c r="L41" s="245" t="str">
        <f>VLOOKUP(A41,'Trips&amp;Operators'!$C$1:$G$99911,5,FALSE)</f>
        <v>MAELZER KURT</v>
      </c>
      <c r="M41" s="224">
        <f>I41-F41</f>
        <v>2.4699074077943806E-2</v>
      </c>
      <c r="N41" s="225">
        <f>24*60*SUM($M41:$M41)</f>
        <v>35.56666667223908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-12T06:08:27-0700',mode:absolute,to:'2018-01-12T08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4.3299999999999998E-2</v>
      </c>
      <c r="Z41" s="247">
        <f>RIGHT(H41,LEN(H41)-4)/10000</f>
        <v>23.330400000000001</v>
      </c>
      <c r="AA41" s="247">
        <f>ABS(Z41-Y41)</f>
        <v>23.287100000000002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/stypes="app*4040*20180112*"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129-12 --locoid 4040 --swversion DE.1.0.9.0 --startMP 204:433 --initTime 2018-01-12T07:08:27 --startdatetime 2018-01-12T07:15:17 --delay 47 --endMP 204:233304 --enddatetime 2018-01-12T07:50:51 --enforcementcount 0 &gt;&gt;%USERPROFILE%\Documents\GitHub\eaglep3-reporting\EC\2018-01-12-refined-times.txt</v>
      </c>
      <c r="AI41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{"issue":{"subject":"","project_id":79,"tracker_id":40,"status_id":1,"priority_id":2,"assigned_to_id":338,"start_date":"2018-01-12","description":"","custom_fields":[{"id":1,"name":"Subdivision","value":"EC"},{"id":4,"name":"Milepost","value":"23.3304"},{"id":17,"name":"Train ID","value":"129-12"},{"id":16,"name":"Locomotive ID","value":"4040"},{"id":130,"name":"Impact","value":""},{"id":150,"name":"Time of Event (Mountain Time)","value":"07:50:51"},{"id":151,"name":"Denver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4040 --day 2018-01-12</v>
      </c>
      <c r="AN41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-12T06:08:27-0700',mode:absolute,to:'2018-01-12T08:50:51-0700'))&amp;_a=(columns:!('Message%20ID',Summary),filters:!(),index:'emp_*',interval:auto,query:(query_string:(analyze_wildcard:!t,query:'%22rtdc.l.rtdc.4040%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762</v>
      </c>
      <c r="B42" s="225">
        <v>4039</v>
      </c>
      <c r="C42" s="227" t="s">
        <v>191</v>
      </c>
      <c r="D42" s="227" t="s">
        <v>466</v>
      </c>
      <c r="E42" s="226">
        <v>43112.339085648149</v>
      </c>
      <c r="F42" s="226">
        <v>43112.341886574075</v>
      </c>
      <c r="G42" s="225">
        <v>54</v>
      </c>
      <c r="H42" s="227" t="s">
        <v>463</v>
      </c>
      <c r="I42" s="226">
        <v>43112.367685185185</v>
      </c>
      <c r="J42" s="225">
        <v>0</v>
      </c>
      <c r="K42" s="237" t="str">
        <f>IF(ISEVEN(B42),(B42-1)&amp;"/"&amp;B42,B42&amp;"/"&amp;(B42+1))</f>
        <v>4039/4040</v>
      </c>
      <c r="L42" s="245" t="str">
        <f>VLOOKUP(A42,'Trips&amp;Operators'!$C$1:$G$99911,5,FALSE)</f>
        <v>MAELZER KURT</v>
      </c>
      <c r="M42" s="224">
        <f>I42-F42</f>
        <v>2.5798611110076308E-2</v>
      </c>
      <c r="N42" s="225">
        <f>24*60*SUM($M42:$M42)</f>
        <v>37.149999998509884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-12T07:08:17-0700',mode:absolute,to:'2018-01-12T09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23.3</v>
      </c>
      <c r="Z42" s="247">
        <f>RIGHT(H42,LEN(H42)-4)/10000</f>
        <v>1.8499999999999999E-2</v>
      </c>
      <c r="AA42" s="247">
        <f>ABS(Z42-Y42)</f>
        <v>23.281500000000001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/stypes="app*4039*20180112*"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130-12 --locoid 4039 --swversion DE.1.0.9.0 --startMP 204:233000 --initTime 2018-01-12T08:08:17 --startdatetime 2018-01-12T08:12:19 --delay 54 --endMP 204:185 --enddatetime 2018-01-12T08:49:28 --enforcementcount 0 &gt;&gt;%USERPROFILE%\Documents\GitHub\eaglep3-reporting\EC\2018-01-12-refined-times.txt</v>
      </c>
      <c r="AI4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{"issue":{"subject":"","project_id":79,"tracker_id":40,"status_id":1,"priority_id":2,"assigned_to_id":338,"start_date":"2018-01-12","description":"","custom_fields":[{"id":1,"name":"Subdivision","value":"EC"},{"id":4,"name":"Milepost","value":"0.0185"},{"id":17,"name":"Train ID","value":"130-12"},{"id":16,"name":"Locomotive ID","value":"4039"},{"id":130,"name":"Impact","value":""},{"id":150,"name":"Time of Event (Mountain Time)","value":"08:49:28"},{"id":151,"name":"Denver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4039 --day 2018-01-12</v>
      </c>
      <c r="AN4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-12T07:08:17-0700',mode:absolute,to:'2018-01-12T09:49:28-0700'))&amp;_a=(columns:!('Message%20ID',Summary),filters:!(),index:'emp_*',interval:auto,query:(query_string:(analyze_wildcard:!t,query:'%22rtdc.l.rtdc.4039%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750</v>
      </c>
      <c r="B43" s="225">
        <v>4028</v>
      </c>
      <c r="C43" s="227" t="s">
        <v>191</v>
      </c>
      <c r="D43" s="227" t="s">
        <v>654</v>
      </c>
      <c r="E43" s="226">
        <v>43112.30740740741</v>
      </c>
      <c r="F43" s="226">
        <v>43112.312638888892</v>
      </c>
      <c r="G43" s="225">
        <v>47</v>
      </c>
      <c r="H43" s="227" t="s">
        <v>939</v>
      </c>
      <c r="I43" s="226">
        <v>43112.336469907408</v>
      </c>
      <c r="J43" s="225">
        <v>0</v>
      </c>
      <c r="K43" s="237" t="str">
        <f>IF(ISEVEN(B43),(B43-1)&amp;"/"&amp;B43,B43&amp;"/"&amp;(B43+1))</f>
        <v>4027/4028</v>
      </c>
      <c r="L43" s="245" t="str">
        <f>VLOOKUP(A43,'Trips&amp;Operators'!$C$1:$G$99911,5,FALSE)</f>
        <v>YANAI IAN</v>
      </c>
      <c r="M43" s="224">
        <f>I43-F43</f>
        <v>2.3831018515920732E-2</v>
      </c>
      <c r="N43" s="225">
        <f>24*60*SUM($M43:$M43)</f>
        <v>34.316666662925854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-12T06:22:40-0700',mode:absolute,to:'2018-01-12T09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4.82E-2</v>
      </c>
      <c r="Z43" s="247">
        <f>RIGHT(H43,LEN(H43)-4)/10000</f>
        <v>23.332599999999999</v>
      </c>
      <c r="AA43" s="247">
        <f>ABS(Z43-Y43)</f>
        <v>23.284399999999998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/stypes="app*4028*20180112*"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131-12 --locoid 4028 --swversion DE.1.0.9.0 --startMP 204:482 --initTime 2018-01-12T07:22:40 --startdatetime 2018-01-12T07:30:12 --delay 47 --endMP 204:233326 --enddatetime 2018-01-12T08:04:31 --enforcementcount 0 &gt;&gt;%USERPROFILE%\Documents\GitHub\eaglep3-reporting\EC\2018-01-12-refined-times.txt</v>
      </c>
      <c r="AI43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{"issue":{"subject":"","project_id":79,"tracker_id":40,"status_id":1,"priority_id":2,"assigned_to_id":338,"start_date":"2018-01-12","description":"","custom_fields":[{"id":1,"name":"Subdivision","value":"EC"},{"id":4,"name":"Milepost","value":"23.3326"},{"id":17,"name":"Train ID","value":"131-12"},{"id":16,"name":"Locomotive ID","value":"4028"},{"id":130,"name":"Impact","value":""},{"id":150,"name":"Time of Event (Mountain Time)","value":"08:04:31"},{"id":151,"name":"Denver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4028 --day 2018-01-12</v>
      </c>
      <c r="AN43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-12T06:22:40-0700',mode:absolute,to:'2018-01-12T09:04:31-0700'))&amp;_a=(columns:!('Message%20ID',Summary),filters:!(),index:'emp_*',interval:auto,query:(query_string:(analyze_wildcard:!t,query:'%22rtdc.l.rtdc.4028%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760</v>
      </c>
      <c r="B44" s="225">
        <v>4027</v>
      </c>
      <c r="C44" s="227" t="s">
        <v>191</v>
      </c>
      <c r="D44" s="227" t="s">
        <v>628</v>
      </c>
      <c r="E44" s="226">
        <v>43112.337893518517</v>
      </c>
      <c r="F44" s="226">
        <v>43112.352256944447</v>
      </c>
      <c r="G44" s="225">
        <v>59</v>
      </c>
      <c r="H44" s="227" t="s">
        <v>940</v>
      </c>
      <c r="I44" s="226">
        <v>43112.377812500003</v>
      </c>
      <c r="J44" s="225">
        <v>0</v>
      </c>
      <c r="K44" s="237" t="str">
        <f>IF(ISEVEN(B44),(B44-1)&amp;"/"&amp;B44,B44&amp;"/"&amp;(B44+1))</f>
        <v>4027/4028</v>
      </c>
      <c r="L44" s="245" t="str">
        <f>VLOOKUP(A44,'Trips&amp;Operators'!$C$1:$G$99911,5,FALSE)</f>
        <v>YANAI IAN</v>
      </c>
      <c r="M44" s="224">
        <f>I44-F44</f>
        <v>2.5555555555911269E-2</v>
      </c>
      <c r="N44" s="225">
        <f>24*60*SUM($M44:$M44)</f>
        <v>36.800000000512227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-12T07:06:34-0700',mode:absolute,to:'2018-01-12T10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23.3019</v>
      </c>
      <c r="Z44" s="247">
        <f>RIGHT(H44,LEN(H44)-4)/10000</f>
        <v>2.12E-2</v>
      </c>
      <c r="AA44" s="247">
        <f>ABS(Z44-Y44)</f>
        <v>23.2807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/stypes="app*4027*20180112*"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132-12 --locoid 4027 --swversion DE.1.0.9.0 --startMP 204:233019 --initTime 2018-01-12T08:06:34 --startdatetime 2018-01-12T08:27:15 --delay 59 --endMP 204:212 --enddatetime 2018-01-12T09:04:03 --enforcementcount 0 &gt;&gt;%USERPROFILE%\Documents\GitHub\eaglep3-reporting\EC\2018-01-12-refined-times.txt</v>
      </c>
      <c r="AI4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{"issue":{"subject":"","project_id":79,"tracker_id":40,"status_id":1,"priority_id":2,"assigned_to_id":338,"start_date":"2018-01-12","description":"","custom_fields":[{"id":1,"name":"Subdivision","value":"EC"},{"id":4,"name":"Milepost","value":"0.0212"},{"id":17,"name":"Train ID","value":"132-12"},{"id":16,"name":"Locomotive ID","value":"4027"},{"id":130,"name":"Impact","value":""},{"id":150,"name":"Time of Event (Mountain Time)","value":"09:04:03"},{"id":151,"name":"Denver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4027 --day 2018-01-12</v>
      </c>
      <c r="AN4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-12T07:06:34-0700',mode:absolute,to:'2018-01-12T10:04:03-0700'))&amp;_a=(columns:!('Message%20ID',Summary),filters:!(),index:'emp_*',interval:auto,query:(query_string:(analyze_wildcard:!t,query:'%22rtdc.l.rtdc.4027%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753</v>
      </c>
      <c r="B45" s="225">
        <v>4018</v>
      </c>
      <c r="C45" s="227" t="s">
        <v>191</v>
      </c>
      <c r="D45" s="227" t="s">
        <v>635</v>
      </c>
      <c r="E45" s="226">
        <v>43112.318182870367</v>
      </c>
      <c r="F45" s="226">
        <v>43112.323240740741</v>
      </c>
      <c r="G45" s="225">
        <v>112</v>
      </c>
      <c r="H45" s="227" t="s">
        <v>941</v>
      </c>
      <c r="I45" s="226">
        <v>43112.348043981481</v>
      </c>
      <c r="J45" s="225">
        <v>0</v>
      </c>
      <c r="K45" s="237" t="str">
        <f>IF(ISEVEN(B45),(B45-1)&amp;"/"&amp;B45,B45&amp;"/"&amp;(B45+1))</f>
        <v>4017/4018</v>
      </c>
      <c r="L45" s="245" t="str">
        <f>VLOOKUP(A45,'Trips&amp;Operators'!$C$1:$G$99911,5,FALSE)</f>
        <v>STRICKLAND EVAN</v>
      </c>
      <c r="M45" s="224">
        <f>I45-F45</f>
        <v>2.4803240739856847E-2</v>
      </c>
      <c r="N45" s="225">
        <f>24*60*SUM($M45:$M45)</f>
        <v>35.716666665393859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-12T06:38:11-0700',mode:absolute,to:'2018-01-12T09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0.05</v>
      </c>
      <c r="Z45" s="247">
        <f>RIGHT(H45,LEN(H45)-4)/10000</f>
        <v>23.328299999999999</v>
      </c>
      <c r="AA45" s="247">
        <f>ABS(Z45-Y45)</f>
        <v>23.278299999999998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/stypes="app*4018*20180112*"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133-12 --locoid 4018 --swversion DE.1.0.9.0 --startMP 204:500 --initTime 2018-01-12T07:38:11 --startdatetime 2018-01-12T07:45:28 --delay 112 --endMP 204:233283 --enddatetime 2018-01-12T08:21:11 --enforcementcount 0 &gt;&gt;%USERPROFILE%\Documents\GitHub\eaglep3-reporting\EC\2018-01-12-refined-times.txt</v>
      </c>
      <c r="AI4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{"issue":{"subject":"","project_id":79,"tracker_id":40,"status_id":1,"priority_id":2,"assigned_to_id":338,"start_date":"2018-01-12","description":"","custom_fields":[{"id":1,"name":"Subdivision","value":"EC"},{"id":4,"name":"Milepost","value":"23.3283"},{"id":17,"name":"Train ID","value":"133-12"},{"id":16,"name":"Locomotive ID","value":"4018"},{"id":130,"name":"Impact","value":""},{"id":150,"name":"Time of Event (Mountain Time)","value":"08:21:11"},{"id":151,"name":"Denver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4018 --day 2018-01-12</v>
      </c>
      <c r="AN4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-12T06:38:11-0700',mode:absolute,to:'2018-01-12T09:21:11-0700'))&amp;_a=(columns:!('Message%20ID',Summary),filters:!(),index:'emp_*',interval:auto,query:(query_string:(analyze_wildcard:!t,query:'%22rtdc.l.rtdc.4018%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671</v>
      </c>
      <c r="B46" s="225">
        <v>4017</v>
      </c>
      <c r="C46" s="227" t="s">
        <v>191</v>
      </c>
      <c r="D46" s="227" t="s">
        <v>942</v>
      </c>
      <c r="E46" s="226">
        <v>43112.351805555554</v>
      </c>
      <c r="F46" s="226">
        <v>43112.363194444442</v>
      </c>
      <c r="G46" s="225">
        <v>86</v>
      </c>
      <c r="H46" s="227" t="s">
        <v>936</v>
      </c>
      <c r="I46" s="226">
        <v>43112.390185185184</v>
      </c>
      <c r="J46" s="225">
        <v>0</v>
      </c>
      <c r="K46" s="237" t="str">
        <f>IF(ISEVEN(B46),(B46-1)&amp;"/"&amp;B46,B46&amp;"/"&amp;(B46+1))</f>
        <v>4017/4018</v>
      </c>
      <c r="L46" s="245" t="str">
        <f>VLOOKUP(A46,'Trips&amp;Operators'!$C$1:$G$99911,5,FALSE)</f>
        <v>STRICKLAND EVAN</v>
      </c>
      <c r="M46" s="224">
        <f>I46-F46</f>
        <v>2.6990740741894115E-2</v>
      </c>
      <c r="N46" s="225">
        <f>24*60*SUM($M46:$M46)</f>
        <v>38.866666668327525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-12T07:26:36-0700',mode:absolute,to:'2018-01-12T10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23.297000000000001</v>
      </c>
      <c r="Z46" s="247">
        <f>RIGHT(H46,LEN(H46)-4)/10000</f>
        <v>1.9400000000000001E-2</v>
      </c>
      <c r="AA46" s="247">
        <f>ABS(Z46-Y46)</f>
        <v>23.2776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/stypes="app*4017*20180112*"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134-12 --locoid 4017 --swversion DE.1.0.9.0 --startMP 204:232970 --initTime 2018-01-12T08:26:36 --startdatetime 2018-01-12T08:43:00 --delay 86 --endMP 204:194 --enddatetime 2018-01-12T09:21:52 --enforcementcount 0 &gt;&gt;%USERPROFILE%\Documents\GitHub\eaglep3-reporting\EC\2018-01-12-refined-times.txt</v>
      </c>
      <c r="AI4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{"issue":{"subject":"","project_id":79,"tracker_id":40,"status_id":1,"priority_id":2,"assigned_to_id":338,"start_date":"2018-01-12","description":"","custom_fields":[{"id":1,"name":"Subdivision","value":"EC"},{"id":4,"name":"Milepost","value":"0.0194"},{"id":17,"name":"Train ID","value":"134-12"},{"id":16,"name":"Locomotive ID","value":"4017"},{"id":130,"name":"Impact","value":""},{"id":150,"name":"Time of Event (Mountain Time)","value":"09:21:52"},{"id":151,"name":"Denver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4017 --day 2018-01-12</v>
      </c>
      <c r="AN4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-12T07:26:36-0700',mode:absolute,to:'2018-01-12T10:21:52-0700'))&amp;_a=(columns:!('Message%20ID',Summary),filters:!(),index:'emp_*',interval:auto,query:(query_string:(analyze_wildcard:!t,query:'%22rtdc.l.rtdc.4017%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755</v>
      </c>
      <c r="B47" s="225">
        <v>4006</v>
      </c>
      <c r="C47" s="227" t="s">
        <v>191</v>
      </c>
      <c r="D47" s="227" t="s">
        <v>943</v>
      </c>
      <c r="E47" s="226">
        <v>43112.327592592592</v>
      </c>
      <c r="F47" s="226">
        <v>43112.333553240744</v>
      </c>
      <c r="G47" s="225">
        <v>75</v>
      </c>
      <c r="H47" s="227" t="s">
        <v>944</v>
      </c>
      <c r="I47" s="226">
        <v>43112.357372685183</v>
      </c>
      <c r="J47" s="225">
        <v>0</v>
      </c>
      <c r="K47" s="237" t="str">
        <f>IF(ISEVEN(B47),(B47-1)&amp;"/"&amp;B47,B47&amp;"/"&amp;(B47+1))</f>
        <v>4005/4006</v>
      </c>
      <c r="L47" s="245" t="str">
        <f>VLOOKUP(A47,'Trips&amp;Operators'!$C$1:$G$99911,5,FALSE)</f>
        <v>PAGE MARCUS</v>
      </c>
      <c r="M47" s="224">
        <f>I47-F47</f>
        <v>2.381944443914108E-2</v>
      </c>
      <c r="N47" s="225">
        <f>24*60*SUM($M47:$M47)</f>
        <v>34.299999992363155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-12T06:51:44-0700',mode:absolute,to:'2018-01-12T09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4.4699999999999997E-2</v>
      </c>
      <c r="Z47" s="247">
        <f>RIGHT(H47,LEN(H47)-4)/10000</f>
        <v>23.330500000000001</v>
      </c>
      <c r="AA47" s="247">
        <f>ABS(Z47-Y47)</f>
        <v>23.285800000000002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/stypes="app*4006*20180112*"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135-12 --locoid 4006 --swversion DE.1.0.9.0 --startMP 204:447 --initTime 2018-01-12T07:51:44 --startdatetime 2018-01-12T08:00:19 --delay 75 --endMP 204:233305 --enddatetime 2018-01-12T08:34:37 --enforcementcount 0 &gt;&gt;%USERPROFILE%\Documents\GitHub\eaglep3-reporting\EC\2018-01-12-refined-times.txt</v>
      </c>
      <c r="AI4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{"issue":{"subject":"","project_id":79,"tracker_id":40,"status_id":1,"priority_id":2,"assigned_to_id":338,"start_date":"2018-01-12","description":"","custom_fields":[{"id":1,"name":"Subdivision","value":"EC"},{"id":4,"name":"Milepost","value":"23.3305"},{"id":17,"name":"Train ID","value":"135-12"},{"id":16,"name":"Locomotive ID","value":"4006"},{"id":130,"name":"Impact","value":""},{"id":150,"name":"Time of Event (Mountain Time)","value":"08:34:37"},{"id":151,"name":"Denver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4006 --day 2018-01-12</v>
      </c>
      <c r="AN4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-12T06:51:44-0700',mode:absolute,to:'2018-01-12T09:34:37-0700'))&amp;_a=(columns:!('Message%20ID',Summary),filters:!(),index:'emp_*',interval:auto,query:(query_string:(analyze_wildcard:!t,query:'%22rtdc.l.rtdc.4006%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766</v>
      </c>
      <c r="B48" s="225">
        <v>4005</v>
      </c>
      <c r="C48" s="227" t="s">
        <v>191</v>
      </c>
      <c r="D48" s="227" t="s">
        <v>540</v>
      </c>
      <c r="E48" s="226">
        <v>43112.358391203707</v>
      </c>
      <c r="F48" s="226">
        <v>43112.373067129629</v>
      </c>
      <c r="G48" s="225">
        <v>59</v>
      </c>
      <c r="H48" s="227" t="s">
        <v>924</v>
      </c>
      <c r="I48" s="226">
        <v>43112.398773148147</v>
      </c>
      <c r="J48" s="225">
        <v>0</v>
      </c>
      <c r="K48" s="237" t="str">
        <f>IF(ISEVEN(B48),(B48-1)&amp;"/"&amp;B48,B48&amp;"/"&amp;(B48+1))</f>
        <v>4005/4006</v>
      </c>
      <c r="L48" s="245" t="str">
        <f>VLOOKUP(A48,'Trips&amp;Operators'!$C$1:$G$99911,5,FALSE)</f>
        <v>PAGE MARCUS</v>
      </c>
      <c r="M48" s="224">
        <f>I48-F48</f>
        <v>2.5706018517666962E-2</v>
      </c>
      <c r="N48" s="225">
        <f>24*60*SUM($M48:$M48)</f>
        <v>37.016666665440425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-12T07:36:05-0700',mode:absolute,to:'2018-01-12T10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23.298400000000001</v>
      </c>
      <c r="Z48" s="247">
        <f>RIGHT(H48,LEN(H48)-4)/10000</f>
        <v>1.7600000000000001E-2</v>
      </c>
      <c r="AA48" s="247">
        <f>ABS(Z48-Y48)</f>
        <v>23.280799999999999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/stypes="app*4005*20180112*"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136-12 --locoid 4005 --swversion DE.1.0.9.0 --startMP 204:232984 --initTime 2018-01-12T08:36:05 --startdatetime 2018-01-12T08:57:13 --delay 59 --endMP 204:176 --enddatetime 2018-01-12T09:34:14 --enforcementcount 0 &gt;&gt;%USERPROFILE%\Documents\GitHub\eaglep3-reporting\EC\2018-01-12-refined-times.txt</v>
      </c>
      <c r="AI4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{"issue":{"subject":"","project_id":79,"tracker_id":40,"status_id":1,"priority_id":2,"assigned_to_id":338,"start_date":"2018-01-12","description":"","custom_fields":[{"id":1,"name":"Subdivision","value":"EC"},{"id":4,"name":"Milepost","value":"0.0176"},{"id":17,"name":"Train ID","value":"136-12"},{"id":16,"name":"Locomotive ID","value":"4005"},{"id":130,"name":"Impact","value":""},{"id":150,"name":"Time of Event (Mountain Time)","value":"09:34:14"},{"id":151,"name":"Denver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4005 --day 2018-01-12</v>
      </c>
      <c r="AN4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-12T07:36:05-0700',mode:absolute,to:'2018-01-12T10:34:14-0700'))&amp;_a=(columns:!('Message%20ID',Summary),filters:!(),index:'emp_*',interval:auto,query:(query_string:(analyze_wildcard:!t,query:'%22rtdc.l.rtdc.4005%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761</v>
      </c>
      <c r="B49" s="225">
        <v>4004</v>
      </c>
      <c r="C49" s="227" t="s">
        <v>191</v>
      </c>
      <c r="D49" s="227" t="s">
        <v>534</v>
      </c>
      <c r="E49" s="226">
        <v>43112.338125000002</v>
      </c>
      <c r="F49" s="226">
        <v>43112.343923611108</v>
      </c>
      <c r="G49" s="225">
        <v>99</v>
      </c>
      <c r="H49" s="227" t="s">
        <v>548</v>
      </c>
      <c r="I49" s="226">
        <v>43112.368750000001</v>
      </c>
      <c r="J49" s="225">
        <v>0</v>
      </c>
      <c r="K49" s="237" t="str">
        <f>IF(ISEVEN(B49),(B49-1)&amp;"/"&amp;B49,B49&amp;"/"&amp;(B49+1))</f>
        <v>4003/4004</v>
      </c>
      <c r="L49" s="245" t="str">
        <f>VLOOKUP(A49,'Trips&amp;Operators'!$C$1:$G$99911,5,FALSE)</f>
        <v>LOPES KIMBERLY</v>
      </c>
      <c r="M49" s="224">
        <f>I49-F49</f>
        <v>2.4826388893416151E-2</v>
      </c>
      <c r="N49" s="225">
        <f>24*60*SUM($M49:$M49)</f>
        <v>35.750000006519258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-12T07:06:54-0700',mode:absolute,to:'2018-01-12T09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5.1999999999999998E-2</v>
      </c>
      <c r="Z49" s="247">
        <f>RIGHT(H49,LEN(H49)-4)/10000</f>
        <v>23.331</v>
      </c>
      <c r="AA49" s="247">
        <f>ABS(Z49-Y49)</f>
        <v>23.279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/stypes="app*4004*20180112*"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137-12 --locoid 4004 --swversion DE.1.0.9.0 --startMP 204:520 --initTime 2018-01-12T08:06:54 --startdatetime 2018-01-12T08:15:15 --delay 99 --endMP 204:233310 --enddatetime 2018-01-12T08:51:00 --enforcementcount 0 &gt;&gt;%USERPROFILE%\Documents\GitHub\eaglep3-reporting\EC\2018-01-12-refined-times.txt</v>
      </c>
      <c r="AI4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{"issue":{"subject":"","project_id":79,"tracker_id":40,"status_id":1,"priority_id":2,"assigned_to_id":338,"start_date":"2018-01-12","description":"","custom_fields":[{"id":1,"name":"Subdivision","value":"EC"},{"id":4,"name":"Milepost","value":"23.331"},{"id":17,"name":"Train ID","value":"137-12"},{"id":16,"name":"Locomotive ID","value":"4004"},{"id":130,"name":"Impact","value":""},{"id":150,"name":"Time of Event (Mountain Time)","value":"08:51:00"},{"id":151,"name":"Denver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4004 --day 2018-01-12</v>
      </c>
      <c r="AN4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-12T07:06:54-0700',mode:absolute,to:'2018-01-12T09:51:00-0700'))&amp;_a=(columns:!('Message%20ID',Summary),filters:!(),index:'emp_*',interval:auto,query:(query_string:(analyze_wildcard:!t,query:'%22rtdc.l.rtdc.4004%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673</v>
      </c>
      <c r="B50" s="225">
        <v>4003</v>
      </c>
      <c r="C50" s="227" t="s">
        <v>191</v>
      </c>
      <c r="D50" s="227" t="s">
        <v>534</v>
      </c>
      <c r="E50" s="226">
        <v>43112.338125000002</v>
      </c>
      <c r="F50" s="226">
        <v>43112.38349537037</v>
      </c>
      <c r="G50" s="225">
        <v>99</v>
      </c>
      <c r="H50" s="227" t="s">
        <v>548</v>
      </c>
      <c r="I50" s="226">
        <v>43112.410138888888</v>
      </c>
      <c r="J50" s="225">
        <v>0</v>
      </c>
      <c r="K50" s="237" t="str">
        <f>IF(ISEVEN(B50),(B50-1)&amp;"/"&amp;B50,B50&amp;"/"&amp;(B50+1))</f>
        <v>4003/4004</v>
      </c>
      <c r="L50" s="245" t="str">
        <f>VLOOKUP(A50,'Trips&amp;Operators'!$C$1:$G$99911,5,FALSE)</f>
        <v>LOPES KIMBERLY</v>
      </c>
      <c r="M50" s="224">
        <f>I50-F50</f>
        <v>2.6643518518540077E-2</v>
      </c>
      <c r="N50" s="225">
        <f>24*60*SUM($M50:$M50)</f>
        <v>38.366666666697711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-12T07:06:54-0700',mode:absolute,to:'2018-01-12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v>23.268999999999998</v>
      </c>
      <c r="Z50" s="247">
        <v>2.4299999999999999E-2</v>
      </c>
      <c r="AA50" s="247">
        <f>ABS(Z50-Y50)</f>
        <v>23.244699999999998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/stypes="app*4003*20180112*"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ref="AH50" si="10"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138-12 --locoid 4003 --swversion DE.1.0.9.0 --startMP 204:520 --initTime 2018-01-12T08:06:54 --startdatetime 2018-01-12T09:12:14 --delay 99 --endMP 204:233310 --enddatetime 2018-01-12T09:50:36 --enforcementcount 0 &gt;&gt;%USERPROFILE%\Documents\GitHub\eaglep3-reporting\EC\2018-01-12-refined-times.txt</v>
      </c>
      <c r="AI50" s="238" t="str">
        <f t="shared" ref="AI50" si="11"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{"issue":{"subject":"","project_id":79,"tracker_id":40,"status_id":1,"priority_id":2,"assigned_to_id":338,"start_date":"2018-01-12","description":"","custom_fields":[{"id":1,"name":"Subdivision","value":"EC"},{"id":4,"name":"Milepost","value":"0.0243"},{"id":17,"name":"Train ID","value":"138-12"},{"id":16,"name":"Locomotive ID","value":"4003"},{"id":130,"name":"Impact","value":""},{"id":150,"name":"Time of Event (Mountain Time)","value":"09:50:36"},{"id":151,"name":"Denver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>"start /low /b "&amp;dls3logs&amp;" --loco "&amp;B50&amp;" --day "&amp;TEXT(F50,"YYYY-MM-DD")</f>
        <v>start /low /b %USERPROFILE%\Documents\GitHub\eaglep3\Utilities\DownloadLogsFromS3.py --loco 4003 --day 2018-01-12</v>
      </c>
      <c r="AN50" s="241" t="str">
        <f t="shared" ref="AN50" si="12"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ref="AO50" si="13"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Message%20ID',Summary),filters:!(),index:'emp_*',interval:auto,query:"&amp;"(query_string:(analyze_wildcard:!t,query:'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-12T07:06:54-0700',mode:absolute,to:'2018-01-12T10:50:36-0700'))&amp;_a=(columns:!('Message%20ID',Summary),filters:!(),index:'emp_*',interval:auto,query:(query_string:(analyze_wildcard:!t,query:'%22rtdc.l.rtdc.4003%22')),sort:!(Time.ISO8601,asc))</v>
      </c>
      <c r="AP50" s="223"/>
      <c r="AQ50" s="223"/>
      <c r="AR50" s="223"/>
      <c r="AS50" s="223"/>
      <c r="AT50" s="223"/>
      <c r="AU50" s="223"/>
      <c r="AV50" s="223"/>
      <c r="AW50" s="223"/>
      <c r="AX50" s="223"/>
      <c r="AY50" s="223"/>
      <c r="AZ50" s="223"/>
      <c r="BA50" s="223"/>
      <c r="BB50" s="223"/>
      <c r="BC50" s="223"/>
      <c r="BD50" s="223"/>
      <c r="BE50" s="223"/>
      <c r="BF50" s="223"/>
      <c r="BG50" s="223"/>
      <c r="BH50" s="223"/>
      <c r="BI50" s="223"/>
      <c r="BJ50" s="223"/>
      <c r="BK50" s="223"/>
      <c r="BL50" s="223"/>
      <c r="BM50" s="223"/>
      <c r="BN50" s="223"/>
      <c r="BO50" s="223"/>
      <c r="BP50" s="223"/>
      <c r="BQ50" s="223"/>
      <c r="BR50" s="223"/>
      <c r="BS50" s="223"/>
      <c r="BT50" s="223"/>
      <c r="BU50" s="223"/>
      <c r="BV50" s="223"/>
      <c r="BW50" s="223"/>
      <c r="BX50" s="223"/>
      <c r="BY50" s="223"/>
      <c r="BZ50" s="223"/>
      <c r="CA50" s="223"/>
      <c r="CB50" s="223"/>
      <c r="CC50" s="223"/>
      <c r="CD50" s="223"/>
      <c r="CE50" s="223"/>
      <c r="CF50" s="223"/>
      <c r="CG50" s="223"/>
      <c r="CH50" s="223"/>
      <c r="CI50" s="223"/>
      <c r="CJ50" s="223"/>
      <c r="CK50" s="223"/>
      <c r="CL50" s="223"/>
      <c r="CM50" s="223"/>
    </row>
    <row r="51" spans="1:91" s="1" customFormat="1" x14ac:dyDescent="0.3">
      <c r="A51" s="229" t="s">
        <v>763</v>
      </c>
      <c r="B51" s="225">
        <v>4026</v>
      </c>
      <c r="C51" s="227" t="s">
        <v>191</v>
      </c>
      <c r="D51" s="227" t="s">
        <v>556</v>
      </c>
      <c r="E51" s="226">
        <v>43112.347175925926</v>
      </c>
      <c r="F51" s="226">
        <v>43112.354675925926</v>
      </c>
      <c r="G51" s="225">
        <v>46</v>
      </c>
      <c r="H51" s="227" t="s">
        <v>537</v>
      </c>
      <c r="I51" s="226">
        <v>43112.378240740742</v>
      </c>
      <c r="J51" s="225">
        <v>0</v>
      </c>
      <c r="K51" s="237" t="str">
        <f>IF(ISEVEN(B51),(B51-1)&amp;"/"&amp;B51,B51&amp;"/"&amp;(B51+1))</f>
        <v>4025/4026</v>
      </c>
      <c r="L51" s="245" t="str">
        <f>VLOOKUP(A51,'Trips&amp;Operators'!$C$1:$G$99911,5,FALSE)</f>
        <v>YORK EDGAR</v>
      </c>
      <c r="M51" s="224">
        <f>I51-F51</f>
        <v>2.3564814815472346E-2</v>
      </c>
      <c r="N51" s="225">
        <f>24*60*SUM($M51:$M51)</f>
        <v>33.933333334280178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-12T07:19:56-0700',mode:absolute,to:'2018-01-12T10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4.4400000000000002E-2</v>
      </c>
      <c r="Z51" s="247">
        <f>RIGHT(H51,LEN(H51)-4)/10000</f>
        <v>23.328800000000001</v>
      </c>
      <c r="AA51" s="247">
        <f>ABS(Z51-Y51)</f>
        <v>23.284400000000002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/stypes="app*4026*20180112*"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139-12 --locoid 4026 --swversion DE.1.0.9.0 --startMP 204:444 --initTime 2018-01-12T08:19:56 --startdatetime 2018-01-12T08:30:44 --delay 46 --endMP 204:233288 --enddatetime 2018-01-12T09:04:40 --enforcementcount 0 &gt;&gt;%USERPROFILE%\Documents\GitHub\eaglep3-reporting\EC\2018-01-12-refined-times.txt</v>
      </c>
      <c r="AI51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{"issue":{"subject":"","project_id":79,"tracker_id":40,"status_id":1,"priority_id":2,"assigned_to_id":338,"start_date":"2018-01-12","description":"","custom_fields":[{"id":1,"name":"Subdivision","value":"EC"},{"id":4,"name":"Milepost","value":"23.3288"},{"id":17,"name":"Train ID","value":"139-12"},{"id":16,"name":"Locomotive ID","value":"4026"},{"id":130,"name":"Impact","value":""},{"id":150,"name":"Time of Event (Mountain Time)","value":"09:04:40"},{"id":151,"name":"Denver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4026 --day 2018-01-12</v>
      </c>
      <c r="AN51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-12T07:19:56-0700',mode:absolute,to:'2018-01-12T10:04:40-0700'))&amp;_a=(columns:!('Message%20ID',Summary),filters:!(),index:'emp_*',interval:auto,query:(query_string:(analyze_wildcard:!t,query:'%22rtdc.l.rtdc.4026%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769</v>
      </c>
      <c r="B52" s="225">
        <v>4025</v>
      </c>
      <c r="C52" s="227" t="s">
        <v>191</v>
      </c>
      <c r="D52" s="227" t="s">
        <v>621</v>
      </c>
      <c r="E52" s="226">
        <v>43112.380648148152</v>
      </c>
      <c r="F52" s="226">
        <v>43112.393958333334</v>
      </c>
      <c r="G52" s="225">
        <v>44</v>
      </c>
      <c r="H52" s="227" t="s">
        <v>530</v>
      </c>
      <c r="I52" s="226">
        <v>43112.419016203705</v>
      </c>
      <c r="J52" s="225">
        <v>0</v>
      </c>
      <c r="K52" s="237" t="str">
        <f>IF(ISEVEN(B52),(B52-1)&amp;"/"&amp;B52,B52&amp;"/"&amp;(B52+1))</f>
        <v>4025/4026</v>
      </c>
      <c r="L52" s="245" t="str">
        <f>VLOOKUP(A52,'Trips&amp;Operators'!$C$1:$G$99911,5,FALSE)</f>
        <v>YORK EDGAR</v>
      </c>
      <c r="M52" s="224">
        <f>I52-F52</f>
        <v>2.5057870370801538E-2</v>
      </c>
      <c r="N52" s="225">
        <f>24*60*SUM($M52:$M52)</f>
        <v>36.083333333954215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-12T08:08:08-0700',mode:absolute,to:'2018-01-12T11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23.2973</v>
      </c>
      <c r="Z52" s="247">
        <f>RIGHT(H52,LEN(H52)-4)/10000</f>
        <v>1.5599999999999999E-2</v>
      </c>
      <c r="AA52" s="247">
        <f>ABS(Z52-Y52)</f>
        <v>23.281700000000001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/stypes="app*4025*20180112*"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140-12 --locoid 4025 --swversion DE.1.0.9.0 --startMP 204:232973 --initTime 2018-01-12T09:08:08 --startdatetime 2018-01-12T09:27:18 --delay 44 --endMP 204:156 --enddatetime 2018-01-12T10:03:23 --enforcementcount 0 &gt;&gt;%USERPROFILE%\Documents\GitHub\eaglep3-reporting\EC\2018-01-12-refined-times.txt</v>
      </c>
      <c r="AI5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{"issue":{"subject":"","project_id":79,"tracker_id":40,"status_id":1,"priority_id":2,"assigned_to_id":338,"start_date":"2018-01-12","description":"","custom_fields":[{"id":1,"name":"Subdivision","value":"EC"},{"id":4,"name":"Milepost","value":"0.0156"},{"id":17,"name":"Train ID","value":"140-12"},{"id":16,"name":"Locomotive ID","value":"4025"},{"id":130,"name":"Impact","value":""},{"id":150,"name":"Time of Event (Mountain Time)","value":"10:03:23"},{"id":151,"name":"Denver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4025 --day 2018-01-12</v>
      </c>
      <c r="AN5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-12T08:08:08-0700',mode:absolute,to:'2018-01-12T11:03:23-0700'))&amp;_a=(columns:!('Message%20ID',Summary),filters:!(),index:'emp_*',interval:auto,query:(query_string:(analyze_wildcard:!t,query:'%22rtdc.l.rtdc.4025%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767</v>
      </c>
      <c r="B53" s="225">
        <v>4060</v>
      </c>
      <c r="C53" s="227" t="s">
        <v>191</v>
      </c>
      <c r="D53" s="227" t="s">
        <v>544</v>
      </c>
      <c r="E53" s="226">
        <v>43112.360520833332</v>
      </c>
      <c r="F53" s="226">
        <v>43112.364918981482</v>
      </c>
      <c r="G53" s="225">
        <v>71</v>
      </c>
      <c r="H53" s="227" t="s">
        <v>539</v>
      </c>
      <c r="I53" s="226">
        <v>43112.389398148145</v>
      </c>
      <c r="J53" s="225">
        <v>0</v>
      </c>
      <c r="K53" s="237" t="str">
        <f>IF(ISEVEN(B53),(B53-1)&amp;"/"&amp;B53,B53&amp;"/"&amp;(B53+1))</f>
        <v>4059/4060</v>
      </c>
      <c r="L53" s="245" t="str">
        <f>VLOOKUP(A53,'Trips&amp;Operators'!$C$1:$G$99911,5,FALSE)</f>
        <v>BEAM ROSS</v>
      </c>
      <c r="M53" s="224">
        <f>I53-F53</f>
        <v>2.4479166662786156E-2</v>
      </c>
      <c r="N53" s="225">
        <f>24*60*SUM($M53:$M53)</f>
        <v>35.249999994412065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-12T07:39:09-0700',mode:absolute,to:'2018-01-12T10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4.8599999999999997E-2</v>
      </c>
      <c r="Z53" s="247">
        <f>RIGHT(H53,LEN(H53)-4)/10000</f>
        <v>23.331199999999999</v>
      </c>
      <c r="AA53" s="247">
        <f>ABS(Z53-Y53)</f>
        <v>23.282599999999999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/stypes="app*4060*20180112*"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141-12 --locoid 4060 --swversion DE.1.0.9.0 --startMP 204:486 --initTime 2018-01-12T08:39:09 --startdatetime 2018-01-12T08:45:29 --delay 71 --endMP 204:233312 --enddatetime 2018-01-12T09:20:44 --enforcementcount 0 &gt;&gt;%USERPROFILE%\Documents\GitHub\eaglep3-reporting\EC\2018-01-12-refined-times.txt</v>
      </c>
      <c r="AI53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{"issue":{"subject":"","project_id":79,"tracker_id":40,"status_id":1,"priority_id":2,"assigned_to_id":338,"start_date":"2018-01-12","description":"","custom_fields":[{"id":1,"name":"Subdivision","value":"EC"},{"id":4,"name":"Milepost","value":"23.3312"},{"id":17,"name":"Train ID","value":"141-12"},{"id":16,"name":"Locomotive ID","value":"4060"},{"id":130,"name":"Impact","value":""},{"id":150,"name":"Time of Event (Mountain Time)","value":"09:20:44"},{"id":151,"name":"Denver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4060 --day 2018-01-12</v>
      </c>
      <c r="AN53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-12T07:39:09-0700',mode:absolute,to:'2018-01-12T10:20:44-0700'))&amp;_a=(columns:!('Message%20ID',Summary),filters:!(),index:'emp_*',interval:auto,query:(query_string:(analyze_wildcard:!t,query:'%22rtdc.l.rtdc.4060%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771</v>
      </c>
      <c r="B54" s="225">
        <v>4059</v>
      </c>
      <c r="C54" s="227" t="s">
        <v>191</v>
      </c>
      <c r="D54" s="227" t="s">
        <v>945</v>
      </c>
      <c r="E54" s="226">
        <v>43112.390543981484</v>
      </c>
      <c r="F54" s="226">
        <v>43112.404328703706</v>
      </c>
      <c r="G54" s="225">
        <v>63</v>
      </c>
      <c r="H54" s="227" t="s">
        <v>946</v>
      </c>
      <c r="I54" s="226">
        <v>43112.430104166669</v>
      </c>
      <c r="J54" s="225">
        <v>0</v>
      </c>
      <c r="K54" s="237" t="str">
        <f>IF(ISEVEN(B54),(B54-1)&amp;"/"&amp;B54,B54&amp;"/"&amp;(B54+1))</f>
        <v>4059/4060</v>
      </c>
      <c r="L54" s="245" t="str">
        <f>VLOOKUP(A54,'Trips&amp;Operators'!$C$1:$G$99911,5,FALSE)</f>
        <v>BEAM ROSS</v>
      </c>
      <c r="M54" s="224">
        <f>I54-F54</f>
        <v>2.5775462963792961E-2</v>
      </c>
      <c r="N54" s="225">
        <f>24*60*SUM($M54:$M54)</f>
        <v>37.116666667861864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-12T08:22:23-0700',mode:absolute,to:'2018-01-12T11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23.2989</v>
      </c>
      <c r="Z54" s="247">
        <f>RIGHT(H54,LEN(H54)-4)/10000</f>
        <v>2.07E-2</v>
      </c>
      <c r="AA54" s="247">
        <f>ABS(Z54-Y54)</f>
        <v>23.278199999999998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/stypes="app*4059*20180112*"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142-12 --locoid 4059 --swversion DE.1.0.9.0 --startMP 204:232989 --initTime 2018-01-12T09:22:23 --startdatetime 2018-01-12T09:42:14 --delay 63 --endMP 204:207 --enddatetime 2018-01-12T10:19:21 --enforcementcount 0 &gt;&gt;%USERPROFILE%\Documents\GitHub\eaglep3-reporting\EC\2018-01-12-refined-times.txt</v>
      </c>
      <c r="AI5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{"issue":{"subject":"","project_id":79,"tracker_id":40,"status_id":1,"priority_id":2,"assigned_to_id":338,"start_date":"2018-01-12","description":"","custom_fields":[{"id":1,"name":"Subdivision","value":"EC"},{"id":4,"name":"Milepost","value":"0.0207"},{"id":17,"name":"Train ID","value":"142-12"},{"id":16,"name":"Locomotive ID","value":"4059"},{"id":130,"name":"Impact","value":""},{"id":150,"name":"Time of Event (Mountain Time)","value":"10:19:21"},{"id":151,"name":"Denver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4059 --day 2018-01-12</v>
      </c>
      <c r="AN5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-12T08:22:23-0700',mode:absolute,to:'2018-01-12T11:19:21-0700'))&amp;_a=(columns:!('Message%20ID',Summary),filters:!(),index:'emp_*',interval:auto,query:(query_string:(analyze_wildcard:!t,query:'%22rtdc.l.rtdc.4059%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672</v>
      </c>
      <c r="B55" s="225">
        <v>4040</v>
      </c>
      <c r="C55" s="227" t="s">
        <v>191</v>
      </c>
      <c r="D55" s="227" t="s">
        <v>468</v>
      </c>
      <c r="E55" s="226">
        <v>43112.370717592596</v>
      </c>
      <c r="F55" s="226">
        <v>43112.375185185185</v>
      </c>
      <c r="G55" s="225">
        <v>82</v>
      </c>
      <c r="H55" s="227" t="s">
        <v>947</v>
      </c>
      <c r="I55" s="226">
        <v>43112.400358796294</v>
      </c>
      <c r="J55" s="225">
        <v>0</v>
      </c>
      <c r="K55" s="237" t="str">
        <f>IF(ISEVEN(B55),(B55-1)&amp;"/"&amp;B55,B55&amp;"/"&amp;(B55+1))</f>
        <v>4039/4040</v>
      </c>
      <c r="L55" s="245" t="str">
        <f>VLOOKUP(A55,'Trips&amp;Operators'!$C$1:$G$99911,5,FALSE)</f>
        <v>HUFFSMITH MONTY</v>
      </c>
      <c r="M55" s="224">
        <f>I55-F55</f>
        <v>2.5173611109494232E-2</v>
      </c>
      <c r="N55" s="225">
        <f>24*60*SUM($M55:$M55)</f>
        <v>36.249999997671694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-12T07:53:50-0700',mode:absolute,to:'2018-01-12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4.9500000000000002E-2</v>
      </c>
      <c r="Z55" s="247">
        <f>RIGHT(H55,LEN(H55)-4)/10000</f>
        <v>23.331800000000001</v>
      </c>
      <c r="AA55" s="247">
        <f>ABS(Z55-Y55)</f>
        <v>23.282300000000003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/stypes="app*4040*20180112*"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143-12 --locoid 4040 --swversion DE.1.0.9.0 --startMP 204:495 --initTime 2018-01-12T08:53:50 --startdatetime 2018-01-12T09:00:16 --delay 82 --endMP 204:233318 --enddatetime 2018-01-12T09:36:31 --enforcementcount 0 &gt;&gt;%USERPROFILE%\Documents\GitHub\eaglep3-reporting\EC\2018-01-12-refined-times.txt</v>
      </c>
      <c r="AI5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{"issue":{"subject":"","project_id":79,"tracker_id":40,"status_id":1,"priority_id":2,"assigned_to_id":338,"start_date":"2018-01-12","description":"","custom_fields":[{"id":1,"name":"Subdivision","value":"EC"},{"id":4,"name":"Milepost","value":"23.3318"},{"id":17,"name":"Train ID","value":"143-12"},{"id":16,"name":"Locomotive ID","value":"4040"},{"id":130,"name":"Impact","value":""},{"id":150,"name":"Time of Event (Mountain Time)","value":"09:36:31"},{"id":151,"name":"Denver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4040 --day 2018-01-12</v>
      </c>
      <c r="AN5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-12T07:53:50-0700',mode:absolute,to:'2018-01-12T10:36:31-0700'))&amp;_a=(columns:!('Message%20ID',Summary),filters:!(),index:'emp_*',interval:auto,query:(query_string:(analyze_wildcard:!t,query:'%22rtdc.l.rtdc.4040%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774</v>
      </c>
      <c r="B56" s="225">
        <v>4039</v>
      </c>
      <c r="C56" s="227" t="s">
        <v>191</v>
      </c>
      <c r="D56" s="227" t="s">
        <v>628</v>
      </c>
      <c r="E56" s="226">
        <v>43112.402592592596</v>
      </c>
      <c r="F56" s="226">
        <v>43112.414756944447</v>
      </c>
      <c r="G56" s="225">
        <v>59</v>
      </c>
      <c r="H56" s="227" t="s">
        <v>632</v>
      </c>
      <c r="I56" s="226">
        <v>43112.441979166666</v>
      </c>
      <c r="J56" s="225">
        <v>0</v>
      </c>
      <c r="K56" s="237" t="str">
        <f>IF(ISEVEN(B56),(B56-1)&amp;"/"&amp;B56,B56&amp;"/"&amp;(B56+1))</f>
        <v>4039/4040</v>
      </c>
      <c r="L56" s="245" t="str">
        <f>VLOOKUP(A56,'Trips&amp;Operators'!$C$1:$G$99911,5,FALSE)</f>
        <v>HUFFSMITH MONTY</v>
      </c>
      <c r="M56" s="224">
        <f>I56-F56</f>
        <v>2.7222222219279502E-2</v>
      </c>
      <c r="N56" s="225">
        <f>24*60*SUM($M56:$M56)</f>
        <v>39.199999995762482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-12T08:39:44-0700',mode:absolute,to:'2018-01-12T11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23.3019</v>
      </c>
      <c r="Z56" s="247">
        <f>RIGHT(H56,LEN(H56)-4)/10000</f>
        <v>1.43E-2</v>
      </c>
      <c r="AA56" s="247">
        <f>ABS(Z56-Y56)</f>
        <v>23.287600000000001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/stypes="app*4039*20180112*"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144-12 --locoid 4039 --swversion DE.1.0.9.0 --startMP 204:233019 --initTime 2018-01-12T09:39:44 --startdatetime 2018-01-12T09:57:15 --delay 59 --endMP 204:143 --enddatetime 2018-01-12T10:36:27 --enforcementcount 0 &gt;&gt;%USERPROFILE%\Documents\GitHub\eaglep3-reporting\EC\2018-01-12-refined-times.txt</v>
      </c>
      <c r="AI5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{"issue":{"subject":"","project_id":79,"tracker_id":40,"status_id":1,"priority_id":2,"assigned_to_id":338,"start_date":"2018-01-12","description":"","custom_fields":[{"id":1,"name":"Subdivision","value":"EC"},{"id":4,"name":"Milepost","value":"0.0143"},{"id":17,"name":"Train ID","value":"144-12"},{"id":16,"name":"Locomotive ID","value":"4039"},{"id":130,"name":"Impact","value":""},{"id":150,"name":"Time of Event (Mountain Time)","value":"10:36:27"},{"id":151,"name":"Denver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4039 --day 2018-01-12</v>
      </c>
      <c r="AN5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-12T08:39:44-0700',mode:absolute,to:'2018-01-12T11:36:27-0700'))&amp;_a=(columns:!('Message%20ID',Summary),filters:!(),index:'emp_*',interval:auto,query:(query_string:(analyze_wildcard:!t,query:'%22rtdc.l.rtdc.4039%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770</v>
      </c>
      <c r="B57" s="225">
        <v>4028</v>
      </c>
      <c r="C57" s="227" t="s">
        <v>191</v>
      </c>
      <c r="D57" s="227" t="s">
        <v>476</v>
      </c>
      <c r="E57" s="226">
        <v>43112.382696759261</v>
      </c>
      <c r="F57" s="226">
        <v>43112.385567129626</v>
      </c>
      <c r="G57" s="225">
        <v>47</v>
      </c>
      <c r="H57" s="227" t="s">
        <v>650</v>
      </c>
      <c r="I57" s="226">
        <v>43112.410509259258</v>
      </c>
      <c r="J57" s="225">
        <v>0</v>
      </c>
      <c r="K57" s="237" t="str">
        <f>IF(ISEVEN(B57),(B57-1)&amp;"/"&amp;B57,B57&amp;"/"&amp;(B57+1))</f>
        <v>4027/4028</v>
      </c>
      <c r="L57" s="245" t="str">
        <f>VLOOKUP(A57,'Trips&amp;Operators'!$C$1:$G$99911,5,FALSE)</f>
        <v>YANAI IAN</v>
      </c>
      <c r="M57" s="224">
        <f>I57-F57</f>
        <v>2.4942129632108845E-2</v>
      </c>
      <c r="N57" s="225">
        <f>24*60*SUM($M57:$M57)</f>
        <v>35.916666670236737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-12T08:11:05-0700',mode:absolute,to:'2018-01-12T10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5.3699999999999998E-2</v>
      </c>
      <c r="Z57" s="247">
        <f>RIGHT(H57,LEN(H57)-4)/10000</f>
        <v>23.333600000000001</v>
      </c>
      <c r="AA57" s="247">
        <f>ABS(Z57-Y57)</f>
        <v>23.279900000000001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/stypes="app*4028*20180112*"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145-12 --locoid 4028 --swversion DE.1.0.9.0 --startMP 204:537 --initTime 2018-01-12T09:11:05 --startdatetime 2018-01-12T09:15:13 --delay 47 --endMP 204:233336 --enddatetime 2018-01-12T09:51:08 --enforcementcount 0 &gt;&gt;%USERPROFILE%\Documents\GitHub\eaglep3-reporting\EC\2018-01-12-refined-times.txt</v>
      </c>
      <c r="AI5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{"issue":{"subject":"","project_id":79,"tracker_id":40,"status_id":1,"priority_id":2,"assigned_to_id":338,"start_date":"2018-01-12","description":"","custom_fields":[{"id":1,"name":"Subdivision","value":"EC"},{"id":4,"name":"Milepost","value":"23.3336"},{"id":17,"name":"Train ID","value":"145-12"},{"id":16,"name":"Locomotive ID","value":"4028"},{"id":130,"name":"Impact","value":""},{"id":150,"name":"Time of Event (Mountain Time)","value":"09:51:08"},{"id":151,"name":"Denver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4028 --day 2018-01-12</v>
      </c>
      <c r="AN5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-12T08:11:05-0700',mode:absolute,to:'2018-01-12T10:51:08-0700'))&amp;_a=(columns:!('Message%20ID',Summary),filters:!(),index:'emp_*',interval:auto,query:(query_string:(analyze_wildcard:!t,query:'%22rtdc.l.rtdc.4028%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776</v>
      </c>
      <c r="B58" s="225">
        <v>4027</v>
      </c>
      <c r="C58" s="227" t="s">
        <v>191</v>
      </c>
      <c r="D58" s="227" t="s">
        <v>623</v>
      </c>
      <c r="E58" s="226">
        <v>43112.411643518521</v>
      </c>
      <c r="F58" s="226">
        <v>43112.425219907411</v>
      </c>
      <c r="G58" s="225">
        <v>61</v>
      </c>
      <c r="H58" s="227" t="s">
        <v>443</v>
      </c>
      <c r="I58" s="226">
        <v>43112.45275462963</v>
      </c>
      <c r="J58" s="225">
        <v>0</v>
      </c>
      <c r="K58" s="237" t="str">
        <f>IF(ISEVEN(B58),(B58-1)&amp;"/"&amp;B58,B58&amp;"/"&amp;(B58+1))</f>
        <v>4027/4028</v>
      </c>
      <c r="L58" s="245" t="str">
        <f>VLOOKUP(A58,'Trips&amp;Operators'!$C$1:$G$99911,5,FALSE)</f>
        <v>YANAI IAN</v>
      </c>
      <c r="M58" s="224">
        <f>I58-F58</f>
        <v>2.753472221957054E-2</v>
      </c>
      <c r="N58" s="225">
        <f>24*60*SUM($M58:$M58)</f>
        <v>39.649999996181577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-12T08:52:46-0700',mode:absolute,to:'2018-01-12T11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23.302499999999998</v>
      </c>
      <c r="Z58" s="247">
        <f>RIGHT(H58,LEN(H58)-4)/10000</f>
        <v>0.02</v>
      </c>
      <c r="AA58" s="247">
        <f>ABS(Z58-Y58)</f>
        <v>23.282499999999999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/stypes="app*4027*20180112*"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146-12 --locoid 4027 --swversion DE.1.0.9.0 --startMP 204:233025 --initTime 2018-01-12T09:52:46 --startdatetime 2018-01-12T10:12:19 --delay 61 --endMP 204:200 --enddatetime 2018-01-12T10:51:58 --enforcementcount 0 &gt;&gt;%USERPROFILE%\Documents\GitHub\eaglep3-reporting\EC\2018-01-12-refined-times.txt</v>
      </c>
      <c r="AI5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{"issue":{"subject":"","project_id":79,"tracker_id":40,"status_id":1,"priority_id":2,"assigned_to_id":338,"start_date":"2018-01-12","description":"","custom_fields":[{"id":1,"name":"Subdivision","value":"EC"},{"id":4,"name":"Milepost","value":"0.02"},{"id":17,"name":"Train ID","value":"146-12"},{"id":16,"name":"Locomotive ID","value":"4027"},{"id":130,"name":"Impact","value":""},{"id":150,"name":"Time of Event (Mountain Time)","value":"10:51:58"},{"id":151,"name":"Denver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4027 --day 2018-01-12</v>
      </c>
      <c r="AN5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-12T08:52:46-0700',mode:absolute,to:'2018-01-12T11:51:58-0700'))&amp;_a=(columns:!('Message%20ID',Summary),filters:!(),index:'emp_*',interval:auto,query:(query_string:(analyze_wildcard:!t,query:'%22rtdc.l.rtdc.4027%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772</v>
      </c>
      <c r="B59" s="225">
        <v>4018</v>
      </c>
      <c r="C59" s="227" t="s">
        <v>191</v>
      </c>
      <c r="D59" s="227" t="s">
        <v>624</v>
      </c>
      <c r="E59" s="226">
        <v>43112.390844907408</v>
      </c>
      <c r="F59" s="226">
        <v>43112.39644675926</v>
      </c>
      <c r="G59" s="225">
        <v>83</v>
      </c>
      <c r="H59" s="227" t="s">
        <v>925</v>
      </c>
      <c r="I59" s="226">
        <v>43112.420613425929</v>
      </c>
      <c r="J59" s="225">
        <v>0</v>
      </c>
      <c r="K59" s="237" t="str">
        <f>IF(ISEVEN(B59),(B59-1)&amp;"/"&amp;B59,B59&amp;"/"&amp;(B59+1))</f>
        <v>4017/4018</v>
      </c>
      <c r="L59" s="245" t="str">
        <f>VLOOKUP(A59,'Trips&amp;Operators'!$C$1:$G$99911,5,FALSE)</f>
        <v>BONDS REYNALDO</v>
      </c>
      <c r="M59" s="224">
        <f>I59-F59</f>
        <v>2.4166666669771075E-2</v>
      </c>
      <c r="N59" s="225">
        <f>24*60*SUM($M59:$M59)</f>
        <v>34.800000004470348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-12T08:22:49-0700',mode:absolute,to:'2018-01-12T11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5.2400000000000002E-2</v>
      </c>
      <c r="Z59" s="247">
        <f>RIGHT(H59,LEN(H59)-4)/10000</f>
        <v>23.3307</v>
      </c>
      <c r="AA59" s="247">
        <f>ABS(Z59-Y59)</f>
        <v>23.278300000000002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/stypes="app*4018*20180112*"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147-12 --locoid 4018 --swversion DE.1.0.9.0 --startMP 204:524 --initTime 2018-01-12T09:22:49 --startdatetime 2018-01-12T09:30:53 --delay 83 --endMP 204:233307 --enddatetime 2018-01-12T10:05:41 --enforcementcount 0 &gt;&gt;%USERPROFILE%\Documents\GitHub\eaglep3-reporting\EC\2018-01-12-refined-times.txt</v>
      </c>
      <c r="AI5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{"issue":{"subject":"","project_id":79,"tracker_id":40,"status_id":1,"priority_id":2,"assigned_to_id":338,"start_date":"2018-01-12","description":"","custom_fields":[{"id":1,"name":"Subdivision","value":"EC"},{"id":4,"name":"Milepost","value":"23.3307"},{"id":17,"name":"Train ID","value":"147-12"},{"id":16,"name":"Locomotive ID","value":"4018"},{"id":130,"name":"Impact","value":""},{"id":150,"name":"Time of Event (Mountain Time)","value":"10:05:41"},{"id":151,"name":"Denver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4018 --day 2018-01-12</v>
      </c>
      <c r="AN5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-12T08:22:49-0700',mode:absolute,to:'2018-01-12T11:05:41-0700'))&amp;_a=(columns:!('Message%20ID',Summary),filters:!(),index:'emp_*',interval:auto,query:(query_string:(analyze_wildcard:!t,query:'%22rtdc.l.rtdc.4018%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779</v>
      </c>
      <c r="B60" s="225">
        <v>4017</v>
      </c>
      <c r="C60" s="227" t="s">
        <v>191</v>
      </c>
      <c r="D60" s="227" t="s">
        <v>948</v>
      </c>
      <c r="E60" s="226">
        <v>43112.428148148145</v>
      </c>
      <c r="F60" s="226">
        <v>43112.435578703706</v>
      </c>
      <c r="G60" s="225">
        <v>116</v>
      </c>
      <c r="H60" s="227" t="s">
        <v>490</v>
      </c>
      <c r="I60" s="226">
        <v>43112.461053240739</v>
      </c>
      <c r="J60" s="225">
        <v>0</v>
      </c>
      <c r="K60" s="237" t="str">
        <f>IF(ISEVEN(B60),(B60-1)&amp;"/"&amp;B60,B60&amp;"/"&amp;(B60+1))</f>
        <v>4017/4018</v>
      </c>
      <c r="L60" s="245" t="str">
        <f>VLOOKUP(A60,'Trips&amp;Operators'!$C$1:$G$99911,5,FALSE)</f>
        <v>BONDS REYNALDO</v>
      </c>
      <c r="M60" s="224">
        <f>I60-F60</f>
        <v>2.5474537033005618E-2</v>
      </c>
      <c r="N60" s="225">
        <f>24*60*SUM($M60:$M60)</f>
        <v>36.683333327528089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-12T09:16:32-0700',mode:absolute,to:'2018-01-12T12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23.299199999999999</v>
      </c>
      <c r="Z60" s="247">
        <f>RIGHT(H60,LEN(H60)-4)/10000</f>
        <v>2.2700000000000001E-2</v>
      </c>
      <c r="AA60" s="247">
        <f>ABS(Z60-Y60)</f>
        <v>23.276499999999999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/stypes="app*4017*20180112*"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148-12 --locoid 4017 --swversion DE.1.0.9.0 --startMP 204:232992 --initTime 2018-01-12T10:16:32 --startdatetime 2018-01-12T10:27:14 --delay 116 --endMP 204:227 --enddatetime 2018-01-12T11:03:55 --enforcementcount 0 &gt;&gt;%USERPROFILE%\Documents\GitHub\eaglep3-reporting\EC\2018-01-12-refined-times.txt</v>
      </c>
      <c r="AI60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{"issue":{"subject":"","project_id":79,"tracker_id":40,"status_id":1,"priority_id":2,"assigned_to_id":338,"start_date":"2018-01-12","description":"","custom_fields":[{"id":1,"name":"Subdivision","value":"EC"},{"id":4,"name":"Milepost","value":"0.0227"},{"id":17,"name":"Train ID","value":"148-12"},{"id":16,"name":"Locomotive ID","value":"4017"},{"id":130,"name":"Impact","value":""},{"id":150,"name":"Time of Event (Mountain Time)","value":"11:03:55"},{"id":151,"name":"Denver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4017 --day 2018-01-12</v>
      </c>
      <c r="AN60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-12T09:16:32-0700',mode:absolute,to:'2018-01-12T12:03:55-0700'))&amp;_a=(columns:!('Message%20ID',Summary),filters:!(),index:'emp_*',interval:auto,query:(query_string:(analyze_wildcard:!t,query:'%22rtdc.l.rtdc.4017%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674</v>
      </c>
      <c r="B61" s="225">
        <v>4006</v>
      </c>
      <c r="C61" s="227" t="s">
        <v>191</v>
      </c>
      <c r="D61" s="227" t="s">
        <v>949</v>
      </c>
      <c r="E61" s="226">
        <v>43112.400648148148</v>
      </c>
      <c r="F61" s="226">
        <v>43112.406435185185</v>
      </c>
      <c r="G61" s="225">
        <v>76</v>
      </c>
      <c r="H61" s="227" t="s">
        <v>950</v>
      </c>
      <c r="I61" s="226">
        <v>43112.426666666666</v>
      </c>
      <c r="J61" s="225">
        <v>0</v>
      </c>
      <c r="K61" s="237" t="str">
        <f>IF(ISEVEN(B61),(B61-1)&amp;"/"&amp;B61,B61&amp;"/"&amp;(B61+1))</f>
        <v>4005/4006</v>
      </c>
      <c r="L61" s="245" t="str">
        <f>VLOOKUP(A61,'Trips&amp;Operators'!$C$1:$G$99911,5,FALSE)</f>
        <v>GEBRETEKLE DAGNEW</v>
      </c>
      <c r="M61" s="224">
        <f>I61-F61</f>
        <v>2.0231481481459923E-2</v>
      </c>
      <c r="N61" s="225"/>
      <c r="O61" s="225"/>
      <c r="P61" s="225">
        <f>24*60*SUM($M61:$M61)</f>
        <v>29.133333333302289</v>
      </c>
      <c r="Q61" s="228"/>
      <c r="R61" s="242" t="s">
        <v>1115</v>
      </c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-12T08:36:56-0700',mode:absolute,to:'2018-01-12T11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247" t="str">
        <f>IF(AA61&lt;VLOOKUP(AG61,Variables!$AC$3:$AD$8,2,FALSE),"Y","N")</f>
        <v>Y</v>
      </c>
      <c r="X61" s="247">
        <f>VALUE(LEFT(AD61,4))-VALUE(LEFT(AD60,4))</f>
        <v>1</v>
      </c>
      <c r="Y61" s="247">
        <f>RIGHT(D61,LEN(D61)-4)/10000</f>
        <v>4.6899999999999997E-2</v>
      </c>
      <c r="Z61" s="247">
        <f>RIGHT(H61,LEN(H61)-4)/10000</f>
        <v>19.382300000000001</v>
      </c>
      <c r="AA61" s="247">
        <f>ABS(Z61-Y61)</f>
        <v>19.3354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/stypes="app*4006*20180112*"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149-12 --locoid 4006 --swversion DE.1.0.9.0 --startMP 204:469 --initTime 2018-01-12T09:36:56 --startdatetime 2018-01-12T09:45:16 --delay 76 --endMP 204:193823 --enddatetime 2018-01-12T10:14:24 --enforcementcount 0 &gt;&gt;%USERPROFILE%\Documents\GitHub\eaglep3-reporting\EC\2018-01-12-refined-times.txt</v>
      </c>
      <c r="AI61" s="238" t="str">
        <f t="shared" si="6"/>
        <v>echo {"issue":{"subject":"Premature downgrade CP Pena 2N","project_id":79,"tracker_id":40,"status_id":1,"priority_id":2,"assigned_to_id":338,"start_date":"2018-01-12","description":"","custom_fields":[{"id":1,"name":"Subdivision","value":"EC"},{"id":4,"name":"Milepost","value":"19.3823"},{"id":17,"name":"Train ID","value":"149-12"},{"id":16,"name":"Locomotive ID","value":"4006"},{"id":130,"name":"Impact","value":""},{"id":150,"name":"Time of Event (Mountain Time)","value":"10:14:24"},{"id":151,"name":"Denver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4006 --day 2018-01-12</v>
      </c>
      <c r="AN61" s="241" t="str">
        <f t="shared" si="8"/>
        <v>echo {"issue":{"subject":"Premature downgrade CP Pena 2N","project_id":30,"tracker_id":4,"status_id":1,"priority_id":1,"assigned_to_id":10,"start_date":"2018-01-12","description":"","custom_fields":[{"id":30,"name":"Category","value":"Issue"},{"id":3,"name":"Functional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17:14:24"},{"id":29,"name":"Sharepoint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-12T08:36:56-0700',mode:absolute,to:'2018-01-12T11:14:24-0700'))&amp;_a=(columns:!('Message%20ID',Summary),filters:!(),index:'emp_*',interval:auto,query:(query_string:(analyze_wildcard:!t,query:'%22rtdc.l.rtdc.4006%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782</v>
      </c>
      <c r="B62" s="225">
        <v>4005</v>
      </c>
      <c r="C62" s="227" t="s">
        <v>191</v>
      </c>
      <c r="D62" s="227" t="s">
        <v>951</v>
      </c>
      <c r="E62" s="226">
        <v>43112.435833333337</v>
      </c>
      <c r="F62" s="226">
        <v>43112.446030092593</v>
      </c>
      <c r="G62" s="225">
        <v>76</v>
      </c>
      <c r="H62" s="227" t="s">
        <v>633</v>
      </c>
      <c r="I62" s="226">
        <v>43112.471817129626</v>
      </c>
      <c r="J62" s="225">
        <v>0</v>
      </c>
      <c r="K62" s="237" t="str">
        <f>IF(ISEVEN(B62),(B62-1)&amp;"/"&amp;B62,B62&amp;"/"&amp;(B62+1))</f>
        <v>4005/4006</v>
      </c>
      <c r="L62" s="245" t="str">
        <f>VLOOKUP(A62,'Trips&amp;Operators'!$C$1:$G$99911,5,FALSE)</f>
        <v>GEBRETEKLE DAGNEW</v>
      </c>
      <c r="M62" s="224">
        <f>I62-F62</f>
        <v>2.5787037033296656E-2</v>
      </c>
      <c r="N62" s="225">
        <f>24*60*SUM($M62:$M62)</f>
        <v>37.133333327947184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-12T09:27:36-0700',mode:absolute,to:'2018-01-12T12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23.305499999999999</v>
      </c>
      <c r="Z62" s="247">
        <f>RIGHT(H62,LEN(H62)-4)/10000</f>
        <v>1.7000000000000001E-2</v>
      </c>
      <c r="AA62" s="247">
        <f>ABS(Z62-Y62)</f>
        <v>23.288499999999999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/stypes="app*4005*20180112*"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150-12 --locoid 4005 --swversion DE.1.0.9.0 --startMP 204:233055 --initTime 2018-01-12T10:27:36 --startdatetime 2018-01-12T10:42:17 --delay 76 --endMP 204:170 --enddatetime 2018-01-12T11:19:25 --enforcementcount 0 &gt;&gt;%USERPROFILE%\Documents\GitHub\eaglep3-reporting\EC\2018-01-12-refined-times.txt</v>
      </c>
      <c r="AI6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{"issue":{"subject":"","project_id":79,"tracker_id":40,"status_id":1,"priority_id":2,"assigned_to_id":338,"start_date":"2018-01-12","description":"","custom_fields":[{"id":1,"name":"Subdivision","value":"EC"},{"id":4,"name":"Milepost","value":"0.017"},{"id":17,"name":"Train ID","value":"150-12"},{"id":16,"name":"Locomotive ID","value":"4005"},{"id":130,"name":"Impact","value":""},{"id":150,"name":"Time of Event (Mountain Time)","value":"11:19:25"},{"id":151,"name":"Denver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4005 --day 2018-01-12</v>
      </c>
      <c r="AN6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-12T09:27:36-0700',mode:absolute,to:'2018-01-12T12:19:25-0700'))&amp;_a=(columns:!('Message%20ID',Summary),filters:!(),index:'emp_*',interval:auto,query:(query_string:(analyze_wildcard:!t,query:'%22rtdc.l.rtdc.4005%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775</v>
      </c>
      <c r="B63" s="225">
        <v>4004</v>
      </c>
      <c r="C63" s="227" t="s">
        <v>191</v>
      </c>
      <c r="D63" s="227" t="s">
        <v>626</v>
      </c>
      <c r="E63" s="226">
        <v>43112.411226851851</v>
      </c>
      <c r="F63" s="226">
        <v>43112.41684027778</v>
      </c>
      <c r="G63" s="225">
        <v>53</v>
      </c>
      <c r="H63" s="227" t="s">
        <v>925</v>
      </c>
      <c r="I63" s="226">
        <v>43112.441805555558</v>
      </c>
      <c r="J63" s="225">
        <v>0</v>
      </c>
      <c r="K63" s="237" t="str">
        <f>IF(ISEVEN(B63),(B63-1)&amp;"/"&amp;B63,B63&amp;"/"&amp;(B63+1))</f>
        <v>4003/4004</v>
      </c>
      <c r="L63" s="245" t="str">
        <f>VLOOKUP(A63,'Trips&amp;Operators'!$C$1:$G$99911,5,FALSE)</f>
        <v>LOPES KIMBERLY</v>
      </c>
      <c r="M63" s="224">
        <f>I63-F63</f>
        <v>2.4965277778392192E-2</v>
      </c>
      <c r="N63" s="225">
        <f>24*60*SUM($M63:$M63)</f>
        <v>35.950000000884756</v>
      </c>
      <c r="O63" s="225"/>
      <c r="P63" s="225"/>
      <c r="Q63" s="228"/>
      <c r="R63" s="242" t="s">
        <v>1116</v>
      </c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-12T08:52:10-0700',mode:absolute,to:'2018-01-12T11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5.2900000000000003E-2</v>
      </c>
      <c r="Z63" s="247">
        <f>RIGHT(H63,LEN(H63)-4)/10000</f>
        <v>23.3307</v>
      </c>
      <c r="AA63" s="247">
        <f>ABS(Z63-Y63)</f>
        <v>23.277799999999999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/stypes="app*4004*20180112*"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151-12 --locoid 4004 --swversion DE.1.0.9.0 --startMP 204:529 --initTime 2018-01-12T09:52:10 --startdatetime 2018-01-12T10:00:15 --delay 53 --endMP 204:233307 --enddatetime 2018-01-12T10:36:12 --enforcementcount 0 &gt;&gt;%USERPROFILE%\Documents\GitHub\eaglep3-reporting\EC\2018-01-12-refined-times.txt</v>
      </c>
      <c r="AI63" s="238" t="str">
        <f t="shared" si="6"/>
        <v>echo {"issue":{"subject":"Observed early arrival xing banner for Ulster, no red fence/PTC enforcement","project_id":79,"tracker_id":40,"status_id":1,"priority_id":2,"assigned_to_id":338,"start_date":"2018-01-12","description":"","custom_fields":[{"id":1,"name":"Subdivision","value":"EC"},{"id":4,"name":"Milepost","value":"23.3307"},{"id":17,"name":"Train ID","value":"151-12"},{"id":16,"name":"Locomotive ID","value":"4004"},{"id":130,"name":"Impact","value":""},{"id":150,"name":"Time of Event (Mountain Time)","value":"10:36:12"},{"id":151,"name":"Denver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4004 --day 2018-01-12</v>
      </c>
      <c r="AN63" s="241" t="str">
        <f t="shared" si="8"/>
        <v>echo {"issue":{"subject":"Observed early arrival xing banner for Ulster, no red fence/PTC enforcement","project_id":30,"tracker_id":4,"status_id":1,"priority_id":1,"assigned_to_id":10,"start_date":"2018-01-12","description":"","custom_fields":[{"id":30,"name":"Category","value":"Issue"},{"id":3,"name":"Functional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-12T08:52:10-0700',mode:absolute,to:'2018-01-12T11:36:12-0700'))&amp;_a=(columns:!('Message%20ID',Summary),filters:!(),index:'emp_*',interval:auto,query:(query_string:(analyze_wildcard:!t,query:'%22rtdc.l.rtdc.4004%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784</v>
      </c>
      <c r="B64" s="225">
        <v>4003</v>
      </c>
      <c r="C64" s="227" t="s">
        <v>191</v>
      </c>
      <c r="D64" s="227" t="s">
        <v>952</v>
      </c>
      <c r="E64" s="226">
        <v>43112.452499999999</v>
      </c>
      <c r="F64" s="226">
        <v>43112.45653935185</v>
      </c>
      <c r="G64" s="225">
        <v>66</v>
      </c>
      <c r="H64" s="227" t="s">
        <v>441</v>
      </c>
      <c r="I64" s="226">
        <v>43112.481377314813</v>
      </c>
      <c r="J64" s="225">
        <v>0</v>
      </c>
      <c r="K64" s="237" t="str">
        <f>IF(ISEVEN(B64),(B64-1)&amp;"/"&amp;B64,B64&amp;"/"&amp;(B64+1))</f>
        <v>4003/4004</v>
      </c>
      <c r="L64" s="245" t="str">
        <f>VLOOKUP(A64,'Trips&amp;Operators'!$C$1:$G$99911,5,FALSE)</f>
        <v>LOPES KIMBERLY</v>
      </c>
      <c r="M64" s="224">
        <f>I64-F64</f>
        <v>2.4837962962919846E-2</v>
      </c>
      <c r="N64" s="225">
        <f>24*60*SUM($M64:$M64)</f>
        <v>35.766666666604578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-12T09:51:36-0700',mode:absolute,to:'2018-01-12T12:33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23.3005</v>
      </c>
      <c r="Z64" s="247">
        <f>RIGHT(H64,LEN(H64)-4)/10000</f>
        <v>2.0500000000000001E-2</v>
      </c>
      <c r="AA64" s="247">
        <f>ABS(Z64-Y64)</f>
        <v>23.28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/stypes="app*4003*20180112*"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152-12 --locoid 4003 --swversion DE.1.0.9.0 --startMP 204:233005 --initTime 2018-01-12T10:51:36 --startdatetime 2018-01-12T10:57:25 --delay 66 --endMP 204:205 --enddatetime 2018-01-12T11:33:11 --enforcementcount 0 &gt;&gt;%USERPROFILE%\Documents\GitHub\eaglep3-reporting\EC\2018-01-12-refined-times.txt</v>
      </c>
      <c r="AI6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{"issue":{"subject":"","project_id":79,"tracker_id":40,"status_id":1,"priority_id":2,"assigned_to_id":338,"start_date":"2018-01-12","description":"","custom_fields":[{"id":1,"name":"Subdivision","value":"EC"},{"id":4,"name":"Milepost","value":"0.0205"},{"id":17,"name":"Train ID","value":"152-12"},{"id":16,"name":"Locomotive ID","value":"4003"},{"id":130,"name":"Impact","value":""},{"id":150,"name":"Time of Event (Mountain Time)","value":"11:33:11"},{"id":151,"name":"Denver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4003 --day 2018-01-12</v>
      </c>
      <c r="AN6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-12T09:51:36-0700',mode:absolute,to:'2018-01-12T12:33:11-0700'))&amp;_a=(columns:!('Message%20ID',Summary),filters:!(),index:'emp_*',interval:auto,query:(query_string:(analyze_wildcard:!t,query:'%22rtdc.l.rtdc.4003%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778</v>
      </c>
      <c r="B65" s="225">
        <v>4026</v>
      </c>
      <c r="C65" s="227" t="s">
        <v>191</v>
      </c>
      <c r="D65" s="227" t="s">
        <v>478</v>
      </c>
      <c r="E65" s="226">
        <v>43112.422743055555</v>
      </c>
      <c r="F65" s="226">
        <v>43112.427256944444</v>
      </c>
      <c r="G65" s="225">
        <v>93</v>
      </c>
      <c r="H65" s="227" t="s">
        <v>488</v>
      </c>
      <c r="I65" s="226">
        <v>43112.451736111114</v>
      </c>
      <c r="J65" s="225">
        <v>0</v>
      </c>
      <c r="K65" s="237" t="str">
        <f>IF(ISEVEN(B65),(B65-1)&amp;"/"&amp;B65,B65&amp;"/"&amp;(B65+1))</f>
        <v>4025/4026</v>
      </c>
      <c r="L65" s="245" t="str">
        <f>VLOOKUP(A65,'Trips&amp;Operators'!$C$1:$G$99911,5,FALSE)</f>
        <v>WILLIAMS DONTE</v>
      </c>
      <c r="M65" s="224">
        <f>I65-F65</f>
        <v>2.4479166670062114E-2</v>
      </c>
      <c r="N65" s="225">
        <f>24*60*SUM($M65:$M65)</f>
        <v>35.250000004889444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-12T09:08:45-0700',mode:absolute,to:'2018-01-12T11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4.53E-2</v>
      </c>
      <c r="Z65" s="247">
        <f>RIGHT(H65,LEN(H65)-4)/10000</f>
        <v>23.326799999999999</v>
      </c>
      <c r="AA65" s="247">
        <f>ABS(Z65-Y65)</f>
        <v>23.281499999999998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/stypes="app*4026*20180112*"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153-12 --locoid 4026 --swversion DE.1.0.9.0 --startMP 204:453 --initTime 2018-01-12T10:08:45 --startdatetime 2018-01-12T10:15:15 --delay 93 --endMP 204:233268 --enddatetime 2018-01-12T10:50:30 --enforcementcount 0 &gt;&gt;%USERPROFILE%\Documents\GitHub\eaglep3-reporting\EC\2018-01-12-refined-times.txt</v>
      </c>
      <c r="AI6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{"issue":{"subject":"","project_id":79,"tracker_id":40,"status_id":1,"priority_id":2,"assigned_to_id":338,"start_date":"2018-01-12","description":"","custom_fields":[{"id":1,"name":"Subdivision","value":"EC"},{"id":4,"name":"Milepost","value":"23.3268"},{"id":17,"name":"Train ID","value":"153-12"},{"id":16,"name":"Locomotive ID","value":"4026"},{"id":130,"name":"Impact","value":""},{"id":150,"name":"Time of Event (Mountain Time)","value":"10:50:30"},{"id":151,"name":"Denver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4026 --day 2018-01-12</v>
      </c>
      <c r="AN6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-12T09:08:45-0700',mode:absolute,to:'2018-01-12T11:50:30-0700'))&amp;_a=(columns:!('Message%20ID',Summary),filters:!(),index:'emp_*',interval:auto,query:(query_string:(analyze_wildcard:!t,query:'%22rtdc.l.rtdc.4026%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788</v>
      </c>
      <c r="B66" s="225">
        <v>4025</v>
      </c>
      <c r="C66" s="227" t="s">
        <v>191</v>
      </c>
      <c r="D66" s="227" t="s">
        <v>953</v>
      </c>
      <c r="E66" s="226">
        <v>43112.463067129633</v>
      </c>
      <c r="F66" s="226">
        <v>43112.466932870368</v>
      </c>
      <c r="G66" s="225">
        <v>81</v>
      </c>
      <c r="H66" s="227" t="s">
        <v>440</v>
      </c>
      <c r="I66" s="226">
        <v>43112.493009259262</v>
      </c>
      <c r="J66" s="225">
        <v>0</v>
      </c>
      <c r="K66" s="237" t="str">
        <f>IF(ISEVEN(B66),(B66-1)&amp;"/"&amp;B66,B66&amp;"/"&amp;(B66+1))</f>
        <v>4025/4026</v>
      </c>
      <c r="L66" s="245" t="str">
        <f>VLOOKUP(A66,'Trips&amp;Operators'!$C$1:$G$99911,5,FALSE)</f>
        <v>WILLIAMS DONTE</v>
      </c>
      <c r="M66" s="224">
        <f>I66-F66</f>
        <v>2.6076388894580305E-2</v>
      </c>
      <c r="N66" s="225">
        <f>24*60*SUM($M66:$M66)</f>
        <v>37.550000008195639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-12T10:06:49-0700',mode:absolute,to:'2018-01-12T12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23.295300000000001</v>
      </c>
      <c r="Z66" s="247">
        <f>RIGHT(H66,LEN(H66)-4)/10000</f>
        <v>2.01E-2</v>
      </c>
      <c r="AA66" s="247">
        <f>ABS(Z66-Y66)</f>
        <v>23.275200000000002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/stypes="app*4025*20180112*"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154-12 --locoid 4025 --swversion DE.1.0.9.0 --startMP 204:232953 --initTime 2018-01-12T11:06:49 --startdatetime 2018-01-12T11:12:23 --delay 81 --endMP 204:201 --enddatetime 2018-01-12T11:49:56 --enforcementcount 0 &gt;&gt;%USERPROFILE%\Documents\GitHub\eaglep3-reporting\EC\2018-01-12-refined-times.txt</v>
      </c>
      <c r="AI6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{"issue":{"subject":"","project_id":79,"tracker_id":40,"status_id":1,"priority_id":2,"assigned_to_id":338,"start_date":"2018-01-12","description":"","custom_fields":[{"id":1,"name":"Subdivision","value":"EC"},{"id":4,"name":"Milepost","value":"0.0201"},{"id":17,"name":"Train ID","value":"154-12"},{"id":16,"name":"Locomotive ID","value":"4025"},{"id":130,"name":"Impact","value":""},{"id":150,"name":"Time of Event (Mountain Time)","value":"11:49:56"},{"id":151,"name":"Denver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4025 --day 2018-01-12</v>
      </c>
      <c r="AN6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-12T10:06:49-0700',mode:absolute,to:'2018-01-12T12:49:56-0700'))&amp;_a=(columns:!('Message%20ID',Summary),filters:!(),index:'emp_*',interval:auto,query:(query_string:(analyze_wildcard:!t,query:'%22rtdc.l.rtdc.4025%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780</v>
      </c>
      <c r="B67" s="225">
        <v>4060</v>
      </c>
      <c r="C67" s="227" t="s">
        <v>191</v>
      </c>
      <c r="D67" s="227" t="s">
        <v>469</v>
      </c>
      <c r="E67" s="226">
        <v>43112.43377314815</v>
      </c>
      <c r="F67" s="226">
        <v>43112.437719907408</v>
      </c>
      <c r="G67" s="225">
        <v>47</v>
      </c>
      <c r="H67" s="227" t="s">
        <v>925</v>
      </c>
      <c r="I67" s="226">
        <v>43112.462326388886</v>
      </c>
      <c r="J67" s="225">
        <v>0</v>
      </c>
      <c r="K67" s="237" t="str">
        <f>IF(ISEVEN(B67),(B67-1)&amp;"/"&amp;B67,B67&amp;"/"&amp;(B67+1))</f>
        <v>4059/4060</v>
      </c>
      <c r="L67" s="245" t="str">
        <f>VLOOKUP(A67,'Trips&amp;Operators'!$C$1:$G$99911,5,FALSE)</f>
        <v>BEAM ROSS</v>
      </c>
      <c r="M67" s="224">
        <f>I67-F67</f>
        <v>2.4606481478258502E-2</v>
      </c>
      <c r="N67" s="225">
        <f>24*60*SUM($M67:$M67)</f>
        <v>35.433333328692243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-12T09:24:38-0700',mode:absolute,to:'2018-01-12T12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5.0200000000000002E-2</v>
      </c>
      <c r="Z67" s="247">
        <f>RIGHT(H67,LEN(H67)-4)/10000</f>
        <v>23.3307</v>
      </c>
      <c r="AA67" s="247">
        <f>ABS(Z67-Y67)</f>
        <v>23.2805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/stypes="app*4060*20180112*"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155-12 --locoid 4060 --swversion DE.1.0.9.0 --startMP 204:502 --initTime 2018-01-12T10:24:38 --startdatetime 2018-01-12T10:30:19 --delay 47 --endMP 204:233307 --enddatetime 2018-01-12T11:05:45 --enforcementcount 0 &gt;&gt;%USERPROFILE%\Documents\GitHub\eaglep3-reporting\EC\2018-01-12-refined-times.txt</v>
      </c>
      <c r="AI6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{"issue":{"subject":"","project_id":79,"tracker_id":40,"status_id":1,"priority_id":2,"assigned_to_id":338,"start_date":"2018-01-12","description":"","custom_fields":[{"id":1,"name":"Subdivision","value":"EC"},{"id":4,"name":"Milepost","value":"23.3307"},{"id":17,"name":"Train ID","value":"155-12"},{"id":16,"name":"Locomotive ID","value":"4060"},{"id":130,"name":"Impact","value":""},{"id":150,"name":"Time of Event (Mountain Time)","value":"11:05:45"},{"id":151,"name":"Denver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4060 --day 2018-01-12</v>
      </c>
      <c r="AN6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-12T09:24:38-0700',mode:absolute,to:'2018-01-12T12:05:45-0700'))&amp;_a=(columns:!('Message%20ID',Summary),filters:!(),index:'emp_*',interval:auto,query:(query_string:(analyze_wildcard:!t,query:'%22rtdc.l.rtdc.4060%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787</v>
      </c>
      <c r="B68" s="225">
        <v>4059</v>
      </c>
      <c r="C68" s="227" t="s">
        <v>191</v>
      </c>
      <c r="D68" s="227" t="s">
        <v>551</v>
      </c>
      <c r="E68" s="226">
        <v>43112.463240740741</v>
      </c>
      <c r="F68" s="226">
        <v>43112.477256944447</v>
      </c>
      <c r="G68" s="225">
        <v>53</v>
      </c>
      <c r="H68" s="227" t="s">
        <v>547</v>
      </c>
      <c r="I68" s="226">
        <v>43112.503252314818</v>
      </c>
      <c r="J68" s="225">
        <v>0</v>
      </c>
      <c r="K68" s="237" t="str">
        <f>IF(ISEVEN(B68),(B68-1)&amp;"/"&amp;B68,B68&amp;"/"&amp;(B68+1))</f>
        <v>4059/4060</v>
      </c>
      <c r="L68" s="245" t="str">
        <f>VLOOKUP(A68,'Trips&amp;Operators'!$C$1:$G$99911,5,FALSE)</f>
        <v>BEAM ROSS</v>
      </c>
      <c r="M68" s="224">
        <f>I68-F68</f>
        <v>2.5995370371674653E-2</v>
      </c>
      <c r="N68" s="225">
        <f>24*60*SUM($M68:$M68)</f>
        <v>37.433333335211501</v>
      </c>
      <c r="O68" s="225"/>
      <c r="P68" s="225"/>
      <c r="Q68" s="228"/>
      <c r="R68" s="242" t="s">
        <v>1117</v>
      </c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-12T10:07:04-0700',mode:absolute,to:'2018-01-12T13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23.298200000000001</v>
      </c>
      <c r="Z68" s="247">
        <f>RIGHT(H68,LEN(H68)-4)/10000</f>
        <v>1.9599999999999999E-2</v>
      </c>
      <c r="AA68" s="247">
        <f>ABS(Z68-Y68)</f>
        <v>23.278600000000001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/stypes="app*4059*20180112*"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156-12 --locoid 4059 --swversion DE.1.0.9.0 --startMP 204:232982 --initTime 2018-01-12T11:07:04 --startdatetime 2018-01-12T11:27:15 --delay 53 --endMP 204:196 --enddatetime 2018-01-12T12:04:41 --enforcementcount 0 &gt;&gt;%USERPROFILE%\Documents\GitHub\eaglep3-reporting\EC\2018-01-12-refined-times.txt</v>
      </c>
      <c r="AI68" s="238" t="str">
        <f t="shared" si="6"/>
        <v>echo {"issue":{"subject":"Observed Wi-MAX data drop, no PTC enforcement","project_id":79,"tracker_id":40,"status_id":1,"priority_id":2,"assigned_to_id":338,"start_date":"2018-01-12","description":"","custom_fields":[{"id":1,"name":"Subdivision","value":"EC"},{"id":4,"name":"Milepost","value":"0.0196"},{"id":17,"name":"Train ID","value":"156-12"},{"id":16,"name":"Locomotive ID","value":"4059"},{"id":130,"name":"Impact","value":""},{"id":150,"name":"Time of Event (Mountain Time)","value":"12:04:41"},{"id":151,"name":"Denver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4059 --day 2018-01-12</v>
      </c>
      <c r="AN68" s="241" t="str">
        <f t="shared" si="8"/>
        <v>echo {"issue":{"subject":"Observed Wi-MAX data drop, no PTC enforcement","project_id":30,"tracker_id":4,"status_id":1,"priority_id":1,"assigned_to_id":10,"start_date":"2018-01-12","description":"","custom_fields":[{"id":30,"name":"Category","value":"Issue"},{"id":3,"name":"Functional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-12T10:07:04-0700',mode:absolute,to:'2018-01-12T13:04:41-0700'))&amp;_a=(columns:!('Message%20ID',Summary),filters:!(),index:'emp_*',interval:auto,query:(query_string:(analyze_wildcard:!t,query:'%22rtdc.l.rtdc.4059%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783</v>
      </c>
      <c r="B69" s="225">
        <v>4040</v>
      </c>
      <c r="C69" s="227" t="s">
        <v>191</v>
      </c>
      <c r="D69" s="227" t="s">
        <v>472</v>
      </c>
      <c r="E69" s="226">
        <v>43112.444849537038</v>
      </c>
      <c r="F69" s="226">
        <v>43112.448101851849</v>
      </c>
      <c r="G69" s="225">
        <v>85</v>
      </c>
      <c r="H69" s="227" t="s">
        <v>913</v>
      </c>
      <c r="I69" s="226">
        <v>43112.473449074074</v>
      </c>
      <c r="J69" s="225">
        <v>0</v>
      </c>
      <c r="K69" s="237" t="str">
        <f>IF(ISEVEN(B69),(B69-1)&amp;"/"&amp;B69,B69&amp;"/"&amp;(B69+1))</f>
        <v>4039/4040</v>
      </c>
      <c r="L69" s="245" t="str">
        <f>VLOOKUP(A69,'Trips&amp;Operators'!$C$1:$G$99911,5,FALSE)</f>
        <v>BADERTSCHER DIANE</v>
      </c>
      <c r="M69" s="224">
        <f>I69-F69</f>
        <v>2.5347222224809229E-2</v>
      </c>
      <c r="N69" s="225">
        <f>24*60*SUM($M69:$M69)</f>
        <v>36.50000000372529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-12T09:40:35-0700',mode:absolute,to:'2018-01-12T12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4.4900000000000002E-2</v>
      </c>
      <c r="Z69" s="247">
        <f>RIGHT(H69,LEN(H69)-4)/10000</f>
        <v>23.3293</v>
      </c>
      <c r="AA69" s="247">
        <f>ABS(Z69-Y69)</f>
        <v>23.284400000000002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/stypes="app*4040*20180112*"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157-12 --locoid 4040 --swversion DE.1.0.9.0 --startMP 204:449 --initTime 2018-01-12T10:40:35 --startdatetime 2018-01-12T10:45:16 --delay 85 --endMP 204:233293 --enddatetime 2018-01-12T11:21:46 --enforcementcount 0 &gt;&gt;%USERPROFILE%\Documents\GitHub\eaglep3-reporting\EC\2018-01-12-refined-times.txt</v>
      </c>
      <c r="AI69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{"issue":{"subject":"","project_id":79,"tracker_id":40,"status_id":1,"priority_id":2,"assigned_to_id":338,"start_date":"2018-01-12","description":"","custom_fields":[{"id":1,"name":"Subdivision","value":"EC"},{"id":4,"name":"Milepost","value":"23.3293"},{"id":17,"name":"Train ID","value":"157-12"},{"id":16,"name":"Locomotive ID","value":"4040"},{"id":130,"name":"Impact","value":""},{"id":150,"name":"Time of Event (Mountain Time)","value":"11:21:46"},{"id":151,"name":"Denver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4040 --day 2018-01-12</v>
      </c>
      <c r="AN69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-12T09:40:35-0700',mode:absolute,to:'2018-01-12T12:21:46-0700'))&amp;_a=(columns:!('Message%20ID',Summary),filters:!(),index:'emp_*',interval:auto,query:(query_string:(analyze_wildcard:!t,query:'%22rtdc.l.rtdc.4040%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794</v>
      </c>
      <c r="B70" s="225">
        <v>4039</v>
      </c>
      <c r="C70" s="227" t="s">
        <v>191</v>
      </c>
      <c r="D70" s="227" t="s">
        <v>625</v>
      </c>
      <c r="E70" s="226">
        <v>43112.4846875</v>
      </c>
      <c r="F70" s="226">
        <v>43112.487662037034</v>
      </c>
      <c r="G70" s="225">
        <v>67</v>
      </c>
      <c r="H70" s="227" t="s">
        <v>954</v>
      </c>
      <c r="I70" s="226">
        <v>43112.514803240738</v>
      </c>
      <c r="J70" s="225">
        <v>0</v>
      </c>
      <c r="K70" s="237" t="str">
        <f>IF(ISEVEN(B70),(B70-1)&amp;"/"&amp;B70,B70&amp;"/"&amp;(B70+1))</f>
        <v>4039/4040</v>
      </c>
      <c r="L70" s="245" t="str">
        <f>VLOOKUP(A70,'Trips&amp;Operators'!$C$1:$G$99911,5,FALSE)</f>
        <v>BADERTSCHER DIANE</v>
      </c>
      <c r="M70" s="224">
        <f>I70-F70</f>
        <v>2.7141203703649808E-2</v>
      </c>
      <c r="N70" s="225">
        <f>24*60*SUM($M70:$M70)</f>
        <v>39.083333333255723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-12T10:37:57-0700',mode:absolute,to:'2018-01-12T13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23.297699999999999</v>
      </c>
      <c r="Z70" s="247">
        <f>RIGHT(H70,LEN(H70)-4)/10000</f>
        <v>1.89E-2</v>
      </c>
      <c r="AA70" s="247">
        <f>ABS(Z70-Y70)</f>
        <v>23.2788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/stypes="app*4039*20180112*"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158-12 --locoid 4039 --swversion DE.1.0.9.0 --startMP 204:232977 --initTime 2018-01-12T11:37:57 --startdatetime 2018-01-12T11:42:14 --delay 67 --endMP 204:189 --enddatetime 2018-01-12T12:21:19 --enforcementcount 0 &gt;&gt;%USERPROFILE%\Documents\GitHub\eaglep3-reporting\EC\2018-01-12-refined-times.txt</v>
      </c>
      <c r="AI70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{"issue":{"subject":"","project_id":79,"tracker_id":40,"status_id":1,"priority_id":2,"assigned_to_id":338,"start_date":"2018-01-12","description":"","custom_fields":[{"id":1,"name":"Subdivision","value":"EC"},{"id":4,"name":"Milepost","value":"0.0189"},{"id":17,"name":"Train ID","value":"158-12"},{"id":16,"name":"Locomotive ID","value":"4039"},{"id":130,"name":"Impact","value":""},{"id":150,"name":"Time of Event (Mountain Time)","value":"12:21:19"},{"id":151,"name":"Denver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4039 --day 2018-01-12</v>
      </c>
      <c r="AN70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-12T10:37:57-0700',mode:absolute,to:'2018-01-12T13:21:19-0700'))&amp;_a=(columns:!('Message%20ID',Summary),filters:!(),index:'emp_*',interval:auto,query:(query_string:(analyze_wildcard:!t,query:'%22rtdc.l.rtdc.4039%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785</v>
      </c>
      <c r="B71" s="225">
        <v>4028</v>
      </c>
      <c r="C71" s="227" t="s">
        <v>191</v>
      </c>
      <c r="D71" s="227" t="s">
        <v>486</v>
      </c>
      <c r="E71" s="226">
        <v>43112.45616898148</v>
      </c>
      <c r="F71" s="226">
        <v>43112.458483796298</v>
      </c>
      <c r="G71" s="225">
        <v>45</v>
      </c>
      <c r="H71" s="227" t="s">
        <v>955</v>
      </c>
      <c r="I71" s="226">
        <v>43112.483287037037</v>
      </c>
      <c r="J71" s="225">
        <v>0</v>
      </c>
      <c r="K71" s="237" t="str">
        <f>IF(ISEVEN(B71),(B71-1)&amp;"/"&amp;B71,B71&amp;"/"&amp;(B71+1))</f>
        <v>4027/4028</v>
      </c>
      <c r="L71" s="245" t="str">
        <f>VLOOKUP(A71,'Trips&amp;Operators'!$C$1:$G$99911,5,FALSE)</f>
        <v>YANAI IAN</v>
      </c>
      <c r="M71" s="224">
        <f>I71-F71</f>
        <v>2.4803240739856847E-2</v>
      </c>
      <c r="N71" s="225">
        <f>24*60*SUM($M71:$M71)</f>
        <v>35.716666665393859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-12T09:56:53-0700',mode:absolute,to:'2018-01-12T12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4.9299999999999997E-2</v>
      </c>
      <c r="Z71" s="247">
        <f>RIGHT(H71,LEN(H71)-4)/10000</f>
        <v>23.3337</v>
      </c>
      <c r="AA71" s="247">
        <f>ABS(Z71-Y71)</f>
        <v>23.284400000000002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/stypes="app*4028*20180112*"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159-12 --locoid 4028 --swversion DE.1.0.9.0 --startMP 204:493 --initTime 2018-01-12T10:56:53 --startdatetime 2018-01-12T11:00:13 --delay 45 --endMP 204:233337 --enddatetime 2018-01-12T11:35:56 --enforcementcount 0 &gt;&gt;%USERPROFILE%\Documents\GitHub\eaglep3-reporting\EC\2018-01-12-refined-times.txt</v>
      </c>
      <c r="AI71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{"issue":{"subject":"","project_id":79,"tracker_id":40,"status_id":1,"priority_id":2,"assigned_to_id":338,"start_date":"2018-01-12","description":"","custom_fields":[{"id":1,"name":"Subdivision","value":"EC"},{"id":4,"name":"Milepost","value":"23.3337"},{"id":17,"name":"Train ID","value":"159-12"},{"id":16,"name":"Locomotive ID","value":"4028"},{"id":130,"name":"Impact","value":""},{"id":150,"name":"Time of Event (Mountain Time)","value":"11:35:56"},{"id":151,"name":"Denver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4028 --day 2018-01-12</v>
      </c>
      <c r="AN71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-12T09:56:53-0700',mode:absolute,to:'2018-01-12T12:35:56-0700'))&amp;_a=(columns:!('Message%20ID',Summary),filters:!(),index:'emp_*',interval:auto,query:(query_string:(analyze_wildcard:!t,query:'%22rtdc.l.rtdc.4028%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793</v>
      </c>
      <c r="B72" s="225">
        <v>4027</v>
      </c>
      <c r="C72" s="227" t="s">
        <v>191</v>
      </c>
      <c r="D72" s="227" t="s">
        <v>645</v>
      </c>
      <c r="E72" s="226">
        <v>43112.484710648147</v>
      </c>
      <c r="F72" s="226">
        <v>43112.498078703706</v>
      </c>
      <c r="G72" s="225">
        <v>43</v>
      </c>
      <c r="H72" s="227" t="s">
        <v>638</v>
      </c>
      <c r="I72" s="226">
        <v>43112.523842592593</v>
      </c>
      <c r="J72" s="225">
        <v>0</v>
      </c>
      <c r="K72" s="237" t="str">
        <f>IF(ISEVEN(B72),(B72-1)&amp;"/"&amp;B72,B72&amp;"/"&amp;(B72+1))</f>
        <v>4027/4028</v>
      </c>
      <c r="L72" s="245" t="str">
        <f>VLOOKUP(A72,'Trips&amp;Operators'!$C$1:$G$99911,5,FALSE)</f>
        <v>YANAI IAN</v>
      </c>
      <c r="M72" s="224">
        <f>I72-F72</f>
        <v>2.5763888887013309E-2</v>
      </c>
      <c r="N72" s="225">
        <f>24*60*SUM($M72:$M72)</f>
        <v>37.099999997299165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-12T10:37:59-0700',mode:absolute,to:'2018-01-12T13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23.302600000000002</v>
      </c>
      <c r="Z72" s="247">
        <f>RIGHT(H72,LEN(H72)-4)/10000</f>
        <v>1.47E-2</v>
      </c>
      <c r="AA72" s="247">
        <f>ABS(Z72-Y72)</f>
        <v>23.2879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/stypes="app*4027*20180112*"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160-12 --locoid 4027 --swversion DE.1.0.9.0 --startMP 204:233026 --initTime 2018-01-12T11:37:59 --startdatetime 2018-01-12T11:57:14 --delay 43 --endMP 204:147 --enddatetime 2018-01-12T12:34:20 --enforcementcount 0 &gt;&gt;%USERPROFILE%\Documents\GitHub\eaglep3-reporting\EC\2018-01-12-refined-times.txt</v>
      </c>
      <c r="AI72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{"issue":{"subject":"","project_id":79,"tracker_id":40,"status_id":1,"priority_id":2,"assigned_to_id":338,"start_date":"2018-01-12","description":"","custom_fields":[{"id":1,"name":"Subdivision","value":"EC"},{"id":4,"name":"Milepost","value":"0.0147"},{"id":17,"name":"Train ID","value":"160-12"},{"id":16,"name":"Locomotive ID","value":"4027"},{"id":130,"name":"Impact","value":""},{"id":150,"name":"Time of Event (Mountain Time)","value":"12:34:20"},{"id":151,"name":"Denver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4027 --day 2018-01-12</v>
      </c>
      <c r="AN72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-12T10:37:59-0700',mode:absolute,to:'2018-01-12T13:34:20-0700'))&amp;_a=(columns:!('Message%20ID',Summary),filters:!(),index:'emp_*',interval:auto,query:(query_string:(analyze_wildcard:!t,query:'%22rtdc.l.rtdc.4027%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789</v>
      </c>
      <c r="B73" s="225">
        <v>4018</v>
      </c>
      <c r="C73" s="227" t="s">
        <v>191</v>
      </c>
      <c r="D73" s="227" t="s">
        <v>956</v>
      </c>
      <c r="E73" s="226">
        <v>43112.463773148149</v>
      </c>
      <c r="F73" s="226">
        <v>43112.469166666669</v>
      </c>
      <c r="G73" s="225">
        <v>105</v>
      </c>
      <c r="H73" s="227" t="s">
        <v>957</v>
      </c>
      <c r="I73" s="226">
        <v>43112.493738425925</v>
      </c>
      <c r="J73" s="225">
        <v>0</v>
      </c>
      <c r="K73" s="237" t="str">
        <f>IF(ISEVEN(B73),(B73-1)&amp;"/"&amp;B73,B73&amp;"/"&amp;(B73+1))</f>
        <v>4017/4018</v>
      </c>
      <c r="L73" s="245" t="str">
        <f>VLOOKUP(A73,'Trips&amp;Operators'!$C$1:$G$99911,5,FALSE)</f>
        <v>SAFIEF AEIMEN</v>
      </c>
      <c r="M73" s="224">
        <f>I73-F73</f>
        <v>2.4571759255195502E-2</v>
      </c>
      <c r="N73" s="225">
        <f>24*60*SUM($M73:$M73)</f>
        <v>35.383333327481523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-12T10:07:50-0700',mode:absolute,to:'2018-01-12T12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5.3100000000000001E-2</v>
      </c>
      <c r="Z73" s="247">
        <f>RIGHT(H73,LEN(H73)-4)/10000</f>
        <v>23.332699999999999</v>
      </c>
      <c r="AA73" s="247">
        <f>ABS(Z73-Y73)</f>
        <v>23.279599999999999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/stypes="app*4018*20180112*"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161-12 --locoid 4018 --swversion DE.1.0.9.0 --startMP 204:531 --initTime 2018-01-12T11:07:50 --startdatetime 2018-01-12T11:15:36 --delay 105 --endMP 204:233327 --enddatetime 2018-01-12T11:50:59 --enforcementcount 0 &gt;&gt;%USERPROFILE%\Documents\GitHub\eaglep3-reporting\EC\2018-01-12-refined-times.txt</v>
      </c>
      <c r="AI73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{"issue":{"subject":"","project_id":79,"tracker_id":40,"status_id":1,"priority_id":2,"assigned_to_id":338,"start_date":"2018-01-12","description":"","custom_fields":[{"id":1,"name":"Subdivision","value":"EC"},{"id":4,"name":"Milepost","value":"23.3327"},{"id":17,"name":"Train ID","value":"161-12"},{"id":16,"name":"Locomotive ID","value":"4018"},{"id":130,"name":"Impact","value":""},{"id":150,"name":"Time of Event (Mountain Time)","value":"11:50:59"},{"id":151,"name":"Denver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4018 --day 2018-01-12</v>
      </c>
      <c r="AN73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-12T10:07:50-0700',mode:absolute,to:'2018-01-12T12:50:59-0700'))&amp;_a=(columns:!('Message%20ID',Summary),filters:!(),index:'emp_*',interval:auto,query:(query_string:(analyze_wildcard:!t,query:'%22rtdc.l.rtdc.4018%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797</v>
      </c>
      <c r="B74" s="225">
        <v>4017</v>
      </c>
      <c r="C74" s="227" t="s">
        <v>191</v>
      </c>
      <c r="D74" s="227" t="s">
        <v>958</v>
      </c>
      <c r="E74" s="226">
        <v>43112.498206018521</v>
      </c>
      <c r="F74" s="226">
        <v>43112.508912037039</v>
      </c>
      <c r="G74" s="225">
        <v>129</v>
      </c>
      <c r="H74" s="227" t="s">
        <v>440</v>
      </c>
      <c r="I74" s="226">
        <v>43112.538541666669</v>
      </c>
      <c r="J74" s="225">
        <v>0</v>
      </c>
      <c r="K74" s="237" t="str">
        <f>IF(ISEVEN(B74),(B74-1)&amp;"/"&amp;B74,B74&amp;"/"&amp;(B74+1))</f>
        <v>4017/4018</v>
      </c>
      <c r="L74" s="245" t="str">
        <f>VLOOKUP(A74,'Trips&amp;Operators'!$C$1:$G$99911,5,FALSE)</f>
        <v>SAFIEF AEIMEN</v>
      </c>
      <c r="M74" s="224">
        <f>I74-F74</f>
        <v>2.9629629629198462E-2</v>
      </c>
      <c r="N74" s="225">
        <f>24*60*SUM($M74:$M74)</f>
        <v>42.666666666045785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-12T10:57:25-0700',mode:absolute,to:'2018-01-12T13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23.300999999999998</v>
      </c>
      <c r="Z74" s="247">
        <f>RIGHT(H74,LEN(H74)-4)/10000</f>
        <v>2.01E-2</v>
      </c>
      <c r="AA74" s="247">
        <f>ABS(Z74-Y74)</f>
        <v>23.280899999999999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/stypes="app*4017*20180112*"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162-12 --locoid 4017 --swversion DE.1.0.9.0 --startMP 204:233010 --initTime 2018-01-12T11:57:25 --startdatetime 2018-01-12T12:12:50 --delay 129 --endMP 204:201 --enddatetime 2018-01-12T12:55:30 --enforcementcount 0 &gt;&gt;%USERPROFILE%\Documents\GitHub\eaglep3-reporting\EC\2018-01-12-refined-times.txt</v>
      </c>
      <c r="AI74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{"issue":{"subject":"","project_id":79,"tracker_id":40,"status_id":1,"priority_id":2,"assigned_to_id":338,"start_date":"2018-01-12","description":"","custom_fields":[{"id":1,"name":"Subdivision","value":"EC"},{"id":4,"name":"Milepost","value":"0.0201"},{"id":17,"name":"Train ID","value":"162-12"},{"id":16,"name":"Locomotive ID","value":"4017"},{"id":130,"name":"Impact","value":""},{"id":150,"name":"Time of Event (Mountain Time)","value":"12:55:30"},{"id":151,"name":"Denver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4017 --day 2018-01-12</v>
      </c>
      <c r="AN74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-12T10:57:25-0700',mode:absolute,to:'2018-01-12T13:55:30-0700'))&amp;_a=(columns:!('Message%20ID',Summary),filters:!(),index:'emp_*',interval:auto,query:(query_string:(analyze_wildcard:!t,query:'%22rtdc.l.rtdc.4017%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790</v>
      </c>
      <c r="B75" s="225">
        <v>4006</v>
      </c>
      <c r="C75" s="227" t="s">
        <v>191</v>
      </c>
      <c r="D75" s="227" t="s">
        <v>620</v>
      </c>
      <c r="E75" s="226">
        <v>43112.474004629628</v>
      </c>
      <c r="F75" s="226">
        <v>43112.479317129626</v>
      </c>
      <c r="G75" s="225">
        <v>55</v>
      </c>
      <c r="H75" s="227" t="s">
        <v>487</v>
      </c>
      <c r="I75" s="226">
        <v>43112.504178240742</v>
      </c>
      <c r="J75" s="225">
        <v>0</v>
      </c>
      <c r="K75" s="237" t="str">
        <f>IF(ISEVEN(B75),(B75-1)&amp;"/"&amp;B75,B75&amp;"/"&amp;(B75+1))</f>
        <v>4005/4006</v>
      </c>
      <c r="L75" s="245" t="str">
        <f>VLOOKUP(A75,'Trips&amp;Operators'!$C$1:$G$99911,5,FALSE)</f>
        <v>NEWELL JAMES</v>
      </c>
      <c r="M75" s="224">
        <f>I75-F75</f>
        <v>2.4861111116479151E-2</v>
      </c>
      <c r="N75" s="225">
        <f>24*60*SUM($M75:$M75)</f>
        <v>35.800000007729977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-12T10:22:34-0700',mode:absolute,to:'2018-01-12T13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4.7100000000000003E-2</v>
      </c>
      <c r="Z75" s="247">
        <f>RIGHT(H75,LEN(H75)-4)/10000</f>
        <v>23.3291</v>
      </c>
      <c r="AA75" s="247">
        <f>ABS(Z75-Y75)</f>
        <v>23.282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/stypes="app*4006*20180112*"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163-12 --locoid 4006 --swversion DE.1.0.9.0 --startMP 204:471 --initTime 2018-01-12T11:22:34 --startdatetime 2018-01-12T11:30:13 --delay 55 --endMP 204:233291 --enddatetime 2018-01-12T12:06:01 --enforcementcount 0 &gt;&gt;%USERPROFILE%\Documents\GitHub\eaglep3-reporting\EC\2018-01-12-refined-times.txt</v>
      </c>
      <c r="AI75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{"issue":{"subject":"","project_id":79,"tracker_id":40,"status_id":1,"priority_id":2,"assigned_to_id":338,"start_date":"2018-01-12","description":"","custom_fields":[{"id":1,"name":"Subdivision","value":"EC"},{"id":4,"name":"Milepost","value":"23.3291"},{"id":17,"name":"Train ID","value":"163-12"},{"id":16,"name":"Locomotive ID","value":"4006"},{"id":130,"name":"Impact","value":""},{"id":150,"name":"Time of Event (Mountain Time)","value":"12:06:01"},{"id":151,"name":"Denver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4006 --day 2018-01-12</v>
      </c>
      <c r="AN75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-12T10:22:34-0700',mode:absolute,to:'2018-01-12T13:06:01-0700'))&amp;_a=(columns:!('Message%20ID',Summary),filters:!(),index:'emp_*',interval:auto,query:(query_string:(analyze_wildcard:!t,query:'%22rtdc.l.rtdc.4006%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799</v>
      </c>
      <c r="B76" s="225">
        <v>4005</v>
      </c>
      <c r="C76" s="227" t="s">
        <v>191</v>
      </c>
      <c r="D76" s="227" t="s">
        <v>920</v>
      </c>
      <c r="E76" s="226">
        <v>43112.507847222223</v>
      </c>
      <c r="F76" s="226">
        <v>43112.518912037034</v>
      </c>
      <c r="G76" s="225">
        <v>68</v>
      </c>
      <c r="H76" s="227" t="s">
        <v>959</v>
      </c>
      <c r="I76" s="226">
        <v>43112.544872685183</v>
      </c>
      <c r="J76" s="225">
        <v>0</v>
      </c>
      <c r="K76" s="237" t="str">
        <f>IF(ISEVEN(B76),(B76-1)&amp;"/"&amp;B76,B76&amp;"/"&amp;(B76+1))</f>
        <v>4005/4006</v>
      </c>
      <c r="L76" s="245" t="str">
        <f>VLOOKUP(A76,'Trips&amp;Operators'!$C$1:$G$99911,5,FALSE)</f>
        <v>NEWELL JAMES</v>
      </c>
      <c r="M76" s="224">
        <f>I76-F76</f>
        <v>2.5960648148611654E-2</v>
      </c>
      <c r="N76" s="225">
        <f>24*60*SUM($M76:$M76)</f>
        <v>37.383333334000781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-12T11:11:18-0700',mode:absolute,to:'2018-01-12T14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23.2971</v>
      </c>
      <c r="Z76" s="247">
        <f>RIGHT(H76,LEN(H76)-4)/10000</f>
        <v>1.7399999999999999E-2</v>
      </c>
      <c r="AA76" s="247">
        <f>ABS(Z76-Y76)</f>
        <v>23.279700000000002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/stypes="app*4005*20180112*"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164-12 --locoid 4005 --swversion DE.1.0.9.0 --startMP 204:232971 --initTime 2018-01-12T12:11:18 --startdatetime 2018-01-12T12:27:14 --delay 68 --endMP 204:174 --enddatetime 2018-01-12T13:04:37 --enforcementcount 0 &gt;&gt;%USERPROFILE%\Documents\GitHub\eaglep3-reporting\EC\2018-01-12-refined-times.txt</v>
      </c>
      <c r="AI76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{"issue":{"subject":"","project_id":79,"tracker_id":40,"status_id":1,"priority_id":2,"assigned_to_id":338,"start_date":"2018-01-12","description":"","custom_fields":[{"id":1,"name":"Subdivision","value":"EC"},{"id":4,"name":"Milepost","value":"0.0174"},{"id":17,"name":"Train ID","value":"164-12"},{"id":16,"name":"Locomotive ID","value":"4005"},{"id":130,"name":"Impact","value":""},{"id":150,"name":"Time of Event (Mountain Time)","value":"13:04:37"},{"id":151,"name":"Denver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4005 --day 2018-01-12</v>
      </c>
      <c r="AN76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-12T11:11:18-0700',mode:absolute,to:'2018-01-12T14:04:37-0700'))&amp;_a=(columns:!('Message%20ID',Summary),filters:!(),index:'emp_*',interval:auto,query:(query_string:(analyze_wildcard:!t,query:'%22rtdc.l.rtdc.4005%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792</v>
      </c>
      <c r="B77" s="225">
        <v>4004</v>
      </c>
      <c r="C77" s="227" t="s">
        <v>191</v>
      </c>
      <c r="D77" s="227" t="s">
        <v>641</v>
      </c>
      <c r="E77" s="226">
        <v>43112.482777777775</v>
      </c>
      <c r="F77" s="226">
        <v>43112.489803240744</v>
      </c>
      <c r="G77" s="225">
        <v>112</v>
      </c>
      <c r="H77" s="227" t="s">
        <v>913</v>
      </c>
      <c r="I77" s="226">
        <v>43112.5159375</v>
      </c>
      <c r="J77" s="225">
        <v>0</v>
      </c>
      <c r="K77" s="237" t="str">
        <f>IF(ISEVEN(B77),(B77-1)&amp;"/"&amp;B77,B77&amp;"/"&amp;(B77+1))</f>
        <v>4003/4004</v>
      </c>
      <c r="L77" s="245" t="str">
        <f>VLOOKUP(A77,'Trips&amp;Operators'!$C$1:$G$99911,5,FALSE)</f>
        <v>LONG FULLER</v>
      </c>
      <c r="M77" s="224">
        <f>I77-F77</f>
        <v>2.6134259256650694E-2</v>
      </c>
      <c r="N77" s="225">
        <f>24*60*SUM($M77:$M77)</f>
        <v>37.633333329576999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-12T10:35:12-0700',mode:absolute,to:'2018-01-12T13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5.0900000000000001E-2</v>
      </c>
      <c r="Z77" s="247">
        <f>RIGHT(H77,LEN(H77)-4)/10000</f>
        <v>23.3293</v>
      </c>
      <c r="AA77" s="247">
        <f>ABS(Z77-Y77)</f>
        <v>23.278400000000001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/stypes="app*4004*20180112*"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165-12 --locoid 4004 --swversion DE.1.0.9.0 --startMP 204:509 --initTime 2018-01-12T11:35:12 --startdatetime 2018-01-12T11:45:19 --delay 112 --endMP 204:233293 --enddatetime 2018-01-12T12:22:57 --enforcementcount 0 &gt;&gt;%USERPROFILE%\Documents\GitHub\eaglep3-reporting\EC\2018-01-12-refined-times.txt</v>
      </c>
      <c r="AI77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{"issue":{"subject":"","project_id":79,"tracker_id":40,"status_id":1,"priority_id":2,"assigned_to_id":338,"start_date":"2018-01-12","description":"","custom_fields":[{"id":1,"name":"Subdivision","value":"EC"},{"id":4,"name":"Milepost","value":"23.3293"},{"id":17,"name":"Train ID","value":"165-12"},{"id":16,"name":"Locomotive ID","value":"4004"},{"id":130,"name":"Impact","value":""},{"id":150,"name":"Time of Event (Mountain Time)","value":"12:22:57"},{"id":151,"name":"Denver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4004 --day 2018-01-12</v>
      </c>
      <c r="AN77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-12T10:35:12-0700',mode:absolute,to:'2018-01-12T13:22:57-0700'))&amp;_a=(columns:!('Message%20ID',Summary),filters:!(),index:'emp_*',interval:auto,query:(query_string:(analyze_wildcard:!t,query:'%22rtdc.l.rtdc.4004%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801</v>
      </c>
      <c r="B78" s="225">
        <v>4003</v>
      </c>
      <c r="C78" s="227" t="s">
        <v>191</v>
      </c>
      <c r="D78" s="227" t="s">
        <v>960</v>
      </c>
      <c r="E78" s="226">
        <v>43112.520266203705</v>
      </c>
      <c r="F78" s="226">
        <v>43112.529363425929</v>
      </c>
      <c r="G78" s="225">
        <v>91</v>
      </c>
      <c r="H78" s="227" t="s">
        <v>946</v>
      </c>
      <c r="I78" s="226">
        <v>43112.556342592594</v>
      </c>
      <c r="J78" s="225">
        <v>0</v>
      </c>
      <c r="K78" s="237" t="str">
        <f>IF(ISEVEN(B78),(B78-1)&amp;"/"&amp;B78,B78&amp;"/"&amp;(B78+1))</f>
        <v>4003/4004</v>
      </c>
      <c r="L78" s="245" t="str">
        <f>VLOOKUP(A78,'Trips&amp;Operators'!$C$1:$G$99911,5,FALSE)</f>
        <v>LONG FULLER</v>
      </c>
      <c r="M78" s="224">
        <f>I78-F78</f>
        <v>2.6979166665114462E-2</v>
      </c>
      <c r="N78" s="225">
        <f>24*60*SUM($M78:$M78)</f>
        <v>38.849999997764826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-12T11:29:11-0700',mode:absolute,to:'2018-01-12T14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23.297899999999998</v>
      </c>
      <c r="Z78" s="247">
        <f>RIGHT(H78,LEN(H78)-4)/10000</f>
        <v>2.07E-2</v>
      </c>
      <c r="AA78" s="247">
        <f>ABS(Z78-Y78)</f>
        <v>23.277199999999997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/stypes="app*4003*20180112*"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5"/>
        <v>"%USERPROFILE%\Documents\GitHub\eaglep3\Utilities\RefineRTDCRunTimes.py" --tripid 166-12 --locoid 4003 --swversion DE.1.0.9.0 --startMP 204:232979 --initTime 2018-01-12T12:29:11 --startdatetime 2018-01-12T12:42:17 --delay 91 --endMP 204:207 --enddatetime 2018-01-12T13:21:08 --enforcementcount 0 &gt;&gt;%USERPROFILE%\Documents\GitHub\eaglep3-reporting\EC\2018-01-12-refined-times.txt</v>
      </c>
      <c r="AI78" s="238" t="str">
        <f t="shared" si="6"/>
        <v>echo {"issue":{"subject":"","project_id":79,"tracker_id":40,"status_id":1,"priority_id":2,"assigned_to_id":338,"start_date":"2018-01-12","description":"","custom_fields":[{"id":1,"name":"Subdivision","value":"EC"},{"id":4,"name":"Milepost","value":"0.0207"},{"id":17,"name":"Train ID","value":"166-12"},{"id":16,"name":"Locomotive ID","value":"4003"},{"id":130,"name":"Impact","value":""},{"id":150,"name":"Time of Event (Mountain Time)","value":"13:21:08"},{"id":151,"name":"Denver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7"/>
        <v>start /low /b %USERPROFILE%\Documents\GitHub\eaglep3\Utilities\DownloadLogsFromS3.py --loco 4003 --day 2018-01-12</v>
      </c>
      <c r="AN78" s="241" t="str">
        <f t="shared" si="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9"/>
        <v>https://d0f6bd738d7f1b3e5a7ca70fe4ff75f0.us-east-1.aws.found.io/app/kibana#/discover/Steve-Slow-Train-Analysis-(2080s-and-2083s)?_g=(refreshInterval:(display:Off,pause:!f,section:0,value:0),time:(from:'2018-01-12T11:29:11-0700',mode:absolute,to:'2018-01-12T14:21:08-0700'))&amp;_a=(columns:!('Message%20ID',Summary),filters:!(),index:'emp_*',interval:auto,query:(query_string:(analyze_wildcard:!t,query:'%22rtdc.l.rtdc.4003%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795</v>
      </c>
      <c r="B79" s="225">
        <v>4026</v>
      </c>
      <c r="C79" s="227" t="s">
        <v>191</v>
      </c>
      <c r="D79" s="227" t="s">
        <v>631</v>
      </c>
      <c r="E79" s="226">
        <v>43112.494722222225</v>
      </c>
      <c r="F79" s="226">
        <v>43112.500173611108</v>
      </c>
      <c r="G79" s="225">
        <v>110</v>
      </c>
      <c r="H79" s="227" t="s">
        <v>961</v>
      </c>
      <c r="I79" s="226">
        <v>43112.526493055557</v>
      </c>
      <c r="J79" s="225">
        <v>0</v>
      </c>
      <c r="K79" s="237" t="str">
        <f>IF(ISEVEN(B79),(B79-1)&amp;"/"&amp;B79,B79&amp;"/"&amp;(B79+1))</f>
        <v>4025/4026</v>
      </c>
      <c r="L79" s="245" t="str">
        <f>VLOOKUP(A79,'Trips&amp;Operators'!$C$1:$G$99911,5,FALSE)</f>
        <v>FORTUNATO FRANK</v>
      </c>
      <c r="M79" s="224">
        <f>I79-F79</f>
        <v>2.6319444448745344E-2</v>
      </c>
      <c r="N79" s="225">
        <f>24*60*SUM($M79:$M79)</f>
        <v>37.900000006193295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-12T10:52:24-0700',mode:absolute,to:'2018-01-12T13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5.1299999999999998E-2</v>
      </c>
      <c r="Z79" s="247">
        <f>RIGHT(H79,LEN(H79)-4)/10000</f>
        <v>23.319500000000001</v>
      </c>
      <c r="AA79" s="247">
        <f>ABS(Z79-Y79)</f>
        <v>23.2682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/stypes="app*4026*20180112*"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ref="AH79:AH142" si="1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167-12 --locoid 4026 --swversion DE.1.0.9.0 --startMP 204:513 --initTime 2018-01-12T11:52:24 --startdatetime 2018-01-12T12:00:15 --delay 110 --endMP 204:233195 --enddatetime 2018-01-12T12:38:09 --enforcementcount 0 &gt;&gt;%USERPROFILE%\Documents\GitHub\eaglep3-reporting\EC\2018-01-12-refined-times.txt</v>
      </c>
      <c r="AI79" s="238" t="str">
        <f t="shared" ref="AI79:AI142" si="1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{"issue":{"subject":"","project_id":79,"tracker_id":40,"status_id":1,"priority_id":2,"assigned_to_id":338,"start_date":"2018-01-12","description":"","custom_fields":[{"id":1,"name":"Subdivision","value":"EC"},{"id":4,"name":"Milepost","value":"23.3195"},{"id":17,"name":"Train ID","value":"167-12"},{"id":16,"name":"Locomotive ID","value":"4026"},{"id":130,"name":"Impact","value":""},{"id":150,"name":"Time of Event (Mountain Time)","value":"12:38:09"},{"id":151,"name":"Denver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2" si="16">"start /low /b "&amp;dls3logs&amp;" --loco "&amp;B79&amp;" --day "&amp;TEXT(F79,"YYYY-MM-DD")</f>
        <v>start /low /b %USERPROFILE%\Documents\GitHub\eaglep3\Utilities\DownloadLogsFromS3.py --loco 4026 --day 2018-01-12</v>
      </c>
      <c r="AN79" s="241" t="str">
        <f t="shared" ref="AN79:AN142" si="1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2" si="18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-12T10:52:24-0700',mode:absolute,to:'2018-01-12T13:38:09-0700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803</v>
      </c>
      <c r="B80" s="225">
        <v>4025</v>
      </c>
      <c r="C80" s="227" t="s">
        <v>191</v>
      </c>
      <c r="D80" s="227" t="s">
        <v>962</v>
      </c>
      <c r="E80" s="226">
        <v>43112.527592592596</v>
      </c>
      <c r="F80" s="226">
        <v>43112.53974537037</v>
      </c>
      <c r="G80" s="225">
        <v>61</v>
      </c>
      <c r="H80" s="227" t="s">
        <v>538</v>
      </c>
      <c r="I80" s="226">
        <v>43112.565636574072</v>
      </c>
      <c r="J80" s="225">
        <v>0</v>
      </c>
      <c r="K80" s="237" t="str">
        <f>IF(ISEVEN(B80),(B80-1)&amp;"/"&amp;B80,B80&amp;"/"&amp;(B80+1))</f>
        <v>4025/4026</v>
      </c>
      <c r="L80" s="245" t="str">
        <f>VLOOKUP(A80,'Trips&amp;Operators'!$C$1:$G$99911,5,FALSE)</f>
        <v>FORTUNATO FRANK</v>
      </c>
      <c r="M80" s="224">
        <f>I80-F80</f>
        <v>2.5891203702485655E-2</v>
      </c>
      <c r="N80" s="225">
        <f>24*60*SUM($M80:$M80)</f>
        <v>37.283333331579342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-12T11:39:44-0700',mode:absolute,to:'2018-01-12T14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23.287299999999998</v>
      </c>
      <c r="Z80" s="247">
        <f>RIGHT(H80,LEN(H80)-4)/10000</f>
        <v>1.9800000000000002E-2</v>
      </c>
      <c r="AA80" s="247">
        <f>ABS(Z80-Y80)</f>
        <v>23.267499999999998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/stypes="app*4025*20180112*"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4"/>
        <v>"%USERPROFILE%\Documents\GitHub\eaglep3\Utilities\RefineRTDCRunTimes.py" --tripid 168-12 --locoid 4025 --swversion DE.1.0.9.0 --startMP 204:232873 --initTime 2018-01-12T12:39:44 --startdatetime 2018-01-12T12:57:14 --delay 61 --endMP 204:198 --enddatetime 2018-01-12T13:34:31 --enforcementcount 0 &gt;&gt;%USERPROFILE%\Documents\GitHub\eaglep3-reporting\EC\2018-01-12-refined-times.txt</v>
      </c>
      <c r="AI8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{"issue":{"subject":"","project_id":79,"tracker_id":40,"status_id":1,"priority_id":2,"assigned_to_id":338,"start_date":"2018-01-12","description":"","custom_fields":[{"id":1,"name":"Subdivision","value":"EC"},{"id":4,"name":"Milepost","value":"0.0198"},{"id":17,"name":"Train ID","value":"168-12"},{"id":16,"name":"Locomotive ID","value":"4025"},{"id":130,"name":"Impact","value":""},{"id":150,"name":"Time of Event (Mountain Time)","value":"13:34:31"},{"id":151,"name":"Denver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6"/>
        <v>start /low /b %USERPROFILE%\Documents\GitHub\eaglep3\Utilities\DownloadLogsFromS3.py --loco 4025 --day 2018-01-12</v>
      </c>
      <c r="AN80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8"/>
        <v>https://d0f6bd738d7f1b3e5a7ca70fe4ff75f0.us-east-1.aws.found.io/app/kibana#/discover/Steve-Slow-Train-Analysis-(2080s-and-2083s)?_g=(refreshInterval:(display:Off,pause:!f,section:0,value:0),time:(from:'2018-01-12T11:39:44-0700',mode:absolute,to:'2018-01-12T14:34:31-0700'))&amp;_a=(columns:!('Message%20ID',Summary),filters:!(),index:'emp_*',interval:auto,query:(query_string:(analyze_wildcard:!t,query:'%22rtdc.l.rtdc.4025%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798</v>
      </c>
      <c r="B81" s="225">
        <v>4060</v>
      </c>
      <c r="C81" s="227" t="s">
        <v>191</v>
      </c>
      <c r="D81" s="227" t="s">
        <v>631</v>
      </c>
      <c r="E81" s="226">
        <v>43112.506030092591</v>
      </c>
      <c r="F81" s="226">
        <v>43112.510613425926</v>
      </c>
      <c r="G81" s="225">
        <v>130</v>
      </c>
      <c r="H81" s="227" t="s">
        <v>963</v>
      </c>
      <c r="I81" s="226">
        <v>43112.536261574074</v>
      </c>
      <c r="J81" s="225">
        <v>0</v>
      </c>
      <c r="K81" s="237" t="str">
        <f>IF(ISEVEN(B81),(B81-1)&amp;"/"&amp;B81,B81&amp;"/"&amp;(B81+1))</f>
        <v>4059/4060</v>
      </c>
      <c r="L81" s="245" t="str">
        <f>VLOOKUP(A81,'Trips&amp;Operators'!$C$1:$G$99911,5,FALSE)</f>
        <v>LEVIN SCOTT</v>
      </c>
      <c r="M81" s="224">
        <f>I81-F81</f>
        <v>2.5648148148320615E-2</v>
      </c>
      <c r="N81" s="225">
        <f>24*60*SUM($M81:$M81)</f>
        <v>36.933333333581686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-12T11:08:41-0700',mode:absolute,to:'2018-01-12T13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5.1299999999999998E-2</v>
      </c>
      <c r="Z81" s="247">
        <f>RIGHT(H81,LEN(H81)-4)/10000</f>
        <v>23.333100000000002</v>
      </c>
      <c r="AA81" s="247">
        <f>ABS(Z81-Y81)</f>
        <v>23.2818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/stypes="app*4060*20180112*"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4"/>
        <v>"%USERPROFILE%\Documents\GitHub\eaglep3\Utilities\RefineRTDCRunTimes.py" --tripid 169-12 --locoid 4060 --swversion DE.1.0.9.0 --startMP 204:513 --initTime 2018-01-12T12:08:41 --startdatetime 2018-01-12T12:15:17 --delay 130 --endMP 204:233331 --enddatetime 2018-01-12T12:52:13 --enforcementcount 0 &gt;&gt;%USERPROFILE%\Documents\GitHub\eaglep3-reporting\EC\2018-01-12-refined-times.txt</v>
      </c>
      <c r="AI8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{"issue":{"subject":"","project_id":79,"tracker_id":40,"status_id":1,"priority_id":2,"assigned_to_id":338,"start_date":"2018-01-12","description":"","custom_fields":[{"id":1,"name":"Subdivision","value":"EC"},{"id":4,"name":"Milepost","value":"23.3331"},{"id":17,"name":"Train ID","value":"169-12"},{"id":16,"name":"Locomotive ID","value":"4060"},{"id":130,"name":"Impact","value":""},{"id":150,"name":"Time of Event (Mountain Time)","value":"12:52:13"},{"id":151,"name":"Denver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6"/>
        <v>start /low /b %USERPROFILE%\Documents\GitHub\eaglep3\Utilities\DownloadLogsFromS3.py --loco 4060 --day 2018-01-12</v>
      </c>
      <c r="AN81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8"/>
        <v>https://d0f6bd738d7f1b3e5a7ca70fe4ff75f0.us-east-1.aws.found.io/app/kibana#/discover/Steve-Slow-Train-Analysis-(2080s-and-2083s)?_g=(refreshInterval:(display:Off,pause:!f,section:0,value:0),time:(from:'2018-01-12T11:08:41-0700',mode:absolute,to:'2018-01-12T13:52:13-0700'))&amp;_a=(columns:!('Message%20ID',Summary),filters:!(),index:'emp_*',interval:auto,query:(query_string:(analyze_wildcard:!t,query:'%22rtdc.l.rtdc.4060%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678</v>
      </c>
      <c r="B82" s="225">
        <v>4059</v>
      </c>
      <c r="C82" s="227" t="s">
        <v>191</v>
      </c>
      <c r="D82" s="227" t="s">
        <v>964</v>
      </c>
      <c r="E82" s="226">
        <v>43112.547175925924</v>
      </c>
      <c r="F82" s="226">
        <v>43112.550162037034</v>
      </c>
      <c r="G82" s="225">
        <v>107</v>
      </c>
      <c r="H82" s="227" t="s">
        <v>965</v>
      </c>
      <c r="I82" s="226">
        <v>43112.575509259259</v>
      </c>
      <c r="J82" s="225">
        <v>0</v>
      </c>
      <c r="K82" s="237" t="str">
        <f>IF(ISEVEN(B82),(B82-1)&amp;"/"&amp;B82,B82&amp;"/"&amp;(B82+1))</f>
        <v>4059/4060</v>
      </c>
      <c r="L82" s="245" t="str">
        <f>VLOOKUP(A82,'Trips&amp;Operators'!$C$1:$G$99911,5,FALSE)</f>
        <v>LEVIN SCOTT</v>
      </c>
      <c r="M82" s="224">
        <f>I82-F82</f>
        <v>2.5347222224809229E-2</v>
      </c>
      <c r="N82" s="225">
        <f>24*60*SUM($M82:$M82)</f>
        <v>36.50000000372529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-12T12:07:56-0700',mode:absolute,to:'2018-01-12T14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23.300599999999999</v>
      </c>
      <c r="Z82" s="247">
        <f>RIGHT(H82,LEN(H82)-4)/10000</f>
        <v>1.12E-2</v>
      </c>
      <c r="AA82" s="247">
        <f>ABS(Z82-Y82)</f>
        <v>23.289400000000001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/stypes="app*4059*20180112*"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4"/>
        <v>"%USERPROFILE%\Documents\GitHub\eaglep3\Utilities\RefineRTDCRunTimes.py" --tripid 170-12 --locoid 4059 --swversion DE.1.0.9.0 --startMP 204:233006 --initTime 2018-01-12T13:07:56 --startdatetime 2018-01-12T13:12:14 --delay 107 --endMP 204:112 --enddatetime 2018-01-12T13:48:44 --enforcementcount 0 &gt;&gt;%USERPROFILE%\Documents\GitHub\eaglep3-reporting\EC\2018-01-12-refined-times.txt</v>
      </c>
      <c r="AI8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{"issue":{"subject":"","project_id":79,"tracker_id":40,"status_id":1,"priority_id":2,"assigned_to_id":338,"start_date":"2018-01-12","description":"","custom_fields":[{"id":1,"name":"Subdivision","value":"EC"},{"id":4,"name":"Milepost","value":"0.0112"},{"id":17,"name":"Train ID","value":"170-12"},{"id":16,"name":"Locomotive ID","value":"4059"},{"id":130,"name":"Impact","value":""},{"id":150,"name":"Time of Event (Mountain Time)","value":"13:48:44"},{"id":151,"name":"Denver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6"/>
        <v>start /low /b %USERPROFILE%\Documents\GitHub\eaglep3\Utilities\DownloadLogsFromS3.py --loco 4059 --day 2018-01-12</v>
      </c>
      <c r="AN82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8"/>
        <v>https://d0f6bd738d7f1b3e5a7ca70fe4ff75f0.us-east-1.aws.found.io/app/kibana#/discover/Steve-Slow-Train-Analysis-(2080s-and-2083s)?_g=(refreshInterval:(display:Off,pause:!f,section:0,value:0),time:(from:'2018-01-12T12:07:56-0700',mode:absolute,to:'2018-01-12T14:48:44-0700'))&amp;_a=(columns:!('Message%20ID',Summary),filters:!(),index:'emp_*',interval:auto,query:(query_string:(analyze_wildcard:!t,query:'%22rtdc.l.rtdc.4059%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800</v>
      </c>
      <c r="B83" s="225">
        <v>4040</v>
      </c>
      <c r="C83" s="227" t="s">
        <v>191</v>
      </c>
      <c r="D83" s="227" t="s">
        <v>486</v>
      </c>
      <c r="E83" s="226">
        <v>43112.516655092593</v>
      </c>
      <c r="F83" s="226">
        <v>43112.521006944444</v>
      </c>
      <c r="G83" s="225">
        <v>68</v>
      </c>
      <c r="H83" s="227" t="s">
        <v>537</v>
      </c>
      <c r="I83" s="226">
        <v>43112.546979166669</v>
      </c>
      <c r="J83" s="225">
        <v>0</v>
      </c>
      <c r="K83" s="237" t="str">
        <f>IF(ISEVEN(B83),(B83-1)&amp;"/"&amp;B83,B83&amp;"/"&amp;(B83+1))</f>
        <v>4039/4040</v>
      </c>
      <c r="L83" s="245" t="str">
        <f>VLOOKUP(A83,'Trips&amp;Operators'!$C$1:$G$99911,5,FALSE)</f>
        <v>BADERTSCHER DIANE</v>
      </c>
      <c r="M83" s="224">
        <f>I83-F83</f>
        <v>2.5972222225391306E-2</v>
      </c>
      <c r="N83" s="225">
        <f>24*60*SUM($M83:$M83)</f>
        <v>37.400000004563481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-12T11:23:59-0700',mode:absolute,to:'2018-01-12T14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4.9299999999999997E-2</v>
      </c>
      <c r="Z83" s="247">
        <f>RIGHT(H83,LEN(H83)-4)/10000</f>
        <v>23.328800000000001</v>
      </c>
      <c r="AA83" s="247">
        <f>ABS(Z83-Y83)</f>
        <v>23.279500000000002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/stypes="app*4040*20180112*"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4"/>
        <v>"%USERPROFILE%\Documents\GitHub\eaglep3\Utilities\RefineRTDCRunTimes.py" --tripid 171-12 --locoid 4040 --swversion DE.1.0.9.0 --startMP 204:493 --initTime 2018-01-12T12:23:59 --startdatetime 2018-01-12T12:30:15 --delay 68 --endMP 204:233288 --enddatetime 2018-01-12T13:07:39 --enforcementcount 0 &gt;&gt;%USERPROFILE%\Documents\GitHub\eaglep3-reporting\EC\2018-01-12-refined-times.txt</v>
      </c>
      <c r="AI8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{"issue":{"subject":"","project_id":79,"tracker_id":40,"status_id":1,"priority_id":2,"assigned_to_id":338,"start_date":"2018-01-12","description":"","custom_fields":[{"id":1,"name":"Subdivision","value":"EC"},{"id":4,"name":"Milepost","value":"23.3288"},{"id":17,"name":"Train ID","value":"171-12"},{"id":16,"name":"Locomotive ID","value":"4040"},{"id":130,"name":"Impact","value":""},{"id":150,"name":"Time of Event (Mountain Time)","value":"13:07:39"},{"id":151,"name":"Denver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6"/>
        <v>start /low /b %USERPROFILE%\Documents\GitHub\eaglep3\Utilities\DownloadLogsFromS3.py --loco 4040 --day 2018-01-12</v>
      </c>
      <c r="AN83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8"/>
        <v>https://d0f6bd738d7f1b3e5a7ca70fe4ff75f0.us-east-1.aws.found.io/app/kibana#/discover/Steve-Slow-Train-Analysis-(2080s-and-2083s)?_g=(refreshInterval:(display:Off,pause:!f,section:0,value:0),time:(from:'2018-01-12T11:23:59-0700',mode:absolute,to:'2018-01-12T14:07:39-0700'))&amp;_a=(columns:!('Message%20ID',Summary),filters:!(),index:'emp_*',interval:auto,query:(query_string:(analyze_wildcard:!t,query:'%22rtdc.l.rtdc.4040%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807</v>
      </c>
      <c r="B84" s="225">
        <v>4039</v>
      </c>
      <c r="C84" s="227" t="s">
        <v>191</v>
      </c>
      <c r="D84" s="227" t="s">
        <v>953</v>
      </c>
      <c r="E84" s="226">
        <v>43112.556481481479</v>
      </c>
      <c r="F84" s="226">
        <v>43112.560578703706</v>
      </c>
      <c r="G84" s="225">
        <v>57</v>
      </c>
      <c r="H84" s="227" t="s">
        <v>646</v>
      </c>
      <c r="I84" s="226">
        <v>43112.58734953704</v>
      </c>
      <c r="J84" s="225">
        <v>0</v>
      </c>
      <c r="K84" s="237" t="str">
        <f>IF(ISEVEN(B84),(B84-1)&amp;"/"&amp;B84,B84&amp;"/"&amp;(B84+1))</f>
        <v>4039/4040</v>
      </c>
      <c r="L84" s="245" t="str">
        <f>VLOOKUP(A84,'Trips&amp;Operators'!$C$1:$G$99911,5,FALSE)</f>
        <v>BADERTSCHER DIANE</v>
      </c>
      <c r="M84" s="224">
        <f>I84-F84</f>
        <v>2.6770833334012423E-2</v>
      </c>
      <c r="N84" s="225">
        <f>24*60*SUM($M84:$M84)</f>
        <v>38.550000000977889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-12T12:21:20-0700',mode:absolute,to:'2018-01-12T15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23.295300000000001</v>
      </c>
      <c r="Z84" s="247">
        <f>RIGHT(H84,LEN(H84)-4)/10000</f>
        <v>2.0899999999999998E-2</v>
      </c>
      <c r="AA84" s="247">
        <f>ABS(Z84-Y84)</f>
        <v>23.2744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/stypes="app*4039*20180112*"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4"/>
        <v>"%USERPROFILE%\Documents\GitHub\eaglep3\Utilities\RefineRTDCRunTimes.py" --tripid 172-12 --locoid 4039 --swversion DE.1.0.9.0 --startMP 204:232953 --initTime 2018-01-12T13:21:20 --startdatetime 2018-01-12T13:27:14 --delay 57 --endMP 204:209 --enddatetime 2018-01-12T14:05:47 --enforcementcount 0 &gt;&gt;%USERPROFILE%\Documents\GitHub\eaglep3-reporting\EC\2018-01-12-refined-times.txt</v>
      </c>
      <c r="AI84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{"issue":{"subject":"","project_id":79,"tracker_id":40,"status_id":1,"priority_id":2,"assigned_to_id":338,"start_date":"2018-01-12","description":"","custom_fields":[{"id":1,"name":"Subdivision","value":"EC"},{"id":4,"name":"Milepost","value":"0.0209"},{"id":17,"name":"Train ID","value":"172-12"},{"id":16,"name":"Locomotive ID","value":"4039"},{"id":130,"name":"Impact","value":""},{"id":150,"name":"Time of Event (Mountain Time)","value":"14:05:47"},{"id":151,"name":"Denver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6"/>
        <v>start /low /b %USERPROFILE%\Documents\GitHub\eaglep3\Utilities\DownloadLogsFromS3.py --loco 4039 --day 2018-01-12</v>
      </c>
      <c r="AN84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8"/>
        <v>https://d0f6bd738d7f1b3e5a7ca70fe4ff75f0.us-east-1.aws.found.io/app/kibana#/discover/Steve-Slow-Train-Analysis-(2080s-and-2083s)?_g=(refreshInterval:(display:Off,pause:!f,section:0,value:0),time:(from:'2018-01-12T12:21:20-0700',mode:absolute,to:'2018-01-12T15:05:47-0700'))&amp;_a=(columns:!('Message%20ID',Summary),filters:!(),index:'emp_*',interval:auto,query:(query_string:(analyze_wildcard:!t,query:'%22rtdc.l.rtdc.4039%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802</v>
      </c>
      <c r="B85" s="225">
        <v>4028</v>
      </c>
      <c r="C85" s="227" t="s">
        <v>191</v>
      </c>
      <c r="D85" s="227" t="s">
        <v>949</v>
      </c>
      <c r="E85" s="226">
        <v>43112.526099537034</v>
      </c>
      <c r="F85" s="226">
        <v>43112.531412037039</v>
      </c>
      <c r="G85" s="225">
        <v>66</v>
      </c>
      <c r="H85" s="227" t="s">
        <v>487</v>
      </c>
      <c r="I85" s="226">
        <v>43112.555671296293</v>
      </c>
      <c r="J85" s="225">
        <v>0</v>
      </c>
      <c r="K85" s="237" t="str">
        <f>IF(ISEVEN(B85),(B85-1)&amp;"/"&amp;B85,B85&amp;"/"&amp;(B85+1))</f>
        <v>4027/4028</v>
      </c>
      <c r="L85" s="245" t="str">
        <f>VLOOKUP(A85,'Trips&amp;Operators'!$C$1:$G$99911,5,FALSE)</f>
        <v>ROBINSON KADDIBA</v>
      </c>
      <c r="M85" s="224">
        <f>I85-F85</f>
        <v>2.4259259254904464E-2</v>
      </c>
      <c r="N85" s="225">
        <f>24*60*SUM($M85:$M85)</f>
        <v>34.933333327062428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-12T11:37:35-0700',mode:absolute,to:'2018-01-12T14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4.6899999999999997E-2</v>
      </c>
      <c r="Z85" s="247">
        <f>RIGHT(H85,LEN(H85)-4)/10000</f>
        <v>23.3291</v>
      </c>
      <c r="AA85" s="247">
        <f>ABS(Z85-Y85)</f>
        <v>23.2822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/stypes="app*4028*20180112*"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4"/>
        <v>"%USERPROFILE%\Documents\GitHub\eaglep3\Utilities\RefineRTDCRunTimes.py" --tripid 173-12 --locoid 4028 --swversion DE.1.0.9.0 --startMP 204:469 --initTime 2018-01-12T12:37:35 --startdatetime 2018-01-12T12:45:14 --delay 66 --endMP 204:233291 --enddatetime 2018-01-12T13:20:10 --enforcementcount 0 &gt;&gt;%USERPROFILE%\Documents\GitHub\eaglep3-reporting\EC\2018-01-12-refined-times.txt</v>
      </c>
      <c r="AI85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{"issue":{"subject":"","project_id":79,"tracker_id":40,"status_id":1,"priority_id":2,"assigned_to_id":338,"start_date":"2018-01-12","description":"","custom_fields":[{"id":1,"name":"Subdivision","value":"EC"},{"id":4,"name":"Milepost","value":"23.3291"},{"id":17,"name":"Train ID","value":"173-12"},{"id":16,"name":"Locomotive ID","value":"4028"},{"id":130,"name":"Impact","value":""},{"id":150,"name":"Time of Event (Mountain Time)","value":"13:20:10"},{"id":151,"name":"Denver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6"/>
        <v>start /low /b %USERPROFILE%\Documents\GitHub\eaglep3\Utilities\DownloadLogsFromS3.py --loco 4028 --day 2018-01-12</v>
      </c>
      <c r="AN85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8"/>
        <v>https://d0f6bd738d7f1b3e5a7ca70fe4ff75f0.us-east-1.aws.found.io/app/kibana#/discover/Steve-Slow-Train-Analysis-(2080s-and-2083s)?_g=(refreshInterval:(display:Off,pause:!f,section:0,value:0),time:(from:'2018-01-12T11:37:35-0700',mode:absolute,to:'2018-01-12T14:20:10-0700'))&amp;_a=(columns:!('Message%20ID',Summary),filters:!(),index:'emp_*',interval:auto,query:(query_string:(analyze_wildcard:!t,query:'%22rtdc.l.rtdc.4028%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811</v>
      </c>
      <c r="B86" s="225">
        <v>4027</v>
      </c>
      <c r="C86" s="227" t="s">
        <v>191</v>
      </c>
      <c r="D86" s="227" t="s">
        <v>619</v>
      </c>
      <c r="E86" s="226">
        <v>43112.568090277775</v>
      </c>
      <c r="F86" s="226">
        <v>43112.57099537037</v>
      </c>
      <c r="G86" s="225">
        <v>67</v>
      </c>
      <c r="H86" s="227" t="s">
        <v>546</v>
      </c>
      <c r="I86" s="226">
        <v>43112.597685185188</v>
      </c>
      <c r="J86" s="225">
        <v>0</v>
      </c>
      <c r="K86" s="237" t="str">
        <f>IF(ISEVEN(B86),(B86-1)&amp;"/"&amp;B86,B86&amp;"/"&amp;(B86+1))</f>
        <v>4027/4028</v>
      </c>
      <c r="L86" s="245" t="str">
        <f>VLOOKUP(A86,'Trips&amp;Operators'!$C$1:$G$99911,5,FALSE)</f>
        <v>ROBINSON KADDIBA</v>
      </c>
      <c r="M86" s="224">
        <f>I86-F86</f>
        <v>2.6689814818382729E-2</v>
      </c>
      <c r="N86" s="225">
        <f>24*60*SUM($M86:$M86)</f>
        <v>38.43333333847113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-12T12:38:03-0700',mode:absolute,to:'2018-01-12T15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23.297599999999999</v>
      </c>
      <c r="Z86" s="247">
        <f>RIGHT(H86,LEN(H86)-4)/10000</f>
        <v>1.6E-2</v>
      </c>
      <c r="AA86" s="247">
        <f>ABS(Z86-Y86)</f>
        <v>23.281600000000001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/stypes="app*4027*20180112*"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4"/>
        <v>"%USERPROFILE%\Documents\GitHub\eaglep3\Utilities\RefineRTDCRunTimes.py" --tripid 174-12 --locoid 4027 --swversion DE.1.0.9.0 --startMP 204:232976 --initTime 2018-01-12T13:38:03 --startdatetime 2018-01-12T13:42:14 --delay 67 --endMP 204:160 --enddatetime 2018-01-12T14:20:40 --enforcementcount 0 &gt;&gt;%USERPROFILE%\Documents\GitHub\eaglep3-reporting\EC\2018-01-12-refined-times.txt</v>
      </c>
      <c r="AI8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{"issue":{"subject":"","project_id":79,"tracker_id":40,"status_id":1,"priority_id":2,"assigned_to_id":338,"start_date":"2018-01-12","description":"","custom_fields":[{"id":1,"name":"Subdivision","value":"EC"},{"id":4,"name":"Milepost","value":"0.016"},{"id":17,"name":"Train ID","value":"174-12"},{"id":16,"name":"Locomotive ID","value":"4027"},{"id":130,"name":"Impact","value":""},{"id":150,"name":"Time of Event (Mountain Time)","value":"14:20:40"},{"id":151,"name":"Denver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6"/>
        <v>start /low /b %USERPROFILE%\Documents\GitHub\eaglep3\Utilities\DownloadLogsFromS3.py --loco 4027 --day 2018-01-12</v>
      </c>
      <c r="AN86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8"/>
        <v>https://d0f6bd738d7f1b3e5a7ca70fe4ff75f0.us-east-1.aws.found.io/app/kibana#/discover/Steve-Slow-Train-Analysis-(2080s-and-2083s)?_g=(refreshInterval:(display:Off,pause:!f,section:0,value:0),time:(from:'2018-01-12T12:38:03-0700',mode:absolute,to:'2018-01-12T15:20:40-0700'))&amp;_a=(columns:!('Message%20ID',Summary),filters:!(),index:'emp_*',interval:auto,query:(query_string:(analyze_wildcard:!t,query:'%22rtdc.l.rtdc.4027%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804</v>
      </c>
      <c r="B87" s="225">
        <v>4018</v>
      </c>
      <c r="C87" s="227" t="s">
        <v>191</v>
      </c>
      <c r="D87" s="227" t="s">
        <v>641</v>
      </c>
      <c r="E87" s="226">
        <v>43112.539895833332</v>
      </c>
      <c r="F87" s="226">
        <v>43112.54184027778</v>
      </c>
      <c r="G87" s="225">
        <v>60</v>
      </c>
      <c r="H87" s="227" t="s">
        <v>966</v>
      </c>
      <c r="I87" s="226">
        <v>43112.567048611112</v>
      </c>
      <c r="J87" s="225">
        <v>0</v>
      </c>
      <c r="K87" s="237" t="str">
        <f>IF(ISEVEN(B87),(B87-1)&amp;"/"&amp;B87,B87&amp;"/"&amp;(B87+1))</f>
        <v>4017/4018</v>
      </c>
      <c r="L87" s="245" t="str">
        <f>VLOOKUP(A87,'Trips&amp;Operators'!$C$1:$G$99911,5,FALSE)</f>
        <v>SAFIEF AEIMEN</v>
      </c>
      <c r="M87" s="224">
        <f>I87-F87</f>
        <v>2.5208333332557231E-2</v>
      </c>
      <c r="N87" s="225">
        <f>24*60*SUM($M87:$M87)</f>
        <v>36.299999998882413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-12T11:57:27-0700',mode:absolute,to:'2018-01-12T14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5.0900000000000001E-2</v>
      </c>
      <c r="Z87" s="247">
        <f>RIGHT(H87,LEN(H87)-4)/10000</f>
        <v>23.332799999999999</v>
      </c>
      <c r="AA87" s="247">
        <f>ABS(Z87-Y87)</f>
        <v>23.2819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/stypes="app*4018*20180112*"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4"/>
        <v>"%USERPROFILE%\Documents\GitHub\eaglep3\Utilities\RefineRTDCRunTimes.py" --tripid 175-12 --locoid 4018 --swversion DE.1.0.9.0 --startMP 204:509 --initTime 2018-01-12T12:57:27 --startdatetime 2018-01-12T13:00:15 --delay 60 --endMP 204:233328 --enddatetime 2018-01-12T13:36:33 --enforcementcount 0 &gt;&gt;%USERPROFILE%\Documents\GitHub\eaglep3-reporting\EC\2018-01-12-refined-times.txt</v>
      </c>
      <c r="AI87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{"issue":{"subject":"","project_id":79,"tracker_id":40,"status_id":1,"priority_id":2,"assigned_to_id":338,"start_date":"2018-01-12","description":"","custom_fields":[{"id":1,"name":"Subdivision","value":"EC"},{"id":4,"name":"Milepost","value":"23.3328"},{"id":17,"name":"Train ID","value":"175-12"},{"id":16,"name":"Locomotive ID","value":"4018"},{"id":130,"name":"Impact","value":""},{"id":150,"name":"Time of Event (Mountain Time)","value":"13:36:33"},{"id":151,"name":"Denver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6"/>
        <v>start /low /b %USERPROFILE%\Documents\GitHub\eaglep3\Utilities\DownloadLogsFromS3.py --loco 4018 --day 2018-01-12</v>
      </c>
      <c r="AN87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8"/>
        <v>https://d0f6bd738d7f1b3e5a7ca70fe4ff75f0.us-east-1.aws.found.io/app/kibana#/discover/Steve-Slow-Train-Analysis-(2080s-and-2083s)?_g=(refreshInterval:(display:Off,pause:!f,section:0,value:0),time:(from:'2018-01-12T11:57:27-0700',mode:absolute,to:'2018-01-12T14:36:33-0700'))&amp;_a=(columns:!('Message%20ID',Summary),filters:!(),index:'emp_*',interval:auto,query:(query_string:(analyze_wildcard:!t,query:'%22rtdc.l.rtdc.4018%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812</v>
      </c>
      <c r="B88" s="225">
        <v>4017</v>
      </c>
      <c r="C88" s="227" t="s">
        <v>191</v>
      </c>
      <c r="D88" s="227" t="s">
        <v>540</v>
      </c>
      <c r="E88" s="226">
        <v>43112.569201388891</v>
      </c>
      <c r="F88" s="226">
        <v>43112.581435185188</v>
      </c>
      <c r="G88" s="225">
        <v>71</v>
      </c>
      <c r="H88" s="227" t="s">
        <v>967</v>
      </c>
      <c r="I88" s="226">
        <v>43112.608425925922</v>
      </c>
      <c r="J88" s="225">
        <v>0</v>
      </c>
      <c r="K88" s="237" t="str">
        <f>IF(ISEVEN(B88),(B88-1)&amp;"/"&amp;B88,B88&amp;"/"&amp;(B88+1))</f>
        <v>4017/4018</v>
      </c>
      <c r="L88" s="245" t="str">
        <f>VLOOKUP(A88,'Trips&amp;Operators'!$C$1:$G$99911,5,FALSE)</f>
        <v>SAFIEF AEIMEN</v>
      </c>
      <c r="M88" s="224">
        <f>I88-F88</f>
        <v>2.6990740734618157E-2</v>
      </c>
      <c r="N88" s="225">
        <f>24*60*SUM($M88:$M88)</f>
        <v>38.866666657850146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-12T12:39:39-0700',mode:absolute,to:'2018-01-12T15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23.298400000000001</v>
      </c>
      <c r="Z88" s="247">
        <f>RIGHT(H88,LEN(H88)-4)/10000</f>
        <v>1.78E-2</v>
      </c>
      <c r="AA88" s="247">
        <f>ABS(Z88-Y88)</f>
        <v>23.2806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/stypes="app*4017*20180112*"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4"/>
        <v>"%USERPROFILE%\Documents\GitHub\eaglep3\Utilities\RefineRTDCRunTimes.py" --tripid 176-12 --locoid 4017 --swversion DE.1.0.9.0 --startMP 204:232984 --initTime 2018-01-12T13:39:39 --startdatetime 2018-01-12T13:57:16 --delay 71 --endMP 204:178 --enddatetime 2018-01-12T14:36:08 --enforcementcount 0 &gt;&gt;%USERPROFILE%\Documents\GitHub\eaglep3-reporting\EC\2018-01-12-refined-times.txt</v>
      </c>
      <c r="AI8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{"issue":{"subject":"","project_id":79,"tracker_id":40,"status_id":1,"priority_id":2,"assigned_to_id":338,"start_date":"2018-01-12","description":"","custom_fields":[{"id":1,"name":"Subdivision","value":"EC"},{"id":4,"name":"Milepost","value":"0.0178"},{"id":17,"name":"Train ID","value":"176-12"},{"id":16,"name":"Locomotive ID","value":"4017"},{"id":130,"name":"Impact","value":""},{"id":150,"name":"Time of Event (Mountain Time)","value":"14:36:08"},{"id":151,"name":"Denver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6"/>
        <v>start /low /b %USERPROFILE%\Documents\GitHub\eaglep3\Utilities\DownloadLogsFromS3.py --loco 4017 --day 2018-01-12</v>
      </c>
      <c r="AN88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8"/>
        <v>https://d0f6bd738d7f1b3e5a7ca70fe4ff75f0.us-east-1.aws.found.io/app/kibana#/discover/Steve-Slow-Train-Analysis-(2080s-and-2083s)?_g=(refreshInterval:(display:Off,pause:!f,section:0,value:0),time:(from:'2018-01-12T12:39:39-0700',mode:absolute,to:'2018-01-12T15:36:08-0700'))&amp;_a=(columns:!('Message%20ID',Summary),filters:!(),index:'emp_*',interval:auto,query:(query_string:(analyze_wildcard:!t,query:'%22rtdc.l.rtdc.4017%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806</v>
      </c>
      <c r="B89" s="225">
        <v>4006</v>
      </c>
      <c r="C89" s="227" t="s">
        <v>191</v>
      </c>
      <c r="D89" s="227" t="s">
        <v>968</v>
      </c>
      <c r="E89" s="226">
        <v>43112.549340277779</v>
      </c>
      <c r="F89" s="226">
        <v>43112.552256944444</v>
      </c>
      <c r="G89" s="225">
        <v>82</v>
      </c>
      <c r="H89" s="227" t="s">
        <v>969</v>
      </c>
      <c r="I89" s="226">
        <v>43112.576747685183</v>
      </c>
      <c r="J89" s="225">
        <v>0</v>
      </c>
      <c r="K89" s="237" t="str">
        <f>IF(ISEVEN(B89),(B89-1)&amp;"/"&amp;B89,B89&amp;"/"&amp;(B89+1))</f>
        <v>4005/4006</v>
      </c>
      <c r="L89" s="245" t="str">
        <f>VLOOKUP(A89,'Trips&amp;Operators'!$C$1:$G$99911,5,FALSE)</f>
        <v>BRUDER RICHARD</v>
      </c>
      <c r="M89" s="224">
        <f>I89-F89</f>
        <v>2.4490740739565808E-2</v>
      </c>
      <c r="N89" s="225">
        <f>24*60*SUM($M89:$M89)</f>
        <v>35.266666664974764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-12T12:11:03-0700',mode:absolute,to:'2018-01-12T14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4.7800000000000002E-2</v>
      </c>
      <c r="Z89" s="247">
        <f>RIGHT(H89,LEN(H89)-4)/10000</f>
        <v>23.320399999999999</v>
      </c>
      <c r="AA89" s="247">
        <f>ABS(Z89-Y89)</f>
        <v>23.272600000000001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/stypes="app*4006*20180112*"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4"/>
        <v>"%USERPROFILE%\Documents\GitHub\eaglep3\Utilities\RefineRTDCRunTimes.py" --tripid 177-12 --locoid 4006 --swversion DE.1.0.9.0 --startMP 204:478 --initTime 2018-01-12T13:11:03 --startdatetime 2018-01-12T13:15:15 --delay 82 --endMP 204:233204 --enddatetime 2018-01-12T13:50:31 --enforcementcount 0 &gt;&gt;%USERPROFILE%\Documents\GitHub\eaglep3-reporting\EC\2018-01-12-refined-times.txt</v>
      </c>
      <c r="AI8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{"issue":{"subject":"","project_id":79,"tracker_id":40,"status_id":1,"priority_id":2,"assigned_to_id":338,"start_date":"2018-01-12","description":"","custom_fields":[{"id":1,"name":"Subdivision","value":"EC"},{"id":4,"name":"Milepost","value":"23.3204"},{"id":17,"name":"Train ID","value":"177-12"},{"id":16,"name":"Locomotive ID","value":"4006"},{"id":130,"name":"Impact","value":""},{"id":150,"name":"Time of Event (Mountain Time)","value":"13:50:31"},{"id":151,"name":"Denver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6"/>
        <v>start /low /b %USERPROFILE%\Documents\GitHub\eaglep3\Utilities\DownloadLogsFromS3.py --loco 4006 --day 2018-01-12</v>
      </c>
      <c r="AN89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8"/>
        <v>https://d0f6bd738d7f1b3e5a7ca70fe4ff75f0.us-east-1.aws.found.io/app/kibana#/discover/Steve-Slow-Train-Analysis-(2080s-and-2083s)?_g=(refreshInterval:(display:Off,pause:!f,section:0,value:0),time:(from:'2018-01-12T12:11:03-0700',mode:absolute,to:'2018-01-12T14:50:31-0700'))&amp;_a=(columns:!('Message%20ID',Summary),filters:!(),index:'emp_*',interval:auto,query:(query_string:(analyze_wildcard:!t,query:'%22rtdc.l.rtdc.4006%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814</v>
      </c>
      <c r="B90" s="225">
        <v>4005</v>
      </c>
      <c r="C90" s="227" t="s">
        <v>191</v>
      </c>
      <c r="D90" s="227" t="s">
        <v>970</v>
      </c>
      <c r="E90" s="226">
        <v>43112.588321759256</v>
      </c>
      <c r="F90" s="226">
        <v>43112.591886574075</v>
      </c>
      <c r="G90" s="225">
        <v>90</v>
      </c>
      <c r="H90" s="227" t="s">
        <v>446</v>
      </c>
      <c r="I90" s="226">
        <v>43112.619293981479</v>
      </c>
      <c r="J90" s="225">
        <v>0</v>
      </c>
      <c r="K90" s="237" t="str">
        <f>IF(ISEVEN(B90),(B90-1)&amp;"/"&amp;B90,B90&amp;"/"&amp;(B90+1))</f>
        <v>4005/4006</v>
      </c>
      <c r="L90" s="245" t="str">
        <f>VLOOKUP(A90,'Trips&amp;Operators'!$C$1:$G$99911,5,FALSE)</f>
        <v>BRUDER RICHARD</v>
      </c>
      <c r="M90" s="224">
        <f>I90-F90</f>
        <v>2.7407407404098194E-2</v>
      </c>
      <c r="N90" s="225">
        <f>24*60*SUM($M90:$M90)</f>
        <v>39.466666661901399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-12T13:07:11-0700',mode:absolute,to:'2018-01-12T15:51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</v>
      </c>
      <c r="Z90" s="247">
        <f>RIGHT(H90,LEN(H90)-4)/10000</f>
        <v>2.1399999999999999E-2</v>
      </c>
      <c r="AA90" s="247">
        <f>ABS(Z90-Y90)</f>
        <v>23.268599999999999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/stypes="app*4005*20180112*"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4"/>
        <v>"%USERPROFILE%\Documents\GitHub\eaglep3\Utilities\RefineRTDCRunTimes.py" --tripid 178-12 --locoid 4005 --swversion DE.1.0.9.0 --startMP 204:232900 --initTime 2018-01-12T14:07:11 --startdatetime 2018-01-12T14:12:19 --delay 90 --endMP 204:214 --enddatetime 2018-01-12T14:51:47 --enforcementcount 0 &gt;&gt;%USERPROFILE%\Documents\GitHub\eaglep3-reporting\EC\2018-01-12-refined-times.txt</v>
      </c>
      <c r="AI9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{"issue":{"subject":"","project_id":79,"tracker_id":40,"status_id":1,"priority_id":2,"assigned_to_id":338,"start_date":"2018-01-12","description":"","custom_fields":[{"id":1,"name":"Subdivision","value":"EC"},{"id":4,"name":"Milepost","value":"0.0214"},{"id":17,"name":"Train ID","value":"178-12"},{"id":16,"name":"Locomotive ID","value":"4005"},{"id":130,"name":"Impact","value":""},{"id":150,"name":"Time of Event (Mountain Time)","value":"14:51:47"},{"id":151,"name":"Denver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6"/>
        <v>start /low /b %USERPROFILE%\Documents\GitHub\eaglep3\Utilities\DownloadLogsFromS3.py --loco 4005 --day 2018-01-12</v>
      </c>
      <c r="AN90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8"/>
        <v>https://d0f6bd738d7f1b3e5a7ca70fe4ff75f0.us-east-1.aws.found.io/app/kibana#/discover/Steve-Slow-Train-Analysis-(2080s-and-2083s)?_g=(refreshInterval:(display:Off,pause:!f,section:0,value:0),time:(from:'2018-01-12T13:07:11-0700',mode:absolute,to:'2018-01-12T15:51:47-0700'))&amp;_a=(columns:!('Message%20ID',Summary),filters:!(),index:'emp_*',interval:auto,query:(query_string:(analyze_wildcard:!t,query:'%22rtdc.l.rtdc.4005%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808</v>
      </c>
      <c r="B91" s="225">
        <v>4004</v>
      </c>
      <c r="C91" s="227" t="s">
        <v>191</v>
      </c>
      <c r="D91" s="227" t="s">
        <v>531</v>
      </c>
      <c r="E91" s="226">
        <v>43112.557615740741</v>
      </c>
      <c r="F91" s="226">
        <v>43112.563113425924</v>
      </c>
      <c r="G91" s="225">
        <v>70</v>
      </c>
      <c r="H91" s="227" t="s">
        <v>488</v>
      </c>
      <c r="I91" s="226">
        <v>43112.589062500003</v>
      </c>
      <c r="J91" s="225">
        <v>0</v>
      </c>
      <c r="K91" s="237" t="str">
        <f>IF(ISEVEN(B91),(B91-1)&amp;"/"&amp;B91,B91&amp;"/"&amp;(B91+1))</f>
        <v>4003/4004</v>
      </c>
      <c r="L91" s="245" t="str">
        <f>VLOOKUP(A91,'Trips&amp;Operators'!$C$1:$G$99911,5,FALSE)</f>
        <v>LONG FULLER</v>
      </c>
      <c r="M91" s="224">
        <f>I91-F91</f>
        <v>2.5949074079107959E-2</v>
      </c>
      <c r="N91" s="225">
        <f>24*60*SUM($M91:$M91)</f>
        <v>37.366666673915461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-12T12:22:58-0700',mode:absolute,to:'2018-01-12T15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5.1900000000000002E-2</v>
      </c>
      <c r="Z91" s="247">
        <f>RIGHT(H91,LEN(H91)-4)/10000</f>
        <v>23.326799999999999</v>
      </c>
      <c r="AA91" s="247">
        <f>ABS(Z91-Y91)</f>
        <v>23.274899999999999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/stypes="app*4004*20180112*"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4"/>
        <v>"%USERPROFILE%\Documents\GitHub\eaglep3\Utilities\RefineRTDCRunTimes.py" --tripid 179-12 --locoid 4004 --swversion DE.1.0.9.0 --startMP 204:519 --initTime 2018-01-12T13:22:58 --startdatetime 2018-01-12T13:30:53 --delay 70 --endMP 204:233268 --enddatetime 2018-01-12T14:08:15 --enforcementcount 0 &gt;&gt;%USERPROFILE%\Documents\GitHub\eaglep3-reporting\EC\2018-01-12-refined-times.txt</v>
      </c>
      <c r="AI9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{"issue":{"subject":"","project_id":79,"tracker_id":40,"status_id":1,"priority_id":2,"assigned_to_id":338,"start_date":"2018-01-12","description":"","custom_fields":[{"id":1,"name":"Subdivision","value":"EC"},{"id":4,"name":"Milepost","value":"23.3268"},{"id":17,"name":"Train ID","value":"179-12"},{"id":16,"name":"Locomotive ID","value":"4004"},{"id":130,"name":"Impact","value":""},{"id":150,"name":"Time of Event (Mountain Time)","value":"14:08:15"},{"id":151,"name":"Denver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6"/>
        <v>start /low /b %USERPROFILE%\Documents\GitHub\eaglep3\Utilities\DownloadLogsFromS3.py --loco 4004 --day 2018-01-12</v>
      </c>
      <c r="AN91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8"/>
        <v>https://d0f6bd738d7f1b3e5a7ca70fe4ff75f0.us-east-1.aws.found.io/app/kibana#/discover/Steve-Slow-Train-Analysis-(2080s-and-2083s)?_g=(refreshInterval:(display:Off,pause:!f,section:0,value:0),time:(from:'2018-01-12T12:22:58-0700',mode:absolute,to:'2018-01-12T15:08:15-0700'))&amp;_a=(columns:!('Message%20ID',Summary),filters:!(),index:'emp_*',interval:auto,query:(query_string:(analyze_wildcard:!t,query:'%22rtdc.l.rtdc.4004%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816</v>
      </c>
      <c r="B92" s="225">
        <v>4003</v>
      </c>
      <c r="C92" s="227" t="s">
        <v>191</v>
      </c>
      <c r="D92" s="227" t="s">
        <v>509</v>
      </c>
      <c r="E92" s="226">
        <v>43112.597280092596</v>
      </c>
      <c r="F92" s="226">
        <v>43112.602395833332</v>
      </c>
      <c r="G92" s="225">
        <v>69</v>
      </c>
      <c r="H92" s="227" t="s">
        <v>971</v>
      </c>
      <c r="I92" s="226">
        <v>43112.631990740738</v>
      </c>
      <c r="J92" s="225">
        <v>0</v>
      </c>
      <c r="K92" s="237" t="str">
        <f>IF(ISEVEN(B92),(B92-1)&amp;"/"&amp;B92,B92&amp;"/"&amp;(B92+1))</f>
        <v>4003/4004</v>
      </c>
      <c r="L92" s="245" t="str">
        <f>VLOOKUP(A92,'Trips&amp;Operators'!$C$1:$G$99911,5,FALSE)</f>
        <v>LONG FULLER</v>
      </c>
      <c r="M92" s="224">
        <f>I92-F92</f>
        <v>2.9594907406135462E-2</v>
      </c>
      <c r="N92" s="225">
        <f>24*60*SUM($M92:$M92)</f>
        <v>42.616666664835066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-12T13:20:05-0700',mode:absolute,to:'2018-01-12T16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23.293800000000001</v>
      </c>
      <c r="Z92" s="247">
        <f>RIGHT(H92,LEN(H92)-4)/10000</f>
        <v>2.3400000000000001E-2</v>
      </c>
      <c r="AA92" s="247">
        <f>ABS(Z92-Y92)</f>
        <v>23.270400000000002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/stypes="app*4003*20180112*" /stext=" 22:.+((SYSTEM_STATE.+slice.+state.+changed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4"/>
        <v>"%USERPROFILE%\Documents\GitHub\eaglep3\Utilities\RefineRTDCRunTimes.py" --tripid 180-12 --locoid 4003 --swversion DE.1.0.9.0 --startMP 204:232938 --initTime 2018-01-12T14:20:05 --startdatetime 2018-01-12T14:27:27 --delay 69 --endMP 204:234 --enddatetime 2018-01-12T15:10:04 --enforcementcount 0 &gt;&gt;%USERPROFILE%\Documents\GitHub\eaglep3-reporting\EC\2018-01-12-refined-times.txt</v>
      </c>
      <c r="AI9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{"issue":{"subject":"","project_id":79,"tracker_id":40,"status_id":1,"priority_id":2,"assigned_to_id":338,"start_date":"2018-01-12","description":"","custom_fields":[{"id":1,"name":"Subdivision","value":"EC"},{"id":4,"name":"Milepost","value":"0.0234"},{"id":17,"name":"Train ID","value":"180-12"},{"id":16,"name":"Locomotive ID","value":"4003"},{"id":130,"name":"Impact","value":""},{"id":150,"name":"Time of Event (Mountain Time)","value":"15:10:04"},{"id":151,"name":"Denver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6"/>
        <v>start /low /b %USERPROFILE%\Documents\GitHub\eaglep3\Utilities\DownloadLogsFromS3.py --loco 4003 --day 2018-01-12</v>
      </c>
      <c r="AN92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8"/>
        <v>https://d0f6bd738d7f1b3e5a7ca70fe4ff75f0.us-east-1.aws.found.io/app/kibana#/discover/Steve-Slow-Train-Analysis-(2080s-and-2083s)?_g=(refreshInterval:(display:Off,pause:!f,section:0,value:0),time:(from:'2018-01-12T13:20:05-0700',mode:absolute,to:'2018-01-12T16:10:04-0700'))&amp;_a=(columns:!('Message%20ID',Summary),filters:!(),index:'emp_*',interval:auto,query:(query_string:(analyze_wildcard:!t,query:'%22rtdc.l.rtdc.4003%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810</v>
      </c>
      <c r="B93" s="225">
        <v>4026</v>
      </c>
      <c r="C93" s="227" t="s">
        <v>191</v>
      </c>
      <c r="D93" s="227" t="s">
        <v>653</v>
      </c>
      <c r="E93" s="226">
        <v>43112.567013888889</v>
      </c>
      <c r="F93" s="226">
        <v>43112.573055555556</v>
      </c>
      <c r="G93" s="225">
        <v>60</v>
      </c>
      <c r="H93" s="227" t="s">
        <v>972</v>
      </c>
      <c r="I93" s="226">
        <v>43112.597557870373</v>
      </c>
      <c r="J93" s="225">
        <v>0</v>
      </c>
      <c r="K93" s="237" t="str">
        <f>IF(ISEVEN(B93),(B93-1)&amp;"/"&amp;B93,B93&amp;"/"&amp;(B93+1))</f>
        <v>4025/4026</v>
      </c>
      <c r="L93" s="245" t="str">
        <f>VLOOKUP(A93,'Trips&amp;Operators'!$C$1:$G$99911,5,FALSE)</f>
        <v>FORTUNATO FRANK</v>
      </c>
      <c r="M93" s="224">
        <f>I93-F93</f>
        <v>2.4502314816345461E-2</v>
      </c>
      <c r="N93" s="225">
        <f>24*60*SUM($M93:$M93)</f>
        <v>35.283333335537463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-12T12:36:30-0700',mode:absolute,to:'2018-01-12T15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5.28E-2</v>
      </c>
      <c r="Z93" s="247">
        <f>RIGHT(H93,LEN(H93)-4)/10000</f>
        <v>23.319099999999999</v>
      </c>
      <c r="AA93" s="247">
        <f>ABS(Z93-Y93)</f>
        <v>23.266299999999998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181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/stypes="app*4026*20180112*"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4"/>
        <v>"%USERPROFILE%\Documents\GitHub\eaglep3\Utilities\RefineRTDCRunTimes.py" --tripid 181-12 --locoid 4026 --swversion DE.1.0.9.0 --startMP 204:528 --initTime 2018-01-12T13:36:30 --startdatetime 2018-01-12T13:45:12 --delay 60 --endMP 204:233191 --enddatetime 2018-01-12T14:20:29 --enforcementcount 0 &gt;&gt;%USERPROFILE%\Documents\GitHub\eaglep3-reporting\EC\2018-01-12-refined-times.txt</v>
      </c>
      <c r="AI9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{"issue":{"subject":"","project_id":79,"tracker_id":40,"status_id":1,"priority_id":2,"assigned_to_id":338,"start_date":"2018-01-12","description":"","custom_fields":[{"id":1,"name":"Subdivision","value":"EC"},{"id":4,"name":"Milepost","value":"23.3191"},{"id":17,"name":"Train ID","value":"181-12"},{"id":16,"name":"Locomotive ID","value":"4026"},{"id":130,"name":"Impact","value":""},{"id":150,"name":"Time of Event (Mountain Time)","value":"14:20:29"},{"id":151,"name":"Denver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6"/>
        <v>start /low /b %USERPROFILE%\Documents\GitHub\eaglep3\Utilities\DownloadLogsFromS3.py --loco 4026 --day 2018-01-12</v>
      </c>
      <c r="AN93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8"/>
        <v>https://d0f6bd738d7f1b3e5a7ca70fe4ff75f0.us-east-1.aws.found.io/app/kibana#/discover/Steve-Slow-Train-Analysis-(2080s-and-2083s)?_g=(refreshInterval:(display:Off,pause:!f,section:0,value:0),time:(from:'2018-01-12T12:36:30-0700',mode:absolute,to:'2018-01-12T15:20:29-0700'))&amp;_a=(columns:!('Message%20ID',Summary),filters:!(),index:'emp_*',interval:auto,query:(query_string:(analyze_wildcard:!t,query:'%22rtdc.l.rtdc.4026%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680</v>
      </c>
      <c r="B94" s="225">
        <v>4025</v>
      </c>
      <c r="C94" s="227" t="s">
        <v>191</v>
      </c>
      <c r="D94" s="227" t="s">
        <v>973</v>
      </c>
      <c r="E94" s="226">
        <v>43112.599027777775</v>
      </c>
      <c r="F94" s="226">
        <v>43112.612650462965</v>
      </c>
      <c r="G94" s="225">
        <v>55</v>
      </c>
      <c r="H94" s="227" t="s">
        <v>532</v>
      </c>
      <c r="I94" s="226">
        <v>43112.639039351852</v>
      </c>
      <c r="J94" s="225">
        <v>0</v>
      </c>
      <c r="K94" s="237" t="str">
        <f>IF(ISEVEN(B94),(B94-1)&amp;"/"&amp;B94,B94&amp;"/"&amp;(B94+1))</f>
        <v>4025/4026</v>
      </c>
      <c r="L94" s="245" t="str">
        <f>VLOOKUP(A94,'Trips&amp;Operators'!$C$1:$G$99911,5,FALSE)</f>
        <v>FORTUNATO FRANK</v>
      </c>
      <c r="M94" s="224">
        <f>I94-F94</f>
        <v>2.6388888887595385E-2</v>
      </c>
      <c r="N94" s="225">
        <f>24*60*SUM($M94:$M94)</f>
        <v>37.999999998137355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-12T13:22:36-0700',mode:absolute,to:'2018-01-12T16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23.286799999999999</v>
      </c>
      <c r="Z94" s="247">
        <f>RIGHT(H94,LEN(H94)-4)/10000</f>
        <v>2.1600000000000001E-2</v>
      </c>
      <c r="AA94" s="247">
        <f>ABS(Z94-Y94)</f>
        <v>23.2652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182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/stypes="app*4025*20180112*"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4"/>
        <v>"%USERPROFILE%\Documents\GitHub\eaglep3\Utilities\RefineRTDCRunTimes.py" --tripid 182-12 --locoid 4025 --swversion DE.1.0.9.0 --startMP 204:232868 --initTime 2018-01-12T14:22:36 --startdatetime 2018-01-12T14:42:13 --delay 55 --endMP 204:216 --enddatetime 2018-01-12T15:20:13 --enforcementcount 0 &gt;&gt;%USERPROFILE%\Documents\GitHub\eaglep3-reporting\EC\2018-01-12-refined-times.txt</v>
      </c>
      <c r="AI94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{"issue":{"subject":"","project_id":79,"tracker_id":40,"status_id":1,"priority_id":2,"assigned_to_id":338,"start_date":"2018-01-12","description":"","custom_fields":[{"id":1,"name":"Subdivision","value":"EC"},{"id":4,"name":"Milepost","value":"0.0216"},{"id":17,"name":"Train ID","value":"182-12"},{"id":16,"name":"Locomotive ID","value":"4025"},{"id":130,"name":"Impact","value":""},{"id":150,"name":"Time of Event (Mountain Time)","value":"15:20:13"},{"id":151,"name":"Denver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6"/>
        <v>start /low /b %USERPROFILE%\Documents\GitHub\eaglep3\Utilities\DownloadLogsFromS3.py --loco 4025 --day 2018-01-12</v>
      </c>
      <c r="AN94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8"/>
        <v>https://d0f6bd738d7f1b3e5a7ca70fe4ff75f0.us-east-1.aws.found.io/app/kibana#/discover/Steve-Slow-Train-Analysis-(2080s-and-2083s)?_g=(refreshInterval:(display:Off,pause:!f,section:0,value:0),time:(from:'2018-01-12T13:22:36-0700',mode:absolute,to:'2018-01-12T16:20:13-0700'))&amp;_a=(columns:!('Message%20ID',Summary),filters:!(),index:'emp_*',interval:auto,query:(query_string:(analyze_wildcard:!t,query:'%22rtdc.l.rtdc.4025%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679</v>
      </c>
      <c r="B95" s="225">
        <v>4060</v>
      </c>
      <c r="C95" s="227" t="s">
        <v>191</v>
      </c>
      <c r="D95" s="227" t="s">
        <v>511</v>
      </c>
      <c r="E95" s="226">
        <v>43112.576990740738</v>
      </c>
      <c r="F95" s="226">
        <v>43112.583518518521</v>
      </c>
      <c r="G95" s="225">
        <v>65</v>
      </c>
      <c r="H95" s="227" t="s">
        <v>974</v>
      </c>
      <c r="I95" s="226">
        <v>43112.601689814815</v>
      </c>
      <c r="J95" s="225">
        <v>0</v>
      </c>
      <c r="K95" s="237" t="str">
        <f>IF(ISEVEN(B95),(B95-1)&amp;"/"&amp;B95,B95&amp;"/"&amp;(B95+1))</f>
        <v>4059/4060</v>
      </c>
      <c r="L95" s="245" t="str">
        <f>VLOOKUP(A95,'Trips&amp;Operators'!$C$1:$G$99911,5,FALSE)</f>
        <v>LEVIN SCOTT</v>
      </c>
      <c r="M95" s="224">
        <f>I95-F95</f>
        <v>1.8171296294895001E-2</v>
      </c>
      <c r="N95" s="225"/>
      <c r="O95" s="225"/>
      <c r="P95" s="225">
        <f>24*60*SUM($M95:$M95)</f>
        <v>26.166666664648801</v>
      </c>
      <c r="Q95" s="228"/>
      <c r="R95" s="242" t="s">
        <v>559</v>
      </c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-12T12:50:52-0700',mode:absolute,to:'2018-01-12T15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247" t="str">
        <f>IF(AA95&lt;VLOOKUP(AG95,Variables!$AC$3:$AD$8,2,FALSE),"Y","N")</f>
        <v>Y</v>
      </c>
      <c r="X95" s="247">
        <f>VALUE(LEFT(AD95,4))-VALUE(LEFT(AD94,4))</f>
        <v>1</v>
      </c>
      <c r="Y95" s="247">
        <f>RIGHT(D95,LEN(D95)-4)/10000</f>
        <v>4.24E-2</v>
      </c>
      <c r="Z95" s="247">
        <f>RIGHT(H95,LEN(H95)-4)/10000</f>
        <v>12.6492</v>
      </c>
      <c r="AA95" s="247">
        <f>ABS(Z95-Y95)</f>
        <v>12.6068</v>
      </c>
      <c r="AB95" s="233" t="str">
        <f>VLOOKUP(A95,Enforcements!$C$7:$K$9,8,0)</f>
        <v>Bulletin (2)</v>
      </c>
      <c r="AC95" s="232" t="str">
        <f>VLOOKUP(A95,Enforcements!$C$7:$E$9,3,0)</f>
        <v>GRADE CROSSING</v>
      </c>
      <c r="AD95" s="243">
        <f>VALUE(LEFT(A95,LEN(A95)-3))</f>
        <v>183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/stypes="app*4060*20180112*"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4"/>
        <v>"%USERPROFILE%\Documents\GitHub\eaglep3\Utilities\RefineRTDCRunTimes.py" --tripid 183-12 --locoid 4060 --swversion DE.1.0.9.0 --startMP 204:424 --initTime 2018-01-12T13:50:52 --startdatetime 2018-01-12T14:00:16 --delay 65 --endMP 204:126492 --enddatetime 2018-01-12T14:26:26 --enforcementcount 0 &gt;&gt;%USERPROFILE%\Documents\GitHub\eaglep3-reporting\EC\2018-01-12-refined-times.txt</v>
      </c>
      <c r="AI95" s="238" t="str">
        <f t="shared" si="15"/>
        <v>echo {"issue":{"subject":"Extended Wi-MAX data drop","project_id":79,"tracker_id":40,"status_id":1,"priority_id":2,"assigned_to_id":338,"start_date":"2018-01-12","description":"","custom_fields":[{"id":1,"name":"Subdivision","value":"EC"},{"id":4,"name":"Milepost","value":"12.6492"},{"id":17,"name":"Train ID","value":"183-12"},{"id":16,"name":"Locomotive ID","value":"4060"},{"id":130,"name":"Impact","value":""},{"id":150,"name":"Time of Event (Mountain Time)","value":"14:26:26"},{"id":151,"name":"Denver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6"/>
        <v>start /low /b %USERPROFILE%\Documents\GitHub\eaglep3\Utilities\DownloadLogsFromS3.py --loco 4060 --day 2018-01-12</v>
      </c>
      <c r="AN95" s="241" t="str">
        <f t="shared" si="17"/>
        <v>echo {"issue":{"subject":"Extended Wi-MAX data drop","project_id":30,"tracker_id":4,"status_id":1,"priority_id":1,"assigned_to_id":10,"start_date":"2018-01-12","description":"","custom_fields":[{"id":30,"name":"Category","value":"Issue"},{"id":3,"name":"Functional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8"/>
        <v>https://d0f6bd738d7f1b3e5a7ca70fe4ff75f0.us-east-1.aws.found.io/app/kibana#/discover/Steve-Slow-Train-Analysis-(2080s-and-2083s)?_g=(refreshInterval:(display:Off,pause:!f,section:0,value:0),time:(from:'2018-01-12T12:50:52-0700',mode:absolute,to:'2018-01-12T15:26:26-0700'))&amp;_a=(columns:!('Message%20ID',Summary),filters:!(),index:'emp_*',interval:auto,query:(query_string:(analyze_wildcard:!t,query:'%22rtdc.l.rtdc.4060%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822</v>
      </c>
      <c r="B96" s="225">
        <v>4059</v>
      </c>
      <c r="C96" s="227" t="s">
        <v>191</v>
      </c>
      <c r="D96" s="227" t="s">
        <v>975</v>
      </c>
      <c r="E96" s="226">
        <v>43112.615937499999</v>
      </c>
      <c r="F96" s="226">
        <v>43112.623078703706</v>
      </c>
      <c r="G96" s="225">
        <v>108</v>
      </c>
      <c r="H96" s="227" t="s">
        <v>976</v>
      </c>
      <c r="I96" s="226">
        <v>43112.649201388886</v>
      </c>
      <c r="J96" s="225">
        <v>0</v>
      </c>
      <c r="K96" s="237" t="str">
        <f>IF(ISEVEN(B96),(B96-1)&amp;"/"&amp;B96,B96&amp;"/"&amp;(B96+1))</f>
        <v>4059/4060</v>
      </c>
      <c r="L96" s="245" t="str">
        <f>VLOOKUP(A96,'Trips&amp;Operators'!$C$1:$G$99911,5,FALSE)</f>
        <v>LEVIN SCOTT</v>
      </c>
      <c r="M96" s="224">
        <f>I96-F96</f>
        <v>2.6122685179871041E-2</v>
      </c>
      <c r="N96" s="225">
        <f>24*60*SUM($M96:$M96)</f>
        <v>37.6166666590143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-12T13:46:57-0700',mode:absolute,to:'2018-01-12T16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23.301100000000002</v>
      </c>
      <c r="Z96" s="247">
        <f>RIGHT(H96,LEN(H96)-4)/10000</f>
        <v>1.14E-2</v>
      </c>
      <c r="AA96" s="247">
        <f>ABS(Z96-Y96)</f>
        <v>23.289700000000003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184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/stypes="app*4059*20180112*"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4"/>
        <v>"%USERPROFILE%\Documents\GitHub\eaglep3\Utilities\RefineRTDCRunTimes.py" --tripid 184-12 --locoid 4059 --swversion DE.1.0.9.0 --startMP 204:233011 --initTime 2018-01-12T14:46:57 --startdatetime 2018-01-12T14:57:14 --delay 108 --endMP 204:114 --enddatetime 2018-01-12T15:34:51 --enforcementcount 0 &gt;&gt;%USERPROFILE%\Documents\GitHub\eaglep3-reporting\EC\2018-01-12-refined-times.txt</v>
      </c>
      <c r="AI9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{"issue":{"subject":"","project_id":79,"tracker_id":40,"status_id":1,"priority_id":2,"assigned_to_id":338,"start_date":"2018-01-12","description":"","custom_fields":[{"id":1,"name":"Subdivision","value":"EC"},{"id":4,"name":"Milepost","value":"0.0114"},{"id":17,"name":"Train ID","value":"184-12"},{"id":16,"name":"Locomotive ID","value":"4059"},{"id":130,"name":"Impact","value":""},{"id":150,"name":"Time of Event (Mountain Time)","value":"15:34:51"},{"id":151,"name":"Denver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6"/>
        <v>start /low /b %USERPROFILE%\Documents\GitHub\eaglep3\Utilities\DownloadLogsFromS3.py --loco 4059 --day 2018-01-12</v>
      </c>
      <c r="AN96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8"/>
        <v>https://d0f6bd738d7f1b3e5a7ca70fe4ff75f0.us-east-1.aws.found.io/app/kibana#/discover/Steve-Slow-Train-Analysis-(2080s-and-2083s)?_g=(refreshInterval:(display:Off,pause:!f,section:0,value:0),time:(from:'2018-01-12T13:46:57-0700',mode:absolute,to:'2018-01-12T16:34:51-0700'))&amp;_a=(columns:!('Message%20ID',Summary),filters:!(),index:'emp_*',interval:auto,query:(query_string:(analyze_wildcard:!t,query:'%22rtdc.l.rtdc.4059%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815</v>
      </c>
      <c r="B97" s="225">
        <v>4040</v>
      </c>
      <c r="C97" s="227" t="s">
        <v>191</v>
      </c>
      <c r="D97" s="227" t="s">
        <v>926</v>
      </c>
      <c r="E97" s="226">
        <v>43112.590601851851</v>
      </c>
      <c r="F97" s="226">
        <v>43112.593981481485</v>
      </c>
      <c r="G97" s="225">
        <v>89</v>
      </c>
      <c r="H97" s="227" t="s">
        <v>977</v>
      </c>
      <c r="I97" s="226">
        <v>43112.61928240741</v>
      </c>
      <c r="J97" s="225">
        <v>0</v>
      </c>
      <c r="K97" s="237" t="str">
        <f>IF(ISEVEN(B97),(B97-1)&amp;"/"&amp;B97,B97&amp;"/"&amp;(B97+1))</f>
        <v>4039/4040</v>
      </c>
      <c r="L97" s="245" t="str">
        <f>VLOOKUP(A97,'Trips&amp;Operators'!$C$1:$G$99911,5,FALSE)</f>
        <v>MOSES BRADLEY</v>
      </c>
      <c r="M97" s="224">
        <f>I97-F97</f>
        <v>2.5300925924966577E-2</v>
      </c>
      <c r="N97" s="225">
        <f>24*60*SUM($M97:$M97)</f>
        <v>36.433333331951872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-12T13:10:28-0700',mode:absolute,to:'2018-01-12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5.04E-2</v>
      </c>
      <c r="Z97" s="247">
        <f>RIGHT(H97,LEN(H97)-4)/10000</f>
        <v>23.327400000000001</v>
      </c>
      <c r="AA97" s="247">
        <f>ABS(Z97-Y97)</f>
        <v>23.277000000000001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185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/stypes="app*4040*20180112*"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4"/>
        <v>"%USERPROFILE%\Documents\GitHub\eaglep3\Utilities\RefineRTDCRunTimes.py" --tripid 185-12 --locoid 4040 --swversion DE.1.0.9.0 --startMP 204:504 --initTime 2018-01-12T14:10:28 --startdatetime 2018-01-12T14:15:20 --delay 89 --endMP 204:233274 --enddatetime 2018-01-12T14:51:46 --enforcementcount 0 &gt;&gt;%USERPROFILE%\Documents\GitHub\eaglep3-reporting\EC\2018-01-12-refined-times.txt</v>
      </c>
      <c r="AI97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{"issue":{"subject":"","project_id":79,"tracker_id":40,"status_id":1,"priority_id":2,"assigned_to_id":338,"start_date":"2018-01-12","description":"","custom_fields":[{"id":1,"name":"Subdivision","value":"EC"},{"id":4,"name":"Milepost","value":"23.3274"},{"id":17,"name":"Train ID","value":"185-12"},{"id":16,"name":"Locomotive ID","value":"4040"},{"id":130,"name":"Impact","value":""},{"id":150,"name":"Time of Event (Mountain Time)","value":"14:51:46"},{"id":151,"name":"Denver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6"/>
        <v>start /low /b %USERPROFILE%\Documents\GitHub\eaglep3\Utilities\DownloadLogsFromS3.py --loco 4040 --day 2018-01-12</v>
      </c>
      <c r="AN97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8"/>
        <v>https://d0f6bd738d7f1b3e5a7ca70fe4ff75f0.us-east-1.aws.found.io/app/kibana#/discover/Steve-Slow-Train-Analysis-(2080s-and-2083s)?_g=(refreshInterval:(display:Off,pause:!f,section:0,value:0),time:(from:'2018-01-12T13:10:28-0700',mode:absolute,to:'2018-01-12T15:51:46-0700'))&amp;_a=(columns:!('Message%20ID',Summary),filters:!(),index:'emp_*',interval:auto,query:(query_string:(analyze_wildcard:!t,query:'%22rtdc.l.rtdc.4040%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825</v>
      </c>
      <c r="B98" s="225">
        <v>4039</v>
      </c>
      <c r="C98" s="227" t="s">
        <v>191</v>
      </c>
      <c r="D98" s="227" t="s">
        <v>640</v>
      </c>
      <c r="E98" s="226">
        <v>43112.631249999999</v>
      </c>
      <c r="F98" s="226">
        <v>43112.633576388886</v>
      </c>
      <c r="G98" s="225">
        <v>57</v>
      </c>
      <c r="H98" s="227" t="s">
        <v>651</v>
      </c>
      <c r="I98" s="226">
        <v>43112.659247685187</v>
      </c>
      <c r="J98" s="225">
        <v>0</v>
      </c>
      <c r="K98" s="237" t="str">
        <f>IF(ISEVEN(B98),(B98-1)&amp;"/"&amp;B98,B98&amp;"/"&amp;(B98+1))</f>
        <v>4039/4040</v>
      </c>
      <c r="L98" s="245" t="str">
        <f>VLOOKUP(A98,'Trips&amp;Operators'!$C$1:$G$99911,5,FALSE)</f>
        <v>MOSES BRADLEY</v>
      </c>
      <c r="M98" s="224">
        <f>I98-F98</f>
        <v>2.567129630187992E-2</v>
      </c>
      <c r="N98" s="225">
        <f>24*60*SUM($M98:$M98)</f>
        <v>36.966666674707085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-12T14:09:00-0700',mode:absolute,to:'2018-01-12T16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23.295999999999999</v>
      </c>
      <c r="Z98" s="247">
        <f>RIGHT(H98,LEN(H98)-4)/10000</f>
        <v>1.83E-2</v>
      </c>
      <c r="AA98" s="247">
        <f>ABS(Z98-Y98)</f>
        <v>23.277699999999999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186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/stypes="app*4039*20180112*"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4"/>
        <v>"%USERPROFILE%\Documents\GitHub\eaglep3\Utilities\RefineRTDCRunTimes.py" --tripid 186-12 --locoid 4039 --swversion DE.1.0.9.0 --startMP 204:232960 --initTime 2018-01-12T15:09:00 --startdatetime 2018-01-12T15:12:21 --delay 57 --endMP 204:183 --enddatetime 2018-01-12T15:49:19 --enforcementcount 0 &gt;&gt;%USERPROFILE%\Documents\GitHub\eaglep3-reporting\EC\2018-01-12-refined-times.txt</v>
      </c>
      <c r="AI9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{"issue":{"subject":"","project_id":79,"tracker_id":40,"status_id":1,"priority_id":2,"assigned_to_id":338,"start_date":"2018-01-12","description":"","custom_fields":[{"id":1,"name":"Subdivision","value":"EC"},{"id":4,"name":"Milepost","value":"0.0183"},{"id":17,"name":"Train ID","value":"186-12"},{"id":16,"name":"Locomotive ID","value":"4039"},{"id":130,"name":"Impact","value":""},{"id":150,"name":"Time of Event (Mountain Time)","value":"15:49:19"},{"id":151,"name":"Denver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6"/>
        <v>start /low /b %USERPROFILE%\Documents\GitHub\eaglep3\Utilities\DownloadLogsFromS3.py --loco 4039 --day 2018-01-12</v>
      </c>
      <c r="AN98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8"/>
        <v>https://d0f6bd738d7f1b3e5a7ca70fe4ff75f0.us-east-1.aws.found.io/app/kibana#/discover/Steve-Slow-Train-Analysis-(2080s-and-2083s)?_g=(refreshInterval:(display:Off,pause:!f,section:0,value:0),time:(from:'2018-01-12T14:09:00-0700',mode:absolute,to:'2018-01-12T16:49:19-0700'))&amp;_a=(columns:!('Message%20ID',Summary),filters:!(),index:'emp_*',interval:auto,query:(query_string:(analyze_wildcard:!t,query:'%22rtdc.l.rtdc.4039%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817</v>
      </c>
      <c r="B99" s="225">
        <v>4028</v>
      </c>
      <c r="C99" s="227" t="s">
        <v>191</v>
      </c>
      <c r="D99" s="227" t="s">
        <v>477</v>
      </c>
      <c r="E99" s="226">
        <v>43112.598993055559</v>
      </c>
      <c r="F99" s="226">
        <v>43112.604375000003</v>
      </c>
      <c r="G99" s="225">
        <v>183</v>
      </c>
      <c r="H99" s="227" t="s">
        <v>978</v>
      </c>
      <c r="I99" s="226">
        <v>43112.629687499997</v>
      </c>
      <c r="J99" s="225">
        <v>0</v>
      </c>
      <c r="K99" s="237" t="str">
        <f>IF(ISEVEN(B99),(B99-1)&amp;"/"&amp;B99,B99&amp;"/"&amp;(B99+1))</f>
        <v>4027/4028</v>
      </c>
      <c r="L99" s="245" t="str">
        <f>VLOOKUP(A99,'Trips&amp;Operators'!$C$1:$G$99911,5,FALSE)</f>
        <v>SANTIZO D. EDY</v>
      </c>
      <c r="M99" s="224">
        <f>I99-F99</f>
        <v>2.5312499994470272E-2</v>
      </c>
      <c r="N99" s="225">
        <f>24*60*SUM($M99:$M99)</f>
        <v>36.449999992037192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-12T13:22:33-0700',mode:absolute,to:'2018-01-12T16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4.7300000000000002E-2</v>
      </c>
      <c r="Z99" s="247">
        <f>RIGHT(H99,LEN(H99)-4)/10000</f>
        <v>23.323599999999999</v>
      </c>
      <c r="AA99" s="247">
        <f>ABS(Z99-Y99)</f>
        <v>23.276299999999999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187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/stypes="app*4028*20180112*"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4"/>
        <v>"%USERPROFILE%\Documents\GitHub\eaglep3\Utilities\RefineRTDCRunTimes.py" --tripid 187-12 --locoid 4028 --swversion DE.1.0.9.0 --startMP 204:473 --initTime 2018-01-12T14:22:33 --startdatetime 2018-01-12T14:30:18 --delay 183 --endMP 204:233236 --enddatetime 2018-01-12T15:06:45 --enforcementcount 0 &gt;&gt;%USERPROFILE%\Documents\GitHub\eaglep3-reporting\EC\2018-01-12-refined-times.txt</v>
      </c>
      <c r="AI9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{"issue":{"subject":"","project_id":79,"tracker_id":40,"status_id":1,"priority_id":2,"assigned_to_id":338,"start_date":"2018-01-12","description":"","custom_fields":[{"id":1,"name":"Subdivision","value":"EC"},{"id":4,"name":"Milepost","value":"23.3236"},{"id":17,"name":"Train ID","value":"187-12"},{"id":16,"name":"Locomotive ID","value":"4028"},{"id":130,"name":"Impact","value":""},{"id":150,"name":"Time of Event (Mountain Time)","value":"15:06:45"},{"id":151,"name":"Denver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6"/>
        <v>start /low /b %USERPROFILE%\Documents\GitHub\eaglep3\Utilities\DownloadLogsFromS3.py --loco 4028 --day 2018-01-12</v>
      </c>
      <c r="AN99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8"/>
        <v>https://d0f6bd738d7f1b3e5a7ca70fe4ff75f0.us-east-1.aws.found.io/app/kibana#/discover/Steve-Slow-Train-Analysis-(2080s-and-2083s)?_g=(refreshInterval:(display:Off,pause:!f,section:0,value:0),time:(from:'2018-01-12T13:22:33-0700',mode:absolute,to:'2018-01-12T16:06:45-0700'))&amp;_a=(columns:!('Message%20ID',Summary),filters:!(),index:'emp_*',interval:auto,query:(query_string:(analyze_wildcard:!t,query:'%22rtdc.l.rtdc.4028%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826</v>
      </c>
      <c r="B100" s="225">
        <v>4027</v>
      </c>
      <c r="C100" s="227" t="s">
        <v>191</v>
      </c>
      <c r="D100" s="227" t="s">
        <v>979</v>
      </c>
      <c r="E100" s="226">
        <v>43112.631053240744</v>
      </c>
      <c r="F100" s="226">
        <v>43112.643923611111</v>
      </c>
      <c r="G100" s="225">
        <v>101</v>
      </c>
      <c r="H100" s="227" t="s">
        <v>646</v>
      </c>
      <c r="I100" s="226">
        <v>43112.66983796296</v>
      </c>
      <c r="J100" s="225">
        <v>0</v>
      </c>
      <c r="K100" s="237" t="str">
        <f>IF(ISEVEN(B100),(B100-1)&amp;"/"&amp;B100,B100&amp;"/"&amp;(B100+1))</f>
        <v>4027/4028</v>
      </c>
      <c r="L100" s="245" t="str">
        <f>VLOOKUP(A100,'Trips&amp;Operators'!$C$1:$G$99911,5,FALSE)</f>
        <v>SANTIZO D. EDY</v>
      </c>
      <c r="M100" s="224">
        <f>I100-F100</f>
        <v>2.5914351848769002E-2</v>
      </c>
      <c r="N100" s="225">
        <f>24*60*SUM($M100:$M100)</f>
        <v>37.316666662227362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-12T14:08:43-0700',mode:absolute,to:'2018-01-12T17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23.290900000000001</v>
      </c>
      <c r="Z100" s="247">
        <f>RIGHT(H100,LEN(H100)-4)/10000</f>
        <v>2.0899999999999998E-2</v>
      </c>
      <c r="AA100" s="247">
        <f>ABS(Z100-Y100)</f>
        <v>23.27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188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/stypes="app*4027*20180112*" /stext=" 23:.+((SYSTEM_STATE.+slice.+state.+changed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4"/>
        <v>"%USERPROFILE%\Documents\GitHub\eaglep3\Utilities\RefineRTDCRunTimes.py" --tripid 188-12 --locoid 4027 --swversion DE.1.0.9.0 --startMP 204:232909 --initTime 2018-01-12T15:08:43 --startdatetime 2018-01-12T15:27:15 --delay 101 --endMP 204:209 --enddatetime 2018-01-12T16:04:34 --enforcementcount 0 &gt;&gt;%USERPROFILE%\Documents\GitHub\eaglep3-reporting\EC\2018-01-12-refined-times.txt</v>
      </c>
      <c r="AI10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{"issue":{"subject":"","project_id":79,"tracker_id":40,"status_id":1,"priority_id":2,"assigned_to_id":338,"start_date":"2018-01-12","description":"","custom_fields":[{"id":1,"name":"Subdivision","value":"EC"},{"id":4,"name":"Milepost","value":"0.0209"},{"id":17,"name":"Train ID","value":"188-12"},{"id":16,"name":"Locomotive ID","value":"4027"},{"id":130,"name":"Impact","value":""},{"id":150,"name":"Time of Event (Mountain Time)","value":"16:04:34"},{"id":151,"name":"Denver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6"/>
        <v>start /low /b %USERPROFILE%\Documents\GitHub\eaglep3\Utilities\DownloadLogsFromS3.py --loco 4027 --day 2018-01-12</v>
      </c>
      <c r="AN100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8"/>
        <v>https://d0f6bd738d7f1b3e5a7ca70fe4ff75f0.us-east-1.aws.found.io/app/kibana#/discover/Steve-Slow-Train-Analysis-(2080s-and-2083s)?_g=(refreshInterval:(display:Off,pause:!f,section:0,value:0),time:(from:'2018-01-12T14:08:43-0700',mode:absolute,to:'2018-01-12T17:04:34-0700'))&amp;_a=(columns:!('Message%20ID',Summary),filters:!(),index:'emp_*',interval:auto,query:(query_string:(analyze_wildcard:!t,query:'%22rtdc.l.rtdc.4027%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821</v>
      </c>
      <c r="B101" s="225">
        <v>4018</v>
      </c>
      <c r="C101" s="227" t="s">
        <v>191</v>
      </c>
      <c r="D101" s="227" t="s">
        <v>980</v>
      </c>
      <c r="E101" s="226">
        <v>43112.612569444442</v>
      </c>
      <c r="F101" s="226">
        <v>43112.614999999998</v>
      </c>
      <c r="G101" s="225">
        <v>83</v>
      </c>
      <c r="H101" s="227" t="s">
        <v>647</v>
      </c>
      <c r="I101" s="226">
        <v>43112.639733796299</v>
      </c>
      <c r="J101" s="225">
        <v>0</v>
      </c>
      <c r="K101" s="237" t="str">
        <f>IF(ISEVEN(B101),(B101-1)&amp;"/"&amp;B101,B101&amp;"/"&amp;(B101+1))</f>
        <v>4017/4018</v>
      </c>
      <c r="L101" s="245" t="str">
        <f>VLOOKUP(A101,'Trips&amp;Operators'!$C$1:$G$99911,5,FALSE)</f>
        <v>SAFIEF AEIMEN</v>
      </c>
      <c r="M101" s="224">
        <f>I101-F101</f>
        <v>2.4733796301006805E-2</v>
      </c>
      <c r="N101" s="225">
        <f>24*60*SUM($M101:$M101)</f>
        <v>35.616666673449799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-12T13:42:06-0700',mode:absolute,to:'2018-01-12T16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4.6699999999999998E-2</v>
      </c>
      <c r="Z101" s="247">
        <f>RIGHT(H101,LEN(H101)-4)/10000</f>
        <v>23.33</v>
      </c>
      <c r="AA101" s="247">
        <f>ABS(Z101-Y101)</f>
        <v>23.283299999999997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189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/stypes="app*4018*20180112*"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4"/>
        <v>"%USERPROFILE%\Documents\GitHub\eaglep3\Utilities\RefineRTDCRunTimes.py" --tripid 189-12 --locoid 4018 --swversion DE.1.0.9.0 --startMP 204:467 --initTime 2018-01-12T14:42:06 --startdatetime 2018-01-12T14:45:36 --delay 83 --endMP 204:233300 --enddatetime 2018-01-12T15:21:13 --enforcementcount 0 &gt;&gt;%USERPROFILE%\Documents\GitHub\eaglep3-reporting\EC\2018-01-12-refined-times.txt</v>
      </c>
      <c r="AI10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{"issue":{"subject":"","project_id":79,"tracker_id":40,"status_id":1,"priority_id":2,"assigned_to_id":338,"start_date":"2018-01-12","description":"","custom_fields":[{"id":1,"name":"Subdivision","value":"EC"},{"id":4,"name":"Milepost","value":"23.33"},{"id":17,"name":"Train ID","value":"189-12"},{"id":16,"name":"Locomotive ID","value":"4018"},{"id":130,"name":"Impact","value":""},{"id":150,"name":"Time of Event (Mountain Time)","value":"15:21:13"},{"id":151,"name":"Denver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6"/>
        <v>start /low /b %USERPROFILE%\Documents\GitHub\eaglep3\Utilities\DownloadLogsFromS3.py --loco 4018 --day 2018-01-12</v>
      </c>
      <c r="AN101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8"/>
        <v>https://d0f6bd738d7f1b3e5a7ca70fe4ff75f0.us-east-1.aws.found.io/app/kibana#/discover/Steve-Slow-Train-Analysis-(2080s-and-2083s)?_g=(refreshInterval:(display:Off,pause:!f,section:0,value:0),time:(from:'2018-01-12T13:42:06-0700',mode:absolute,to:'2018-01-12T16:21:13-0700'))&amp;_a=(columns:!('Message%20ID',Summary),filters:!(),index:'emp_*',interval:auto,query:(query_string:(analyze_wildcard:!t,query:'%22rtdc.l.rtdc.4018%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831</v>
      </c>
      <c r="B102" s="225">
        <v>4017</v>
      </c>
      <c r="C102" s="227" t="s">
        <v>191</v>
      </c>
      <c r="D102" s="227" t="s">
        <v>634</v>
      </c>
      <c r="E102" s="226">
        <v>43112.642731481479</v>
      </c>
      <c r="F102" s="226">
        <v>43112.654467592591</v>
      </c>
      <c r="G102" s="225">
        <v>73</v>
      </c>
      <c r="H102" s="227" t="s">
        <v>981</v>
      </c>
      <c r="I102" s="226">
        <v>43112.681400462963</v>
      </c>
      <c r="J102" s="225">
        <v>0</v>
      </c>
      <c r="K102" s="237" t="str">
        <f>IF(ISEVEN(B102),(B102-1)&amp;"/"&amp;B102,B102&amp;"/"&amp;(B102+1))</f>
        <v>4017/4018</v>
      </c>
      <c r="L102" s="245" t="str">
        <f>VLOOKUP(A102,'Trips&amp;Operators'!$C$1:$G$99911,5,FALSE)</f>
        <v>SAFIEF AEIMEN</v>
      </c>
      <c r="M102" s="224">
        <f>I102-F102</f>
        <v>2.6932870372547768E-2</v>
      </c>
      <c r="N102" s="225">
        <f>24*60*SUM($M102:$M102)</f>
        <v>38.783333336468786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-12T14:25:32-0700',mode:absolute,to:'2018-01-12T17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23.299099999999999</v>
      </c>
      <c r="Z102" s="247">
        <f>RIGHT(H102,LEN(H102)-4)/10000</f>
        <v>1.8700000000000001E-2</v>
      </c>
      <c r="AA102" s="247">
        <f>ABS(Z102-Y102)</f>
        <v>23.2804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190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/stypes="app*4017*20180112*"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4"/>
        <v>"%USERPROFILE%\Documents\GitHub\eaglep3\Utilities\RefineRTDCRunTimes.py" --tripid 190-12 --locoid 4017 --swversion DE.1.0.9.0 --startMP 204:232991 --initTime 2018-01-12T15:25:32 --startdatetime 2018-01-12T15:42:26 --delay 73 --endMP 204:187 --enddatetime 2018-01-12T16:21:13 --enforcementcount 0 &gt;&gt;%USERPROFILE%\Documents\GitHub\eaglep3-reporting\EC\2018-01-12-refined-times.txt</v>
      </c>
      <c r="AI10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{"issue":{"subject":"","project_id":79,"tracker_id":40,"status_id":1,"priority_id":2,"assigned_to_id":338,"start_date":"2018-01-12","description":"","custom_fields":[{"id":1,"name":"Subdivision","value":"EC"},{"id":4,"name":"Milepost","value":"0.0187"},{"id":17,"name":"Train ID","value":"190-12"},{"id":16,"name":"Locomotive ID","value":"4017"},{"id":130,"name":"Impact","value":""},{"id":150,"name":"Time of Event (Mountain Time)","value":"16:21:13"},{"id":151,"name":"Denver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6"/>
        <v>start /low /b %USERPROFILE%\Documents\GitHub\eaglep3\Utilities\DownloadLogsFromS3.py --loco 4017 --day 2018-01-12</v>
      </c>
      <c r="AN102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8"/>
        <v>https://d0f6bd738d7f1b3e5a7ca70fe4ff75f0.us-east-1.aws.found.io/app/kibana#/discover/Steve-Slow-Train-Analysis-(2080s-and-2083s)?_g=(refreshInterval:(display:Off,pause:!f,section:0,value:0),time:(from:'2018-01-12T14:25:32-0700',mode:absolute,to:'2018-01-12T17:21:13-0700'))&amp;_a=(columns:!('Message%20ID',Summary),filters:!(),index:'emp_*',interval:auto,query:(query_string:(analyze_wildcard:!t,query:'%22rtdc.l.rtdc.4017%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823</v>
      </c>
      <c r="B103" s="225">
        <v>4006</v>
      </c>
      <c r="C103" s="227" t="s">
        <v>191</v>
      </c>
      <c r="D103" s="227" t="s">
        <v>921</v>
      </c>
      <c r="E103" s="226">
        <v>43112.62164351852</v>
      </c>
      <c r="F103" s="226">
        <v>43112.625173611108</v>
      </c>
      <c r="G103" s="225">
        <v>86</v>
      </c>
      <c r="H103" s="227" t="s">
        <v>982</v>
      </c>
      <c r="I103" s="226">
        <v>43112.650231481479</v>
      </c>
      <c r="J103" s="225">
        <v>0</v>
      </c>
      <c r="K103" s="237" t="str">
        <f>IF(ISEVEN(B103),(B103-1)&amp;"/"&amp;B103,B103&amp;"/"&amp;(B103+1))</f>
        <v>4005/4006</v>
      </c>
      <c r="L103" s="245" t="str">
        <f>VLOOKUP(A103,'Trips&amp;Operators'!$C$1:$G$99911,5,FALSE)</f>
        <v>BRUDER RICHARD</v>
      </c>
      <c r="M103" s="224">
        <f>I103-F103</f>
        <v>2.5057870370801538E-2</v>
      </c>
      <c r="N103" s="225">
        <f>24*60*SUM($M103:$M103)</f>
        <v>36.083333333954215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-12T13:55:10-0700',mode:absolute,to:'2018-01-12T16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5.3900000000000003E-2</v>
      </c>
      <c r="Z103" s="247">
        <f>RIGHT(H103,LEN(H103)-4)/10000</f>
        <v>23.320699999999999</v>
      </c>
      <c r="AA103" s="247">
        <f>ABS(Z103-Y103)</f>
        <v>23.2668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191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/stypes="app*4006*20180112*"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4"/>
        <v>"%USERPROFILE%\Documents\GitHub\eaglep3\Utilities\RefineRTDCRunTimes.py" --tripid 191-12 --locoid 4006 --swversion DE.1.0.9.0 --startMP 204:539 --initTime 2018-01-12T14:55:10 --startdatetime 2018-01-12T15:00:15 --delay 86 --endMP 204:233207 --enddatetime 2018-01-12T15:36:20 --enforcementcount 0 &gt;&gt;%USERPROFILE%\Documents\GitHub\eaglep3-reporting\EC\2018-01-12-refined-times.txt</v>
      </c>
      <c r="AI10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{"issue":{"subject":"","project_id":79,"tracker_id":40,"status_id":1,"priority_id":2,"assigned_to_id":338,"start_date":"2018-01-12","description":"","custom_fields":[{"id":1,"name":"Subdivision","value":"EC"},{"id":4,"name":"Milepost","value":"23.3207"},{"id":17,"name":"Train ID","value":"191-12"},{"id":16,"name":"Locomotive ID","value":"4006"},{"id":130,"name":"Impact","value":""},{"id":150,"name":"Time of Event (Mountain Time)","value":"15:36:20"},{"id":151,"name":"Denver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6"/>
        <v>start /low /b %USERPROFILE%\Documents\GitHub\eaglep3\Utilities\DownloadLogsFromS3.py --loco 4006 --day 2018-01-12</v>
      </c>
      <c r="AN103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8"/>
        <v>https://d0f6bd738d7f1b3e5a7ca70fe4ff75f0.us-east-1.aws.found.io/app/kibana#/discover/Steve-Slow-Train-Analysis-(2080s-and-2083s)?_g=(refreshInterval:(display:Off,pause:!f,section:0,value:0),time:(from:'2018-01-12T13:55:10-0700',mode:absolute,to:'2018-01-12T16:36:20-0700'))&amp;_a=(columns:!('Message%20ID',Summary),filters:!(),index:'emp_*',interval:auto,query:(query_string:(analyze_wildcard:!t,query:'%22rtdc.l.rtdc.4006%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29" t="s">
        <v>834</v>
      </c>
      <c r="B104" s="225">
        <v>4005</v>
      </c>
      <c r="C104" s="227" t="s">
        <v>191</v>
      </c>
      <c r="D104" s="227" t="s">
        <v>983</v>
      </c>
      <c r="E104" s="226">
        <v>43112.661493055559</v>
      </c>
      <c r="F104" s="226">
        <v>43112.664768518516</v>
      </c>
      <c r="G104" s="225">
        <v>51</v>
      </c>
      <c r="H104" s="227" t="s">
        <v>510</v>
      </c>
      <c r="I104" s="226">
        <v>43112.690254629626</v>
      </c>
      <c r="J104" s="225">
        <v>0</v>
      </c>
      <c r="K104" s="237" t="str">
        <f>IF(ISEVEN(B104),(B104-1)&amp;"/"&amp;B104,B104&amp;"/"&amp;(B104+1))</f>
        <v>4005/4006</v>
      </c>
      <c r="L104" s="245" t="str">
        <f>VLOOKUP(A104,'Trips&amp;Operators'!$C$1:$G$99911,5,FALSE)</f>
        <v>BRUDER RICHARD</v>
      </c>
      <c r="M104" s="224">
        <f>I104-F104</f>
        <v>2.548611110978527E-2</v>
      </c>
      <c r="N104" s="225">
        <f>24*60*SUM($M104:$M104)</f>
        <v>36.699999998090789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-12T14:52:33-0700',mode:absolute,to:'2018-01-12T17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23.287700000000001</v>
      </c>
      <c r="Z104" s="247">
        <f>RIGHT(H104,LEN(H104)-4)/10000</f>
        <v>2.47E-2</v>
      </c>
      <c r="AA104" s="247">
        <f>ABS(Z104-Y104)</f>
        <v>23.263000000000002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192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/stypes="app*4005*20180112*"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4"/>
        <v>"%USERPROFILE%\Documents\GitHub\eaglep3\Utilities\RefineRTDCRunTimes.py" --tripid 192-12 --locoid 4005 --swversion DE.1.0.9.0 --startMP 204:232877 --initTime 2018-01-12T15:52:33 --startdatetime 2018-01-12T15:57:16 --delay 51 --endMP 204:247 --enddatetime 2018-01-12T16:33:58 --enforcementcount 0 &gt;&gt;%USERPROFILE%\Documents\GitHub\eaglep3-reporting\EC\2018-01-12-refined-times.txt</v>
      </c>
      <c r="AI104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{"issue":{"subject":"","project_id":79,"tracker_id":40,"status_id":1,"priority_id":2,"assigned_to_id":338,"start_date":"2018-01-12","description":"","custom_fields":[{"id":1,"name":"Subdivision","value":"EC"},{"id":4,"name":"Milepost","value":"0.0247"},{"id":17,"name":"Train ID","value":"192-12"},{"id":16,"name":"Locomotive ID","value":"4005"},{"id":130,"name":"Impact","value":""},{"id":150,"name":"Time of Event (Mountain Time)","value":"16:33:58"},{"id":151,"name":"Denver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6"/>
        <v>start /low /b %USERPROFILE%\Documents\GitHub\eaglep3\Utilities\DownloadLogsFromS3.py --loco 4005 --day 2018-01-12</v>
      </c>
      <c r="AN104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8"/>
        <v>https://d0f6bd738d7f1b3e5a7ca70fe4ff75f0.us-east-1.aws.found.io/app/kibana#/discover/Steve-Slow-Train-Analysis-(2080s-and-2083s)?_g=(refreshInterval:(display:Off,pause:!f,section:0,value:0),time:(from:'2018-01-12T14:52:33-0700',mode:absolute,to:'2018-01-12T17:33:58-0700'))&amp;_a=(columns:!('Message%20ID',Summary),filters:!(),index:'emp_*',interval:auto,query:(query_string:(analyze_wildcard:!t,query:'%22rtdc.l.rtdc.4005%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29" t="s">
        <v>827</v>
      </c>
      <c r="B105" s="225">
        <v>4004</v>
      </c>
      <c r="C105" s="227" t="s">
        <v>191</v>
      </c>
      <c r="D105" s="227" t="s">
        <v>926</v>
      </c>
      <c r="E105" s="226">
        <v>43112.633275462962</v>
      </c>
      <c r="F105" s="226">
        <v>43112.635601851849</v>
      </c>
      <c r="G105" s="225">
        <v>52</v>
      </c>
      <c r="H105" s="227" t="s">
        <v>984</v>
      </c>
      <c r="I105" s="226">
        <v>43112.661435185182</v>
      </c>
      <c r="J105" s="225">
        <v>0</v>
      </c>
      <c r="K105" s="237" t="str">
        <f>IF(ISEVEN(B105),(B105-1)&amp;"/"&amp;B105,B105&amp;"/"&amp;(B105+1))</f>
        <v>4003/4004</v>
      </c>
      <c r="L105" s="245" t="str">
        <f>VLOOKUP(A105,'Trips&amp;Operators'!$C$1:$G$99911,5,FALSE)</f>
        <v>LONG FULLER</v>
      </c>
      <c r="M105" s="224">
        <f>I105-F105</f>
        <v>2.5833333333139308E-2</v>
      </c>
      <c r="N105" s="225">
        <f>24*60*SUM($M105:$M105)</f>
        <v>37.199999999720603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-12T14:11:55-0700',mode:absolute,to:'2018-01-12T16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5.04E-2</v>
      </c>
      <c r="Z105" s="247">
        <f>RIGHT(H105,LEN(H105)-4)/10000</f>
        <v>23.3261</v>
      </c>
      <c r="AA105" s="247">
        <f>ABS(Z105-Y105)</f>
        <v>23.275700000000001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193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/stypes="app*4004*20180112*"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4"/>
        <v>"%USERPROFILE%\Documents\GitHub\eaglep3\Utilities\RefineRTDCRunTimes.py" --tripid 193-12 --locoid 4004 --swversion DE.1.0.9.0 --startMP 204:504 --initTime 2018-01-12T15:11:55 --startdatetime 2018-01-12T15:15:16 --delay 52 --endMP 204:233261 --enddatetime 2018-01-12T15:52:28 --enforcementcount 0 &gt;&gt;%USERPROFILE%\Documents\GitHub\eaglep3-reporting\EC\2018-01-12-refined-times.txt</v>
      </c>
      <c r="AI105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{"issue":{"subject":"","project_id":79,"tracker_id":40,"status_id":1,"priority_id":2,"assigned_to_id":338,"start_date":"2018-01-12","description":"","custom_fields":[{"id":1,"name":"Subdivision","value":"EC"},{"id":4,"name":"Milepost","value":"23.3261"},{"id":17,"name":"Train ID","value":"193-12"},{"id":16,"name":"Locomotive ID","value":"4004"},{"id":130,"name":"Impact","value":""},{"id":150,"name":"Time of Event (Mountain Time)","value":"15:52:28"},{"id":151,"name":"Denver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6"/>
        <v>start /low /b %USERPROFILE%\Documents\GitHub\eaglep3\Utilities\DownloadLogsFromS3.py --loco 4004 --day 2018-01-12</v>
      </c>
      <c r="AN105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8"/>
        <v>https://d0f6bd738d7f1b3e5a7ca70fe4ff75f0.us-east-1.aws.found.io/app/kibana#/discover/Steve-Slow-Train-Analysis-(2080s-and-2083s)?_g=(refreshInterval:(display:Off,pause:!f,section:0,value:0),time:(from:'2018-01-12T14:11:55-0700',mode:absolute,to:'2018-01-12T16:52:28-0700'))&amp;_a=(columns:!('Message%20ID',Summary),filters:!(),index:'emp_*',interval:auto,query:(query_string:(analyze_wildcard:!t,query:'%22rtdc.l.rtdc.4004%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682</v>
      </c>
      <c r="B106" s="225">
        <v>4003</v>
      </c>
      <c r="C106" s="227" t="s">
        <v>191</v>
      </c>
      <c r="D106" s="227" t="s">
        <v>535</v>
      </c>
      <c r="E106" s="226">
        <v>43112.66615740741</v>
      </c>
      <c r="F106" s="226">
        <v>43112.688101851854</v>
      </c>
      <c r="G106" s="225">
        <v>54</v>
      </c>
      <c r="H106" s="227" t="s">
        <v>985</v>
      </c>
      <c r="I106" s="226">
        <v>43112.705949074072</v>
      </c>
      <c r="J106" s="225">
        <v>0</v>
      </c>
      <c r="K106" s="237" t="str">
        <f>IF(ISEVEN(B106),(B106-1)&amp;"/"&amp;B106,B106&amp;"/"&amp;(B106+1))</f>
        <v>4003/4004</v>
      </c>
      <c r="L106" s="245" t="str">
        <f>VLOOKUP(A106,'Trips&amp;Operators'!$C$1:$G$99911,5,FALSE)</f>
        <v>LONG FULLER</v>
      </c>
      <c r="M106" s="224">
        <f>I106-F106</f>
        <v>1.784722221782431E-2</v>
      </c>
      <c r="N106" s="225"/>
      <c r="O106" s="225"/>
      <c r="P106" s="225"/>
      <c r="Q106" s="228"/>
      <c r="R106" s="242"/>
      <c r="S106" s="249"/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-12T14:59:16-0700',mode:absolute,to:'2018-01-12T17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247" t="str">
        <f>IF(AA106&lt;VLOOKUP(AG106,Variables!$AC$3:$AD$8,2,FALSE),"Y","N")</f>
        <v>Y</v>
      </c>
      <c r="X106" s="247">
        <f>VALUE(LEFT(AD106,4))-VALUE(LEFT(AD105,4))</f>
        <v>1</v>
      </c>
      <c r="Y106" s="247">
        <f>RIGHT(D106,LEN(D106)-4)/10000</f>
        <v>23.294</v>
      </c>
      <c r="Z106" s="247">
        <f>RIGHT(H106,LEN(H106)-4)/10000</f>
        <v>19.009599999999999</v>
      </c>
      <c r="AA106" s="247">
        <f>ABS(Z106-Y106)</f>
        <v>4.2844000000000015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194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/stypes="app*4003*20180112*"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4"/>
        <v>"%USERPROFILE%\Documents\GitHub\eaglep3\Utilities\RefineRTDCRunTimes.py" --tripid 194-12 --locoid 4003 --swversion DE.1.0.9.0 --startMP 204:232940 --initTime 2018-01-12T15:59:16 --startdatetime 2018-01-12T16:30:52 --delay 54 --endMP 204:190096 --enddatetime 2018-01-12T16:56:34 --enforcementcount 0 &gt;&gt;%USERPROFILE%\Documents\GitHub\eaglep3-reporting\EC\2018-01-12-refined-times.txt</v>
      </c>
      <c r="AI10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{"issue":{"subject":"","project_id":79,"tracker_id":40,"status_id":1,"priority_id":2,"assigned_to_id":338,"start_date":"2018-01-12","description":"","custom_fields":[{"id":1,"name":"Subdivision","value":"EC"},{"id":4,"name":"Milepost","value":"19.0096"},{"id":17,"name":"Train ID","value":"194-12"},{"id":16,"name":"Locomotive ID","value":"4003"},{"id":130,"name":"Impact","value":""},{"id":150,"name":"Time of Event (Mountain Time)","value":"16:56:34"},{"id":151,"name":"Denver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6"/>
        <v>start /low /b %USERPROFILE%\Documents\GitHub\eaglep3\Utilities\DownloadLogsFromS3.py --loco 4003 --day 2018-01-12</v>
      </c>
      <c r="AN106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8"/>
        <v>https://d0f6bd738d7f1b3e5a7ca70fe4ff75f0.us-east-1.aws.found.io/app/kibana#/discover/Steve-Slow-Train-Analysis-(2080s-and-2083s)?_g=(refreshInterval:(display:Off,pause:!f,section:0,value:0),time:(from:'2018-01-12T14:59:16-0700',mode:absolute,to:'2018-01-12T17:56:34-0700'))&amp;_a=(columns:!('Message%20ID',Summary),filters:!(),index:'emp_*',interval:auto,query:(query_string:(analyze_wildcard:!t,query:'%22rtdc.l.rtdc.4003%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682</v>
      </c>
      <c r="B107" s="225">
        <v>4003</v>
      </c>
      <c r="C107" s="227" t="s">
        <v>191</v>
      </c>
      <c r="D107" s="227" t="s">
        <v>986</v>
      </c>
      <c r="E107" s="226">
        <v>43112.686493055553</v>
      </c>
      <c r="F107" s="226">
        <v>43112.688101851854</v>
      </c>
      <c r="G107" s="225">
        <v>77</v>
      </c>
      <c r="H107" s="227" t="s">
        <v>987</v>
      </c>
      <c r="I107" s="226">
        <v>43112.705949074072</v>
      </c>
      <c r="J107" s="225">
        <v>0</v>
      </c>
      <c r="K107" s="237" t="str">
        <f>IF(ISEVEN(B107),(B107-1)&amp;"/"&amp;B107,B107&amp;"/"&amp;(B107+1))</f>
        <v>4003/4004</v>
      </c>
      <c r="L107" s="245" t="str">
        <f>VLOOKUP(A107,'Trips&amp;Operators'!$C$1:$G$99911,5,FALSE)</f>
        <v>LONG FULLER</v>
      </c>
      <c r="M107" s="224">
        <f>I107-F107</f>
        <v>1.784722221782431E-2</v>
      </c>
      <c r="N107" s="225"/>
      <c r="O107" s="225"/>
      <c r="P107" s="225">
        <f>24*60*SUM($M107:$M107)</f>
        <v>25.699999993667006</v>
      </c>
      <c r="Q107" s="228"/>
      <c r="R107" s="242" t="s">
        <v>1111</v>
      </c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-12T15:28:33-0700',mode:absolute,to:'2018-01-12T17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247" t="str">
        <f>IF(AA107&lt;VLOOKUP(AG107,Variables!$AC$3:$AD$8,2,FALSE),"Y","N")</f>
        <v>Y</v>
      </c>
      <c r="X107" s="247">
        <f>VALUE(LEFT(AD107,4))-VALUE(LEFT(AD106,4))</f>
        <v>0</v>
      </c>
      <c r="Y107" s="247">
        <f>RIGHT(D107,LEN(D107)-4)/10000</f>
        <v>12.7883</v>
      </c>
      <c r="Z107" s="247">
        <f>RIGHT(H107,LEN(H107)-4)/10000</f>
        <v>3.3599999999999998E-2</v>
      </c>
      <c r="AA107" s="247">
        <f>ABS(Z107-Y107)</f>
        <v>12.7547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194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/stypes="app*4003*20180112*"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4"/>
        <v>"%USERPROFILE%\Documents\GitHub\eaglep3\Utilities\RefineRTDCRunTimes.py" --tripid 194-12 --locoid 4003 --swversion DE.1.0.9.0 --startMP 204:127883 --initTime 2018-01-12T16:28:33 --startdatetime 2018-01-12T16:30:52 --delay 77 --endMP 204:336 --enddatetime 2018-01-12T16:56:34 --enforcementcount 0 &gt;&gt;%USERPROFILE%\Documents\GitHub\eaglep3-reporting\EC\2018-01-12-refined-times.txt</v>
      </c>
      <c r="AI107" s="238" t="str">
        <f t="shared" si="15"/>
        <v>echo {"issue":{"subject":"Wheel tach slip/slide due to emergency braking","project_id":79,"tracker_id":40,"status_id":1,"priority_id":2,"assigned_to_id":338,"start_date":"2018-01-12","description":"","custom_fields":[{"id":1,"name":"Subdivision","value":"EC"},{"id":4,"name":"Milepost","value":"0.0336"},{"id":17,"name":"Train ID","value":"194-12"},{"id":16,"name":"Locomotive ID","value":"4003"},{"id":130,"name":"Impact","value":""},{"id":150,"name":"Time of Event (Mountain Time)","value":"16:56:34"},{"id":151,"name":"Denver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6"/>
        <v>start /low /b %USERPROFILE%\Documents\GitHub\eaglep3\Utilities\DownloadLogsFromS3.py --loco 4003 --day 2018-01-12</v>
      </c>
      <c r="AN107" s="241" t="str">
        <f t="shared" si="17"/>
        <v>echo {"issue":{"subject":"Wheel tach slip/slide due to emergency braking","project_id":30,"tracker_id":4,"status_id":1,"priority_id":1,"assigned_to_id":10,"start_date":"2018-01-12","description":"","custom_fields":[{"id":30,"name":"Category","value":"Issue"},{"id":3,"name":"Functional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8"/>
        <v>https://d0f6bd738d7f1b3e5a7ca70fe4ff75f0.us-east-1.aws.found.io/app/kibana#/discover/Steve-Slow-Train-Analysis-(2080s-and-2083s)?_g=(refreshInterval:(display:Off,pause:!f,section:0,value:0),time:(from:'2018-01-12T15:28:33-0700',mode:absolute,to:'2018-01-12T17:56:34-0700'))&amp;_a=(columns:!('Message%20ID',Summary),filters:!(),index:'emp_*',interval:auto,query:(query_string:(analyze_wildcard:!t,query:'%22rtdc.l.rtdc.4003%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829</v>
      </c>
      <c r="B108" s="225">
        <v>4026</v>
      </c>
      <c r="C108" s="227" t="s">
        <v>191</v>
      </c>
      <c r="D108" s="227" t="s">
        <v>631</v>
      </c>
      <c r="E108" s="226">
        <v>43112.640439814815</v>
      </c>
      <c r="F108" s="226">
        <v>43112.646087962959</v>
      </c>
      <c r="G108" s="225">
        <v>232</v>
      </c>
      <c r="H108" s="227" t="s">
        <v>988</v>
      </c>
      <c r="I108" s="226">
        <v>43112.671134259261</v>
      </c>
      <c r="J108" s="225">
        <v>0</v>
      </c>
      <c r="K108" s="237" t="str">
        <f>IF(ISEVEN(B108),(B108-1)&amp;"/"&amp;B108,B108&amp;"/"&amp;(B108+1))</f>
        <v>4025/4026</v>
      </c>
      <c r="L108" s="245" t="str">
        <f>VLOOKUP(A108,'Trips&amp;Operators'!$C$1:$G$99911,5,FALSE)</f>
        <v>FORTUNATO FRANK</v>
      </c>
      <c r="M108" s="224">
        <f>I108-F108</f>
        <v>2.5046296301297843E-2</v>
      </c>
      <c r="N108" s="225">
        <f>24*60*SUM($M108:$M108)</f>
        <v>36.066666673868895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-12T14:22:14-0700',mode:absolute,to:'2018-01-12T17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5.1299999999999998E-2</v>
      </c>
      <c r="Z108" s="247">
        <f>RIGHT(H108,LEN(H108)-4)/10000</f>
        <v>23.319199999999999</v>
      </c>
      <c r="AA108" s="247">
        <f>ABS(Z108-Y108)</f>
        <v>23.267899999999997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195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/stypes="app*4026*20180112*"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4"/>
        <v>"%USERPROFILE%\Documents\GitHub\eaglep3\Utilities\RefineRTDCRunTimes.py" --tripid 195-12 --locoid 4026 --swversion DE.1.0.9.0 --startMP 204:513 --initTime 2018-01-12T15:22:14 --startdatetime 2018-01-12T15:30:22 --delay 232 --endMP 204:233192 --enddatetime 2018-01-12T16:06:26 --enforcementcount 0 &gt;&gt;%USERPROFILE%\Documents\GitHub\eaglep3-reporting\EC\2018-01-12-refined-times.txt</v>
      </c>
      <c r="AI10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{"issue":{"subject":"","project_id":79,"tracker_id":40,"status_id":1,"priority_id":2,"assigned_to_id":338,"start_date":"2018-01-12","description":"","custom_fields":[{"id":1,"name":"Subdivision","value":"EC"},{"id":4,"name":"Milepost","value":"23.3192"},{"id":17,"name":"Train ID","value":"195-12"},{"id":16,"name":"Locomotive ID","value":"4026"},{"id":130,"name":"Impact","value":""},{"id":150,"name":"Time of Event (Mountain Time)","value":"16:06:26"},{"id":151,"name":"Denver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6"/>
        <v>start /low /b %USERPROFILE%\Documents\GitHub\eaglep3\Utilities\DownloadLogsFromS3.py --loco 4026 --day 2018-01-12</v>
      </c>
      <c r="AN108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8"/>
        <v>https://d0f6bd738d7f1b3e5a7ca70fe4ff75f0.us-east-1.aws.found.io/app/kibana#/discover/Steve-Slow-Train-Analysis-(2080s-and-2083s)?_g=(refreshInterval:(display:Off,pause:!f,section:0,value:0),time:(from:'2018-01-12T14:22:14-0700',mode:absolute,to:'2018-01-12T17:06:26-0700'))&amp;_a=(columns:!('Message%20ID',Summary),filters:!(),index:'emp_*',interval:auto,query:(query_string:(analyze_wildcard:!t,query:'%22rtdc.l.rtdc.4026%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838</v>
      </c>
      <c r="B109" s="225">
        <v>4025</v>
      </c>
      <c r="C109" s="227" t="s">
        <v>191</v>
      </c>
      <c r="D109" s="227" t="s">
        <v>989</v>
      </c>
      <c r="E109" s="226">
        <v>43112.672268518516</v>
      </c>
      <c r="F109" s="226">
        <v>43112.685555555552</v>
      </c>
      <c r="G109" s="225">
        <v>49</v>
      </c>
      <c r="H109" s="227" t="s">
        <v>644</v>
      </c>
      <c r="I109" s="226">
        <v>43112.712048611109</v>
      </c>
      <c r="J109" s="225">
        <v>0</v>
      </c>
      <c r="K109" s="237" t="str">
        <f>IF(ISEVEN(B109),(B109-1)&amp;"/"&amp;B109,B109&amp;"/"&amp;(B109+1))</f>
        <v>4025/4026</v>
      </c>
      <c r="L109" s="245" t="str">
        <f>VLOOKUP(A109,'Trips&amp;Operators'!$C$1:$G$99911,5,FALSE)</f>
        <v>FORTUNATO FRANK</v>
      </c>
      <c r="M109" s="224">
        <f>I109-F109</f>
        <v>2.6493055556784384E-2</v>
      </c>
      <c r="N109" s="225">
        <f>24*60*SUM($M109:$M109)</f>
        <v>38.150000001769513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-12T15:08:04-0700',mode:absolute,to:'2018-01-12T18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23.286300000000001</v>
      </c>
      <c r="Z109" s="247">
        <f>RIGHT(H109,LEN(H109)-4)/10000</f>
        <v>2.1999999999999999E-2</v>
      </c>
      <c r="AA109" s="247">
        <f>ABS(Z109-Y109)</f>
        <v>23.264300000000002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196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/stypes="app*4025*20180113*" /stext=" 00:.+((SYSTEM_STATE.+slice.+state.+changed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4"/>
        <v>"%USERPROFILE%\Documents\GitHub\eaglep3\Utilities\RefineRTDCRunTimes.py" --tripid 196-12 --locoid 4025 --swversion DE.1.0.9.0 --startMP 204:232863 --initTime 2018-01-12T16:08:04 --startdatetime 2018-01-12T16:27:12 --delay 49 --endMP 204:220 --enddatetime 2018-01-12T17:05:21 --enforcementcount 0 &gt;&gt;%USERPROFILE%\Documents\GitHub\eaglep3-reporting\EC\2018-01-12-refined-times.txt</v>
      </c>
      <c r="AI10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{"issue":{"subject":"","project_id":79,"tracker_id":40,"status_id":1,"priority_id":2,"assigned_to_id":338,"start_date":"2018-01-12","description":"","custom_fields":[{"id":1,"name":"Subdivision","value":"EC"},{"id":4,"name":"Milepost","value":"0.022"},{"id":17,"name":"Train ID","value":"196-12"},{"id":16,"name":"Locomotive ID","value":"4025"},{"id":130,"name":"Impact","value":""},{"id":150,"name":"Time of Event (Mountain Time)","value":"17:05:21"},{"id":151,"name":"Denver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6"/>
        <v>start /low /b %USERPROFILE%\Documents\GitHub\eaglep3\Utilities\DownloadLogsFromS3.py --loco 4025 --day 2018-01-12</v>
      </c>
      <c r="AN109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8"/>
        <v>https://d0f6bd738d7f1b3e5a7ca70fe4ff75f0.us-east-1.aws.found.io/app/kibana#/discover/Steve-Slow-Train-Analysis-(2080s-and-2083s)?_g=(refreshInterval:(display:Off,pause:!f,section:0,value:0),time:(from:'2018-01-12T15:08:04-0700',mode:absolute,to:'2018-01-12T18:05:21-0700'))&amp;_a=(columns:!('Message%20ID',Summary),filters:!(),index:'emp_*',interval:auto,query:(query_string:(analyze_wildcard:!t,query:'%22rtdc.l.rtdc.4025%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833</v>
      </c>
      <c r="B110" s="225">
        <v>4060</v>
      </c>
      <c r="C110" s="227" t="s">
        <v>191</v>
      </c>
      <c r="D110" s="227" t="s">
        <v>943</v>
      </c>
      <c r="E110" s="226">
        <v>43112.654224537036</v>
      </c>
      <c r="F110" s="226">
        <v>43112.6565162037</v>
      </c>
      <c r="G110" s="225">
        <v>58</v>
      </c>
      <c r="H110" s="227" t="s">
        <v>627</v>
      </c>
      <c r="I110" s="226">
        <v>43112.681875000002</v>
      </c>
      <c r="J110" s="225">
        <v>0</v>
      </c>
      <c r="K110" s="237" t="str">
        <f>IF(ISEVEN(B110),(B110-1)&amp;"/"&amp;B110,B110&amp;"/"&amp;(B110+1))</f>
        <v>4059/4060</v>
      </c>
      <c r="L110" s="245" t="str">
        <f>VLOOKUP(A110,'Trips&amp;Operators'!$C$1:$G$99911,5,FALSE)</f>
        <v>LEVIN SCOTT</v>
      </c>
      <c r="M110" s="224">
        <f>I110-F110</f>
        <v>2.5358796301588882E-2</v>
      </c>
      <c r="N110" s="225">
        <f>24*60*SUM($M110:$M110)</f>
        <v>36.51666667428799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-12T14:42:05-0700',mode:absolute,to:'2018-01-12T17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4.4699999999999997E-2</v>
      </c>
      <c r="Z110" s="247">
        <f>RIGHT(H110,LEN(H110)-4)/10000</f>
        <v>23.334599999999998</v>
      </c>
      <c r="AA110" s="247">
        <f>ABS(Z110-Y110)</f>
        <v>23.289899999999999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197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/stypes="app*4060*20180112*" /stext=" 23:.+((SYSTEM_STATE.+slice.+state.+changed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4"/>
        <v>"%USERPROFILE%\Documents\GitHub\eaglep3\Utilities\RefineRTDCRunTimes.py" --tripid 197-12 --locoid 4060 --swversion DE.1.0.9.0 --startMP 204:447 --initTime 2018-01-12T15:42:05 --startdatetime 2018-01-12T15:45:23 --delay 58 --endMP 204:233346 --enddatetime 2018-01-12T16:21:54 --enforcementcount 0 &gt;&gt;%USERPROFILE%\Documents\GitHub\eaglep3-reporting\EC\2018-01-12-refined-times.txt</v>
      </c>
      <c r="AI11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{"issue":{"subject":"","project_id":79,"tracker_id":40,"status_id":1,"priority_id":2,"assigned_to_id":338,"start_date":"2018-01-12","description":"","custom_fields":[{"id":1,"name":"Subdivision","value":"EC"},{"id":4,"name":"Milepost","value":"23.3346"},{"id":17,"name":"Train ID","value":"197-12"},{"id":16,"name":"Locomotive ID","value":"4060"},{"id":130,"name":"Impact","value":""},{"id":150,"name":"Time of Event (Mountain Time)","value":"16:21:54"},{"id":151,"name":"Denver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6"/>
        <v>start /low /b %USERPROFILE%\Documents\GitHub\eaglep3\Utilities\DownloadLogsFromS3.py --loco 4060 --day 2018-01-12</v>
      </c>
      <c r="AN110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8"/>
        <v>https://d0f6bd738d7f1b3e5a7ca70fe4ff75f0.us-east-1.aws.found.io/app/kibana#/discover/Steve-Slow-Train-Analysis-(2080s-and-2083s)?_g=(refreshInterval:(display:Off,pause:!f,section:0,value:0),time:(from:'2018-01-12T14:42:05-0700',mode:absolute,to:'2018-01-12T17:21:54-0700'))&amp;_a=(columns:!('Message%20ID',Summary),filters:!(),index:'emp_*',interval:auto,query:(query_string:(analyze_wildcard:!t,query:'%22rtdc.l.rtdc.4060%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23" customFormat="1" x14ac:dyDescent="0.3">
      <c r="A111" s="229" t="s">
        <v>845</v>
      </c>
      <c r="B111" s="225">
        <v>4059</v>
      </c>
      <c r="C111" s="227" t="s">
        <v>191</v>
      </c>
      <c r="D111" s="227" t="s">
        <v>975</v>
      </c>
      <c r="E111" s="226">
        <v>43112.690520833334</v>
      </c>
      <c r="F111" s="226">
        <v>43112.696099537039</v>
      </c>
      <c r="G111" s="225">
        <v>55</v>
      </c>
      <c r="H111" s="227" t="s">
        <v>965</v>
      </c>
      <c r="I111" s="226">
        <v>43112.722395833334</v>
      </c>
      <c r="J111" s="225">
        <v>0</v>
      </c>
      <c r="K111" s="237" t="str">
        <f>IF(ISEVEN(B111),(B111-1)&amp;"/"&amp;B111,B111&amp;"/"&amp;(B111+1))</f>
        <v>4059/4060</v>
      </c>
      <c r="L111" s="245" t="str">
        <f>VLOOKUP(A111,'Trips&amp;Operators'!$C$1:$G$99911,5,FALSE)</f>
        <v>LEVIN SCOTT</v>
      </c>
      <c r="M111" s="224">
        <f>I111-F111</f>
        <v>2.6296296295186039E-2</v>
      </c>
      <c r="N111" s="225">
        <f>24*60*SUM($M111:$M111)</f>
        <v>37.866666665067896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-12T15:34:21-0700',mode:absolute,to:'2018-01-12T18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23.301100000000002</v>
      </c>
      <c r="Z111" s="247">
        <f>RIGHT(H111,LEN(H111)-4)/10000</f>
        <v>1.12E-2</v>
      </c>
      <c r="AA111" s="247">
        <f>ABS(Z111-Y111)</f>
        <v>23.289900000000003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198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/stypes="app*4059*20180113*" /stext=" 00:.+((SYSTEM_STATE.+slice.+state.+changed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4"/>
        <v>"%USERPROFILE%\Documents\GitHub\eaglep3\Utilities\RefineRTDCRunTimes.py" --tripid 198-12 --locoid 4059 --swversion DE.1.0.9.0 --startMP 204:233011 --initTime 2018-01-12T16:34:21 --startdatetime 2018-01-12T16:42:23 --delay 55 --endMP 204:112 --enddatetime 2018-01-12T17:20:15 --enforcementcount 0 &gt;&gt;%USERPROFILE%\Documents\GitHub\eaglep3-reporting\EC\2018-01-12-refined-times.txt</v>
      </c>
      <c r="AI11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{"issue":{"subject":"","project_id":79,"tracker_id":40,"status_id":1,"priority_id":2,"assigned_to_id":338,"start_date":"2018-01-12","description":"","custom_fields":[{"id":1,"name":"Subdivision","value":"EC"},{"id":4,"name":"Milepost","value":"0.0112"},{"id":17,"name":"Train ID","value":"198-12"},{"id":16,"name":"Locomotive ID","value":"4059"},{"id":130,"name":"Impact","value":""},{"id":150,"name":"Time of Event (Mountain Time)","value":"17:20:15"},{"id":151,"name":"Denver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231"/>
      <c r="AL111" s="231"/>
      <c r="AM111" s="240" t="str">
        <f t="shared" si="16"/>
        <v>start /low /b %USERPROFILE%\Documents\GitHub\eaglep3\Utilities\DownloadLogsFromS3.py --loco 4059 --day 2018-01-12</v>
      </c>
      <c r="AN111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8"/>
        <v>https://d0f6bd738d7f1b3e5a7ca70fe4ff75f0.us-east-1.aws.found.io/app/kibana#/discover/Steve-Slow-Train-Analysis-(2080s-and-2083s)?_g=(refreshInterval:(display:Off,pause:!f,section:0,value:0),time:(from:'2018-01-12T15:34:21-0700',mode:absolute,to:'2018-01-12T18:20:15-0700'))&amp;_a=(columns:!('Message%20ID',Summary),filters:!(),index:'emp_*',interval:auto,query:(query_string:(analyze_wildcard:!t,query:'%22rtdc.l.rtdc.4059%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835</v>
      </c>
      <c r="B112" s="225">
        <v>4040</v>
      </c>
      <c r="C112" s="227" t="s">
        <v>191</v>
      </c>
      <c r="D112" s="227" t="s">
        <v>468</v>
      </c>
      <c r="E112" s="226">
        <v>43112.661365740743</v>
      </c>
      <c r="F112" s="226">
        <v>43112.66684027778</v>
      </c>
      <c r="G112" s="225">
        <v>69</v>
      </c>
      <c r="H112" s="227" t="s">
        <v>990</v>
      </c>
      <c r="I112" s="226">
        <v>43112.693148148152</v>
      </c>
      <c r="J112" s="225">
        <v>0</v>
      </c>
      <c r="K112" s="237" t="str">
        <f>IF(ISEVEN(B112),(B112-1)&amp;"/"&amp;B112,B112&amp;"/"&amp;(B112+1))</f>
        <v>4039/4040</v>
      </c>
      <c r="L112" s="245" t="str">
        <f>VLOOKUP(A112,'Trips&amp;Operators'!$C$1:$G$99911,5,FALSE)</f>
        <v>BADERTSCHER DIANE</v>
      </c>
      <c r="M112" s="224">
        <f>I112-F112</f>
        <v>2.6307870371965691E-2</v>
      </c>
      <c r="N112" s="225">
        <f>24*60*SUM($M112:$M112)</f>
        <v>37.883333335630596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-12T14:52:22-0700',mode:absolute,to:'2018-01-12T17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4.9500000000000002E-2</v>
      </c>
      <c r="Z112" s="247">
        <f>RIGHT(H112,LEN(H112)-4)/10000</f>
        <v>23.334499999999998</v>
      </c>
      <c r="AA112" s="247">
        <f>ABS(Z112-Y112)</f>
        <v>23.285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199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/stypes="app*4040*20180112*"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4"/>
        <v>"%USERPROFILE%\Documents\GitHub\eaglep3\Utilities\RefineRTDCRunTimes.py" --tripid 199-12 --locoid 4040 --swversion DE.1.0.9.0 --startMP 204:495 --initTime 2018-01-12T15:52:22 --startdatetime 2018-01-12T16:00:15 --delay 69 --endMP 204:233345 --enddatetime 2018-01-12T16:38:08 --enforcementcount 0 &gt;&gt;%USERPROFILE%\Documents\GitHub\eaglep3-reporting\EC\2018-01-12-refined-times.txt</v>
      </c>
      <c r="AI11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{"issue":{"subject":"","project_id":79,"tracker_id":40,"status_id":1,"priority_id":2,"assigned_to_id":338,"start_date":"2018-01-12","description":"","custom_fields":[{"id":1,"name":"Subdivision","value":"EC"},{"id":4,"name":"Milepost","value":"23.3345"},{"id":17,"name":"Train ID","value":"199-12"},{"id":16,"name":"Locomotive ID","value":"4040"},{"id":130,"name":"Impact","value":""},{"id":150,"name":"Time of Event (Mountain Time)","value":"16:38:08"},{"id":151,"name":"Denver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6"/>
        <v>start /low /b %USERPROFILE%\Documents\GitHub\eaglep3\Utilities\DownloadLogsFromS3.py --loco 4040 --day 2018-01-12</v>
      </c>
      <c r="AN112" s="241" t="str">
        <f t="shared" si="1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8"/>
        <v>https://d0f6bd738d7f1b3e5a7ca70fe4ff75f0.us-east-1.aws.found.io/app/kibana#/discover/Steve-Slow-Train-Analysis-(2080s-and-2083s)?_g=(refreshInterval:(display:Off,pause:!f,section:0,value:0),time:(from:'2018-01-12T14:52:22-0700',mode:absolute,to:'2018-01-12T17:38:08-0700'))&amp;_a=(columns:!('Message%20ID',Summary),filters:!(),index:'emp_*',interval:auto,query:(query_string:(analyze_wildcard:!t,query:'%22rtdc.l.rtdc.4040%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847</v>
      </c>
      <c r="B113" s="225">
        <v>4039</v>
      </c>
      <c r="C113" s="227" t="s">
        <v>191</v>
      </c>
      <c r="D113" s="227" t="s">
        <v>630</v>
      </c>
      <c r="E113" s="226">
        <v>43112.701261574075</v>
      </c>
      <c r="F113" s="226">
        <v>43112.706412037034</v>
      </c>
      <c r="G113" s="225">
        <v>67</v>
      </c>
      <c r="H113" s="227" t="s">
        <v>646</v>
      </c>
      <c r="I113" s="226">
        <v>43112.733923611115</v>
      </c>
      <c r="J113" s="225">
        <v>0</v>
      </c>
      <c r="K113" s="237" t="str">
        <f>IF(ISEVEN(B113),(B113-1)&amp;"/"&amp;B113,B113&amp;"/"&amp;(B113+1))</f>
        <v>4039/4040</v>
      </c>
      <c r="L113" s="245" t="str">
        <f>VLOOKUP(A113,'Trips&amp;Operators'!$C$1:$G$99911,5,FALSE)</f>
        <v>BADERTSCHER DIANE</v>
      </c>
      <c r="M113" s="224">
        <f>I113-F113</f>
        <v>2.751157408056315E-2</v>
      </c>
      <c r="N113" s="225">
        <f>24*60*SUM($M113:$M113)</f>
        <v>39.616666676010936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-12T15:49:49-0700',mode:absolute,to:'2018-01-12T18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23.298999999999999</v>
      </c>
      <c r="Z113" s="247">
        <f>RIGHT(H113,LEN(H113)-4)/10000</f>
        <v>2.0899999999999998E-2</v>
      </c>
      <c r="AA113" s="247">
        <f>ABS(Z113-Y113)</f>
        <v>23.278099999999998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200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/stypes="app*4039*20180113*" /stext=" 00:.+((SYSTEM_STATE.+slice.+state.+changed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4"/>
        <v>"%USERPROFILE%\Documents\GitHub\eaglep3\Utilities\RefineRTDCRunTimes.py" --tripid 200-12 --locoid 4039 --swversion DE.1.0.9.0 --startMP 204:232990 --initTime 2018-01-12T16:49:49 --startdatetime 2018-01-12T16:57:14 --delay 67 --endMP 204:209 --enddatetime 2018-01-12T17:36:51 --enforcementcount 0 &gt;&gt;%USERPROFILE%\Documents\GitHub\eaglep3-reporting\EC\2018-01-12-refined-times.txt</v>
      </c>
      <c r="AI11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{"issue":{"subject":"","project_id":79,"tracker_id":40,"status_id":1,"priority_id":2,"assigned_to_id":338,"start_date":"2018-01-12","description":"","custom_fields":[{"id":1,"name":"Subdivision","value":"EC"},{"id":4,"name":"Milepost","value":"0.0209"},{"id":17,"name":"Train ID","value":"200-12"},{"id":16,"name":"Locomotive ID","value":"4039"},{"id":130,"name":"Impact","value":""},{"id":150,"name":"Time of Event (Mountain Time)","value":"17:36:51"},{"id":151,"name":"Denver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6"/>
        <v>start /low /b %USERPROFILE%\Documents\GitHub\eaglep3\Utilities\DownloadLogsFromS3.py --loco 4039 --day 2018-01-12</v>
      </c>
      <c r="AN113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8"/>
        <v>https://d0f6bd738d7f1b3e5a7ca70fe4ff75f0.us-east-1.aws.found.io/app/kibana#/discover/Steve-Slow-Train-Analysis-(2080s-and-2083s)?_g=(refreshInterval:(display:Off,pause:!f,section:0,value:0),time:(from:'2018-01-12T15:49:49-0700',mode:absolute,to:'2018-01-12T18:36:51-0700'))&amp;_a=(columns:!('Message%20ID',Summary),filters:!(),index:'emp_*',interval:auto,query:(query_string:(analyze_wildcard:!t,query:'%22rtdc.l.rtdc.4039%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3">
      <c r="A114" s="229" t="s">
        <v>681</v>
      </c>
      <c r="B114" s="225">
        <v>4028</v>
      </c>
      <c r="C114" s="227" t="s">
        <v>191</v>
      </c>
      <c r="D114" s="227" t="s">
        <v>442</v>
      </c>
      <c r="E114" s="226">
        <v>43112.670185185183</v>
      </c>
      <c r="F114" s="226">
        <v>43112.677233796298</v>
      </c>
      <c r="G114" s="225">
        <v>92</v>
      </c>
      <c r="H114" s="227" t="s">
        <v>991</v>
      </c>
      <c r="I114" s="226">
        <v>43112.700949074075</v>
      </c>
      <c r="J114" s="225">
        <v>0</v>
      </c>
      <c r="K114" s="237" t="str">
        <f>IF(ISEVEN(B114),(B114-1)&amp;"/"&amp;B114,B114&amp;"/"&amp;(B114+1))</f>
        <v>4027/4028</v>
      </c>
      <c r="L114" s="245" t="str">
        <f>VLOOKUP(A114,'Trips&amp;Operators'!$C$1:$G$99911,5,FALSE)</f>
        <v>ROBINSON KADDIBA</v>
      </c>
      <c r="M114" s="224">
        <f>I114-F114</f>
        <v>2.3715277777228039E-2</v>
      </c>
      <c r="N114" s="225"/>
      <c r="O114" s="225"/>
      <c r="P114" s="225">
        <f>24*60*SUM($M114:$M114)</f>
        <v>34.149999999208376</v>
      </c>
      <c r="Q114" s="228"/>
      <c r="R114" s="242" t="s">
        <v>437</v>
      </c>
      <c r="S114" s="249">
        <f>1/IF(AG114="EC",12,1)*SUM(U114:U114)</f>
        <v>1</v>
      </c>
      <c r="T114" s="242" t="str">
        <f>IF(ISEVEN(LEFT(AD114,4)),"Southbound","NorthBound")</f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-12T15:05:04-0700',mode:absolute,to:'2018-01-12T17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247" t="str">
        <f>IF(AA114&lt;VLOOKUP(AG114,Variables!$AC$3:$AD$8,2,FALSE),"Y","N")</f>
        <v>Y</v>
      </c>
      <c r="X114" s="247">
        <f>VALUE(LEFT(AD114,4))-VALUE(LEFT(AD113,4))</f>
        <v>1</v>
      </c>
      <c r="Y114" s="247">
        <f>RIGHT(D114,LEN(D114)-4)/10000</f>
        <v>5.1700000000000003E-2</v>
      </c>
      <c r="Z114" s="247">
        <f>RIGHT(H114,LEN(H114)-4)/10000</f>
        <v>22.197900000000001</v>
      </c>
      <c r="AA114" s="247">
        <f>ABS(Z114-Y114)</f>
        <v>22.1462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201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/stypes="app*4028*20180112*" /stext=" 23:.+((SYSTEM_STATE.+slice.+state.+changed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4"/>
        <v>"%USERPROFILE%\Documents\GitHub\eaglep3\Utilities\RefineRTDCRunTimes.py" --tripid 201-12 --locoid 4028 --swversion DE.1.0.9.0 --startMP 204:517 --initTime 2018-01-12T16:05:04 --startdatetime 2018-01-12T16:15:13 --delay 92 --endMP 204:221979 --enddatetime 2018-01-12T16:49:22 --enforcementcount 0 &gt;&gt;%USERPROFILE%\Documents\GitHub\eaglep3-reporting\EC\2018-01-12-refined-times.txt</v>
      </c>
      <c r="AI114" s="238" t="str">
        <f t="shared" si="15"/>
        <v>echo {"issue":{"subject":"Wi-MAX data drop","project_id":79,"tracker_id":40,"status_id":1,"priority_id":2,"assigned_to_id":338,"start_date":"2018-01-12","description":"","custom_fields":[{"id":1,"name":"Subdivision","value":"EC"},{"id":4,"name":"Milepost","value":"22.1979"},{"id":17,"name":"Train ID","value":"201-12"},{"id":16,"name":"Locomotive ID","value":"4028"},{"id":130,"name":"Impact","value":""},{"id":150,"name":"Time of Event (Mountain Time)","value":"16:49:22"},{"id":151,"name":"Denver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16"/>
        <v>start /low /b %USERPROFILE%\Documents\GitHub\eaglep3\Utilities\DownloadLogsFromS3.py --loco 4028 --day 2018-01-12</v>
      </c>
      <c r="AN114" s="241" t="str">
        <f t="shared" si="17"/>
        <v>echo {"issue":{"subject":"Wi-MAX data drop","project_id":30,"tracker_id":4,"status_id":1,"priority_id":1,"assigned_to_id":10,"start_date":"2018-01-12","description":"","custom_fields":[{"id":30,"name":"Category","value":"Issue"},{"id":3,"name":"Functional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8"/>
        <v>https://d0f6bd738d7f1b3e5a7ca70fe4ff75f0.us-east-1.aws.found.io/app/kibana#/discover/Steve-Slow-Train-Analysis-(2080s-and-2083s)?_g=(refreshInterval:(display:Off,pause:!f,section:0,value:0),time:(from:'2018-01-12T15:05:04-0700',mode:absolute,to:'2018-01-12T17:49:22-0700'))&amp;_a=(columns:!('Message%20ID',Summary),filters:!(),index:'emp_*',interval:auto,query:(query_string:(analyze_wildcard:!t,query:'%22rtdc.l.rtdc.4028%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850</v>
      </c>
      <c r="B115" s="225">
        <v>4027</v>
      </c>
      <c r="C115" s="227" t="s">
        <v>191</v>
      </c>
      <c r="D115" s="227" t="s">
        <v>992</v>
      </c>
      <c r="E115" s="226">
        <v>43112.713263888887</v>
      </c>
      <c r="F115" s="226">
        <v>43112.716840277775</v>
      </c>
      <c r="G115" s="225">
        <v>64</v>
      </c>
      <c r="H115" s="227" t="s">
        <v>981</v>
      </c>
      <c r="I115" s="226">
        <v>43112.743460648147</v>
      </c>
      <c r="J115" s="225">
        <v>0</v>
      </c>
      <c r="K115" s="237" t="str">
        <f>IF(ISEVEN(B115),(B115-1)&amp;"/"&amp;B115,B115&amp;"/"&amp;(B115+1))</f>
        <v>4027/4028</v>
      </c>
      <c r="L115" s="245" t="str">
        <f>VLOOKUP(A115,'Trips&amp;Operators'!$C$1:$G$99911,5,FALSE)</f>
        <v>ROBINSON KADDIBA</v>
      </c>
      <c r="M115" s="224">
        <f>I115-F115</f>
        <v>2.662037037225673E-2</v>
      </c>
      <c r="N115" s="225">
        <f>24*60*SUM($M115:$M115)</f>
        <v>38.333333336049691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-12T16:07:06-0700',mode:absolute,to:'2018-01-12T18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23.2972</v>
      </c>
      <c r="Z115" s="247">
        <f>RIGHT(H115,LEN(H115)-4)/10000</f>
        <v>1.8700000000000001E-2</v>
      </c>
      <c r="AA115" s="247">
        <f>ABS(Z115-Y115)</f>
        <v>23.278500000000001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202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/stypes="app*4027*20180113*"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4"/>
        <v>"%USERPROFILE%\Documents\GitHub\eaglep3\Utilities\RefineRTDCRunTimes.py" --tripid 202-12 --locoid 4027 --swversion DE.1.0.9.0 --startMP 204:232972 --initTime 2018-01-12T17:07:06 --startdatetime 2018-01-12T17:12:15 --delay 64 --endMP 204:187 --enddatetime 2018-01-12T17:50:35 --enforcementcount 0 &gt;&gt;%USERPROFILE%\Documents\GitHub\eaglep3-reporting\EC\2018-01-12-refined-times.txt</v>
      </c>
      <c r="AI115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{"issue":{"subject":"","project_id":79,"tracker_id":40,"status_id":1,"priority_id":2,"assigned_to_id":338,"start_date":"2018-01-12","description":"","custom_fields":[{"id":1,"name":"Subdivision","value":"EC"},{"id":4,"name":"Milepost","value":"0.0187"},{"id":17,"name":"Train ID","value":"202-12"},{"id":16,"name":"Locomotive ID","value":"4027"},{"id":130,"name":"Impact","value":""},{"id":150,"name":"Time of Event (Mountain Time)","value":"17:50:35"},{"id":151,"name":"Denver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6"/>
        <v>start /low /b %USERPROFILE%\Documents\GitHub\eaglep3\Utilities\DownloadLogsFromS3.py --loco 4027 --day 2018-01-12</v>
      </c>
      <c r="AN115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8"/>
        <v>https://d0f6bd738d7f1b3e5a7ca70fe4ff75f0.us-east-1.aws.found.io/app/kibana#/discover/Steve-Slow-Train-Analysis-(2080s-and-2083s)?_g=(refreshInterval:(display:Off,pause:!f,section:0,value:0),time:(from:'2018-01-12T16:07:06-0700',mode:absolute,to:'2018-01-12T18:50:35-0700'))&amp;_a=(columns:!('Message%20ID',Summary),filters:!(),index:'emp_*',interval:auto,query:(query_string:(analyze_wildcard:!t,query:'%22rtdc.l.rtdc.4027%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842</v>
      </c>
      <c r="B116" s="225">
        <v>4018</v>
      </c>
      <c r="C116" s="227" t="s">
        <v>191</v>
      </c>
      <c r="D116" s="227" t="s">
        <v>618</v>
      </c>
      <c r="E116" s="226">
        <v>43112.684895833336</v>
      </c>
      <c r="F116" s="226">
        <v>43112.687731481485</v>
      </c>
      <c r="G116" s="225">
        <v>62</v>
      </c>
      <c r="H116" s="227" t="s">
        <v>990</v>
      </c>
      <c r="I116" s="226">
        <v>43112.713437500002</v>
      </c>
      <c r="J116" s="225">
        <v>0</v>
      </c>
      <c r="K116" s="237" t="str">
        <f>IF(ISEVEN(B116),(B116-1)&amp;"/"&amp;B116,B116&amp;"/"&amp;(B116+1))</f>
        <v>4017/4018</v>
      </c>
      <c r="L116" s="245" t="str">
        <f>VLOOKUP(A116,'Trips&amp;Operators'!$C$1:$G$99911,5,FALSE)</f>
        <v>SAFIEF AEIMEN</v>
      </c>
      <c r="M116" s="224">
        <f>I116-F116</f>
        <v>2.5706018517666962E-2</v>
      </c>
      <c r="N116" s="225">
        <f>24*60*SUM($M116:$M116)</f>
        <v>37.016666665440425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-12T15:26:15-0700',mode:absolute,to:'2018-01-12T18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4.8800000000000003E-2</v>
      </c>
      <c r="Z116" s="247">
        <f>RIGHT(H116,LEN(H116)-4)/10000</f>
        <v>23.334499999999998</v>
      </c>
      <c r="AA116" s="247">
        <f>ABS(Z116-Y116)</f>
        <v>23.285699999999999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203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/stypes="app*4018*20180113*"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4"/>
        <v>"%USERPROFILE%\Documents\GitHub\eaglep3\Utilities\RefineRTDCRunTimes.py" --tripid 203-12 --locoid 4018 --swversion DE.1.0.9.0 --startMP 204:488 --initTime 2018-01-12T16:26:15 --startdatetime 2018-01-12T16:30:20 --delay 62 --endMP 204:233345 --enddatetime 2018-01-12T17:07:21 --enforcementcount 0 &gt;&gt;%USERPROFILE%\Documents\GitHub\eaglep3-reporting\EC\2018-01-12-refined-times.txt</v>
      </c>
      <c r="AI11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{"issue":{"subject":"","project_id":79,"tracker_id":40,"status_id":1,"priority_id":2,"assigned_to_id":338,"start_date":"2018-01-12","description":"","custom_fields":[{"id":1,"name":"Subdivision","value":"EC"},{"id":4,"name":"Milepost","value":"23.3345"},{"id":17,"name":"Train ID","value":"203-12"},{"id":16,"name":"Locomotive ID","value":"4018"},{"id":130,"name":"Impact","value":""},{"id":150,"name":"Time of Event (Mountain Time)","value":"17:07:21"},{"id":151,"name":"Denver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6"/>
        <v>start /low /b %USERPROFILE%\Documents\GitHub\eaglep3\Utilities\DownloadLogsFromS3.py --loco 4018 --day 2018-01-12</v>
      </c>
      <c r="AN116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8"/>
        <v>https://d0f6bd738d7f1b3e5a7ca70fe4ff75f0.us-east-1.aws.found.io/app/kibana#/discover/Steve-Slow-Train-Analysis-(2080s-and-2083s)?_g=(refreshInterval:(display:Off,pause:!f,section:0,value:0),time:(from:'2018-01-12T15:26:15-0700',mode:absolute,to:'2018-01-12T18:07:21-0700'))&amp;_a=(columns:!('Message%20ID',Summary),filters:!(),index:'emp_*',interval:auto,query:(query_string:(analyze_wildcard:!t,query:'%22rtdc.l.rtdc.4018%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852</v>
      </c>
      <c r="B117" s="225">
        <v>4017</v>
      </c>
      <c r="C117" s="227" t="s">
        <v>191</v>
      </c>
      <c r="D117" s="227" t="s">
        <v>952</v>
      </c>
      <c r="E117" s="226">
        <v>43112.715787037036</v>
      </c>
      <c r="F117" s="226">
        <v>43112.727268518516</v>
      </c>
      <c r="G117" s="225">
        <v>58</v>
      </c>
      <c r="H117" s="227" t="s">
        <v>440</v>
      </c>
      <c r="I117" s="226">
        <v>43112.754733796297</v>
      </c>
      <c r="J117" s="225">
        <v>0</v>
      </c>
      <c r="K117" s="237" t="str">
        <f>IF(ISEVEN(B117),(B117-1)&amp;"/"&amp;B117,B117&amp;"/"&amp;(B117+1))</f>
        <v>4017/4018</v>
      </c>
      <c r="L117" s="245" t="str">
        <f>VLOOKUP(A117,'Trips&amp;Operators'!$C$1:$G$99911,5,FALSE)</f>
        <v>SAFIEF AEIMEN</v>
      </c>
      <c r="M117" s="224">
        <f>I117-F117</f>
        <v>2.7465277780720498E-2</v>
      </c>
      <c r="N117" s="225">
        <f>24*60*SUM($M117:$M117)</f>
        <v>39.550000004237518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-12T16:10:44-0700',mode:absolute,to:'2018-01-12T19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23.3005</v>
      </c>
      <c r="Z117" s="247">
        <f>RIGHT(H117,LEN(H117)-4)/10000</f>
        <v>2.01E-2</v>
      </c>
      <c r="AA117" s="247">
        <f>ABS(Z117-Y117)</f>
        <v>23.2804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204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/stypes="app*4017*20180113*" /stext=" 01:.+((SYSTEM_STATE.+slice.+state.+changed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4"/>
        <v>"%USERPROFILE%\Documents\GitHub\eaglep3\Utilities\RefineRTDCRunTimes.py" --tripid 204-12 --locoid 4017 --swversion DE.1.0.9.0 --startMP 204:233005 --initTime 2018-01-12T17:10:44 --startdatetime 2018-01-12T17:27:16 --delay 58 --endMP 204:201 --enddatetime 2018-01-12T18:06:49 --enforcementcount 0 &gt;&gt;%USERPROFILE%\Documents\GitHub\eaglep3-reporting\EC\2018-01-12-refined-times.txt</v>
      </c>
      <c r="AI117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{"issue":{"subject":"","project_id":79,"tracker_id":40,"status_id":1,"priority_id":2,"assigned_to_id":338,"start_date":"2018-01-12","description":"","custom_fields":[{"id":1,"name":"Subdivision","value":"EC"},{"id":4,"name":"Milepost","value":"0.0201"},{"id":17,"name":"Train ID","value":"204-12"},{"id":16,"name":"Locomotive ID","value":"4017"},{"id":130,"name":"Impact","value":""},{"id":150,"name":"Time of Event (Mountain Time)","value":"18:06:49"},{"id":151,"name":"Denver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6"/>
        <v>start /low /b %USERPROFILE%\Documents\GitHub\eaglep3\Utilities\DownloadLogsFromS3.py --loco 4017 --day 2018-01-12</v>
      </c>
      <c r="AN117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8"/>
        <v>https://d0f6bd738d7f1b3e5a7ca70fe4ff75f0.us-east-1.aws.found.io/app/kibana#/discover/Steve-Slow-Train-Analysis-(2080s-and-2083s)?_g=(refreshInterval:(display:Off,pause:!f,section:0,value:0),time:(from:'2018-01-12T16:10:44-0700',mode:absolute,to:'2018-01-12T19:06:49-0700'))&amp;_a=(columns:!('Message%20ID',Summary),filters:!(),index:'emp_*',interval:auto,query:(query_string:(analyze_wildcard:!t,query:'%22rtdc.l.rtdc.4017%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846</v>
      </c>
      <c r="B118" s="225">
        <v>4006</v>
      </c>
      <c r="C118" s="227" t="s">
        <v>191</v>
      </c>
      <c r="D118" s="227" t="s">
        <v>536</v>
      </c>
      <c r="E118" s="226">
        <v>43112.692604166667</v>
      </c>
      <c r="F118" s="226">
        <v>43112.698148148149</v>
      </c>
      <c r="G118" s="225">
        <v>122</v>
      </c>
      <c r="H118" s="227" t="s">
        <v>978</v>
      </c>
      <c r="I118" s="226">
        <v>43112.723425925928</v>
      </c>
      <c r="J118" s="225">
        <v>0</v>
      </c>
      <c r="K118" s="237" t="str">
        <f>IF(ISEVEN(B118),(B118-1)&amp;"/"&amp;B118,B118&amp;"/"&amp;(B118+1))</f>
        <v>4005/4006</v>
      </c>
      <c r="L118" s="245" t="str">
        <f>VLOOKUP(A118,'Trips&amp;Operators'!$C$1:$G$99911,5,FALSE)</f>
        <v>SANTIZO D. EDY</v>
      </c>
      <c r="M118" s="224">
        <f>I118-F118</f>
        <v>2.527777777868323E-2</v>
      </c>
      <c r="N118" s="225">
        <f>24*60*SUM($M118:$M118)</f>
        <v>36.400000001303852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-12T15:37:21-0700',mode:absolute,to:'2018-01-12T18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5.2200000000000003E-2</v>
      </c>
      <c r="Z118" s="247">
        <f>RIGHT(H118,LEN(H118)-4)/10000</f>
        <v>23.323599999999999</v>
      </c>
      <c r="AA118" s="247">
        <f>ABS(Z118-Y118)</f>
        <v>23.2714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205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/stypes="app*4006*20180113*"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4"/>
        <v>"%USERPROFILE%\Documents\GitHub\eaglep3\Utilities\RefineRTDCRunTimes.py" --tripid 205-12 --locoid 4006 --swversion DE.1.0.9.0 --startMP 204:522 --initTime 2018-01-12T16:37:21 --startdatetime 2018-01-12T16:45:20 --delay 122 --endMP 204:233236 --enddatetime 2018-01-12T17:21:44 --enforcementcount 0 &gt;&gt;%USERPROFILE%\Documents\GitHub\eaglep3-reporting\EC\2018-01-12-refined-times.txt</v>
      </c>
      <c r="AI11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{"issue":{"subject":"","project_id":79,"tracker_id":40,"status_id":1,"priority_id":2,"assigned_to_id":338,"start_date":"2018-01-12","description":"","custom_fields":[{"id":1,"name":"Subdivision","value":"EC"},{"id":4,"name":"Milepost","value":"23.3236"},{"id":17,"name":"Train ID","value":"205-12"},{"id":16,"name":"Locomotive ID","value":"4006"},{"id":130,"name":"Impact","value":""},{"id":150,"name":"Time of Event (Mountain Time)","value":"17:21:44"},{"id":151,"name":"Denver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6"/>
        <v>start /low /b %USERPROFILE%\Documents\GitHub\eaglep3\Utilities\DownloadLogsFromS3.py --loco 4006 --day 2018-01-12</v>
      </c>
      <c r="AN118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8"/>
        <v>https://d0f6bd738d7f1b3e5a7ca70fe4ff75f0.us-east-1.aws.found.io/app/kibana#/discover/Steve-Slow-Train-Analysis-(2080s-and-2083s)?_g=(refreshInterval:(display:Off,pause:!f,section:0,value:0),time:(from:'2018-01-12T15:37:21-0700',mode:absolute,to:'2018-01-12T18:21:44-0700'))&amp;_a=(columns:!('Message%20ID',Summary),filters:!(),index:'emp_*',interval:auto,query:(query_string:(analyze_wildcard:!t,query:'%22rtdc.l.rtdc.4006%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853</v>
      </c>
      <c r="B119" s="225">
        <v>4005</v>
      </c>
      <c r="C119" s="227" t="s">
        <v>191</v>
      </c>
      <c r="D119" s="227" t="s">
        <v>993</v>
      </c>
      <c r="E119" s="226">
        <v>43112.725092592591</v>
      </c>
      <c r="F119" s="226">
        <v>43112.737673611111</v>
      </c>
      <c r="G119" s="225">
        <v>85</v>
      </c>
      <c r="H119" s="227" t="s">
        <v>542</v>
      </c>
      <c r="I119" s="226">
        <v>43112.765185185184</v>
      </c>
      <c r="J119" s="225">
        <v>0</v>
      </c>
      <c r="K119" s="237" t="str">
        <f>IF(ISEVEN(B119),(B119-1)&amp;"/"&amp;B119,B119&amp;"/"&amp;(B119+1))</f>
        <v>4005/4006</v>
      </c>
      <c r="L119" s="245" t="str">
        <f>VLOOKUP(A119,'Trips&amp;Operators'!$C$1:$G$99911,5,FALSE)</f>
        <v>SANTIZO D. EDY</v>
      </c>
      <c r="M119" s="224">
        <f>I119-F119</f>
        <v>2.7511574073287193E-2</v>
      </c>
      <c r="N119" s="225">
        <f>24*60*SUM($M119:$M119)</f>
        <v>39.616666665533558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-12T16:24:08-0700',mode:absolute,to:'2018-01-12T19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23.2926</v>
      </c>
      <c r="Z119" s="247">
        <f>RIGHT(H119,LEN(H119)-4)/10000</f>
        <v>2.2100000000000002E-2</v>
      </c>
      <c r="AA119" s="247">
        <f>ABS(Z119-Y119)</f>
        <v>23.270500000000002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206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/stypes="app*4005*20180113*" /stext=" 01:.+((SYSTEM_STATE.+slice.+state.+changed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4"/>
        <v>"%USERPROFILE%\Documents\GitHub\eaglep3\Utilities\RefineRTDCRunTimes.py" --tripid 206-12 --locoid 4005 --swversion DE.1.0.9.0 --startMP 204:232926 --initTime 2018-01-12T17:24:08 --startdatetime 2018-01-12T17:42:15 --delay 85 --endMP 204:221 --enddatetime 2018-01-12T18:21:52 --enforcementcount 0 &gt;&gt;%USERPROFILE%\Documents\GitHub\eaglep3-reporting\EC\2018-01-12-refined-times.txt</v>
      </c>
      <c r="AI11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{"issue":{"subject":"","project_id":79,"tracker_id":40,"status_id":1,"priority_id":2,"assigned_to_id":338,"start_date":"2018-01-12","description":"","custom_fields":[{"id":1,"name":"Subdivision","value":"EC"},{"id":4,"name":"Milepost","value":"0.0221"},{"id":17,"name":"Train ID","value":"206-12"},{"id":16,"name":"Locomotive ID","value":"4005"},{"id":130,"name":"Impact","value":""},{"id":150,"name":"Time of Event (Mountain Time)","value":"18:21:52"},{"id":151,"name":"Denver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6"/>
        <v>start /low /b %USERPROFILE%\Documents\GitHub\eaglep3\Utilities\DownloadLogsFromS3.py --loco 4005 --day 2018-01-12</v>
      </c>
      <c r="AN119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8"/>
        <v>https://d0f6bd738d7f1b3e5a7ca70fe4ff75f0.us-east-1.aws.found.io/app/kibana#/discover/Steve-Slow-Train-Analysis-(2080s-and-2083s)?_g=(refreshInterval:(display:Off,pause:!f,section:0,value:0),time:(from:'2018-01-12T16:24:08-0700',mode:absolute,to:'2018-01-12T19:21:52-0700'))&amp;_a=(columns:!('Message%20ID',Summary),filters:!(),index:'emp_*',interval:auto,query:(query_string:(analyze_wildcard:!t,query:'%22rtdc.l.rtdc.4005%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848</v>
      </c>
      <c r="B120" s="225">
        <v>4004</v>
      </c>
      <c r="C120" s="227" t="s">
        <v>191</v>
      </c>
      <c r="D120" s="227" t="s">
        <v>994</v>
      </c>
      <c r="E120" s="226">
        <v>43112.708009259259</v>
      </c>
      <c r="F120" s="226">
        <v>43112.709432870368</v>
      </c>
      <c r="G120" s="225">
        <v>55</v>
      </c>
      <c r="H120" s="227" t="s">
        <v>932</v>
      </c>
      <c r="I120" s="226">
        <v>43112.735752314817</v>
      </c>
      <c r="J120" s="225">
        <v>0</v>
      </c>
      <c r="K120" s="237" t="str">
        <f>IF(ISEVEN(B120),(B120-1)&amp;"/"&amp;B120,B120&amp;"/"&amp;(B120+1))</f>
        <v>4003/4004</v>
      </c>
      <c r="L120" s="245" t="str">
        <f>VLOOKUP(A120,'Trips&amp;Operators'!$C$1:$G$99911,5,FALSE)</f>
        <v>LONG FULLER</v>
      </c>
      <c r="M120" s="224">
        <f>I120-F120</f>
        <v>2.6319444448745344E-2</v>
      </c>
      <c r="N120" s="225">
        <f>24*60*SUM($M120:$M120)</f>
        <v>37.900000006193295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-12T15:59:32-0700',mode:absolute,to:'2018-01-12T18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6.2799999999999995E-2</v>
      </c>
      <c r="Z120" s="247">
        <f>RIGHT(H120,LEN(H120)-4)/10000</f>
        <v>23.3276</v>
      </c>
      <c r="AA120" s="247">
        <f>ABS(Z120-Y120)</f>
        <v>23.264800000000001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207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/stypes="app*4004*20180113*"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4"/>
        <v>"%USERPROFILE%\Documents\GitHub\eaglep3\Utilities\RefineRTDCRunTimes.py" --tripid 207-12 --locoid 4004 --swversion DE.1.0.9.0 --startMP 204:628 --initTime 2018-01-12T16:59:32 --startdatetime 2018-01-12T17:01:35 --delay 55 --endMP 204:233276 --enddatetime 2018-01-12T17:39:29 --enforcementcount 0 &gt;&gt;%USERPROFILE%\Documents\GitHub\eaglep3-reporting\EC\2018-01-12-refined-times.txt</v>
      </c>
      <c r="AI12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{"issue":{"subject":"","project_id":79,"tracker_id":40,"status_id":1,"priority_id":2,"assigned_to_id":338,"start_date":"2018-01-12","description":"","custom_fields":[{"id":1,"name":"Subdivision","value":"EC"},{"id":4,"name":"Milepost","value":"23.3276"},{"id":17,"name":"Train ID","value":"207-12"},{"id":16,"name":"Locomotive ID","value":"4004"},{"id":130,"name":"Impact","value":""},{"id":150,"name":"Time of Event (Mountain Time)","value":"17:39:29"},{"id":151,"name":"Denver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6"/>
        <v>start /low /b %USERPROFILE%\Documents\GitHub\eaglep3\Utilities\DownloadLogsFromS3.py --loco 4004 --day 2018-01-12</v>
      </c>
      <c r="AN120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8"/>
        <v>https://d0f6bd738d7f1b3e5a7ca70fe4ff75f0.us-east-1.aws.found.io/app/kibana#/discover/Steve-Slow-Train-Analysis-(2080s-and-2083s)?_g=(refreshInterval:(display:Off,pause:!f,section:0,value:0),time:(from:'2018-01-12T15:59:32-0700',mode:absolute,to:'2018-01-12T18:39:29-0700'))&amp;_a=(columns:!('Message%20ID',Summary),filters:!(),index:'emp_*',interval:auto,query:(query_string:(analyze_wildcard:!t,query:'%22rtdc.l.rtdc.4004%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858</v>
      </c>
      <c r="B121" s="225">
        <v>4003</v>
      </c>
      <c r="C121" s="227" t="s">
        <v>191</v>
      </c>
      <c r="D121" s="227" t="s">
        <v>930</v>
      </c>
      <c r="E121" s="226">
        <v>43112.741736111115</v>
      </c>
      <c r="F121" s="226">
        <v>43112.748090277775</v>
      </c>
      <c r="G121" s="225">
        <v>75</v>
      </c>
      <c r="H121" s="227" t="s">
        <v>490</v>
      </c>
      <c r="I121" s="226">
        <v>43112.775185185186</v>
      </c>
      <c r="J121" s="225">
        <v>0</v>
      </c>
      <c r="K121" s="237" t="str">
        <f>IF(ISEVEN(B121),(B121-1)&amp;"/"&amp;B121,B121&amp;"/"&amp;(B121+1))</f>
        <v>4003/4004</v>
      </c>
      <c r="L121" s="245" t="str">
        <f>VLOOKUP(A121,'Trips&amp;Operators'!$C$1:$G$99911,5,FALSE)</f>
        <v>LONG FULLER</v>
      </c>
      <c r="M121" s="224">
        <f>I121-F121</f>
        <v>2.7094907411083113E-2</v>
      </c>
      <c r="N121" s="225">
        <f>24*60*SUM($M121:$M121)</f>
        <v>39.016666671959683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-12T16:48:06-0700',mode:absolute,to:'2018-01-12T19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23.294799999999999</v>
      </c>
      <c r="Z121" s="247">
        <f>RIGHT(H121,LEN(H121)-4)/10000</f>
        <v>2.2700000000000001E-2</v>
      </c>
      <c r="AA121" s="247">
        <f>ABS(Z121-Y121)</f>
        <v>23.272099999999998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208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/stypes="app*4003*20180113*" /stext=" 01:.+((SYSTEM_STATE.+slice.+state.+changed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4"/>
        <v>"%USERPROFILE%\Documents\GitHub\eaglep3\Utilities\RefineRTDCRunTimes.py" --tripid 208-12 --locoid 4003 --swversion DE.1.0.9.0 --startMP 204:232948 --initTime 2018-01-12T17:48:06 --startdatetime 2018-01-12T17:57:15 --delay 75 --endMP 204:227 --enddatetime 2018-01-12T18:36:16 --enforcementcount 0 &gt;&gt;%USERPROFILE%\Documents\GitHub\eaglep3-reporting\EC\2018-01-12-refined-times.txt</v>
      </c>
      <c r="AI12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{"issue":{"subject":"","project_id":79,"tracker_id":40,"status_id":1,"priority_id":2,"assigned_to_id":338,"start_date":"2018-01-12","description":"","custom_fields":[{"id":1,"name":"Subdivision","value":"EC"},{"id":4,"name":"Milepost","value":"0.0227"},{"id":17,"name":"Train ID","value":"208-12"},{"id":16,"name":"Locomotive ID","value":"4003"},{"id":130,"name":"Impact","value":""},{"id":150,"name":"Time of Event (Mountain Time)","value":"18:36:16"},{"id":151,"name":"Denver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6"/>
        <v>start /low /b %USERPROFILE%\Documents\GitHub\eaglep3\Utilities\DownloadLogsFromS3.py --loco 4003 --day 2018-01-12</v>
      </c>
      <c r="AN121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8"/>
        <v>https://d0f6bd738d7f1b3e5a7ca70fe4ff75f0.us-east-1.aws.found.io/app/kibana#/discover/Steve-Slow-Train-Analysis-(2080s-and-2083s)?_g=(refreshInterval:(display:Off,pause:!f,section:0,value:0),time:(from:'2018-01-12T16:48:06-0700',mode:absolute,to:'2018-01-12T19:36:16-0700'))&amp;_a=(columns:!('Message%20ID',Summary),filters:!(),index:'emp_*',interval:auto,query:(query_string:(analyze_wildcard:!t,query:'%22rtdc.l.rtdc.4003%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851</v>
      </c>
      <c r="B122" s="225">
        <v>4026</v>
      </c>
      <c r="C122" s="227" t="s">
        <v>191</v>
      </c>
      <c r="D122" s="227" t="s">
        <v>624</v>
      </c>
      <c r="E122" s="226">
        <v>43112.713842592595</v>
      </c>
      <c r="F122" s="226">
        <v>43112.718923611108</v>
      </c>
      <c r="G122" s="225">
        <v>92</v>
      </c>
      <c r="H122" s="227" t="s">
        <v>543</v>
      </c>
      <c r="I122" s="226">
        <v>43112.743819444448</v>
      </c>
      <c r="J122" s="225">
        <v>0</v>
      </c>
      <c r="K122" s="237" t="str">
        <f>IF(ISEVEN(B122),(B122-1)&amp;"/"&amp;B122,B122&amp;"/"&amp;(B122+1))</f>
        <v>4025/4026</v>
      </c>
      <c r="L122" s="245" t="str">
        <f>VLOOKUP(A122,'Trips&amp;Operators'!$C$1:$G$99911,5,FALSE)</f>
        <v>FORTUNATO FRANK</v>
      </c>
      <c r="M122" s="224">
        <f>I122-F122</f>
        <v>2.489583333954215E-2</v>
      </c>
      <c r="N122" s="225">
        <f>24*60*SUM($M122:$M122)</f>
        <v>35.850000008940697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-12T16:07:56-0700',mode:absolute,to:'2018-01-12T18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5.2400000000000002E-2</v>
      </c>
      <c r="Z122" s="247">
        <f>RIGHT(H122,LEN(H122)-4)/10000</f>
        <v>23.319299999999998</v>
      </c>
      <c r="AA122" s="247">
        <f>ABS(Z122-Y122)</f>
        <v>23.2669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209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/stypes="app*4026*20180113*" /stext=" 00:.+((SYSTEM_STATE.+slice.+state.+changed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4"/>
        <v>"%USERPROFILE%\Documents\GitHub\eaglep3\Utilities\RefineRTDCRunTimes.py" --tripid 209-12 --locoid 4026 --swversion DE.1.0.9.0 --startMP 204:524 --initTime 2018-01-12T17:07:56 --startdatetime 2018-01-12T17:15:15 --delay 92 --endMP 204:233193 --enddatetime 2018-01-12T17:51:06 --enforcementcount 0 &gt;&gt;%USERPROFILE%\Documents\GitHub\eaglep3-reporting\EC\2018-01-12-refined-times.txt</v>
      </c>
      <c r="AI12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{"issue":{"subject":"","project_id":79,"tracker_id":40,"status_id":1,"priority_id":2,"assigned_to_id":338,"start_date":"2018-01-12","description":"","custom_fields":[{"id":1,"name":"Subdivision","value":"EC"},{"id":4,"name":"Milepost","value":"23.3193"},{"id":17,"name":"Train ID","value":"209-12"},{"id":16,"name":"Locomotive ID","value":"4026"},{"id":130,"name":"Impact","value":""},{"id":150,"name":"Time of Event (Mountain Time)","value":"17:51:06"},{"id":151,"name":"Denver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6"/>
        <v>start /low /b %USERPROFILE%\Documents\GitHub\eaglep3\Utilities\DownloadLogsFromS3.py --loco 4026 --day 2018-01-12</v>
      </c>
      <c r="AN122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8"/>
        <v>https://d0f6bd738d7f1b3e5a7ca70fe4ff75f0.us-east-1.aws.found.io/app/kibana#/discover/Steve-Slow-Train-Analysis-(2080s-and-2083s)?_g=(refreshInterval:(display:Off,pause:!f,section:0,value:0),time:(from:'2018-01-12T16:07:56-0700',mode:absolute,to:'2018-01-12T18:51:06-0700'))&amp;_a=(columns:!('Message%20ID',Summary),filters:!(),index:'emp_*',interval:auto,query:(query_string:(analyze_wildcard:!t,query:'%22rtdc.l.rtdc.4026%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859</v>
      </c>
      <c r="B123" s="225">
        <v>4025</v>
      </c>
      <c r="C123" s="227" t="s">
        <v>191</v>
      </c>
      <c r="D123" s="227" t="s">
        <v>995</v>
      </c>
      <c r="E123" s="226">
        <v>43112.745486111111</v>
      </c>
      <c r="F123" s="226">
        <v>43112.758483796293</v>
      </c>
      <c r="G123" s="225">
        <v>49</v>
      </c>
      <c r="H123" s="227" t="s">
        <v>644</v>
      </c>
      <c r="I123" s="226">
        <v>43112.784409722219</v>
      </c>
      <c r="J123" s="225">
        <v>0</v>
      </c>
      <c r="K123" s="237" t="str">
        <f>IF(ISEVEN(B123),(B123-1)&amp;"/"&amp;B123,B123&amp;"/"&amp;(B123+1))</f>
        <v>4025/4026</v>
      </c>
      <c r="L123" s="245" t="str">
        <f>VLOOKUP(A123,'Trips&amp;Operators'!$C$1:$G$99911,5,FALSE)</f>
        <v>FORTUNATO FRANK</v>
      </c>
      <c r="M123" s="224">
        <f>I123-F123</f>
        <v>2.5925925925548654E-2</v>
      </c>
      <c r="N123" s="225">
        <f>24*60*SUM($M123:$M123)</f>
        <v>37.333333332790062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-12T16:53:30-0700',mode:absolute,to:'2018-01-12T19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23.2879</v>
      </c>
      <c r="Z123" s="247">
        <f>RIGHT(H123,LEN(H123)-4)/10000</f>
        <v>2.1999999999999999E-2</v>
      </c>
      <c r="AA123" s="247">
        <f>ABS(Z123-Y123)</f>
        <v>23.265900000000002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210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/stypes="app*4025*20180113*"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4"/>
        <v>"%USERPROFILE%\Documents\GitHub\eaglep3\Utilities\RefineRTDCRunTimes.py" --tripid 210-12 --locoid 4025 --swversion DE.1.0.9.0 --startMP 204:232879 --initTime 2018-01-12T17:53:30 --startdatetime 2018-01-12T18:12:13 --delay 49 --endMP 204:220 --enddatetime 2018-01-12T18:49:33 --enforcementcount 0 &gt;&gt;%USERPROFILE%\Documents\GitHub\eaglep3-reporting\EC\2018-01-12-refined-times.txt</v>
      </c>
      <c r="AI12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{"issue":{"subject":"","project_id":79,"tracker_id":40,"status_id":1,"priority_id":2,"assigned_to_id":338,"start_date":"2018-01-12","description":"","custom_fields":[{"id":1,"name":"Subdivision","value":"EC"},{"id":4,"name":"Milepost","value":"0.022"},{"id":17,"name":"Train ID","value":"210-12"},{"id":16,"name":"Locomotive ID","value":"4025"},{"id":130,"name":"Impact","value":""},{"id":150,"name":"Time of Event (Mountain Time)","value":"18:49:33"},{"id":151,"name":"Denver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6"/>
        <v>start /low /b %USERPROFILE%\Documents\GitHub\eaglep3\Utilities\DownloadLogsFromS3.py --loco 4025 --day 2018-01-12</v>
      </c>
      <c r="AN123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8"/>
        <v>https://d0f6bd738d7f1b3e5a7ca70fe4ff75f0.us-east-1.aws.found.io/app/kibana#/discover/Steve-Slow-Train-Analysis-(2080s-and-2083s)?_g=(refreshInterval:(display:Off,pause:!f,section:0,value:0),time:(from:'2018-01-12T16:53:30-0700',mode:absolute,to:'2018-01-12T19:49:33-0700'))&amp;_a=(columns:!('Message%20ID',Summary),filters:!(),index:'emp_*',interval:auto,query:(query_string:(analyze_wildcard:!t,query:'%22rtdc.l.rtdc.4025%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3">
      <c r="A124" s="229" t="s">
        <v>854</v>
      </c>
      <c r="B124" s="225">
        <v>4060</v>
      </c>
      <c r="C124" s="227" t="s">
        <v>191</v>
      </c>
      <c r="D124" s="227" t="s">
        <v>937</v>
      </c>
      <c r="E124" s="226">
        <v>43112.726099537038</v>
      </c>
      <c r="F124" s="226">
        <v>43112.729351851849</v>
      </c>
      <c r="G124" s="225">
        <v>63</v>
      </c>
      <c r="H124" s="227" t="s">
        <v>996</v>
      </c>
      <c r="I124" s="226">
        <v>43112.754849537036</v>
      </c>
      <c r="J124" s="225">
        <v>0</v>
      </c>
      <c r="K124" s="237" t="str">
        <f>IF(ISEVEN(B124),(B124-1)&amp;"/"&amp;B124,B124&amp;"/"&amp;(B124+1))</f>
        <v>4059/4060</v>
      </c>
      <c r="L124" s="245" t="str">
        <f>VLOOKUP(A124,'Trips&amp;Operators'!$C$1:$G$99911,5,FALSE)</f>
        <v>LEVIN SCOTT</v>
      </c>
      <c r="M124" s="224">
        <f>I124-F124</f>
        <v>2.5497685186564922E-2</v>
      </c>
      <c r="N124" s="225">
        <f>24*60*SUM($M124:$M124)</f>
        <v>36.716666668653488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-12T16:25:35-0700',mode:absolute,to:'2018-01-12T19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4.3299999999999998E-2</v>
      </c>
      <c r="Z124" s="247">
        <f>RIGHT(H124,LEN(H124)-4)/10000</f>
        <v>23.334900000000001</v>
      </c>
      <c r="AA124" s="247">
        <f>ABS(Z124-Y124)</f>
        <v>23.291600000000003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211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/stypes="app*4060*20180113*"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4"/>
        <v>"%USERPROFILE%\Documents\GitHub\eaglep3\Utilities\RefineRTDCRunTimes.py" --tripid 211-12 --locoid 4060 --swversion DE.1.0.9.0 --startMP 204:433 --initTime 2018-01-12T17:25:35 --startdatetime 2018-01-12T17:30:16 --delay 63 --endMP 204:233349 --enddatetime 2018-01-12T18:06:59 --enforcementcount 0 &gt;&gt;%USERPROFILE%\Documents\GitHub\eaglep3-reporting\EC\2018-01-12-refined-times.txt</v>
      </c>
      <c r="AI124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{"issue":{"subject":"","project_id":79,"tracker_id":40,"status_id":1,"priority_id":2,"assigned_to_id":338,"start_date":"2018-01-12","description":"","custom_fields":[{"id":1,"name":"Subdivision","value":"EC"},{"id":4,"name":"Milepost","value":"23.3349"},{"id":17,"name":"Train ID","value":"211-12"},{"id":16,"name":"Locomotive ID","value":"4060"},{"id":130,"name":"Impact","value":""},{"id":150,"name":"Time of Event (Mountain Time)","value":"18:06:59"},{"id":151,"name":"Denver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16"/>
        <v>start /low /b %USERPROFILE%\Documents\GitHub\eaglep3\Utilities\DownloadLogsFromS3.py --loco 4060 --day 2018-01-12</v>
      </c>
      <c r="AN124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8"/>
        <v>https://d0f6bd738d7f1b3e5a7ca70fe4ff75f0.us-east-1.aws.found.io/app/kibana#/discover/Steve-Slow-Train-Analysis-(2080s-and-2083s)?_g=(refreshInterval:(display:Off,pause:!f,section:0,value:0),time:(from:'2018-01-12T16:25:35-0700',mode:absolute,to:'2018-01-12T19:06:59-0700'))&amp;_a=(columns:!('Message%20ID',Summary),filters:!(),index:'emp_*',interval:auto,query:(query_string:(analyze_wildcard:!t,query:'%22rtdc.l.rtdc.4060%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690</v>
      </c>
      <c r="B125" s="225">
        <v>4059</v>
      </c>
      <c r="C125" s="227" t="s">
        <v>191</v>
      </c>
      <c r="D125" s="227" t="s">
        <v>997</v>
      </c>
      <c r="E125" s="226">
        <v>43112.760231481479</v>
      </c>
      <c r="F125" s="226">
        <v>43112.768935185188</v>
      </c>
      <c r="G125" s="225">
        <v>56</v>
      </c>
      <c r="H125" s="227" t="s">
        <v>998</v>
      </c>
      <c r="I125" s="226">
        <v>43112.789780092593</v>
      </c>
      <c r="J125" s="225">
        <v>0</v>
      </c>
      <c r="K125" s="237" t="str">
        <f>IF(ISEVEN(B125),(B125-1)&amp;"/"&amp;B125,B125&amp;"/"&amp;(B125+1))</f>
        <v>4059/4060</v>
      </c>
      <c r="L125" s="245" t="str">
        <f>VLOOKUP(A125,'Trips&amp;Operators'!$C$1:$G$99911,5,FALSE)</f>
        <v>LEVIN SCOTT</v>
      </c>
      <c r="M125" s="224">
        <f>I125-F125</f>
        <v>2.0844907405262347E-2</v>
      </c>
      <c r="N125" s="225"/>
      <c r="O125" s="225"/>
      <c r="P125" s="225">
        <f>24*60*SUM($M125:$M125)</f>
        <v>30.01666666357778</v>
      </c>
      <c r="Q125" s="228"/>
      <c r="R125" s="242" t="s">
        <v>437</v>
      </c>
      <c r="S125" s="249">
        <f>1/IF(AG125="EC",12,1)*SUM(U125:U125)</f>
        <v>0.91666666666666663</v>
      </c>
      <c r="T125" s="242" t="str">
        <f>IF(ISEVEN(LEFT(AD125,4)),"Southbound","NorthBound")</f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11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-12T17:14:44-0700',mode:absolute,to:'2018-01-12T19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5" s="247" t="str">
        <f>IF(AA125&lt;VLOOKUP(AG125,Variables!$AC$3:$AD$8,2,FALSE),"Y","N")</f>
        <v>Y</v>
      </c>
      <c r="X125" s="247">
        <f>VALUE(LEFT(AD125,4))-VALUE(LEFT(AD124,4))</f>
        <v>1</v>
      </c>
      <c r="Y125" s="247">
        <f>RIGHT(D125,LEN(D125)-4)/10000</f>
        <v>23.302299999999999</v>
      </c>
      <c r="Z125" s="247">
        <f>RIGHT(H125,LEN(H125)-4)/10000</f>
        <v>2.7437999999999998</v>
      </c>
      <c r="AA125" s="247">
        <f>ABS(Z125-Y125)</f>
        <v>20.558499999999999</v>
      </c>
      <c r="AB125" s="233" t="str">
        <f>VLOOKUP(A125,Enforcements!$C$7:$K$9,8,0)</f>
        <v>Bulletin (2)</v>
      </c>
      <c r="AC125" s="232" t="str">
        <f>VLOOKUP(A125,Enforcements!$C$7:$E$9,3,0)</f>
        <v>GRADE CROSSING</v>
      </c>
      <c r="AD125" s="243">
        <f>VALUE(LEFT(A125,LEN(A125)-3))</f>
        <v>212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/stypes="app*4059*20180113*"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4"/>
        <v>"%USERPROFILE%\Documents\GitHub\eaglep3\Utilities\RefineRTDCRunTimes.py" --tripid 212-12 --locoid 4059 --swversion DE.1.0.9.0 --startMP 204:233023 --initTime 2018-01-12T18:14:44 --startdatetime 2018-01-12T18:27:16 --delay 56 --endMP 204:27438 --enddatetime 2018-01-12T18:57:17 --enforcementcount 0 &gt;&gt;%USERPROFILE%\Documents\GitHub\eaglep3-reporting\EC\2018-01-12-refined-times.txt</v>
      </c>
      <c r="AI125" s="238" t="str">
        <f t="shared" si="15"/>
        <v>echo {"issue":{"subject":"Wi-MAX data drop","project_id":79,"tracker_id":40,"status_id":1,"priority_id":2,"assigned_to_id":338,"start_date":"2018-01-12","description":"","custom_fields":[{"id":1,"name":"Subdivision","value":"EC"},{"id":4,"name":"Milepost","value":"2.7438"},{"id":17,"name":"Train ID","value":"212-12"},{"id":16,"name":"Locomotive ID","value":"4059"},{"id":130,"name":"Impact","value":""},{"id":150,"name":"Time of Event (Mountain Time)","value":"18:57:17"},{"id":151,"name":"Denver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6"/>
        <v>start /low /b %USERPROFILE%\Documents\GitHub\eaglep3\Utilities\DownloadLogsFromS3.py --loco 4059 --day 2018-01-12</v>
      </c>
      <c r="AN125" s="241" t="str">
        <f t="shared" si="17"/>
        <v>echo {"issue":{"subject":"Wi-MAX data drop","project_id":30,"tracker_id":4,"status_id":1,"priority_id":1,"assigned_to_id":10,"start_date":"2018-01-13","description":"","custom_fields":[{"id":30,"name":"Category","value":"Issue"},{"id":3,"name":"Functional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8"/>
        <v>https://d0f6bd738d7f1b3e5a7ca70fe4ff75f0.us-east-1.aws.found.io/app/kibana#/discover/Steve-Slow-Train-Analysis-(2080s-and-2083s)?_g=(refreshInterval:(display:Off,pause:!f,section:0,value:0),time:(from:'2018-01-12T17:14:44-0700',mode:absolute,to:'2018-01-12T19:57:17-0700'))&amp;_a=(columns:!('Message%20ID',Summary),filters:!(),index:'emp_*',interval:auto,query:(query_string:(analyze_wildcard:!t,query:'%22rtdc.l.rtdc.4059%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857</v>
      </c>
      <c r="B126" s="225">
        <v>4040</v>
      </c>
      <c r="C126" s="227" t="s">
        <v>191</v>
      </c>
      <c r="D126" s="227" t="s">
        <v>631</v>
      </c>
      <c r="E126" s="226">
        <v>43112.736319444448</v>
      </c>
      <c r="F126" s="226">
        <v>43112.739861111113</v>
      </c>
      <c r="G126" s="225">
        <v>111</v>
      </c>
      <c r="H126" s="227" t="s">
        <v>984</v>
      </c>
      <c r="I126" s="226">
        <v>43112.764837962961</v>
      </c>
      <c r="J126" s="225">
        <v>0</v>
      </c>
      <c r="K126" s="237" t="str">
        <f>IF(ISEVEN(B126),(B126-1)&amp;"/"&amp;B126,B126&amp;"/"&amp;(B126+1))</f>
        <v>4039/4040</v>
      </c>
      <c r="L126" s="245" t="str">
        <f>VLOOKUP(A126,'Trips&amp;Operators'!$C$1:$G$99911,5,FALSE)</f>
        <v>ANDREA WILLIAMS</v>
      </c>
      <c r="M126" s="224">
        <f>I126-F126</f>
        <v>2.4976851847895887E-2</v>
      </c>
      <c r="N126" s="225">
        <f>24*60*SUM($M126:$M126)</f>
        <v>35.966666660970077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-12T16:40:18-0700',mode:absolute,to:'2018-01-12T19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5.1299999999999998E-2</v>
      </c>
      <c r="Z126" s="247">
        <f>RIGHT(H126,LEN(H126)-4)/10000</f>
        <v>23.3261</v>
      </c>
      <c r="AA126" s="247">
        <f>ABS(Z126-Y126)</f>
        <v>23.274799999999999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213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/stypes="app*4040*20180113*"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4"/>
        <v>"%USERPROFILE%\Documents\GitHub\eaglep3\Utilities\RefineRTDCRunTimes.py" --tripid 213-12 --locoid 4040 --swversion DE.1.0.9.0 --startMP 204:513 --initTime 2018-01-12T17:40:18 --startdatetime 2018-01-12T17:45:24 --delay 111 --endMP 204:233261 --enddatetime 2018-01-12T18:21:22 --enforcementcount 0 &gt;&gt;%USERPROFILE%\Documents\GitHub\eaglep3-reporting\EC\2018-01-12-refined-times.txt</v>
      </c>
      <c r="AI12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{"issue":{"subject":"","project_id":79,"tracker_id":40,"status_id":1,"priority_id":2,"assigned_to_id":338,"start_date":"2018-01-12","description":"","custom_fields":[{"id":1,"name":"Subdivision","value":"EC"},{"id":4,"name":"Milepost","value":"23.3261"},{"id":17,"name":"Train ID","value":"213-12"},{"id":16,"name":"Locomotive ID","value":"4040"},{"id":130,"name":"Impact","value":""},{"id":150,"name":"Time of Event (Mountain Time)","value":"18:21:22"},{"id":151,"name":"Denver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6"/>
        <v>start /low /b %USERPROFILE%\Documents\GitHub\eaglep3\Utilities\DownloadLogsFromS3.py --loco 4040 --day 2018-01-12</v>
      </c>
      <c r="AN126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8"/>
        <v>https://d0f6bd738d7f1b3e5a7ca70fe4ff75f0.us-east-1.aws.found.io/app/kibana#/discover/Steve-Slow-Train-Analysis-(2080s-and-2083s)?_g=(refreshInterval:(display:Off,pause:!f,section:0,value:0),time:(from:'2018-01-12T16:40:18-0700',mode:absolute,to:'2018-01-12T19:21:22-0700'))&amp;_a=(columns:!('Message%20ID',Summary),filters:!(),index:'emp_*',interval:auto,query:(query_string:(analyze_wildcard:!t,query:'%22rtdc.l.rtdc.4040%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863</v>
      </c>
      <c r="B127" s="225">
        <v>4039</v>
      </c>
      <c r="C127" s="227" t="s">
        <v>191</v>
      </c>
      <c r="D127" s="227" t="s">
        <v>535</v>
      </c>
      <c r="E127" s="226">
        <v>43112.766770833332</v>
      </c>
      <c r="F127" s="226">
        <v>43112.779386574075</v>
      </c>
      <c r="G127" s="225">
        <v>83</v>
      </c>
      <c r="H127" s="227" t="s">
        <v>490</v>
      </c>
      <c r="I127" s="226">
        <v>43112.805509259262</v>
      </c>
      <c r="J127" s="225">
        <v>0</v>
      </c>
      <c r="K127" s="237" t="str">
        <f>IF(ISEVEN(B127),(B127-1)&amp;"/"&amp;B127,B127&amp;"/"&amp;(B127+1))</f>
        <v>4039/4040</v>
      </c>
      <c r="L127" s="245" t="str">
        <f>VLOOKUP(A127,'Trips&amp;Operators'!$C$1:$G$99911,5,FALSE)</f>
        <v>ANDREA WILLIAMS</v>
      </c>
      <c r="M127" s="224">
        <f>I127-F127</f>
        <v>2.6122685187146999E-2</v>
      </c>
      <c r="N127" s="225">
        <f>24*60*SUM($M127:$M127)</f>
        <v>37.616666669491678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-12T17:24:09-0700',mode:absolute,to:'2018-01-12T20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23.294</v>
      </c>
      <c r="Z127" s="247">
        <f>RIGHT(H127,LEN(H127)-4)/10000</f>
        <v>2.2700000000000001E-2</v>
      </c>
      <c r="AA127" s="247">
        <f>ABS(Z127-Y127)</f>
        <v>23.2713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214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/stypes="app*4039*20180113*" /stext=" 02:.+((SYSTEM_STATE.+slice.+state.+changed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4"/>
        <v>"%USERPROFILE%\Documents\GitHub\eaglep3\Utilities\RefineRTDCRunTimes.py" --tripid 214-12 --locoid 4039 --swversion DE.1.0.9.0 --startMP 204:232940 --initTime 2018-01-12T18:24:09 --startdatetime 2018-01-12T18:42:19 --delay 83 --endMP 204:227 --enddatetime 2018-01-12T19:19:56 --enforcementcount 0 &gt;&gt;%USERPROFILE%\Documents\GitHub\eaglep3-reporting\EC\2018-01-12-refined-times.txt</v>
      </c>
      <c r="AI127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{"issue":{"subject":"","project_id":79,"tracker_id":40,"status_id":1,"priority_id":2,"assigned_to_id":338,"start_date":"2018-01-12","description":"","custom_fields":[{"id":1,"name":"Subdivision","value":"EC"},{"id":4,"name":"Milepost","value":"0.0227"},{"id":17,"name":"Train ID","value":"214-12"},{"id":16,"name":"Locomotive ID","value":"4039"},{"id":130,"name":"Impact","value":""},{"id":150,"name":"Time of Event (Mountain Time)","value":"19:19:56"},{"id":151,"name":"Denver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6"/>
        <v>start /low /b %USERPROFILE%\Documents\GitHub\eaglep3\Utilities\DownloadLogsFromS3.py --loco 4039 --day 2018-01-12</v>
      </c>
      <c r="AN127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8"/>
        <v>https://d0f6bd738d7f1b3e5a7ca70fe4ff75f0.us-east-1.aws.found.io/app/kibana#/discover/Steve-Slow-Train-Analysis-(2080s-and-2083s)?_g=(refreshInterval:(display:Off,pause:!f,section:0,value:0),time:(from:'2018-01-12T17:24:09-0700',mode:absolute,to:'2018-01-12T20:19:56-0700'))&amp;_a=(columns:!('Message%20ID',Summary),filters:!(),index:'emp_*',interval:auto,query:(query_string:(analyze_wildcard:!t,query:'%22rtdc.l.rtdc.4039%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860</v>
      </c>
      <c r="B128" s="225">
        <v>4028</v>
      </c>
      <c r="C128" s="227" t="s">
        <v>191</v>
      </c>
      <c r="D128" s="227" t="s">
        <v>912</v>
      </c>
      <c r="E128" s="226">
        <v>43112.747210648151</v>
      </c>
      <c r="F128" s="226">
        <v>43112.750162037039</v>
      </c>
      <c r="G128" s="225">
        <v>65</v>
      </c>
      <c r="H128" s="227" t="s">
        <v>978</v>
      </c>
      <c r="I128" s="226">
        <v>43112.774930555555</v>
      </c>
      <c r="J128" s="225">
        <v>0</v>
      </c>
      <c r="K128" s="237" t="str">
        <f>IF(ISEVEN(B128),(B128-1)&amp;"/"&amp;B128,B128&amp;"/"&amp;(B128+1))</f>
        <v>4027/4028</v>
      </c>
      <c r="L128" s="245" t="str">
        <f>VLOOKUP(A128,'Trips&amp;Operators'!$C$1:$G$99911,5,FALSE)</f>
        <v>ROBINSON KADDIBA</v>
      </c>
      <c r="M128" s="224">
        <f>I128-F128</f>
        <v>2.4768518516793847E-2</v>
      </c>
      <c r="N128" s="225">
        <f>24*60*SUM($M128:$M128)</f>
        <v>35.66666666418314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-12T16:55:59-0700',mode:absolute,to:'2018-01-12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4.9700000000000001E-2</v>
      </c>
      <c r="Z128" s="247">
        <f>RIGHT(H128,LEN(H128)-4)/10000</f>
        <v>23.323599999999999</v>
      </c>
      <c r="AA128" s="247">
        <f>ABS(Z128-Y128)</f>
        <v>23.273899999999998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215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/stypes="app*4028*20180113*"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4"/>
        <v>"%USERPROFILE%\Documents\GitHub\eaglep3\Utilities\RefineRTDCRunTimes.py" --tripid 215-12 --locoid 4028 --swversion DE.1.0.9.0 --startMP 204:497 --initTime 2018-01-12T17:55:59 --startdatetime 2018-01-12T18:00:14 --delay 65 --endMP 204:233236 --enddatetime 2018-01-12T18:35:54 --enforcementcount 0 &gt;&gt;%USERPROFILE%\Documents\GitHub\eaglep3-reporting\EC\2018-01-12-refined-times.txt</v>
      </c>
      <c r="AI12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{"issue":{"subject":"","project_id":79,"tracker_id":40,"status_id":1,"priority_id":2,"assigned_to_id":338,"start_date":"2018-01-12","description":"","custom_fields":[{"id":1,"name":"Subdivision","value":"EC"},{"id":4,"name":"Milepost","value":"23.3236"},{"id":17,"name":"Train ID","value":"215-12"},{"id":16,"name":"Locomotive ID","value":"4028"},{"id":130,"name":"Impact","value":""},{"id":150,"name":"Time of Event (Mountain Time)","value":"18:35:54"},{"id":151,"name":"Denver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16"/>
        <v>start /low /b %USERPROFILE%\Documents\GitHub\eaglep3\Utilities\DownloadLogsFromS3.py --loco 4028 --day 2018-01-12</v>
      </c>
      <c r="AN128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8"/>
        <v>https://d0f6bd738d7f1b3e5a7ca70fe4ff75f0.us-east-1.aws.found.io/app/kibana#/discover/Steve-Slow-Train-Analysis-(2080s-and-2083s)?_g=(refreshInterval:(display:Off,pause:!f,section:0,value:0),time:(from:'2018-01-12T16:55:59-0700',mode:absolute,to:'2018-01-12T19:35:54-0700'))&amp;_a=(columns:!('Message%20ID',Summary),filters:!(),index:'emp_*',interval:auto,query:(query_string:(analyze_wildcard:!t,query:'%22rtdc.l.rtdc.4028%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692</v>
      </c>
      <c r="B129" s="225">
        <v>4027</v>
      </c>
      <c r="C129" s="227" t="s">
        <v>191</v>
      </c>
      <c r="D129" s="227" t="s">
        <v>999</v>
      </c>
      <c r="E129" s="226">
        <v>43112.784594907411</v>
      </c>
      <c r="F129" s="226">
        <v>43112.78974537037</v>
      </c>
      <c r="G129" s="225">
        <v>66</v>
      </c>
      <c r="H129" s="227" t="s">
        <v>946</v>
      </c>
      <c r="I129" s="226">
        <v>43112.816099537034</v>
      </c>
      <c r="J129" s="225">
        <v>0</v>
      </c>
      <c r="K129" s="237" t="str">
        <f>IF(ISEVEN(B129),(B129-1)&amp;"/"&amp;B129,B129&amp;"/"&amp;(B129+1))</f>
        <v>4027/4028</v>
      </c>
      <c r="L129" s="245" t="str">
        <f>VLOOKUP(A129,'Trips&amp;Operators'!$C$1:$G$99911,5,FALSE)</f>
        <v>ROBINSON KADDIBA</v>
      </c>
      <c r="M129" s="224">
        <f>I129-F129</f>
        <v>2.6354166664532386E-2</v>
      </c>
      <c r="N129" s="225">
        <f>24*60*SUM($M129:$M129)</f>
        <v>37.949999996926636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-12T17:49:49-0700',mode:absolute,to:'2018-01-12T20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23.290700000000001</v>
      </c>
      <c r="Z129" s="247">
        <f>RIGHT(H129,LEN(H129)-4)/10000</f>
        <v>2.07E-2</v>
      </c>
      <c r="AA129" s="247">
        <f>ABS(Z129-Y129)</f>
        <v>23.27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216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/stypes="app*4027*20180113*" /stext=" 02:.+((SYSTEM_STATE.+slice.+state.+changed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4"/>
        <v>"%USERPROFILE%\Documents\GitHub\eaglep3\Utilities\RefineRTDCRunTimes.py" --tripid 216-12 --locoid 4027 --swversion DE.1.0.9.0 --startMP 204:232907 --initTime 2018-01-12T18:49:49 --startdatetime 2018-01-12T18:57:14 --delay 66 --endMP 204:207 --enddatetime 2018-01-12T19:35:11 --enforcementcount 0 &gt;&gt;%USERPROFILE%\Documents\GitHub\eaglep3-reporting\EC\2018-01-12-refined-times.txt</v>
      </c>
      <c r="AI12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{"issue":{"subject":"","project_id":79,"tracker_id":40,"status_id":1,"priority_id":2,"assigned_to_id":338,"start_date":"2018-01-12","description":"","custom_fields":[{"id":1,"name":"Subdivision","value":"EC"},{"id":4,"name":"Milepost","value":"0.0207"},{"id":17,"name":"Train ID","value":"216-12"},{"id":16,"name":"Locomotive ID","value":"4027"},{"id":130,"name":"Impact","value":""},{"id":150,"name":"Time of Event (Mountain Time)","value":"19:35:11"},{"id":151,"name":"Denver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6"/>
        <v>start /low /b %USERPROFILE%\Documents\GitHub\eaglep3\Utilities\DownloadLogsFromS3.py --loco 4027 --day 2018-01-12</v>
      </c>
      <c r="AN129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8"/>
        <v>https://d0f6bd738d7f1b3e5a7ca70fe4ff75f0.us-east-1.aws.found.io/app/kibana#/discover/Steve-Slow-Train-Analysis-(2080s-and-2083s)?_g=(refreshInterval:(display:Off,pause:!f,section:0,value:0),time:(from:'2018-01-12T17:49:49-0700',mode:absolute,to:'2018-01-12T20:35:11-0700'))&amp;_a=(columns:!('Message%20ID',Summary),filters:!(),index:'emp_*',interval:auto,query:(query_string:(analyze_wildcard:!t,query:'%22rtdc.l.rtdc.4027%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862</v>
      </c>
      <c r="B130" s="225">
        <v>4018</v>
      </c>
      <c r="C130" s="227" t="s">
        <v>191</v>
      </c>
      <c r="D130" s="227" t="s">
        <v>469</v>
      </c>
      <c r="E130" s="226">
        <v>43112.7578587963</v>
      </c>
      <c r="F130" s="226">
        <v>43112.760659722226</v>
      </c>
      <c r="G130" s="225">
        <v>108</v>
      </c>
      <c r="H130" s="227" t="s">
        <v>1000</v>
      </c>
      <c r="I130" s="226">
        <v>43112.785995370374</v>
      </c>
      <c r="J130" s="225">
        <v>0</v>
      </c>
      <c r="K130" s="237" t="str">
        <f>IF(ISEVEN(B130),(B130-1)&amp;"/"&amp;B130,B130&amp;"/"&amp;(B130+1))</f>
        <v>4017/4018</v>
      </c>
      <c r="L130" s="245" t="str">
        <f>VLOOKUP(A130,'Trips&amp;Operators'!$C$1:$G$99911,5,FALSE)</f>
        <v>NICHOLSON WESLEY</v>
      </c>
      <c r="M130" s="224">
        <f>I130-F130</f>
        <v>2.5335648148029577E-2</v>
      </c>
      <c r="N130" s="225">
        <f>24*60*SUM($M130:$M130)</f>
        <v>36.483333333162591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-12T17:11:19-0700',mode:absolute,to:'2018-01-12T19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5.0200000000000002E-2</v>
      </c>
      <c r="Z130" s="247">
        <f>RIGHT(H130,LEN(H130)-4)/10000</f>
        <v>23.32</v>
      </c>
      <c r="AA130" s="247">
        <f>ABS(Z130-Y130)</f>
        <v>23.2698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217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/stypes="app*4018*20180113*" /stext=" 01:.+((SYSTEM_STATE.+slice.+state.+changed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4"/>
        <v>"%USERPROFILE%\Documents\GitHub\eaglep3\Utilities\RefineRTDCRunTimes.py" --tripid 217-12 --locoid 4018 --swversion DE.1.0.9.0 --startMP 204:502 --initTime 2018-01-12T18:11:19 --startdatetime 2018-01-12T18:15:21 --delay 108 --endMP 204:233200 --enddatetime 2018-01-12T18:51:50 --enforcementcount 0 &gt;&gt;%USERPROFILE%\Documents\GitHub\eaglep3-reporting\EC\2018-01-12-refined-times.txt</v>
      </c>
      <c r="AI13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{"issue":{"subject":"","project_id":79,"tracker_id":40,"status_id":1,"priority_id":2,"assigned_to_id":338,"start_date":"2018-01-12","description":"","custom_fields":[{"id":1,"name":"Subdivision","value":"EC"},{"id":4,"name":"Milepost","value":"23.32"},{"id":17,"name":"Train ID","value":"217-12"},{"id":16,"name":"Locomotive ID","value":"4018"},{"id":130,"name":"Impact","value":""},{"id":150,"name":"Time of Event (Mountain Time)","value":"18:51:50"},{"id":151,"name":"Denver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6"/>
        <v>start /low /b %USERPROFILE%\Documents\GitHub\eaglep3\Utilities\DownloadLogsFromS3.py --loco 4018 --day 2018-01-12</v>
      </c>
      <c r="AN130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8"/>
        <v>https://d0f6bd738d7f1b3e5a7ca70fe4ff75f0.us-east-1.aws.found.io/app/kibana#/discover/Steve-Slow-Train-Analysis-(2080s-and-2083s)?_g=(refreshInterval:(display:Off,pause:!f,section:0,value:0),time:(from:'2018-01-12T17:11:19-0700',mode:absolute,to:'2018-01-12T19:51:50-0700'))&amp;_a=(columns:!('Message%20ID',Summary),filters:!(),index:'emp_*',interval:auto,query:(query_string:(analyze_wildcard:!t,query:'%22rtdc.l.rtdc.4018%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869</v>
      </c>
      <c r="B131" s="225">
        <v>4017</v>
      </c>
      <c r="C131" s="227" t="s">
        <v>191</v>
      </c>
      <c r="D131" s="227" t="s">
        <v>649</v>
      </c>
      <c r="E131" s="226">
        <v>43112.790486111109</v>
      </c>
      <c r="F131" s="226">
        <v>43112.800266203703</v>
      </c>
      <c r="G131" s="225">
        <v>90</v>
      </c>
      <c r="H131" s="227" t="s">
        <v>489</v>
      </c>
      <c r="I131" s="226">
        <v>43112.827268518522</v>
      </c>
      <c r="J131" s="225">
        <v>0</v>
      </c>
      <c r="K131" s="237" t="str">
        <f>IF(ISEVEN(B131),(B131-1)&amp;"/"&amp;B131,B131&amp;"/"&amp;(B131+1))</f>
        <v>4017/4018</v>
      </c>
      <c r="L131" s="245" t="str">
        <f>VLOOKUP(A131,'Trips&amp;Operators'!$C$1:$G$99911,5,FALSE)</f>
        <v>NICHOLSON WESLEY</v>
      </c>
      <c r="M131" s="224">
        <f>I131-F131</f>
        <v>2.7002314818673767E-2</v>
      </c>
      <c r="N131" s="225">
        <f>24*60*SUM($M131:$M131)</f>
        <v>38.883333338890225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-12T17:58:18-0700',mode:absolute,to:'2018-01-12T20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23.288900000000002</v>
      </c>
      <c r="Z131" s="247">
        <f>RIGHT(H131,LEN(H131)-4)/10000</f>
        <v>2.29E-2</v>
      </c>
      <c r="AA131" s="247">
        <f>ABS(Z131-Y131)</f>
        <v>23.266000000000002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218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/stypes="app*4017*20180113*"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4"/>
        <v>"%USERPROFILE%\Documents\GitHub\eaglep3\Utilities\RefineRTDCRunTimes.py" --tripid 218-12 --locoid 4017 --swversion DE.1.0.9.0 --startMP 204:232889 --initTime 2018-01-12T18:58:18 --startdatetime 2018-01-12T19:12:23 --delay 90 --endMP 204:229 --enddatetime 2018-01-12T19:51:16 --enforcementcount 0 &gt;&gt;%USERPROFILE%\Documents\GitHub\eaglep3-reporting\EC\2018-01-12-refined-times.txt</v>
      </c>
      <c r="AI13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{"issue":{"subject":"","project_id":79,"tracker_id":40,"status_id":1,"priority_id":2,"assigned_to_id":338,"start_date":"2018-01-12","description":"","custom_fields":[{"id":1,"name":"Subdivision","value":"EC"},{"id":4,"name":"Milepost","value":"0.0229"},{"id":17,"name":"Train ID","value":"218-12"},{"id":16,"name":"Locomotive ID","value":"4017"},{"id":130,"name":"Impact","value":""},{"id":150,"name":"Time of Event (Mountain Time)","value":"19:51:16"},{"id":151,"name":"Denver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6"/>
        <v>start /low /b %USERPROFILE%\Documents\GitHub\eaglep3\Utilities\DownloadLogsFromS3.py --loco 4017 --day 2018-01-12</v>
      </c>
      <c r="AN131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8"/>
        <v>https://d0f6bd738d7f1b3e5a7ca70fe4ff75f0.us-east-1.aws.found.io/app/kibana#/discover/Steve-Slow-Train-Analysis-(2080s-and-2083s)?_g=(refreshInterval:(display:Off,pause:!f,section:0,value:0),time:(from:'2018-01-12T17:58:18-0700',mode:absolute,to:'2018-01-12T20:51:16-0700'))&amp;_a=(columns:!('Message%20ID',Summary),filters:!(),index:'emp_*',interval:auto,query:(query_string:(analyze_wildcard:!t,query:'%22rtdc.l.rtdc.4017%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864</v>
      </c>
      <c r="B132" s="225">
        <v>4006</v>
      </c>
      <c r="C132" s="227" t="s">
        <v>191</v>
      </c>
      <c r="D132" s="227" t="s">
        <v>653</v>
      </c>
      <c r="E132" s="226">
        <v>43112.769317129627</v>
      </c>
      <c r="F132" s="226">
        <v>43112.771099537036</v>
      </c>
      <c r="G132" s="225">
        <v>69</v>
      </c>
      <c r="H132" s="227" t="s">
        <v>1001</v>
      </c>
      <c r="I132" s="226">
        <v>43112.795532407406</v>
      </c>
      <c r="J132" s="225">
        <v>0</v>
      </c>
      <c r="K132" s="237" t="str">
        <f>IF(ISEVEN(B132),(B132-1)&amp;"/"&amp;B132,B132&amp;"/"&amp;(B132+1))</f>
        <v>4005/4006</v>
      </c>
      <c r="L132" s="245" t="str">
        <f>VLOOKUP(A132,'Trips&amp;Operators'!$C$1:$G$99911,5,FALSE)</f>
        <v>AUSTIN THOMPSON</v>
      </c>
      <c r="M132" s="224">
        <f>I132-F132</f>
        <v>2.4432870370219462E-2</v>
      </c>
      <c r="N132" s="225">
        <f>24*60*SUM($M132:$M132)</f>
        <v>35.183333333116025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-12T17:27:49-0700',mode:absolute,to:'2018-01-12T20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5.28E-2</v>
      </c>
      <c r="Z132" s="247">
        <f>RIGHT(H132,LEN(H132)-4)/10000</f>
        <v>23.321999999999999</v>
      </c>
      <c r="AA132" s="247">
        <f>ABS(Z132-Y132)</f>
        <v>23.269199999999998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219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/stypes="app*4006*20180113*"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4"/>
        <v>"%USERPROFILE%\Documents\GitHub\eaglep3\Utilities\RefineRTDCRunTimes.py" --tripid 219-12 --locoid 4006 --swversion DE.1.0.9.0 --startMP 204:528 --initTime 2018-01-12T18:27:49 --startdatetime 2018-01-12T18:30:23 --delay 69 --endMP 204:233220 --enddatetime 2018-01-12T19:05:34 --enforcementcount 0 &gt;&gt;%USERPROFILE%\Documents\GitHub\eaglep3-reporting\EC\2018-01-12-refined-times.txt</v>
      </c>
      <c r="AI13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{"issue":{"subject":"","project_id":79,"tracker_id":40,"status_id":1,"priority_id":2,"assigned_to_id":338,"start_date":"2018-01-12","description":"","custom_fields":[{"id":1,"name":"Subdivision","value":"EC"},{"id":4,"name":"Milepost","value":"23.322"},{"id":17,"name":"Train ID","value":"219-12"},{"id":16,"name":"Locomotive ID","value":"4006"},{"id":130,"name":"Impact","value":""},{"id":150,"name":"Time of Event (Mountain Time)","value":"19:05:34"},{"id":151,"name":"Denver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6"/>
        <v>start /low /b %USERPROFILE%\Documents\GitHub\eaglep3\Utilities\DownloadLogsFromS3.py --loco 4006 --day 2018-01-12</v>
      </c>
      <c r="AN132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8"/>
        <v>https://d0f6bd738d7f1b3e5a7ca70fe4ff75f0.us-east-1.aws.found.io/app/kibana#/discover/Steve-Slow-Train-Analysis-(2080s-and-2083s)?_g=(refreshInterval:(display:Off,pause:!f,section:0,value:0),time:(from:'2018-01-12T17:27:49-0700',mode:absolute,to:'2018-01-12T20:05:34-0700'))&amp;_a=(columns:!('Message%20ID',Summary),filters:!(),index:'emp_*',interval:auto,query:(query_string:(analyze_wildcard:!t,query:'%22rtdc.l.rtdc.4006%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873</v>
      </c>
      <c r="B133" s="225">
        <v>4005</v>
      </c>
      <c r="C133" s="227" t="s">
        <v>191</v>
      </c>
      <c r="D133" s="227" t="s">
        <v>970</v>
      </c>
      <c r="E133" s="226">
        <v>43112.809120370373</v>
      </c>
      <c r="F133" s="226">
        <v>43112.810729166667</v>
      </c>
      <c r="G133" s="225">
        <v>73</v>
      </c>
      <c r="H133" s="227" t="s">
        <v>648</v>
      </c>
      <c r="I133" s="226">
        <v>43112.835428240738</v>
      </c>
      <c r="J133" s="225">
        <v>0</v>
      </c>
      <c r="K133" s="237" t="str">
        <f>IF(ISEVEN(B133),(B133-1)&amp;"/"&amp;B133,B133&amp;"/"&amp;(B133+1))</f>
        <v>4005/4006</v>
      </c>
      <c r="L133" s="245" t="str">
        <f>VLOOKUP(A133,'Trips&amp;Operators'!$C$1:$G$99911,5,FALSE)</f>
        <v>AUSTIN THOMPSON</v>
      </c>
      <c r="M133" s="224">
        <f>I133-F133</f>
        <v>2.4699074070667848E-2</v>
      </c>
      <c r="N133" s="225">
        <f>24*60*SUM($M133:$M133)</f>
        <v>35.566666661761701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-12T18:25:08-0700',mode:absolute,to:'2018-01-12T21:03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23.29</v>
      </c>
      <c r="Z133" s="247">
        <f>RIGHT(H133,LEN(H133)-4)/10000</f>
        <v>2.63E-2</v>
      </c>
      <c r="AA133" s="247">
        <f>ABS(Z133-Y133)</f>
        <v>23.2637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220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/stypes="app*4005*20180113*" /stext=" 03:.+((SYSTEM_STATE.+slice.+state.+changed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4"/>
        <v>"%USERPROFILE%\Documents\GitHub\eaglep3\Utilities\RefineRTDCRunTimes.py" --tripid 220-12 --locoid 4005 --swversion DE.1.0.9.0 --startMP 204:232900 --initTime 2018-01-12T19:25:08 --startdatetime 2018-01-12T19:27:27 --delay 73 --endMP 204:263 --enddatetime 2018-01-12T20:03:01 --enforcementcount 0 &gt;&gt;%USERPROFILE%\Documents\GitHub\eaglep3-reporting\EC\2018-01-12-refined-times.txt</v>
      </c>
      <c r="AI133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{"issue":{"subject":"","project_id":79,"tracker_id":40,"status_id":1,"priority_id":2,"assigned_to_id":338,"start_date":"2018-01-12","description":"","custom_fields":[{"id":1,"name":"Subdivision","value":"EC"},{"id":4,"name":"Milepost","value":"0.0263"},{"id":17,"name":"Train ID","value":"220-12"},{"id":16,"name":"Locomotive ID","value":"4005"},{"id":130,"name":"Impact","value":""},{"id":150,"name":"Time of Event (Mountain Time)","value":"20:03:01"},{"id":151,"name":"Denver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6"/>
        <v>start /low /b %USERPROFILE%\Documents\GitHub\eaglep3\Utilities\DownloadLogsFromS3.py --loco 4005 --day 2018-01-12</v>
      </c>
      <c r="AN133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8"/>
        <v>https://d0f6bd738d7f1b3e5a7ca70fe4ff75f0.us-east-1.aws.found.io/app/kibana#/discover/Steve-Slow-Train-Analysis-(2080s-and-2083s)?_g=(refreshInterval:(display:Off,pause:!f,section:0,value:0),time:(from:'2018-01-12T18:25:08-0700',mode:absolute,to:'2018-01-12T21:03:01-0700'))&amp;_a=(columns:!('Message%20ID',Summary),filters:!(),index:'emp_*',interval:auto,query:(query_string:(analyze_wildcard:!t,query:'%22rtdc.l.rtdc.4005%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867</v>
      </c>
      <c r="B134" s="225">
        <v>4026</v>
      </c>
      <c r="C134" s="227" t="s">
        <v>191</v>
      </c>
      <c r="D134" s="227" t="s">
        <v>442</v>
      </c>
      <c r="E134" s="226">
        <v>43112.787974537037</v>
      </c>
      <c r="F134" s="226">
        <v>43112.792060185187</v>
      </c>
      <c r="G134" s="225">
        <v>86</v>
      </c>
      <c r="H134" s="227" t="s">
        <v>473</v>
      </c>
      <c r="I134" s="226">
        <v>43112.817118055558</v>
      </c>
      <c r="J134" s="225">
        <v>0</v>
      </c>
      <c r="K134" s="237" t="str">
        <f>IF(ISEVEN(B134),(B134-1)&amp;"/"&amp;B134,B134&amp;"/"&amp;(B134+1))</f>
        <v>4025/4026</v>
      </c>
      <c r="L134" s="245" t="str">
        <f>VLOOKUP(A134,'Trips&amp;Operators'!$C$1:$G$99911,5,FALSE)</f>
        <v>ANDERS STEVEN</v>
      </c>
      <c r="M134" s="224">
        <f>I134-F134</f>
        <v>2.5057870370801538E-2</v>
      </c>
      <c r="N134" s="225">
        <f>24*60*SUM($M134:$M134)</f>
        <v>36.083333333954215</v>
      </c>
      <c r="O134" s="225"/>
      <c r="P134" s="225"/>
      <c r="Q134" s="228"/>
      <c r="R134" s="242" t="s">
        <v>1117</v>
      </c>
      <c r="S134" s="249">
        <f>1/IF(AG134="EC",12,1)*SUM(U134:U134)</f>
        <v>1</v>
      </c>
      <c r="T134" s="242" t="str">
        <f>IF(ISEVEN(LEFT(AD134,4)),"Southbound","NorthBound")</f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-12T17:54:41-0700',mode:absolute,to:'2018-01-12T20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5.1700000000000003E-2</v>
      </c>
      <c r="Z134" s="247">
        <f>RIGHT(H134,LEN(H134)-4)/10000</f>
        <v>23.325900000000001</v>
      </c>
      <c r="AA134" s="247">
        <f>ABS(Z134-Y134)</f>
        <v>23.2742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221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/stypes="app*4026*20180113*"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4"/>
        <v>"%USERPROFILE%\Documents\GitHub\eaglep3\Utilities\RefineRTDCRunTimes.py" --tripid 221-12 --locoid 4026 --swversion DE.1.0.9.0 --startMP 204:517 --initTime 2018-01-12T18:54:41 --startdatetime 2018-01-12T19:00:34 --delay 86 --endMP 204:233259 --enddatetime 2018-01-12T19:36:39 --enforcementcount 0 &gt;&gt;%USERPROFILE%\Documents\GitHub\eaglep3-reporting\EC\2018-01-12-refined-times.txt</v>
      </c>
      <c r="AI134" s="238" t="str">
        <f t="shared" si="15"/>
        <v>echo {"issue":{"subject":"Observed Wi-MAX data drop, no PTC enforcement","project_id":79,"tracker_id":40,"status_id":1,"priority_id":2,"assigned_to_id":338,"start_date":"2018-01-12","description":"","custom_fields":[{"id":1,"name":"Subdivision","value":"EC"},{"id":4,"name":"Milepost","value":"23.3259"},{"id":17,"name":"Train ID","value":"221-12"},{"id":16,"name":"Locomotive ID","value":"4026"},{"id":130,"name":"Impact","value":""},{"id":150,"name":"Time of Event (Mountain Time)","value":"19:36:39"},{"id":151,"name":"Denver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6"/>
        <v>start /low /b %USERPROFILE%\Documents\GitHub\eaglep3\Utilities\DownloadLogsFromS3.py --loco 4026 --day 2018-01-12</v>
      </c>
      <c r="AN134" s="241" t="str">
        <f t="shared" si="17"/>
        <v>echo {"issue":{"subject":"Observed Wi-MAX data drop, no PTC enforcement","project_id":30,"tracker_id":4,"status_id":1,"priority_id":1,"assigned_to_id":10,"start_date":"2018-01-13","description":"","custom_fields":[{"id":30,"name":"Category","value":"Issue"},{"id":3,"name":"Functional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8"/>
        <v>https://d0f6bd738d7f1b3e5a7ca70fe4ff75f0.us-east-1.aws.found.io/app/kibana#/discover/Steve-Slow-Train-Analysis-(2080s-and-2083s)?_g=(refreshInterval:(display:Off,pause:!f,section:0,value:0),time:(from:'2018-01-12T17:54:41-0700',mode:absolute,to:'2018-01-12T20:36:39-0700'))&amp;_a=(columns:!('Message%20ID',Summary),filters:!(),index:'emp_*',interval:auto,query:(query_string:(analyze_wildcard:!t,query:'%22rtdc.l.rtdc.4026%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875</v>
      </c>
      <c r="B135" s="225">
        <v>4025</v>
      </c>
      <c r="C135" s="227" t="s">
        <v>191</v>
      </c>
      <c r="D135" s="227" t="s">
        <v>1002</v>
      </c>
      <c r="E135" s="226">
        <v>43112.819513888891</v>
      </c>
      <c r="F135" s="226">
        <v>43112.831701388888</v>
      </c>
      <c r="G135" s="225">
        <v>70</v>
      </c>
      <c r="H135" s="227" t="s">
        <v>489</v>
      </c>
      <c r="I135" s="226">
        <v>43112.857546296298</v>
      </c>
      <c r="J135" s="225">
        <v>0</v>
      </c>
      <c r="K135" s="237" t="str">
        <f>IF(ISEVEN(B135),(B135-1)&amp;"/"&amp;B135,B135&amp;"/"&amp;(B135+1))</f>
        <v>4025/4026</v>
      </c>
      <c r="L135" s="245" t="str">
        <f>VLOOKUP(A135,'Trips&amp;Operators'!$C$1:$G$99911,5,FALSE)</f>
        <v>ANDERS STEVEN</v>
      </c>
      <c r="M135" s="224">
        <f>I135-F135</f>
        <v>2.584490740991896E-2</v>
      </c>
      <c r="N135" s="225">
        <f>24*60*SUM($M135:$M135)</f>
        <v>37.216666670283303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-12T18:40:06-0700',mode:absolute,to:'2018-01-12T21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23.294899999999998</v>
      </c>
      <c r="Z135" s="247">
        <f>RIGHT(H135,LEN(H135)-4)/10000</f>
        <v>2.29E-2</v>
      </c>
      <c r="AA135" s="247">
        <f>ABS(Z135-Y135)</f>
        <v>23.271999999999998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222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/stypes="app*4025*20180113*"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4"/>
        <v>"%USERPROFILE%\Documents\GitHub\eaglep3\Utilities\RefineRTDCRunTimes.py" --tripid 222-12 --locoid 4025 --swversion DE.1.0.9.0 --startMP 204:232949 --initTime 2018-01-12T19:40:06 --startdatetime 2018-01-12T19:57:39 --delay 70 --endMP 204:229 --enddatetime 2018-01-12T20:34:52 --enforcementcount 0 &gt;&gt;%USERPROFILE%\Documents\GitHub\eaglep3-reporting\EC\2018-01-12-refined-times.txt</v>
      </c>
      <c r="AI135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{"issue":{"subject":"","project_id":79,"tracker_id":40,"status_id":1,"priority_id":2,"assigned_to_id":338,"start_date":"2018-01-12","description":"","custom_fields":[{"id":1,"name":"Subdivision","value":"EC"},{"id":4,"name":"Milepost","value":"0.0229"},{"id":17,"name":"Train ID","value":"222-12"},{"id":16,"name":"Locomotive ID","value":"4025"},{"id":130,"name":"Impact","value":""},{"id":150,"name":"Time of Event (Mountain Time)","value":"20:34:52"},{"id":151,"name":"Denver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6"/>
        <v>start /low /b %USERPROFILE%\Documents\GitHub\eaglep3\Utilities\DownloadLogsFromS3.py --loco 4025 --day 2018-01-12</v>
      </c>
      <c r="AN135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8"/>
        <v>https://d0f6bd738d7f1b3e5a7ca70fe4ff75f0.us-east-1.aws.found.io/app/kibana#/discover/Steve-Slow-Train-Analysis-(2080s-and-2083s)?_g=(refreshInterval:(display:Off,pause:!f,section:0,value:0),time:(from:'2018-01-12T18:40:06-0700',mode:absolute,to:'2018-01-12T21:34:52-0700'))&amp;_a=(columns:!('Message%20ID',Summary),filters:!(),index:'emp_*',interval:auto,query:(query_string:(analyze_wildcard:!t,query:'%22rtdc.l.rtdc.4025%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872</v>
      </c>
      <c r="B136" s="225">
        <v>4040</v>
      </c>
      <c r="C136" s="227" t="s">
        <v>191</v>
      </c>
      <c r="D136" s="227" t="s">
        <v>442</v>
      </c>
      <c r="E136" s="226">
        <v>43112.807835648149</v>
      </c>
      <c r="F136" s="226">
        <v>43112.812789351854</v>
      </c>
      <c r="G136" s="225">
        <v>75</v>
      </c>
      <c r="H136" s="227" t="s">
        <v>552</v>
      </c>
      <c r="I136" s="226">
        <v>43112.837326388886</v>
      </c>
      <c r="J136" s="225">
        <v>0</v>
      </c>
      <c r="K136" s="237" t="str">
        <f>IF(ISEVEN(B136),(B136-1)&amp;"/"&amp;B136,B136&amp;"/"&amp;(B136+1))</f>
        <v>4039/4040</v>
      </c>
      <c r="L136" s="245" t="str">
        <f>VLOOKUP(A136,'Trips&amp;Operators'!$C$1:$G$99911,5,FALSE)</f>
        <v>ANDREA WILLIAMS</v>
      </c>
      <c r="M136" s="224">
        <f>I136-F136</f>
        <v>2.4537037032132503E-2</v>
      </c>
      <c r="N136" s="225">
        <f>24*60*SUM($M136:$M136)</f>
        <v>35.333333326270804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-12T18:23:17-0700',mode:absolute,to:'2018-01-12T21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5.1700000000000003E-2</v>
      </c>
      <c r="Z136" s="247">
        <f>RIGHT(H136,LEN(H136)-4)/10000</f>
        <v>23.324300000000001</v>
      </c>
      <c r="AA136" s="247">
        <f>ABS(Z136-Y136)</f>
        <v>23.272600000000001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223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/stypes="app*4040*20180113*"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4"/>
        <v>"%USERPROFILE%\Documents\GitHub\eaglep3\Utilities\RefineRTDCRunTimes.py" --tripid 223-12 --locoid 4040 --swversion DE.1.0.9.0 --startMP 204:517 --initTime 2018-01-12T19:23:17 --startdatetime 2018-01-12T19:30:25 --delay 75 --endMP 204:233243 --enddatetime 2018-01-12T20:05:45 --enforcementcount 0 &gt;&gt;%USERPROFILE%\Documents\GitHub\eaglep3-reporting\EC\2018-01-12-refined-times.txt</v>
      </c>
      <c r="AI136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{"issue":{"subject":"","project_id":79,"tracker_id":40,"status_id":1,"priority_id":2,"assigned_to_id":338,"start_date":"2018-01-12","description":"","custom_fields":[{"id":1,"name":"Subdivision","value":"EC"},{"id":4,"name":"Milepost","value":"23.3243"},{"id":17,"name":"Train ID","value":"223-12"},{"id":16,"name":"Locomotive ID","value":"4040"},{"id":130,"name":"Impact","value":""},{"id":150,"name":"Time of Event (Mountain Time)","value":"20:05:45"},{"id":151,"name":"Denver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6"/>
        <v>start /low /b %USERPROFILE%\Documents\GitHub\eaglep3\Utilities\DownloadLogsFromS3.py --loco 4040 --day 2018-01-12</v>
      </c>
      <c r="AN136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8"/>
        <v>https://d0f6bd738d7f1b3e5a7ca70fe4ff75f0.us-east-1.aws.found.io/app/kibana#/discover/Steve-Slow-Train-Analysis-(2080s-and-2083s)?_g=(refreshInterval:(display:Off,pause:!f,section:0,value:0),time:(from:'2018-01-12T18:23:17-0700',mode:absolute,to:'2018-01-12T21:05:45-0700'))&amp;_a=(columns:!('Message%20ID',Summary),filters:!(),index:'emp_*',interval:auto,query:(query_string:(analyze_wildcard:!t,query:'%22rtdc.l.rtdc.4040%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3">
      <c r="A137" s="229" t="s">
        <v>878</v>
      </c>
      <c r="B137" s="225">
        <v>4039</v>
      </c>
      <c r="C137" s="227" t="s">
        <v>191</v>
      </c>
      <c r="D137" s="227" t="s">
        <v>474</v>
      </c>
      <c r="E137" s="226">
        <v>43112.839375000003</v>
      </c>
      <c r="F137" s="226">
        <v>43112.852233796293</v>
      </c>
      <c r="G137" s="225">
        <v>97</v>
      </c>
      <c r="H137" s="227" t="s">
        <v>633</v>
      </c>
      <c r="I137" s="226">
        <v>43112.878148148149</v>
      </c>
      <c r="J137" s="225">
        <v>0</v>
      </c>
      <c r="K137" s="237" t="str">
        <f>IF(ISEVEN(B137),(B137-1)&amp;"/"&amp;B137,B137&amp;"/"&amp;(B137+1))</f>
        <v>4039/4040</v>
      </c>
      <c r="L137" s="245" t="str">
        <f>VLOOKUP(A137,'Trips&amp;Operators'!$C$1:$G$99911,5,FALSE)</f>
        <v>ANDREA WILLIAMS</v>
      </c>
      <c r="M137" s="224">
        <f>I137-F137</f>
        <v>2.5914351856044959E-2</v>
      </c>
      <c r="N137" s="225">
        <f>24*60*SUM($M137:$M137)</f>
        <v>37.316666672704741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-12T19:08:42-0700',mode:absolute,to:'2018-01-12T22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23.293399999999998</v>
      </c>
      <c r="Z137" s="247">
        <f>RIGHT(H137,LEN(H137)-4)/10000</f>
        <v>1.7000000000000001E-2</v>
      </c>
      <c r="AA137" s="247">
        <f>ABS(Z137-Y137)</f>
        <v>23.276399999999999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224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/stypes="app*4039*20180113*" /stext=" 04:.+((SYSTEM_STATE.+slice.+state.+changed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4"/>
        <v>"%USERPROFILE%\Documents\GitHub\eaglep3\Utilities\RefineRTDCRunTimes.py" --tripid 224-12 --locoid 4039 --swversion DE.1.0.9.0 --startMP 204:232934 --initTime 2018-01-12T20:08:42 --startdatetime 2018-01-12T20:27:13 --delay 97 --endMP 204:170 --enddatetime 2018-01-12T21:04:32 --enforcementcount 0 &gt;&gt;%USERPROFILE%\Documents\GitHub\eaglep3-reporting\EC\2018-01-12-refined-times.txt</v>
      </c>
      <c r="AI137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{"issue":{"subject":"","project_id":79,"tracker_id":40,"status_id":1,"priority_id":2,"assigned_to_id":338,"start_date":"2018-01-12","description":"","custom_fields":[{"id":1,"name":"Subdivision","value":"EC"},{"id":4,"name":"Milepost","value":"0.017"},{"id":17,"name":"Train ID","value":"224-12"},{"id":16,"name":"Locomotive ID","value":"4039"},{"id":130,"name":"Impact","value":""},{"id":150,"name":"Time of Event (Mountain Time)","value":"21:04:32"},{"id":151,"name":"Denver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si="16"/>
        <v>start /low /b %USERPROFILE%\Documents\GitHub\eaglep3\Utilities\DownloadLogsFromS3.py --loco 4039 --day 2018-01-12</v>
      </c>
      <c r="AN137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8"/>
        <v>https://d0f6bd738d7f1b3e5a7ca70fe4ff75f0.us-east-1.aws.found.io/app/kibana#/discover/Steve-Slow-Train-Analysis-(2080s-and-2083s)?_g=(refreshInterval:(display:Off,pause:!f,section:0,value:0),time:(from:'2018-01-12T19:08:42-0700',mode:absolute,to:'2018-01-12T22:04:32-0700'))&amp;_a=(columns:!('Message%20ID',Summary),filters:!(),index:'emp_*',interval:auto,query:(query_string:(analyze_wildcard:!t,query:'%22rtdc.l.rtdc.4039%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876</v>
      </c>
      <c r="B138" s="225">
        <v>4018</v>
      </c>
      <c r="C138" s="227" t="s">
        <v>191</v>
      </c>
      <c r="D138" s="227" t="s">
        <v>1003</v>
      </c>
      <c r="E138" s="226">
        <v>43112.828958333332</v>
      </c>
      <c r="F138" s="226">
        <v>43112.833506944444</v>
      </c>
      <c r="G138" s="225">
        <v>201</v>
      </c>
      <c r="H138" s="227" t="s">
        <v>1004</v>
      </c>
      <c r="I138" s="226">
        <v>43112.858148148145</v>
      </c>
      <c r="J138" s="225">
        <v>0</v>
      </c>
      <c r="K138" s="237" t="str">
        <f>IF(ISEVEN(B138),(B138-1)&amp;"/"&amp;B138,B138&amp;"/"&amp;(B138+1))</f>
        <v>4017/4018</v>
      </c>
      <c r="L138" s="245" t="str">
        <f>VLOOKUP(A138,'Trips&amp;Operators'!$C$1:$G$99911,5,FALSE)</f>
        <v>ZEWDU DEREJE</v>
      </c>
      <c r="M138" s="224">
        <f>I138-F138</f>
        <v>2.4641203701321501E-2</v>
      </c>
      <c r="N138" s="225">
        <f>24*60*SUM($M138:$M138)</f>
        <v>35.483333329902962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-12T18:53:42-0700',mode:absolute,to:'2018-01-12T21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5.5300000000000002E-2</v>
      </c>
      <c r="Z138" s="247">
        <f>RIGHT(H138,LEN(H138)-4)/10000</f>
        <v>23.325099999999999</v>
      </c>
      <c r="AA138" s="247">
        <f>ABS(Z138-Y138)</f>
        <v>23.2698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225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/stypes="app*4018*20180113*"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4"/>
        <v>"%USERPROFILE%\Documents\GitHub\eaglep3\Utilities\RefineRTDCRunTimes.py" --tripid 225-12 --locoid 4018 --swversion DE.1.0.9.0 --startMP 204:553 --initTime 2018-01-12T19:53:42 --startdatetime 2018-01-12T20:00:15 --delay 201 --endMP 204:233251 --enddatetime 2018-01-12T20:35:44 --enforcementcount 0 &gt;&gt;%USERPROFILE%\Documents\GitHub\eaglep3-reporting\EC\2018-01-12-refined-times.txt</v>
      </c>
      <c r="AI138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{"issue":{"subject":"","project_id":79,"tracker_id":40,"status_id":1,"priority_id":2,"assigned_to_id":338,"start_date":"2018-01-12","description":"","custom_fields":[{"id":1,"name":"Subdivision","value":"EC"},{"id":4,"name":"Milepost","value":"23.3251"},{"id":17,"name":"Train ID","value":"225-12"},{"id":16,"name":"Locomotive ID","value":"4018"},{"id":130,"name":"Impact","value":""},{"id":150,"name":"Time of Event (Mountain Time)","value":"20:35:44"},{"id":151,"name":"Denver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6"/>
        <v>start /low /b %USERPROFILE%\Documents\GitHub\eaglep3\Utilities\DownloadLogsFromS3.py --loco 4018 --day 2018-01-12</v>
      </c>
      <c r="AN138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8"/>
        <v>https://d0f6bd738d7f1b3e5a7ca70fe4ff75f0.us-east-1.aws.found.io/app/kibana#/discover/Steve-Slow-Train-Analysis-(2080s-and-2083s)?_g=(refreshInterval:(display:Off,pause:!f,section:0,value:0),time:(from:'2018-01-12T18:53:42-0700',mode:absolute,to:'2018-01-12T21:35:44-0700'))&amp;_a=(columns:!('Message%20ID',Summary),filters:!(),index:'emp_*',interval:auto,query:(query_string:(analyze_wildcard:!t,query:'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882</v>
      </c>
      <c r="B139" s="225">
        <v>4017</v>
      </c>
      <c r="C139" s="227" t="s">
        <v>191</v>
      </c>
      <c r="D139" s="227" t="s">
        <v>1005</v>
      </c>
      <c r="E139" s="226">
        <v>43112.866909722223</v>
      </c>
      <c r="F139" s="226">
        <v>43112.873310185183</v>
      </c>
      <c r="G139" s="225">
        <v>81</v>
      </c>
      <c r="H139" s="227" t="s">
        <v>1006</v>
      </c>
      <c r="I139" s="226">
        <v>43112.899224537039</v>
      </c>
      <c r="J139" s="225">
        <v>0</v>
      </c>
      <c r="K139" s="237" t="str">
        <f>IF(ISEVEN(B139),(B139-1)&amp;"/"&amp;B139,B139&amp;"/"&amp;(B139+1))</f>
        <v>4017/4018</v>
      </c>
      <c r="L139" s="245" t="str">
        <f>VLOOKUP(A139,'Trips&amp;Operators'!$C$1:$G$99911,5,FALSE)</f>
        <v>ZEWDU DEREJE</v>
      </c>
      <c r="M139" s="224">
        <f>I139-F139</f>
        <v>2.5914351856044959E-2</v>
      </c>
      <c r="N139" s="225">
        <f>24*60*SUM($M139:$M139)</f>
        <v>37.316666672704741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-12T19:48:21-0700',mode:absolute,to:'2018-01-12T22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23.292999999999999</v>
      </c>
      <c r="Z139" s="247">
        <f>RIGHT(H139,LEN(H139)-4)/10000</f>
        <v>2.52E-2</v>
      </c>
      <c r="AA139" s="247">
        <f>ABS(Z139-Y139)</f>
        <v>23.267799999999998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226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/stypes="app*4017*20180113*"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4"/>
        <v>"%USERPROFILE%\Documents\GitHub\eaglep3\Utilities\RefineRTDCRunTimes.py" --tripid 226-12 --locoid 4017 --swversion DE.1.0.9.0 --startMP 204:232930 --initTime 2018-01-12T20:48:21 --startdatetime 2018-01-12T20:57:34 --delay 81 --endMP 204:252 --enddatetime 2018-01-12T21:34:53 --enforcementcount 0 &gt;&gt;%USERPROFILE%\Documents\GitHub\eaglep3-reporting\EC\2018-01-12-refined-times.txt</v>
      </c>
      <c r="AI139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{"issue":{"subject":"","project_id":79,"tracker_id":40,"status_id":1,"priority_id":2,"assigned_to_id":338,"start_date":"2018-01-12","description":"","custom_fields":[{"id":1,"name":"Subdivision","value":"EC"},{"id":4,"name":"Milepost","value":"0.0252"},{"id":17,"name":"Train ID","value":"226-12"},{"id":16,"name":"Locomotive ID","value":"4017"},{"id":130,"name":"Impact","value":""},{"id":150,"name":"Time of Event (Mountain Time)","value":"21:34:53"},{"id":151,"name":"Denver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6"/>
        <v>start /low /b %USERPROFILE%\Documents\GitHub\eaglep3\Utilities\DownloadLogsFromS3.py --loco 4017 --day 2018-01-12</v>
      </c>
      <c r="AN139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8"/>
        <v>https://d0f6bd738d7f1b3e5a7ca70fe4ff75f0.us-east-1.aws.found.io/app/kibana#/discover/Steve-Slow-Train-Analysis-(2080s-and-2083s)?_g=(refreshInterval:(display:Off,pause:!f,section:0,value:0),time:(from:'2018-01-12T19:48:21-0700',mode:absolute,to:'2018-01-12T22:34:53-0700'))&amp;_a=(columns:!('Message%20ID',Summary),filters:!(),index:'emp_*',interval:auto,query:(query_string:(analyze_wildcard:!t,query:'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879</v>
      </c>
      <c r="B140" s="225">
        <v>4006</v>
      </c>
      <c r="C140" s="227" t="s">
        <v>191</v>
      </c>
      <c r="D140" s="227" t="s">
        <v>652</v>
      </c>
      <c r="E140" s="226">
        <v>43112.850659722222</v>
      </c>
      <c r="F140" s="226">
        <v>43112.854363425926</v>
      </c>
      <c r="G140" s="225">
        <v>58</v>
      </c>
      <c r="H140" s="227" t="s">
        <v>550</v>
      </c>
      <c r="I140" s="226">
        <v>43112.87841435185</v>
      </c>
      <c r="J140" s="225">
        <v>0</v>
      </c>
      <c r="K140" s="237" t="str">
        <f>IF(ISEVEN(B140),(B140-1)&amp;"/"&amp;B140,B140&amp;"/"&amp;(B140+1))</f>
        <v>4005/4006</v>
      </c>
      <c r="L140" s="245" t="str">
        <f>VLOOKUP(A140,'Trips&amp;Operators'!$C$1:$G$99911,5,FALSE)</f>
        <v>AUSTIN THOMPSON</v>
      </c>
      <c r="M140" s="224">
        <f>I140-F140</f>
        <v>2.4050925923802424E-2</v>
      </c>
      <c r="N140" s="225">
        <f>24*60*SUM($M140:$M140)</f>
        <v>34.633333330275491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-12T19:24:57-0700',mode:absolute,to:'2018-01-12T22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5.5899999999999998E-2</v>
      </c>
      <c r="Z140" s="247">
        <f>RIGHT(H140,LEN(H140)-4)/10000</f>
        <v>23.3264</v>
      </c>
      <c r="AA140" s="247">
        <f>ABS(Z140-Y140)</f>
        <v>23.270499999999998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227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/stypes="app*4006*20180113*"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4"/>
        <v>"%USERPROFILE%\Documents\GitHub\eaglep3\Utilities\RefineRTDCRunTimes.py" --tripid 227-12 --locoid 4006 --swversion DE.1.0.9.0 --startMP 204:559 --initTime 2018-01-12T20:24:57 --startdatetime 2018-01-12T20:30:17 --delay 58 --endMP 204:233264 --enddatetime 2018-01-12T21:04:55 --enforcementcount 0 &gt;&gt;%USERPROFILE%\Documents\GitHub\eaglep3-reporting\EC\2018-01-12-refined-times.txt</v>
      </c>
      <c r="AI140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{"issue":{"subject":"","project_id":79,"tracker_id":40,"status_id":1,"priority_id":2,"assigned_to_id":338,"start_date":"2018-01-12","description":"","custom_fields":[{"id":1,"name":"Subdivision","value":"EC"},{"id":4,"name":"Milepost","value":"23.3264"},{"id":17,"name":"Train ID","value":"227-12"},{"id":16,"name":"Locomotive ID","value":"4006"},{"id":130,"name":"Impact","value":""},{"id":150,"name":"Time of Event (Mountain Time)","value":"21:04:55"},{"id":151,"name":"Denver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6"/>
        <v>start /low /b %USERPROFILE%\Documents\GitHub\eaglep3\Utilities\DownloadLogsFromS3.py --loco 4006 --day 2018-01-12</v>
      </c>
      <c r="AN140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8"/>
        <v>https://d0f6bd738d7f1b3e5a7ca70fe4ff75f0.us-east-1.aws.found.io/app/kibana#/discover/Steve-Slow-Train-Analysis-(2080s-and-2083s)?_g=(refreshInterval:(display:Off,pause:!f,section:0,value:0),time:(from:'2018-01-12T19:24:57-0700',mode:absolute,to:'2018-01-12T22:04:55-0700'))&amp;_a=(columns:!('Message%20ID',Summary),filters:!(),index:'emp_*',interval:auto,query:(query_string:(analyze_wildcard:!t,query:'%22rtdc.l.rtdc.4006%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884</v>
      </c>
      <c r="B141" s="225">
        <v>4005</v>
      </c>
      <c r="C141" s="227" t="s">
        <v>191</v>
      </c>
      <c r="D141" s="227" t="s">
        <v>1007</v>
      </c>
      <c r="E141" s="226">
        <v>43112.891863425924</v>
      </c>
      <c r="F141" s="226">
        <v>43112.893888888888</v>
      </c>
      <c r="G141" s="225">
        <v>51</v>
      </c>
      <c r="H141" s="227" t="s">
        <v>1008</v>
      </c>
      <c r="I141" s="226">
        <v>43112.919282407405</v>
      </c>
      <c r="J141" s="225">
        <v>0</v>
      </c>
      <c r="K141" s="237" t="str">
        <f>IF(ISEVEN(B141),(B141-1)&amp;"/"&amp;B141,B141&amp;"/"&amp;(B141+1))</f>
        <v>4005/4006</v>
      </c>
      <c r="L141" s="245" t="str">
        <f>VLOOKUP(A141,'Trips&amp;Operators'!$C$1:$G$99911,5,FALSE)</f>
        <v>AUSTIN THOMPSON</v>
      </c>
      <c r="M141" s="224">
        <f>I141-F141</f>
        <v>2.5393518517375924E-2</v>
      </c>
      <c r="N141" s="225">
        <f>24*60*SUM($M141:$M141)</f>
        <v>36.56666666502133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-12T20:24:17-0700',mode:absolute,to:'2018-01-12T23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23.294499999999999</v>
      </c>
      <c r="Z141" s="247">
        <f>RIGHT(H141,LEN(H141)-4)/10000</f>
        <v>2.7799999999999998E-2</v>
      </c>
      <c r="AA141" s="247">
        <f>ABS(Z141-Y141)</f>
        <v>23.2667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228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/stypes="app*4005*20180113*" /stext=" 05:.+((SYSTEM_STATE.+slice.+state.+changed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4"/>
        <v>"%USERPROFILE%\Documents\GitHub\eaglep3\Utilities\RefineRTDCRunTimes.py" --tripid 228-12 --locoid 4005 --swversion DE.1.0.9.0 --startMP 204:232945 --initTime 2018-01-12T21:24:17 --startdatetime 2018-01-12T21:27:12 --delay 51 --endMP 204:278 --enddatetime 2018-01-12T22:03:46 --enforcementcount 0 &gt;&gt;%USERPROFILE%\Documents\GitHub\eaglep3-reporting\EC\2018-01-12-refined-times.txt</v>
      </c>
      <c r="AI141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{"issue":{"subject":"","project_id":79,"tracker_id":40,"status_id":1,"priority_id":2,"assigned_to_id":338,"start_date":"2018-01-12","description":"","custom_fields":[{"id":1,"name":"Subdivision","value":"EC"},{"id":4,"name":"Milepost","value":"0.0278"},{"id":17,"name":"Train ID","value":"228-12"},{"id":16,"name":"Locomotive ID","value":"4005"},{"id":130,"name":"Impact","value":""},{"id":150,"name":"Time of Event (Mountain Time)","value":"22:03:46"},{"id":151,"name":"Denver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16"/>
        <v>start /low /b %USERPROFILE%\Documents\GitHub\eaglep3\Utilities\DownloadLogsFromS3.py --loco 4005 --day 2018-01-12</v>
      </c>
      <c r="AN141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8"/>
        <v>https://d0f6bd738d7f1b3e5a7ca70fe4ff75f0.us-east-1.aws.found.io/app/kibana#/discover/Steve-Slow-Train-Analysis-(2080s-and-2083s)?_g=(refreshInterval:(display:Off,pause:!f,section:0,value:0),time:(from:'2018-01-12T20:24:17-0700',mode:absolute,to:'2018-01-12T23:03:46-0700'))&amp;_a=(columns:!('Message%20ID',Summary),filters:!(),index:'emp_*',interval:auto,query:(query_string:(analyze_wildcard:!t,query:'%22rtdc.l.rtdc.4005%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881</v>
      </c>
      <c r="B142" s="225">
        <v>4026</v>
      </c>
      <c r="C142" s="227" t="s">
        <v>191</v>
      </c>
      <c r="D142" s="227" t="s">
        <v>476</v>
      </c>
      <c r="E142" s="226">
        <v>43112.858946759261</v>
      </c>
      <c r="F142" s="226">
        <v>43112.875219907408</v>
      </c>
      <c r="G142" s="225">
        <v>53</v>
      </c>
      <c r="H142" s="227" t="s">
        <v>1009</v>
      </c>
      <c r="I142" s="226">
        <v>43112.899976851855</v>
      </c>
      <c r="J142" s="225">
        <v>0</v>
      </c>
      <c r="K142" s="237" t="str">
        <f>IF(ISEVEN(B142),(B142-1)&amp;"/"&amp;B142,B142&amp;"/"&amp;(B142+1))</f>
        <v>4025/4026</v>
      </c>
      <c r="L142" s="245" t="str">
        <f>VLOOKUP(A142,'Trips&amp;Operators'!$C$1:$G$99911,5,FALSE)</f>
        <v>ANDERS STEVEN</v>
      </c>
      <c r="M142" s="224">
        <f>I142-F142</f>
        <v>2.4756944447290152E-2</v>
      </c>
      <c r="N142" s="225">
        <f>24*60*SUM($M142:$M142)</f>
        <v>35.650000004097819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-12T19:36:53-0700',mode:absolute,to:'2018-01-12T22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5.3699999999999998E-2</v>
      </c>
      <c r="Z142" s="247">
        <f>RIGHT(H142,LEN(H142)-4)/10000</f>
        <v>23.3263</v>
      </c>
      <c r="AA142" s="247">
        <f>ABS(Z142-Y142)</f>
        <v>23.272600000000001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229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/stypes="app*4026*20180113*"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4"/>
        <v>"%USERPROFILE%\Documents\GitHub\eaglep3\Utilities\RefineRTDCRunTimes.py" --tripid 229-12 --locoid 4026 --swversion DE.1.0.9.0 --startMP 204:537 --initTime 2018-01-12T20:36:53 --startdatetime 2018-01-12T21:00:19 --delay 53 --endMP 204:233263 --enddatetime 2018-01-12T21:35:58 --enforcementcount 0 &gt;&gt;%USERPROFILE%\Documents\GitHub\eaglep3-reporting\EC\2018-01-12-refined-times.txt</v>
      </c>
      <c r="AI142" s="238" t="str">
        <f t="shared" si="15"/>
        <v>echo {"issue":{"subject":"","project_id":79,"tracker_id":40,"status_id":1,"priority_id":2,"assigned_to_id":338,"start_date":"2018-01-12","description":"","custom_fields":[{"id":1,"name":"Subdivision","value":"EC"},{"id":4,"name":"Milepost","value":"23.3263"},{"id":17,"name":"Train ID","value":"229-12"},{"id":16,"name":"Locomotive ID","value":"4026"},{"id":130,"name":"Impact","value":""},{"id":150,"name":"Time of Event (Mountain Time)","value":"21:35:58"},{"id":151,"name":"Denver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16"/>
        <v>start /low /b %USERPROFILE%\Documents\GitHub\eaglep3\Utilities\DownloadLogsFromS3.py --loco 4026 --day 2018-01-12</v>
      </c>
      <c r="AN142" s="241" t="str">
        <f t="shared" si="1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8"/>
        <v>https://d0f6bd738d7f1b3e5a7ca70fe4ff75f0.us-east-1.aws.found.io/app/kibana#/discover/Steve-Slow-Train-Analysis-(2080s-and-2083s)?_g=(refreshInterval:(display:Off,pause:!f,section:0,value:0),time:(from:'2018-01-12T19:36:53-0700',mode:absolute,to:'2018-01-12T22:35:58-0700'))&amp;_a=(columns:!('Message%20ID',Summary),filters:!(),index:'emp_*',interval:auto,query:(query_string:(analyze_wildcard:!t,query:'%22rtdc.l.rtdc.4026%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886</v>
      </c>
      <c r="B143" s="225">
        <v>4025</v>
      </c>
      <c r="C143" s="227" t="s">
        <v>191</v>
      </c>
      <c r="D143" s="227" t="s">
        <v>1010</v>
      </c>
      <c r="E143" s="226">
        <v>43112.91238425926</v>
      </c>
      <c r="F143" s="226">
        <v>43112.914768518516</v>
      </c>
      <c r="G143" s="225">
        <v>56</v>
      </c>
      <c r="H143" s="227" t="s">
        <v>1011</v>
      </c>
      <c r="I143" s="226">
        <v>43112.941736111112</v>
      </c>
      <c r="J143" s="225">
        <v>0</v>
      </c>
      <c r="K143" s="237" t="str">
        <f>IF(ISEVEN(B143),(B143-1)&amp;"/"&amp;B143,B143&amp;"/"&amp;(B143+1))</f>
        <v>4025/4026</v>
      </c>
      <c r="L143" s="245" t="str">
        <f>VLOOKUP(A143,'Trips&amp;Operators'!$C$1:$G$99911,5,FALSE)</f>
        <v>ANDERS STEVEN</v>
      </c>
      <c r="M143" s="224">
        <f>I143-F143</f>
        <v>2.6967592595610768E-2</v>
      </c>
      <c r="N143" s="225">
        <f>24*60*SUM($M143:$M143)</f>
        <v>38.833333337679505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-12T20:53:50-0700',mode:absolute,to:'2018-01-12T23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23.296800000000001</v>
      </c>
      <c r="Z143" s="247">
        <f>RIGHT(H143,LEN(H143)-4)/10000</f>
        <v>2.4299999999999999E-2</v>
      </c>
      <c r="AA143" s="247">
        <f>ABS(Z143-Y143)</f>
        <v>23.272500000000001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230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/stypes="app*4025*20180113*"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:AH206" si="1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230-12 --locoid 4025 --swversion DE.1.0.9.0 --startMP 204:232968 --initTime 2018-01-12T21:53:50 --startdatetime 2018-01-12T21:57:16 --delay 56 --endMP 204:243 --enddatetime 2018-01-12T22:36:06 --enforcementcount 0 &gt;&gt;%USERPROFILE%\Documents\GitHub\eaglep3-reporting\EC\2018-01-12-refined-times.txt</v>
      </c>
      <c r="AI143" s="238" t="str">
        <f t="shared" ref="AI143:AI206" si="2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{"issue":{"subject":"","project_id":79,"tracker_id":40,"status_id":1,"priority_id":2,"assigned_to_id":338,"start_date":"2018-01-12","description":"","custom_fields":[{"id":1,"name":"Subdivision","value":"EC"},{"id":4,"name":"Milepost","value":"0.0243"},{"id":17,"name":"Train ID","value":"230-12"},{"id":16,"name":"Locomotive ID","value":"4025"},{"id":130,"name":"Impact","value":""},{"id":150,"name":"Time of Event (Mountain Time)","value":"22:36:06"},{"id":151,"name":"Denver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ref="AM143:AM206" si="21">"start /low /b "&amp;dls3logs&amp;" --loco "&amp;B143&amp;" --day "&amp;TEXT(F143,"YYYY-MM-DD")</f>
        <v>start /low /b %USERPROFILE%\Documents\GitHub\eaglep3\Utilities\DownloadLogsFromS3.py --loco 4025 --day 2018-01-12</v>
      </c>
      <c r="AN143" s="241" t="str">
        <f t="shared" ref="AN143:AN206" si="22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6" si="23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-12T20:53:50-0700',mode:absolute,to:'2018-01-12T23:36:06-0700'))&amp;_a=(columns:!('Message%20ID',Summary),filters:!(),index:'emp_*',interval:auto,query:(query_string:(analyze_wildcard:!t,query:'%22rtdc.l.rtdc.4025%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694</v>
      </c>
      <c r="B144" s="225">
        <v>4040</v>
      </c>
      <c r="C144" s="227" t="s">
        <v>191</v>
      </c>
      <c r="D144" s="227" t="s">
        <v>911</v>
      </c>
      <c r="E144" s="226">
        <v>43112.880983796298</v>
      </c>
      <c r="F144" s="226">
        <v>43112.896018518521</v>
      </c>
      <c r="G144" s="225">
        <v>188</v>
      </c>
      <c r="H144" s="227" t="s">
        <v>541</v>
      </c>
      <c r="I144" s="226">
        <v>43112.921817129631</v>
      </c>
      <c r="J144" s="225">
        <v>0</v>
      </c>
      <c r="K144" s="237" t="str">
        <f>IF(ISEVEN(B144),(B144-1)&amp;"/"&amp;B144,B144&amp;"/"&amp;(B144+1))</f>
        <v>4039/4040</v>
      </c>
      <c r="L144" s="245" t="str">
        <f>VLOOKUP(A144,'Trips&amp;Operators'!$C$1:$G$99911,5,FALSE)</f>
        <v>ANDREA WILLIAMS</v>
      </c>
      <c r="M144" s="224">
        <f>I144-F144</f>
        <v>2.5798611110076308E-2</v>
      </c>
      <c r="N144" s="225">
        <f>24*60*SUM($M144:$M144)</f>
        <v>37.149999998509884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-12T20:08:37-0700',mode:absolute,to:'2018-01-12T23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4.8399999999999999E-2</v>
      </c>
      <c r="Z144" s="247">
        <f>RIGHT(H144,LEN(H144)-4)/10000</f>
        <v>23.326599999999999</v>
      </c>
      <c r="AA144" s="247">
        <f>ABS(Z144-Y144)</f>
        <v>23.278199999999998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231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/stypes="app*4040*20180113*"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9"/>
        <v>"%USERPROFILE%\Documents\GitHub\eaglep3\Utilities\RefineRTDCRunTimes.py" --tripid 231-12 --locoid 4040 --swversion DE.1.0.9.0 --startMP 204:484 --initTime 2018-01-12T21:08:37 --startdatetime 2018-01-12T21:30:16 --delay 188 --endMP 204:233266 --enddatetime 2018-01-12T22:07:25 --enforcementcount 0 &gt;&gt;%USERPROFILE%\Documents\GitHub\eaglep3-reporting\EC\2018-01-12-refined-times.txt</v>
      </c>
      <c r="AI144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{"issue":{"subject":"","project_id":79,"tracker_id":40,"status_id":1,"priority_id":2,"assigned_to_id":338,"start_date":"2018-01-12","description":"","custom_fields":[{"id":1,"name":"Subdivision","value":"EC"},{"id":4,"name":"Milepost","value":"23.3266"},{"id":17,"name":"Train ID","value":"231-12"},{"id":16,"name":"Locomotive ID","value":"4040"},{"id":130,"name":"Impact","value":""},{"id":150,"name":"Time of Event (Mountain Time)","value":"22:07:25"},{"id":151,"name":"Denver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21"/>
        <v>start /low /b %USERPROFILE%\Documents\GitHub\eaglep3\Utilities\DownloadLogsFromS3.py --loco 4040 --day 2018-01-12</v>
      </c>
      <c r="AN144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3"/>
        <v>https://d0f6bd738d7f1b3e5a7ca70fe4ff75f0.us-east-1.aws.found.io/app/kibana#/discover/Steve-Slow-Train-Analysis-(2080s-and-2083s)?_g=(refreshInterval:(display:Off,pause:!f,section:0,value:0),time:(from:'2018-01-12T20:08:37-0700',mode:absolute,to:'2018-01-12T23:07:25-0700'))&amp;_a=(columns:!('Message%20ID',Summary),filters:!(),index:'emp_*',interval:auto,query:(query_string:(analyze_wildcard:!t,query:'%22rtdc.l.rtdc.4040%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888</v>
      </c>
      <c r="B145" s="225">
        <v>4039</v>
      </c>
      <c r="C145" s="227" t="s">
        <v>191</v>
      </c>
      <c r="D145" s="227" t="s">
        <v>953</v>
      </c>
      <c r="E145" s="226">
        <v>43112.930381944447</v>
      </c>
      <c r="F145" s="226">
        <v>43112.935590277775</v>
      </c>
      <c r="G145" s="225">
        <v>80</v>
      </c>
      <c r="H145" s="227" t="s">
        <v>622</v>
      </c>
      <c r="I145" s="226">
        <v>43112.96234953704</v>
      </c>
      <c r="J145" s="225">
        <v>0</v>
      </c>
      <c r="K145" s="237" t="str">
        <f>IF(ISEVEN(B145),(B145-1)&amp;"/"&amp;B145,B145&amp;"/"&amp;(B145+1))</f>
        <v>4039/4040</v>
      </c>
      <c r="L145" s="245" t="str">
        <f>VLOOKUP(A145,'Trips&amp;Operators'!$C$1:$G$99911,5,FALSE)</f>
        <v>ANDREA WILLIAMS</v>
      </c>
      <c r="M145" s="224">
        <f>I145-F145</f>
        <v>2.6759259264508728E-2</v>
      </c>
      <c r="N145" s="225">
        <f>24*60*SUM($M145:$M145)</f>
        <v>38.533333340892568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-12T21:19:45-0700',mode:absolute,to:'2018-01-13T00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23.295300000000001</v>
      </c>
      <c r="Z145" s="247">
        <f>RIGHT(H145,LEN(H145)-4)/10000</f>
        <v>1.6299999999999999E-2</v>
      </c>
      <c r="AA145" s="247">
        <f>ABS(Z145-Y145)</f>
        <v>23.279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232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/stypes="app*4039*20180113*" /stext=" 06:.+((SYSTEM_STATE.+slice.+state.+changed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9"/>
        <v>"%USERPROFILE%\Documents\GitHub\eaglep3\Utilities\RefineRTDCRunTimes.py" --tripid 232-12 --locoid 4039 --swversion DE.1.0.9.0 --startMP 204:232953 --initTime 2018-01-12T22:19:45 --startdatetime 2018-01-12T22:27:15 --delay 80 --endMP 204:163 --enddatetime 2018-01-12T23:05:47 --enforcementcount 0 &gt;&gt;%USERPROFILE%\Documents\GitHub\eaglep3-reporting\EC\2018-01-12-refined-times.txt</v>
      </c>
      <c r="AI145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{"issue":{"subject":"","project_id":79,"tracker_id":40,"status_id":1,"priority_id":2,"assigned_to_id":338,"start_date":"2018-01-12","description":"","custom_fields":[{"id":1,"name":"Subdivision","value":"EC"},{"id":4,"name":"Milepost","value":"0.0163"},{"id":17,"name":"Train ID","value":"232-12"},{"id":16,"name":"Locomotive ID","value":"4039"},{"id":130,"name":"Impact","value":""},{"id":150,"name":"Time of Event (Mountain Time)","value":"23:05:47"},{"id":151,"name":"Denver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21"/>
        <v>start /low /b %USERPROFILE%\Documents\GitHub\eaglep3\Utilities\DownloadLogsFromS3.py --loco 4039 --day 2018-01-12</v>
      </c>
      <c r="AN145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3"/>
        <v>https://d0f6bd738d7f1b3e5a7ca70fe4ff75f0.us-east-1.aws.found.io/app/kibana#/discover/Steve-Slow-Train-Analysis-(2080s-and-2083s)?_g=(refreshInterval:(display:Off,pause:!f,section:0,value:0),time:(from:'2018-01-12T21:19:45-0700',mode:absolute,to:'2018-01-13T00:05:47-0700'))&amp;_a=(columns:!('Message%20ID',Summary),filters:!(),index:'emp_*',interval:auto,query:(query_string:(analyze_wildcard:!t,query:'%22rtdc.l.rtdc.4039%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885</v>
      </c>
      <c r="B146" s="225">
        <v>4018</v>
      </c>
      <c r="C146" s="227" t="s">
        <v>191</v>
      </c>
      <c r="D146" s="227" t="s">
        <v>921</v>
      </c>
      <c r="E146" s="226">
        <v>43112.911435185182</v>
      </c>
      <c r="F146" s="226">
        <v>43112.916898148149</v>
      </c>
      <c r="G146" s="225">
        <v>94</v>
      </c>
      <c r="H146" s="227" t="s">
        <v>488</v>
      </c>
      <c r="I146" s="226">
        <v>43112.942106481481</v>
      </c>
      <c r="J146" s="225">
        <v>0</v>
      </c>
      <c r="K146" s="237" t="str">
        <f>IF(ISEVEN(B146),(B146-1)&amp;"/"&amp;B146,B146&amp;"/"&amp;(B146+1))</f>
        <v>4017/4018</v>
      </c>
      <c r="L146" s="245" t="str">
        <f>VLOOKUP(A146,'Trips&amp;Operators'!$C$1:$G$99911,5,FALSE)</f>
        <v>NICHOLSON WESLEY</v>
      </c>
      <c r="M146" s="224">
        <f>I146-F146</f>
        <v>2.5208333332557231E-2</v>
      </c>
      <c r="N146" s="225">
        <f>24*60*SUM($M146:$M146)</f>
        <v>36.299999998882413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-12T20:52:28-0700',mode:absolute,to:'2018-01-12T23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5.3900000000000003E-2</v>
      </c>
      <c r="Z146" s="247">
        <f>RIGHT(H146,LEN(H146)-4)/10000</f>
        <v>23.326799999999999</v>
      </c>
      <c r="AA146" s="247">
        <f>ABS(Z146-Y146)</f>
        <v>23.2729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233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"%USERPROFILE%\AppData\Local\Temp\OnboardLogs"\RTDC4018\2018-01-12 --exclude "*" --recursive --include "*20180112*" &amp; "%USERPROFILE%\Documents\GitHub\mrs-test-scripts\Headless Mode &amp; Sideloading\WalkAndUnGZ.bat" "%USERPROFILE%\AppData\Local\Temp\OnboardLogs"\RTDC4018\2018-01-12 &amp; 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/stypes="app*4018*20180113*"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9"/>
        <v>"%USERPROFILE%\Documents\GitHub\eaglep3\Utilities\RefineRTDCRunTimes.py" --tripid 233-12 --locoid 4018 --swversion DE.1.0.9.0 --startMP 204:539 --initTime 2018-01-12T21:52:28 --startdatetime 2018-01-12T22:00:20 --delay 94 --endMP 204:233268 --enddatetime 2018-01-12T22:36:38 --enforcementcount 0 &gt;&gt;%USERPROFILE%\Documents\GitHub\eaglep3-reporting\EC\2018-01-12-refined-times.txt</v>
      </c>
      <c r="AI146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{"issue":{"subject":"","project_id":79,"tracker_id":40,"status_id":1,"priority_id":2,"assigned_to_id":338,"start_date":"2018-01-12","description":"","custom_fields":[{"id":1,"name":"Subdivision","value":"EC"},{"id":4,"name":"Milepost","value":"23.3268"},{"id":17,"name":"Train ID","value":"233-12"},{"id":16,"name":"Locomotive ID","value":"4018"},{"id":130,"name":"Impact","value":""},{"id":150,"name":"Time of Event (Mountain Time)","value":"22:36:38"},{"id":151,"name":"Denver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21"/>
        <v>start /low /b %USERPROFILE%\Documents\GitHub\eaglep3\Utilities\DownloadLogsFromS3.py --loco 4018 --day 2018-01-12</v>
      </c>
      <c r="AN146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3"/>
        <v>https://d0f6bd738d7f1b3e5a7ca70fe4ff75f0.us-east-1.aws.found.io/app/kibana#/discover/Steve-Slow-Train-Analysis-(2080s-and-2083s)?_g=(refreshInterval:(display:Off,pause:!f,section:0,value:0),time:(from:'2018-01-12T20:52:28-0700',mode:absolute,to:'2018-01-12T23:36:38-0700'))&amp;_a=(columns:!('Message%20ID',Summary),filters:!(),index:'emp_*',interval:auto,query:(query_string:(analyze_wildcard:!t,query:'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891</v>
      </c>
      <c r="B147" s="225">
        <v>4017</v>
      </c>
      <c r="C147" s="227" t="s">
        <v>191</v>
      </c>
      <c r="D147" s="227" t="s">
        <v>1010</v>
      </c>
      <c r="E147" s="226">
        <v>43112.949270833335</v>
      </c>
      <c r="F147" s="226">
        <v>43112.956585648149</v>
      </c>
      <c r="G147" s="225">
        <v>114</v>
      </c>
      <c r="H147" s="227" t="s">
        <v>1006</v>
      </c>
      <c r="I147" s="226">
        <v>43112.983414351853</v>
      </c>
      <c r="J147" s="225">
        <v>0</v>
      </c>
      <c r="K147" s="237" t="str">
        <f>IF(ISEVEN(B147),(B147-1)&amp;"/"&amp;B147,B147&amp;"/"&amp;(B147+1))</f>
        <v>4017/4018</v>
      </c>
      <c r="L147" s="245" t="str">
        <f>VLOOKUP(A147,'Trips&amp;Operators'!$C$1:$G$99911,5,FALSE)</f>
        <v>NICHOLSON WESLEY</v>
      </c>
      <c r="M147" s="224">
        <f>I147-F147</f>
        <v>2.6828703703358769E-2</v>
      </c>
      <c r="N147" s="225">
        <f>24*60*SUM($M147:$M147)</f>
        <v>38.633333332836628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-12T21:46:57-0700',mode:absolute,to:'2018-01-13T00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23.296800000000001</v>
      </c>
      <c r="Z147" s="247">
        <f>RIGHT(H147,LEN(H147)-4)/10000</f>
        <v>2.52E-2</v>
      </c>
      <c r="AA147" s="247">
        <f>ABS(Z147-Y147)</f>
        <v>23.271599999999999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234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/stypes="app*4017*20180113*"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19"/>
        <v>"%USERPROFILE%\Documents\GitHub\eaglep3\Utilities\RefineRTDCRunTimes.py" --tripid 234-12 --locoid 4017 --swversion DE.1.0.9.0 --startMP 204:232968 --initTime 2018-01-12T22:46:57 --startdatetime 2018-01-12T22:57:29 --delay 114 --endMP 204:252 --enddatetime 2018-01-12T23:36:07 --enforcementcount 0 &gt;&gt;%USERPROFILE%\Documents\GitHub\eaglep3-reporting\EC\2018-01-12-refined-times.txt</v>
      </c>
      <c r="AI147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{"issue":{"subject":"","project_id":79,"tracker_id":40,"status_id":1,"priority_id":2,"assigned_to_id":338,"start_date":"2018-01-12","description":"","custom_fields":[{"id":1,"name":"Subdivision","value":"EC"},{"id":4,"name":"Milepost","value":"0.0252"},{"id":17,"name":"Train ID","value":"234-12"},{"id":16,"name":"Locomotive ID","value":"4017"},{"id":130,"name":"Impact","value":""},{"id":150,"name":"Time of Event (Mountain Time)","value":"23:36:07"},{"id":151,"name":"Denver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21"/>
        <v>start /low /b %USERPROFILE%\Documents\GitHub\eaglep3\Utilities\DownloadLogsFromS3.py --loco 4017 --day 2018-01-12</v>
      </c>
      <c r="AN147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23"/>
        <v>https://d0f6bd738d7f1b3e5a7ca70fe4ff75f0.us-east-1.aws.found.io/app/kibana#/discover/Steve-Slow-Train-Analysis-(2080s-and-2083s)?_g=(refreshInterval:(display:Off,pause:!f,section:0,value:0),time:(from:'2018-01-12T21:46:57-0700',mode:absolute,to:'2018-01-13T00:36:07-0700'))&amp;_a=(columns:!('Message%20ID',Summary),filters:!(),index:'emp_*',interval:auto,query:(query_string:(analyze_wildcard:!t,query:'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890</v>
      </c>
      <c r="B148" s="225">
        <v>4006</v>
      </c>
      <c r="C148" s="227" t="s">
        <v>191</v>
      </c>
      <c r="D148" s="227" t="s">
        <v>1012</v>
      </c>
      <c r="E148" s="226">
        <v>43112.935266203705</v>
      </c>
      <c r="F148" s="226">
        <v>43112.937662037039</v>
      </c>
      <c r="G148" s="225">
        <v>54</v>
      </c>
      <c r="H148" s="227" t="s">
        <v>1013</v>
      </c>
      <c r="I148" s="226">
        <v>43112.96193287037</v>
      </c>
      <c r="J148" s="225">
        <v>0</v>
      </c>
      <c r="K148" s="237" t="str">
        <f>IF(ISEVEN(B148),(B148-1)&amp;"/"&amp;B148,B148&amp;"/"&amp;(B148+1))</f>
        <v>4005/4006</v>
      </c>
      <c r="L148" s="245" t="str">
        <f>VLOOKUP(A148,'Trips&amp;Operators'!$C$1:$G$99911,5,FALSE)</f>
        <v>AUSTIN THOMPSON</v>
      </c>
      <c r="M148" s="224">
        <f>I148-F148</f>
        <v>2.4270833331684116E-2</v>
      </c>
      <c r="N148" s="225">
        <f>24*60*SUM($M148:$M148)</f>
        <v>34.949999997625127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-12T21:26:47-0700',mode:absolute,to:'2018-01-13T00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5.6800000000000003E-2</v>
      </c>
      <c r="Z148" s="247">
        <f>RIGHT(H148,LEN(H148)-4)/10000</f>
        <v>23.322399999999998</v>
      </c>
      <c r="AA148" s="247">
        <f>ABS(Z148-Y148)</f>
        <v>23.265599999999999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235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/stypes="app*4006*20180113*"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9"/>
        <v>"%USERPROFILE%\Documents\GitHub\eaglep3\Utilities\RefineRTDCRunTimes.py" --tripid 235-12 --locoid 4006 --swversion DE.1.0.9.0 --startMP 204:568 --initTime 2018-01-12T22:26:47 --startdatetime 2018-01-12T22:30:14 --delay 54 --endMP 204:233224 --enddatetime 2018-01-12T23:05:11 --enforcementcount 0 &gt;&gt;%USERPROFILE%\Documents\GitHub\eaglep3-reporting\EC\2018-01-12-refined-times.txt</v>
      </c>
      <c r="AI148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{"issue":{"subject":"","project_id":79,"tracker_id":40,"status_id":1,"priority_id":2,"assigned_to_id":338,"start_date":"2018-01-12","description":"","custom_fields":[{"id":1,"name":"Subdivision","value":"EC"},{"id":4,"name":"Milepost","value":"23.3224"},{"id":17,"name":"Train ID","value":"235-12"},{"id":16,"name":"Locomotive ID","value":"4006"},{"id":130,"name":"Impact","value":""},{"id":150,"name":"Time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21"/>
        <v>start /low /b %USERPROFILE%\Documents\GitHub\eaglep3\Utilities\DownloadLogsFromS3.py --loco 4006 --day 2018-01-12</v>
      </c>
      <c r="AN148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23"/>
        <v>https://d0f6bd738d7f1b3e5a7ca70fe4ff75f0.us-east-1.aws.found.io/app/kibana#/discover/Steve-Slow-Train-Analysis-(2080s-and-2083s)?_g=(refreshInterval:(display:Off,pause:!f,section:0,value:0),time:(from:'2018-01-12T21:26:47-0700',mode:absolute,to:'2018-01-13T00:05:11-0700'))&amp;_a=(columns:!('Message%20ID',Summary),filters:!(),index:'emp_*',interval:auto,query:(query_string:(analyze_wildcard:!t,query:'%22rtdc.l.rtdc.4006%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29" t="s">
        <v>894</v>
      </c>
      <c r="B149" s="225">
        <v>4005</v>
      </c>
      <c r="C149" s="227" t="s">
        <v>191</v>
      </c>
      <c r="D149" s="227" t="s">
        <v>970</v>
      </c>
      <c r="E149" s="226">
        <v>43112.974965277775</v>
      </c>
      <c r="F149" s="226">
        <v>43112.977280092593</v>
      </c>
      <c r="G149" s="225">
        <v>53</v>
      </c>
      <c r="H149" s="227" t="s">
        <v>1014</v>
      </c>
      <c r="I149" s="226">
        <v>43113.002465277779</v>
      </c>
      <c r="J149" s="225">
        <v>0</v>
      </c>
      <c r="K149" s="237" t="str">
        <f>IF(ISEVEN(B149),(B149-1)&amp;"/"&amp;B149,B149&amp;"/"&amp;(B149+1))</f>
        <v>4005/4006</v>
      </c>
      <c r="L149" s="245" t="str">
        <f>VLOOKUP(A149,'Trips&amp;Operators'!$C$1:$G$99911,5,FALSE)</f>
        <v>AUSTIN THOMPSON</v>
      </c>
      <c r="M149" s="224">
        <f>I149-F149</f>
        <v>2.5185185186273884E-2</v>
      </c>
      <c r="N149" s="225">
        <f>24*60*SUM($M149:$M149)</f>
        <v>36.266666668234393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-12T22:23:57-0700',mode:absolute,to:'2018-01-13T01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23.29</v>
      </c>
      <c r="Z149" s="247">
        <f>RIGHT(H149,LEN(H149)-4)/10000</f>
        <v>2.5399999999999999E-2</v>
      </c>
      <c r="AA149" s="247">
        <f>ABS(Z149-Y149)</f>
        <v>23.264599999999998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236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/stypes="app*4005*20180113*" /stext=" 07:.+((SYSTEM_STATE.+slice.+state.+changed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19"/>
        <v>"%USERPROFILE%\Documents\GitHub\eaglep3\Utilities\RefineRTDCRunTimes.py" --tripid 236-12 --locoid 4005 --swversion DE.1.0.9.0 --startMP 204:232900 --initTime 2018-01-12T23:23:57 --startdatetime 2018-01-12T23:27:17 --delay 53 --endMP 204:254 --enddatetime 2018-01-13T00:03:33 --enforcementcount 0 &gt;&gt;%USERPROFILE%\Documents\GitHub\eaglep3-reporting\EC\2018-01-12-refined-times.txt</v>
      </c>
      <c r="AI149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{"issue":{"subject":"","project_id":79,"tracker_id":40,"status_id":1,"priority_id":2,"assigned_to_id":338,"start_date":"2018-01-13","description":"","custom_fields":[{"id":1,"name":"Subdivision","value":"EC"},{"id":4,"name":"Milepost","value":"0.0254"},{"id":17,"name":"Train ID","value":"236-12"},{"id":16,"name":"Locomotive ID","value":"4005"},{"id":130,"name":"Impact","value":""},{"id":150,"name":"Time of Event (Mountain Time)","value":"00:03:33"},{"id":151,"name":"Denver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21"/>
        <v>start /low /b %USERPROFILE%\Documents\GitHub\eaglep3\Utilities\DownloadLogsFromS3.py --loco 4005 --day 2018-01-12</v>
      </c>
      <c r="AN149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07:03:33"},{"id":29,"name":"Sharepoint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23"/>
        <v>https://d0f6bd738d7f1b3e5a7ca70fe4ff75f0.us-east-1.aws.found.io/app/kibana#/discover/Steve-Slow-Train-Analysis-(2080s-and-2083s)?_g=(refreshInterval:(display:Off,pause:!f,section:0,value:0),time:(from:'2018-01-12T22:23:57-0700',mode:absolute,to:'2018-01-13T01:03:33-0700'))&amp;_a=(columns:!('Message%20ID',Summary),filters:!(),index:'emp_*',interval:auto,query:(query_string:(analyze_wildcard:!t,query:'%22rtdc.l.rtdc.4005%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892</v>
      </c>
      <c r="B150" s="225">
        <v>4026</v>
      </c>
      <c r="C150" s="227" t="s">
        <v>191</v>
      </c>
      <c r="D150" s="227" t="s">
        <v>454</v>
      </c>
      <c r="E150" s="226">
        <v>43112.956585648149</v>
      </c>
      <c r="F150" s="226">
        <v>43112.958680555559</v>
      </c>
      <c r="G150" s="225">
        <v>101</v>
      </c>
      <c r="H150" s="227" t="s">
        <v>913</v>
      </c>
      <c r="I150" s="226">
        <v>43112.984027777777</v>
      </c>
      <c r="J150" s="225">
        <v>0</v>
      </c>
      <c r="K150" s="237" t="str">
        <f>IF(ISEVEN(B150),(B150-1)&amp;"/"&amp;B150,B150&amp;"/"&amp;(B150+1))</f>
        <v>4025/4026</v>
      </c>
      <c r="L150" s="245" t="str">
        <f>VLOOKUP(A150,'Trips&amp;Operators'!$C$1:$G$99911,5,FALSE)</f>
        <v>ANDERS STEVEN</v>
      </c>
      <c r="M150" s="224">
        <f>I150-F150</f>
        <v>2.5347222217533272E-2</v>
      </c>
      <c r="N150" s="225">
        <f>24*60*SUM($M150:$M150)</f>
        <v>36.499999993247911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-12T21:57:29-0700',mode:absolute,to:'2018-01-13T00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5.5100000000000003E-2</v>
      </c>
      <c r="Z150" s="247">
        <f>RIGHT(H150,LEN(H150)-4)/10000</f>
        <v>23.3293</v>
      </c>
      <c r="AA150" s="247">
        <f>ABS(Z150-Y150)</f>
        <v>23.2742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237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s3://rtdc.mdm.uploadarchive.raw/RTDC4026/ "%USERPROFILE%\AppData\Local\Temp\OnboardLogs"\RTDC4026\2018-01-12 --exclude "*" --recursive --include "*20180112*" &amp; "%USERPROFILE%\Documents\GitHub\mrs-test-scripts\Headless Mode &amp; Sideloading\WalkAndUnGZ.bat" "%USERPROFILE%\AppData\Local\Temp\OnboardLogs"\RTDC4026\2018-01-12 &amp; 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/stypes="app*4026*20180113*"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19"/>
        <v>"%USERPROFILE%\Documents\GitHub\eaglep3\Utilities\RefineRTDCRunTimes.py" --tripid 237-12 --locoid 4026 --swversion DE.1.0.9.0 --startMP 204:551 --initTime 2018-01-12T22:57:29 --startdatetime 2018-01-12T23:00:30 --delay 101 --endMP 204:233293 --enddatetime 2018-01-12T23:37:00 --enforcementcount 0 &gt;&gt;%USERPROFILE%\Documents\GitHub\eaglep3-reporting\EC\2018-01-12-refined-times.txt</v>
      </c>
      <c r="AI150" s="238" t="str">
        <f t="shared" si="20"/>
        <v>echo {"issue":{"subject":"","project_id":79,"tracker_id":40,"status_id":1,"priority_id":2,"assigned_to_id":338,"start_date":"2018-01-12","description":"","custom_fields":[{"id":1,"name":"Subdivision","value":"EC"},{"id":4,"name":"Milepost","value":"23.3293"},{"id":17,"name":"Train ID","value":"237-12"},{"id":16,"name":"Locomotive ID","value":"4026"},{"id":130,"name":"Impact","value":""},{"id":150,"name":"Time of Event (Mountain Time)","value":"23:37:00"},{"id":151,"name":"Denver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21"/>
        <v>start /low /b %USERPROFILE%\Documents\GitHub\eaglep3\Utilities\DownloadLogsFromS3.py --loco 4026 --day 2018-01-12</v>
      </c>
      <c r="AN150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23"/>
        <v>https://d0f6bd738d7f1b3e5a7ca70fe4ff75f0.us-east-1.aws.found.io/app/kibana#/discover/Steve-Slow-Train-Analysis-(2080s-and-2083s)?_g=(refreshInterval:(display:Off,pause:!f,section:0,value:0),time:(from:'2018-01-12T21:57:29-0700',mode:absolute,to:'2018-01-13T00:37:00-0700'))&amp;_a=(columns:!('Message%20ID',Summary),filters:!(),index:'emp_*',interval:auto,query:(query_string:(analyze_wildcard:!t,query:'%22rtdc.l.rtdc.4026%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897</v>
      </c>
      <c r="B151" s="225">
        <v>4025</v>
      </c>
      <c r="C151" s="227" t="s">
        <v>191</v>
      </c>
      <c r="D151" s="227" t="s">
        <v>1015</v>
      </c>
      <c r="E151" s="226">
        <v>43112.995717592596</v>
      </c>
      <c r="F151" s="226">
        <v>43112.998182870368</v>
      </c>
      <c r="G151" s="225">
        <v>57</v>
      </c>
      <c r="H151" s="227" t="s">
        <v>446</v>
      </c>
      <c r="I151" s="226">
        <v>43113.025092592594</v>
      </c>
      <c r="J151" s="225">
        <v>0</v>
      </c>
      <c r="K151" s="237" t="str">
        <f>IF(ISEVEN(B151),(B151-1)&amp;"/"&amp;B151,B151&amp;"/"&amp;(B151+1))</f>
        <v>4025/4026</v>
      </c>
      <c r="L151" s="245" t="str">
        <f>VLOOKUP(A151,'Trips&amp;Operators'!$C$1:$G$99911,5,FALSE)</f>
        <v>ANDERS STEVEN</v>
      </c>
      <c r="M151" s="224">
        <f>I151-F151</f>
        <v>2.6909722226264421E-2</v>
      </c>
      <c r="N151" s="225">
        <f>24*60*SUM($M151:$M151)</f>
        <v>38.750000005820766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-12T22:53:50-0700',mode:absolute,to:'2018-01-13T01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23.296600000000002</v>
      </c>
      <c r="Z151" s="247">
        <f>RIGHT(H151,LEN(H151)-4)/10000</f>
        <v>2.1399999999999999E-2</v>
      </c>
      <c r="AA151" s="247">
        <f>ABS(Z151-Y151)</f>
        <v>23.275200000000002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238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/stypes="app*4025*20180113*"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19"/>
        <v>"%USERPROFILE%\Documents\GitHub\eaglep3\Utilities\RefineRTDCRunTimes.py" --tripid 238-12 --locoid 4025 --swversion DE.1.0.9.0 --startMP 204:232966 --initTime 2018-01-12T23:53:50 --startdatetime 2018-01-12T23:57:23 --delay 57 --endMP 204:214 --enddatetime 2018-01-13T00:36:08 --enforcementcount 0 &gt;&gt;%USERPROFILE%\Documents\GitHub\eaglep3-reporting\EC\2018-01-12-refined-times.txt</v>
      </c>
      <c r="AI151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{"issue":{"subject":"","project_id":79,"tracker_id":40,"status_id":1,"priority_id":2,"assigned_to_id":338,"start_date":"2018-01-13","description":"","custom_fields":[{"id":1,"name":"Subdivision","value":"EC"},{"id":4,"name":"Milepost","value":"0.0214"},{"id":17,"name":"Train ID","value":"238-12"},{"id":16,"name":"Locomotive ID","value":"4025"},{"id":130,"name":"Impact","value":""},{"id":150,"name":"Time of Event (Mountain Time)","value":"00:36:08"},{"id":151,"name":"Denver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21"/>
        <v>start /low /b %USERPROFILE%\Documents\GitHub\eaglep3\Utilities\DownloadLogsFromS3.py --loco 4025 --day 2018-01-12</v>
      </c>
      <c r="AN151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23"/>
        <v>https://d0f6bd738d7f1b3e5a7ca70fe4ff75f0.us-east-1.aws.found.io/app/kibana#/discover/Steve-Slow-Train-Analysis-(2080s-and-2083s)?_g=(refreshInterval:(display:Off,pause:!f,section:0,value:0),time:(from:'2018-01-12T22:53:50-0700',mode:absolute,to:'2018-01-13T01:36:08-0700'))&amp;_a=(columns:!('Message%20ID',Summary),filters:!(),index:'emp_*',interval:auto,query:(query_string:(analyze_wildcard:!t,query:'%22rtdc.l.rtdc.4025%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696</v>
      </c>
      <c r="B152" s="225">
        <v>4040</v>
      </c>
      <c r="C152" s="227" t="s">
        <v>191</v>
      </c>
      <c r="D152" s="227" t="s">
        <v>450</v>
      </c>
      <c r="E152" s="226">
        <v>43112.966145833336</v>
      </c>
      <c r="F152" s="226">
        <v>43112.979363425926</v>
      </c>
      <c r="G152" s="225">
        <v>79</v>
      </c>
      <c r="H152" s="227" t="s">
        <v>487</v>
      </c>
      <c r="I152" s="226">
        <v>43113.005231481482</v>
      </c>
      <c r="J152" s="225">
        <v>0</v>
      </c>
      <c r="K152" s="237" t="str">
        <f>IF(ISEVEN(B152),(B152-1)&amp;"/"&amp;B152,B152&amp;"/"&amp;(B152+1))</f>
        <v>4039/4040</v>
      </c>
      <c r="L152" s="245" t="str">
        <f>VLOOKUP(A152,'Trips&amp;Operators'!$C$1:$G$99911,5,FALSE)</f>
        <v>ANDREA WILLIAMS</v>
      </c>
      <c r="M152" s="224">
        <f>I152-F152</f>
        <v>2.5868055556202307E-2</v>
      </c>
      <c r="N152" s="225">
        <f>24*60*SUM($M152:$M152)</f>
        <v>37.250000000931323</v>
      </c>
      <c r="O152" s="225"/>
      <c r="P152" s="225"/>
      <c r="Q152" s="228"/>
      <c r="R152" s="242" t="s">
        <v>1113</v>
      </c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-12T22:11:15-0700',mode:absolute,to:'2018-01-13T01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4.9799999999999997E-2</v>
      </c>
      <c r="Z152" s="247">
        <f>RIGHT(H152,LEN(H152)-4)/10000</f>
        <v>23.3291</v>
      </c>
      <c r="AA152" s="247">
        <f>ABS(Z152-Y152)</f>
        <v>23.279299999999999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239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/stypes="app*4040*20180113*"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19"/>
        <v>"%USERPROFILE%\Documents\GitHub\eaglep3\Utilities\RefineRTDCRunTimes.py" --tripid 239-12 --locoid 4040 --swversion DE.1.0.9.0 --startMP 204:498 --initTime 2018-01-12T23:11:15 --startdatetime 2018-01-12T23:30:17 --delay 79 --endMP 204:233291 --enddatetime 2018-01-13T00:07:32 --enforcementcount 0 &gt;&gt;%USERPROFILE%\Documents\GitHub\eaglep3-reporting\EC\2018-01-12-refined-times.txt</v>
      </c>
      <c r="AI152" s="238" t="str">
        <f t="shared" si="20"/>
        <v>echo {"issue":{"subject":"Completed run, observed wheel tach slip/slip","project_id":79,"tracker_id":40,"status_id":1,"priority_id":2,"assigned_to_id":338,"start_date":"2018-01-13","description":"","custom_fields":[{"id":1,"name":"Subdivision","value":"EC"},{"id":4,"name":"Milepost","value":"23.3291"},{"id":17,"name":"Train ID","value":"239-12"},{"id":16,"name":"Locomotive ID","value":"4040"},{"id":130,"name":"Impact","value":""},{"id":150,"name":"Time of Event (Mountain Time)","value":"00:07:32"},{"id":151,"name":"Denver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21"/>
        <v>start /low /b %USERPROFILE%\Documents\GitHub\eaglep3\Utilities\DownloadLogsFromS3.py --loco 4040 --day 2018-01-12</v>
      </c>
      <c r="AN152" s="241" t="str">
        <f t="shared" si="22"/>
        <v>echo {"issue":{"subject":"Completed run, observed wheel tach slip/slip","project_id":30,"tracker_id":4,"status_id":1,"priority_id":1,"assigned_to_id":10,"start_date":"2018-01-13","description":"","custom_fields":[{"id":30,"name":"Category","value":"Issue"},{"id":3,"name":"Functional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07:07:32"},{"id":29,"name":"Sharepoint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23"/>
        <v>https://d0f6bd738d7f1b3e5a7ca70fe4ff75f0.us-east-1.aws.found.io/app/kibana#/discover/Steve-Slow-Train-Analysis-(2080s-and-2083s)?_g=(refreshInterval:(display:Off,pause:!f,section:0,value:0),time:(from:'2018-01-12T22:11:15-0700',mode:absolute,to:'2018-01-13T01:07:32-0700'))&amp;_a=(columns:!('Message%20ID',Summary),filters:!(),index:'emp_*',interval:auto,query:(query_string:(analyze_wildcard:!t,query:'%22rtdc.l.rtdc.4040%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898</v>
      </c>
      <c r="B153" s="225">
        <v>4039</v>
      </c>
      <c r="C153" s="227" t="s">
        <v>191</v>
      </c>
      <c r="D153" s="227" t="s">
        <v>528</v>
      </c>
      <c r="E153" s="226">
        <v>43113.011435185188</v>
      </c>
      <c r="F153" s="226">
        <v>43113.018935185188</v>
      </c>
      <c r="G153" s="225">
        <v>78</v>
      </c>
      <c r="H153" s="227" t="s">
        <v>1016</v>
      </c>
      <c r="I153" s="226">
        <v>43113.04482638889</v>
      </c>
      <c r="J153" s="225">
        <v>0</v>
      </c>
      <c r="K153" s="237" t="str">
        <f>IF(ISEVEN(B153),(B153-1)&amp;"/"&amp;B153,B153&amp;"/"&amp;(B153+1))</f>
        <v>4039/4040</v>
      </c>
      <c r="L153" s="245" t="str">
        <f>VLOOKUP(A153,'Trips&amp;Operators'!$C$1:$G$99911,5,FALSE)</f>
        <v>ANDREA WILLIAMS</v>
      </c>
      <c r="M153" s="224">
        <f>I153-F153</f>
        <v>2.5891203702485655E-2</v>
      </c>
      <c r="N153" s="225">
        <f>24*60*SUM($M153:$M153)</f>
        <v>37.283333331579342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-12T23:16:28-0700',mode:absolute,to:'2018-01-13T02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23.296099999999999</v>
      </c>
      <c r="Z153" s="247">
        <f>RIGHT(H153,LEN(H153)-4)/10000</f>
        <v>2.3800000000000002E-2</v>
      </c>
      <c r="AA153" s="247">
        <f>ABS(Z153-Y153)</f>
        <v>23.272299999999998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240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 &amp; aws s3 cp s3://rtdc.mdm.uploadarchive.raw/RTDC4039/ "%USERPROFILE%\AppData\Local\Temp\OnboardLogs"\RTDC4039\2018-01-14 --exclude "*" --recursive --include "*20180114*" &amp; "%USERPROFILE%\Documents\GitHub\mrs-test-scripts\Headless Mode &amp; Sideloading\WalkAndUnGZ.bat" "%USERPROFILE%\AppData\Local\Temp\OnboardLogs"\RTDC4039\2018-01-14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/stypes="app*4039*20180113*" /stext=" 08:.+((SYSTEM_STATE.+slice.+state.+changed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19"/>
        <v>"%USERPROFILE%\Documents\GitHub\eaglep3\Utilities\RefineRTDCRunTimes.py" --tripid 240-12 --locoid 4039 --swversion DE.1.0.9.0 --startMP 204:232961 --initTime 2018-01-13T00:16:28 --startdatetime 2018-01-13T00:27:16 --delay 78 --endMP 204:238 --enddatetime 2018-01-13T01:04:33 --enforcementcount 0 &gt;&gt;%USERPROFILE%\Documents\GitHub\eaglep3-reporting\EC\2018-01-12-refined-times.txt</v>
      </c>
      <c r="AI153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{"issue":{"subject":"","project_id":79,"tracker_id":40,"status_id":1,"priority_id":2,"assigned_to_id":338,"start_date":"2018-01-13","description":"","custom_fields":[{"id":1,"name":"Subdivision","value":"EC"},{"id":4,"name":"Milepost","value":"0.0238"},{"id":17,"name":"Train ID","value":"240-12"},{"id":16,"name":"Locomotive ID","value":"4039"},{"id":130,"name":"Impact","value":""},{"id":150,"name":"Time of Event (Mountain Time)","value":"01:04:33"},{"id":151,"name":"Denver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21"/>
        <v>start /low /b %USERPROFILE%\Documents\GitHub\eaglep3\Utilities\DownloadLogsFromS3.py --loco 4039 --day 2018-01-13</v>
      </c>
      <c r="AN153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08:04:33"},{"id":29,"name":"Sharepoint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23"/>
        <v>https://d0f6bd738d7f1b3e5a7ca70fe4ff75f0.us-east-1.aws.found.io/app/kibana#/discover/Steve-Slow-Train-Analysis-(2080s-and-2083s)?_g=(refreshInterval:(display:Off,pause:!f,section:0,value:0),time:(from:'2018-01-12T23:16:28-0700',mode:absolute,to:'2018-01-13T02:04:33-0700'))&amp;_a=(columns:!('Message%20ID',Summary),filters:!(),index:'emp_*',interval:auto,query:(query_string:(analyze_wildcard:!t,query:'%22rtdc.l.rtdc.4039%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896</v>
      </c>
      <c r="B154" s="225">
        <v>4018</v>
      </c>
      <c r="C154" s="227" t="s">
        <v>191</v>
      </c>
      <c r="D154" s="227" t="s">
        <v>457</v>
      </c>
      <c r="E154" s="226">
        <v>43112.991342592592</v>
      </c>
      <c r="F154" s="226">
        <v>43113.000185185185</v>
      </c>
      <c r="G154" s="225">
        <v>86</v>
      </c>
      <c r="H154" s="227" t="s">
        <v>637</v>
      </c>
      <c r="I154" s="226">
        <v>43113.025266203702</v>
      </c>
      <c r="J154" s="225">
        <v>0</v>
      </c>
      <c r="K154" s="237" t="str">
        <f>IF(ISEVEN(B154),(B154-1)&amp;"/"&amp;B154,B154&amp;"/"&amp;(B154+1))</f>
        <v>4017/4018</v>
      </c>
      <c r="L154" s="245" t="str">
        <f>VLOOKUP(A154,'Trips&amp;Operators'!$C$1:$G$99911,5,FALSE)</f>
        <v>NICHOLSON WESLEY</v>
      </c>
      <c r="M154" s="224">
        <f>I154-F154</f>
        <v>2.5081018517084885E-2</v>
      </c>
      <c r="N154" s="225">
        <f>24*60*SUM($M154:$M154)</f>
        <v>36.116666664602235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-12T22:47:32-0700',mode:absolute,to:'2018-01-13T01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5.33E-2</v>
      </c>
      <c r="Z154" s="247">
        <f>RIGHT(H154,LEN(H154)-4)/10000</f>
        <v>23.327999999999999</v>
      </c>
      <c r="AA154" s="247">
        <f>ABS(Z154-Y154)</f>
        <v>23.274699999999999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241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 &amp; 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/stypes="app*4018*20180113*"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19"/>
        <v>"%USERPROFILE%\Documents\GitHub\eaglep3\Utilities\RefineRTDCRunTimes.py" --tripid 241-12 --locoid 4018 --swversion DE.1.0.9.0 --startMP 204:533 --initTime 2018-01-12T23:47:32 --startdatetime 2018-01-13T00:00:16 --delay 86 --endMP 204:233280 --enddatetime 2018-01-13T00:36:23 --enforcementcount 0 &gt;&gt;%USERPROFILE%\Documents\GitHub\eaglep3-reporting\EC\2018-01-12-refined-times.txt</v>
      </c>
      <c r="AI154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{"issue":{"subject":"","project_id":79,"tracker_id":40,"status_id":1,"priority_id":2,"assigned_to_id":338,"start_date":"2018-01-13","description":"","custom_fields":[{"id":1,"name":"Subdivision","value":"EC"},{"id":4,"name":"Milepost","value":"23.328"},{"id":17,"name":"Train ID","value":"241-12"},{"id":16,"name":"Locomotive ID","value":"4018"},{"id":130,"name":"Impact","value":""},{"id":150,"name":"Time of Event (Mountain Time)","value":"00:36:23"},{"id":151,"name":"Denver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21"/>
        <v>start /low /b %USERPROFILE%\Documents\GitHub\eaglep3\Utilities\DownloadLogsFromS3.py --loco 4018 --day 2018-01-13</v>
      </c>
      <c r="AN154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07:36:23"},{"id":29,"name":"Sharepoint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23"/>
        <v>https://d0f6bd738d7f1b3e5a7ca70fe4ff75f0.us-east-1.aws.found.io/app/kibana#/discover/Steve-Slow-Train-Analysis-(2080s-and-2083s)?_g=(refreshInterval:(display:Off,pause:!f,section:0,value:0),time:(from:'2018-01-12T22:47:32-0700',mode:absolute,to:'2018-01-13T01:36:23-0700'))&amp;_a=(columns:!('Message%20ID',Summary),filters:!(),index:'emp_*',interval:auto,query:(query_string:(analyze_wildcard:!t,query:'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901</v>
      </c>
      <c r="B155" s="225">
        <v>4017</v>
      </c>
      <c r="C155" s="227" t="s">
        <v>191</v>
      </c>
      <c r="D155" s="227" t="s">
        <v>1017</v>
      </c>
      <c r="E155" s="226">
        <v>43113.036909722221</v>
      </c>
      <c r="F155" s="226">
        <v>43113.039918981478</v>
      </c>
      <c r="G155" s="225">
        <v>64</v>
      </c>
      <c r="H155" s="227" t="s">
        <v>971</v>
      </c>
      <c r="I155" s="226">
        <v>43113.067106481481</v>
      </c>
      <c r="J155" s="225">
        <v>0</v>
      </c>
      <c r="K155" s="237" t="str">
        <f>IF(ISEVEN(B155),(B155-1)&amp;"/"&amp;B155,B155&amp;"/"&amp;(B155+1))</f>
        <v>4017/4018</v>
      </c>
      <c r="L155" s="245" t="str">
        <f>VLOOKUP(A155,'Trips&amp;Operators'!$C$1:$G$99911,5,FALSE)</f>
        <v>NICHOLSON WESLEY</v>
      </c>
      <c r="M155" s="224">
        <f>I155-F155</f>
        <v>2.718750000349246E-2</v>
      </c>
      <c r="N155" s="225">
        <f>24*60*SUM($M155:$M155)</f>
        <v>39.150000005029142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-12T23:53:09-0700',mode:absolute,to:'2018-01-13T02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23.2974</v>
      </c>
      <c r="Z155" s="247">
        <f>RIGHT(H155,LEN(H155)-4)/10000</f>
        <v>2.3400000000000001E-2</v>
      </c>
      <c r="AA155" s="247">
        <f>ABS(Z155-Y155)</f>
        <v>23.274000000000001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242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 &amp; aws s3 cp s3://rtdc.mdm.uploadarchive.raw/RTDC4017/ "%USERPROFILE%\AppData\Local\Temp\OnboardLogs"\RTDC4017\2018-01-14 --exclude "*" --recursive --include "*20180114*" &amp; "%USERPROFILE%\Documents\GitHub\mrs-test-scripts\Headless Mode &amp; Sideloading\WalkAndUnGZ.bat" "%USERPROFILE%\AppData\Local\Temp\OnboardLogs"\RTDC4017\2018-01-14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/stypes="app*4017*20180113*"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19"/>
        <v>"%USERPROFILE%\Documents\GitHub\eaglep3\Utilities\RefineRTDCRunTimes.py" --tripid 242-12 --locoid 4017 --swversion DE.1.0.9.0 --startMP 204:232974 --initTime 2018-01-13T00:53:09 --startdatetime 2018-01-13T00:57:29 --delay 64 --endMP 204:234 --enddatetime 2018-01-13T01:36:38 --enforcementcount 0 &gt;&gt;%USERPROFILE%\Documents\GitHub\eaglep3-reporting\EC\2018-01-12-refined-times.txt</v>
      </c>
      <c r="AI155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{"issue":{"subject":"","project_id":79,"tracker_id":40,"status_id":1,"priority_id":2,"assigned_to_id":338,"start_date":"2018-01-13","description":"","custom_fields":[{"id":1,"name":"Subdivision","value":"EC"},{"id":4,"name":"Milepost","value":"0.0234"},{"id":17,"name":"Train ID","value":"242-12"},{"id":16,"name":"Locomotive ID","value":"4017"},{"id":130,"name":"Impact","value":""},{"id":150,"name":"Time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21"/>
        <v>start /low /b %USERPROFILE%\Documents\GitHub\eaglep3\Utilities\DownloadLogsFromS3.py --loco 4017 --day 2018-01-13</v>
      </c>
      <c r="AN155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23"/>
        <v>https://d0f6bd738d7f1b3e5a7ca70fe4ff75f0.us-east-1.aws.found.io/app/kibana#/discover/Steve-Slow-Train-Analysis-(2080s-and-2083s)?_g=(refreshInterval:(display:Off,pause:!f,section:0,value:0),time:(from:'2018-01-12T23:53:09-0700',mode:absolute,to:'2018-01-13T02:36:38-0700'))&amp;_a=(columns:!('Message%20ID',Summary),filters:!(),index:'emp_*',interval:auto,query:(query_string:(analyze_wildcard:!t,query:'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899</v>
      </c>
      <c r="B156" s="225">
        <v>4006</v>
      </c>
      <c r="C156" s="227" t="s">
        <v>191</v>
      </c>
      <c r="D156" s="227" t="s">
        <v>508</v>
      </c>
      <c r="E156" s="226">
        <v>43113.017430555556</v>
      </c>
      <c r="F156" s="226">
        <v>43113.021041666667</v>
      </c>
      <c r="G156" s="225">
        <v>53</v>
      </c>
      <c r="H156" s="227" t="s">
        <v>1018</v>
      </c>
      <c r="I156" s="226">
        <v>43113.045023148145</v>
      </c>
      <c r="J156" s="225">
        <v>0</v>
      </c>
      <c r="K156" s="237" t="str">
        <f>IF(ISEVEN(B156),(B156-1)&amp;"/"&amp;B156,B156&amp;"/"&amp;(B156+1))</f>
        <v>4005/4006</v>
      </c>
      <c r="L156" s="245" t="str">
        <f>VLOOKUP(A156,'Trips&amp;Operators'!$C$1:$G$99911,5,FALSE)</f>
        <v>AUSTIN THOMPSON</v>
      </c>
      <c r="M156" s="224">
        <f>I156-F156</f>
        <v>2.3981481477676425E-2</v>
      </c>
      <c r="N156" s="225">
        <f>24*60*SUM($M156:$M156)</f>
        <v>34.533333327854052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-12T23:25:06-0700',mode:absolute,to:'2018-01-13T02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5.4800000000000001E-2</v>
      </c>
      <c r="Z156" s="247">
        <f>RIGHT(H156,LEN(H156)-4)/10000</f>
        <v>23.320900000000002</v>
      </c>
      <c r="AA156" s="247">
        <f>ABS(Z156-Y156)</f>
        <v>23.266100000000002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243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 &amp; aws s3 cp s3://rtdc.mdm.uploadarchive.raw/RTDC4006/ "%USERPROFILE%\AppData\Local\Temp\OnboardLogs"\RTDC4006\2018-01-14 --exclude "*" --recursive --include "*20180114*" &amp; "%USERPROFILE%\Documents\GitHub\mrs-test-scripts\Headless Mode &amp; Sideloading\WalkAndUnGZ.bat" "%USERPROFILE%\AppData\Local\Temp\OnboardLogs"\RTDC4006\2018-01-14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/stypes="app*4006*20180113*"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19"/>
        <v>"%USERPROFILE%\Documents\GitHub\eaglep3\Utilities\RefineRTDCRunTimes.py" --tripid 243-12 --locoid 4006 --swversion DE.1.0.9.0 --startMP 204:548 --initTime 2018-01-13T00:25:06 --startdatetime 2018-01-13T00:30:18 --delay 53 --endMP 204:233209 --enddatetime 2018-01-13T01:04:50 --enforcementcount 0 &gt;&gt;%USERPROFILE%\Documents\GitHub\eaglep3-reporting\EC\2018-01-12-refined-times.txt</v>
      </c>
      <c r="AI156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{"issue":{"subject":"","project_id":79,"tracker_id":40,"status_id":1,"priority_id":2,"assigned_to_id":338,"start_date":"2018-01-13","description":"","custom_fields":[{"id":1,"name":"Subdivision","value":"EC"},{"id":4,"name":"Milepost","value":"23.3209"},{"id":17,"name":"Train ID","value":"243-12"},{"id":16,"name":"Locomotive ID","value":"4006"},{"id":130,"name":"Impact","value":""},{"id":150,"name":"Time of Event (Mountain Time)","value":"01:04:50"},{"id":151,"name":"Denver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21"/>
        <v>start /low /b %USERPROFILE%\Documents\GitHub\eaglep3\Utilities\DownloadLogsFromS3.py --loco 4006 --day 2018-01-13</v>
      </c>
      <c r="AN156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08:04:50"},{"id":29,"name":"Sharepoint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23"/>
        <v>https://d0f6bd738d7f1b3e5a7ca70fe4ff75f0.us-east-1.aws.found.io/app/kibana#/discover/Steve-Slow-Train-Analysis-(2080s-and-2083s)?_g=(refreshInterval:(display:Off,pause:!f,section:0,value:0),time:(from:'2018-01-12T23:25:06-0700',mode:absolute,to:'2018-01-13T02:04:50-0700'))&amp;_a=(columns:!('Message%20ID',Summary),filters:!(),index:'emp_*',interval:auto,query:(query_string:(analyze_wildcard:!t,query:'%22rtdc.l.rtdc.4006%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903</v>
      </c>
      <c r="B157" s="225">
        <v>4005</v>
      </c>
      <c r="C157" s="227" t="s">
        <v>191</v>
      </c>
      <c r="D157" s="227" t="s">
        <v>643</v>
      </c>
      <c r="E157" s="226">
        <v>43113.058298611111</v>
      </c>
      <c r="F157" s="226">
        <v>43113.060567129629</v>
      </c>
      <c r="G157" s="225">
        <v>51</v>
      </c>
      <c r="H157" s="227" t="s">
        <v>971</v>
      </c>
      <c r="I157" s="226">
        <v>43113.085335648146</v>
      </c>
      <c r="J157" s="225">
        <v>0</v>
      </c>
      <c r="K157" s="237" t="str">
        <f>IF(ISEVEN(B157),(B157-1)&amp;"/"&amp;B157,B157&amp;"/"&amp;(B157+1))</f>
        <v>4005/4006</v>
      </c>
      <c r="L157" s="245" t="str">
        <f>VLOOKUP(A157,'Trips&amp;Operators'!$C$1:$G$99911,5,FALSE)</f>
        <v>AUSTIN THOMPSON</v>
      </c>
      <c r="M157" s="224">
        <f>I157-F157</f>
        <v>2.4768518516793847E-2</v>
      </c>
      <c r="N157" s="225">
        <f>24*60*SUM($M157:$M157)</f>
        <v>35.66666666418314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-13T00:23:57-0700',mode:absolute,to:'2018-01-13T03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23.288799999999998</v>
      </c>
      <c r="Z157" s="247">
        <f>RIGHT(H157,LEN(H157)-4)/10000</f>
        <v>2.3400000000000001E-2</v>
      </c>
      <c r="AA157" s="247">
        <f>ABS(Z157-Y157)</f>
        <v>23.2654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244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 &amp; aws s3 cp s3://rtdc.mdm.uploadarchive.raw/RTDC4005/ "%USERPROFILE%\AppData\Local\Temp\OnboardLogs"\RTDC4005\2018-01-14 --exclude "*" --recursive --include "*20180114*" &amp; "%USERPROFILE%\Documents\GitHub\mrs-test-scripts\Headless Mode &amp; Sideloading\WalkAndUnGZ.bat" "%USERPROFILE%\AppData\Local\Temp\OnboardLogs"\RTDC4005\2018-01-14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/stypes="app*4005*20180113*" /stext=" 09:.+((SYSTEM_STATE.+slice.+state.+changed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19"/>
        <v>"%USERPROFILE%\Documents\GitHub\eaglep3\Utilities\RefineRTDCRunTimes.py" --tripid 244-12 --locoid 4005 --swversion DE.1.0.9.0 --startMP 204:232888 --initTime 2018-01-13T01:23:57 --startdatetime 2018-01-13T01:27:13 --delay 51 --endMP 204:234 --enddatetime 2018-01-13T02:02:53 --enforcementcount 0 &gt;&gt;%USERPROFILE%\Documents\GitHub\eaglep3-reporting\EC\2018-01-12-refined-times.txt</v>
      </c>
      <c r="AI157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{"issue":{"subject":"","project_id":79,"tracker_id":40,"status_id":1,"priority_id":2,"assigned_to_id":338,"start_date":"2018-01-13","description":"","custom_fields":[{"id":1,"name":"Subdivision","value":"EC"},{"id":4,"name":"Milepost","value":"0.0234"},{"id":17,"name":"Train ID","value":"244-12"},{"id":16,"name":"Locomotive ID","value":"4005"},{"id":130,"name":"Impact","value":""},{"id":150,"name":"Time of Event (Mountain Time)","value":"02:02:53"},{"id":151,"name":"Denver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21"/>
        <v>start /low /b %USERPROFILE%\Documents\GitHub\eaglep3\Utilities\DownloadLogsFromS3.py --loco 4005 --day 2018-01-13</v>
      </c>
      <c r="AN157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09:02:53"},{"id":29,"name":"Sharepoint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23"/>
        <v>https://d0f6bd738d7f1b3e5a7ca70fe4ff75f0.us-east-1.aws.found.io/app/kibana#/discover/Steve-Slow-Train-Analysis-(2080s-and-2083s)?_g=(refreshInterval:(display:Off,pause:!f,section:0,value:0),time:(from:'2018-01-13T00:23:57-0700',mode:absolute,to:'2018-01-13T03:02:53-0700'))&amp;_a=(columns:!('Message%20ID',Summary),filters:!(),index:'emp_*',interval:auto,query:(query_string:(analyze_wildcard:!t,query:'%22rtdc.l.rtdc.4005%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900</v>
      </c>
      <c r="B158" s="225">
        <v>4026</v>
      </c>
      <c r="C158" s="227" t="s">
        <v>191</v>
      </c>
      <c r="D158" s="227" t="s">
        <v>1019</v>
      </c>
      <c r="E158" s="226">
        <v>43113.028055555558</v>
      </c>
      <c r="F158" s="226">
        <v>43113.041967592595</v>
      </c>
      <c r="G158" s="225">
        <v>60</v>
      </c>
      <c r="H158" s="227" t="s">
        <v>1020</v>
      </c>
      <c r="I158" s="226">
        <v>43113.067615740743</v>
      </c>
      <c r="J158" s="225">
        <v>0</v>
      </c>
      <c r="K158" s="237" t="str">
        <f>IF(ISEVEN(B158),(B158-1)&amp;"/"&amp;B158,B158&amp;"/"&amp;(B158+1))</f>
        <v>4025/4026</v>
      </c>
      <c r="L158" s="245" t="str">
        <f>VLOOKUP(A158,'Trips&amp;Operators'!$C$1:$G$99911,5,FALSE)</f>
        <v>ANDERS STEVEN</v>
      </c>
      <c r="M158" s="224">
        <f>I158-F158</f>
        <v>2.5648148148320615E-2</v>
      </c>
      <c r="N158" s="225">
        <f>24*60*SUM($M158:$M158)</f>
        <v>36.933333333581686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-12T23:40:24-0700',mode:absolute,to:'2018-01-13T02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5.6599999999999998E-2</v>
      </c>
      <c r="Z158" s="247">
        <f>RIGHT(H158,LEN(H158)-4)/10000</f>
        <v>23.323799999999999</v>
      </c>
      <c r="AA158" s="247">
        <f>ABS(Z158-Y158)</f>
        <v>23.267199999999999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245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s3://rtdc.mdm.uploadarchive.raw/RTDC4026/ "%USERPROFILE%\AppData\Local\Temp\OnboardLogs"\RTDC4026\2018-01-13 --exclude "*" --recursive --include "*20180113*" &amp; "%USERPROFILE%\Documents\GitHub\mrs-test-scripts\Headless Mode &amp; Sideloading\WalkAndUnGZ.bat" "%USERPROFILE%\AppData\Local\Temp\OnboardLogs"\RTDC4026\2018-01-13 &amp; aws s3 cp s3://rtdc.mdm.uploadarchive.raw/RTDC4026/ "%USERPROFILE%\AppData\Local\Temp\OnboardLogs"\RTDC4026\2018-01-14 --exclude "*" --recursive --include "*20180114*" &amp; "%USERPROFILE%\Documents\GitHub\mrs-test-scripts\Headless Mode &amp; Sideloading\WalkAndUnGZ.bat" "%USERPROFILE%\AppData\Local\Temp\OnboardLogs"\RTDC4026\2018-01-14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/stypes="app*4026*20180113*"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19"/>
        <v>"%USERPROFILE%\Documents\GitHub\eaglep3\Utilities\RefineRTDCRunTimes.py" --tripid 245-12 --locoid 4026 --swversion DE.1.0.9.0 --startMP 204:566 --initTime 2018-01-13T00:40:24 --startdatetime 2018-01-13T01:00:26 --delay 60 --endMP 204:233238 --enddatetime 2018-01-13T01:37:22 --enforcementcount 0 &gt;&gt;%USERPROFILE%\Documents\GitHub\eaglep3-reporting\EC\2018-01-12-refined-times.txt</v>
      </c>
      <c r="AI158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{"issue":{"subject":"","project_id":79,"tracker_id":40,"status_id":1,"priority_id":2,"assigned_to_id":338,"start_date":"2018-01-13","description":"","custom_fields":[{"id":1,"name":"Subdivision","value":"EC"},{"id":4,"name":"Milepost","value":"23.3238"},{"id":17,"name":"Train ID","value":"245-12"},{"id":16,"name":"Locomotive ID","value":"4026"},{"id":130,"name":"Impact","value":""},{"id":150,"name":"Time of Event (Mountain Time)","value":"01:37:22"},{"id":151,"name":"Denver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21"/>
        <v>start /low /b %USERPROFILE%\Documents\GitHub\eaglep3\Utilities\DownloadLogsFromS3.py --loco 4026 --day 2018-01-13</v>
      </c>
      <c r="AN158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08:37:22"},{"id":29,"name":"Sharepoint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23"/>
        <v>https://d0f6bd738d7f1b3e5a7ca70fe4ff75f0.us-east-1.aws.found.io/app/kibana#/discover/Steve-Slow-Train-Analysis-(2080s-and-2083s)?_g=(refreshInterval:(display:Off,pause:!f,section:0,value:0),time:(from:'2018-01-12T23:40:24-0700',mode:absolute,to:'2018-01-13T02:37:22-0700'))&amp;_a=(columns:!('Message%20ID',Summary),filters:!(),index:'emp_*',interval:auto,query:(query_string:(analyze_wildcard:!t,query:'%22rtdc.l.rtdc.4026%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697</v>
      </c>
      <c r="B159" s="225">
        <v>4025</v>
      </c>
      <c r="C159" s="227" t="s">
        <v>191</v>
      </c>
      <c r="D159" s="227" t="s">
        <v>642</v>
      </c>
      <c r="E159" s="226">
        <v>43113.079965277779</v>
      </c>
      <c r="F159" s="226">
        <v>43113.081504629627</v>
      </c>
      <c r="G159" s="225">
        <v>55</v>
      </c>
      <c r="H159" s="227" t="s">
        <v>946</v>
      </c>
      <c r="I159" s="226">
        <v>43113.1091087963</v>
      </c>
      <c r="J159" s="225">
        <v>0</v>
      </c>
      <c r="K159" s="237" t="str">
        <f>IF(ISEVEN(B159),(B159-1)&amp;"/"&amp;B159,B159&amp;"/"&amp;(B159+1))</f>
        <v>4025/4026</v>
      </c>
      <c r="L159" s="245" t="str">
        <f>VLOOKUP(A159,'Trips&amp;Operators'!$C$1:$G$99911,5,FALSE)</f>
        <v>ANDERS STEVEN</v>
      </c>
      <c r="M159" s="224">
        <f>I159-F159</f>
        <v>2.7604166672972497E-2</v>
      </c>
      <c r="N159" s="225">
        <f>24*60*SUM($M159:$M159)</f>
        <v>39.750000009080395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-13T00:55:09-0700',mode:absolute,to:'2018-01-13T03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f>RIGHT(D159,LEN(D159)-4)/10000</f>
        <v>23.2928</v>
      </c>
      <c r="Z159" s="247">
        <f>RIGHT(H159,LEN(H159)-4)/10000</f>
        <v>2.07E-2</v>
      </c>
      <c r="AA159" s="247">
        <f>ABS(Z159-Y159)</f>
        <v>23.272099999999998</v>
      </c>
      <c r="AB159" s="233" t="str">
        <f>VLOOKUP(A159,Enforcements!$C$7:$K$9,8,0)</f>
        <v>Bulletin (2)</v>
      </c>
      <c r="AC159" s="232" t="str">
        <f>VLOOKUP(A159,Enforcements!$C$7:$E$9,3,0)</f>
        <v>GRADE CROSSING</v>
      </c>
      <c r="AD159" s="243">
        <f>VALUE(LEFT(A159,LEN(A159)-3))</f>
        <v>246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 &amp; 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/stypes="app*4025*20180113*"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19"/>
        <v>"%USERPROFILE%\Documents\GitHub\eaglep3\Utilities\RefineRTDCRunTimes.py" --tripid 246-12 --locoid 4025 --swversion DE.1.0.9.0 --startMP 204:232928 --initTime 2018-01-13T01:55:09 --startdatetime 2018-01-13T01:57:22 --delay 55 --endMP 204:207 --enddatetime 2018-01-13T02:37:07 --enforcementcount 0 &gt;&gt;%USERPROFILE%\Documents\GitHub\eaglep3-reporting\EC\2018-01-12-refined-times.txt</v>
      </c>
      <c r="AI159" s="238" t="str">
        <f t="shared" si="20"/>
        <v>echo {"issue":{"subject":"","project_id":79,"tracker_id":40,"status_id":1,"priority_id":2,"assigned_to_id":338,"start_date":"2018-01-13","description":"","custom_fields":[{"id":1,"name":"Subdivision","value":"EC"},{"id":4,"name":"Milepost","value":"0.0207"},{"id":17,"name":"Train ID","value":"246-12"},{"id":16,"name":"Locomotive ID","value":"4025"},{"id":130,"name":"Impact","value":""},{"id":150,"name":"Time of Event (Mountain Time)","value":"02:37:07"},{"id":151,"name":"Denver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21"/>
        <v>start /low /b %USERPROFILE%\Documents\GitHub\eaglep3\Utilities\DownloadLogsFromS3.py --loco 4025 --day 2018-01-13</v>
      </c>
      <c r="AN159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09:37:07"},{"id":29,"name":"Sharepoint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23"/>
        <v>https://d0f6bd738d7f1b3e5a7ca70fe4ff75f0.us-east-1.aws.found.io/app/kibana#/discover/Steve-Slow-Train-Analysis-(2080s-and-2083s)?_g=(refreshInterval:(display:Off,pause:!f,section:0,value:0),time:(from:'2018-01-13T00:55:09-0700',mode:absolute,to:'2018-01-13T03:37:07-0700'))&amp;_a=(columns:!('Message%20ID',Summary),filters:!(),index:'emp_*',interval:auto,query:(query_string:(analyze_wildcard:!t,query:'%22rtdc.l.rtdc.4025%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720</v>
      </c>
      <c r="B160" s="225">
        <v>4015</v>
      </c>
      <c r="C160" s="227" t="s">
        <v>191</v>
      </c>
      <c r="D160" s="227" t="s">
        <v>1040</v>
      </c>
      <c r="E160" s="226">
        <v>43112.213495370372</v>
      </c>
      <c r="F160" s="226">
        <v>43112.21533564815</v>
      </c>
      <c r="G160" s="225">
        <v>77</v>
      </c>
      <c r="H160" s="227" t="s">
        <v>1041</v>
      </c>
      <c r="I160" s="226">
        <v>43112.226666666669</v>
      </c>
      <c r="J160" s="225">
        <v>0</v>
      </c>
      <c r="K160" s="237" t="str">
        <f>IF(ISEVEN(B160),(B160-1)&amp;"/"&amp;B160,B160&amp;"/"&amp;(B160+1))</f>
        <v>4015/4016</v>
      </c>
      <c r="L160" s="245" t="str">
        <f>VLOOKUP(A160,'Trips&amp;Operators'!$C$1:$G$99911,5,FALSE)</f>
        <v>WILLIAMS DONTE</v>
      </c>
      <c r="M160" s="224">
        <f>I160-F160</f>
        <v>1.1331018518831115E-2</v>
      </c>
      <c r="N160" s="225">
        <f>24*60*SUM($M160:$M160)</f>
        <v>16.316666667116806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-12T04:07:26-0700',mode:absolute,to:'2018-01-12T06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554</v>
      </c>
      <c r="Y160" s="247">
        <f>RIGHT(D160,LEN(D160)-4)/10000</f>
        <v>5.8616999999999999</v>
      </c>
      <c r="Z160" s="247">
        <f>RIGHT(H160,LEN(H160)-4)/10000</f>
        <v>1.0800000000000001E-2</v>
      </c>
      <c r="AA160" s="247">
        <f>ABS(Z160-Y160)</f>
        <v>5.8509000000000002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800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/stypes="app*4015*20180112*" /stext=" 12:.+((SYSTEM_STATE.+slice.+state.+changed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19"/>
        <v>"%USERPROFILE%\Documents\GitHub\eaglep3\Utilities\RefineRTDCRunTimes.py" --tripid 800-12 --locoid 4015 --swversion DE.1.0.9.0 --startMP 300:58617 --initTime 2018-01-12T05:07:26 --startdatetime 2018-01-12T05:10:05 --delay 77 --endMP 204:108 --enddatetime 2018-01-12T05:26:24 --enforcementcount 0 &gt;&gt;%USERPROFILE%\Documents\GitHub\eaglep3-reporting\EC\2018-01-12-refined-times.txt</v>
      </c>
      <c r="AI160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{"issue":{"subject":"","project_id":79,"tracker_id":40,"status_id":1,"priority_id":2,"assigned_to_id":338,"start_date":"2018-01-12","description":"","custom_fields":[{"id":1,"name":"Subdivision","value":"NW"},{"id":4,"name":"Milepost","value":"0.0108"},{"id":17,"name":"Train ID","value":"800-12"},{"id":16,"name":"Locomotive ID","value":"4015"},{"id":130,"name":"Impact","value":""},{"id":150,"name":"Time of Event (Mountain Time)","value":"05:26:24"},{"id":151,"name":"Denver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21"/>
        <v>start /low /b %USERPROFILE%\Documents\GitHub\eaglep3\Utilities\DownloadLogsFromS3.py --loco 4015 --day 2018-01-12</v>
      </c>
      <c r="AN160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23"/>
        <v>https://d0f6bd738d7f1b3e5a7ca70fe4ff75f0.us-east-1.aws.found.io/app/kibana#/discover/Steve-Slow-Train-Analysis-(2080s-and-2083s)?_g=(refreshInterval:(display:Off,pause:!f,section:0,value:0),time:(from:'2018-01-12T04:07:26-0700',mode:absolute,to:'2018-01-12T06:26:24-0700'))&amp;_a=(columns:!('Message%20ID',Summary),filters:!(),index:'emp_*',interval:auto,query:(query_string:(analyze_wildcard:!t,query:'%22rtdc.l.rtdc.4015%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724</v>
      </c>
      <c r="B161" s="225">
        <v>4016</v>
      </c>
      <c r="C161" s="227" t="s">
        <v>191</v>
      </c>
      <c r="D161" s="227" t="s">
        <v>1042</v>
      </c>
      <c r="E161" s="226">
        <v>43112.232615740744</v>
      </c>
      <c r="F161" s="226">
        <v>43112.235613425924</v>
      </c>
      <c r="G161" s="225">
        <v>113</v>
      </c>
      <c r="H161" s="227" t="s">
        <v>1043</v>
      </c>
      <c r="I161" s="226">
        <v>43112.24527777778</v>
      </c>
      <c r="J161" s="225">
        <v>0</v>
      </c>
      <c r="K161" s="237" t="str">
        <f>IF(ISEVEN(B161),(B161-1)&amp;"/"&amp;B161,B161&amp;"/"&amp;(B161+1))</f>
        <v>4015/4016</v>
      </c>
      <c r="L161" s="245" t="str">
        <f>VLOOKUP(A161,'Trips&amp;Operators'!$C$1:$G$99911,5,FALSE)</f>
        <v>WILLIAMS DONTE</v>
      </c>
      <c r="M161" s="224">
        <f>I161-F161</f>
        <v>9.6643518554628827E-3</v>
      </c>
      <c r="N161" s="225">
        <f>24*60*SUM($M161:$M161)</f>
        <v>13.916666671866551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-12T04:34:58-0700',mode:absolute,to:'2018-01-12T06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4.1300000000000003E-2</v>
      </c>
      <c r="Z161" s="247">
        <f>RIGHT(H161,LEN(H161)-4)/10000</f>
        <v>5.8935000000000004</v>
      </c>
      <c r="AA161" s="247">
        <f>ABS(Z161-Y161)</f>
        <v>5.8522000000000007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801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/stypes="app*4016*20180112*" /stext=" 12:.+((SYSTEM_STATE.+slice.+state.+changed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19"/>
        <v>"%USERPROFILE%\Documents\GitHub\eaglep3\Utilities\RefineRTDCRunTimes.py" --tripid 801-12 --locoid 4016 --swversion DE.1.0.9.0 --startMP 204:413 --initTime 2018-01-12T05:34:58 --startdatetime 2018-01-12T05:39:17 --delay 113 --endMP 300:58935 --enddatetime 2018-01-12T05:53:12 --enforcementcount 0 &gt;&gt;%USERPROFILE%\Documents\GitHub\eaglep3-reporting\EC\2018-01-12-refined-times.txt</v>
      </c>
      <c r="AI161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{"issue":{"subject":"","project_id":79,"tracker_id":40,"status_id":1,"priority_id":2,"assigned_to_id":338,"start_date":"2018-01-12","description":"","custom_fields":[{"id":1,"name":"Subdivision","value":"NW"},{"id":4,"name":"Milepost","value":"5.8935"},{"id":17,"name":"Train ID","value":"801-12"},{"id":16,"name":"Locomotive ID","value":"4016"},{"id":130,"name":"Impact","value":""},{"id":150,"name":"Time of Event (Mountain Time)","value":"05:53:12"},{"id":151,"name":"Denver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21"/>
        <v>start /low /b %USERPROFILE%\Documents\GitHub\eaglep3\Utilities\DownloadLogsFromS3.py --loco 4016 --day 2018-01-12</v>
      </c>
      <c r="AN161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23"/>
        <v>https://d0f6bd738d7f1b3e5a7ca70fe4ff75f0.us-east-1.aws.found.io/app/kibana#/discover/Steve-Slow-Train-Analysis-(2080s-and-2083s)?_g=(refreshInterval:(display:Off,pause:!f,section:0,value:0),time:(from:'2018-01-12T04:34:58-0700',mode:absolute,to:'2018-01-12T06:53:12-0700'))&amp;_a=(columns:!('Message%20ID',Summary),filters:!(),index:'emp_*',interval:auto,query:(query_string:(analyze_wildcard:!t,query:'%22rtdc.l.rtdc.4016%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731</v>
      </c>
      <c r="B162" s="225">
        <v>4015</v>
      </c>
      <c r="C162" s="227" t="s">
        <v>191</v>
      </c>
      <c r="D162" s="227" t="s">
        <v>1044</v>
      </c>
      <c r="E162" s="226">
        <v>43112.246388888889</v>
      </c>
      <c r="F162" s="226">
        <v>43112.25917824074</v>
      </c>
      <c r="G162" s="225">
        <v>67</v>
      </c>
      <c r="H162" s="227" t="s">
        <v>1045</v>
      </c>
      <c r="I162" s="226">
        <v>43112.268148148149</v>
      </c>
      <c r="J162" s="225">
        <v>0</v>
      </c>
      <c r="K162" s="237" t="str">
        <f>IF(ISEVEN(B162),(B162-1)&amp;"/"&amp;B162,B162&amp;"/"&amp;(B162+1))</f>
        <v>4015/4016</v>
      </c>
      <c r="L162" s="245" t="str">
        <f>VLOOKUP(A162,'Trips&amp;Operators'!$C$1:$G$99911,5,FALSE)</f>
        <v>WILLIAMS DONTE</v>
      </c>
      <c r="M162" s="224">
        <f>I162-F162</f>
        <v>8.969907408754807E-3</v>
      </c>
      <c r="N162" s="225">
        <f>24*60*SUM($M162:$M162)</f>
        <v>12.916666668606922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-12T04:54:48-0700',mode:absolute,to:'2018-01-12T07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5.86</v>
      </c>
      <c r="Z162" s="247">
        <f>RIGHT(H162,LEN(H162)-4)/10000</f>
        <v>9.2999999999999992E-3</v>
      </c>
      <c r="AA162" s="247">
        <f>ABS(Z162-Y162)</f>
        <v>5.8507000000000007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802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/stypes="app*4015*20180112*"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19"/>
        <v>"%USERPROFILE%\Documents\GitHub\eaglep3\Utilities\RefineRTDCRunTimes.py" --tripid 802-12 --locoid 4015 --swversion DE.1.0.9.0 --startMP 300:58600 --initTime 2018-01-12T05:54:48 --startdatetime 2018-01-12T06:13:13 --delay 67 --endMP 204:93 --enddatetime 2018-01-12T06:26:08 --enforcementcount 0 &gt;&gt;%USERPROFILE%\Documents\GitHub\eaglep3-reporting\EC\2018-01-12-refined-times.txt</v>
      </c>
      <c r="AI162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{"issue":{"subject":"","project_id":79,"tracker_id":40,"status_id":1,"priority_id":2,"assigned_to_id":338,"start_date":"2018-01-12","description":"","custom_fields":[{"id":1,"name":"Subdivision","value":"NW"},{"id":4,"name":"Milepost","value":"0.0093"},{"id":17,"name":"Train ID","value":"802-12"},{"id":16,"name":"Locomotive ID","value":"4015"},{"id":130,"name":"Impact","value":""},{"id":150,"name":"Time of Event (Mountain Time)","value":"06:26:08"},{"id":151,"name":"Denver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21"/>
        <v>start /low /b %USERPROFILE%\Documents\GitHub\eaglep3\Utilities\DownloadLogsFromS3.py --loco 4015 --day 2018-01-12</v>
      </c>
      <c r="AN162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23"/>
        <v>https://d0f6bd738d7f1b3e5a7ca70fe4ff75f0.us-east-1.aws.found.io/app/kibana#/discover/Steve-Slow-Train-Analysis-(2080s-and-2083s)?_g=(refreshInterval:(display:Off,pause:!f,section:0,value:0),time:(from:'2018-01-12T04:54:48-0700',mode:absolute,to:'2018-01-12T07:26:08-0700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732</v>
      </c>
      <c r="B163" s="225">
        <v>4052</v>
      </c>
      <c r="C163" s="227" t="s">
        <v>191</v>
      </c>
      <c r="D163" s="227" t="s">
        <v>639</v>
      </c>
      <c r="E163" s="226">
        <v>43112.251782407409</v>
      </c>
      <c r="F163" s="226">
        <v>43112.256377314814</v>
      </c>
      <c r="G163" s="225">
        <v>60</v>
      </c>
      <c r="H163" s="227" t="s">
        <v>1046</v>
      </c>
      <c r="I163" s="226">
        <v>43112.266250000001</v>
      </c>
      <c r="J163" s="225">
        <v>0</v>
      </c>
      <c r="K163" s="237" t="str">
        <f>IF(ISEVEN(B163),(B163-1)&amp;"/"&amp;B163,B163&amp;"/"&amp;(B163+1))</f>
        <v>4051/4052</v>
      </c>
      <c r="L163" s="245" t="str">
        <f>VLOOKUP(A163,'Trips&amp;Operators'!$C$1:$G$99911,5,FALSE)</f>
        <v>BIRENBAUM THOMAS</v>
      </c>
      <c r="M163" s="224">
        <f>I163-F163</f>
        <v>9.8726851865649223E-3</v>
      </c>
      <c r="N163" s="225">
        <f>24*60*SUM($M163:$M163)</f>
        <v>14.216666668653488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-12T05:02:34-0700',mode:absolute,to:'2018-01-12T07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4.5100000000000001E-2</v>
      </c>
      <c r="Z163" s="247">
        <f>RIGHT(H163,LEN(H163)-4)/10000</f>
        <v>5.8944000000000001</v>
      </c>
      <c r="AA163" s="247">
        <f>ABS(Z163-Y163)</f>
        <v>5.8493000000000004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803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/stypes="app*4052*20180112*"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19"/>
        <v>"%USERPROFILE%\Documents\GitHub\eaglep3\Utilities\RefineRTDCRunTimes.py" --tripid 803-12 --locoid 4052 --swversion DE.1.0.9.0 --startMP 204:451 --initTime 2018-01-12T06:02:34 --startdatetime 2018-01-12T06:09:11 --delay 60 --endMP 300:58944 --enddatetime 2018-01-12T06:23:24 --enforcementcount 0 &gt;&gt;%USERPROFILE%\Documents\GitHub\eaglep3-reporting\EC\2018-01-12-refined-times.txt</v>
      </c>
      <c r="AI163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{"issue":{"subject":"","project_id":79,"tracker_id":40,"status_id":1,"priority_id":2,"assigned_to_id":338,"start_date":"2018-01-12","description":"","custom_fields":[{"id":1,"name":"Subdivision","value":"NW"},{"id":4,"name":"Milepost","value":"5.8944"},{"id":17,"name":"Train ID","value":"803-12"},{"id":16,"name":"Locomotive ID","value":"4052"},{"id":130,"name":"Impact","value":""},{"id":150,"name":"Time of Event (Mountain Time)","value":"06:23:24"},{"id":151,"name":"Denver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21"/>
        <v>start /low /b %USERPROFILE%\Documents\GitHub\eaglep3\Utilities\DownloadLogsFromS3.py --loco 4052 --day 2018-01-12</v>
      </c>
      <c r="AN163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23"/>
        <v>https://d0f6bd738d7f1b3e5a7ca70fe4ff75f0.us-east-1.aws.found.io/app/kibana#/discover/Steve-Slow-Train-Analysis-(2080s-and-2083s)?_g=(refreshInterval:(display:Off,pause:!f,section:0,value:0),time:(from:'2018-01-12T05:02:34-0700',mode:absolute,to:'2018-01-12T07:23:24-0700'))&amp;_a=(columns:!('Message%20ID',Summary),filters:!(),index:'emp_*',interval:auto,query:(query_string:(analyze_wildcard:!t,query:'%22rtdc.l.rtdc.4052%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738</v>
      </c>
      <c r="B164" s="225">
        <v>4051</v>
      </c>
      <c r="C164" s="227" t="s">
        <v>191</v>
      </c>
      <c r="D164" s="227" t="s">
        <v>1047</v>
      </c>
      <c r="E164" s="226">
        <v>43112.267314814817</v>
      </c>
      <c r="F164" s="226">
        <v>43112.278935185182</v>
      </c>
      <c r="G164" s="225">
        <v>51</v>
      </c>
      <c r="H164" s="227" t="s">
        <v>558</v>
      </c>
      <c r="I164" s="226">
        <v>43112.287824074076</v>
      </c>
      <c r="J164" s="225">
        <v>0</v>
      </c>
      <c r="K164" s="237" t="str">
        <f>IF(ISEVEN(B164),(B164-1)&amp;"/"&amp;B164,B164&amp;"/"&amp;(B164+1))</f>
        <v>4051/4052</v>
      </c>
      <c r="L164" s="245" t="str">
        <f>VLOOKUP(A164,'Trips&amp;Operators'!$C$1:$G$99911,5,FALSE)</f>
        <v>BIRENBAUM THOMAS</v>
      </c>
      <c r="M164" s="224">
        <f>I164-F164</f>
        <v>8.8888888931251131E-3</v>
      </c>
      <c r="N164" s="225">
        <f>24*60*SUM($M164:$M164)</f>
        <v>12.800000006100163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-12T05:24:56-0700',mode:absolute,to:'2018-01-12T07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5.8625999999999996</v>
      </c>
      <c r="Z164" s="247">
        <f>RIGHT(H164,LEN(H164)-4)/10000</f>
        <v>1.6400000000000001E-2</v>
      </c>
      <c r="AA164" s="247">
        <f>ABS(Z164-Y164)</f>
        <v>5.8461999999999996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804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/stypes="app*4051*20180112*"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19"/>
        <v>"%USERPROFILE%\Documents\GitHub\eaglep3\Utilities\RefineRTDCRunTimes.py" --tripid 804-12 --locoid 4051 --swversion DE.1.0.9.0 --startMP 300:58626 --initTime 2018-01-12T06:24:56 --startdatetime 2018-01-12T06:41:40 --delay 51 --endMP 204:164 --enddatetime 2018-01-12T06:54:28 --enforcementcount 0 &gt;&gt;%USERPROFILE%\Documents\GitHub\eaglep3-reporting\EC\2018-01-12-refined-times.txt</v>
      </c>
      <c r="AI164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{"issue":{"subject":"","project_id":79,"tracker_id":40,"status_id":1,"priority_id":2,"assigned_to_id":338,"start_date":"2018-01-12","description":"","custom_fields":[{"id":1,"name":"Subdivision","value":"NW"},{"id":4,"name":"Milepost","value":"0.0164"},{"id":17,"name":"Train ID","value":"804-12"},{"id":16,"name":"Locomotive ID","value":"4051"},{"id":130,"name":"Impact","value":""},{"id":150,"name":"Time of Event (Mountain Time)","value":"06:54:28"},{"id":151,"name":"Denver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21"/>
        <v>start /low /b %USERPROFILE%\Documents\GitHub\eaglep3\Utilities\DownloadLogsFromS3.py --loco 4051 --day 2018-01-12</v>
      </c>
      <c r="AN164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23"/>
        <v>https://d0f6bd738d7f1b3e5a7ca70fe4ff75f0.us-east-1.aws.found.io/app/kibana#/discover/Steve-Slow-Train-Analysis-(2080s-and-2083s)?_g=(refreshInterval:(display:Off,pause:!f,section:0,value:0),time:(from:'2018-01-12T05:24:56-0700',mode:absolute,to:'2018-01-12T07:54:28-0700'))&amp;_a=(columns:!('Message%20ID',Summary),filters:!(),index:'emp_*',interval:auto,query:(query_string:(analyze_wildcard:!t,query:'%22rtdc.l.rtdc.4051%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740</v>
      </c>
      <c r="B165" s="225">
        <v>4016</v>
      </c>
      <c r="C165" s="227" t="s">
        <v>191</v>
      </c>
      <c r="D165" s="227" t="s">
        <v>1048</v>
      </c>
      <c r="E165" s="226">
        <v>43112.274305555555</v>
      </c>
      <c r="F165" s="226">
        <v>43112.277256944442</v>
      </c>
      <c r="G165" s="225">
        <v>71</v>
      </c>
      <c r="H165" s="227" t="s">
        <v>493</v>
      </c>
      <c r="I165" s="226">
        <v>43112.287268518521</v>
      </c>
      <c r="J165" s="225">
        <v>0</v>
      </c>
      <c r="K165" s="237" t="str">
        <f>IF(ISEVEN(B165),(B165-1)&amp;"/"&amp;B165,B165&amp;"/"&amp;(B165+1))</f>
        <v>4015/4016</v>
      </c>
      <c r="L165" s="245" t="str">
        <f>VLOOKUP(A165,'Trips&amp;Operators'!$C$1:$G$99911,5,FALSE)</f>
        <v>WILLIAMS DONTE</v>
      </c>
      <c r="M165" s="224">
        <f>I165-F165</f>
        <v>1.0011574078816921E-2</v>
      </c>
      <c r="N165" s="225">
        <f>24*60*SUM($M165:$M165)</f>
        <v>14.416666673496366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-12T05:35:00-0700',mode:absolute,to:'2018-01-12T07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3.9899999999999998E-2</v>
      </c>
      <c r="Z165" s="247">
        <f>RIGHT(H165,LEN(H165)-4)/10000</f>
        <v>5.8928000000000003</v>
      </c>
      <c r="AA165" s="247">
        <f>ABS(Z165-Y165)</f>
        <v>5.8529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805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/stypes="app*4016*20180112*"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19"/>
        <v>"%USERPROFILE%\Documents\GitHub\eaglep3\Utilities\RefineRTDCRunTimes.py" --tripid 805-12 --locoid 4016 --swversion DE.1.0.9.0 --startMP 204:399 --initTime 2018-01-12T06:35:00 --startdatetime 2018-01-12T06:39:15 --delay 71 --endMP 300:58928 --enddatetime 2018-01-12T06:53:40 --enforcementcount 0 &gt;&gt;%USERPROFILE%\Documents\GitHub\eaglep3-reporting\EC\2018-01-12-refined-times.txt</v>
      </c>
      <c r="AI165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{"issue":{"subject":"","project_id":79,"tracker_id":40,"status_id":1,"priority_id":2,"assigned_to_id":338,"start_date":"2018-01-12","description":"","custom_fields":[{"id":1,"name":"Subdivision","value":"NW"},{"id":4,"name":"Milepost","value":"5.8928"},{"id":17,"name":"Train ID","value":"805-12"},{"id":16,"name":"Locomotive ID","value":"4016"},{"id":130,"name":"Impact","value":""},{"id":150,"name":"Time of Event (Mountain Time)","value":"06:53:40"},{"id":151,"name":"Denver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21"/>
        <v>start /low /b %USERPROFILE%\Documents\GitHub\eaglep3\Utilities\DownloadLogsFromS3.py --loco 4016 --day 2018-01-12</v>
      </c>
      <c r="AN165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13:53:40"},{"id":29,"name":"Sharepoint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23"/>
        <v>https://d0f6bd738d7f1b3e5a7ca70fe4ff75f0.us-east-1.aws.found.io/app/kibana#/discover/Steve-Slow-Train-Analysis-(2080s-and-2083s)?_g=(refreshInterval:(display:Off,pause:!f,section:0,value:0),time:(from:'2018-01-12T05:35:00-0700',mode:absolute,to:'2018-01-12T07:53:40-0700'))&amp;_a=(columns:!('Message%20ID',Summary),filters:!(),index:'emp_*',interval:auto,query:(query_string:(analyze_wildcard:!t,query:'%22rtdc.l.rtdc.4016%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745</v>
      </c>
      <c r="B166" s="225">
        <v>4015</v>
      </c>
      <c r="C166" s="227" t="s">
        <v>191</v>
      </c>
      <c r="D166" s="227" t="s">
        <v>492</v>
      </c>
      <c r="E166" s="226">
        <v>43112.288530092592</v>
      </c>
      <c r="F166" s="226">
        <v>43112.3</v>
      </c>
      <c r="G166" s="225">
        <v>92</v>
      </c>
      <c r="H166" s="227" t="s">
        <v>1049</v>
      </c>
      <c r="I166" s="226">
        <v>43112.30945601852</v>
      </c>
      <c r="J166" s="225">
        <v>0</v>
      </c>
      <c r="K166" s="237" t="str">
        <f>IF(ISEVEN(B166),(B166-1)&amp;"/"&amp;B166,B166&amp;"/"&amp;(B166+1))</f>
        <v>4015/4016</v>
      </c>
      <c r="L166" s="245" t="str">
        <f>VLOOKUP(A166,'Trips&amp;Operators'!$C$1:$G$99911,5,FALSE)</f>
        <v>WILLIAMS DONTE</v>
      </c>
      <c r="M166" s="224">
        <f>I166-F166</f>
        <v>9.4560185170848854E-3</v>
      </c>
      <c r="N166" s="225">
        <f>24*60*SUM($M166:$M166)</f>
        <v>13.616666664602235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-12T05:55:29-0700',mode:absolute,to:'2018-01-12T08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5.8619000000000003</v>
      </c>
      <c r="Z166" s="247">
        <f>RIGHT(H166,LEN(H166)-4)/10000</f>
        <v>1.04E-2</v>
      </c>
      <c r="AA166" s="247">
        <f>ABS(Z166-Y166)</f>
        <v>5.8515000000000006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806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/stypes="app*4015*20180112*"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19"/>
        <v>"%USERPROFILE%\Documents\GitHub\eaglep3\Utilities\RefineRTDCRunTimes.py" --tripid 806-12 --locoid 4015 --swversion DE.1.0.9.0 --startMP 300:58619 --initTime 2018-01-12T06:55:29 --startdatetime 2018-01-12T07:12:00 --delay 92 --endMP 204:104 --enddatetime 2018-01-12T07:25:37 --enforcementcount 0 &gt;&gt;%USERPROFILE%\Documents\GitHub\eaglep3-reporting\EC\2018-01-12-refined-times.txt</v>
      </c>
      <c r="AI166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{"issue":{"subject":"","project_id":79,"tracker_id":40,"status_id":1,"priority_id":2,"assigned_to_id":338,"start_date":"2018-01-12","description":"","custom_fields":[{"id":1,"name":"Subdivision","value":"NW"},{"id":4,"name":"Milepost","value":"0.0104"},{"id":17,"name":"Train ID","value":"806-12"},{"id":16,"name":"Locomotive ID","value":"4015"},{"id":130,"name":"Impact","value":""},{"id":150,"name":"Time of Event (Mountain Time)","value":"07:25:37"},{"id":151,"name":"Denver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21"/>
        <v>start /low /b %USERPROFILE%\Documents\GitHub\eaglep3\Utilities\DownloadLogsFromS3.py --loco 4015 --day 2018-01-12</v>
      </c>
      <c r="AN166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23"/>
        <v>https://d0f6bd738d7f1b3e5a7ca70fe4ff75f0.us-east-1.aws.found.io/app/kibana#/discover/Steve-Slow-Train-Analysis-(2080s-and-2083s)?_g=(refreshInterval:(display:Off,pause:!f,section:0,value:0),time:(from:'2018-01-12T05:55:29-0700',mode:absolute,to:'2018-01-12T08:25:37-0700'))&amp;_a=(columns:!('Message%20ID',Summary),filters:!(),index:'emp_*',interval:auto,query:(query_string:(analyze_wildcard:!t,query:'%22rtdc.l.rtdc.4015%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747</v>
      </c>
      <c r="B167" s="225">
        <v>4052</v>
      </c>
      <c r="C167" s="227" t="s">
        <v>191</v>
      </c>
      <c r="D167" s="227" t="s">
        <v>1050</v>
      </c>
      <c r="E167" s="226">
        <v>43112.291307870371</v>
      </c>
      <c r="F167" s="226">
        <v>43112.298043981478</v>
      </c>
      <c r="G167" s="225">
        <v>51</v>
      </c>
      <c r="H167" s="227" t="s">
        <v>1051</v>
      </c>
      <c r="I167" s="226">
        <v>43112.307245370372</v>
      </c>
      <c r="J167" s="225">
        <v>0</v>
      </c>
      <c r="K167" s="237" t="str">
        <f>IF(ISEVEN(B167),(B167-1)&amp;"/"&amp;B167,B167&amp;"/"&amp;(B167+1))</f>
        <v>4051/4052</v>
      </c>
      <c r="L167" s="245" t="str">
        <f>VLOOKUP(A167,'Trips&amp;Operators'!$C$1:$G$99911,5,FALSE)</f>
        <v>BIRENBAUM THOMAS</v>
      </c>
      <c r="M167" s="224">
        <f>I167-F167</f>
        <v>9.2013888934161514E-3</v>
      </c>
      <c r="N167" s="225">
        <f>24*60*SUM($M167:$M167)</f>
        <v>13.250000006519258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-12T05:59:29-0700',mode:absolute,to:'2018-01-12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4.41E-2</v>
      </c>
      <c r="Z167" s="247">
        <f>RIGHT(H167,LEN(H167)-4)/10000</f>
        <v>5.8929</v>
      </c>
      <c r="AA167" s="247">
        <f>ABS(Z167-Y167)</f>
        <v>5.8487999999999998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807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/stypes="app*4052*20180112*" /stext=" 14:.+((SYSTEM_STATE.+slice.+state.+changed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19"/>
        <v>"%USERPROFILE%\Documents\GitHub\eaglep3\Utilities\RefineRTDCRunTimes.py" --tripid 807-12 --locoid 4052 --swversion DE.1.0.9.0 --startMP 204:441 --initTime 2018-01-12T06:59:29 --startdatetime 2018-01-12T07:09:11 --delay 51 --endMP 300:58929 --enddatetime 2018-01-12T07:22:26 --enforcementcount 0 &gt;&gt;%USERPROFILE%\Documents\GitHub\eaglep3-reporting\EC\2018-01-12-refined-times.txt</v>
      </c>
      <c r="AI167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{"issue":{"subject":"","project_id":79,"tracker_id":40,"status_id":1,"priority_id":2,"assigned_to_id":338,"start_date":"2018-01-12","description":"","custom_fields":[{"id":1,"name":"Subdivision","value":"NW"},{"id":4,"name":"Milepost","value":"5.8929"},{"id":17,"name":"Train ID","value":"807-12"},{"id":16,"name":"Locomotive ID","value":"4052"},{"id":130,"name":"Impact","value":""},{"id":150,"name":"Time of Event (Mountain Time)","value":"07:22:26"},{"id":151,"name":"Denver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21"/>
        <v>start /low /b %USERPROFILE%\Documents\GitHub\eaglep3\Utilities\DownloadLogsFromS3.py --loco 4052 --day 2018-01-12</v>
      </c>
      <c r="AN167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23"/>
        <v>https://d0f6bd738d7f1b3e5a7ca70fe4ff75f0.us-east-1.aws.found.io/app/kibana#/discover/Steve-Slow-Train-Analysis-(2080s-and-2083s)?_g=(refreshInterval:(display:Off,pause:!f,section:0,value:0),time:(from:'2018-01-12T05:59:29-0700',mode:absolute,to:'2018-01-12T08:22:26-0700'))&amp;_a=(columns:!('Message%20ID',Summary),filters:!(),index:'emp_*',interval:auto,query:(query_string:(analyze_wildcard:!t,query:'%22rtdc.l.rtdc.4052%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751</v>
      </c>
      <c r="B168" s="225">
        <v>4051</v>
      </c>
      <c r="C168" s="227" t="s">
        <v>191</v>
      </c>
      <c r="D168" s="227" t="s">
        <v>1040</v>
      </c>
      <c r="E168" s="226">
        <v>43112.308518518519</v>
      </c>
      <c r="F168" s="226">
        <v>43112.321666666663</v>
      </c>
      <c r="G168" s="225">
        <v>52</v>
      </c>
      <c r="H168" s="227" t="s">
        <v>1052</v>
      </c>
      <c r="I168" s="226">
        <v>43112.329699074071</v>
      </c>
      <c r="J168" s="225">
        <v>0</v>
      </c>
      <c r="K168" s="237" t="str">
        <f>IF(ISEVEN(B168),(B168-1)&amp;"/"&amp;B168,B168&amp;"/"&amp;(B168+1))</f>
        <v>4051/4052</v>
      </c>
      <c r="L168" s="245" t="str">
        <f>VLOOKUP(A168,'Trips&amp;Operators'!$C$1:$G$99911,5,FALSE)</f>
        <v>BIRENBAUM THOMAS</v>
      </c>
      <c r="M168" s="224">
        <f>I168-F168</f>
        <v>8.0324074078816921E-3</v>
      </c>
      <c r="N168" s="225">
        <f>24*60*SUM($M168:$M168)</f>
        <v>11.566666667349637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-12T06:24:16-0700',mode:absolute,to:'2018-01-12T08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5.8616999999999999</v>
      </c>
      <c r="Z168" s="247">
        <f>RIGHT(H168,LEN(H168)-4)/10000</f>
        <v>1.5100000000000001E-2</v>
      </c>
      <c r="AA168" s="247">
        <f>ABS(Z168-Y168)</f>
        <v>5.8465999999999996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808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/stypes="app*4051*20180112*" /stext=" 14:.+((SYSTEM_STATE.+slice.+state.+changed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19"/>
        <v>"%USERPROFILE%\Documents\GitHub\eaglep3\Utilities\RefineRTDCRunTimes.py" --tripid 808-12 --locoid 4051 --swversion DE.1.0.9.0 --startMP 300:58617 --initTime 2018-01-12T07:24:16 --startdatetime 2018-01-12T07:43:12 --delay 52 --endMP 204:151 --enddatetime 2018-01-12T07:54:46 --enforcementcount 0 &gt;&gt;%USERPROFILE%\Documents\GitHub\eaglep3-reporting\EC\2018-01-12-refined-times.txt</v>
      </c>
      <c r="AI168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{"issue":{"subject":"","project_id":79,"tracker_id":40,"status_id":1,"priority_id":2,"assigned_to_id":338,"start_date":"2018-01-12","description":"","custom_fields":[{"id":1,"name":"Subdivision","value":"NW"},{"id":4,"name":"Milepost","value":"0.0151"},{"id":17,"name":"Train ID","value":"808-12"},{"id":16,"name":"Locomotive ID","value":"4051"},{"id":130,"name":"Impact","value":""},{"id":150,"name":"Time of Event (Mountain Time)","value":"07:54:46"},{"id":151,"name":"Denver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21"/>
        <v>start /low /b %USERPROFILE%\Documents\GitHub\eaglep3\Utilities\DownloadLogsFromS3.py --loco 4051 --day 2018-01-12</v>
      </c>
      <c r="AN168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23"/>
        <v>https://d0f6bd738d7f1b3e5a7ca70fe4ff75f0.us-east-1.aws.found.io/app/kibana#/discover/Steve-Slow-Train-Analysis-(2080s-and-2083s)?_g=(refreshInterval:(display:Off,pause:!f,section:0,value:0),time:(from:'2018-01-12T06:24:16-0700',mode:absolute,to:'2018-01-12T08:54:46-0700'))&amp;_a=(columns:!('Message%20ID',Summary),filters:!(),index:'emp_*',interval:auto,query:(query_string:(analyze_wildcard:!t,query:'%22rtdc.l.rtdc.4051%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752</v>
      </c>
      <c r="B169" s="225">
        <v>4016</v>
      </c>
      <c r="C169" s="227" t="s">
        <v>191</v>
      </c>
      <c r="D169" s="227" t="s">
        <v>1053</v>
      </c>
      <c r="E169" s="226">
        <v>43112.315428240741</v>
      </c>
      <c r="F169" s="226">
        <v>43112.318923611114</v>
      </c>
      <c r="G169" s="225">
        <v>67</v>
      </c>
      <c r="H169" s="227" t="s">
        <v>494</v>
      </c>
      <c r="I169" s="226">
        <v>43112.328796296293</v>
      </c>
      <c r="J169" s="225">
        <v>0</v>
      </c>
      <c r="K169" s="237" t="str">
        <f>IF(ISEVEN(B169),(B169-1)&amp;"/"&amp;B169,B169&amp;"/"&amp;(B169+1))</f>
        <v>4015/4016</v>
      </c>
      <c r="L169" s="245" t="str">
        <f>VLOOKUP(A169,'Trips&amp;Operators'!$C$1:$G$99911,5,FALSE)</f>
        <v>WILLIAMS DONTE</v>
      </c>
      <c r="M169" s="224">
        <f>I169-F169</f>
        <v>9.8726851792889647E-3</v>
      </c>
      <c r="N169" s="225">
        <f>24*60*SUM($M169:$M169)</f>
        <v>14.216666658176109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-12T06:34:13-0700',mode:absolute,to:'2018-01-12T08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3.9199999999999999E-2</v>
      </c>
      <c r="Z169" s="247">
        <f>RIGHT(H169,LEN(H169)-4)/10000</f>
        <v>5.8933</v>
      </c>
      <c r="AA169" s="247">
        <f>ABS(Z169-Y169)</f>
        <v>5.8540999999999999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809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/stypes="app*4016*20180112*" /stext=" 14:.+((SYSTEM_STATE.+slice.+state.+changed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19"/>
        <v>"%USERPROFILE%\Documents\GitHub\eaglep3\Utilities\RefineRTDCRunTimes.py" --tripid 809-12 --locoid 4016 --swversion DE.1.0.9.0 --startMP 204:392 --initTime 2018-01-12T07:34:13 --startdatetime 2018-01-12T07:39:15 --delay 67 --endMP 300:58933 --enddatetime 2018-01-12T07:53:28 --enforcementcount 0 &gt;&gt;%USERPROFILE%\Documents\GitHub\eaglep3-reporting\EC\2018-01-12-refined-times.txt</v>
      </c>
      <c r="AI169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{"issue":{"subject":"","project_id":79,"tracker_id":40,"status_id":1,"priority_id":2,"assigned_to_id":338,"start_date":"2018-01-12","description":"","custom_fields":[{"id":1,"name":"Subdivision","value":"NW"},{"id":4,"name":"Milepost","value":"5.8933"},{"id":17,"name":"Train ID","value":"809-12"},{"id":16,"name":"Locomotive ID","value":"4016"},{"id":130,"name":"Impact","value":""},{"id":150,"name":"Time of Event (Mountain Time)","value":"07:53:28"},{"id":151,"name":"Denver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21"/>
        <v>start /low /b %USERPROFILE%\Documents\GitHub\eaglep3\Utilities\DownloadLogsFromS3.py --loco 4016 --day 2018-01-12</v>
      </c>
      <c r="AN169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14:53:28"},{"id":29,"name":"Sharepoint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23"/>
        <v>https://d0f6bd738d7f1b3e5a7ca70fe4ff75f0.us-east-1.aws.found.io/app/kibana#/discover/Steve-Slow-Train-Analysis-(2080s-and-2083s)?_g=(refreshInterval:(display:Off,pause:!f,section:0,value:0),time:(from:'2018-01-12T06:34:13-0700',mode:absolute,to:'2018-01-12T08:53:28-0700'))&amp;_a=(columns:!('Message%20ID',Summary),filters:!(),index:'emp_*',interval:auto,query:(query_string:(analyze_wildcard:!t,query:'%22rtdc.l.rtdc.4016%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758</v>
      </c>
      <c r="B170" s="225">
        <v>4015</v>
      </c>
      <c r="C170" s="227" t="s">
        <v>191</v>
      </c>
      <c r="D170" s="227" t="s">
        <v>492</v>
      </c>
      <c r="E170" s="226">
        <v>43112.330081018517</v>
      </c>
      <c r="F170" s="226">
        <v>43112.342465277776</v>
      </c>
      <c r="G170" s="225">
        <v>106</v>
      </c>
      <c r="H170" s="227" t="s">
        <v>1054</v>
      </c>
      <c r="I170" s="226">
        <v>43112.35119212963</v>
      </c>
      <c r="J170" s="225">
        <v>0</v>
      </c>
      <c r="K170" s="237" t="str">
        <f>IF(ISEVEN(B170),(B170-1)&amp;"/"&amp;B170,B170&amp;"/"&amp;(B170+1))</f>
        <v>4015/4016</v>
      </c>
      <c r="L170" s="245" t="str">
        <f>VLOOKUP(A170,'Trips&amp;Operators'!$C$1:$G$99911,5,FALSE)</f>
        <v>WILLIAMS DONTE</v>
      </c>
      <c r="M170" s="224">
        <f>I170-F170</f>
        <v>8.7268518545897678E-3</v>
      </c>
      <c r="N170" s="225">
        <f>24*60*SUM($M170:$M170)</f>
        <v>12.566666670609266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-12T06:55:19-0700',mode:absolute,to:'2018-01-12T09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5.8619000000000003</v>
      </c>
      <c r="Z170" s="247">
        <f>RIGHT(H170,LEN(H170)-4)/10000</f>
        <v>0.01</v>
      </c>
      <c r="AA170" s="247">
        <f>ABS(Z170-Y170)</f>
        <v>5.8519000000000005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810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/stypes="app*4015*20180112*" /stext=" 15:.+((SYSTEM_STATE.+slice.+state.+changed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19"/>
        <v>"%USERPROFILE%\Documents\GitHub\eaglep3\Utilities\RefineRTDCRunTimes.py" --tripid 810-12 --locoid 4015 --swversion DE.1.0.9.0 --startMP 300:58619 --initTime 2018-01-12T07:55:19 --startdatetime 2018-01-12T08:13:09 --delay 106 --endMP 204:100 --enddatetime 2018-01-12T08:25:43 --enforcementcount 0 &gt;&gt;%USERPROFILE%\Documents\GitHub\eaglep3-reporting\EC\2018-01-12-refined-times.txt</v>
      </c>
      <c r="AI170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{"issue":{"subject":"","project_id":79,"tracker_id":40,"status_id":1,"priority_id":2,"assigned_to_id":338,"start_date":"2018-01-12","description":"","custom_fields":[{"id":1,"name":"Subdivision","value":"NW"},{"id":4,"name":"Milepost","value":"0.01"},{"id":17,"name":"Train ID","value":"810-12"},{"id":16,"name":"Locomotive ID","value":"4015"},{"id":130,"name":"Impact","value":""},{"id":150,"name":"Time of Event (Mountain Time)","value":"08:25:43"},{"id":151,"name":"Denver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21"/>
        <v>start /low /b %USERPROFILE%\Documents\GitHub\eaglep3\Utilities\DownloadLogsFromS3.py --loco 4015 --day 2018-01-12</v>
      </c>
      <c r="AN170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23"/>
        <v>https://d0f6bd738d7f1b3e5a7ca70fe4ff75f0.us-east-1.aws.found.io/app/kibana#/discover/Steve-Slow-Train-Analysis-(2080s-and-2083s)?_g=(refreshInterval:(display:Off,pause:!f,section:0,value:0),time:(from:'2018-01-12T06:55:19-0700',mode:absolute,to:'2018-01-12T09:25:43-0700'))&amp;_a=(columns:!('Message%20ID',Summary),filters:!(),index:'emp_*',interval:auto,query:(query_string:(analyze_wildcard:!t,query:'%22rtdc.l.rtdc.4015%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759</v>
      </c>
      <c r="B171" s="225">
        <v>4052</v>
      </c>
      <c r="C171" s="227" t="s">
        <v>191</v>
      </c>
      <c r="D171" s="227" t="s">
        <v>636</v>
      </c>
      <c r="E171" s="226">
        <v>43112.330960648149</v>
      </c>
      <c r="F171" s="226">
        <v>43112.33971064815</v>
      </c>
      <c r="G171" s="225">
        <v>49</v>
      </c>
      <c r="H171" s="227" t="s">
        <v>1055</v>
      </c>
      <c r="I171" s="226">
        <v>43112.349016203705</v>
      </c>
      <c r="J171" s="225">
        <v>0</v>
      </c>
      <c r="K171" s="237" t="str">
        <f>IF(ISEVEN(B171),(B171-1)&amp;"/"&amp;B171,B171&amp;"/"&amp;(B171+1))</f>
        <v>4051/4052</v>
      </c>
      <c r="L171" s="245" t="str">
        <f>VLOOKUP(A171,'Trips&amp;Operators'!$C$1:$G$99911,5,FALSE)</f>
        <v>BIRENBAUM THOMAS</v>
      </c>
      <c r="M171" s="224">
        <f>I171-F171</f>
        <v>9.3055555553291924E-3</v>
      </c>
      <c r="N171" s="225">
        <f>24*60*SUM($M171:$M171)</f>
        <v>13.399999999674037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-12T06:56:35-0700',mode:absolute,to:'2018-01-12T09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4.5999999999999999E-2</v>
      </c>
      <c r="Z171" s="247">
        <f>RIGHT(H171,LEN(H171)-4)/10000</f>
        <v>5.8930999999999996</v>
      </c>
      <c r="AA171" s="247">
        <f>ABS(Z171-Y171)</f>
        <v>5.8470999999999993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811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/stypes="app*4052*20180112*" /stext=" 15:.+((SYSTEM_STATE.+slice.+state.+changed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19"/>
        <v>"%USERPROFILE%\Documents\GitHub\eaglep3\Utilities\RefineRTDCRunTimes.py" --tripid 811-12 --locoid 4052 --swversion DE.1.0.9.0 --startMP 204:460 --initTime 2018-01-12T07:56:35 --startdatetime 2018-01-12T08:09:11 --delay 49 --endMP 300:58931 --enddatetime 2018-01-12T08:22:35 --enforcementcount 0 &gt;&gt;%USERPROFILE%\Documents\GitHub\eaglep3-reporting\EC\2018-01-12-refined-times.txt</v>
      </c>
      <c r="AI171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{"issue":{"subject":"","project_id":79,"tracker_id":40,"status_id":1,"priority_id":2,"assigned_to_id":338,"start_date":"2018-01-12","description":"","custom_fields":[{"id":1,"name":"Subdivision","value":"NW"},{"id":4,"name":"Milepost","value":"5.8931"},{"id":17,"name":"Train ID","value":"811-12"},{"id":16,"name":"Locomotive ID","value":"4052"},{"id":130,"name":"Impact","value":""},{"id":150,"name":"Time of Event (Mountain Time)","value":"08:22:35"},{"id":151,"name":"Denver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21"/>
        <v>start /low /b %USERPROFILE%\Documents\GitHub\eaglep3\Utilities\DownloadLogsFromS3.py --loco 4052 --day 2018-01-12</v>
      </c>
      <c r="AN171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23"/>
        <v>https://d0f6bd738d7f1b3e5a7ca70fe4ff75f0.us-east-1.aws.found.io/app/kibana#/discover/Steve-Slow-Train-Analysis-(2080s-and-2083s)?_g=(refreshInterval:(display:Off,pause:!f,section:0,value:0),time:(from:'2018-01-12T06:56:35-0700',mode:absolute,to:'2018-01-12T09:22:35-0700'))&amp;_a=(columns:!('Message%20ID',Summary),filters:!(),index:'emp_*',interval:auto,query:(query_string:(analyze_wildcard:!t,query:'%22rtdc.l.rtdc.4052%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764</v>
      </c>
      <c r="B172" s="225">
        <v>4051</v>
      </c>
      <c r="C172" s="227" t="s">
        <v>191</v>
      </c>
      <c r="D172" s="227" t="s">
        <v>1056</v>
      </c>
      <c r="E172" s="226">
        <v>43112.350300925929</v>
      </c>
      <c r="F172" s="226">
        <v>43112.363194444442</v>
      </c>
      <c r="G172" s="225">
        <v>51</v>
      </c>
      <c r="H172" s="227" t="s">
        <v>1052</v>
      </c>
      <c r="I172" s="226">
        <v>43112.371111111112</v>
      </c>
      <c r="J172" s="225">
        <v>0</v>
      </c>
      <c r="K172" s="237" t="str">
        <f>IF(ISEVEN(B172),(B172-1)&amp;"/"&amp;B172,B172&amp;"/"&amp;(B172+1))</f>
        <v>4051/4052</v>
      </c>
      <c r="L172" s="245" t="str">
        <f>VLOOKUP(A172,'Trips&amp;Operators'!$C$1:$G$99911,5,FALSE)</f>
        <v>BIRENBAUM THOMAS</v>
      </c>
      <c r="M172" s="224">
        <f>I172-F172</f>
        <v>7.9166666691889986E-3</v>
      </c>
      <c r="N172" s="225">
        <f>24*60*SUM($M172:$M172)</f>
        <v>11.400000003632158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-12T07:24:26-0700',mode:absolute,to:'2018-01-12T09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5.8615000000000004</v>
      </c>
      <c r="Z172" s="247">
        <f>RIGHT(H172,LEN(H172)-4)/10000</f>
        <v>1.5100000000000001E-2</v>
      </c>
      <c r="AA172" s="247">
        <f>ABS(Z172-Y172)</f>
        <v>5.8464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812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/stypes="app*4051*20180112*" /stext=" 15:.+((SYSTEM_STATE.+slice.+state.+changed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19"/>
        <v>"%USERPROFILE%\Documents\GitHub\eaglep3\Utilities\RefineRTDCRunTimes.py" --tripid 812-12 --locoid 4051 --swversion DE.1.0.9.0 --startMP 300:58615 --initTime 2018-01-12T08:24:26 --startdatetime 2018-01-12T08:43:00 --delay 51 --endMP 204:151 --enddatetime 2018-01-12T08:54:24 --enforcementcount 0 &gt;&gt;%USERPROFILE%\Documents\GitHub\eaglep3-reporting\EC\2018-01-12-refined-times.txt</v>
      </c>
      <c r="AI172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{"issue":{"subject":"","project_id":79,"tracker_id":40,"status_id":1,"priority_id":2,"assigned_to_id":338,"start_date":"2018-01-12","description":"","custom_fields":[{"id":1,"name":"Subdivision","value":"NW"},{"id":4,"name":"Milepost","value":"0.0151"},{"id":17,"name":"Train ID","value":"812-12"},{"id":16,"name":"Locomotive ID","value":"4051"},{"id":130,"name":"Impact","value":""},{"id":150,"name":"Time of Event (Mountain Time)","value":"08:54:24"},{"id":151,"name":"Denver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21"/>
        <v>start /low /b %USERPROFILE%\Documents\GitHub\eaglep3\Utilities\DownloadLogsFromS3.py --loco 4051 --day 2018-01-12</v>
      </c>
      <c r="AN172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23"/>
        <v>https://d0f6bd738d7f1b3e5a7ca70fe4ff75f0.us-east-1.aws.found.io/app/kibana#/discover/Steve-Slow-Train-Analysis-(2080s-and-2083s)?_g=(refreshInterval:(display:Off,pause:!f,section:0,value:0),time:(from:'2018-01-12T07:24:26-0700',mode:absolute,to:'2018-01-12T09:54:24-0700'))&amp;_a=(columns:!('Message%20ID',Summary),filters:!(),index:'emp_*',interval:auto,query:(query_string:(analyze_wildcard:!t,query:'%22rtdc.l.rtdc.4051%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768</v>
      </c>
      <c r="B173" s="225">
        <v>4052</v>
      </c>
      <c r="C173" s="227" t="s">
        <v>191</v>
      </c>
      <c r="D173" s="227" t="s">
        <v>478</v>
      </c>
      <c r="E173" s="226">
        <v>43112.378067129626</v>
      </c>
      <c r="F173" s="226">
        <v>43112.381412037037</v>
      </c>
      <c r="G173" s="225">
        <v>95</v>
      </c>
      <c r="H173" s="227" t="s">
        <v>493</v>
      </c>
      <c r="I173" s="226">
        <v>43112.391250000001</v>
      </c>
      <c r="J173" s="225">
        <v>0</v>
      </c>
      <c r="K173" s="237" t="str">
        <f>IF(ISEVEN(B173),(B173-1)&amp;"/"&amp;B173,B173&amp;"/"&amp;(B173+1))</f>
        <v>4051/4052</v>
      </c>
      <c r="L173" s="245" t="str">
        <f>VLOOKUP(A173,'Trips&amp;Operators'!$C$1:$G$99911,5,FALSE)</f>
        <v>MAELZER KURT</v>
      </c>
      <c r="M173" s="224">
        <f>I173-F173</f>
        <v>9.8379629635019228E-3</v>
      </c>
      <c r="N173" s="225">
        <f>24*60*SUM($M173:$M173)</f>
        <v>14.166666667442769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-12T08:04:25-0700',mode:absolute,to:'2018-01-12T10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4.53E-2</v>
      </c>
      <c r="Z173" s="247">
        <f>RIGHT(H173,LEN(H173)-4)/10000</f>
        <v>5.8928000000000003</v>
      </c>
      <c r="AA173" s="247">
        <f>ABS(Z173-Y173)</f>
        <v>5.8475000000000001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813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/stypes="app*4052*20180112*" /stext=" 16:.+((SYSTEM_STATE.+slice.+state.+changed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19"/>
        <v>"%USERPROFILE%\Documents\GitHub\eaglep3\Utilities\RefineRTDCRunTimes.py" --tripid 813-12 --locoid 4052 --swversion DE.1.0.9.0 --startMP 204:453 --initTime 2018-01-12T09:04:25 --startdatetime 2018-01-12T09:09:14 --delay 95 --endMP 300:58928 --enddatetime 2018-01-12T09:23:24 --enforcementcount 0 &gt;&gt;%USERPROFILE%\Documents\GitHub\eaglep3-reporting\EC\2018-01-12-refined-times.txt</v>
      </c>
      <c r="AI173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{"issue":{"subject":"","project_id":79,"tracker_id":40,"status_id":1,"priority_id":2,"assigned_to_id":338,"start_date":"2018-01-12","description":"","custom_fields":[{"id":1,"name":"Subdivision","value":"NW"},{"id":4,"name":"Milepost","value":"5.8928"},{"id":17,"name":"Train ID","value":"813-12"},{"id":16,"name":"Locomotive ID","value":"4052"},{"id":130,"name":"Impact","value":""},{"id":150,"name":"Time of Event (Mountain Time)","value":"09:23:24"},{"id":151,"name":"Denver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21"/>
        <v>start /low /b %USERPROFILE%\Documents\GitHub\eaglep3\Utilities\DownloadLogsFromS3.py --loco 4052 --day 2018-01-12</v>
      </c>
      <c r="AN173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23"/>
        <v>https://d0f6bd738d7f1b3e5a7ca70fe4ff75f0.us-east-1.aws.found.io/app/kibana#/discover/Steve-Slow-Train-Analysis-(2080s-and-2083s)?_g=(refreshInterval:(display:Off,pause:!f,section:0,value:0),time:(from:'2018-01-12T08:04:25-0700',mode:absolute,to:'2018-01-12T10:23:24-0700'))&amp;_a=(columns:!('Message%20ID',Summary),filters:!(),index:'emp_*',interval:auto,query:(query_string:(analyze_wildcard:!t,query:'%22rtdc.l.rtdc.4052%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773</v>
      </c>
      <c r="B174" s="225">
        <v>4051</v>
      </c>
      <c r="C174" s="227" t="s">
        <v>191</v>
      </c>
      <c r="D174" s="227" t="s">
        <v>1057</v>
      </c>
      <c r="E174" s="226">
        <v>43112.392696759256</v>
      </c>
      <c r="F174" s="226">
        <v>43112.404930555553</v>
      </c>
      <c r="G174" s="225">
        <v>123</v>
      </c>
      <c r="H174" s="227" t="s">
        <v>1052</v>
      </c>
      <c r="I174" s="226">
        <v>43112.413391203707</v>
      </c>
      <c r="J174" s="225">
        <v>0</v>
      </c>
      <c r="K174" s="237" t="str">
        <f>IF(ISEVEN(B174),(B174-1)&amp;"/"&amp;B174,B174&amp;"/"&amp;(B174+1))</f>
        <v>4051/4052</v>
      </c>
      <c r="L174" s="245" t="str">
        <f>VLOOKUP(A174,'Trips&amp;Operators'!$C$1:$G$99911,5,FALSE)</f>
        <v>MAELZER KURT</v>
      </c>
      <c r="M174" s="224">
        <f>I174-F174</f>
        <v>8.4606481541413814E-3</v>
      </c>
      <c r="N174" s="225">
        <f>24*60*SUM($M174:$M174)</f>
        <v>12.183333341963589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-12T08:25:29-0700',mode:absolute,to:'2018-01-12T10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5.8611000000000004</v>
      </c>
      <c r="Z174" s="247">
        <f>RIGHT(H174,LEN(H174)-4)/10000</f>
        <v>1.5100000000000001E-2</v>
      </c>
      <c r="AA174" s="247">
        <f>ABS(Z174-Y174)</f>
        <v>5.8460000000000001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814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/stypes="app*4051*20180112*" /stext=" 16:.+((SYSTEM_STATE.+slice.+state.+changed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19"/>
        <v>"%USERPROFILE%\Documents\GitHub\eaglep3\Utilities\RefineRTDCRunTimes.py" --tripid 814-12 --locoid 4051 --swversion DE.1.0.9.0 --startMP 300:58611 --initTime 2018-01-12T09:25:29 --startdatetime 2018-01-12T09:43:06 --delay 123 --endMP 204:151 --enddatetime 2018-01-12T09:55:17 --enforcementcount 0 &gt;&gt;%USERPROFILE%\Documents\GitHub\eaglep3-reporting\EC\2018-01-12-refined-times.txt</v>
      </c>
      <c r="AI174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{"issue":{"subject":"","project_id":79,"tracker_id":40,"status_id":1,"priority_id":2,"assigned_to_id":338,"start_date":"2018-01-12","description":"","custom_fields":[{"id":1,"name":"Subdivision","value":"NW"},{"id":4,"name":"Milepost","value":"0.0151"},{"id":17,"name":"Train ID","value":"814-12"},{"id":16,"name":"Locomotive ID","value":"4051"},{"id":130,"name":"Impact","value":""},{"id":150,"name":"Time of Event (Mountain Time)","value":"09:55:17"},{"id":151,"name":"Denver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21"/>
        <v>start /low /b %USERPROFILE%\Documents\GitHub\eaglep3\Utilities\DownloadLogsFromS3.py --loco 4051 --day 2018-01-12</v>
      </c>
      <c r="AN174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23"/>
        <v>https://d0f6bd738d7f1b3e5a7ca70fe4ff75f0.us-east-1.aws.found.io/app/kibana#/discover/Steve-Slow-Train-Analysis-(2080s-and-2083s)?_g=(refreshInterval:(display:Off,pause:!f,section:0,value:0),time:(from:'2018-01-12T08:25:29-0700',mode:absolute,to:'2018-01-12T10:55:17-0700'))&amp;_a=(columns:!('Message%20ID',Summary),filters:!(),index:'emp_*',interval:auto,query:(query_string:(analyze_wildcard:!t,query:'%22rtdc.l.rtdc.4051%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777</v>
      </c>
      <c r="B175" s="225">
        <v>4052</v>
      </c>
      <c r="C175" s="227" t="s">
        <v>191</v>
      </c>
      <c r="D175" s="227" t="s">
        <v>467</v>
      </c>
      <c r="E175" s="226">
        <v>43112.414976851855</v>
      </c>
      <c r="F175" s="226">
        <v>43112.423067129632</v>
      </c>
      <c r="G175" s="225">
        <v>251</v>
      </c>
      <c r="H175" s="227" t="s">
        <v>1058</v>
      </c>
      <c r="I175" s="226">
        <v>43112.433530092596</v>
      </c>
      <c r="J175" s="225">
        <v>0</v>
      </c>
      <c r="K175" s="237" t="str">
        <f>IF(ISEVEN(B175),(B175-1)&amp;"/"&amp;B175,B175&amp;"/"&amp;(B175+1))</f>
        <v>4051/4052</v>
      </c>
      <c r="L175" s="245" t="str">
        <f>VLOOKUP(A175,'Trips&amp;Operators'!$C$1:$G$99911,5,FALSE)</f>
        <v>MAELZER KURT</v>
      </c>
      <c r="M175" s="224">
        <f>I175-F175</f>
        <v>1.0462962964083999E-2</v>
      </c>
      <c r="N175" s="225">
        <f>24*60*SUM($M175:$M175)</f>
        <v>15.066666668280959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-12T08:57:34-0700',mode:absolute,to:'2018-01-12T11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4.6399999999999997E-2</v>
      </c>
      <c r="Z175" s="247">
        <f>RIGHT(H175,LEN(H175)-4)/10000</f>
        <v>5.8925999999999998</v>
      </c>
      <c r="AA175" s="247">
        <f>ABS(Z175-Y175)</f>
        <v>5.8461999999999996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815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/stypes="app*4052*20180112*" /stext=" 17:.+((SYSTEM_STATE.+slice.+state.+changed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19"/>
        <v>"%USERPROFILE%\Documents\GitHub\eaglep3\Utilities\RefineRTDCRunTimes.py" --tripid 815-12 --locoid 4052 --swversion DE.1.0.9.0 --startMP 204:464 --initTime 2018-01-12T09:57:34 --startdatetime 2018-01-12T10:09:13 --delay 251 --endMP 300:58926 --enddatetime 2018-01-12T10:24:17 --enforcementcount 0 &gt;&gt;%USERPROFILE%\Documents\GitHub\eaglep3-reporting\EC\2018-01-12-refined-times.txt</v>
      </c>
      <c r="AI175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{"issue":{"subject":"","project_id":79,"tracker_id":40,"status_id":1,"priority_id":2,"assigned_to_id":338,"start_date":"2018-01-12","description":"","custom_fields":[{"id":1,"name":"Subdivision","value":"NW"},{"id":4,"name":"Milepost","value":"5.8926"},{"id":17,"name":"Train ID","value":"815-12"},{"id":16,"name":"Locomotive ID","value":"4052"},{"id":130,"name":"Impact","value":""},{"id":150,"name":"Time of Event (Mountain Time)","value":"10:24:17"},{"id":151,"name":"Denver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21"/>
        <v>start /low /b %USERPROFILE%\Documents\GitHub\eaglep3\Utilities\DownloadLogsFromS3.py --loco 4052 --day 2018-01-12</v>
      </c>
      <c r="AN175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23"/>
        <v>https://d0f6bd738d7f1b3e5a7ca70fe4ff75f0.us-east-1.aws.found.io/app/kibana#/discover/Steve-Slow-Train-Analysis-(2080s-and-2083s)?_g=(refreshInterval:(display:Off,pause:!f,section:0,value:0),time:(from:'2018-01-12T08:57:34-0700',mode:absolute,to:'2018-01-12T11:24:17-0700'))&amp;_a=(columns:!('Message%20ID',Summary),filters:!(),index:'emp_*',interval:auto,query:(query_string:(analyze_wildcard:!t,query:'%22rtdc.l.rtdc.4052%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781</v>
      </c>
      <c r="B176" s="225">
        <v>4051</v>
      </c>
      <c r="C176" s="227" t="s">
        <v>191</v>
      </c>
      <c r="D176" s="227" t="s">
        <v>1057</v>
      </c>
      <c r="E176" s="226">
        <v>43112.434699074074</v>
      </c>
      <c r="F176" s="226">
        <v>43112.445706018516</v>
      </c>
      <c r="G176" s="225">
        <v>52</v>
      </c>
      <c r="H176" s="227" t="s">
        <v>555</v>
      </c>
      <c r="I176" s="226">
        <v>43112.455324074072</v>
      </c>
      <c r="J176" s="225">
        <v>0</v>
      </c>
      <c r="K176" s="237" t="str">
        <f>IF(ISEVEN(B176),(B176-1)&amp;"/"&amp;B176,B176&amp;"/"&amp;(B176+1))</f>
        <v>4051/4052</v>
      </c>
      <c r="L176" s="245" t="str">
        <f>VLOOKUP(A176,'Trips&amp;Operators'!$C$1:$G$99911,5,FALSE)</f>
        <v>MAELZER KURT</v>
      </c>
      <c r="M176" s="224">
        <f>I176-F176</f>
        <v>9.6180555556202307E-3</v>
      </c>
      <c r="N176" s="225">
        <f>24*60*SUM($M176:$M176)</f>
        <v>13.850000000093132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-12T09:25:58-0700',mode:absolute,to:'2018-01-12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5.8611000000000004</v>
      </c>
      <c r="Z176" s="247">
        <f>RIGHT(H176,LEN(H176)-4)/10000</f>
        <v>1.5299999999999999E-2</v>
      </c>
      <c r="AA176" s="247">
        <f>ABS(Z176-Y176)</f>
        <v>5.8458000000000006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816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/stypes="app*4051*20180112*" /stext=" 17:.+((SYSTEM_STATE.+slice.+state.+changed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19"/>
        <v>"%USERPROFILE%\Documents\GitHub\eaglep3\Utilities\RefineRTDCRunTimes.py" --tripid 816-12 --locoid 4051 --swversion DE.1.0.9.0 --startMP 300:58611 --initTime 2018-01-12T10:25:58 --startdatetime 2018-01-12T10:41:49 --delay 52 --endMP 204:153 --enddatetime 2018-01-12T10:55:40 --enforcementcount 0 &gt;&gt;%USERPROFILE%\Documents\GitHub\eaglep3-reporting\EC\2018-01-12-refined-times.txt</v>
      </c>
      <c r="AI176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{"issue":{"subject":"","project_id":79,"tracker_id":40,"status_id":1,"priority_id":2,"assigned_to_id":338,"start_date":"2018-01-12","description":"","custom_fields":[{"id":1,"name":"Subdivision","value":"NW"},{"id":4,"name":"Milepost","value":"0.0153"},{"id":17,"name":"Train ID","value":"816-12"},{"id":16,"name":"Locomotive ID","value":"4051"},{"id":130,"name":"Impact","value":""},{"id":150,"name":"Time of Event (Mountain Time)","value":"10:55:40"},{"id":151,"name":"Denver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21"/>
        <v>start /low /b %USERPROFILE%\Documents\GitHub\eaglep3\Utilities\DownloadLogsFromS3.py --loco 4051 --day 2018-01-12</v>
      </c>
      <c r="AN176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23"/>
        <v>https://d0f6bd738d7f1b3e5a7ca70fe4ff75f0.us-east-1.aws.found.io/app/kibana#/discover/Steve-Slow-Train-Analysis-(2080s-and-2083s)?_g=(refreshInterval:(display:Off,pause:!f,section:0,value:0),time:(from:'2018-01-12T09:25:58-0700',mode:absolute,to:'2018-01-12T11:55:40-0700'))&amp;_a=(columns:!('Message%20ID',Summary),filters:!(),index:'emp_*',interval:auto,query:(query_string:(analyze_wildcard:!t,query:'%22rtdc.l.rtdc.4051%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786</v>
      </c>
      <c r="B177" s="225">
        <v>4052</v>
      </c>
      <c r="C177" s="227" t="s">
        <v>191</v>
      </c>
      <c r="D177" s="227" t="s">
        <v>661</v>
      </c>
      <c r="E177" s="226">
        <v>43112.456979166665</v>
      </c>
      <c r="F177" s="226">
        <v>43112.46471064815</v>
      </c>
      <c r="G177" s="225">
        <v>65</v>
      </c>
      <c r="H177" s="227" t="s">
        <v>1043</v>
      </c>
      <c r="I177" s="226">
        <v>43112.473611111112</v>
      </c>
      <c r="J177" s="225">
        <v>0</v>
      </c>
      <c r="K177" s="237" t="str">
        <f>IF(ISEVEN(B177),(B177-1)&amp;"/"&amp;B177,B177&amp;"/"&amp;(B177+1))</f>
        <v>4051/4052</v>
      </c>
      <c r="L177" s="245" t="str">
        <f>VLOOKUP(A177,'Trips&amp;Operators'!$C$1:$G$99911,5,FALSE)</f>
        <v>BIRENBAUM THOMAS</v>
      </c>
      <c r="M177" s="224">
        <f>I177-F177</f>
        <v>8.9004629626288079E-3</v>
      </c>
      <c r="N177" s="225">
        <f>24*60*SUM($M177:$M177)</f>
        <v>12.816666666185483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-12T09:58:03-0700',mode:absolute,to:'2018-01-12T12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4.5900000000000003E-2</v>
      </c>
      <c r="Z177" s="247">
        <f>RIGHT(H177,LEN(H177)-4)/10000</f>
        <v>5.8935000000000004</v>
      </c>
      <c r="AA177" s="247">
        <f>ABS(Z177-Y177)</f>
        <v>5.8476000000000008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817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/stypes="app*4052*20180112*" /stext=" 18:.+((SYSTEM_STATE.+slice.+state.+changed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19"/>
        <v>"%USERPROFILE%\Documents\GitHub\eaglep3\Utilities\RefineRTDCRunTimes.py" --tripid 817-12 --locoid 4052 --swversion DE.1.0.9.0 --startMP 204:459 --initTime 2018-01-12T10:58:03 --startdatetime 2018-01-12T11:09:11 --delay 65 --endMP 300:58935 --enddatetime 2018-01-12T11:22:00 --enforcementcount 0 &gt;&gt;%USERPROFILE%\Documents\GitHub\eaglep3-reporting\EC\2018-01-12-refined-times.txt</v>
      </c>
      <c r="AI177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{"issue":{"subject":"","project_id":79,"tracker_id":40,"status_id":1,"priority_id":2,"assigned_to_id":338,"start_date":"2018-01-12","description":"","custom_fields":[{"id":1,"name":"Subdivision","value":"NW"},{"id":4,"name":"Milepost","value":"5.8935"},{"id":17,"name":"Train ID","value":"817-12"},{"id":16,"name":"Locomotive ID","value":"4052"},{"id":130,"name":"Impact","value":""},{"id":150,"name":"Time of Event (Mountain Time)","value":"11:22:00"},{"id":151,"name":"Denver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21"/>
        <v>start /low /b %USERPROFILE%\Documents\GitHub\eaglep3\Utilities\DownloadLogsFromS3.py --loco 4052 --day 2018-01-12</v>
      </c>
      <c r="AN177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23"/>
        <v>https://d0f6bd738d7f1b3e5a7ca70fe4ff75f0.us-east-1.aws.found.io/app/kibana#/discover/Steve-Slow-Train-Analysis-(2080s-and-2083s)?_g=(refreshInterval:(display:Off,pause:!f,section:0,value:0),time:(from:'2018-01-12T09:58:03-0700',mode:absolute,to:'2018-01-12T12:22:00-0700'))&amp;_a=(columns:!('Message%20ID',Summary),filters:!(),index:'emp_*',interval:auto,query:(query_string:(analyze_wildcard:!t,query:'%22rtdc.l.rtdc.4052%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791</v>
      </c>
      <c r="B178" s="225">
        <v>4051</v>
      </c>
      <c r="C178" s="227" t="s">
        <v>191</v>
      </c>
      <c r="D178" s="227" t="s">
        <v>492</v>
      </c>
      <c r="E178" s="226">
        <v>43112.474918981483</v>
      </c>
      <c r="F178" s="226">
        <v>43112.488379629627</v>
      </c>
      <c r="G178" s="225">
        <v>68</v>
      </c>
      <c r="H178" s="227" t="s">
        <v>555</v>
      </c>
      <c r="I178" s="226">
        <v>43112.49664351852</v>
      </c>
      <c r="J178" s="225">
        <v>0</v>
      </c>
      <c r="K178" s="237" t="str">
        <f>IF(ISEVEN(B178),(B178-1)&amp;"/"&amp;B178,B178&amp;"/"&amp;(B178+1))</f>
        <v>4051/4052</v>
      </c>
      <c r="L178" s="245" t="str">
        <f>VLOOKUP(A178,'Trips&amp;Operators'!$C$1:$G$99911,5,FALSE)</f>
        <v>BIRENBAUM THOMAS</v>
      </c>
      <c r="M178" s="224">
        <f>I178-F178</f>
        <v>8.2638888925430365E-3</v>
      </c>
      <c r="N178" s="225">
        <f>24*60*SUM($M178:$M178)</f>
        <v>11.900000005261973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-12T10:23:53-0700',mode:absolute,to:'2018-01-12T12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5.8619000000000003</v>
      </c>
      <c r="Z178" s="247">
        <f>RIGHT(H178,LEN(H178)-4)/10000</f>
        <v>1.5299999999999999E-2</v>
      </c>
      <c r="AA178" s="247">
        <f>ABS(Z178-Y178)</f>
        <v>5.8466000000000005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818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/stypes="app*4051*20180112*" /stext=" 18:.+((SYSTEM_STATE.+slice.+state.+changed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19"/>
        <v>"%USERPROFILE%\Documents\GitHub\eaglep3\Utilities\RefineRTDCRunTimes.py" --tripid 818-12 --locoid 4051 --swversion DE.1.0.9.0 --startMP 300:58619 --initTime 2018-01-12T11:23:53 --startdatetime 2018-01-12T11:43:16 --delay 68 --endMP 204:153 --enddatetime 2018-01-12T11:55:10 --enforcementcount 0 &gt;&gt;%USERPROFILE%\Documents\GitHub\eaglep3-reporting\EC\2018-01-12-refined-times.txt</v>
      </c>
      <c r="AI178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{"issue":{"subject":"","project_id":79,"tracker_id":40,"status_id":1,"priority_id":2,"assigned_to_id":338,"start_date":"2018-01-12","description":"","custom_fields":[{"id":1,"name":"Subdivision","value":"NW"},{"id":4,"name":"Milepost","value":"0.0153"},{"id":17,"name":"Train ID","value":"818-12"},{"id":16,"name":"Locomotive ID","value":"4051"},{"id":130,"name":"Impact","value":""},{"id":150,"name":"Time of Event (Mountain Time)","value":"11:55:10"},{"id":151,"name":"Denver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21"/>
        <v>start /low /b %USERPROFILE%\Documents\GitHub\eaglep3\Utilities\DownloadLogsFromS3.py --loco 4051 --day 2018-01-12</v>
      </c>
      <c r="AN178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18:55:10"},{"id":29,"name":"Sharepoint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23"/>
        <v>https://d0f6bd738d7f1b3e5a7ca70fe4ff75f0.us-east-1.aws.found.io/app/kibana#/discover/Steve-Slow-Train-Analysis-(2080s-and-2083s)?_g=(refreshInterval:(display:Off,pause:!f,section:0,value:0),time:(from:'2018-01-12T10:23:53-0700',mode:absolute,to:'2018-01-12T12:55:10-0700'))&amp;_a=(columns:!('Message%20ID',Summary),filters:!(),index:'emp_*',interval:auto,query:(query_string:(analyze_wildcard:!t,query:'%22rtdc.l.rtdc.4051%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796</v>
      </c>
      <c r="B179" s="225">
        <v>4052</v>
      </c>
      <c r="C179" s="227" t="s">
        <v>191</v>
      </c>
      <c r="D179" s="227" t="s">
        <v>1059</v>
      </c>
      <c r="E179" s="226">
        <v>43112.498437499999</v>
      </c>
      <c r="F179" s="226">
        <v>43112.506481481483</v>
      </c>
      <c r="G179" s="225">
        <v>48</v>
      </c>
      <c r="H179" s="227" t="s">
        <v>1046</v>
      </c>
      <c r="I179" s="226">
        <v>43112.515717592592</v>
      </c>
      <c r="J179" s="225">
        <v>0</v>
      </c>
      <c r="K179" s="237" t="str">
        <f>IF(ISEVEN(B179),(B179-1)&amp;"/"&amp;B179,B179&amp;"/"&amp;(B179+1))</f>
        <v>4051/4052</v>
      </c>
      <c r="L179" s="245" t="str">
        <f>VLOOKUP(A179,'Trips&amp;Operators'!$C$1:$G$99911,5,FALSE)</f>
        <v>BIRENBAUM THOMAS</v>
      </c>
      <c r="M179" s="224">
        <f>I179-F179</f>
        <v>9.2361111092031933E-3</v>
      </c>
      <c r="N179" s="225">
        <f>24*60*SUM($M179:$M179)</f>
        <v>13.299999997252598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-12T10:57:45-0700',mode:absolute,to:'2018-01-12T13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4.6199999999999998E-2</v>
      </c>
      <c r="Z179" s="247">
        <f>RIGHT(H179,LEN(H179)-4)/10000</f>
        <v>5.8944000000000001</v>
      </c>
      <c r="AA179" s="247">
        <f>ABS(Z179-Y179)</f>
        <v>5.8482000000000003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819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/stypes="app*4052*20180112*" /stext=" 19:.+((SYSTEM_STATE.+slice.+state.+changed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19"/>
        <v>"%USERPROFILE%\Documents\GitHub\eaglep3\Utilities\RefineRTDCRunTimes.py" --tripid 819-12 --locoid 4052 --swversion DE.1.0.9.0 --startMP 204:462 --initTime 2018-01-12T11:57:45 --startdatetime 2018-01-12T12:09:20 --delay 48 --endMP 300:58944 --enddatetime 2018-01-12T12:22:38 --enforcementcount 0 &gt;&gt;%USERPROFILE%\Documents\GitHub\eaglep3-reporting\EC\2018-01-12-refined-times.txt</v>
      </c>
      <c r="AI179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{"issue":{"subject":"","project_id":79,"tracker_id":40,"status_id":1,"priority_id":2,"assigned_to_id":338,"start_date":"2018-01-12","description":"","custom_fields":[{"id":1,"name":"Subdivision","value":"NW"},{"id":4,"name":"Milepost","value":"5.8944"},{"id":17,"name":"Train ID","value":"819-12"},{"id":16,"name":"Locomotive ID","value":"4052"},{"id":130,"name":"Impact","value":""},{"id":150,"name":"Time of Event (Mountain Time)","value":"12:22:38"},{"id":151,"name":"Denver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21"/>
        <v>start /low /b %USERPROFILE%\Documents\GitHub\eaglep3\Utilities\DownloadLogsFromS3.py --loco 4052 --day 2018-01-12</v>
      </c>
      <c r="AN179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23"/>
        <v>https://d0f6bd738d7f1b3e5a7ca70fe4ff75f0.us-east-1.aws.found.io/app/kibana#/discover/Steve-Slow-Train-Analysis-(2080s-and-2083s)?_g=(refreshInterval:(display:Off,pause:!f,section:0,value:0),time:(from:'2018-01-12T10:57:45-0700',mode:absolute,to:'2018-01-12T13:22:38-0700'))&amp;_a=(columns:!('Message%20ID',Summary),filters:!(),index:'emp_*',interval:auto,query:(query_string:(analyze_wildcard:!t,query:'%22rtdc.l.rtdc.4052%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676</v>
      </c>
      <c r="B180" s="225">
        <v>4051</v>
      </c>
      <c r="C180" s="227" t="s">
        <v>191</v>
      </c>
      <c r="D180" s="227" t="s">
        <v>1060</v>
      </c>
      <c r="E180" s="226">
        <v>43112.517581018517</v>
      </c>
      <c r="F180" s="226">
        <v>43112.529143518521</v>
      </c>
      <c r="G180" s="225">
        <v>47</v>
      </c>
      <c r="H180" s="227" t="s">
        <v>495</v>
      </c>
      <c r="I180" s="226">
        <v>43112.538298611114</v>
      </c>
      <c r="J180" s="225">
        <v>0</v>
      </c>
      <c r="K180" s="237" t="str">
        <f>IF(ISEVEN(B180),(B180-1)&amp;"/"&amp;B180,B180&amp;"/"&amp;(B180+1))</f>
        <v>4051/4052</v>
      </c>
      <c r="L180" s="245" t="str">
        <f>VLOOKUP(A180,'Trips&amp;Operators'!$C$1:$G$99911,5,FALSE)</f>
        <v>BIRENBAUM THOMAS</v>
      </c>
      <c r="M180" s="224">
        <f>I180-F180</f>
        <v>9.1550925935734995E-3</v>
      </c>
      <c r="N180" s="225">
        <f>24*60*SUM($M180:$M180)</f>
        <v>13.183333334745839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-12T11:25:19-0700',mode:absolute,to:'2018-01-12T13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5.8624000000000001</v>
      </c>
      <c r="Z180" s="247">
        <f>RIGHT(H180,LEN(H180)-4)/10000</f>
        <v>1.5699999999999999E-2</v>
      </c>
      <c r="AA180" s="247">
        <f>ABS(Z180-Y180)</f>
        <v>5.8467000000000002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820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/stypes="app*4051*20180112*" /stext=" 19:.+((SYSTEM_STATE.+slice.+state.+changed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19"/>
        <v>"%USERPROFILE%\Documents\GitHub\eaglep3\Utilities\RefineRTDCRunTimes.py" --tripid 820-12 --locoid 4051 --swversion DE.1.0.9.0 --startMP 300:58624 --initTime 2018-01-12T12:25:19 --startdatetime 2018-01-12T12:41:58 --delay 47 --endMP 204:157 --enddatetime 2018-01-12T12:55:09 --enforcementcount 0 &gt;&gt;%USERPROFILE%\Documents\GitHub\eaglep3-reporting\EC\2018-01-12-refined-times.txt</v>
      </c>
      <c r="AI180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{"issue":{"subject":"","project_id":79,"tracker_id":40,"status_id":1,"priority_id":2,"assigned_to_id":338,"start_date":"2018-01-12","description":"","custom_fields":[{"id":1,"name":"Subdivision","value":"NW"},{"id":4,"name":"Milepost","value":"0.0157"},{"id":17,"name":"Train ID","value":"820-12"},{"id":16,"name":"Locomotive ID","value":"4051"},{"id":130,"name":"Impact","value":""},{"id":150,"name":"Time of Event (Mountain Time)","value":"12:55:09"},{"id":151,"name":"Denver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21"/>
        <v>start /low /b %USERPROFILE%\Documents\GitHub\eaglep3\Utilities\DownloadLogsFromS3.py --loco 4051 --day 2018-01-12</v>
      </c>
      <c r="AN180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23"/>
        <v>https://d0f6bd738d7f1b3e5a7ca70fe4ff75f0.us-east-1.aws.found.io/app/kibana#/discover/Steve-Slow-Train-Analysis-(2080s-and-2083s)?_g=(refreshInterval:(display:Off,pause:!f,section:0,value:0),time:(from:'2018-01-12T11:25:19-0700',mode:absolute,to:'2018-01-12T13:55:09-0700'))&amp;_a=(columns:!('Message%20ID',Summary),filters:!(),index:'emp_*',interval:auto,query:(query_string:(analyze_wildcard:!t,query:'%22rtdc.l.rtdc.4051%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805</v>
      </c>
      <c r="B181" s="225">
        <v>4052</v>
      </c>
      <c r="C181" s="227" t="s">
        <v>191</v>
      </c>
      <c r="D181" s="227" t="s">
        <v>620</v>
      </c>
      <c r="E181" s="226">
        <v>43112.541666666664</v>
      </c>
      <c r="F181" s="226">
        <v>43112.548078703701</v>
      </c>
      <c r="G181" s="225">
        <v>61</v>
      </c>
      <c r="H181" s="227" t="s">
        <v>1061</v>
      </c>
      <c r="I181" s="226">
        <v>43112.557858796295</v>
      </c>
      <c r="J181" s="225">
        <v>0</v>
      </c>
      <c r="K181" s="237" t="str">
        <f>IF(ISEVEN(B181),(B181-1)&amp;"/"&amp;B181,B181&amp;"/"&amp;(B181+1))</f>
        <v>4051/4052</v>
      </c>
      <c r="L181" s="245" t="str">
        <f>VLOOKUP(A181,'Trips&amp;Operators'!$C$1:$G$99911,5,FALSE)</f>
        <v>GUNTHIER ERIC</v>
      </c>
      <c r="M181" s="224">
        <f>I181-F181</f>
        <v>9.7800925941555761E-3</v>
      </c>
      <c r="N181" s="225">
        <f>24*60*SUM($M181:$M181)</f>
        <v>14.08333333558403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-12T12:00:00-0700',mode:absolute,to:'2018-01-12T14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4.7100000000000003E-2</v>
      </c>
      <c r="Z181" s="247">
        <f>RIGHT(H181,LEN(H181)-4)/10000</f>
        <v>5.8975999999999997</v>
      </c>
      <c r="AA181" s="247">
        <f>ABS(Z181-Y181)</f>
        <v>5.8504999999999994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821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/stypes="app*4052*20180112*" /stext=" 20:.+((SYSTEM_STATE.+slice.+state.+changed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19"/>
        <v>"%USERPROFILE%\Documents\GitHub\eaglep3\Utilities\RefineRTDCRunTimes.py" --tripid 821-12 --locoid 4052 --swversion DE.1.0.9.0 --startMP 204:471 --initTime 2018-01-12T13:00:00 --startdatetime 2018-01-12T13:09:14 --delay 61 --endMP 300:58976 --enddatetime 2018-01-12T13:23:19 --enforcementcount 0 &gt;&gt;%USERPROFILE%\Documents\GitHub\eaglep3-reporting\EC\2018-01-12-refined-times.txt</v>
      </c>
      <c r="AI181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{"issue":{"subject":"","project_id":79,"tracker_id":40,"status_id":1,"priority_id":2,"assigned_to_id":338,"start_date":"2018-01-12","description":"","custom_fields":[{"id":1,"name":"Subdivision","value":"NW"},{"id":4,"name":"Milepost","value":"5.8976"},{"id":17,"name":"Train ID","value":"821-12"},{"id":16,"name":"Locomotive ID","value":"4052"},{"id":130,"name":"Impact","value":""},{"id":150,"name":"Time of Event (Mountain Time)","value":"13:23:19"},{"id":151,"name":"Denver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21"/>
        <v>start /low /b %USERPROFILE%\Documents\GitHub\eaglep3\Utilities\DownloadLogsFromS3.py --loco 4052 --day 2018-01-12</v>
      </c>
      <c r="AN181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23"/>
        <v>https://d0f6bd738d7f1b3e5a7ca70fe4ff75f0.us-east-1.aws.found.io/app/kibana#/discover/Steve-Slow-Train-Analysis-(2080s-and-2083s)?_g=(refreshInterval:(display:Off,pause:!f,section:0,value:0),time:(from:'2018-01-12T12:00:00-0700',mode:absolute,to:'2018-01-12T14:23:19-0700'))&amp;_a=(columns:!('Message%20ID',Summary),filters:!(),index:'emp_*',interval:auto,query:(query_string:(analyze_wildcard:!t,query:'%22rtdc.l.rtdc.4052%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809</v>
      </c>
      <c r="B182" s="225">
        <v>4051</v>
      </c>
      <c r="C182" s="227" t="s">
        <v>191</v>
      </c>
      <c r="D182" s="227" t="s">
        <v>1062</v>
      </c>
      <c r="E182" s="226">
        <v>43112.559618055559</v>
      </c>
      <c r="F182" s="226">
        <v>43112.571585648147</v>
      </c>
      <c r="G182" s="225">
        <v>67</v>
      </c>
      <c r="H182" s="227" t="s">
        <v>663</v>
      </c>
      <c r="I182" s="226">
        <v>43112.580127314817</v>
      </c>
      <c r="J182" s="225">
        <v>0</v>
      </c>
      <c r="K182" s="237" t="str">
        <f>IF(ISEVEN(B182),(B182-1)&amp;"/"&amp;B182,B182&amp;"/"&amp;(B182+1))</f>
        <v>4051/4052</v>
      </c>
      <c r="L182" s="245" t="str">
        <f>VLOOKUP(A182,'Trips&amp;Operators'!$C$1:$G$99911,5,FALSE)</f>
        <v>GUNTHIER ERIC</v>
      </c>
      <c r="M182" s="224">
        <f>I182-F182</f>
        <v>8.5416666697710752E-3</v>
      </c>
      <c r="N182" s="225">
        <f>24*60*SUM($M182:$M182)</f>
        <v>12.300000004470348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-12T12:25:51-0700',mode:absolute,to:'2018-01-12T14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5.8663999999999996</v>
      </c>
      <c r="Z182" s="247">
        <f>RIGHT(H182,LEN(H182)-4)/10000</f>
        <v>1.4800000000000001E-2</v>
      </c>
      <c r="AA182" s="247">
        <f>ABS(Z182-Y182)</f>
        <v>5.8515999999999995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822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/stypes="app*4051*20180112*" /stext=" 20:.+((SYSTEM_STATE.+slice.+state.+changed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19"/>
        <v>"%USERPROFILE%\Documents\GitHub\eaglep3\Utilities\RefineRTDCRunTimes.py" --tripid 822-12 --locoid 4051 --swversion DE.1.0.9.0 --startMP 300:58664 --initTime 2018-01-12T13:25:51 --startdatetime 2018-01-12T13:43:05 --delay 67 --endMP 204:148 --enddatetime 2018-01-12T13:55:23 --enforcementcount 0 &gt;&gt;%USERPROFILE%\Documents\GitHub\eaglep3-reporting\EC\2018-01-12-refined-times.txt</v>
      </c>
      <c r="AI182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{"issue":{"subject":"","project_id":79,"tracker_id":40,"status_id":1,"priority_id":2,"assigned_to_id":338,"start_date":"2018-01-12","description":"","custom_fields":[{"id":1,"name":"Subdivision","value":"NW"},{"id":4,"name":"Milepost","value":"0.0148"},{"id":17,"name":"Train ID","value":"822-12"},{"id":16,"name":"Locomotive ID","value":"4051"},{"id":130,"name":"Impact","value":""},{"id":150,"name":"Time of Event (Mountain Time)","value":"13:55:23"},{"id":151,"name":"Denver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21"/>
        <v>start /low /b %USERPROFILE%\Documents\GitHub\eaglep3\Utilities\DownloadLogsFromS3.py --loco 4051 --day 2018-01-12</v>
      </c>
      <c r="AN182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23"/>
        <v>https://d0f6bd738d7f1b3e5a7ca70fe4ff75f0.us-east-1.aws.found.io/app/kibana#/discover/Steve-Slow-Train-Analysis-(2080s-and-2083s)?_g=(refreshInterval:(display:Off,pause:!f,section:0,value:0),time:(from:'2018-01-12T12:25:51-0700',mode:absolute,to:'2018-01-12T14:55:23-0700'))&amp;_a=(columns:!('Message%20ID',Summary),filters:!(),index:'emp_*',interval:auto,query:(query_string:(analyze_wildcard:!t,query:'%22rtdc.l.rtdc.4051%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813</v>
      </c>
      <c r="B183" s="225">
        <v>4052</v>
      </c>
      <c r="C183" s="227" t="s">
        <v>191</v>
      </c>
      <c r="D183" s="227" t="s">
        <v>557</v>
      </c>
      <c r="E183" s="226">
        <v>43112.582418981481</v>
      </c>
      <c r="F183" s="226">
        <v>43112.589745370373</v>
      </c>
      <c r="G183" s="225">
        <v>75</v>
      </c>
      <c r="H183" s="227" t="s">
        <v>659</v>
      </c>
      <c r="I183" s="226">
        <v>43112.599282407406</v>
      </c>
      <c r="J183" s="225">
        <v>0</v>
      </c>
      <c r="K183" s="237" t="str">
        <f>IF(ISEVEN(B183),(B183-1)&amp;"/"&amp;B183,B183&amp;"/"&amp;(B183+1))</f>
        <v>4051/4052</v>
      </c>
      <c r="L183" s="245" t="str">
        <f>VLOOKUP(A183,'Trips&amp;Operators'!$C$1:$G$99911,5,FALSE)</f>
        <v>GUNTHIER ERIC</v>
      </c>
      <c r="M183" s="224">
        <f>I183-F183</f>
        <v>9.5370370327145793E-3</v>
      </c>
      <c r="N183" s="225">
        <f>24*60*SUM($M183:$M183)</f>
        <v>13.733333327108994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-12T12:58:41-0700',mode:absolute,to:'2018-01-12T15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4.4999999999999998E-2</v>
      </c>
      <c r="Z183" s="247">
        <f>RIGHT(H183,LEN(H183)-4)/10000</f>
        <v>5.8993000000000002</v>
      </c>
      <c r="AA183" s="247">
        <f>ABS(Z183-Y183)</f>
        <v>5.8543000000000003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823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/stypes="app*4052*20180112*" /stext=" 21:.+((SYSTEM_STATE.+slice.+state.+changed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19"/>
        <v>"%USERPROFILE%\Documents\GitHub\eaglep3\Utilities\RefineRTDCRunTimes.py" --tripid 823-12 --locoid 4052 --swversion DE.1.0.9.0 --startMP 204:450 --initTime 2018-01-12T13:58:41 --startdatetime 2018-01-12T14:09:14 --delay 75 --endMP 300:58993 --enddatetime 2018-01-12T14:22:58 --enforcementcount 0 &gt;&gt;%USERPROFILE%\Documents\GitHub\eaglep3-reporting\EC\2018-01-12-refined-times.txt</v>
      </c>
      <c r="AI183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{"issue":{"subject":"","project_id":79,"tracker_id":40,"status_id":1,"priority_id":2,"assigned_to_id":338,"start_date":"2018-01-12","description":"","custom_fields":[{"id":1,"name":"Subdivision","value":"NW"},{"id":4,"name":"Milepost","value":"5.8993"},{"id":17,"name":"Train ID","value":"823-12"},{"id":16,"name":"Locomotive ID","value":"4052"},{"id":130,"name":"Impact","value":""},{"id":150,"name":"Time of Event (Mountain Time)","value":"14:22:58"},{"id":151,"name":"Denver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21"/>
        <v>start /low /b %USERPROFILE%\Documents\GitHub\eaglep3\Utilities\DownloadLogsFromS3.py --loco 4052 --day 2018-01-12</v>
      </c>
      <c r="AN183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23"/>
        <v>https://d0f6bd738d7f1b3e5a7ca70fe4ff75f0.us-east-1.aws.found.io/app/kibana#/discover/Steve-Slow-Train-Analysis-(2080s-and-2083s)?_g=(refreshInterval:(display:Off,pause:!f,section:0,value:0),time:(from:'2018-01-12T12:58:41-0700',mode:absolute,to:'2018-01-12T15:22:58-0700'))&amp;_a=(columns:!('Message%20ID',Summary),filters:!(),index:'emp_*',interval:auto,query:(query_string:(analyze_wildcard:!t,query:'%22rtdc.l.rtdc.4052%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820</v>
      </c>
      <c r="B184" s="225">
        <v>4051</v>
      </c>
      <c r="C184" s="227" t="s">
        <v>191</v>
      </c>
      <c r="D184" s="227" t="s">
        <v>658</v>
      </c>
      <c r="E184" s="226">
        <v>43112.600983796299</v>
      </c>
      <c r="F184" s="226">
        <v>43112.612800925926</v>
      </c>
      <c r="G184" s="225">
        <v>55</v>
      </c>
      <c r="H184" s="227" t="s">
        <v>513</v>
      </c>
      <c r="I184" s="226">
        <v>43112.621678240743</v>
      </c>
      <c r="J184" s="225">
        <v>0</v>
      </c>
      <c r="K184" s="237" t="str">
        <f>IF(ISEVEN(B184),(B184-1)&amp;"/"&amp;B184,B184&amp;"/"&amp;(B184+1))</f>
        <v>4051/4052</v>
      </c>
      <c r="L184" s="245" t="str">
        <f>VLOOKUP(A184,'Trips&amp;Operators'!$C$1:$G$99911,5,FALSE)</f>
        <v>GUNTHIER ERIC</v>
      </c>
      <c r="M184" s="224">
        <f>I184-F184</f>
        <v>8.8773148163454607E-3</v>
      </c>
      <c r="N184" s="225">
        <f>24*60*SUM($M184:$M184)</f>
        <v>12.783333335537463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-12T13:25:25-0700',mode:absolute,to:'2018-01-12T15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5.867</v>
      </c>
      <c r="Z184" s="247">
        <f>RIGHT(H184,LEN(H184)-4)/10000</f>
        <v>1.35E-2</v>
      </c>
      <c r="AA184" s="247">
        <f>ABS(Z184-Y184)</f>
        <v>5.8535000000000004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824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/stypes="app*4051*20180112*" /stext=" 21:.+((SYSTEM_STATE.+slice.+state.+changed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19"/>
        <v>"%USERPROFILE%\Documents\GitHub\eaglep3\Utilities\RefineRTDCRunTimes.py" --tripid 824-12 --locoid 4051 --swversion DE.1.0.9.0 --startMP 300:58670 --initTime 2018-01-12T14:25:25 --startdatetime 2018-01-12T14:42:26 --delay 55 --endMP 204:135 --enddatetime 2018-01-12T14:55:13 --enforcementcount 0 &gt;&gt;%USERPROFILE%\Documents\GitHub\eaglep3-reporting\EC\2018-01-12-refined-times.txt</v>
      </c>
      <c r="AI184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{"issue":{"subject":"","project_id":79,"tracker_id":40,"status_id":1,"priority_id":2,"assigned_to_id":338,"start_date":"2018-01-12","description":"","custom_fields":[{"id":1,"name":"Subdivision","value":"NW"},{"id":4,"name":"Milepost","value":"0.0135"},{"id":17,"name":"Train ID","value":"824-12"},{"id":16,"name":"Locomotive ID","value":"4051"},{"id":130,"name":"Impact","value":""},{"id":150,"name":"Time of Event (Mountain Time)","value":"14:55:13"},{"id":151,"name":"Denver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21"/>
        <v>start /low /b %USERPROFILE%\Documents\GitHub\eaglep3\Utilities\DownloadLogsFromS3.py --loco 4051 --day 2018-01-12</v>
      </c>
      <c r="AN184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21:55:13"},{"id":29,"name":"Sharepoint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23"/>
        <v>https://d0f6bd738d7f1b3e5a7ca70fe4ff75f0.us-east-1.aws.found.io/app/kibana#/discover/Steve-Slow-Train-Analysis-(2080s-and-2083s)?_g=(refreshInterval:(display:Off,pause:!f,section:0,value:0),time:(from:'2018-01-12T13:25:25-0700',mode:absolute,to:'2018-01-12T15:55:13-0700'))&amp;_a=(columns:!('Message%20ID',Summary),filters:!(),index:'emp_*',interval:auto,query:(query_string:(analyze_wildcard:!t,query:'%22rtdc.l.rtdc.4051%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824</v>
      </c>
      <c r="B185" s="225">
        <v>4052</v>
      </c>
      <c r="C185" s="227" t="s">
        <v>191</v>
      </c>
      <c r="D185" s="227" t="s">
        <v>937</v>
      </c>
      <c r="E185" s="226">
        <v>43112.626307870371</v>
      </c>
      <c r="F185" s="226">
        <v>43112.631423611114</v>
      </c>
      <c r="G185" s="225">
        <v>70</v>
      </c>
      <c r="H185" s="227" t="s">
        <v>1063</v>
      </c>
      <c r="I185" s="226">
        <v>43112.641215277778</v>
      </c>
      <c r="J185" s="225">
        <v>0</v>
      </c>
      <c r="K185" s="237" t="str">
        <f>IF(ISEVEN(B185),(B185-1)&amp;"/"&amp;B185,B185&amp;"/"&amp;(B185+1))</f>
        <v>4051/4052</v>
      </c>
      <c r="L185" s="245" t="str">
        <f>VLOOKUP(A185,'Trips&amp;Operators'!$C$1:$G$99911,5,FALSE)</f>
        <v>GUNTHIER ERIC</v>
      </c>
      <c r="M185" s="224">
        <f>I185-F185</f>
        <v>9.7916666636592709E-3</v>
      </c>
      <c r="N185" s="225">
        <f>24*60*SUM($M185:$M185)</f>
        <v>14.09999999566935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-12T14:01:53-0700',mode:absolute,to:'2018-01-12T16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4.3299999999999998E-2</v>
      </c>
      <c r="Z185" s="247">
        <f>RIGHT(H185,LEN(H185)-4)/10000</f>
        <v>5.8978000000000002</v>
      </c>
      <c r="AA185" s="247">
        <f>ABS(Z185-Y185)</f>
        <v>5.8544999999999998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825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/stypes="app*4052*20180112*" /stext=" 22:.+((SYSTEM_STATE.+slice.+state.+changed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19"/>
        <v>"%USERPROFILE%\Documents\GitHub\eaglep3\Utilities\RefineRTDCRunTimes.py" --tripid 825-12 --locoid 4052 --swversion DE.1.0.9.0 --startMP 204:433 --initTime 2018-01-12T15:01:53 --startdatetime 2018-01-12T15:09:15 --delay 70 --endMP 300:58978 --enddatetime 2018-01-12T15:23:21 --enforcementcount 0 &gt;&gt;%USERPROFILE%\Documents\GitHub\eaglep3-reporting\EC\2018-01-12-refined-times.txt</v>
      </c>
      <c r="AI185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{"issue":{"subject":"","project_id":79,"tracker_id":40,"status_id":1,"priority_id":2,"assigned_to_id":338,"start_date":"2018-01-12","description":"","custom_fields":[{"id":1,"name":"Subdivision","value":"NW"},{"id":4,"name":"Milepost","value":"5.8978"},{"id":17,"name":"Train ID","value":"825-12"},{"id":16,"name":"Locomotive ID","value":"4052"},{"id":130,"name":"Impact","value":""},{"id":150,"name":"Time of Event (Mountain Time)","value":"15:23:21"},{"id":151,"name":"Denver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21"/>
        <v>start /low /b %USERPROFILE%\Documents\GitHub\eaglep3\Utilities\DownloadLogsFromS3.py --loco 4052 --day 2018-01-12</v>
      </c>
      <c r="AN185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23"/>
        <v>https://d0f6bd738d7f1b3e5a7ca70fe4ff75f0.us-east-1.aws.found.io/app/kibana#/discover/Steve-Slow-Train-Analysis-(2080s-and-2083s)?_g=(refreshInterval:(display:Off,pause:!f,section:0,value:0),time:(from:'2018-01-12T14:01:53-0700',mode:absolute,to:'2018-01-12T16:23:21-0700'))&amp;_a=(columns:!('Message%20ID',Summary),filters:!(),index:'emp_*',interval:auto,query:(query_string:(analyze_wildcard:!t,query:'%22rtdc.l.rtdc.4052%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830</v>
      </c>
      <c r="B186" s="225">
        <v>4051</v>
      </c>
      <c r="C186" s="227" t="s">
        <v>191</v>
      </c>
      <c r="D186" s="227" t="s">
        <v>1064</v>
      </c>
      <c r="E186" s="226">
        <v>43112.642731481479</v>
      </c>
      <c r="F186" s="226">
        <v>43112.654918981483</v>
      </c>
      <c r="G186" s="225">
        <v>57</v>
      </c>
      <c r="H186" s="227" t="s">
        <v>665</v>
      </c>
      <c r="I186" s="226">
        <v>43112.663402777776</v>
      </c>
      <c r="J186" s="225">
        <v>0</v>
      </c>
      <c r="K186" s="237" t="str">
        <f>IF(ISEVEN(B186),(B186-1)&amp;"/"&amp;B186,B186&amp;"/"&amp;(B186+1))</f>
        <v>4051/4052</v>
      </c>
      <c r="L186" s="245" t="str">
        <f>VLOOKUP(A186,'Trips&amp;Operators'!$C$1:$G$99911,5,FALSE)</f>
        <v>GUNTHIER ERIC</v>
      </c>
      <c r="M186" s="224">
        <f>I186-F186</f>
        <v>8.4837962931487709E-3</v>
      </c>
      <c r="N186" s="225">
        <f>24*60*SUM($M186:$M186)</f>
        <v>12.21666666213423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-12T14:25:32-0700',mode:absolute,to:'2018-01-12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5.8666</v>
      </c>
      <c r="Z186" s="247">
        <f>RIGHT(H186,LEN(H186)-4)/10000</f>
        <v>1.3299999999999999E-2</v>
      </c>
      <c r="AA186" s="247">
        <f>ABS(Z186-Y186)</f>
        <v>5.8532999999999999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826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/stypes="app*4051*20180112*" /stext=" 22:.+((SYSTEM_STATE.+slice.+state.+changed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19"/>
        <v>"%USERPROFILE%\Documents\GitHub\eaglep3\Utilities\RefineRTDCRunTimes.py" --tripid 826-12 --locoid 4051 --swversion DE.1.0.9.0 --startMP 300:58666 --initTime 2018-01-12T15:25:32 --startdatetime 2018-01-12T15:43:05 --delay 57 --endMP 204:133 --enddatetime 2018-01-12T15:55:18 --enforcementcount 0 &gt;&gt;%USERPROFILE%\Documents\GitHub\eaglep3-reporting\EC\2018-01-12-refined-times.txt</v>
      </c>
      <c r="AI186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{"issue":{"subject":"","project_id":79,"tracker_id":40,"status_id":1,"priority_id":2,"assigned_to_id":338,"start_date":"2018-01-12","description":"","custom_fields":[{"id":1,"name":"Subdivision","value":"NW"},{"id":4,"name":"Milepost","value":"0.0133"},{"id":17,"name":"Train ID","value":"826-12"},{"id":16,"name":"Locomotive ID","value":"4051"},{"id":130,"name":"Impact","value":""},{"id":150,"name":"Time of Event (Mountain Time)","value":"15:55:18"},{"id":151,"name":"Denver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21"/>
        <v>start /low /b %USERPROFILE%\Documents\GitHub\eaglep3\Utilities\DownloadLogsFromS3.py --loco 4051 --day 2018-01-12</v>
      </c>
      <c r="AN186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23"/>
        <v>https://d0f6bd738d7f1b3e5a7ca70fe4ff75f0.us-east-1.aws.found.io/app/kibana#/discover/Steve-Slow-Train-Analysis-(2080s-and-2083s)?_g=(refreshInterval:(display:Off,pause:!f,section:0,value:0),time:(from:'2018-01-12T14:25:32-0700',mode:absolute,to:'2018-01-12T16:55:18-0700'))&amp;_a=(columns:!('Message%20ID',Summary),filters:!(),index:'emp_*',interval:auto,query:(query_string:(analyze_wildcard:!t,query:'%22rtdc.l.rtdc.4051%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832</v>
      </c>
      <c r="B187" s="225">
        <v>4016</v>
      </c>
      <c r="C187" s="227" t="s">
        <v>191</v>
      </c>
      <c r="D187" s="227" t="s">
        <v>654</v>
      </c>
      <c r="E187" s="226">
        <v>43112.644652777781</v>
      </c>
      <c r="F187" s="226">
        <v>43112.652349537035</v>
      </c>
      <c r="G187" s="225">
        <v>89</v>
      </c>
      <c r="H187" s="227" t="s">
        <v>1065</v>
      </c>
      <c r="I187" s="226">
        <v>43112.662256944444</v>
      </c>
      <c r="J187" s="225">
        <v>0</v>
      </c>
      <c r="K187" s="237" t="str">
        <f>IF(ISEVEN(B187),(B187-1)&amp;"/"&amp;B187,B187&amp;"/"&amp;(B187+1))</f>
        <v>4015/4016</v>
      </c>
      <c r="L187" s="245" t="str">
        <f>VLOOKUP(A187,'Trips&amp;Operators'!$C$1:$G$99911,5,FALSE)</f>
        <v>SMITH MICHAEL</v>
      </c>
      <c r="M187" s="224">
        <f>I187-F187</f>
        <v>9.9074074096279219E-3</v>
      </c>
      <c r="N187" s="225">
        <f>24*60*SUM($M187:$M187)</f>
        <v>14.266666669864208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-12T14:28:18-0700',mode:absolute,to:'2018-01-12T16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4.82E-2</v>
      </c>
      <c r="Z187" s="247">
        <f>RIGHT(H187,LEN(H187)-4)/10000</f>
        <v>5.9009999999999998</v>
      </c>
      <c r="AA187" s="247">
        <f>ABS(Z187-Y187)</f>
        <v>5.8528000000000002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827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/stypes="app*4016*20180112*" /stext=" 22:.+((SYSTEM_STATE.+slice.+state.+changed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19"/>
        <v>"%USERPROFILE%\Documents\GitHub\eaglep3\Utilities\RefineRTDCRunTimes.py" --tripid 827-12 --locoid 4016 --swversion DE.1.0.9.0 --startMP 204:482 --initTime 2018-01-12T15:28:18 --startdatetime 2018-01-12T15:39:23 --delay 89 --endMP 300:59010 --enddatetime 2018-01-12T15:53:39 --enforcementcount 0 &gt;&gt;%USERPROFILE%\Documents\GitHub\eaglep3-reporting\EC\2018-01-12-refined-times.txt</v>
      </c>
      <c r="AI187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{"issue":{"subject":"","project_id":79,"tracker_id":40,"status_id":1,"priority_id":2,"assigned_to_id":338,"start_date":"2018-01-12","description":"","custom_fields":[{"id":1,"name":"Subdivision","value":"NW"},{"id":4,"name":"Milepost","value":"5.901"},{"id":17,"name":"Train ID","value":"827-12"},{"id":16,"name":"Locomotive ID","value":"4016"},{"id":130,"name":"Impact","value":""},{"id":150,"name":"Time of Event (Mountain Time)","value":"15:53:39"},{"id":151,"name":"Denver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21"/>
        <v>start /low /b %USERPROFILE%\Documents\GitHub\eaglep3\Utilities\DownloadLogsFromS3.py --loco 4016 --day 2018-01-12</v>
      </c>
      <c r="AN187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23"/>
        <v>https://d0f6bd738d7f1b3e5a7ca70fe4ff75f0.us-east-1.aws.found.io/app/kibana#/discover/Steve-Slow-Train-Analysis-(2080s-and-2083s)?_g=(refreshInterval:(display:Off,pause:!f,section:0,value:0),time:(from:'2018-01-12T14:28:18-0700',mode:absolute,to:'2018-01-12T16:53:39-0700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836</v>
      </c>
      <c r="B188" s="225">
        <v>4015</v>
      </c>
      <c r="C188" s="227" t="s">
        <v>191</v>
      </c>
      <c r="D188" s="227" t="s">
        <v>1066</v>
      </c>
      <c r="E188" s="226">
        <v>43112.663668981484</v>
      </c>
      <c r="F188" s="226">
        <v>43112.674861111111</v>
      </c>
      <c r="G188" s="225">
        <v>68</v>
      </c>
      <c r="H188" s="227" t="s">
        <v>1067</v>
      </c>
      <c r="I188" s="226">
        <v>43112.684351851851</v>
      </c>
      <c r="J188" s="225">
        <v>0</v>
      </c>
      <c r="K188" s="237" t="str">
        <f>IF(ISEVEN(B188),(B188-1)&amp;"/"&amp;B188,B188&amp;"/"&amp;(B188+1))</f>
        <v>4015/4016</v>
      </c>
      <c r="L188" s="245" t="str">
        <f>VLOOKUP(A188,'Trips&amp;Operators'!$C$1:$G$99911,5,FALSE)</f>
        <v>SMITH MICHAEL</v>
      </c>
      <c r="M188" s="224">
        <f>I188-F188</f>
        <v>9.4907407401478849E-3</v>
      </c>
      <c r="N188" s="225">
        <f>24*60*SUM($M188:$M188)</f>
        <v>13.666666665812954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-12T14:55:41-0700',mode:absolute,to:'2018-01-12T17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5.8689999999999998</v>
      </c>
      <c r="Z188" s="247">
        <f>RIGHT(H188,LEN(H188)-4)/10000</f>
        <v>1.9300000000000001E-2</v>
      </c>
      <c r="AA188" s="247">
        <f>ABS(Z188-Y188)</f>
        <v>5.8496999999999995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828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/stypes="app*4015*20180112*" /stext=" 23:.+((SYSTEM_STATE.+slice.+state.+changed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19"/>
        <v>"%USERPROFILE%\Documents\GitHub\eaglep3\Utilities\RefineRTDCRunTimes.py" --tripid 828-12 --locoid 4015 --swversion DE.1.0.9.0 --startMP 300:58690 --initTime 2018-01-12T15:55:41 --startdatetime 2018-01-12T16:11:48 --delay 68 --endMP 204:193 --enddatetime 2018-01-12T16:25:28 --enforcementcount 0 &gt;&gt;%USERPROFILE%\Documents\GitHub\eaglep3-reporting\EC\2018-01-12-refined-times.txt</v>
      </c>
      <c r="AI188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{"issue":{"subject":"","project_id":79,"tracker_id":40,"status_id":1,"priority_id":2,"assigned_to_id":338,"start_date":"2018-01-12","description":"","custom_fields":[{"id":1,"name":"Subdivision","value":"NW"},{"id":4,"name":"Milepost","value":"0.0193"},{"id":17,"name":"Train ID","value":"828-12"},{"id":16,"name":"Locomotive ID","value":"4015"},{"id":130,"name":"Impact","value":""},{"id":150,"name":"Time of Event (Mountain Time)","value":"16:25:28"},{"id":151,"name":"Denver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21"/>
        <v>start /low /b %USERPROFILE%\Documents\GitHub\eaglep3\Utilities\DownloadLogsFromS3.py --loco 4015 --day 2018-01-12</v>
      </c>
      <c r="AN188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23"/>
        <v>https://d0f6bd738d7f1b3e5a7ca70fe4ff75f0.us-east-1.aws.found.io/app/kibana#/discover/Steve-Slow-Train-Analysis-(2080s-and-2083s)?_g=(refreshInterval:(display:Off,pause:!f,section:0,value:0),time:(from:'2018-01-12T14:55:41-0700',mode:absolute,to:'2018-01-12T17:25:28-0700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837</v>
      </c>
      <c r="B189" s="225">
        <v>4052</v>
      </c>
      <c r="C189" s="227" t="s">
        <v>191</v>
      </c>
      <c r="D189" s="227" t="s">
        <v>664</v>
      </c>
      <c r="E189" s="226">
        <v>43112.665011574078</v>
      </c>
      <c r="F189" s="226">
        <v>43112.673067129632</v>
      </c>
      <c r="G189" s="225">
        <v>409</v>
      </c>
      <c r="H189" s="227" t="s">
        <v>1068</v>
      </c>
      <c r="I189" s="226">
        <v>43112.684444444443</v>
      </c>
      <c r="J189" s="225">
        <v>0</v>
      </c>
      <c r="K189" s="237" t="str">
        <f>IF(ISEVEN(B189),(B189-1)&amp;"/"&amp;B189,B189&amp;"/"&amp;(B189+1))</f>
        <v>4051/4052</v>
      </c>
      <c r="L189" s="245" t="str">
        <f>VLOOKUP(A189,'Trips&amp;Operators'!$C$1:$G$99911,5,FALSE)</f>
        <v>GUNTHIER ERIC</v>
      </c>
      <c r="M189" s="224">
        <f>I189-F189</f>
        <v>1.137731481139781E-2</v>
      </c>
      <c r="N189" s="225">
        <f>24*60*SUM($M189:$M189)</f>
        <v>16.383333328412846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-12T14:57:37-0700',mode:absolute,to:'2018-01-12T17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4.3700000000000003E-2</v>
      </c>
      <c r="Z189" s="247">
        <f>RIGHT(H189,LEN(H189)-4)/10000</f>
        <v>5.8948</v>
      </c>
      <c r="AA189" s="247">
        <f>ABS(Z189-Y189)</f>
        <v>5.8510999999999997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829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/stypes="app*4052*20180112*" /stext=" 23:.+((SYSTEM_STATE.+slice.+state.+changed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19"/>
        <v>"%USERPROFILE%\Documents\GitHub\eaglep3\Utilities\RefineRTDCRunTimes.py" --tripid 829-12 --locoid 4052 --swversion DE.1.0.9.0 --startMP 204:437 --initTime 2018-01-12T15:57:37 --startdatetime 2018-01-12T16:09:13 --delay 409 --endMP 300:58948 --enddatetime 2018-01-12T16:25:36 --enforcementcount 0 &gt;&gt;%USERPROFILE%\Documents\GitHub\eaglep3-reporting\EC\2018-01-12-refined-times.txt</v>
      </c>
      <c r="AI189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{"issue":{"subject":"","project_id":79,"tracker_id":40,"status_id":1,"priority_id":2,"assigned_to_id":338,"start_date":"2018-01-12","description":"","custom_fields":[{"id":1,"name":"Subdivision","value":"NW"},{"id":4,"name":"Milepost","value":"5.8948"},{"id":17,"name":"Train ID","value":"829-12"},{"id":16,"name":"Locomotive ID","value":"4052"},{"id":130,"name":"Impact","value":""},{"id":150,"name":"Time of Event (Mountain Time)","value":"16:25:36"},{"id":151,"name":"Denver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21"/>
        <v>start /low /b %USERPROFILE%\Documents\GitHub\eaglep3\Utilities\DownloadLogsFromS3.py --loco 4052 --day 2018-01-12</v>
      </c>
      <c r="AN189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23"/>
        <v>https://d0f6bd738d7f1b3e5a7ca70fe4ff75f0.us-east-1.aws.found.io/app/kibana#/discover/Steve-Slow-Train-Analysis-(2080s-and-2083s)?_g=(refreshInterval:(display:Off,pause:!f,section:0,value:0),time:(from:'2018-01-12T14:57:37-0700',mode:absolute,to:'2018-01-12T17:25:36-0700'))&amp;_a=(columns:!('Message%20ID',Summary),filters:!(),index:'emp_*',interval:auto,query:(query_string:(analyze_wildcard:!t,query:'%22rtdc.l.rtdc.4052%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843</v>
      </c>
      <c r="B190" s="225">
        <v>4051</v>
      </c>
      <c r="C190" s="227" t="s">
        <v>191</v>
      </c>
      <c r="D190" s="227" t="s">
        <v>1069</v>
      </c>
      <c r="E190" s="226">
        <v>43112.686099537037</v>
      </c>
      <c r="F190" s="226">
        <v>43112.696655092594</v>
      </c>
      <c r="G190" s="225">
        <v>54</v>
      </c>
      <c r="H190" s="227" t="s">
        <v>1070</v>
      </c>
      <c r="I190" s="226">
        <v>43112.705023148148</v>
      </c>
      <c r="J190" s="225">
        <v>0</v>
      </c>
      <c r="K190" s="237" t="str">
        <f>IF(ISEVEN(B190),(B190-1)&amp;"/"&amp;B190,B190&amp;"/"&amp;(B190+1))</f>
        <v>4051/4052</v>
      </c>
      <c r="L190" s="245" t="str">
        <f>VLOOKUP(A190,'Trips&amp;Operators'!$C$1:$G$99911,5,FALSE)</f>
        <v>GUNTHIER ERIC</v>
      </c>
      <c r="M190" s="224">
        <f>I190-F190</f>
        <v>8.3680555544560775E-3</v>
      </c>
      <c r="N190" s="225">
        <f>24*60*SUM($M190:$M190)</f>
        <v>12.049999998416752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-12T15:27:59-0700',mode:absolute,to:'2018-01-12T17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5.8630000000000004</v>
      </c>
      <c r="Z190" s="247">
        <f>RIGHT(H190,LEN(H190)-4)/10000</f>
        <v>1.37E-2</v>
      </c>
      <c r="AA190" s="247">
        <f>ABS(Z190-Y190)</f>
        <v>5.8493000000000004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830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/stypes="app*4051*20180112*" /stext=" 23:.+((SYSTEM_STATE.+slice.+state.+changed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19"/>
        <v>"%USERPROFILE%\Documents\GitHub\eaglep3\Utilities\RefineRTDCRunTimes.py" --tripid 830-12 --locoid 4051 --swversion DE.1.0.9.0 --startMP 300:58630 --initTime 2018-01-12T16:27:59 --startdatetime 2018-01-12T16:43:11 --delay 54 --endMP 204:137 --enddatetime 2018-01-12T16:55:14 --enforcementcount 0 &gt;&gt;%USERPROFILE%\Documents\GitHub\eaglep3-reporting\EC\2018-01-12-refined-times.txt</v>
      </c>
      <c r="AI190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{"issue":{"subject":"","project_id":79,"tracker_id":40,"status_id":1,"priority_id":2,"assigned_to_id":338,"start_date":"2018-01-12","description":"","custom_fields":[{"id":1,"name":"Subdivision","value":"NW"},{"id":4,"name":"Milepost","value":"0.0137"},{"id":17,"name":"Train ID","value":"830-12"},{"id":16,"name":"Locomotive ID","value":"4051"},{"id":130,"name":"Impact","value":""},{"id":150,"name":"Time of Event (Mountain Time)","value":"16:55:14"},{"id":151,"name":"Denver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21"/>
        <v>start /low /b %USERPROFILE%\Documents\GitHub\eaglep3\Utilities\DownloadLogsFromS3.py --loco 4051 --day 2018-01-12</v>
      </c>
      <c r="AN190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23"/>
        <v>https://d0f6bd738d7f1b3e5a7ca70fe4ff75f0.us-east-1.aws.found.io/app/kibana#/discover/Steve-Slow-Train-Analysis-(2080s-and-2083s)?_g=(refreshInterval:(display:Off,pause:!f,section:0,value:0),time:(from:'2018-01-12T15:27:59-0700',mode:absolute,to:'2018-01-12T17:55:14-0700'))&amp;_a=(columns:!('Message%20ID',Summary),filters:!(),index:'emp_*',interval:auto,query:(query_string:(analyze_wildcard:!t,query:'%22rtdc.l.rtdc.4051%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844</v>
      </c>
      <c r="B191" s="225">
        <v>4016</v>
      </c>
      <c r="C191" s="227" t="s">
        <v>191</v>
      </c>
      <c r="D191" s="227" t="s">
        <v>469</v>
      </c>
      <c r="E191" s="226">
        <v>43112.686631944445</v>
      </c>
      <c r="F191" s="226">
        <v>43112.693958333337</v>
      </c>
      <c r="G191" s="225">
        <v>60</v>
      </c>
      <c r="H191" s="227" t="s">
        <v>1071</v>
      </c>
      <c r="I191" s="226">
        <v>43112.704432870371</v>
      </c>
      <c r="J191" s="225">
        <v>0</v>
      </c>
      <c r="K191" s="237" t="str">
        <f>IF(ISEVEN(B191),(B191-1)&amp;"/"&amp;B191,B191&amp;"/"&amp;(B191+1))</f>
        <v>4015/4016</v>
      </c>
      <c r="L191" s="245" t="str">
        <f>VLOOKUP(A191,'Trips&amp;Operators'!$C$1:$G$99911,5,FALSE)</f>
        <v>SMITH MICHAEL</v>
      </c>
      <c r="M191" s="224">
        <f>I191-F191</f>
        <v>1.0474537033587694E-2</v>
      </c>
      <c r="N191" s="225">
        <f>24*60*SUM($M191:$M191)</f>
        <v>15.08333332836628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-12T15:28:45-0700',mode:absolute,to:'2018-01-12T17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5.0200000000000002E-2</v>
      </c>
      <c r="Z191" s="247">
        <f>RIGHT(H191,LEN(H191)-4)/10000</f>
        <v>5.8945999999999996</v>
      </c>
      <c r="AA191" s="247">
        <f>ABS(Z191-Y191)</f>
        <v>5.8443999999999994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831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/stypes="app*4016*20180112*" /stext=" 23:.+((SYSTEM_STATE.+slice.+state.+changed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19"/>
        <v>"%USERPROFILE%\Documents\GitHub\eaglep3\Utilities\RefineRTDCRunTimes.py" --tripid 831-12 --locoid 4016 --swversion DE.1.0.9.0 --startMP 204:502 --initTime 2018-01-12T16:28:45 --startdatetime 2018-01-12T16:39:18 --delay 60 --endMP 300:58946 --enddatetime 2018-01-12T16:54:23 --enforcementcount 0 &gt;&gt;%USERPROFILE%\Documents\GitHub\eaglep3-reporting\EC\2018-01-12-refined-times.txt</v>
      </c>
      <c r="AI191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{"issue":{"subject":"","project_id":79,"tracker_id":40,"status_id":1,"priority_id":2,"assigned_to_id":338,"start_date":"2018-01-12","description":"","custom_fields":[{"id":1,"name":"Subdivision","value":"NW"},{"id":4,"name":"Milepost","value":"5.8946"},{"id":17,"name":"Train ID","value":"831-12"},{"id":16,"name":"Locomotive ID","value":"4016"},{"id":130,"name":"Impact","value":""},{"id":150,"name":"Time of Event (Mountain Time)","value":"16:54:23"},{"id":151,"name":"Denver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21"/>
        <v>start /low /b %USERPROFILE%\Documents\GitHub\eaglep3\Utilities\DownloadLogsFromS3.py --loco 4016 --day 2018-01-12</v>
      </c>
      <c r="AN191" s="241" t="str">
        <f t="shared" si="22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23"/>
        <v>https://d0f6bd738d7f1b3e5a7ca70fe4ff75f0.us-east-1.aws.found.io/app/kibana#/discover/Steve-Slow-Train-Analysis-(2080s-and-2083s)?_g=(refreshInterval:(display:Off,pause:!f,section:0,value:0),time:(from:'2018-01-12T15:28:45-0700',mode:absolute,to:'2018-01-12T17:54:23-0700'))&amp;_a=(columns:!('Message%20ID',Summary),filters:!(),index:'emp_*',interval:auto,query:(query_string:(analyze_wildcard:!t,query:'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685</v>
      </c>
      <c r="B192" s="225">
        <v>4015</v>
      </c>
      <c r="C192" s="227" t="s">
        <v>191</v>
      </c>
      <c r="D192" s="227" t="s">
        <v>1072</v>
      </c>
      <c r="E192" s="226">
        <v>43112.705555555556</v>
      </c>
      <c r="F192" s="226">
        <v>43112.716597222221</v>
      </c>
      <c r="G192" s="225">
        <v>55</v>
      </c>
      <c r="H192" s="227" t="s">
        <v>1073</v>
      </c>
      <c r="I192" s="226">
        <v>43112.725451388891</v>
      </c>
      <c r="J192" s="225">
        <v>0</v>
      </c>
      <c r="K192" s="237" t="str">
        <f>IF(ISEVEN(B192),(B192-1)&amp;"/"&amp;B192,B192&amp;"/"&amp;(B192+1))</f>
        <v>4015/4016</v>
      </c>
      <c r="L192" s="245" t="str">
        <f>VLOOKUP(A192,'Trips&amp;Operators'!$C$1:$G$99911,5,FALSE)</f>
        <v>SMITH MICHAEL</v>
      </c>
      <c r="M192" s="224">
        <f>I192-F192</f>
        <v>8.8541666700621136E-3</v>
      </c>
      <c r="N192" s="225">
        <f>24*60*SUM($M192:$M192)</f>
        <v>12.750000004889444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-12T15:56:00-0700',mode:absolute,to:'2018-01-12T18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47" t="str">
        <f>IF(AA192&lt;VLOOKUP(AG192,Variables!$AC$3:$AD$8,2,FALSE),"Y","N")</f>
        <v>Y</v>
      </c>
      <c r="X192" s="247">
        <f>VALUE(LEFT(AD192,4))-VALUE(LEFT(AD191,4))</f>
        <v>1</v>
      </c>
      <c r="Y192" s="247">
        <f>RIGHT(D192,LEN(D192)-4)/10000</f>
        <v>5.8632</v>
      </c>
      <c r="Z192" s="247">
        <f>RIGHT(H192,LEN(H192)-4)/10000</f>
        <v>0.47420000000000001</v>
      </c>
      <c r="AA192" s="247">
        <f>ABS(Z192-Y192)</f>
        <v>5.3890000000000002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832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/stypes="app*4015*20180113*" /stext=" 00:.+((SYSTEM_STATE.+slice.+state.+changed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19"/>
        <v>"%USERPROFILE%\Documents\GitHub\eaglep3\Utilities\RefineRTDCRunTimes.py" --tripid 832-12 --locoid 4015 --swversion DE.1.0.9.0 --startMP 300:58632 --initTime 2018-01-12T16:56:00 --startdatetime 2018-01-12T17:11:54 --delay 55 --endMP 204:4742 --enddatetime 2018-01-12T17:24:39 --enforcementcount 0 &gt;&gt;%USERPROFILE%\Documents\GitHub\eaglep3-reporting\EC\2018-01-12-refined-times.txt</v>
      </c>
      <c r="AI192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{"issue":{"subject":"","project_id":79,"tracker_id":40,"status_id":1,"priority_id":2,"assigned_to_id":338,"start_date":"2018-01-12","description":"","custom_fields":[{"id":1,"name":"Subdivision","value":"NW"},{"id":4,"name":"Milepost","value":"0.4742"},{"id":17,"name":"Train ID","value":"832-12"},{"id":16,"name":"Locomotive ID","value":"4015"},{"id":130,"name":"Impact","value":""},{"id":150,"name":"Time of Event (Mountain Time)","value":"17:24:39"},{"id":151,"name":"Denver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21"/>
        <v>start /low /b %USERPROFILE%\Documents\GitHub\eaglep3\Utilities\DownloadLogsFromS3.py --loco 4015 --day 2018-01-12</v>
      </c>
      <c r="AN192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23"/>
        <v>https://d0f6bd738d7f1b3e5a7ca70fe4ff75f0.us-east-1.aws.found.io/app/kibana#/discover/Steve-Slow-Train-Analysis-(2080s-and-2083s)?_g=(refreshInterval:(display:Off,pause:!f,section:0,value:0),time:(from:'2018-01-12T15:56:00-0700',mode:absolute,to:'2018-01-12T18:24:39-0700'))&amp;_a=(columns:!('Message%20ID',Summary),filters:!(),index:'emp_*',interval:auto,query:(query_string:(analyze_wildcard:!t,query:'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684</v>
      </c>
      <c r="B193" s="225">
        <v>4052</v>
      </c>
      <c r="C193" s="227" t="s">
        <v>191</v>
      </c>
      <c r="D193" s="227" t="s">
        <v>1050</v>
      </c>
      <c r="E193" s="226">
        <v>43112.707592592589</v>
      </c>
      <c r="F193" s="226">
        <v>43112.714768518519</v>
      </c>
      <c r="G193" s="225">
        <v>78</v>
      </c>
      <c r="H193" s="227" t="s">
        <v>1071</v>
      </c>
      <c r="I193" s="226">
        <v>43112.725763888891</v>
      </c>
      <c r="J193" s="225">
        <v>0</v>
      </c>
      <c r="K193" s="237" t="str">
        <f>IF(ISEVEN(B193),(B193-1)&amp;"/"&amp;B193,B193&amp;"/"&amp;(B193+1))</f>
        <v>4051/4052</v>
      </c>
      <c r="L193" s="245" t="str">
        <f>VLOOKUP(A193,'Trips&amp;Operators'!$C$1:$G$99911,5,FALSE)</f>
        <v>GUNTHIER ERIC</v>
      </c>
      <c r="M193" s="224">
        <f>I193-F193</f>
        <v>1.099537037225673E-2</v>
      </c>
      <c r="N193" s="225">
        <f>24*60*SUM($M193:$M193)</f>
        <v>15.833333336049691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-12T15:58:56-0700',mode:absolute,to:'2018-01-12T18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4.41E-2</v>
      </c>
      <c r="Z193" s="247">
        <f>RIGHT(H193,LEN(H193)-4)/10000</f>
        <v>5.8945999999999996</v>
      </c>
      <c r="AA193" s="247">
        <f>ABS(Z193-Y193)</f>
        <v>5.8504999999999994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833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/stypes="app*4052*20180113*" /stext=" 00:.+((SYSTEM_STATE.+slice.+state.+changed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19"/>
        <v>"%USERPROFILE%\Documents\GitHub\eaglep3\Utilities\RefineRTDCRunTimes.py" --tripid 833-12 --locoid 4052 --swversion DE.1.0.9.0 --startMP 204:441 --initTime 2018-01-12T16:58:56 --startdatetime 2018-01-12T17:09:16 --delay 78 --endMP 300:58946 --enddatetime 2018-01-12T17:25:06 --enforcementcount 0 &gt;&gt;%USERPROFILE%\Documents\GitHub\eaglep3-reporting\EC\2018-01-12-refined-times.txt</v>
      </c>
      <c r="AI193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{"issue":{"subject":"","project_id":79,"tracker_id":40,"status_id":1,"priority_id":2,"assigned_to_id":338,"start_date":"2018-01-12","description":"","custom_fields":[{"id":1,"name":"Subdivision","value":"NW"},{"id":4,"name":"Milepost","value":"5.8946"},{"id":17,"name":"Train ID","value":"833-12"},{"id":16,"name":"Locomotive ID","value":"4052"},{"id":130,"name":"Impact","value":""},{"id":150,"name":"Time of Event (Mountain Time)","value":"17:25:06"},{"id":151,"name":"Denver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21"/>
        <v>start /low /b %USERPROFILE%\Documents\GitHub\eaglep3\Utilities\DownloadLogsFromS3.py --loco 4052 --day 2018-01-12</v>
      </c>
      <c r="AN193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23"/>
        <v>https://d0f6bd738d7f1b3e5a7ca70fe4ff75f0.us-east-1.aws.found.io/app/kibana#/discover/Steve-Slow-Train-Analysis-(2080s-and-2083s)?_g=(refreshInterval:(display:Off,pause:!f,section:0,value:0),time:(from:'2018-01-12T15:58:56-0700',mode:absolute,to:'2018-01-12T18:25:06-0700'))&amp;_a=(columns:!('Message%20ID',Summary),filters:!(),index:'emp_*',interval:auto,query:(query_string:(analyze_wildcard:!t,query:'%22rtdc.l.rtdc.4052%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855</v>
      </c>
      <c r="B194" s="225">
        <v>4051</v>
      </c>
      <c r="C194" s="227" t="s">
        <v>191</v>
      </c>
      <c r="D194" s="227" t="s">
        <v>1047</v>
      </c>
      <c r="E194" s="226">
        <v>43112.727280092593</v>
      </c>
      <c r="F194" s="226">
        <v>43112.737881944442</v>
      </c>
      <c r="G194" s="225">
        <v>54</v>
      </c>
      <c r="H194" s="227" t="s">
        <v>1074</v>
      </c>
      <c r="I194" s="226">
        <v>43112.747395833336</v>
      </c>
      <c r="J194" s="225">
        <v>0</v>
      </c>
      <c r="K194" s="237" t="str">
        <f>IF(ISEVEN(B194),(B194-1)&amp;"/"&amp;B194,B194&amp;"/"&amp;(B194+1))</f>
        <v>4051/4052</v>
      </c>
      <c r="L194" s="245" t="str">
        <f>VLOOKUP(A194,'Trips&amp;Operators'!$C$1:$G$99911,5,FALSE)</f>
        <v>GUNTHIER ERIC</v>
      </c>
      <c r="M194" s="224">
        <f>I194-F194</f>
        <v>9.5138888937071897E-3</v>
      </c>
      <c r="N194" s="225">
        <f>24*60*SUM($M194:$M194)</f>
        <v>13.700000006938353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-12T16:27:17-0700',mode:absolute,to:'2018-01-12T18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5.8625999999999996</v>
      </c>
      <c r="Z194" s="247">
        <f>RIGHT(H194,LEN(H194)-4)/10000</f>
        <v>1.4E-2</v>
      </c>
      <c r="AA194" s="247">
        <f>ABS(Z194-Y194)</f>
        <v>5.8485999999999994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834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/stypes="app*4051*20180113*" /stext=" 00:.+((SYSTEM_STATE.+slice.+state.+changed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19"/>
        <v>"%USERPROFILE%\Documents\GitHub\eaglep3\Utilities\RefineRTDCRunTimes.py" --tripid 834-12 --locoid 4051 --swversion DE.1.0.9.0 --startMP 300:58626 --initTime 2018-01-12T17:27:17 --startdatetime 2018-01-12T17:42:33 --delay 54 --endMP 204:140 --enddatetime 2018-01-12T17:56:15 --enforcementcount 0 &gt;&gt;%USERPROFILE%\Documents\GitHub\eaglep3-reporting\EC\2018-01-12-refined-times.txt</v>
      </c>
      <c r="AI194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{"issue":{"subject":"","project_id":79,"tracker_id":40,"status_id":1,"priority_id":2,"assigned_to_id":338,"start_date":"2018-01-12","description":"","custom_fields":[{"id":1,"name":"Subdivision","value":"NW"},{"id":4,"name":"Milepost","value":"0.014"},{"id":17,"name":"Train ID","value":"834-12"},{"id":16,"name":"Locomotive ID","value":"4051"},{"id":130,"name":"Impact","value":""},{"id":150,"name":"Time of Event (Mountain Time)","value":"17:56:15"},{"id":151,"name":"Denver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21"/>
        <v>start /low /b %USERPROFILE%\Documents\GitHub\eaglep3\Utilities\DownloadLogsFromS3.py --loco 4051 --day 2018-01-12</v>
      </c>
      <c r="AN194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23"/>
        <v>https://d0f6bd738d7f1b3e5a7ca70fe4ff75f0.us-east-1.aws.found.io/app/kibana#/discover/Steve-Slow-Train-Analysis-(2080s-and-2083s)?_g=(refreshInterval:(display:Off,pause:!f,section:0,value:0),time:(from:'2018-01-12T16:27:17-0700',mode:absolute,to:'2018-01-12T18:56:15-0700'))&amp;_a=(columns:!('Message%20ID',Summary),filters:!(),index:'emp_*',interval:auto,query:(query_string:(analyze_wildcard:!t,query:'%22rtdc.l.rtdc.4051%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856</v>
      </c>
      <c r="B195" s="225">
        <v>4016</v>
      </c>
      <c r="C195" s="227" t="s">
        <v>191</v>
      </c>
      <c r="D195" s="227" t="s">
        <v>544</v>
      </c>
      <c r="E195" s="226">
        <v>43112.732118055559</v>
      </c>
      <c r="F195" s="226">
        <v>43112.735613425924</v>
      </c>
      <c r="G195" s="225">
        <v>70</v>
      </c>
      <c r="H195" s="227" t="s">
        <v>657</v>
      </c>
      <c r="I195" s="226">
        <v>43112.746168981481</v>
      </c>
      <c r="J195" s="225">
        <v>0</v>
      </c>
      <c r="K195" s="237" t="str">
        <f>IF(ISEVEN(B195),(B195-1)&amp;"/"&amp;B195,B195&amp;"/"&amp;(B195+1))</f>
        <v>4015/4016</v>
      </c>
      <c r="L195" s="245" t="str">
        <f>VLOOKUP(A195,'Trips&amp;Operators'!$C$1:$G$99911,5,FALSE)</f>
        <v>SMITH MICHAEL</v>
      </c>
      <c r="M195" s="224">
        <f>I195-F195</f>
        <v>1.0555555556493346E-2</v>
      </c>
      <c r="N195" s="225">
        <f>24*60*SUM($M195:$M195)</f>
        <v>15.200000001350418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-12T16:34:15-0700',mode:absolute,to:'2018-01-12T18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4.8599999999999997E-2</v>
      </c>
      <c r="Z195" s="247">
        <f>RIGHT(H195,LEN(H195)-4)/10000</f>
        <v>5.8983999999999996</v>
      </c>
      <c r="AA195" s="247">
        <f>ABS(Z195-Y195)</f>
        <v>5.8497999999999992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835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/stypes="app*4016*20180113*" /stext=" 00:.+((SYSTEM_STATE.+slice.+state.+changed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19"/>
        <v>"%USERPROFILE%\Documents\GitHub\eaglep3\Utilities\RefineRTDCRunTimes.py" --tripid 835-12 --locoid 4016 --swversion DE.1.0.9.0 --startMP 204:486 --initTime 2018-01-12T17:34:15 --startdatetime 2018-01-12T17:39:17 --delay 70 --endMP 300:58984 --enddatetime 2018-01-12T17:54:29 --enforcementcount 0 &gt;&gt;%USERPROFILE%\Documents\GitHub\eaglep3-reporting\EC\2018-01-12-refined-times.txt</v>
      </c>
      <c r="AI195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{"issue":{"subject":"","project_id":79,"tracker_id":40,"status_id":1,"priority_id":2,"assigned_to_id":338,"start_date":"2018-01-12","description":"","custom_fields":[{"id":1,"name":"Subdivision","value":"NW"},{"id":4,"name":"Milepost","value":"5.8984"},{"id":17,"name":"Train ID","value":"835-12"},{"id":16,"name":"Locomotive ID","value":"4016"},{"id":130,"name":"Impact","value":""},{"id":150,"name":"Time of Event (Mountain Time)","value":"17:54:29"},{"id":151,"name":"Denver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21"/>
        <v>start /low /b %USERPROFILE%\Documents\GitHub\eaglep3\Utilities\DownloadLogsFromS3.py --loco 4016 --day 2018-01-12</v>
      </c>
      <c r="AN195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23"/>
        <v>https://d0f6bd738d7f1b3e5a7ca70fe4ff75f0.us-east-1.aws.found.io/app/kibana#/discover/Steve-Slow-Train-Analysis-(2080s-and-2083s)?_g=(refreshInterval:(display:Off,pause:!f,section:0,value:0),time:(from:'2018-01-12T16:34:15-0700',mode:absolute,to:'2018-01-12T18:54:29-0700'))&amp;_a=(columns:!('Message%20ID',Summary),filters:!(),index:'emp_*',interval:auto,query:(query_string:(analyze_wildcard:!t,query:'%22rtdc.l.rtdc.4016%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861</v>
      </c>
      <c r="B196" s="225">
        <v>4015</v>
      </c>
      <c r="C196" s="227" t="s">
        <v>191</v>
      </c>
      <c r="D196" s="227" t="s">
        <v>662</v>
      </c>
      <c r="E196" s="226">
        <v>43112.74722222222</v>
      </c>
      <c r="F196" s="226">
        <v>43112.758472222224</v>
      </c>
      <c r="G196" s="225">
        <v>72</v>
      </c>
      <c r="H196" s="227" t="s">
        <v>1067</v>
      </c>
      <c r="I196" s="226">
        <v>43112.767210648148</v>
      </c>
      <c r="J196" s="225">
        <v>0</v>
      </c>
      <c r="K196" s="237" t="str">
        <f>IF(ISEVEN(B196),(B196-1)&amp;"/"&amp;B196,B196&amp;"/"&amp;(B196+1))</f>
        <v>4015/4016</v>
      </c>
      <c r="L196" s="245" t="str">
        <f>VLOOKUP(A196,'Trips&amp;Operators'!$C$1:$G$99911,5,FALSE)</f>
        <v>SMITH MICHAEL</v>
      </c>
      <c r="M196" s="224">
        <f>I196-F196</f>
        <v>8.7384259240934625E-3</v>
      </c>
      <c r="N196" s="225">
        <f>24*60*SUM($M196:$M196)</f>
        <v>12.583333330694586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-12T16:56:00-0700',mode:absolute,to:'2018-01-12T19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5.8677000000000001</v>
      </c>
      <c r="Z196" s="247">
        <f>RIGHT(H196,LEN(H196)-4)/10000</f>
        <v>1.9300000000000001E-2</v>
      </c>
      <c r="AA196" s="247">
        <f>ABS(Z196-Y196)</f>
        <v>5.8483999999999998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836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/stypes="app*4015*20180113*"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19"/>
        <v>"%USERPROFILE%\Documents\GitHub\eaglep3\Utilities\RefineRTDCRunTimes.py" --tripid 836-12 --locoid 4015 --swversion DE.1.0.9.0 --startMP 300:58677 --initTime 2018-01-12T17:56:00 --startdatetime 2018-01-12T18:12:12 --delay 72 --endMP 204:193 --enddatetime 2018-01-12T18:24:47 --enforcementcount 0 &gt;&gt;%USERPROFILE%\Documents\GitHub\eaglep3-reporting\EC\2018-01-12-refined-times.txt</v>
      </c>
      <c r="AI196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{"issue":{"subject":"","project_id":79,"tracker_id":40,"status_id":1,"priority_id":2,"assigned_to_id":338,"start_date":"2018-01-12","description":"","custom_fields":[{"id":1,"name":"Subdivision","value":"NW"},{"id":4,"name":"Milepost","value":"0.0193"},{"id":17,"name":"Train ID","value":"836-12"},{"id":16,"name":"Locomotive ID","value":"4015"},{"id":130,"name":"Impact","value":""},{"id":150,"name":"Time of Event (Mountain Time)","value":"18:24:47"},{"id":151,"name":"Denver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21"/>
        <v>start /low /b %USERPROFILE%\Documents\GitHub\eaglep3\Utilities\DownloadLogsFromS3.py --loco 4015 --day 2018-01-12</v>
      </c>
      <c r="AN196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23"/>
        <v>https://d0f6bd738d7f1b3e5a7ca70fe4ff75f0.us-east-1.aws.found.io/app/kibana#/discover/Steve-Slow-Train-Analysis-(2080s-and-2083s)?_g=(refreshInterval:(display:Off,pause:!f,section:0,value:0),time:(from:'2018-01-12T16:56:00-0700',mode:absolute,to:'2018-01-12T19:24:47-0700'))&amp;_a=(columns:!('Message%20ID',Summary),filters:!(),index:'emp_*',interval:auto,query:(query_string:(analyze_wildcard:!t,query:'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688</v>
      </c>
      <c r="B197" s="225">
        <v>4052</v>
      </c>
      <c r="C197" s="227" t="s">
        <v>191</v>
      </c>
      <c r="D197" s="227" t="s">
        <v>1050</v>
      </c>
      <c r="E197" s="226">
        <v>43112.751898148148</v>
      </c>
      <c r="F197" s="226">
        <v>43112.756527777776</v>
      </c>
      <c r="G197" s="225">
        <v>60</v>
      </c>
      <c r="H197" s="227" t="s">
        <v>1046</v>
      </c>
      <c r="I197" s="226">
        <v>43112.767384259256</v>
      </c>
      <c r="J197" s="225">
        <v>0</v>
      </c>
      <c r="K197" s="237" t="str">
        <f>IF(ISEVEN(B197),(B197-1)&amp;"/"&amp;B197,B197&amp;"/"&amp;(B197+1))</f>
        <v>4051/4052</v>
      </c>
      <c r="L197" s="245" t="str">
        <f>VLOOKUP(A197,'Trips&amp;Operators'!$C$1:$G$99911,5,FALSE)</f>
        <v>GUNTHIER ERIC</v>
      </c>
      <c r="M197" s="224">
        <f>I197-F197</f>
        <v>1.0856481480004732E-2</v>
      </c>
      <c r="N197" s="225">
        <f>24*60*SUM($M197:$M197)</f>
        <v>15.633333331206813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-12T17:02:44-0700',mode:absolute,to:'2018-01-12T19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4.41E-2</v>
      </c>
      <c r="Z197" s="247">
        <f>RIGHT(H197,LEN(H197)-4)/10000</f>
        <v>5.8944000000000001</v>
      </c>
      <c r="AA197" s="247">
        <f>ABS(Z197-Y197)</f>
        <v>5.8502999999999998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837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/stypes="app*4052*20180113*" /stext=" 01:.+((SYSTEM_STATE.+slice.+state.+changed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19"/>
        <v>"%USERPROFILE%\Documents\GitHub\eaglep3\Utilities\RefineRTDCRunTimes.py" --tripid 837-12 --locoid 4052 --swversion DE.1.0.9.0 --startMP 204:441 --initTime 2018-01-12T18:02:44 --startdatetime 2018-01-12T18:09:24 --delay 60 --endMP 300:58944 --enddatetime 2018-01-12T18:25:02 --enforcementcount 0 &gt;&gt;%USERPROFILE%\Documents\GitHub\eaglep3-reporting\EC\2018-01-12-refined-times.txt</v>
      </c>
      <c r="AI197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{"issue":{"subject":"","project_id":79,"tracker_id":40,"status_id":1,"priority_id":2,"assigned_to_id":338,"start_date":"2018-01-12","description":"","custom_fields":[{"id":1,"name":"Subdivision","value":"NW"},{"id":4,"name":"Milepost","value":"5.8944"},{"id":17,"name":"Train ID","value":"837-12"},{"id":16,"name":"Locomotive ID","value":"4052"},{"id":130,"name":"Impact","value":""},{"id":150,"name":"Time of Event (Mountain Time)","value":"18:25:02"},{"id":151,"name":"Denver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21"/>
        <v>start /low /b %USERPROFILE%\Documents\GitHub\eaglep3\Utilities\DownloadLogsFromS3.py --loco 4052 --day 2018-01-12</v>
      </c>
      <c r="AN197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23"/>
        <v>https://d0f6bd738d7f1b3e5a7ca70fe4ff75f0.us-east-1.aws.found.io/app/kibana#/discover/Steve-Slow-Train-Analysis-(2080s-and-2083s)?_g=(refreshInterval:(display:Off,pause:!f,section:0,value:0),time:(from:'2018-01-12T17:02:44-0700',mode:absolute,to:'2018-01-12T19:25:02-0700'))&amp;_a=(columns:!('Message%20ID',Summary),filters:!(),index:'emp_*',interval:auto,query:(query_string:(analyze_wildcard:!t,query:'%22rtdc.l.rtdc.4052%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865</v>
      </c>
      <c r="B198" s="225">
        <v>4051</v>
      </c>
      <c r="C198" s="227" t="s">
        <v>191</v>
      </c>
      <c r="D198" s="227" t="s">
        <v>1075</v>
      </c>
      <c r="E198" s="226">
        <v>43112.769675925927</v>
      </c>
      <c r="F198" s="226">
        <v>43112.779918981483</v>
      </c>
      <c r="G198" s="225">
        <v>59</v>
      </c>
      <c r="H198" s="227" t="s">
        <v>1076</v>
      </c>
      <c r="I198" s="226">
        <v>43112.7887962963</v>
      </c>
      <c r="J198" s="225">
        <v>0</v>
      </c>
      <c r="K198" s="237" t="str">
        <f>IF(ISEVEN(B198),(B198-1)&amp;"/"&amp;B198,B198&amp;"/"&amp;(B198+1))</f>
        <v>4051/4052</v>
      </c>
      <c r="L198" s="245" t="str">
        <f>VLOOKUP(A198,'Trips&amp;Operators'!$C$1:$G$99911,5,FALSE)</f>
        <v>GUNTHIER ERIC</v>
      </c>
      <c r="M198" s="224">
        <f>I198-F198</f>
        <v>8.8773148163454607E-3</v>
      </c>
      <c r="N198" s="225">
        <f>24*60*SUM($M198:$M198)</f>
        <v>12.783333335537463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-12T17:28:20-0700',mode:absolute,to:'2018-01-12T19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5.8640999999999996</v>
      </c>
      <c r="Z198" s="247">
        <f>RIGHT(H198,LEN(H198)-4)/10000</f>
        <v>1.0999999999999999E-2</v>
      </c>
      <c r="AA198" s="247">
        <f>ABS(Z198-Y198)</f>
        <v>5.8530999999999995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838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/stypes="app*4051*20180113*"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19"/>
        <v>"%USERPROFILE%\Documents\GitHub\eaglep3\Utilities\RefineRTDCRunTimes.py" --tripid 838-12 --locoid 4051 --swversion DE.1.0.9.0 --startMP 300:58641 --initTime 2018-01-12T18:28:20 --startdatetime 2018-01-12T18:43:05 --delay 59 --endMP 204:110 --enddatetime 2018-01-12T18:55:52 --enforcementcount 0 &gt;&gt;%USERPROFILE%\Documents\GitHub\eaglep3-reporting\EC\2018-01-12-refined-times.txt</v>
      </c>
      <c r="AI198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{"issue":{"subject":"","project_id":79,"tracker_id":40,"status_id":1,"priority_id":2,"assigned_to_id":338,"start_date":"2018-01-12","description":"","custom_fields":[{"id":1,"name":"Subdivision","value":"NW"},{"id":4,"name":"Milepost","value":"0.011"},{"id":17,"name":"Train ID","value":"838-12"},{"id":16,"name":"Locomotive ID","value":"4051"},{"id":130,"name":"Impact","value":""},{"id":150,"name":"Time of Event (Mountain Time)","value":"18:55:52"},{"id":151,"name":"Denver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21"/>
        <v>start /low /b %USERPROFILE%\Documents\GitHub\eaglep3\Utilities\DownloadLogsFromS3.py --loco 4051 --day 2018-01-12</v>
      </c>
      <c r="AN198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23"/>
        <v>https://d0f6bd738d7f1b3e5a7ca70fe4ff75f0.us-east-1.aws.found.io/app/kibana#/discover/Steve-Slow-Train-Analysis-(2080s-and-2083s)?_g=(refreshInterval:(display:Off,pause:!f,section:0,value:0),time:(from:'2018-01-12T17:28:20-0700',mode:absolute,to:'2018-01-12T19:55:52-0700'))&amp;_a=(columns:!('Message%20ID',Summary),filters:!(),index:'emp_*',interval:auto,query:(query_string:(analyze_wildcard:!t,query:'%22rtdc.l.rtdc.4051%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689</v>
      </c>
      <c r="B199" s="225">
        <v>4016</v>
      </c>
      <c r="C199" s="227" t="s">
        <v>191</v>
      </c>
      <c r="D199" s="227" t="s">
        <v>486</v>
      </c>
      <c r="E199" s="226">
        <v>43112.769212962965</v>
      </c>
      <c r="F199" s="226">
        <v>43112.777280092596</v>
      </c>
      <c r="G199" s="225">
        <v>68</v>
      </c>
      <c r="H199" s="227" t="s">
        <v>1077</v>
      </c>
      <c r="I199" s="226">
        <v>43112.788043981483</v>
      </c>
      <c r="J199" s="225">
        <v>0</v>
      </c>
      <c r="K199" s="237" t="str">
        <f>IF(ISEVEN(B199),(B199-1)&amp;"/"&amp;B199,B199&amp;"/"&amp;(B199+1))</f>
        <v>4015/4016</v>
      </c>
      <c r="L199" s="245" t="str">
        <f>VLOOKUP(A199,'Trips&amp;Operators'!$C$1:$G$99911,5,FALSE)</f>
        <v>SMITH MICHAEL</v>
      </c>
      <c r="M199" s="224">
        <f>I199-F199</f>
        <v>1.0763888887595385E-2</v>
      </c>
      <c r="N199" s="225">
        <f>24*60*SUM($M199:$M199)</f>
        <v>15.499999998137355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-12T17:27:40-0700',mode:absolute,to:'2018-01-12T19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4.9299999999999997E-2</v>
      </c>
      <c r="Z199" s="247">
        <f>RIGHT(H199,LEN(H199)-4)/10000</f>
        <v>5.9005000000000001</v>
      </c>
      <c r="AA199" s="247">
        <f>ABS(Z199-Y199)</f>
        <v>5.8512000000000004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839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/stypes="app*4016*20180113*"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19"/>
        <v>"%USERPROFILE%\Documents\GitHub\eaglep3\Utilities\RefineRTDCRunTimes.py" --tripid 839-12 --locoid 4016 --swversion DE.1.0.9.0 --startMP 204:493 --initTime 2018-01-12T18:27:40 --startdatetime 2018-01-12T18:39:17 --delay 68 --endMP 300:59005 --enddatetime 2018-01-12T18:54:47 --enforcementcount 0 &gt;&gt;%USERPROFILE%\Documents\GitHub\eaglep3-reporting\EC\2018-01-12-refined-times.txt</v>
      </c>
      <c r="AI199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{"issue":{"subject":"","project_id":79,"tracker_id":40,"status_id":1,"priority_id":2,"assigned_to_id":338,"start_date":"2018-01-12","description":"","custom_fields":[{"id":1,"name":"Subdivision","value":"NW"},{"id":4,"name":"Milepost","value":"5.9005"},{"id":17,"name":"Train ID","value":"839-12"},{"id":16,"name":"Locomotive ID","value":"4016"},{"id":130,"name":"Impact","value":""},{"id":150,"name":"Time of Event (Mountain Time)","value":"18:54:47"},{"id":151,"name":"Denver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21"/>
        <v>start /low /b %USERPROFILE%\Documents\GitHub\eaglep3\Utilities\DownloadLogsFromS3.py --loco 4016 --day 2018-01-12</v>
      </c>
      <c r="AN199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23"/>
        <v>https://d0f6bd738d7f1b3e5a7ca70fe4ff75f0.us-east-1.aws.found.io/app/kibana#/discover/Steve-Slow-Train-Analysis-(2080s-and-2083s)?_g=(refreshInterval:(display:Off,pause:!f,section:0,value:0),time:(from:'2018-01-12T17:27:40-0700',mode:absolute,to:'2018-01-12T19:54:47-0700'))&amp;_a=(columns:!('Message%20ID',Summary),filters:!(),index:'emp_*',interval:auto,query:(query_string:(analyze_wildcard:!t,query:'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693</v>
      </c>
      <c r="B200" s="225">
        <v>4051</v>
      </c>
      <c r="C200" s="227" t="s">
        <v>191</v>
      </c>
      <c r="D200" s="227" t="s">
        <v>1075</v>
      </c>
      <c r="E200" s="226">
        <v>43112.809699074074</v>
      </c>
      <c r="F200" s="226">
        <v>43112.820763888885</v>
      </c>
      <c r="G200" s="225">
        <v>57</v>
      </c>
      <c r="H200" s="227" t="s">
        <v>554</v>
      </c>
      <c r="I200" s="226">
        <v>43112.830023148148</v>
      </c>
      <c r="J200" s="225">
        <v>0</v>
      </c>
      <c r="K200" s="237" t="str">
        <f>IF(ISEVEN(B200),(B200-1)&amp;"/"&amp;B200,B200&amp;"/"&amp;(B200+1))</f>
        <v>4051/4052</v>
      </c>
      <c r="L200" s="245" t="str">
        <f>VLOOKUP(A200,'Trips&amp;Operators'!$C$1:$G$99911,5,FALSE)</f>
        <v>GUNTHIER ERIC</v>
      </c>
      <c r="M200" s="224">
        <f>I200-F200</f>
        <v>9.2592592627624981E-3</v>
      </c>
      <c r="N200" s="225">
        <f>24*60*SUM($M200:$M200)</f>
        <v>13.333333338377997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-12T18:25:58-0700',mode:absolute,to:'2018-01-12T20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5.8640999999999996</v>
      </c>
      <c r="Z200" s="247">
        <f>RIGHT(H200,LEN(H200)-4)/10000</f>
        <v>1.66E-2</v>
      </c>
      <c r="AA200" s="247">
        <f>ABS(Z200-Y200)</f>
        <v>5.8474999999999993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840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/stypes="app*4051*20180113*"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19"/>
        <v>"%USERPROFILE%\Documents\GitHub\eaglep3\Utilities\RefineRTDCRunTimes.py" --tripid 840-12 --locoid 4051 --swversion DE.1.0.9.0 --startMP 300:58641 --initTime 2018-01-12T19:25:58 --startdatetime 2018-01-12T19:41:54 --delay 57 --endMP 204:166 --enddatetime 2018-01-12T19:55:14 --enforcementcount 0 &gt;&gt;%USERPROFILE%\Documents\GitHub\eaglep3-reporting\EC\2018-01-12-refined-times.txt</v>
      </c>
      <c r="AI200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{"issue":{"subject":"","project_id":79,"tracker_id":40,"status_id":1,"priority_id":2,"assigned_to_id":338,"start_date":"2018-01-12","description":"","custom_fields":[{"id":1,"name":"Subdivision","value":"NW"},{"id":4,"name":"Milepost","value":"0.0166"},{"id":17,"name":"Train ID","value":"840-12"},{"id":16,"name":"Locomotive ID","value":"4051"},{"id":130,"name":"Impact","value":""},{"id":150,"name":"Time of Event (Mountain Time)","value":"19:55:14"},{"id":151,"name":"Denver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21"/>
        <v>start /low /b %USERPROFILE%\Documents\GitHub\eaglep3\Utilities\DownloadLogsFromS3.py --loco 4051 --day 2018-01-12</v>
      </c>
      <c r="AN200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23"/>
        <v>https://d0f6bd738d7f1b3e5a7ca70fe4ff75f0.us-east-1.aws.found.io/app/kibana#/discover/Steve-Slow-Train-Analysis-(2080s-and-2083s)?_g=(refreshInterval:(display:Off,pause:!f,section:0,value:0),time:(from:'2018-01-12T18:25:58-0700',mode:absolute,to:'2018-01-12T20:55:14-0700'))&amp;_a=(columns:!('Message%20ID',Summary),filters:!(),index:'emp_*',interval:auto,query:(query_string:(analyze_wildcard:!t,query:'%22rtdc.l.rtdc.4051%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870</v>
      </c>
      <c r="B201" s="225">
        <v>4052</v>
      </c>
      <c r="C201" s="227" t="s">
        <v>191</v>
      </c>
      <c r="D201" s="227" t="s">
        <v>507</v>
      </c>
      <c r="E201" s="226">
        <v>43112.791203703702</v>
      </c>
      <c r="F201" s="226">
        <v>43112.798275462963</v>
      </c>
      <c r="G201" s="225">
        <v>65</v>
      </c>
      <c r="H201" s="227" t="s">
        <v>1078</v>
      </c>
      <c r="I201" s="226">
        <v>43112.808518518519</v>
      </c>
      <c r="J201" s="225">
        <v>0</v>
      </c>
      <c r="K201" s="237" t="str">
        <f>IF(ISEVEN(B201),(B201-1)&amp;"/"&amp;B201,B201&amp;"/"&amp;(B201+1))</f>
        <v>4051/4052</v>
      </c>
      <c r="L201" s="245" t="str">
        <f>VLOOKUP(A201,'Trips&amp;Operators'!$C$1:$G$99911,5,FALSE)</f>
        <v>GUNTHIER ERIC</v>
      </c>
      <c r="M201" s="224">
        <f>I201-F201</f>
        <v>1.0243055556202307E-2</v>
      </c>
      <c r="N201" s="225">
        <f>24*60*SUM($M201:$M201)</f>
        <v>14.750000000931323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-12T17:59:20-0700',mode:absolute,to:'2018-01-12T20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4.3499999999999997E-2</v>
      </c>
      <c r="Z201" s="247">
        <f>RIGHT(H201,LEN(H201)-4)/10000</f>
        <v>5.8963000000000001</v>
      </c>
      <c r="AA201" s="247">
        <f>ABS(Z201-Y201)</f>
        <v>5.8528000000000002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841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/stypes="app*4052*20180113*"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19"/>
        <v>"%USERPROFILE%\Documents\GitHub\eaglep3\Utilities\RefineRTDCRunTimes.py" --tripid 841-12 --locoid 4052 --swversion DE.1.0.9.0 --startMP 204:435 --initTime 2018-01-12T18:59:20 --startdatetime 2018-01-12T19:09:31 --delay 65 --endMP 300:58963 --enddatetime 2018-01-12T19:24:16 --enforcementcount 0 &gt;&gt;%USERPROFILE%\Documents\GitHub\eaglep3-reporting\EC\2018-01-12-refined-times.txt</v>
      </c>
      <c r="AI201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{"issue":{"subject":"","project_id":79,"tracker_id":40,"status_id":1,"priority_id":2,"assigned_to_id":338,"start_date":"2018-01-12","description":"","custom_fields":[{"id":1,"name":"Subdivision","value":"NW"},{"id":4,"name":"Milepost","value":"5.8963"},{"id":17,"name":"Train ID","value":"841-12"},{"id":16,"name":"Locomotive ID","value":"4052"},{"id":130,"name":"Impact","value":""},{"id":150,"name":"Time of Event (Mountain Time)","value":"19:24:16"},{"id":151,"name":"Denver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21"/>
        <v>start /low /b %USERPROFILE%\Documents\GitHub\eaglep3\Utilities\DownloadLogsFromS3.py --loco 4052 --day 2018-01-12</v>
      </c>
      <c r="AN201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23"/>
        <v>https://d0f6bd738d7f1b3e5a7ca70fe4ff75f0.us-east-1.aws.found.io/app/kibana#/discover/Steve-Slow-Train-Analysis-(2080s-and-2083s)?_g=(refreshInterval:(display:Off,pause:!f,section:0,value:0),time:(from:'2018-01-12T17:59:20-0700',mode:absolute,to:'2018-01-12T20:24:16-0700'))&amp;_a=(columns:!('Message%20ID',Summary),filters:!(),index:'emp_*',interval:auto,query:(query_string:(analyze_wildcard:!t,query:'%22rtdc.l.rtdc.4052%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880</v>
      </c>
      <c r="B202" s="225">
        <v>4051</v>
      </c>
      <c r="C202" s="227" t="s">
        <v>191</v>
      </c>
      <c r="D202" s="227" t="s">
        <v>1079</v>
      </c>
      <c r="E202" s="226">
        <v>43112.853634259256</v>
      </c>
      <c r="F202" s="226">
        <v>43112.862708333334</v>
      </c>
      <c r="G202" s="225">
        <v>51</v>
      </c>
      <c r="H202" s="227" t="s">
        <v>512</v>
      </c>
      <c r="I202" s="226">
        <v>43112.871689814812</v>
      </c>
      <c r="J202" s="225">
        <v>0</v>
      </c>
      <c r="K202" s="237" t="str">
        <f>IF(ISEVEN(B202),(B202-1)&amp;"/"&amp;B202,B202&amp;"/"&amp;(B202+1))</f>
        <v>4051/4052</v>
      </c>
      <c r="L202" s="245" t="str">
        <f>VLOOKUP(A202,'Trips&amp;Operators'!$C$1:$G$99911,5,FALSE)</f>
        <v>GUNTHIER ERIC</v>
      </c>
      <c r="M202" s="224">
        <f>I202-F202</f>
        <v>8.9814814782585017E-3</v>
      </c>
      <c r="N202" s="225">
        <f>24*60*SUM($M202:$M202)</f>
        <v>12.933333328692243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-12T19:29:14-0700',mode:absolute,to:'2018-01-12T21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5.8648999999999996</v>
      </c>
      <c r="Z202" s="247">
        <f>RIGHT(H202,LEN(H202)-4)/10000</f>
        <v>1.55E-2</v>
      </c>
      <c r="AA202" s="247">
        <f>ABS(Z202-Y202)</f>
        <v>5.8493999999999993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842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/stypes="app*4051*20180113*" /stext=" 03:.+((SYSTEM_STATE.+slice.+state.+changed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19"/>
        <v>"%USERPROFILE%\Documents\GitHub\eaglep3\Utilities\RefineRTDCRunTimes.py" --tripid 842-12 --locoid 4051 --swversion DE.1.0.9.0 --startMP 300:58649 --initTime 2018-01-12T20:29:14 --startdatetime 2018-01-12T20:42:18 --delay 51 --endMP 204:155 --enddatetime 2018-01-12T20:55:14 --enforcementcount 0 &gt;&gt;%USERPROFILE%\Documents\GitHub\eaglep3-reporting\EC\2018-01-12-refined-times.txt</v>
      </c>
      <c r="AI202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{"issue":{"subject":"","project_id":79,"tracker_id":40,"status_id":1,"priority_id":2,"assigned_to_id":338,"start_date":"2018-01-12","description":"","custom_fields":[{"id":1,"name":"Subdivision","value":"NW"},{"id":4,"name":"Milepost","value":"0.0155"},{"id":17,"name":"Train ID","value":"842-12"},{"id":16,"name":"Locomotive ID","value":"4051"},{"id":130,"name":"Impact","value":""},{"id":150,"name":"Time of Event (Mountain Time)","value":"20:55:14"},{"id":151,"name":"Denver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21"/>
        <v>start /low /b %USERPROFILE%\Documents\GitHub\eaglep3\Utilities\DownloadLogsFromS3.py --loco 4051 --day 2018-01-12</v>
      </c>
      <c r="AN202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23"/>
        <v>https://d0f6bd738d7f1b3e5a7ca70fe4ff75f0.us-east-1.aws.found.io/app/kibana#/discover/Steve-Slow-Train-Analysis-(2080s-and-2083s)?_g=(refreshInterval:(display:Off,pause:!f,section:0,value:0),time:(from:'2018-01-12T19:29:14-0700',mode:absolute,to:'2018-01-12T21:55:14-0700'))&amp;_a=(columns:!('Message%20ID',Summary),filters:!(),index:'emp_*',interval:auto,query:(query_string:(analyze_wildcard:!t,query:'%22rtdc.l.rtdc.4051%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877</v>
      </c>
      <c r="B203" s="225">
        <v>4052</v>
      </c>
      <c r="C203" s="227" t="s">
        <v>191</v>
      </c>
      <c r="D203" s="227" t="s">
        <v>544</v>
      </c>
      <c r="E203" s="226">
        <v>43112.835023148145</v>
      </c>
      <c r="F203" s="226">
        <v>43112.839756944442</v>
      </c>
      <c r="G203" s="225">
        <v>62</v>
      </c>
      <c r="H203" s="227" t="s">
        <v>656</v>
      </c>
      <c r="I203" s="226">
        <v>43112.850115740737</v>
      </c>
      <c r="J203" s="225">
        <v>0</v>
      </c>
      <c r="K203" s="237" t="str">
        <f>IF(ISEVEN(B203),(B203-1)&amp;"/"&amp;B203,B203&amp;"/"&amp;(B203+1))</f>
        <v>4051/4052</v>
      </c>
      <c r="L203" s="245" t="str">
        <f>VLOOKUP(A203,'Trips&amp;Operators'!$C$1:$G$99911,5,FALSE)</f>
        <v>GUNTHIER ERIC</v>
      </c>
      <c r="M203" s="224">
        <f>I203-F203</f>
        <v>1.0358796294895001E-2</v>
      </c>
      <c r="N203" s="225">
        <f>24*60*SUM($M203:$M203)</f>
        <v>14.916666664648801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-12T19:02:26-0700',mode:absolute,to:'2018-01-12T21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4.8599999999999997E-2</v>
      </c>
      <c r="Z203" s="247">
        <f>RIGHT(H203,LEN(H203)-4)/10000</f>
        <v>5.8964999999999996</v>
      </c>
      <c r="AA203" s="247">
        <f>ABS(Z203-Y203)</f>
        <v>5.8478999999999992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843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/stypes="app*4052*20180113*" /stext=" 03:.+((SYSTEM_STATE.+slice.+state.+changed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19"/>
        <v>"%USERPROFILE%\Documents\GitHub\eaglep3\Utilities\RefineRTDCRunTimes.py" --tripid 843-12 --locoid 4052 --swversion DE.1.0.9.0 --startMP 204:486 --initTime 2018-01-12T20:02:26 --startdatetime 2018-01-12T20:09:15 --delay 62 --endMP 300:58965 --enddatetime 2018-01-12T20:24:10 --enforcementcount 0 &gt;&gt;%USERPROFILE%\Documents\GitHub\eaglep3-reporting\EC\2018-01-12-refined-times.txt</v>
      </c>
      <c r="AI203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{"issue":{"subject":"","project_id":79,"tracker_id":40,"status_id":1,"priority_id":2,"assigned_to_id":338,"start_date":"2018-01-12","description":"","custom_fields":[{"id":1,"name":"Subdivision","value":"NW"},{"id":4,"name":"Milepost","value":"5.8965"},{"id":17,"name":"Train ID","value":"843-12"},{"id":16,"name":"Locomotive ID","value":"4052"},{"id":130,"name":"Impact","value":""},{"id":150,"name":"Time of Event (Mountain Time)","value":"20:24:10"},{"id":151,"name":"Denver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21"/>
        <v>start /low /b %USERPROFILE%\Documents\GitHub\eaglep3\Utilities\DownloadLogsFromS3.py --loco 4052 --day 2018-01-12</v>
      </c>
      <c r="AN203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23"/>
        <v>https://d0f6bd738d7f1b3e5a7ca70fe4ff75f0.us-east-1.aws.found.io/app/kibana#/discover/Steve-Slow-Train-Analysis-(2080s-and-2083s)?_g=(refreshInterval:(display:Off,pause:!f,section:0,value:0),time:(from:'2018-01-12T19:02:26-0700',mode:absolute,to:'2018-01-12T21:24:10-0700'))&amp;_a=(columns:!('Message%20ID',Summary),filters:!(),index:'emp_*',interval:auto,query:(query_string:(analyze_wildcard:!t,query:'%22rtdc.l.rtdc.4052%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695</v>
      </c>
      <c r="B204" s="225">
        <v>4051</v>
      </c>
      <c r="C204" s="227" t="s">
        <v>191</v>
      </c>
      <c r="D204" s="227" t="s">
        <v>1080</v>
      </c>
      <c r="E204" s="226">
        <v>43112.892812500002</v>
      </c>
      <c r="F204" s="226">
        <v>43112.904965277776</v>
      </c>
      <c r="G204" s="225">
        <v>67</v>
      </c>
      <c r="H204" s="227" t="s">
        <v>1081</v>
      </c>
      <c r="I204" s="226">
        <v>43112.912037037036</v>
      </c>
      <c r="J204" s="225">
        <v>0</v>
      </c>
      <c r="K204" s="237" t="str">
        <f>IF(ISEVEN(B204),(B204-1)&amp;"/"&amp;B204,B204&amp;"/"&amp;(B204+1))</f>
        <v>4051/4052</v>
      </c>
      <c r="L204" s="245" t="str">
        <f>VLOOKUP(A204,'Trips&amp;Operators'!$C$1:$G$99911,5,FALSE)</f>
        <v>SMITH MICHAEL</v>
      </c>
      <c r="M204" s="224">
        <f>I204-F204</f>
        <v>7.07175926072523E-3</v>
      </c>
      <c r="N204" s="225">
        <f>24*60*SUM($M204:$M204)</f>
        <v>10.183333335444331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-12T20:25:39-0700',mode:absolute,to:'2018-01-12T22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5.8653000000000004</v>
      </c>
      <c r="Z204" s="247">
        <f>RIGHT(H204,LEN(H204)-4)/10000</f>
        <v>0.46750000000000003</v>
      </c>
      <c r="AA204" s="247">
        <f>ABS(Z204-Y204)</f>
        <v>5.3978000000000002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844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/stypes="app*4051*20180113*" /stext=" 04:.+((SYSTEM_STATE.+slice.+state.+changed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19"/>
        <v>"%USERPROFILE%\Documents\GitHub\eaglep3\Utilities\RefineRTDCRunTimes.py" --tripid 844-12 --locoid 4051 --swversion DE.1.0.9.0 --startMP 300:58653 --initTime 2018-01-12T21:25:39 --startdatetime 2018-01-12T21:43:09 --delay 67 --endMP 204:4675 --enddatetime 2018-01-12T21:53:20 --enforcementcount 0 &gt;&gt;%USERPROFILE%\Documents\GitHub\eaglep3-reporting\EC\2018-01-12-refined-times.txt</v>
      </c>
      <c r="AI204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{"issue":{"subject":"","project_id":79,"tracker_id":40,"status_id":1,"priority_id":2,"assigned_to_id":338,"start_date":"2018-01-12","description":"","custom_fields":[{"id":1,"name":"Subdivision","value":"NW"},{"id":4,"name":"Milepost","value":"0.4675"},{"id":17,"name":"Train ID","value":"844-12"},{"id":16,"name":"Locomotive ID","value":"4051"},{"id":130,"name":"Impact","value":""},{"id":150,"name":"Time of Event (Mountain Time)","value":"21:53:20"},{"id":151,"name":"Denver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21"/>
        <v>start /low /b %USERPROFILE%\Documents\GitHub\eaglep3\Utilities\DownloadLogsFromS3.py --loco 4051 --day 2018-01-12</v>
      </c>
      <c r="AN204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23"/>
        <v>https://d0f6bd738d7f1b3e5a7ca70fe4ff75f0.us-east-1.aws.found.io/app/kibana#/discover/Steve-Slow-Train-Analysis-(2080s-and-2083s)?_g=(refreshInterval:(display:Off,pause:!f,section:0,value:0),time:(from:'2018-01-12T20:25:39-0700',mode:absolute,to:'2018-01-12T22:53:20-0700'))&amp;_a=(columns:!('Message%20ID',Summary),filters:!(),index:'emp_*',interval:auto,query:(query_string:(analyze_wildcard:!t,query:'%22rtdc.l.rtdc.4051%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883</v>
      </c>
      <c r="B205" s="225">
        <v>4052</v>
      </c>
      <c r="C205" s="227" t="s">
        <v>191</v>
      </c>
      <c r="D205" s="227" t="s">
        <v>462</v>
      </c>
      <c r="E205" s="226">
        <v>43112.876770833333</v>
      </c>
      <c r="F205" s="226">
        <v>43112.881469907406</v>
      </c>
      <c r="G205" s="225">
        <v>79</v>
      </c>
      <c r="H205" s="227" t="s">
        <v>1082</v>
      </c>
      <c r="I205" s="226">
        <v>43112.891562500001</v>
      </c>
      <c r="J205" s="225">
        <v>0</v>
      </c>
      <c r="K205" s="237" t="str">
        <f>IF(ISEVEN(B205),(B205-1)&amp;"/"&amp;B205,B205&amp;"/"&amp;(B205+1))</f>
        <v>4051/4052</v>
      </c>
      <c r="L205" s="245" t="str">
        <f>VLOOKUP(A205,'Trips&amp;Operators'!$C$1:$G$99911,5,FALSE)</f>
        <v>SMITH MICHAEL</v>
      </c>
      <c r="M205" s="224">
        <f>I205-F205</f>
        <v>1.0092592594446614E-2</v>
      </c>
      <c r="N205" s="225">
        <f>24*60*SUM($M205:$M205)</f>
        <v>14.533333336003125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-12T20:02:33-0700',mode:absolute,to:'2018-01-12T22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247" t="str">
        <f>IF(AA205&lt;VLOOKUP(AG205,Variables!$AC$3:$AD$8,2,FALSE),"Y","N")</f>
        <v>N</v>
      </c>
      <c r="X205" s="247">
        <f>VALUE(LEFT(AD205,4))-VALUE(LEFT(AD204,4))</f>
        <v>1</v>
      </c>
      <c r="Y205" s="247">
        <f>RIGHT(D205,LEN(D205)-4)/10000</f>
        <v>4.5499999999999999E-2</v>
      </c>
      <c r="Z205" s="247">
        <f>RIGHT(H205,LEN(H205)-4)/10000</f>
        <v>5.8967000000000001</v>
      </c>
      <c r="AA205" s="247">
        <f>ABS(Z205-Y205)</f>
        <v>5.8512000000000004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845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/stypes="app*4052*20180113*" /stext=" 04:.+((SYSTEM_STATE.+slice.+state.+changed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19"/>
        <v>"%USERPROFILE%\Documents\GitHub\eaglep3\Utilities\RefineRTDCRunTimes.py" --tripid 845-12 --locoid 4052 --swversion DE.1.0.9.0 --startMP 204:455 --initTime 2018-01-12T21:02:33 --startdatetime 2018-01-12T21:09:19 --delay 79 --endMP 300:58967 --enddatetime 2018-01-12T21:23:51 --enforcementcount 0 &gt;&gt;%USERPROFILE%\Documents\GitHub\eaglep3-reporting\EC\2018-01-12-refined-times.txt</v>
      </c>
      <c r="AI205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{"issue":{"subject":"","project_id":79,"tracker_id":40,"status_id":1,"priority_id":2,"assigned_to_id":338,"start_date":"2018-01-12","description":"","custom_fields":[{"id":1,"name":"Subdivision","value":"NW"},{"id":4,"name":"Milepost","value":"5.8967"},{"id":17,"name":"Train ID","value":"845-12"},{"id":16,"name":"Locomotive ID","value":"4052"},{"id":130,"name":"Impact","value":""},{"id":150,"name":"Time of Event (Mountain Time)","value":"21:23:51"},{"id":151,"name":"Denver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21"/>
        <v>start /low /b %USERPROFILE%\Documents\GitHub\eaglep3\Utilities\DownloadLogsFromS3.py --loco 4052 --day 2018-01-12</v>
      </c>
      <c r="AN205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04:23:51"},{"id":29,"name":"Sharepoint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23"/>
        <v>https://d0f6bd738d7f1b3e5a7ca70fe4ff75f0.us-east-1.aws.found.io/app/kibana#/discover/Steve-Slow-Train-Analysis-(2080s-and-2083s)?_g=(refreshInterval:(display:Off,pause:!f,section:0,value:0),time:(from:'2018-01-12T20:02:33-0700',mode:absolute,to:'2018-01-12T22:23:51-0700'))&amp;_a=(columns:!('Message%20ID',Summary),filters:!(),index:'emp_*',interval:auto,query:(query_string:(analyze_wildcard:!t,query:'%22rtdc.l.rtdc.4052%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889</v>
      </c>
      <c r="B206" s="225">
        <v>4051</v>
      </c>
      <c r="C206" s="227" t="s">
        <v>191</v>
      </c>
      <c r="D206" s="227" t="s">
        <v>1062</v>
      </c>
      <c r="E206" s="226">
        <v>43112.934641203705</v>
      </c>
      <c r="F206" s="226">
        <v>43112.946631944447</v>
      </c>
      <c r="G206" s="225">
        <v>77</v>
      </c>
      <c r="H206" s="227" t="s">
        <v>1083</v>
      </c>
      <c r="I206" s="226">
        <v>43112.956574074073</v>
      </c>
      <c r="J206" s="225">
        <v>0</v>
      </c>
      <c r="K206" s="237" t="str">
        <f>IF(ISEVEN(B206),(B206-1)&amp;"/"&amp;B206,B206&amp;"/"&amp;(B206+1))</f>
        <v>4051/4052</v>
      </c>
      <c r="L206" s="245" t="str">
        <f>VLOOKUP(A206,'Trips&amp;Operators'!$C$1:$G$99911,5,FALSE)</f>
        <v>SMITH MICHAEL</v>
      </c>
      <c r="M206" s="224">
        <f>I206-F206</f>
        <v>9.9421296254149638E-3</v>
      </c>
      <c r="N206" s="225">
        <f>24*60*SUM($M206:$M206)</f>
        <v>14.316666660597548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-12T21:25:53-0700',mode:absolute,to:'2018-01-12T23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1</v>
      </c>
      <c r="Y206" s="247">
        <f>RIGHT(D206,LEN(D206)-4)/10000</f>
        <v>5.8663999999999996</v>
      </c>
      <c r="Z206" s="247">
        <f>RIGHT(H206,LEN(H206)-4)/10000</f>
        <v>1.84E-2</v>
      </c>
      <c r="AA206" s="247">
        <f>ABS(Z206-Y206)</f>
        <v>5.8479999999999999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846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/stypes="app*4051*20180113*" /stext=" 05:.+((SYSTEM_STATE.+slice.+state.+changed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19"/>
        <v>"%USERPROFILE%\Documents\GitHub\eaglep3\Utilities\RefineRTDCRunTimes.py" --tripid 846-12 --locoid 4051 --swversion DE.1.0.9.0 --startMP 300:58664 --initTime 2018-01-12T22:25:53 --startdatetime 2018-01-12T22:43:09 --delay 77 --endMP 204:184 --enddatetime 2018-01-12T22:57:28 --enforcementcount 0 &gt;&gt;%USERPROFILE%\Documents\GitHub\eaglep3-reporting\EC\2018-01-12-refined-times.txt</v>
      </c>
      <c r="AI206" s="238" t="str">
        <f t="shared" si="20"/>
        <v>echo {"issue":{"subject":"","project_id":79,"tracker_id":40,"status_id":1,"priority_id":2,"assigned_to_id":338,"start_date":"2018-01-12","description":"","custom_fields":[{"id":1,"name":"Subdivision","value":"NW"},{"id":4,"name":"Milepost","value":"0.0184"},{"id":17,"name":"Train ID","value":"846-12"},{"id":16,"name":"Locomotive ID","value":"4051"},{"id":130,"name":"Impact","value":""},{"id":150,"name":"Time of Event (Mountain Time)","value":"22:57:28"},{"id":151,"name":"Denver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21"/>
        <v>start /low /b %USERPROFILE%\Documents\GitHub\eaglep3\Utilities\DownloadLogsFromS3.py --loco 4051 --day 2018-01-12</v>
      </c>
      <c r="AN206" s="241" t="str">
        <f t="shared" si="22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23"/>
        <v>https://d0f6bd738d7f1b3e5a7ca70fe4ff75f0.us-east-1.aws.found.io/app/kibana#/discover/Steve-Slow-Train-Analysis-(2080s-and-2083s)?_g=(refreshInterval:(display:Off,pause:!f,section:0,value:0),time:(from:'2018-01-12T21:25:53-0700',mode:absolute,to:'2018-01-12T23:57:28-0700'))&amp;_a=(columns:!('Message%20ID',Summary),filters:!(),index:'emp_*',interval:auto,query:(query_string:(analyze_wildcard:!t,query:'%22rtdc.l.rtdc.4051%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887</v>
      </c>
      <c r="B207" s="225">
        <v>4052</v>
      </c>
      <c r="C207" s="227" t="s">
        <v>191</v>
      </c>
      <c r="D207" s="227" t="s">
        <v>620</v>
      </c>
      <c r="E207" s="226">
        <v>43112.916377314818</v>
      </c>
      <c r="F207" s="226">
        <v>43112.923113425924</v>
      </c>
      <c r="G207" s="225">
        <v>69</v>
      </c>
      <c r="H207" s="227" t="s">
        <v>660</v>
      </c>
      <c r="I207" s="226">
        <v>43112.933391203704</v>
      </c>
      <c r="J207" s="225">
        <v>0</v>
      </c>
      <c r="K207" s="237" t="str">
        <f>IF(ISEVEN(B207),(B207-1)&amp;"/"&amp;B207,B207&amp;"/"&amp;(B207+1))</f>
        <v>4051/4052</v>
      </c>
      <c r="L207" s="245" t="str">
        <f>VLOOKUP(A207,'Trips&amp;Operators'!$C$1:$G$99911,5,FALSE)</f>
        <v>SMITH MICHAEL</v>
      </c>
      <c r="M207" s="224">
        <f>I207-F207</f>
        <v>1.0277777779265307E-2</v>
      </c>
      <c r="N207" s="225">
        <f>24*60*SUM($M207:$M207)</f>
        <v>14.800000002142042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-12T20:59:35-0700',mode:absolute,to:'2018-01-12T23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4.7100000000000003E-2</v>
      </c>
      <c r="Z207" s="247">
        <f>RIGHT(H207,LEN(H207)-4)/10000</f>
        <v>5.8987999999999996</v>
      </c>
      <c r="AA207" s="247">
        <f>ABS(Z207-Y207)</f>
        <v>5.8516999999999992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847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/stypes="app*4052*20180113*" /stext=" 05:.+((SYSTEM_STATE.+slice.+state.+changed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ref="AH207:AH233" si="2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847-12 --locoid 4052 --swversion DE.1.0.9.0 --startMP 204:471 --initTime 2018-01-12T21:59:35 --startdatetime 2018-01-12T22:09:17 --delay 69 --endMP 300:58988 --enddatetime 2018-01-12T22:24:05 --enforcementcount 0 &gt;&gt;%USERPROFILE%\Documents\GitHub\eaglep3-reporting\EC\2018-01-12-refined-times.txt</v>
      </c>
      <c r="AI207" s="238" t="str">
        <f t="shared" ref="AI207:AI233" si="2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{"issue":{"subject":"","project_id":79,"tracker_id":40,"status_id":1,"priority_id":2,"assigned_to_id":338,"start_date":"2018-01-12","description":"","custom_fields":[{"id":1,"name":"Subdivision","value":"NW"},{"id":4,"name":"Milepost","value":"5.8988"},{"id":17,"name":"Train ID","value":"847-12"},{"id":16,"name":"Locomotive ID","value":"4052"},{"id":130,"name":"Impact","value":""},{"id":150,"name":"Time of Event (Mountain Time)","value":"22:24:05"},{"id":151,"name":"Denver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ref="AM207:AM233" si="26">"start /low /b "&amp;dls3logs&amp;" --loco "&amp;B207&amp;" --day "&amp;TEXT(F207,"YYYY-MM-DD")</f>
        <v>start /low /b %USERPROFILE%\Documents\GitHub\eaglep3\Utilities\DownloadLogsFromS3.py --loco 4052 --day 2018-01-12</v>
      </c>
      <c r="AN207" s="241" t="str">
        <f t="shared" ref="AN207:AN233" si="27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05:24:05"},{"id":29,"name":"Sharepoint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ref="AO207:AO233" si="28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-12T20:59:35-0700',mode:absolute,to:'2018-01-12T23:24:05-0700'))&amp;_a=(columns:!('Message%20ID',Summary),filters:!(),index:'emp_*',interval:auto,query:(query_string:(analyze_wildcard:!t,query:'%22rtdc.l.rtdc.4052%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893</v>
      </c>
      <c r="B208" s="225">
        <v>4052</v>
      </c>
      <c r="C208" s="227" t="s">
        <v>191</v>
      </c>
      <c r="D208" s="227" t="s">
        <v>545</v>
      </c>
      <c r="E208" s="226">
        <v>43112.958344907405</v>
      </c>
      <c r="F208" s="226">
        <v>43112.964791666665</v>
      </c>
      <c r="G208" s="225">
        <v>61</v>
      </c>
      <c r="H208" s="227" t="s">
        <v>1046</v>
      </c>
      <c r="I208" s="226">
        <v>43112.975752314815</v>
      </c>
      <c r="J208" s="225">
        <v>0</v>
      </c>
      <c r="K208" s="237" t="str">
        <f>IF(ISEVEN(B208),(B208-1)&amp;"/"&amp;B208,B208&amp;"/"&amp;(B208+1))</f>
        <v>4051/4052</v>
      </c>
      <c r="L208" s="245" t="str">
        <f>VLOOKUP(A208,'Trips&amp;Operators'!$C$1:$G$99911,5,FALSE)</f>
        <v>SMITH MICHAEL</v>
      </c>
      <c r="M208" s="224">
        <f>I208-F208</f>
        <v>1.096064814919373E-2</v>
      </c>
      <c r="N208" s="225">
        <f>24*60*SUM($M208:$M208)</f>
        <v>15.783333334838971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-12T22:00:01-0700',mode:absolute,to:'2018-01-13T00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2</v>
      </c>
      <c r="Y208" s="247">
        <f>RIGHT(D208,LEN(D208)-4)/10000</f>
        <v>4.9099999999999998E-2</v>
      </c>
      <c r="Z208" s="247">
        <f>RIGHT(H208,LEN(H208)-4)/10000</f>
        <v>5.8944000000000001</v>
      </c>
      <c r="AA208" s="247">
        <f>ABS(Z208-Y208)</f>
        <v>5.8452999999999999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849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/stypes="app*4052*20180113*" /stext=" 06:.+((SYSTEM_STATE.+slice.+state.+changed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si="24"/>
        <v>"%USERPROFILE%\Documents\GitHub\eaglep3\Utilities\RefineRTDCRunTimes.py" --tripid 849-12 --locoid 4052 --swversion DE.1.0.9.0 --startMP 204:491 --initTime 2018-01-12T23:00:01 --startdatetime 2018-01-12T23:09:18 --delay 61 --endMP 300:58944 --enddatetime 2018-01-12T23:25:05 --enforcementcount 0 &gt;&gt;%USERPROFILE%\Documents\GitHub\eaglep3-reporting\EC\2018-01-12-refined-times.txt</v>
      </c>
      <c r="AI208" s="238" t="str">
        <f t="shared" si="25"/>
        <v>echo {"issue":{"subject":"","project_id":79,"tracker_id":40,"status_id":1,"priority_id":2,"assigned_to_id":338,"start_date":"2018-01-12","description":"","custom_fields":[{"id":1,"name":"Subdivision","value":"NW"},{"id":4,"name":"Milepost","value":"5.8944"},{"id":17,"name":"Train ID","value":"849-12"},{"id":16,"name":"Locomotive ID","value":"4052"},{"id":130,"name":"Impact","value":""},{"id":150,"name":"Time of Event (Mountain Time)","value":"23:25:05"},{"id":151,"name":"Denver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26"/>
        <v>start /low /b %USERPROFILE%\Documents\GitHub\eaglep3\Utilities\DownloadLogsFromS3.py --loco 4052 --day 2018-01-12</v>
      </c>
      <c r="AN208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28"/>
        <v>https://d0f6bd738d7f1b3e5a7ca70fe4ff75f0.us-east-1.aws.found.io/app/kibana#/discover/Steve-Slow-Train-Analysis-(2080s-and-2083s)?_g=(refreshInterval:(display:Off,pause:!f,section:0,value:0),time:(from:'2018-01-12T22:00:01-0700',mode:absolute,to:'2018-01-13T00:25:05-0700'))&amp;_a=(columns:!('Message%20ID',Summary),filters:!(),index:'emp_*',interval:auto,query:(query_string:(analyze_wildcard:!t,query:'%22rtdc.l.rtdc.4052%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699</v>
      </c>
      <c r="B209" s="225">
        <v>4001</v>
      </c>
      <c r="C209" s="227" t="s">
        <v>191</v>
      </c>
      <c r="D209" s="227" t="s">
        <v>1021</v>
      </c>
      <c r="E209" s="226">
        <v>43112.115578703706</v>
      </c>
      <c r="F209" s="226">
        <v>43112.119305555556</v>
      </c>
      <c r="G209" s="225">
        <v>70</v>
      </c>
      <c r="H209" s="227" t="s">
        <v>1022</v>
      </c>
      <c r="I209" s="226">
        <v>43112.124675925923</v>
      </c>
      <c r="J209" s="225">
        <v>0</v>
      </c>
      <c r="K209" s="237" t="str">
        <f>IF(ISEVEN(B209),(B209-1)&amp;"/"&amp;B209,B209&amp;"/"&amp;(B209+1))</f>
        <v>4001/4002</v>
      </c>
      <c r="L209" s="245" t="str">
        <f>VLOOKUP(A209,'Trips&amp;Operators'!$C$1:$G$99911,5,FALSE)</f>
        <v>YORK EDGAR</v>
      </c>
      <c r="M209" s="224">
        <f>I209-F209</f>
        <v>5.3703703670180403E-3</v>
      </c>
      <c r="N209" s="225">
        <f>24*60*SUM($M209:$M209)</f>
        <v>7.733333328505978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-12T01:46:26-0700',mode:absolute,to:'2018-01-12T03:59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-549</v>
      </c>
      <c r="Y209" s="247">
        <f>RIGHT(D209,LEN(D209)-4)/10000</f>
        <v>1.968</v>
      </c>
      <c r="Z209" s="247">
        <f>RIGHT(H209,LEN(H209)-4)/10000</f>
        <v>1.4500000000000001E-2</v>
      </c>
      <c r="AA209" s="247">
        <f>ABS(Z209-Y209)</f>
        <v>1.9535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300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s3://rtdc.mdm.uploadarchive.raw/RTDC4001/ "%USERPROFILE%\AppData\Local\Temp\OnboardLogs"\RTDC4001\2018-01-12 --exclude "*" --recursive --include "*20180112*" &amp; "%USERPROFILE%\Documents\GitHub\mrs-test-scripts\Headless Mode &amp; Sideloading\WalkAndUnGZ.bat" "%USERPROFILE%\AppData\Local\Temp\OnboardLogs"\RTDC4001\2018-01-12 &amp; aws s3 cp s3://rtdc.mdm.uploadarchive.raw/RTDC4001/ "%USERPROFILE%\AppData\Local\Temp\OnboardLogs"\RTDC4001\2018-01-13 --exclude "*" --recursive --include "*20180113*" &amp; "%USERPROFILE%\Documents\GitHub\mrs-test-scripts\Headless Mode &amp; Sideloading\WalkAndUnGZ.bat" "%USERPROFILE%\AppData\Local\Temp\OnboardLogs"\RTDC4001\2018-01-13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/stypes="app*4001*20180112*" /stext=" 09:.+((SYSTEM_STATE.+slice.+state.+changed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24"/>
        <v>"%USERPROFILE%\Documents\GitHub\eaglep3\Utilities\RefineRTDCRunTimes.py" --tripid 300-12 --locoid 4001 --swversion DE.1.0.9.0 --startMP 300:19680 --initTime 2018-01-12T02:46:26 --startdatetime 2018-01-12T02:51:48 --delay 70 --endMP 204:145 --enddatetime 2018-01-12T02:59:32 --enforcementcount 0 &gt;&gt;%USERPROFILE%\Documents\GitHub\eaglep3-reporting\EC\2018-01-12-refined-times.txt</v>
      </c>
      <c r="AI209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{"issue":{"subject":"","project_id":79,"tracker_id":40,"status_id":1,"priority_id":2,"assigned_to_id":338,"start_date":"2018-01-12","description":"","custom_fields":[{"id":1,"name":"Subdivision","value":"Other"},{"id":4,"name":"Milepost","value":"0.0145"},{"id":17,"name":"Train ID","value":"300-12"},{"id":16,"name":"Locomotive ID","value":"4001"},{"id":130,"name":"Impact","value":""},{"id":150,"name":"Time of Event (Mountain Time)","value":"02:59:32"},{"id":151,"name":"Denver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26"/>
        <v>start /low /b %USERPROFILE%\Documents\GitHub\eaglep3\Utilities\DownloadLogsFromS3.py --loco 4001 --day 2018-01-12</v>
      </c>
      <c r="AN209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09:59:32"},{"id":29,"name":"Sharepoint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28"/>
        <v>https://d0f6bd738d7f1b3e5a7ca70fe4ff75f0.us-east-1.aws.found.io/app/kibana#/discover/Steve-Slow-Train-Analysis-(2080s-and-2083s)?_g=(refreshInterval:(display:Off,pause:!f,section:0,value:0),time:(from:'2018-01-12T01:46:26-0700',mode:absolute,to:'2018-01-12T03:59:32-0700'))&amp;_a=(columns:!('Message%20ID',Summary),filters:!(),index:'emp_*',interval:auto,query:(query_string:(analyze_wildcard:!t,query:'%22rtdc.l.rtdc.4001%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866</v>
      </c>
      <c r="B210" s="225">
        <v>4004</v>
      </c>
      <c r="C210" s="227" t="s">
        <v>191</v>
      </c>
      <c r="D210" s="227" t="s">
        <v>531</v>
      </c>
      <c r="E210" s="226">
        <v>43112.777604166666</v>
      </c>
      <c r="F210" s="226">
        <v>43112.779699074075</v>
      </c>
      <c r="G210" s="225">
        <v>119</v>
      </c>
      <c r="H210" s="227" t="s">
        <v>1023</v>
      </c>
      <c r="I210" s="226">
        <v>43112.788715277777</v>
      </c>
      <c r="J210" s="225">
        <v>0</v>
      </c>
      <c r="K210" s="237" t="str">
        <f>IF(ISEVEN(B210),(B210-1)&amp;"/"&amp;B210,B210&amp;"/"&amp;(B210+1))</f>
        <v>4003/4004</v>
      </c>
      <c r="L210" s="245" t="str">
        <f>VLOOKUP(A210,'Trips&amp;Operators'!$C$1:$G$99911,5,FALSE)</f>
        <v>LONG FULLER</v>
      </c>
      <c r="M210" s="224">
        <f>I210-F210</f>
        <v>9.0162037013215013E-3</v>
      </c>
      <c r="N210" s="225">
        <f>24*60*SUM($M210:$M210)</f>
        <v>12.983333329902962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-12T17:39:45-0700',mode:absolute,to:'2018-01-12T19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5.1900000000000002E-2</v>
      </c>
      <c r="Z210" s="247">
        <f>RIGHT(H210,LEN(H210)-4)/10000</f>
        <v>2.4220000000000002</v>
      </c>
      <c r="AA210" s="247">
        <f>ABS(Z210-Y210)</f>
        <v>2.3701000000000003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/stypes="app*4004*20180113*" /stext=" 01:.+((SYSTEM_STATE.+slice.+state.+changed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24"/>
        <v>"%USERPROFILE%\Documents\GitHub\eaglep3\Utilities\RefineRTDCRunTimes.py" --tripid 301-12 --locoid 4004 --swversion DE.1.0.9.0 --startMP 204:519 --initTime 2018-01-12T18:39:45 --startdatetime 2018-01-12T18:42:46 --delay 119 --endMP 300:24220 --enddatetime 2018-01-12T18:55:45 --enforcementcount 0 &gt;&gt;%USERPROFILE%\Documents\GitHub\eaglep3-reporting\EC\2018-01-12-refined-times.txt</v>
      </c>
      <c r="AI210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{"issue":{"subject":"","project_id":79,"tracker_id":40,"status_id":1,"priority_id":2,"assigned_to_id":338,"start_date":"2018-01-12","description":"","custom_fields":[{"id":1,"name":"Subdivision","value":"Other"},{"id":4,"name":"Milepost","value":"2.422"},{"id":17,"name":"Train ID","value":"301-12"},{"id":16,"name":"Locomotive ID","value":"4004"},{"id":130,"name":"Impact","value":""},{"id":150,"name":"Time of Event (Mountain Time)","value":"18:55:45"},{"id":151,"name":"Denver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si="26"/>
        <v>start /low /b %USERPROFILE%\Documents\GitHub\eaglep3\Utilities\DownloadLogsFromS3.py --loco 4004 --day 2018-01-12</v>
      </c>
      <c r="AN210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28"/>
        <v>https://d0f6bd738d7f1b3e5a7ca70fe4ff75f0.us-east-1.aws.found.io/app/kibana#/discover/Steve-Slow-Train-Analysis-(2080s-and-2083s)?_g=(refreshInterval:(display:Off,pause:!f,section:0,value:0),time:(from:'2018-01-12T17:39:45-0700',mode:absolute,to:'2018-01-12T19:55:45-0700'))&amp;_a=(columns:!('Message%20ID',Summary),filters:!(),index:'emp_*',interval:auto,query:(query_string:(analyze_wildcard:!t,query:'%22rtdc.l.rtdc.4004%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866</v>
      </c>
      <c r="B211" s="225">
        <v>4004</v>
      </c>
      <c r="C211" s="227" t="s">
        <v>191</v>
      </c>
      <c r="D211" s="227" t="s">
        <v>921</v>
      </c>
      <c r="E211" s="226">
        <v>43112.776041666664</v>
      </c>
      <c r="F211" s="226">
        <v>43112.779699074075</v>
      </c>
      <c r="G211" s="225">
        <v>61</v>
      </c>
      <c r="H211" s="227" t="s">
        <v>531</v>
      </c>
      <c r="I211" s="226">
        <v>43112.788715277777</v>
      </c>
      <c r="J211" s="225">
        <v>0</v>
      </c>
      <c r="K211" s="237" t="str">
        <f>IF(ISEVEN(B211),(B211-1)&amp;"/"&amp;B211,B211&amp;"/"&amp;(B211+1))</f>
        <v>4003/4004</v>
      </c>
      <c r="L211" s="245" t="str">
        <f>VLOOKUP(A211,'Trips&amp;Operators'!$C$1:$G$99911,5,FALSE)</f>
        <v>LONG FULLER</v>
      </c>
      <c r="M211" s="224">
        <f>I211-F211</f>
        <v>9.0162037013215013E-3</v>
      </c>
      <c r="N211" s="225">
        <f>24*60*SUM($M211:$M211)</f>
        <v>12.983333329902962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-12T17:37:30-0700',mode:absolute,to:'2018-01-12T19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0</v>
      </c>
      <c r="Y211" s="247">
        <f>RIGHT(D211,LEN(D211)-4)/10000</f>
        <v>5.3900000000000003E-2</v>
      </c>
      <c r="Z211" s="247">
        <f>RIGHT(H211,LEN(H211)-4)/10000</f>
        <v>5.1900000000000002E-2</v>
      </c>
      <c r="AA211" s="247">
        <f>ABS(Z211-Y211)</f>
        <v>2.0000000000000018E-3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301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s3://rtdc.mdm.uploadarchive.raw/RTDC4004/ "%USERPROFILE%\AppData\Local\Temp\OnboardLogs"\RTDC4004\2018-01-12 --exclude "*" --recursive --include "*20180112*" &amp; "%USERPROFILE%\Documents\GitHub\mrs-test-scripts\Headless Mode &amp; Sideloading\WalkAndUnGZ.bat" "%USERPROFILE%\AppData\Local\Temp\OnboardLogs"\RTDC4004\2018-01-12 &amp; aws s3 cp s3://rtdc.mdm.uploadarchive.raw/RTDC4004/ "%USERPROFILE%\AppData\Local\Temp\OnboardLogs"\RTDC4004\2018-01-13 --exclude "*" --recursive --include "*20180113*" &amp; "%USERPROFILE%\Documents\GitHub\mrs-test-scripts\Headless Mode &amp; Sideloading\WalkAndUnGZ.bat" "%USERPROFILE%\AppData\Local\Temp\OnboardLogs"\RTDC4004\2018-01-13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/stypes="app*4004*20180113*" /stext=" 01:.+((SYSTEM_STATE.+slice.+state.+changed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24"/>
        <v>"%USERPROFILE%\Documents\GitHub\eaglep3\Utilities\RefineRTDCRunTimes.py" --tripid 301-12 --locoid 4004 --swversion DE.1.0.9.0 --startMP 204:539 --initTime 2018-01-12T18:37:30 --startdatetime 2018-01-12T18:42:46 --delay 61 --endMP 204:519 --enddatetime 2018-01-12T18:55:45 --enforcementcount 0 &gt;&gt;%USERPROFILE%\Documents\GitHub\eaglep3-reporting\EC\2018-01-12-refined-times.txt</v>
      </c>
      <c r="AI211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{"issue":{"subject":"","project_id":79,"tracker_id":40,"status_id":1,"priority_id":2,"assigned_to_id":338,"start_date":"2018-01-12","description":"","custom_fields":[{"id":1,"name":"Subdivision","value":"Other"},{"id":4,"name":"Milepost","value":"0.0519"},{"id":17,"name":"Train ID","value":"301-12"},{"id":16,"name":"Locomotive ID","value":"4004"},{"id":130,"name":"Impact","value":""},{"id":150,"name":"Time of Event (Mountain Time)","value":"18:55:45"},{"id":151,"name":"Denver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26"/>
        <v>start /low /b %USERPROFILE%\Documents\GitHub\eaglep3\Utilities\DownloadLogsFromS3.py --loco 4004 --day 2018-01-12</v>
      </c>
      <c r="AN211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28"/>
        <v>https://d0f6bd738d7f1b3e5a7ca70fe4ff75f0.us-east-1.aws.found.io/app/kibana#/discover/Steve-Slow-Train-Analysis-(2080s-and-2083s)?_g=(refreshInterval:(display:Off,pause:!f,section:0,value:0),time:(from:'2018-01-12T17:37:30-0700',mode:absolute,to:'2018-01-12T19:55:45-0700'))&amp;_a=(columns:!('Message%20ID',Summary),filters:!(),index:'emp_*',interval:auto,query:(query_string:(analyze_wildcard:!t,query:'%22rtdc.l.rtdc.4004%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703</v>
      </c>
      <c r="B212" s="225">
        <v>4039</v>
      </c>
      <c r="C212" s="227" t="s">
        <v>191</v>
      </c>
      <c r="D212" s="227" t="s">
        <v>1024</v>
      </c>
      <c r="E212" s="226">
        <v>43112.136770833335</v>
      </c>
      <c r="F212" s="226">
        <v>43112.141747685186</v>
      </c>
      <c r="G212" s="225">
        <v>62</v>
      </c>
      <c r="H212" s="227" t="s">
        <v>967</v>
      </c>
      <c r="I212" s="226">
        <v>43112.146412037036</v>
      </c>
      <c r="J212" s="225">
        <v>0</v>
      </c>
      <c r="K212" s="237" t="str">
        <f>IF(ISEVEN(B212),(B212-1)&amp;"/"&amp;B212,B212&amp;"/"&amp;(B212+1))</f>
        <v>4039/4040</v>
      </c>
      <c r="L212" s="245" t="str">
        <f>VLOOKUP(A212,'Trips&amp;Operators'!$C$1:$G$99911,5,FALSE)</f>
        <v>MAELZER KURT</v>
      </c>
      <c r="M212" s="224">
        <f>I212-F212</f>
        <v>4.6643518508062698E-3</v>
      </c>
      <c r="N212" s="225">
        <f>24*60*SUM($M212:$M212)</f>
        <v>6.7166666651610285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-12T02:16:57-0700',mode:absolute,to:'2018-01-12T04:30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1.956</v>
      </c>
      <c r="Z212" s="247">
        <f>RIGHT(H212,LEN(H212)-4)/10000</f>
        <v>1.78E-2</v>
      </c>
      <c r="AA212" s="247">
        <f>ABS(Z212-Y212)</f>
        <v>1.9381999999999999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302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s3://rtdc.mdm.uploadarchive.raw/RTDC4039/ "%USERPROFILE%\AppData\Local\Temp\OnboardLogs"\RTDC4039\2018-01-12 --exclude "*" --recursive --include "*20180112*" &amp; "%USERPROFILE%\Documents\GitHub\mrs-test-scripts\Headless Mode &amp; Sideloading\WalkAndUnGZ.bat" "%USERPROFILE%\AppData\Local\Temp\OnboardLogs"\RTDC4039\2018-01-12 &amp; aws s3 cp s3://rtdc.mdm.uploadarchive.raw/RTDC4039/ "%USERPROFILE%\AppData\Local\Temp\OnboardLogs"\RTDC4039\2018-01-13 --exclude "*" --recursive --include "*20180113*" &amp; "%USERPROFILE%\Documents\GitHub\mrs-test-scripts\Headless Mode &amp; Sideloading\WalkAndUnGZ.bat" "%USERPROFILE%\AppData\Local\Temp\OnboardLogs"\RTDC4039\2018-01-13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/stypes="app*4039*20180112*"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24"/>
        <v>"%USERPROFILE%\Documents\GitHub\eaglep3\Utilities\RefineRTDCRunTimes.py" --tripid 302-12 --locoid 4039 --swversion DE.1.0.9.0 --startMP 300:19560 --initTime 2018-01-12T03:16:57 --startdatetime 2018-01-12T03:24:07 --delay 62 --endMP 204:178 --enddatetime 2018-01-12T03:30:50 --enforcementcount 0 &gt;&gt;%USERPROFILE%\Documents\GitHub\eaglep3-reporting\EC\2018-01-12-refined-times.txt</v>
      </c>
      <c r="AI212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{"issue":{"subject":"","project_id":79,"tracker_id":40,"status_id":1,"priority_id":2,"assigned_to_id":338,"start_date":"2018-01-12","description":"","custom_fields":[{"id":1,"name":"Subdivision","value":"Other"},{"id":4,"name":"Milepost","value":"0.0178"},{"id":17,"name":"Train ID","value":"302-12"},{"id":16,"name":"Locomotive ID","value":"4039"},{"id":130,"name":"Impact","value":""},{"id":150,"name":"Time of Event (Mountain Time)","value":"03:30:50"},{"id":151,"name":"Denver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26"/>
        <v>start /low /b %USERPROFILE%\Documents\GitHub\eaglep3\Utilities\DownloadLogsFromS3.py --loco 4039 --day 2018-01-12</v>
      </c>
      <c r="AN212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10:30:50"},{"id":29,"name":"Sharepoint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28"/>
        <v>https://d0f6bd738d7f1b3e5a7ca70fe4ff75f0.us-east-1.aws.found.io/app/kibana#/discover/Steve-Slow-Train-Analysis-(2080s-and-2083s)?_g=(refreshInterval:(display:Off,pause:!f,section:0,value:0),time:(from:'2018-01-12T02:16:57-0700',mode:absolute,to:'2018-01-12T04:30:50-0700'))&amp;_a=(columns:!('Message%20ID',Summary),filters:!(),index:'emp_*',interval:auto,query:(query_string:(analyze_wildcard:!t,query:'%22rtdc.l.rtdc.4039%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3" customFormat="1" x14ac:dyDescent="0.3">
      <c r="A213" s="229" t="s">
        <v>871</v>
      </c>
      <c r="B213" s="225">
        <v>4060</v>
      </c>
      <c r="C213" s="227" t="s">
        <v>191</v>
      </c>
      <c r="D213" s="227" t="s">
        <v>1025</v>
      </c>
      <c r="E213" s="226">
        <v>43112.798136574071</v>
      </c>
      <c r="F213" s="226">
        <v>43112.799976851849</v>
      </c>
      <c r="G213" s="225">
        <v>77</v>
      </c>
      <c r="H213" s="227" t="s">
        <v>553</v>
      </c>
      <c r="I213" s="226">
        <v>43112.805671296293</v>
      </c>
      <c r="J213" s="225">
        <v>0</v>
      </c>
      <c r="K213" s="237" t="str">
        <f>IF(ISEVEN(B213),(B213-1)&amp;"/"&amp;B213,B213&amp;"/"&amp;(B213+1))</f>
        <v>4059/4060</v>
      </c>
      <c r="L213" s="245" t="str">
        <f>VLOOKUP(A213,'Trips&amp;Operators'!$C$1:$G$99911,5,FALSE)</f>
        <v>LEVIN SCOTT</v>
      </c>
      <c r="M213" s="224">
        <f>I213-F213</f>
        <v>5.694444444088731E-3</v>
      </c>
      <c r="N213" s="225">
        <f>24*60*SUM($M213:$M213)</f>
        <v>8.1999999994877726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-12T18:09:19-0700',mode:absolute,to:'2018-01-12T20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0.1153</v>
      </c>
      <c r="Z213" s="247">
        <f>RIGHT(H213,LEN(H213)-4)/10000</f>
        <v>2.3304</v>
      </c>
      <c r="AA213" s="247">
        <f>ABS(Z213-Y213)</f>
        <v>2.2151000000000001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303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/stypes="app*4060*20180113*" /stext=" 02:.+((SYSTEM_STATE.+slice.+state.+changed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24"/>
        <v>"%USERPROFILE%\Documents\GitHub\eaglep3\Utilities\RefineRTDCRunTimes.py" --tripid 303-12 --locoid 4060 --swversion DE.1.0.9.0 --startMP 204:1153 --initTime 2018-01-12T19:09:19 --startdatetime 2018-01-12T19:11:58 --delay 77 --endMP 300:23304 --enddatetime 2018-01-12T19:20:10 --enforcementcount 0 &gt;&gt;%USERPROFILE%\Documents\GitHub\eaglep3-reporting\EC\2018-01-12-refined-times.txt</v>
      </c>
      <c r="AI213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{"issue":{"subject":"","project_id":79,"tracker_id":40,"status_id":1,"priority_id":2,"assigned_to_id":338,"start_date":"2018-01-12","description":"","custom_fields":[{"id":1,"name":"Subdivision","value":"Other"},{"id":4,"name":"Milepost","value":"2.3304"},{"id":17,"name":"Train ID","value":"303-12"},{"id":16,"name":"Locomotive ID","value":"4060"},{"id":130,"name":"Impact","value":""},{"id":150,"name":"Time of Event (Mountain Time)","value":"19:20:10"},{"id":151,"name":"Denver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1"/>
      <c r="AL213" s="231"/>
      <c r="AM213" s="240" t="str">
        <f t="shared" si="26"/>
        <v>start /low /b %USERPROFILE%\Documents\GitHub\eaglep3\Utilities\DownloadLogsFromS3.py --loco 4060 --day 2018-01-12</v>
      </c>
      <c r="AN213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28"/>
        <v>https://d0f6bd738d7f1b3e5a7ca70fe4ff75f0.us-east-1.aws.found.io/app/kibana#/discover/Steve-Slow-Train-Analysis-(2080s-and-2083s)?_g=(refreshInterval:(display:Off,pause:!f,section:0,value:0),time:(from:'2018-01-12T18:09:19-0700',mode:absolute,to:'2018-01-12T20:20:10-0700'))&amp;_a=(columns:!('Message%20ID',Summary),filters:!(),index:'emp_*',interval:auto,query:(query_string:(analyze_wildcard:!t,query:'%22rtdc.l.rtdc.4060%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706</v>
      </c>
      <c r="B214" s="225">
        <v>4017</v>
      </c>
      <c r="C214" s="227" t="s">
        <v>191</v>
      </c>
      <c r="D214" s="227" t="s">
        <v>1026</v>
      </c>
      <c r="E214" s="226">
        <v>43112.161365740743</v>
      </c>
      <c r="F214" s="226">
        <v>43112.165312500001</v>
      </c>
      <c r="G214" s="225">
        <v>74</v>
      </c>
      <c r="H214" s="227" t="s">
        <v>542</v>
      </c>
      <c r="I214" s="226">
        <v>43112.170729166668</v>
      </c>
      <c r="J214" s="225">
        <v>0</v>
      </c>
      <c r="K214" s="237" t="str">
        <f>IF(ISEVEN(B214),(B214-1)&amp;"/"&amp;B214,B214&amp;"/"&amp;(B214+1))</f>
        <v>4017/4018</v>
      </c>
      <c r="L214" s="245" t="str">
        <f>VLOOKUP(A214,'Trips&amp;Operators'!$C$1:$G$99911,5,FALSE)</f>
        <v>BONDS REYNALDO</v>
      </c>
      <c r="M214" s="224">
        <f>I214-F214</f>
        <v>5.4166666668606922E-3</v>
      </c>
      <c r="N214" s="225">
        <f>24*60*SUM($M214:$M214)</f>
        <v>7.8000000002793968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-12T02:52:22-0700',mode:absolute,to:'2018-01-12T05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2.3540000000000001</v>
      </c>
      <c r="Z214" s="247">
        <f>RIGHT(H214,LEN(H214)-4)/10000</f>
        <v>2.2100000000000002E-2</v>
      </c>
      <c r="AA214" s="247">
        <f>ABS(Z214-Y214)</f>
        <v>2.3319000000000001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304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/stypes="app*4017*20180112*" /stext=" 11:.+((SYSTEM_STATE.+slice.+state.+changed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24"/>
        <v>"%USERPROFILE%\Documents\GitHub\eaglep3\Utilities\RefineRTDCRunTimes.py" --tripid 304-12 --locoid 4017 --swversion DE.1.0.9.0 --startMP 300:23540 --initTime 2018-01-12T03:52:22 --startdatetime 2018-01-12T03:58:03 --delay 74 --endMP 204:221 --enddatetime 2018-01-12T04:05:51 --enforcementcount 0 &gt;&gt;%USERPROFILE%\Documents\GitHub\eaglep3-reporting\EC\2018-01-12-refined-times.txt</v>
      </c>
      <c r="AI214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{"issue":{"subject":"","project_id":79,"tracker_id":40,"status_id":1,"priority_id":2,"assigned_to_id":338,"start_date":"2018-01-12","description":"","custom_fields":[{"id":1,"name":"Subdivision","value":"Other"},{"id":4,"name":"Milepost","value":"0.0221"},{"id":17,"name":"Train ID","value":"304-12"},{"id":16,"name":"Locomotive ID","value":"4017"},{"id":130,"name":"Impact","value":""},{"id":150,"name":"Time of Event (Mountain Time)","value":"04:05:51"},{"id":151,"name":"Denver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26"/>
        <v>start /low /b %USERPROFILE%\Documents\GitHub\eaglep3\Utilities\DownloadLogsFromS3.py --loco 4017 --day 2018-01-12</v>
      </c>
      <c r="AN214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28"/>
        <v>https://d0f6bd738d7f1b3e5a7ca70fe4ff75f0.us-east-1.aws.found.io/app/kibana#/discover/Steve-Slow-Train-Analysis-(2080s-and-2083s)?_g=(refreshInterval:(display:Off,pause:!f,section:0,value:0),time:(from:'2018-01-12T02:52:22-0700',mode:absolute,to:'2018-01-12T05:05:51-0700'))&amp;_a=(columns:!('Message%20ID',Summary),filters:!(),index:'emp_*',interval:auto,query:(query_string:(analyze_wildcard:!t,query:'%22rtdc.l.rtdc.4017%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874</v>
      </c>
      <c r="B215" s="225">
        <v>4028</v>
      </c>
      <c r="C215" s="227" t="s">
        <v>191</v>
      </c>
      <c r="D215" s="227" t="s">
        <v>641</v>
      </c>
      <c r="E215" s="226">
        <v>43112.818078703705</v>
      </c>
      <c r="F215" s="226">
        <v>43112.819236111114</v>
      </c>
      <c r="G215" s="225">
        <v>61</v>
      </c>
      <c r="H215" s="227" t="s">
        <v>491</v>
      </c>
      <c r="I215" s="226">
        <v>43112.824861111112</v>
      </c>
      <c r="J215" s="225">
        <v>0</v>
      </c>
      <c r="K215" s="237" t="str">
        <f>IF(ISEVEN(B215),(B215-1)&amp;"/"&amp;B215,B215&amp;"/"&amp;(B215+1))</f>
        <v>4027/4028</v>
      </c>
      <c r="L215" s="245" t="str">
        <f>VLOOKUP(A215,'Trips&amp;Operators'!$C$1:$G$99911,5,FALSE)</f>
        <v>ROBINSON KADDIBA</v>
      </c>
      <c r="M215" s="224">
        <f>I215-F215</f>
        <v>5.6249999979627319E-3</v>
      </c>
      <c r="N215" s="225">
        <f>24*60*SUM($M215:$M215)</f>
        <v>8.0999999970663339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-12T18:38:02-0700',mode:absolute,to:'2018-01-12T20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5.0900000000000001E-2</v>
      </c>
      <c r="Z215" s="247">
        <f>RIGHT(H215,LEN(H215)-4)/10000</f>
        <v>2.3302</v>
      </c>
      <c r="AA215" s="247">
        <f>ABS(Z215-Y215)</f>
        <v>2.2793000000000001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305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/stypes="app*4028*20180113*" /stext=" 02:.+((SYSTEM_STATE.+slice.+state.+changed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24"/>
        <v>"%USERPROFILE%\Documents\GitHub\eaglep3\Utilities\RefineRTDCRunTimes.py" --tripid 305-12 --locoid 4028 --swversion DE.1.0.9.0 --startMP 204:509 --initTime 2018-01-12T19:38:02 --startdatetime 2018-01-12T19:39:42 --delay 61 --endMP 300:23302 --enddatetime 2018-01-12T19:47:48 --enforcementcount 0 &gt;&gt;%USERPROFILE%\Documents\GitHub\eaglep3-reporting\EC\2018-01-12-refined-times.txt</v>
      </c>
      <c r="AI215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{"issue":{"subject":"","project_id":79,"tracker_id":40,"status_id":1,"priority_id":2,"assigned_to_id":338,"start_date":"2018-01-12","description":"","custom_fields":[{"id":1,"name":"Subdivision","value":"Other"},{"id":4,"name":"Milepost","value":"2.3302"},{"id":17,"name":"Train ID","value":"305-12"},{"id":16,"name":"Locomotive ID","value":"4028"},{"id":130,"name":"Impact","value":""},{"id":150,"name":"Time of Event (Mountain Time)","value":"19:47:48"},{"id":151,"name":"Denver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26"/>
        <v>start /low /b %USERPROFILE%\Documents\GitHub\eaglep3\Utilities\DownloadLogsFromS3.py --loco 4028 --day 2018-01-12</v>
      </c>
      <c r="AN215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02:47:48"},{"id":29,"name":"Sharepoint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28"/>
        <v>https://d0f6bd738d7f1b3e5a7ca70fe4ff75f0.us-east-1.aws.found.io/app/kibana#/discover/Steve-Slow-Train-Analysis-(2080s-and-2083s)?_g=(refreshInterval:(display:Off,pause:!f,section:0,value:0),time:(from:'2018-01-12T18:38:02-0700',mode:absolute,to:'2018-01-12T20:47:48-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707</v>
      </c>
      <c r="B216" s="225">
        <v>4005</v>
      </c>
      <c r="C216" s="227" t="s">
        <v>191</v>
      </c>
      <c r="D216" s="227" t="s">
        <v>1027</v>
      </c>
      <c r="E216" s="226">
        <v>43112.169814814813</v>
      </c>
      <c r="F216" s="226">
        <v>43112.175694444442</v>
      </c>
      <c r="G216" s="225">
        <v>84</v>
      </c>
      <c r="H216" s="227" t="s">
        <v>622</v>
      </c>
      <c r="I216" s="226">
        <v>43112.181122685186</v>
      </c>
      <c r="J216" s="225">
        <v>0</v>
      </c>
      <c r="K216" s="237" t="str">
        <f>IF(ISEVEN(B216),(B216-1)&amp;"/"&amp;B216,B216&amp;"/"&amp;(B216+1))</f>
        <v>4005/4006</v>
      </c>
      <c r="L216" s="245" t="str">
        <f>VLOOKUP(A216,'Trips&amp;Operators'!$C$1:$G$99911,5,FALSE)</f>
        <v>GEBRETEKLE DAGNEW</v>
      </c>
      <c r="M216" s="224">
        <f>I216-F216</f>
        <v>5.4282407436403446E-3</v>
      </c>
      <c r="N216" s="225">
        <f>24*60*SUM($M216:$M216)</f>
        <v>7.8166666708420962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-12T03:04:32-0700',mode:absolute,to:'2018-01-12T05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2.3757999999999999</v>
      </c>
      <c r="Z216" s="247">
        <f>RIGHT(H216,LEN(H216)-4)/10000</f>
        <v>1.6299999999999999E-2</v>
      </c>
      <c r="AA216" s="247">
        <f>ABS(Z216-Y216)</f>
        <v>2.3594999999999997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306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 &amp; aws s3 cp s3://rtdc.mdm.uploadarchive.raw/RTDC4005/ "%USERPROFILE%\AppData\Local\Temp\OnboardLogs"\RTDC4005\2018-01-13 --exclude "*" --recursive --include "*20180113*" &amp; "%USERPROFILE%\Documents\GitHub\mrs-test-scripts\Headless Mode &amp; Sideloading\WalkAndUnGZ.bat" "%USERPROFILE%\AppData\Local\Temp\OnboardLogs"\RTDC4005\2018-01-13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/stypes="app*4005*20180112*" /stext=" 11:.+((SYSTEM_STATE.+slice.+state.+changed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24"/>
        <v>"%USERPROFILE%\Documents\GitHub\eaglep3\Utilities\RefineRTDCRunTimes.py" --tripid 306-12 --locoid 4005 --swversion DE.1.0.9.0 --startMP 300:23758 --initTime 2018-01-12T04:04:32 --startdatetime 2018-01-12T04:13:00 --delay 84 --endMP 204:163 --enddatetime 2018-01-12T04:20:49 --enforcementcount 0 &gt;&gt;%USERPROFILE%\Documents\GitHub\eaglep3-reporting\EC\2018-01-12-refined-times.txt</v>
      </c>
      <c r="AI216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{"issue":{"subject":"","project_id":79,"tracker_id":40,"status_id":1,"priority_id":2,"assigned_to_id":338,"start_date":"2018-01-12","description":"","custom_fields":[{"id":1,"name":"Subdivision","value":"Other"},{"id":4,"name":"Milepost","value":"0.0163"},{"id":17,"name":"Train ID","value":"306-12"},{"id":16,"name":"Locomotive ID","value":"4005"},{"id":130,"name":"Impact","value":""},{"id":150,"name":"Time of Event (Mountain Time)","value":"04:20:49"},{"id":151,"name":"Denver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26"/>
        <v>start /low /b %USERPROFILE%\Documents\GitHub\eaglep3\Utilities\DownloadLogsFromS3.py --loco 4005 --day 2018-01-12</v>
      </c>
      <c r="AN216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28"/>
        <v>https://d0f6bd738d7f1b3e5a7ca70fe4ff75f0.us-east-1.aws.found.io/app/kibana#/discover/Steve-Slow-Train-Analysis-(2080s-and-2083s)?_g=(refreshInterval:(display:Off,pause:!f,section:0,value:0),time:(from:'2018-01-12T03:04:32-0700',mode:absolute,to:'2018-01-12T05:20:49-0700'))&amp;_a=(columns:!('Message%20ID',Summary),filters:!(),index:'emp_*',interval:auto,query:(query_string:(analyze_wildcard:!t,query:'%22rtdc.l.rtdc.4005%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902</v>
      </c>
      <c r="B217" s="225">
        <v>4040</v>
      </c>
      <c r="C217" s="227" t="s">
        <v>191</v>
      </c>
      <c r="D217" s="227" t="s">
        <v>916</v>
      </c>
      <c r="E217" s="226">
        <v>43113.04792824074</v>
      </c>
      <c r="F217" s="226">
        <v>43113.049328703702</v>
      </c>
      <c r="G217" s="225">
        <v>63</v>
      </c>
      <c r="H217" s="227" t="s">
        <v>1028</v>
      </c>
      <c r="I217" s="226">
        <v>43113.055983796294</v>
      </c>
      <c r="J217" s="225">
        <v>0</v>
      </c>
      <c r="K217" s="237" t="str">
        <f>IF(ISEVEN(B217),(B217-1)&amp;"/"&amp;B217,B217&amp;"/"&amp;(B217+1))</f>
        <v>4039/4040</v>
      </c>
      <c r="L217" s="245" t="str">
        <f>VLOOKUP(A217,'Trips&amp;Operators'!$C$1:$G$99911,5,FALSE)</f>
        <v>ANDREA WILLIAMS</v>
      </c>
      <c r="M217" s="224">
        <f>I217-F217</f>
        <v>6.655092591245193E-3</v>
      </c>
      <c r="N217" s="225">
        <f>24*60*SUM($M217:$M217)</f>
        <v>9.583333331393078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-13T00:09:01-0700',mode:absolute,to:'2018-01-13T02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5.3999999999999999E-2</v>
      </c>
      <c r="Z217" s="247">
        <f>RIGHT(H217,LEN(H217)-4)/10000</f>
        <v>2.3315999999999999</v>
      </c>
      <c r="AA217" s="247">
        <f>ABS(Z217-Y217)</f>
        <v>2.2776000000000001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307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 &amp; aws s3 cp s3://rtdc.mdm.uploadarchive.raw/RTDC4040/ "%USERPROFILE%\AppData\Local\Temp\OnboardLogs"\RTDC4040\2018-01-14 --exclude "*" --recursive --include "*20180114*" &amp; "%USERPROFILE%\Documents\GitHub\mrs-test-scripts\Headless Mode &amp; Sideloading\WalkAndUnGZ.bat" "%USERPROFILE%\AppData\Local\Temp\OnboardLogs"\RTDC4040\2018-01-14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/stypes="app*4040*20180113*" /stext=" 08:.+((SYSTEM_STATE.+slice.+state.+changed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si="24"/>
        <v>"%USERPROFILE%\Documents\GitHub\eaglep3\Utilities\RefineRTDCRunTimes.py" --tripid 307-12 --locoid 4040 --swversion DE.1.0.9.0 --startMP 204:540 --initTime 2018-01-13T01:09:01 --startdatetime 2018-01-13T01:11:02 --delay 63 --endMP 300:23316 --enddatetime 2018-01-13T01:20:37 --enforcementcount 0 &gt;&gt;%USERPROFILE%\Documents\GitHub\eaglep3-reporting\EC\2018-01-12-refined-times.txt</v>
      </c>
      <c r="AI217" s="238" t="str">
        <f t="shared" si="25"/>
        <v>echo {"issue":{"subject":"","project_id":79,"tracker_id":40,"status_id":1,"priority_id":2,"assigned_to_id":338,"start_date":"2018-01-13","description":"","custom_fields":[{"id":1,"name":"Subdivision","value":"Other"},{"id":4,"name":"Milepost","value":"2.3316"},{"id":17,"name":"Train ID","value":"307-12"},{"id":16,"name":"Locomotive ID","value":"4040"},{"id":130,"name":"Impact","value":""},{"id":150,"name":"Time of Event (Mountain Time)","value":"01:20:37"},{"id":151,"name":"Denver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26"/>
        <v>start /low /b %USERPROFILE%\Documents\GitHub\eaglep3\Utilities\DownloadLogsFromS3.py --loco 4040 --day 2018-01-13</v>
      </c>
      <c r="AN217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08:20:37"},{"id":29,"name":"Sharepoint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28"/>
        <v>https://d0f6bd738d7f1b3e5a7ca70fe4ff75f0.us-east-1.aws.found.io/app/kibana#/discover/Steve-Slow-Train-Analysis-(2080s-and-2083s)?_g=(refreshInterval:(display:Off,pause:!f,section:0,value:0),time:(from:'2018-01-13T00:09:01-0700',mode:absolute,to:'2018-01-13T02:20:37-0700'))&amp;_a=(columns:!('Message%20ID',Summary),filters:!(),index:'emp_*',interval:auto,query:(query_string:(analyze_wildcard:!t,query:'%22rtdc.l.rtdc.4040%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709</v>
      </c>
      <c r="B218" s="225">
        <v>4003</v>
      </c>
      <c r="C218" s="227" t="s">
        <v>191</v>
      </c>
      <c r="D218" s="227" t="s">
        <v>1029</v>
      </c>
      <c r="E218" s="226">
        <v>43112.177303240744</v>
      </c>
      <c r="F218" s="226">
        <v>43112.182951388888</v>
      </c>
      <c r="G218" s="225">
        <v>136</v>
      </c>
      <c r="H218" s="227" t="s">
        <v>644</v>
      </c>
      <c r="I218" s="226">
        <v>43112.190162037034</v>
      </c>
      <c r="J218" s="225">
        <v>0</v>
      </c>
      <c r="K218" s="237" t="str">
        <f>IF(ISEVEN(B218),(B218-1)&amp;"/"&amp;B218,B218&amp;"/"&amp;(B218+1))</f>
        <v>4003/4004</v>
      </c>
      <c r="L218" s="245" t="str">
        <f>VLOOKUP(A218,'Trips&amp;Operators'!$C$1:$G$99911,5,FALSE)</f>
        <v>LOPES KIMBERLY</v>
      </c>
      <c r="M218" s="224">
        <f>I218-F218</f>
        <v>7.2106481457012706E-3</v>
      </c>
      <c r="N218" s="225">
        <f>24*60*SUM($M218:$M218)</f>
        <v>10.38333332980983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-12T03:15:19-0700',mode:absolute,to:'2018-01-12T05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2.3349000000000002</v>
      </c>
      <c r="Z218" s="247">
        <f>RIGHT(H218,LEN(H218)-4)/10000</f>
        <v>2.1999999999999999E-2</v>
      </c>
      <c r="AA218" s="247">
        <f>ABS(Z218-Y218)</f>
        <v>2.3129000000000004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308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/stypes="app*4003*20180112*" /stext=" 11:.+((SYSTEM_STATE.+slice.+state.+changed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24"/>
        <v>"%USERPROFILE%\Documents\GitHub\eaglep3\Utilities\RefineRTDCRunTimes.py" --tripid 308-12 --locoid 4003 --swversion DE.1.0.9.0 --startMP 300:23349 --initTime 2018-01-12T04:15:19 --startdatetime 2018-01-12T04:23:27 --delay 136 --endMP 204:220 --enddatetime 2018-01-12T04:33:50 --enforcementcount 0 &gt;&gt;%USERPROFILE%\Documents\GitHub\eaglep3-reporting\EC\2018-01-12-refined-times.txt</v>
      </c>
      <c r="AI218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{"issue":{"subject":"","project_id":79,"tracker_id":40,"status_id":1,"priority_id":2,"assigned_to_id":338,"start_date":"2018-01-12","description":"","custom_fields":[{"id":1,"name":"Subdivision","value":"Other"},{"id":4,"name":"Milepost","value":"0.022"},{"id":17,"name":"Train ID","value":"308-12"},{"id":16,"name":"Locomotive ID","value":"4003"},{"id":130,"name":"Impact","value":""},{"id":150,"name":"Time of Event (Mountain Time)","value":"04:33:50"},{"id":151,"name":"Denver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26"/>
        <v>start /low /b %USERPROFILE%\Documents\GitHub\eaglep3\Utilities\DownloadLogsFromS3.py --loco 4003 --day 2018-01-12</v>
      </c>
      <c r="AN218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28"/>
        <v>https://d0f6bd738d7f1b3e5a7ca70fe4ff75f0.us-east-1.aws.found.io/app/kibana#/discover/Steve-Slow-Train-Analysis-(2080s-and-2083s)?_g=(refreshInterval:(display:Off,pause:!f,section:0,value:0),time:(from:'2018-01-12T03:15:19-0700',mode:absolute,to:'2018-01-12T05:33:50-0700'))&amp;_a=(columns:!('Message%20ID',Summary),filters:!(),index:'emp_*',interval:auto,query:(query_string:(analyze_wildcard:!t,query:'%22rtdc.l.rtdc.4003%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904</v>
      </c>
      <c r="B219" s="225">
        <v>4018</v>
      </c>
      <c r="C219" s="227" t="s">
        <v>191</v>
      </c>
      <c r="D219" s="227" t="s">
        <v>626</v>
      </c>
      <c r="E219" s="226">
        <v>43113.070081018515</v>
      </c>
      <c r="F219" s="226">
        <v>43113.071909722225</v>
      </c>
      <c r="G219" s="225">
        <v>93</v>
      </c>
      <c r="H219" s="227" t="s">
        <v>491</v>
      </c>
      <c r="I219" s="226">
        <v>43113.083449074074</v>
      </c>
      <c r="J219" s="225">
        <v>0</v>
      </c>
      <c r="K219" s="237" t="str">
        <f>IF(ISEVEN(B219),(B219-1)&amp;"/"&amp;B219,B219&amp;"/"&amp;(B219+1))</f>
        <v>4017/4018</v>
      </c>
      <c r="L219" s="245" t="str">
        <f>VLOOKUP(A219,'Trips&amp;Operators'!$C$1:$G$99911,5,FALSE)</f>
        <v>NICHOLSON WESLEY</v>
      </c>
      <c r="M219" s="224">
        <f>I219-F219</f>
        <v>1.1539351849933155E-2</v>
      </c>
      <c r="N219" s="225">
        <f>24*60*SUM($M219:$M219)</f>
        <v>16.616666663903743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-13T00:40:55-0700',mode:absolute,to:'2018-01-13T03:00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5.2900000000000003E-2</v>
      </c>
      <c r="Z219" s="247">
        <f>RIGHT(H219,LEN(H219)-4)/10000</f>
        <v>2.3302</v>
      </c>
      <c r="AA219" s="247">
        <f>ABS(Z219-Y219)</f>
        <v>2.2772999999999999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309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s3://rtdc.mdm.uploadarchive.raw/RTDC4018/ "%USERPROFILE%\AppData\Local\Temp\OnboardLogs"\RTDC4018\2018-01-13 --exclude "*" --recursive --include "*20180113*" &amp; "%USERPROFILE%\Documents\GitHub\mrs-test-scripts\Headless Mode &amp; Sideloading\WalkAndUnGZ.bat" "%USERPROFILE%\AppData\Local\Temp\OnboardLogs"\RTDC4018\2018-01-13 &amp; aws s3 cp s3://rtdc.mdm.uploadarchive.raw/RTDC4018/ "%USERPROFILE%\AppData\Local\Temp\OnboardLogs"\RTDC4018\2018-01-14 --exclude "*" --recursive --include "*20180114*" &amp; "%USERPROFILE%\Documents\GitHub\mrs-test-scripts\Headless Mode &amp; Sideloading\WalkAndUnGZ.bat" "%USERPROFILE%\AppData\Local\Temp\OnboardLogs"\RTDC4018\2018-01-14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/stypes="app*4018*20180113*" /stext=" 09:.+((SYSTEM_STATE.+slice.+state.+changed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24"/>
        <v>"%USERPROFILE%\Documents\GitHub\eaglep3\Utilities\RefineRTDCRunTimes.py" --tripid 309-12 --locoid 4018 --swversion DE.1.0.9.0 --startMP 204:529 --initTime 2018-01-13T01:40:55 --startdatetime 2018-01-13T01:43:33 --delay 93 --endMP 300:23302 --enddatetime 2018-01-13T02:00:10 --enforcementcount 0 &gt;&gt;%USERPROFILE%\Documents\GitHub\eaglep3-reporting\EC\2018-01-12-refined-times.txt</v>
      </c>
      <c r="AI219" s="238" t="str">
        <f t="shared" si="25"/>
        <v>echo {"issue":{"subject":"","project_id":79,"tracker_id":40,"status_id":1,"priority_id":2,"assigned_to_id":338,"start_date":"2018-01-13","description":"","custom_fields":[{"id":1,"name":"Subdivision","value":"Other"},{"id":4,"name":"Milepost","value":"2.3302"},{"id":17,"name":"Train ID","value":"309-12"},{"id":16,"name":"Locomotive ID","value":"4018"},{"id":130,"name":"Impact","value":""},{"id":150,"name":"Time of Event (Mountain Time)","value":"02:00:10"},{"id":151,"name":"Denver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26"/>
        <v>start /low /b %USERPROFILE%\Documents\GitHub\eaglep3\Utilities\DownloadLogsFromS3.py --loco 4018 --day 2018-01-13</v>
      </c>
      <c r="AN219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09:00:10"},{"id":29,"name":"Sharepoint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28"/>
        <v>https://d0f6bd738d7f1b3e5a7ca70fe4ff75f0.us-east-1.aws.found.io/app/kibana#/discover/Steve-Slow-Train-Analysis-(2080s-and-2083s)?_g=(refreshInterval:(display:Off,pause:!f,section:0,value:0),time:(from:'2018-01-13T00:40:55-0700',mode:absolute,to:'2018-01-13T03:00:10-0700'))&amp;_a=(columns:!('Message%20ID',Summary),filters:!(),index:'emp_*',interval:auto,query:(query_string:(analyze_wildcard:!t,query:'%22rtdc.l.rtdc.4018%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 s="229" t="s">
        <v>713</v>
      </c>
      <c r="B220" s="225">
        <v>4059</v>
      </c>
      <c r="C220" s="227" t="s">
        <v>191</v>
      </c>
      <c r="D220" s="227" t="s">
        <v>1030</v>
      </c>
      <c r="E220" s="226">
        <v>43112.195706018516</v>
      </c>
      <c r="F220" s="226">
        <v>43112.200636574074</v>
      </c>
      <c r="G220" s="225">
        <v>177</v>
      </c>
      <c r="H220" s="227" t="s">
        <v>475</v>
      </c>
      <c r="I220" s="226">
        <v>43112.206307870372</v>
      </c>
      <c r="J220" s="225">
        <v>0</v>
      </c>
      <c r="K220" s="237" t="str">
        <f>IF(ISEVEN(B220),(B220-1)&amp;"/"&amp;B220,B220&amp;"/"&amp;(B220+1))</f>
        <v>4059/4060</v>
      </c>
      <c r="L220" s="245" t="str">
        <f>VLOOKUP(A220,'Trips&amp;Operators'!$C$1:$G$99911,5,FALSE)</f>
        <v>MACDONALD THOMAS</v>
      </c>
      <c r="M220" s="224">
        <f>I220-F220</f>
        <v>5.6712962978053838E-3</v>
      </c>
      <c r="N220" s="225">
        <f>24*60*SUM($M220:$M220)</f>
        <v>8.1666666688397527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-12T03:41:49-0700',mode:absolute,to:'2018-01-12T05:57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1</v>
      </c>
      <c r="Y220" s="247">
        <f>RIGHT(D220,LEN(D220)-4)/10000</f>
        <v>2.35</v>
      </c>
      <c r="Z220" s="247">
        <f>RIGHT(H220,LEN(H220)-4)/10000</f>
        <v>2.23E-2</v>
      </c>
      <c r="AA220" s="247">
        <f>ABS(Z220-Y220)</f>
        <v>2.3277000000000001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310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/stypes="app*4059*20180112*" /stext=" 11:.+((SYSTEM_STATE.+slice.+state.+changed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24"/>
        <v>"%USERPROFILE%\Documents\GitHub\eaglep3\Utilities\RefineRTDCRunTimes.py" --tripid 310-12 --locoid 4059 --swversion DE.1.0.9.0 --startMP 300:23500 --initTime 2018-01-12T04:41:49 --startdatetime 2018-01-12T04:48:55 --delay 177 --endMP 204:223 --enddatetime 2018-01-12T04:57:05 --enforcementcount 0 &gt;&gt;%USERPROFILE%\Documents\GitHub\eaglep3-reporting\EC\2018-01-12-refined-times.txt</v>
      </c>
      <c r="AI220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{"issue":{"subject":"","project_id":79,"tracker_id":40,"status_id":1,"priority_id":2,"assigned_to_id":338,"start_date":"2018-01-12","description":"","custom_fields":[{"id":1,"name":"Subdivision","value":"Other"},{"id":4,"name":"Milepost","value":"0.0223"},{"id":17,"name":"Train ID","value":"310-12"},{"id":16,"name":"Locomotive ID","value":"4059"},{"id":130,"name":"Impact","value":""},{"id":150,"name":"Time of Event (Mountain Time)","value":"04:57:05"},{"id":151,"name":"Denver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1"/>
      <c r="AL220" s="231"/>
      <c r="AM220" s="240" t="str">
        <f t="shared" si="26"/>
        <v>start /low /b %USERPROFILE%\Documents\GitHub\eaglep3\Utilities\DownloadLogsFromS3.py --loco 4059 --day 2018-01-12</v>
      </c>
      <c r="AN220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11:57:05"},{"id":29,"name":"Sharepoint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28"/>
        <v>https://d0f6bd738d7f1b3e5a7ca70fe4ff75f0.us-east-1.aws.found.io/app/kibana#/discover/Steve-Slow-Train-Analysis-(2080s-and-2083s)?_g=(refreshInterval:(display:Off,pause:!f,section:0,value:0),time:(from:'2018-01-12T03:41:49-0700',mode:absolute,to:'2018-01-12T05:57:05-0700'))&amp;_a=(columns:!('Message%20ID',Summary),filters:!(),index:'emp_*',interval:auto,query:(query_string:(analyze_wildcard:!t,query:'%22rtdc.l.rtdc.4059%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722</v>
      </c>
      <c r="B221" s="225">
        <v>4027</v>
      </c>
      <c r="C221" s="227" t="s">
        <v>191</v>
      </c>
      <c r="D221" s="227" t="s">
        <v>1031</v>
      </c>
      <c r="E221" s="226">
        <v>43112.221215277779</v>
      </c>
      <c r="F221" s="226">
        <v>43112.223969907405</v>
      </c>
      <c r="G221" s="225">
        <v>62</v>
      </c>
      <c r="H221" s="227" t="s">
        <v>940</v>
      </c>
      <c r="I221" s="226">
        <v>43112.231840277775</v>
      </c>
      <c r="J221" s="225">
        <v>0</v>
      </c>
      <c r="K221" s="237" t="str">
        <f>IF(ISEVEN(B221),(B221-1)&amp;"/"&amp;B221,B221&amp;"/"&amp;(B221+1))</f>
        <v>4027/4028</v>
      </c>
      <c r="L221" s="245" t="str">
        <f>VLOOKUP(A221,'Trips&amp;Operators'!$C$1:$G$99911,5,FALSE)</f>
        <v>YANAI IAN</v>
      </c>
      <c r="M221" s="224">
        <f>I221-F221</f>
        <v>7.8703703693463467E-3</v>
      </c>
      <c r="N221" s="225">
        <f>24*60*SUM($M221:$M221)</f>
        <v>11.333333331858739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-12T04:18:33-0700',mode:absolute,to:'2018-01-12T06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2</v>
      </c>
      <c r="Y221" s="247">
        <f>RIGHT(D221,LEN(D221)-4)/10000</f>
        <v>2.3723999999999998</v>
      </c>
      <c r="Z221" s="247">
        <f>RIGHT(H221,LEN(H221)-4)/10000</f>
        <v>2.12E-2</v>
      </c>
      <c r="AA221" s="247">
        <f>ABS(Z221-Y221)</f>
        <v>2.3512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312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/stypes="app*4027*20180112*" /stext=" 12:.+((SYSTEM_STATE.+slice.+state.+changed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24"/>
        <v>"%USERPROFILE%\Documents\GitHub\eaglep3\Utilities\RefineRTDCRunTimes.py" --tripid 312-12 --locoid 4027 --swversion DE.1.0.9.0 --startMP 300:23724 --initTime 2018-01-12T05:18:33 --startdatetime 2018-01-12T05:22:31 --delay 62 --endMP 204:212 --enddatetime 2018-01-12T05:33:51 --enforcementcount 0 &gt;&gt;%USERPROFILE%\Documents\GitHub\eaglep3-reporting\EC\2018-01-12-refined-times.txt</v>
      </c>
      <c r="AI221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{"issue":{"subject":"","project_id":79,"tracker_id":40,"status_id":1,"priority_id":2,"assigned_to_id":338,"start_date":"2018-01-12","description":"","custom_fields":[{"id":1,"name":"Subdivision","value":"Other"},{"id":4,"name":"Milepost","value":"0.0212"},{"id":17,"name":"Train ID","value":"312-12"},{"id":16,"name":"Locomotive ID","value":"4027"},{"id":130,"name":"Impact","value":""},{"id":150,"name":"Time of Event (Mountain Time)","value":"05:33:51"},{"id":151,"name":"Denver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26"/>
        <v>start /low /b %USERPROFILE%\Documents\GitHub\eaglep3\Utilities\DownloadLogsFromS3.py --loco 4027 --day 2018-01-12</v>
      </c>
      <c r="AN221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28"/>
        <v>https://d0f6bd738d7f1b3e5a7ca70fe4ff75f0.us-east-1.aws.found.io/app/kibana#/discover/Steve-Slow-Train-Analysis-(2080s-and-2083s)?_g=(refreshInterval:(display:Off,pause:!f,section:0,value:0),time:(from:'2018-01-12T04:18:33-0700',mode:absolute,to:'2018-01-12T06:33:51-0700'))&amp;_a=(columns:!('Message%20ID',Summary),filters:!(),index:'emp_*',interval:auto,query:(query_string:(analyze_wildcard:!t,query:'%22rtdc.l.rtdc.4027%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717</v>
      </c>
      <c r="B222" s="225">
        <v>4016</v>
      </c>
      <c r="C222" s="227" t="s">
        <v>191</v>
      </c>
      <c r="D222" s="227" t="s">
        <v>1084</v>
      </c>
      <c r="E222" s="226">
        <v>43112.201967592591</v>
      </c>
      <c r="F222" s="226">
        <v>43112.206678240742</v>
      </c>
      <c r="G222" s="225">
        <v>120</v>
      </c>
      <c r="H222" s="227" t="s">
        <v>1055</v>
      </c>
      <c r="I222" s="226">
        <v>43112.212361111109</v>
      </c>
      <c r="J222" s="225">
        <v>0</v>
      </c>
      <c r="K222" s="237" t="str">
        <f>IF(ISEVEN(B222),(B222-1)&amp;"/"&amp;B222,B222&amp;"/"&amp;(B222+1))</f>
        <v>4015/4016</v>
      </c>
      <c r="L222" s="245" t="str">
        <f>VLOOKUP(A222,'Trips&amp;Operators'!$C$1:$G$99911,5,FALSE)</f>
        <v>WILLIAMS DONTE</v>
      </c>
      <c r="M222" s="224">
        <f>I222-F222</f>
        <v>5.6828703673090786E-3</v>
      </c>
      <c r="N222" s="225">
        <f>24*60*SUM($M222:$M222)</f>
        <v>8.1833333289250731</v>
      </c>
      <c r="O222" s="225"/>
      <c r="P222" s="225"/>
      <c r="Q222" s="228"/>
      <c r="R222" s="242"/>
      <c r="S222" s="249">
        <f>1/IF(AG222="EC",12,1)*SUM(U222:U222)</f>
        <v>0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-12T03:50:50-0700',mode:absolute,to:'2018-01-12T06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589</v>
      </c>
      <c r="Y222" s="247">
        <f>RIGHT(D222,LEN(D222)-4)/10000</f>
        <v>2.9996999999999998</v>
      </c>
      <c r="Z222" s="247">
        <f>RIGHT(H222,LEN(H222)-4)/10000</f>
        <v>5.8930999999999996</v>
      </c>
      <c r="AA222" s="247">
        <f>ABS(Z222-Y222)</f>
        <v>2.8933999999999997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901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/stypes="app*4016*20180112*"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24"/>
        <v>"%USERPROFILE%\Documents\GitHub\eaglep3\Utilities\RefineRTDCRunTimes.py" --tripid 901-12 --locoid 4016 --swversion DE.1.0.9.0 --startMP 300:29997 --initTime 2018-01-12T04:50:50 --startdatetime 2018-01-12T04:57:37 --delay 120 --endMP 300:58931 --enddatetime 2018-01-12T05:05:48 --enforcementcount 0 &gt;&gt;%USERPROFILE%\Documents\GitHub\eaglep3-reporting\EC\2018-01-12-refined-times.txt</v>
      </c>
      <c r="AI222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{"issue":{"subject":"","project_id":79,"tracker_id":40,"status_id":1,"priority_id":2,"assigned_to_id":338,"start_date":"2018-01-12","description":"","custom_fields":[{"id":1,"name":"Subdivision","value":"Other"},{"id":4,"name":"Milepost","value":"5.8931"},{"id":17,"name":"Train ID","value":"901-12"},{"id":16,"name":"Locomotive ID","value":"4016"},{"id":130,"name":"Impact","value":""},{"id":150,"name":"Time of Event (Mountain Time)","value":"05:05:48"},{"id":151,"name":"Denver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26"/>
        <v>start /low /b %USERPROFILE%\Documents\GitHub\eaglep3\Utilities\DownloadLogsFromS3.py --loco 4016 --day 2018-01-12</v>
      </c>
      <c r="AN222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28"/>
        <v>https://d0f6bd738d7f1b3e5a7ca70fe4ff75f0.us-east-1.aws.found.io/app/kibana#/discover/Steve-Slow-Train-Analysis-(2080s-and-2083s)?_g=(refreshInterval:(display:Off,pause:!f,section:0,value:0),time:(from:'2018-01-12T03:50:50-0700',mode:absolute,to:'2018-01-12T06:05:48-0700'))&amp;_a=(columns:!('Message%20ID',Summary),filters:!(),index:'emp_*',interval:auto,query:(query_string:(analyze_wildcard:!t,query:'%22rtdc.l.rtdc.4016%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 s="229" t="s">
        <v>728</v>
      </c>
      <c r="B223" s="225">
        <v>4051</v>
      </c>
      <c r="C223" s="227" t="s">
        <v>191</v>
      </c>
      <c r="D223" s="227" t="s">
        <v>1085</v>
      </c>
      <c r="E223" s="226">
        <v>43112.242488425924</v>
      </c>
      <c r="F223" s="226">
        <v>43112.244780092595</v>
      </c>
      <c r="G223" s="225">
        <v>66</v>
      </c>
      <c r="H223" s="227" t="s">
        <v>1086</v>
      </c>
      <c r="I223" s="226">
        <v>43112.2497337963</v>
      </c>
      <c r="J223" s="225">
        <v>0</v>
      </c>
      <c r="K223" s="237" t="str">
        <f>IF(ISEVEN(B223),(B223-1)&amp;"/"&amp;B223,B223&amp;"/"&amp;(B223+1))</f>
        <v>4051/4052</v>
      </c>
      <c r="L223" s="245" t="str">
        <f>VLOOKUP(A223,'Trips&amp;Operators'!$C$1:$G$99911,5,FALSE)</f>
        <v>BIRENBAUM THOMAS</v>
      </c>
      <c r="M223" s="224">
        <f>I223-F223</f>
        <v>4.9537037048139609E-3</v>
      </c>
      <c r="N223" s="225">
        <f>24*60*SUM($M223:$M223)</f>
        <v>7.1333333349321038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-12T04:49:11-0700',mode:absolute,to:'2018-01-12T06:59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2.3382999999999998</v>
      </c>
      <c r="Z223" s="247">
        <f>RIGHT(H223,LEN(H223)-4)/10000</f>
        <v>1.1299999999999999E-2</v>
      </c>
      <c r="AA223" s="247">
        <f>ABS(Z223-Y223)</f>
        <v>2.327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902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/stypes="app*4051*20180112*" /stext=" 12:.+((SYSTEM_STATE.+slice.+state.+changed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24"/>
        <v>"%USERPROFILE%\Documents\GitHub\eaglep3\Utilities\RefineRTDCRunTimes.py" --tripid 902-12 --locoid 4051 --swversion DE.1.0.9.0 --startMP 300:23383 --initTime 2018-01-12T05:49:11 --startdatetime 2018-01-12T05:52:29 --delay 66 --endMP 204:113 --enddatetime 2018-01-12T05:59:37 --enforcementcount 0 &gt;&gt;%USERPROFILE%\Documents\GitHub\eaglep3-reporting\EC\2018-01-12-refined-times.txt</v>
      </c>
      <c r="AI223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{"issue":{"subject":"","project_id":79,"tracker_id":40,"status_id":1,"priority_id":2,"assigned_to_id":338,"start_date":"2018-01-12","description":"","custom_fields":[{"id":1,"name":"Subdivision","value":"Other"},{"id":4,"name":"Milepost","value":"0.0113"},{"id":17,"name":"Train ID","value":"902-12"},{"id":16,"name":"Locomotive ID","value":"4051"},{"id":130,"name":"Impact","value":""},{"id":150,"name":"Time of Event (Mountain Time)","value":"05:59:37"},{"id":151,"name":"Denver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26"/>
        <v>start /low /b %USERPROFILE%\Documents\GitHub\eaglep3\Utilities\DownloadLogsFromS3.py --loco 4051 --day 2018-01-12</v>
      </c>
      <c r="AN223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12:59:37"},{"id":29,"name":"Sharepoint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28"/>
        <v>https://d0f6bd738d7f1b3e5a7ca70fe4ff75f0.us-east-1.aws.found.io/app/kibana#/discover/Steve-Slow-Train-Analysis-(2080s-and-2083s)?_g=(refreshInterval:(display:Off,pause:!f,section:0,value:0),time:(from:'2018-01-12T04:49:11-0700',mode:absolute,to:'2018-01-12T06:59:37-0700'))&amp;_a=(columns:!('Message%20ID',Summary),filters:!(),index:'emp_*',interval:auto,query:(query_string:(analyze_wildcard:!t,query:'%22rtdc.l.rtdc.4051%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 s="229" t="s">
        <v>765</v>
      </c>
      <c r="B224" s="225">
        <v>4016</v>
      </c>
      <c r="C224" s="227" t="s">
        <v>191</v>
      </c>
      <c r="D224" s="227" t="s">
        <v>1087</v>
      </c>
      <c r="E224" s="226">
        <v>43112.353680555556</v>
      </c>
      <c r="F224" s="226">
        <v>43112.356412037036</v>
      </c>
      <c r="G224" s="225">
        <v>73</v>
      </c>
      <c r="H224" s="227" t="s">
        <v>1088</v>
      </c>
      <c r="I224" s="226">
        <v>43112.363495370373</v>
      </c>
      <c r="J224" s="225">
        <v>0</v>
      </c>
      <c r="K224" s="237" t="str">
        <f>IF(ISEVEN(B224),(B224-1)&amp;"/"&amp;B224,B224&amp;"/"&amp;(B224+1))</f>
        <v>4015/4016</v>
      </c>
      <c r="L224" s="245" t="str">
        <f>VLOOKUP(A224,'Trips&amp;Operators'!$C$1:$G$99911,5,FALSE)</f>
        <v>WILLIAMS DONTE</v>
      </c>
      <c r="M224" s="224">
        <f>I224-F224</f>
        <v>7.0833333375048824E-3</v>
      </c>
      <c r="N224" s="225">
        <f>24*60*SUM($M224:$M224)</f>
        <v>10.200000006007031</v>
      </c>
      <c r="O224" s="225"/>
      <c r="P224" s="225"/>
      <c r="Q224" s="228"/>
      <c r="R224" s="242"/>
      <c r="S224" s="249">
        <f>1/IF(AG224="EC",12,1)*SUM(U224:U224)</f>
        <v>1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-12T07:29:18-0700',mode:absolute,to:'2018-01-12T09:43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1</v>
      </c>
      <c r="Y224" s="247">
        <f>RIGHT(D224,LEN(D224)-4)/10000</f>
        <v>3.9699999999999999E-2</v>
      </c>
      <c r="Z224" s="247">
        <f>RIGHT(H224,LEN(H224)-4)/10000</f>
        <v>2.4239000000000002</v>
      </c>
      <c r="AA224" s="247">
        <f>ABS(Z224-Y224)</f>
        <v>2.3842000000000003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903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/stypes="app*4016*20180112*" /stext=" 15:.+((SYSTEM_STATE.+slice.+state.+changed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24"/>
        <v>"%USERPROFILE%\Documents\GitHub\eaglep3\Utilities\RefineRTDCRunTimes.py" --tripid 903-12 --locoid 4016 --swversion DE.1.0.9.0 --startMP 204:397 --initTime 2018-01-12T08:29:18 --startdatetime 2018-01-12T08:33:14 --delay 73 --endMP 300:24239 --enddatetime 2018-01-12T08:43:26 --enforcementcount 0 &gt;&gt;%USERPROFILE%\Documents\GitHub\eaglep3-reporting\EC\2018-01-12-refined-times.txt</v>
      </c>
      <c r="AI224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{"issue":{"subject":"","project_id":79,"tracker_id":40,"status_id":1,"priority_id":2,"assigned_to_id":338,"start_date":"2018-01-12","description":"","custom_fields":[{"id":1,"name":"Subdivision","value":"Other"},{"id":4,"name":"Milepost","value":"2.4239"},{"id":17,"name":"Train ID","value":"903-12"},{"id":16,"name":"Locomotive ID","value":"4016"},{"id":130,"name":"Impact","value":""},{"id":150,"name":"Time of Event (Mountain Time)","value":"08:43:26"},{"id":151,"name":"Denver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1"/>
      <c r="AL224" s="231"/>
      <c r="AM224" s="240" t="str">
        <f t="shared" si="26"/>
        <v>start /low /b %USERPROFILE%\Documents\GitHub\eaglep3\Utilities\DownloadLogsFromS3.py --loco 4016 --day 2018-01-12</v>
      </c>
      <c r="AN224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15:43:26"},{"id":29,"name":"Sharepoint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28"/>
        <v>https://d0f6bd738d7f1b3e5a7ca70fe4ff75f0.us-east-1.aws.found.io/app/kibana#/discover/Steve-Slow-Train-Analysis-(2080s-and-2083s)?_g=(refreshInterval:(display:Off,pause:!f,section:0,value:0),time:(from:'2018-01-12T07:29:18-0700',mode:absolute,to:'2018-01-12T09:43:26-0700'))&amp;_a=(columns:!('Message%20ID',Summary),filters:!(),index:'emp_*',interval:auto,query:(query_string:(analyze_wildcard:!t,query:'%22rtdc.l.rtdc.4016%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29" t="s">
        <v>828</v>
      </c>
      <c r="B225" s="225">
        <v>4015</v>
      </c>
      <c r="C225" s="227" t="s">
        <v>191</v>
      </c>
      <c r="D225" s="227" t="s">
        <v>1089</v>
      </c>
      <c r="E225" s="226">
        <v>43112.635138888887</v>
      </c>
      <c r="F225" s="226">
        <v>43112.637395833335</v>
      </c>
      <c r="G225" s="225">
        <v>68</v>
      </c>
      <c r="H225" s="227" t="s">
        <v>1090</v>
      </c>
      <c r="I225" s="226">
        <v>43112.642604166664</v>
      </c>
      <c r="J225" s="225">
        <v>0</v>
      </c>
      <c r="K225" s="237" t="str">
        <f>IF(ISEVEN(B225),(B225-1)&amp;"/"&amp;B225,B225&amp;"/"&amp;(B225+1))</f>
        <v>4015/4016</v>
      </c>
      <c r="L225" s="245" t="str">
        <f>VLOOKUP(A225,'Trips&amp;Operators'!$C$1:$G$99911,5,FALSE)</f>
        <v>SMITH MICHAEL</v>
      </c>
      <c r="M225" s="224">
        <f>I225-F225</f>
        <v>5.2083333284826949E-3</v>
      </c>
      <c r="N225" s="225">
        <f>24*60*SUM($M225:$M225)</f>
        <v>7.4999999930150807</v>
      </c>
      <c r="O225" s="225"/>
      <c r="P225" s="225"/>
      <c r="Q225" s="228"/>
      <c r="R225" s="242"/>
      <c r="S225" s="249">
        <f>1/IF(AG225="EC",12,1)*SUM(U225:U225)</f>
        <v>1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-12T14:14:36-0700',mode:absolute,to:'2018-01-12T16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2.3321000000000001</v>
      </c>
      <c r="Z225" s="247">
        <f>RIGHT(H225,LEN(H225)-4)/10000</f>
        <v>1.7999999999999999E-2</v>
      </c>
      <c r="AA225" s="247">
        <f>ABS(Z225-Y225)</f>
        <v>2.3141000000000003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904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/stypes="app*4015*20180112*" /stext=" 22:.+((SYSTEM_STATE.+slice.+state.+changed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24"/>
        <v>"%USERPROFILE%\Documents\GitHub\eaglep3\Utilities\RefineRTDCRunTimes.py" --tripid 904-12 --locoid 4015 --swversion DE.1.0.9.0 --startMP 300:23321 --initTime 2018-01-12T15:14:36 --startdatetime 2018-01-12T15:17:51 --delay 68 --endMP 204:180 --enddatetime 2018-01-12T15:25:21 --enforcementcount 0 &gt;&gt;%USERPROFILE%\Documents\GitHub\eaglep3-reporting\EC\2018-01-12-refined-times.txt</v>
      </c>
      <c r="AI225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{"issue":{"subject":"","project_id":79,"tracker_id":40,"status_id":1,"priority_id":2,"assigned_to_id":338,"start_date":"2018-01-12","description":"","custom_fields":[{"id":1,"name":"Subdivision","value":"Other"},{"id":4,"name":"Milepost","value":"0.018"},{"id":17,"name":"Train ID","value":"904-12"},{"id":16,"name":"Locomotive ID","value":"4015"},{"id":130,"name":"Impact","value":""},{"id":150,"name":"Time of Event (Mountain Time)","value":"15:25:21"},{"id":151,"name":"Denver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26"/>
        <v>start /low /b %USERPROFILE%\Documents\GitHub\eaglep3\Utilities\DownloadLogsFromS3.py --loco 4015 --day 2018-01-12</v>
      </c>
      <c r="AN225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22:25:21"},{"id":29,"name":"Sharepoint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28"/>
        <v>https://d0f6bd738d7f1b3e5a7ca70fe4ff75f0.us-east-1.aws.found.io/app/kibana#/discover/Steve-Slow-Train-Analysis-(2080s-and-2083s)?_g=(refreshInterval:(display:Off,pause:!f,section:0,value:0),time:(from:'2018-01-12T14:14:36-0700',mode:absolute,to:'2018-01-12T16:25:21-0700'))&amp;_a=(columns:!('Message%20ID',Summary),filters:!(),index:'emp_*',interval:auto,query:(query_string:(analyze_wildcard:!t,query:'%22rtdc.l.rtdc.4015%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 s="229" t="s">
        <v>868</v>
      </c>
      <c r="B226" s="225">
        <v>4015</v>
      </c>
      <c r="C226" s="227" t="s">
        <v>191</v>
      </c>
      <c r="D226" s="227" t="s">
        <v>1091</v>
      </c>
      <c r="E226" s="226">
        <v>43112.789178240739</v>
      </c>
      <c r="F226" s="226">
        <v>43112.790821759256</v>
      </c>
      <c r="G226" s="225">
        <v>55</v>
      </c>
      <c r="H226" s="227" t="s">
        <v>1092</v>
      </c>
      <c r="I226" s="226">
        <v>43112.797997685186</v>
      </c>
      <c r="J226" s="225">
        <v>0</v>
      </c>
      <c r="K226" s="237" t="str">
        <f>IF(ISEVEN(B226),(B226-1)&amp;"/"&amp;B226,B226&amp;"/"&amp;(B226+1))</f>
        <v>4015/4016</v>
      </c>
      <c r="L226" s="245" t="str">
        <f>VLOOKUP(A226,'Trips&amp;Operators'!$C$1:$G$99911,5,FALSE)</f>
        <v>SMITH MICHAEL</v>
      </c>
      <c r="M226" s="224">
        <f>I226-F226</f>
        <v>7.1759259299142286E-3</v>
      </c>
      <c r="N226" s="225">
        <f>24*60*SUM($M226:$M226)</f>
        <v>10.333333339076489</v>
      </c>
      <c r="O226" s="225"/>
      <c r="P226" s="225"/>
      <c r="Q226" s="228"/>
      <c r="R226" s="242"/>
      <c r="S226" s="249">
        <f>1/IF(AG226="EC",12,1)*SUM(U226:U226)</f>
        <v>0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-12T17:56:25-0700',mode:absolute,to:'2018-01-12T20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2</v>
      </c>
      <c r="Y226" s="247">
        <f>RIGHT(D226,LEN(D226)-4)/10000</f>
        <v>5.8688000000000002</v>
      </c>
      <c r="Z226" s="247">
        <f>RIGHT(H226,LEN(H226)-4)/10000</f>
        <v>2.8793000000000002</v>
      </c>
      <c r="AA226" s="247">
        <f>ABS(Z226-Y226)</f>
        <v>2.9895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906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/stypes="app*4015*20180113*" /stext=" 02:.+((SYSTEM_STATE.+slice.+state.+changed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24"/>
        <v>"%USERPROFILE%\Documents\GitHub\eaglep3\Utilities\RefineRTDCRunTimes.py" --tripid 906-12 --locoid 4015 --swversion DE.1.0.9.0 --startMP 300:58688 --initTime 2018-01-12T18:56:25 --startdatetime 2018-01-12T18:58:47 --delay 55 --endMP 300:28793 --enddatetime 2018-01-12T19:09:07 --enforcementcount 0 &gt;&gt;%USERPROFILE%\Documents\GitHub\eaglep3-reporting\EC\2018-01-12-refined-times.txt</v>
      </c>
      <c r="AI226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{"issue":{"subject":"","project_id":79,"tracker_id":40,"status_id":1,"priority_id":2,"assigned_to_id":338,"start_date":"2018-01-12","description":"","custom_fields":[{"id":1,"name":"Subdivision","value":"Other"},{"id":4,"name":"Milepost","value":"2.8793"},{"id":17,"name":"Train ID","value":"906-12"},{"id":16,"name":"Locomotive ID","value":"4015"},{"id":130,"name":"Impact","value":""},{"id":150,"name":"Time of Event (Mountain Time)","value":"19:09:07"},{"id":151,"name":"Denver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1"/>
      <c r="AL226" s="231"/>
      <c r="AM226" s="240" t="str">
        <f t="shared" si="26"/>
        <v>start /low /b %USERPROFILE%\Documents\GitHub\eaglep3\Utilities\DownloadLogsFromS3.py --loco 4015 --day 2018-01-12</v>
      </c>
      <c r="AN226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02:09:07"},{"id":29,"name":"Sharepoint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28"/>
        <v>https://d0f6bd738d7f1b3e5a7ca70fe4ff75f0.us-east-1.aws.found.io/app/kibana#/discover/Steve-Slow-Train-Analysis-(2080s-and-2083s)?_g=(refreshInterval:(display:Off,pause:!f,section:0,value:0),time:(from:'2018-01-12T17:56:25-0700',mode:absolute,to:'2018-01-12T20:09:07-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229" t="s">
        <v>895</v>
      </c>
      <c r="B227" s="225">
        <v>4051</v>
      </c>
      <c r="C227" s="227" t="s">
        <v>191</v>
      </c>
      <c r="D227" s="227" t="s">
        <v>1040</v>
      </c>
      <c r="E227" s="226">
        <v>43112.976863425924</v>
      </c>
      <c r="F227" s="226">
        <v>43112.978587962964</v>
      </c>
      <c r="G227" s="225">
        <v>57</v>
      </c>
      <c r="H227" s="227" t="s">
        <v>1093</v>
      </c>
      <c r="I227" s="226">
        <v>43112.983425925922</v>
      </c>
      <c r="J227" s="225">
        <v>0</v>
      </c>
      <c r="K227" s="237" t="str">
        <f>IF(ISEVEN(B227),(B227-1)&amp;"/"&amp;B227,B227&amp;"/"&amp;(B227+1))</f>
        <v>4051/4052</v>
      </c>
      <c r="L227" s="245" t="str">
        <f>VLOOKUP(A227,'Trips&amp;Operators'!$C$1:$G$99911,5,FALSE)</f>
        <v>SMITH MICHAEL</v>
      </c>
      <c r="M227" s="224">
        <f>I227-F227</f>
        <v>4.8379629588453099E-3</v>
      </c>
      <c r="N227" s="225">
        <f>24*60*SUM($M227:$M227)</f>
        <v>6.9666666607372463</v>
      </c>
      <c r="O227" s="225"/>
      <c r="P227" s="225"/>
      <c r="Q227" s="228"/>
      <c r="R227" s="242"/>
      <c r="S227" s="249">
        <f>1/IF(AG227="EC",12,1)*SUM(U227:U227)</f>
        <v>0</v>
      </c>
      <c r="T227" s="242" t="str">
        <f>IF(ISEVEN(LEFT(AD227,4)),"Southbound","NorthBound")</f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-12T22:26:41-0700',mode:absolute,to:'2018-01-13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2</v>
      </c>
      <c r="Y227" s="247">
        <f>RIGHT(D227,LEN(D227)-4)/10000</f>
        <v>5.8616999999999999</v>
      </c>
      <c r="Z227" s="247">
        <f>RIGHT(H227,LEN(H227)-4)/10000</f>
        <v>2.8786</v>
      </c>
      <c r="AA227" s="247">
        <f>ABS(Z227-Y227)</f>
        <v>2.9830999999999999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908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/stypes="app*4051*20180113*" /stext=" 06:.+((SYSTEM_STATE.+slice.+state.+changed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24"/>
        <v>"%USERPROFILE%\Documents\GitHub\eaglep3\Utilities\RefineRTDCRunTimes.py" --tripid 908-12 --locoid 4051 --swversion DE.1.0.9.0 --startMP 300:58617 --initTime 2018-01-12T23:26:41 --startdatetime 2018-01-12T23:29:10 --delay 57 --endMP 300:28786 --enddatetime 2018-01-12T23:36:08 --enforcementcount 0 &gt;&gt;%USERPROFILE%\Documents\GitHub\eaglep3-reporting\EC\2018-01-12-refined-times.txt</v>
      </c>
      <c r="AI227" s="238" t="str">
        <f t="shared" si="25"/>
        <v>echo {"issue":{"subject":"","project_id":79,"tracker_id":40,"status_id":1,"priority_id":2,"assigned_to_id":338,"start_date":"2018-01-12","description":"","custom_fields":[{"id":1,"name":"Subdivision","value":"Other"},{"id":4,"name":"Milepost","value":"2.8786"},{"id":17,"name":"Train ID","value":"908-12"},{"id":16,"name":"Locomotive ID","value":"4051"},{"id":130,"name":"Impact","value":""},{"id":150,"name":"Time of Event (Mountain Time)","value":"23:36:08"},{"id":151,"name":"Denver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26"/>
        <v>start /low /b %USERPROFILE%\Documents\GitHub\eaglep3\Utilities\DownloadLogsFromS3.py --loco 4051 --day 2018-01-12</v>
      </c>
      <c r="AN227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28"/>
        <v>https://d0f6bd738d7f1b3e5a7ca70fe4ff75f0.us-east-1.aws.found.io/app/kibana#/discover/Steve-Slow-Train-Analysis-(2080s-and-2083s)?_g=(refreshInterval:(display:Off,pause:!f,section:0,value:0),time:(from:'2018-01-12T22:26:41-0700',mode:absolute,to:'2018-01-13T00:36:08-0700'))&amp;_a=(columns:!('Message%20ID',Summary),filters:!(),index:'emp_*',interval:auto,query:(query_string:(analyze_wildcard:!t,query:'%22rtdc.l.rtdc.4051%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702</v>
      </c>
      <c r="B228" s="225">
        <v>4002</v>
      </c>
      <c r="C228" s="227" t="s">
        <v>191</v>
      </c>
      <c r="D228" s="227" t="s">
        <v>980</v>
      </c>
      <c r="E228" s="226">
        <v>43112.127222222225</v>
      </c>
      <c r="F228" s="226">
        <v>43112.140682870369</v>
      </c>
      <c r="G228" s="225">
        <v>68</v>
      </c>
      <c r="H228" s="227" t="s">
        <v>655</v>
      </c>
      <c r="I228" s="226">
        <v>43112.141550925924</v>
      </c>
      <c r="J228" s="225">
        <v>0</v>
      </c>
      <c r="K228" s="237" t="str">
        <f>IF(ISEVEN(B228),(B228-1)&amp;"/"&amp;B228,B228&amp;"/"&amp;(B228+1))</f>
        <v>4001/4002</v>
      </c>
      <c r="L228" s="245" t="str">
        <f>VLOOKUP(A228,'Trips&amp;Operators'!$C$1:$G$99911,5,FALSE)</f>
        <v>ROCHA YAOTL</v>
      </c>
      <c r="M228" s="224">
        <f>I228-F228</f>
        <v>8.6805555474711582E-4</v>
      </c>
      <c r="N228" s="225">
        <f>24*60*SUM($M228:$M228)</f>
        <v>1.2499999988358468</v>
      </c>
      <c r="O228" s="225"/>
      <c r="P228" s="225"/>
      <c r="Q228" s="228"/>
      <c r="R228" s="242"/>
      <c r="S228" s="249">
        <f>1/IF(AG228="EC",12,1)*SUM(U228:U228)</f>
        <v>0</v>
      </c>
      <c r="T228" s="242" t="str">
        <f>IF(ISEVEN(LEFT(AD228,4)),"Southbound","NorthBound")</f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-12T02:03:12-0700',mode:absolute,to:'2018-01-12T04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-857</v>
      </c>
      <c r="Y228" s="247">
        <f>RIGHT(D228,LEN(D228)-4)/10000</f>
        <v>4.6699999999999998E-2</v>
      </c>
      <c r="Z228" s="247">
        <f>RIGHT(H228,LEN(H228)-4)/10000</f>
        <v>0.3493</v>
      </c>
      <c r="AA228" s="247">
        <f>ABS(Z228-Y228)</f>
        <v>0.30259999999999998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51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s3://rtdc.mdm.uploadarchive.raw/RTDC4002/ "%USERPROFILE%\AppData\Local\Temp\OnboardLogs"\RTDC4002\2018-01-12 --exclude "*" --recursive --include "*20180112*" &amp; "%USERPROFILE%\Documents\GitHub\mrs-test-scripts\Headless Mode &amp; Sideloading\WalkAndUnGZ.bat" "%USERPROFILE%\AppData\Local\Temp\OnboardLogs"\RTDC4002\2018-01-12 &amp; aws s3 cp s3://rtdc.mdm.uploadarchive.raw/RTDC4002/ "%USERPROFILE%\AppData\Local\Temp\OnboardLogs"\RTDC4002\2018-01-13 --exclude "*" --recursive --include "*20180113*" &amp; "%USERPROFILE%\Documents\GitHub\mrs-test-scripts\Headless Mode &amp; Sideloading\WalkAndUnGZ.bat" "%USERPROFILE%\AppData\Local\Temp\OnboardLogs"\RTDC4002\2018-01-13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/stypes="app*4002*20180112*" /stext=" 10:.+((SYSTEM_STATE.+slice.+state.+changed )|(ment ac)|(multiple cpu faults)|(system.+state.+changed )|(\[timeout)|(PRM\|1\|D)|(kpr)|(kdp)|(train st.+moving)|(\|lc)|(penalty))"</v>
      </c>
      <c r="AG228" s="244" t="str">
        <f>DetSubdiv(A228)</f>
        <v>Shuttle/Test</v>
      </c>
      <c r="AH228" s="236" t="str">
        <f t="shared" si="24"/>
        <v>"%USERPROFILE%\Documents\GitHub\eaglep3\Utilities\RefineRTDCRunTimes.py" --tripid 51-12 --locoid 4002 --swversion DE.1.0.9.0 --startMP 204:467 --initTime 2018-01-12T03:03:12 --startdatetime 2018-01-12T03:22:35 --delay 68 --endMP 204:3493 --enddatetime 2018-01-12T03:23:50 --enforcementcount 0 &gt;&gt;%USERPROFILE%\Documents\GitHub\eaglep3-reporting\EC\2018-01-12-refined-times.txt</v>
      </c>
      <c r="AI228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0.3493"},{"id":17,"name":"Train ID","value":"51-12"},{"id":16,"name":"Locomotive ID","value":"4002"},{"id":130,"name":"Impact","value":""},{"id":150,"name":"Time of Event (Mountain Time)","value":"03:23:50"},{"id":151,"name":"Denver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26"/>
        <v>start /low /b %USERPROFILE%\Documents\GitHub\eaglep3\Utilities\DownloadLogsFromS3.py --loco 4002 --day 2018-01-12</v>
      </c>
      <c r="AN228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10:23:50"},{"id":29,"name":"Sharepoint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28"/>
        <v>https://d0f6bd738d7f1b3e5a7ca70fe4ff75f0.us-east-1.aws.found.io/app/kibana#/discover/Steve-Slow-Train-Analysis-(2080s-and-2083s)?_g=(refreshInterval:(display:Off,pause:!f,section:0,value:0),time:(from:'2018-01-12T02:03:12-0700',mode:absolute,to:'2018-01-12T04:23:50-0700'))&amp;_a=(columns:!('Message%20ID',Summary),filters:!(),index:'emp_*',interval:auto,query:(query_string:(analyze_wildcard:!t,query:'%22rtdc.l.rtdc.4002%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 s="229" t="s">
        <v>702</v>
      </c>
      <c r="B229" s="225">
        <v>4001</v>
      </c>
      <c r="C229" s="227" t="s">
        <v>191</v>
      </c>
      <c r="D229" s="227" t="s">
        <v>1032</v>
      </c>
      <c r="E229" s="226">
        <v>43112.139317129629</v>
      </c>
      <c r="F229" s="226">
        <v>43112.140682870369</v>
      </c>
      <c r="G229" s="225">
        <v>63</v>
      </c>
      <c r="H229" s="227" t="s">
        <v>1033</v>
      </c>
      <c r="I229" s="226">
        <v>43112.141550925924</v>
      </c>
      <c r="J229" s="225">
        <v>0</v>
      </c>
      <c r="K229" s="237" t="str">
        <f>IF(ISEVEN(B229),(B229-1)&amp;"/"&amp;B229,B229&amp;"/"&amp;(B229+1))</f>
        <v>4001/4002</v>
      </c>
      <c r="L229" s="245" t="str">
        <f>VLOOKUP(A229,'Trips&amp;Operators'!$C$1:$G$99911,5,FALSE)</f>
        <v>ROCHA YAOTL</v>
      </c>
      <c r="M229" s="224">
        <f>I229-F229</f>
        <v>8.6805555474711582E-4</v>
      </c>
      <c r="N229" s="225">
        <f>24*60*SUM($M229:$M229)</f>
        <v>1.2499999988358468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-12T02:20:37-0700',mode:absolute,to:'2018-01-12T04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0</v>
      </c>
      <c r="Y229" s="247">
        <f>RIGHT(D229,LEN(D229)-4)/10000</f>
        <v>0.31850000000000001</v>
      </c>
      <c r="Z229" s="247">
        <f>RIGHT(H229,LEN(H229)-4)/10000</f>
        <v>0.115</v>
      </c>
      <c r="AA229" s="247">
        <f>ABS(Z229-Y229)</f>
        <v>0.20350000000000001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51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s3://rtdc.mdm.uploadarchive.raw/RTDC4001/ "%USERPROFILE%\AppData\Local\Temp\OnboardLogs"\RTDC4001\2018-01-12 --exclude "*" --recursive --include "*20180112*" &amp; "%USERPROFILE%\Documents\GitHub\mrs-test-scripts\Headless Mode &amp; Sideloading\WalkAndUnGZ.bat" "%USERPROFILE%\AppData\Local\Temp\OnboardLogs"\RTDC4001\2018-01-12 &amp; aws s3 cp s3://rtdc.mdm.uploadarchive.raw/RTDC4001/ "%USERPROFILE%\AppData\Local\Temp\OnboardLogs"\RTDC4001\2018-01-13 --exclude "*" --recursive --include "*20180113*" &amp; "%USERPROFILE%\Documents\GitHub\mrs-test-scripts\Headless Mode &amp; Sideloading\WalkAndUnGZ.bat" "%USERPROFILE%\AppData\Local\Temp\OnboardLogs"\RTDC4001\2018-01-13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/stypes="app*4001*20180112*" /stext=" 10:.+((SYSTEM_STATE.+slice.+state.+changed )|(ment ac)|(multiple cpu faults)|(system.+state.+changed )|(\[timeout)|(PRM\|1\|D)|(kpr)|(kdp)|(train st.+moving)|(\|lc)|(penalty))"</v>
      </c>
      <c r="AG229" s="244" t="str">
        <f>DetSubdiv(A229)</f>
        <v>Shuttle/Test</v>
      </c>
      <c r="AH229" s="236" t="str">
        <f t="shared" si="24"/>
        <v>"%USERPROFILE%\Documents\GitHub\eaglep3\Utilities\RefineRTDCRunTimes.py" --tripid 51-12 --locoid 4001 --swversion DE.1.0.9.0 --startMP 204:3185 --initTime 2018-01-12T03:20:37 --startdatetime 2018-01-12T03:22:35 --delay 63 --endMP 204:1150 --enddatetime 2018-01-12T03:23:50 --enforcementcount 0 &gt;&gt;%USERPROFILE%\Documents\GitHub\eaglep3-reporting\EC\2018-01-12-refined-times.txt</v>
      </c>
      <c r="AI229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0.115"},{"id":17,"name":"Train ID","value":"51-12"},{"id":16,"name":"Locomotive ID","value":"4001"},{"id":130,"name":"Impact","value":""},{"id":150,"name":"Time of Event (Mountain Time)","value":"03:23:50"},{"id":151,"name":"Denver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1"/>
      <c r="AL229" s="231"/>
      <c r="AM229" s="240" t="str">
        <f t="shared" si="26"/>
        <v>start /low /b %USERPROFILE%\Documents\GitHub\eaglep3\Utilities\DownloadLogsFromS3.py --loco 4001 --day 2018-01-12</v>
      </c>
      <c r="AN229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10:23:50"},{"id":29,"name":"Sharepoint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28"/>
        <v>https://d0f6bd738d7f1b3e5a7ca70fe4ff75f0.us-east-1.aws.found.io/app/kibana#/discover/Steve-Slow-Train-Analysis-(2080s-and-2083s)?_g=(refreshInterval:(display:Off,pause:!f,section:0,value:0),time:(from:'2018-01-12T02:20:37-0700',mode:absolute,to:'2018-01-12T04:23:50-0700'))&amp;_a=(columns:!('Message%20ID',Summary),filters:!(),index:'emp_*',interval:auto,query:(query_string:(analyze_wildcard:!t,query:'%22rtdc.l.rtdc.4001%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686</v>
      </c>
      <c r="B230" s="225">
        <v>4063</v>
      </c>
      <c r="C230" s="227" t="s">
        <v>191</v>
      </c>
      <c r="D230" s="227" t="s">
        <v>1034</v>
      </c>
      <c r="E230" s="226">
        <v>43112.736666666664</v>
      </c>
      <c r="F230" s="226">
        <v>43112.744849537034</v>
      </c>
      <c r="G230" s="225">
        <v>95</v>
      </c>
      <c r="H230" s="227" t="s">
        <v>1035</v>
      </c>
      <c r="I230" s="226">
        <v>43112.745000000003</v>
      </c>
      <c r="J230" s="225">
        <v>0</v>
      </c>
      <c r="K230" s="237" t="str">
        <f>IF(ISEVEN(B230),(B230-1)&amp;"/"&amp;B230,B230&amp;"/"&amp;(B230+1))</f>
        <v>4063/4064</v>
      </c>
      <c r="L230" s="245" t="str">
        <f>VLOOKUP(A230,'Trips&amp;Operators'!$C$1:$G$99911,5,FALSE)</f>
        <v>LORI SANTOS</v>
      </c>
      <c r="M230" s="224">
        <f>I230-F230</f>
        <v>1.5046296903165057E-4</v>
      </c>
      <c r="N230" s="225">
        <f>24*60*SUM($M230:$M230)</f>
        <v>0.21666667540557683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-12T16:40:48-0700',mode:absolute,to:'2018-01-12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21</v>
      </c>
      <c r="Y230" s="247">
        <f>RIGHT(D230,LEN(D230)-4)/10000</f>
        <v>2.4335</v>
      </c>
      <c r="Z230" s="247">
        <f>RIGHT(H230,LEN(H230)-4)/10000</f>
        <v>2.3866000000000001</v>
      </c>
      <c r="AA230" s="247">
        <f>ABS(Z230-Y230)</f>
        <v>4.6899999999999942E-2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72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 &amp; aws s3 cp s3://rtdc.mdm.uploadarchive.raw/RTDC4063/ "%USERPROFILE%\AppData\Local\Temp\OnboardLogs"\RTDC4063\2018-01-13 --exclude "*" --recursive --include "*20180113*" &amp; "%USERPROFILE%\Documents\GitHub\mrs-test-scripts\Headless Mode &amp; Sideloading\WalkAndUnGZ.bat" "%USERPROFILE%\AppData\Local\Temp\OnboardLogs"\RTDC4063\2018-01-13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/stypes="app*4063*20180113*" /stext=" 00:.+((SYSTEM_STATE.+slice.+state.+changed )|(ment ac)|(multiple cpu faults)|(system.+state.+changed )|(\[timeout)|(PRM\|1\|D)|(kpr)|(kdp)|(train st.+moving)|(\|lc)|(penalty))"</v>
      </c>
      <c r="AG230" s="244" t="str">
        <f>DetSubdiv(A230)</f>
        <v>Shuttle/Test</v>
      </c>
      <c r="AH230" s="236" t="str">
        <f t="shared" si="24"/>
        <v>"%USERPROFILE%\Documents\GitHub\eaglep3\Utilities\RefineRTDCRunTimes.py" --tripid 72-12 --locoid 4063 --swversion DE.1.0.9.0 --startMP 300:24335 --initTime 2018-01-12T17:40:48 --startdatetime 2018-01-12T17:52:35 --delay 95 --endMP 300:23866 --enddatetime 2018-01-12T17:52:48 --enforcementcount 0 &gt;&gt;%USERPROFILE%\Documents\GitHub\eaglep3-reporting\EC\2018-01-12-refined-times.txt</v>
      </c>
      <c r="AI230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2.3866"},{"id":17,"name":"Train ID","value":"72-12"},{"id":16,"name":"Locomotive ID","value":"4063"},{"id":130,"name":"Impact","value":""},{"id":150,"name":"Time of Event (Mountain Time)","value":"17:52:48"},{"id":151,"name":"Denver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26"/>
        <v>start /low /b %USERPROFILE%\Documents\GitHub\eaglep3\Utilities\DownloadLogsFromS3.py --loco 4063 --day 2018-01-12</v>
      </c>
      <c r="AN230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28"/>
        <v>https://d0f6bd738d7f1b3e5a7ca70fe4ff75f0.us-east-1.aws.found.io/app/kibana#/discover/Steve-Slow-Train-Analysis-(2080s-and-2083s)?_g=(refreshInterval:(display:Off,pause:!f,section:0,value:0),time:(from:'2018-01-12T16:40:48-0700',mode:absolute,to:'2018-01-12T18:52:48-0700'))&amp;_a=(columns:!('Message%20ID',Summary),filters:!(),index:'emp_*',interval:auto,query:(query_string:(analyze_wildcard:!t,query:'%22rtdc.l.rtdc.4063%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686</v>
      </c>
      <c r="B231" s="225">
        <v>4063</v>
      </c>
      <c r="C231" s="227" t="s">
        <v>191</v>
      </c>
      <c r="D231" s="227" t="s">
        <v>1034</v>
      </c>
      <c r="E231" s="226">
        <v>43112.741932870369</v>
      </c>
      <c r="F231" s="226">
        <v>43112.744849537034</v>
      </c>
      <c r="G231" s="225">
        <v>88</v>
      </c>
      <c r="H231" s="227" t="s">
        <v>1035</v>
      </c>
      <c r="I231" s="226">
        <v>43112.745000000003</v>
      </c>
      <c r="J231" s="225">
        <v>0</v>
      </c>
      <c r="K231" s="237" t="str">
        <f>IF(ISEVEN(B231),(B231-1)&amp;"/"&amp;B231,B231&amp;"/"&amp;(B231+1))</f>
        <v>4063/4064</v>
      </c>
      <c r="L231" s="245" t="str">
        <f>VLOOKUP(A231,'Trips&amp;Operators'!$C$1:$G$99911,5,FALSE)</f>
        <v>LORI SANTOS</v>
      </c>
      <c r="M231" s="224">
        <f>I231-F231</f>
        <v>1.5046296903165057E-4</v>
      </c>
      <c r="N231" s="225">
        <f>24*60*SUM($M231:$M231)</f>
        <v>0.21666667540557683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-12T16:48:23-0700',mode:absolute,to:'2018-01-12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0</v>
      </c>
      <c r="Y231" s="247">
        <f>RIGHT(D231,LEN(D231)-4)/10000</f>
        <v>2.4335</v>
      </c>
      <c r="Z231" s="247">
        <f>RIGHT(H231,LEN(H231)-4)/10000</f>
        <v>2.3866000000000001</v>
      </c>
      <c r="AA231" s="247">
        <f>ABS(Z231-Y231)</f>
        <v>4.6899999999999942E-2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72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 &amp; aws s3 cp s3://rtdc.mdm.uploadarchive.raw/RTDC4063/ "%USERPROFILE%\AppData\Local\Temp\OnboardLogs"\RTDC4063\2018-01-13 --exclude "*" --recursive --include "*20180113*" &amp; "%USERPROFILE%\Documents\GitHub\mrs-test-scripts\Headless Mode &amp; Sideloading\WalkAndUnGZ.bat" "%USERPROFILE%\AppData\Local\Temp\OnboardLogs"\RTDC4063\2018-01-13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/stypes="app*4063*20180113*" /stext=" 00:.+((SYSTEM_STATE.+slice.+state.+changed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24"/>
        <v>"%USERPROFILE%\Documents\GitHub\eaglep3\Utilities\RefineRTDCRunTimes.py" --tripid 72-12 --locoid 4063 --swversion DE.1.0.9.0 --startMP 300:24335 --initTime 2018-01-12T17:48:23 --startdatetime 2018-01-12T17:52:35 --delay 88 --endMP 300:23866 --enddatetime 2018-01-12T17:52:48 --enforcementcount 0 &gt;&gt;%USERPROFILE%\Documents\GitHub\eaglep3-reporting\EC\2018-01-12-refined-times.txt</v>
      </c>
      <c r="AI231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2.3866"},{"id":17,"name":"Train ID","value":"72-12"},{"id":16,"name":"Locomotive ID","value":"4063"},{"id":130,"name":"Impact","value":""},{"id":150,"name":"Time of Event (Mountain Time)","value":"17:52:48"},{"id":151,"name":"Denver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26"/>
        <v>start /low /b %USERPROFILE%\Documents\GitHub\eaglep3\Utilities\DownloadLogsFromS3.py --loco 4063 --day 2018-01-12</v>
      </c>
      <c r="AN231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28"/>
        <v>https://d0f6bd738d7f1b3e5a7ca70fe4ff75f0.us-east-1.aws.found.io/app/kibana#/discover/Steve-Slow-Train-Analysis-(2080s-and-2083s)?_g=(refreshInterval:(display:Off,pause:!f,section:0,value:0),time:(from:'2018-01-12T16:48:23-0700',mode:absolute,to:'2018-01-12T18:52:48-0700'))&amp;_a=(columns:!('Message%20ID',Summary),filters:!(),index:'emp_*',interval:auto,query:(query_string:(analyze_wildcard:!t,query:'%22rtdc.l.rtdc.4063%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839</v>
      </c>
      <c r="B232" s="225">
        <v>4002</v>
      </c>
      <c r="C232" s="227" t="s">
        <v>191</v>
      </c>
      <c r="D232" s="227" t="s">
        <v>1036</v>
      </c>
      <c r="E232" s="226">
        <v>43112.681585648148</v>
      </c>
      <c r="F232" s="226">
        <v>43112.689837962964</v>
      </c>
      <c r="G232" s="225">
        <v>130</v>
      </c>
      <c r="H232" s="227" t="s">
        <v>1037</v>
      </c>
      <c r="I232" s="226">
        <v>43112.697141203702</v>
      </c>
      <c r="J232" s="225">
        <v>0</v>
      </c>
      <c r="K232" s="237" t="str">
        <f>IF(ISEVEN(B232),(B232-1)&amp;"/"&amp;B232,B232&amp;"/"&amp;(B232+1))</f>
        <v>4001/4002</v>
      </c>
      <c r="L232" s="245" t="str">
        <f>VLOOKUP(A232,'Trips&amp;Operators'!$C$1:$G$99911,5,FALSE)</f>
        <v>DE LA ROSA ALEX</v>
      </c>
      <c r="M232" s="224">
        <f>I232-F232</f>
        <v>7.3032407381106168E-3</v>
      </c>
      <c r="N232" s="225">
        <f>24*60*SUM($M232:$M232)</f>
        <v>10.516666662879288</v>
      </c>
      <c r="O232" s="225"/>
      <c r="P232" s="225"/>
      <c r="Q232" s="228"/>
      <c r="R232" s="242"/>
      <c r="S232" s="249">
        <f>1/IF(AG232="EC",12,1)*SUM(U232:U232)</f>
        <v>1</v>
      </c>
      <c r="T232" s="242" t="str">
        <f>IF(ISEVEN(LEFT(AD232,4)),"Southbound","NorthBound")</f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-12T15:21:29-0700',mode:absolute,to:'2018-01-12T17:43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3</v>
      </c>
      <c r="Y232" s="247">
        <f>RIGHT(D232,LEN(D232)-4)/10000</f>
        <v>0.1484</v>
      </c>
      <c r="Z232" s="247">
        <f>RIGHT(H232,LEN(H232)-4)/10000</f>
        <v>2.4224000000000001</v>
      </c>
      <c r="AA232" s="247">
        <f>ABS(Z232-Y232)</f>
        <v>2.274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75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s3://rtdc.mdm.uploadarchive.raw/RTDC4002/ "%USERPROFILE%\AppData\Local\Temp\OnboardLogs"\RTDC4002\2018-01-12 --exclude "*" --recursive --include "*20180112*" &amp; "%USERPROFILE%\Documents\GitHub\mrs-test-scripts\Headless Mode &amp; Sideloading\WalkAndUnGZ.bat" "%USERPROFILE%\AppData\Local\Temp\OnboardLogs"\RTDC4002\2018-01-12 &amp; aws s3 cp s3://rtdc.mdm.uploadarchive.raw/RTDC4002/ "%USERPROFILE%\AppData\Local\Temp\OnboardLogs"\RTDC4002\2018-01-13 --exclude "*" --recursive --include "*20180113*" &amp; "%USERPROFILE%\Documents\GitHub\mrs-test-scripts\Headless Mode &amp; Sideloading\WalkAndUnGZ.bat" "%USERPROFILE%\AppData\Local\Temp\OnboardLogs"\RTDC4002\2018-01-13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/stypes="app*4002*20180112*" /stext=" 23:.+((SYSTEM_STATE.+slice.+state.+changed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24"/>
        <v>"%USERPROFILE%\Documents\GitHub\eaglep3\Utilities\RefineRTDCRunTimes.py" --tripid 75-12 --locoid 4002 --swversion DE.1.0.9.0 --startMP 204:1484 --initTime 2018-01-12T16:21:29 --startdatetime 2018-01-12T16:33:22 --delay 130 --endMP 300:24224 --enddatetime 2018-01-12T16:43:53 --enforcementcount 0 &gt;&gt;%USERPROFILE%\Documents\GitHub\eaglep3-reporting\EC\2018-01-12-refined-times.txt</v>
      </c>
      <c r="AI232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2.4224"},{"id":17,"name":"Train ID","value":"75-12"},{"id":16,"name":"Locomotive ID","value":"4002"},{"id":130,"name":"Impact","value":""},{"id":150,"name":"Time of Event (Mountain Time)","value":"16:43:53"},{"id":151,"name":"Denver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26"/>
        <v>start /low /b %USERPROFILE%\Documents\GitHub\eaglep3\Utilities\DownloadLogsFromS3.py --loco 4002 --day 2018-01-12</v>
      </c>
      <c r="AN232" s="241" t="str">
        <f t="shared" si="27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23:43:53"},{"id":29,"name":"Sharepoint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28"/>
        <v>https://d0f6bd738d7f1b3e5a7ca70fe4ff75f0.us-east-1.aws.found.io/app/kibana#/discover/Steve-Slow-Train-Analysis-(2080s-and-2083s)?_g=(refreshInterval:(display:Off,pause:!f,section:0,value:0),time:(from:'2018-01-12T15:21:29-0700',mode:absolute,to:'2018-01-12T17:43:53-0700'))&amp;_a=(columns:!('Message%20ID',Summary),filters:!(),index:'emp_*',interval:auto,query:(query_string:(analyze_wildcard:!t,query:'%22rtdc.l.rtdc.4002%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849</v>
      </c>
      <c r="B233" s="225">
        <v>4032</v>
      </c>
      <c r="C233" s="227" t="s">
        <v>191</v>
      </c>
      <c r="D233" s="227" t="s">
        <v>1038</v>
      </c>
      <c r="E233" s="226">
        <v>43112.709039351852</v>
      </c>
      <c r="F233" s="226">
        <v>43112.712407407409</v>
      </c>
      <c r="G233" s="225">
        <v>64</v>
      </c>
      <c r="H233" s="227" t="s">
        <v>1039</v>
      </c>
      <c r="I233" s="226">
        <v>43112.723877314813</v>
      </c>
      <c r="J233" s="225">
        <v>0</v>
      </c>
      <c r="K233" s="237" t="str">
        <f>IF(ISEVEN(B233),(B233-1)&amp;"/"&amp;B233,B233&amp;"/"&amp;(B233+1))</f>
        <v>4031/4032</v>
      </c>
      <c r="L233" s="245" t="str">
        <f>VLOOKUP(A233,'Trips&amp;Operators'!$C$1:$G$99911,5,FALSE)</f>
        <v>MCREYNOLDS KYLE</v>
      </c>
      <c r="M233" s="224">
        <f>I233-F233</f>
        <v>1.1469907403807156E-2</v>
      </c>
      <c r="N233" s="225">
        <f>24*60*SUM($M233:$M233)</f>
        <v>16.516666661482304</v>
      </c>
      <c r="O233" s="225"/>
      <c r="P233" s="225"/>
      <c r="Q233" s="228"/>
      <c r="R233" s="242"/>
      <c r="S233" s="249">
        <f>1/IF(AG233="EC",12,1)*SUM(U233:U233)</f>
        <v>1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-12T16:01:01-0700',mode:absolute,to:'2018-01-12T18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2</v>
      </c>
      <c r="Y233" s="247">
        <f>RIGHT(D233,LEN(D233)-4)/10000</f>
        <v>0.1164</v>
      </c>
      <c r="Z233" s="247">
        <f>RIGHT(H233,LEN(H233)-4)/10000</f>
        <v>2.3300999999999998</v>
      </c>
      <c r="AA233" s="247">
        <f>ABS(Z233-Y233)</f>
        <v>2.2136999999999998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77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s3://rtdc.mdm.uploadarchive.raw/RTDC4032/ "%USERPROFILE%\AppData\Local\Temp\OnboardLogs"\RTDC4032\2018-01-12 --exclude "*" --recursive --include "*20180112*" &amp; "%USERPROFILE%\Documents\GitHub\mrs-test-scripts\Headless Mode &amp; Sideloading\WalkAndUnGZ.bat" "%USERPROFILE%\AppData\Local\Temp\OnboardLogs"\RTDC4032\2018-01-12 &amp; aws s3 cp s3://rtdc.mdm.uploadarchive.raw/RTDC4032/ "%USERPROFILE%\AppData\Local\Temp\OnboardLogs"\RTDC4032\2018-01-13 --exclude "*" --recursive --include "*20180113*" &amp; "%USERPROFILE%\Documents\GitHub\mrs-test-scripts\Headless Mode &amp; Sideloading\WalkAndUnGZ.bat" "%USERPROFILE%\AppData\Local\Temp\OnboardLogs"\RTDC4032\2018-01-13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/stypes="app*4032*20180113*" /stext=" 00:.+((SYSTEM_STATE.+slice.+state.+changed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24"/>
        <v>"%USERPROFILE%\Documents\GitHub\eaglep3\Utilities\RefineRTDCRunTimes.py" --tripid 77-12 --locoid 4032 --swversion DE.1.0.9.0 --startMP 204:1164 --initTime 2018-01-12T17:01:01 --startdatetime 2018-01-12T17:05:52 --delay 64 --endMP 300:23301 --enddatetime 2018-01-12T17:22:23 --enforcementcount 0 &gt;&gt;%USERPROFILE%\Documents\GitHub\eaglep3-reporting\EC\2018-01-12-refined-times.txt</v>
      </c>
      <c r="AI233" s="238" t="str">
        <f t="shared" si="25"/>
        <v>echo {"issue":{"subject":"","project_id":79,"tracker_id":40,"status_id":1,"priority_id":2,"assigned_to_id":338,"start_date":"2018-01-12","description":"","custom_fields":[{"id":1,"name":"Subdivision","value":"Shuttle/Test"},{"id":4,"name":"Milepost","value":"2.3301"},{"id":17,"name":"Train ID","value":"77-12"},{"id":16,"name":"Locomotive ID","value":"4032"},{"id":130,"name":"Impact","value":""},{"id":150,"name":"Time of Event (Mountain Time)","value":"17:22:23"},{"id":151,"name":"Denver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26"/>
        <v>start /low /b %USERPROFILE%\Documents\GitHub\eaglep3\Utilities\DownloadLogsFromS3.py --loco 4032 --day 2018-01-12</v>
      </c>
      <c r="AN233" s="241" t="str">
        <f t="shared" si="27"/>
        <v>echo {"issue":{"subject":"","project_id":30,"tracker_id":4,"status_id":1,"priority_id":1,"assigned_to_id":10,"start_date":"2018-01-13","description":"","custom_fields":[{"id":30,"name":"Category","value":"Issue"},{"id":3,"name":"Functional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UTC","value":"2018-01-13 00:22:23"},{"id":29,"name":"Sharepoint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28"/>
        <v>https://d0f6bd738d7f1b3e5a7ca70fe4ff75f0.us-east-1.aws.found.io/app/kibana#/discover/Steve-Slow-Train-Analysis-(2080s-and-2083s)?_g=(refreshInterval:(display:Off,pause:!f,section:0,value:0),time:(from:'2018-01-12T16:01:01-0700',mode:absolute,to:'2018-01-12T18:22:23-0700'))&amp;_a=(columns:!('Message%20ID',Summary),filters:!(),index:'emp_*',interval:auto,query:(query_string:(analyze_wildcard:!t,query:'%22rtdc.l.rtdc.4032%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3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23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3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23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23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23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23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23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23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23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23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23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23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23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23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23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23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23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s="20" customFormat="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s="20" customFormat="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s="20" customFormat="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s="20" customFormat="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s="20" customFormat="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:91" s="20" customFormat="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s="20" customFormat="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s="20" customFormat="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s="20" customForma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s="20" customForma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:91" s="20" customFormat="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s="20" customFormat="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s="20" customFormat="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s="20" customForma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s="20" customFormat="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s="20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:91" s="20" customFormat="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s="20" customFormat="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s="20" customFormat="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91" s="20" customFormat="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9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9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9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91" s="20" customFormat="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:9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9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9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M583"/>
      <c r="AO583"/>
    </row>
    <row r="584" spans="1:91" s="20" customFormat="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:9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9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9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M587"/>
      <c r="AO587"/>
    </row>
    <row r="588" spans="1:9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9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M589"/>
      <c r="AO589"/>
    </row>
    <row r="590" spans="1:9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9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9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4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M593"/>
      <c r="AO593"/>
    </row>
    <row r="594" spans="1:4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M594"/>
      <c r="AO594"/>
    </row>
    <row r="595" spans="1:4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M595"/>
      <c r="AO595"/>
    </row>
    <row r="596" spans="1:4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M596"/>
      <c r="AO596"/>
    </row>
    <row r="597" spans="1:4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M597"/>
      <c r="AO597"/>
    </row>
    <row r="598" spans="1:4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M598"/>
      <c r="AO598"/>
    </row>
    <row r="599" spans="1:4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M599"/>
      <c r="AO599"/>
    </row>
    <row r="600" spans="1:4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M600"/>
      <c r="AO600"/>
    </row>
    <row r="601" spans="1:4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M601"/>
      <c r="AO601"/>
    </row>
    <row r="602" spans="1:4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M602"/>
      <c r="AO602"/>
    </row>
    <row r="603" spans="1:4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M603"/>
      <c r="AO603"/>
    </row>
    <row r="604" spans="1:4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M604"/>
      <c r="AO604"/>
    </row>
    <row r="605" spans="1:4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M605"/>
      <c r="AO605"/>
    </row>
  </sheetData>
  <autoFilter ref="A12:AG600">
    <sortState ref="A13:AG600">
      <sortCondition ref="AG13:AG233"/>
      <sortCondition ref="AD13:AD233"/>
    </sortState>
  </autoFilter>
  <sortState ref="A13:AN505">
    <sortCondition ref="AG13:AG505"/>
    <sortCondition ref="AD13:AD505"/>
  </sortState>
  <mergeCells count="1">
    <mergeCell ref="A11:P11"/>
  </mergeCells>
  <conditionalFormatting sqref="W11:W12 W606:X1048576 W13:X233">
    <cfRule type="cellIs" dxfId="10" priority="479" operator="equal">
      <formula>"Y"</formula>
    </cfRule>
  </conditionalFormatting>
  <conditionalFormatting sqref="X606:X1048576 X13:X233">
    <cfRule type="cellIs" dxfId="9" priority="462" operator="greaterThan">
      <formula>1</formula>
    </cfRule>
  </conditionalFormatting>
  <conditionalFormatting sqref="X606:X1048576 X12:X233">
    <cfRule type="cellIs" dxfId="8" priority="459" operator="equal">
      <formula>0</formula>
    </cfRule>
  </conditionalFormatting>
  <conditionalFormatting sqref="A13:S233">
    <cfRule type="expression" dxfId="3" priority="453" stopIfTrue="1">
      <formula>$P13&gt;0</formula>
    </cfRule>
    <cfRule type="expression" dxfId="2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4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COUNTIF($O$7:$O$85,"=Y")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COUNTA($O$7:$O$85)-O2</f>
        <v>21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- 2018-01-12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43112.789780092593</v>
      </c>
      <c r="B7" s="30" t="s">
        <v>677</v>
      </c>
      <c r="C7" s="30" t="s">
        <v>690</v>
      </c>
      <c r="D7" s="30" t="s">
        <v>49</v>
      </c>
      <c r="E7" s="30" t="s">
        <v>480</v>
      </c>
      <c r="F7" s="42">
        <v>20</v>
      </c>
      <c r="G7" s="42">
        <v>70</v>
      </c>
      <c r="H7" s="42">
        <v>27487</v>
      </c>
      <c r="I7" s="42">
        <v>27413</v>
      </c>
      <c r="J7" s="30" t="s">
        <v>183</v>
      </c>
      <c r="K7" s="42">
        <v>27350</v>
      </c>
      <c r="L7" s="131" t="s">
        <v>51</v>
      </c>
      <c r="M7" s="132">
        <f>CONVERT((I7-K7)/10000,"mi","ft")*IF(L7="Increasing Mileposts (1)",-1,1)</f>
        <v>33.264000000000003</v>
      </c>
      <c r="N7" s="133" t="str">
        <f>VLOOKUP(C7,'Trips&amp;Operators'!$C$1:$G$99911,5,FALSE)</f>
        <v>LEVIN SCOTT</v>
      </c>
      <c r="O7" s="175" t="s">
        <v>178</v>
      </c>
      <c r="P7" s="239" t="s">
        <v>481</v>
      </c>
      <c r="Q7" s="30"/>
      <c r="R7" s="81" t="str">
        <f>VLOOKUP(C7,'Train Runs'!$A$13:$AE$10259,31,0)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S7" s="84" t="str">
        <f>VLOOKUP(C7,'Train Runs'!$A$13:$AE$10259,22,0)</f>
        <v>https://d0f6bd738d7f1b3e5a7ca70fe4ff75f0.us-east-1.aws.found.io/app/kibana#/discover/Steve-Slow-Train-Analysis-(2080s-and-2083s)?_g=(refreshInterval:(display:Off,pause:!f,section:0,value:0),time:(from:'2018-01-12T17:14:44-0700',mode:absolute,to:'2018-01-12T19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/stypes="*4059*201801130*" /stext=" 01:.+((SYSTEM_STATE.+slice.+state.+changed )|(ment ac)|(multiple cpu faults)|(system.+state.+changed )|(\[timeout)|(PRM\|1\|D)|(kpr)|(kdp)|(train st.+moving)|(\|lc)|(penalty))"</v>
      </c>
      <c r="U7" s="9" t="str">
        <f>MID(B7,13,4)</f>
        <v>4059</v>
      </c>
      <c r="V7" s="31">
        <f>A7-utc_offset/24</f>
        <v>43113.081446759257</v>
      </c>
      <c r="W7" s="45" t="str">
        <f>DetSubdiv(C7)</f>
        <v>EC</v>
      </c>
      <c r="X7" s="22">
        <f>VALUE(LEFT(C7,LEN(C7)-3))</f>
        <v>212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Arrival","project_id":79,"tracker_id":40,"status_id":1,"priority_id":2,"assigned_to_id":338,"start_date":"2018-01-12","description":"","custom_fields":[{"id":1,"name":"Subdivision","value":"EC"},{"id":4,"name":"Milepost","value":"2.735"},{"id":17,"name":"Train ID","value":"212-12"},{"id":16,"name":"Locomotive ID","value":"4059"},{"id":130,"name":"Impact","value":""},{"id":150,"name":"Time of Event (Mountain Time)","value":"18:57:17"},{"id":151,"name":"Denver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/c/Users/stu/AppData/Local/Temp/OnboardLogs/RTDC4059 --include="*4059*201801130*"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"%USERPROFILE%\AppData\Local\Temp\OnboardLogs"\RTDC4059\*4059*201801130* &gt;&gt; 2018-01-12-SliceDisagreementCheck.txt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4059 --day 2018-01-13</v>
      </c>
    </row>
    <row r="8" spans="1:32" x14ac:dyDescent="0.3">
      <c r="A8" s="31">
        <v>43113.103344907409</v>
      </c>
      <c r="B8" s="30" t="s">
        <v>470</v>
      </c>
      <c r="C8" s="30" t="s">
        <v>697</v>
      </c>
      <c r="D8" s="30" t="s">
        <v>49</v>
      </c>
      <c r="E8" s="30" t="s">
        <v>480</v>
      </c>
      <c r="F8" s="42">
        <v>20</v>
      </c>
      <c r="G8" s="42">
        <v>76</v>
      </c>
      <c r="H8" s="42">
        <v>27571</v>
      </c>
      <c r="I8" s="42">
        <v>27539</v>
      </c>
      <c r="J8" s="30" t="s">
        <v>183</v>
      </c>
      <c r="K8" s="42">
        <v>27350</v>
      </c>
      <c r="L8" s="131" t="s">
        <v>51</v>
      </c>
      <c r="M8" s="132">
        <f>CONVERT((I8-K8)/10000,"mi","ft")*IF(L8="Increasing Mileposts (1)",-1,1)</f>
        <v>99.792000000000002</v>
      </c>
      <c r="N8" s="133" t="str">
        <f>VLOOKUP(C8,'Trips&amp;Operators'!$C$1:$G$99911,5,FALSE)</f>
        <v>ANDERS STEVEN</v>
      </c>
      <c r="O8" s="175" t="s">
        <v>178</v>
      </c>
      <c r="P8" s="239" t="s">
        <v>481</v>
      </c>
      <c r="Q8" s="30"/>
      <c r="R8" s="81" t="str">
        <f>VLOOKUP(C8,'Train Runs'!$A$13:$AE$10259,31,0)</f>
        <v>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 &amp; aws s3 cp s3://rtdc.mdm.uploadarchive.raw/RTDC4025/ "%USERPROFILE%\AppData\Local\Temp\OnboardLogs"\RTDC4025\2018-01-14 --exclude "*" --recursive --include "*20180114*" &amp; "%USERPROFILE%\Documents\GitHub\mrs-test-scripts\Headless Mode &amp; Sideloading\WalkAndUnGZ.bat" "%USERPROFILE%\AppData\Local\Temp\OnboardLogs"\RTDC4025\2018-01-14</v>
      </c>
      <c r="S8" s="84" t="str">
        <f>VLOOKUP(C8,'Train Runs'!$A$13:$AE$10259,22,0)</f>
        <v>https://d0f6bd738d7f1b3e5a7ca70fe4ff75f0.us-east-1.aws.found.io/app/kibana#/discover/Steve-Slow-Train-Analysis-(2080s-and-2083s)?_g=(refreshInterval:(display:Off,pause:!f,section:0,value:0),time:(from:'2018-01-13T00:55:09-0700',mode:absolute,to:'2018-01-13T03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/stypes="*4025*201801130*" /stext=" 09:.+((SYSTEM_STATE.+slice.+state.+changed )|(ment ac)|(multiple cpu faults)|(system.+state.+changed )|(\[timeout)|(PRM\|1\|D)|(kpr)|(kdp)|(train st.+moving)|(\|lc)|(penalty))"</v>
      </c>
      <c r="U8" s="9" t="str">
        <f>MID(B8,13,4)</f>
        <v>4025</v>
      </c>
      <c r="V8" s="31">
        <f>A8-utc_offset/24</f>
        <v>43113.395011574074</v>
      </c>
      <c r="W8" s="45" t="str">
        <f>DetSubdiv(C8)</f>
        <v>EC</v>
      </c>
      <c r="X8" s="228">
        <f>VALUE(LEFT(C8,LEN(C8)-3))</f>
        <v>246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Arrival","project_id":79,"tracker_id":40,"status_id":1,"priority_id":2,"assigned_to_id":338,"start_date":"2018-01-13","description":"","custom_fields":[{"id":1,"name":"Subdivision","value":"EC"},{"id":4,"name":"Milepost","value":"2.735"},{"id":17,"name":"Train ID","value":"246-12"},{"id":16,"name":"Locomotive ID","value":"4025"},{"id":130,"name":"Impact","value":""},{"id":150,"name":"Time of Event (Mountain Time)","value":"02:28:49"},{"id":151,"name":"Denver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/c/Users/stu/AppData/Local/Temp/OnboardLogs/RTDC4025 --include="*4025*201801130*"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"%USERPROFILE%\AppData\Local\Temp\OnboardLogs"\RTDC4025\*4025*201801130* &gt;&gt; 2018-01-12-SliceDisagreementCheck.txt</v>
      </c>
      <c r="AE8" s="144" t="str">
        <f t="shared" ref="AE8:AE37" si="1">"start /low /b "&amp;dls3logs&amp;" --loco "&amp;U8&amp;" --day "&amp;TEXT(V8,"YYYY-MM-DD")</f>
        <v>start /low /b %USERPROFILE%\Documents\GitHub\eaglep3\Utilities\DownloadLogsFromS3.py --loco 4025 --day 2018-01-13</v>
      </c>
      <c r="AF8" s="1"/>
    </row>
    <row r="9" spans="1:32" x14ac:dyDescent="0.3">
      <c r="A9" s="31">
        <v>43112.589317129627</v>
      </c>
      <c r="B9" s="30" t="s">
        <v>356</v>
      </c>
      <c r="C9" s="30" t="s">
        <v>679</v>
      </c>
      <c r="D9" s="30" t="s">
        <v>95</v>
      </c>
      <c r="E9" s="30" t="s">
        <v>480</v>
      </c>
      <c r="F9" s="42">
        <v>400</v>
      </c>
      <c r="G9" s="42">
        <v>454</v>
      </c>
      <c r="H9" s="42">
        <v>33154</v>
      </c>
      <c r="I9" s="42">
        <v>34651</v>
      </c>
      <c r="J9" s="30" t="s">
        <v>183</v>
      </c>
      <c r="K9" s="42">
        <v>33137</v>
      </c>
      <c r="L9" s="131" t="s">
        <v>50</v>
      </c>
      <c r="M9" s="132">
        <f>CONVERT((I9-K9)/10000,"mi","ft")*IF(L9="Increasing Mileposts (1)",-1,1)</f>
        <v>-799.39200000000005</v>
      </c>
      <c r="N9" s="133" t="str">
        <f>VLOOKUP(C9,'Trips&amp;Operators'!$C$1:$G$99911,5,FALSE)</f>
        <v>LEVIN SCOTT</v>
      </c>
      <c r="O9" s="175" t="s">
        <v>178</v>
      </c>
      <c r="P9" s="239" t="s">
        <v>481</v>
      </c>
      <c r="Q9" s="30"/>
      <c r="R9" s="81" t="str">
        <f>VLOOKUP(C9,'Train Runs'!$A$13:$AE$10259,31,0)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S9" s="84" t="str">
        <f>VLOOKUP(C9,'Train Runs'!$A$13:$AE$10259,22,0)</f>
        <v>https://d0f6bd738d7f1b3e5a7ca70fe4ff75f0.us-east-1.aws.found.io/app/kibana#/discover/Steve-Slow-Train-Analysis-(2080s-and-2083s)?_g=(refreshInterval:(display:Off,pause:!f,section:0,value:0),time:(from:'2018-01-12T12:50:52-0700',mode:absolute,to:'2018-01-12T15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/stypes="*4060*201801122*" /stext=" 21:.+((SYSTEM_STATE.+slice.+state.+changed )|(ment ac)|(multiple cpu faults)|(system.+state.+changed )|(\[timeout)|(PRM\|1\|D)|(kpr)|(kdp)|(train st.+moving)|(\|lc)|(penalty))"</v>
      </c>
      <c r="U9" s="9" t="str">
        <f>MID(B9,13,4)</f>
        <v>4060</v>
      </c>
      <c r="V9" s="31">
        <f>A9-utc_offset/24</f>
        <v>43112.880983796291</v>
      </c>
      <c r="W9" s="45" t="str">
        <f>DetSubdiv(C9)</f>
        <v>EC</v>
      </c>
      <c r="X9" s="228">
        <f>VALUE(LEFT(C9,LEN(C9)-3))</f>
        <v>183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Arrival","project_id":79,"tracker_id":40,"status_id":1,"priority_id":2,"assigned_to_id":338,"start_date":"2018-01-12","description":"","custom_fields":[{"id":1,"name":"Subdivision","value":"EC"},{"id":4,"name":"Milepost","value":"3.3137"},{"id":17,"name":"Train ID","value":"183-12"},{"id":16,"name":"Locomotive ID","value":"4060"},{"id":130,"name":"Impact","value":""},{"id":150,"name":"Time of Event (Mountain Time)","value":"14:08:37"},{"id":151,"name":"Denver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/c/Users/stu/AppData/Local/Temp/OnboardLogs/RTDC4060 --include="*4060*201801122*"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"%USERPROFILE%\AppData\Local\Temp\OnboardLogs"\RTDC4060\*4060*201801122* &gt;&gt; 2018-01-12-SliceDisagreementCheck.txt</v>
      </c>
      <c r="AE9" s="144" t="str">
        <f t="shared" si="1"/>
        <v>start /low /b %USERPROFILE%\Documents\GitHub\eaglep3\Utilities\DownloadLogsFromS3.py --loco 4060 --day 2018-01-12</v>
      </c>
      <c r="AF9" s="1"/>
    </row>
    <row r="10" spans="1:32" x14ac:dyDescent="0.3">
      <c r="A10" s="31">
        <v>43112.632303240738</v>
      </c>
      <c r="B10" s="30" t="s">
        <v>470</v>
      </c>
      <c r="C10" s="30" t="s">
        <v>680</v>
      </c>
      <c r="D10" s="30" t="s">
        <v>49</v>
      </c>
      <c r="E10" s="30" t="s">
        <v>480</v>
      </c>
      <c r="F10" s="42">
        <v>250</v>
      </c>
      <c r="G10" s="42">
        <v>345</v>
      </c>
      <c r="H10" s="42">
        <v>35807</v>
      </c>
      <c r="I10" s="42">
        <v>34770</v>
      </c>
      <c r="J10" s="30" t="s">
        <v>183</v>
      </c>
      <c r="K10" s="42">
        <v>33257</v>
      </c>
      <c r="L10" s="131" t="s">
        <v>51</v>
      </c>
      <c r="M10" s="132">
        <f>CONVERT((I10-K10)/10000,"mi","ft")*IF(L10="Increasing Mileposts (1)",-1,1)</f>
        <v>798.86400000000003</v>
      </c>
      <c r="N10" s="133" t="str">
        <f>VLOOKUP(C10,'Trips&amp;Operators'!$C$1:$G$99911,5,FALSE)</f>
        <v>FORTUNATO FRANK</v>
      </c>
      <c r="O10" s="175" t="s">
        <v>178</v>
      </c>
      <c r="P10" s="239" t="s">
        <v>481</v>
      </c>
      <c r="Q10" s="30"/>
      <c r="R10" s="81" t="str">
        <f>VLOOKUP(C10,'Train Runs'!$A$13:$AE$10259,31,0)</f>
        <v>aws s3 cp s3://rtdc.mdm.uploadarchive.raw/RTDC4025/ "%USERPROFILE%\AppData\Local\Temp\OnboardLogs"\RTDC4025\2018-01-12 --exclude "*" --recursive --include "*20180112*" &amp; "%USERPROFILE%\Documents\GitHub\mrs-test-scripts\Headless Mode &amp; Sideloading\WalkAndUnGZ.bat" "%USERPROFILE%\AppData\Local\Temp\OnboardLogs"\RTDC4025\2018-01-12 &amp; aws s3 cp s3://rtdc.mdm.uploadarchive.raw/RTDC4025/ "%USERPROFILE%\AppData\Local\Temp\OnboardLogs"\RTDC4025\2018-01-13 --exclude "*" --recursive --include "*20180113*" &amp; "%USERPROFILE%\Documents\GitHub\mrs-test-scripts\Headless Mode &amp; Sideloading\WalkAndUnGZ.bat" "%USERPROFILE%\AppData\Local\Temp\OnboardLogs"\RTDC4025\2018-01-13</v>
      </c>
      <c r="S10" s="84" t="str">
        <f>VLOOKUP(C10,'Train Runs'!$A$13:$AE$10259,22,0)</f>
        <v>https://d0f6bd738d7f1b3e5a7ca70fe4ff75f0.us-east-1.aws.found.io/app/kibana#/discover/Steve-Slow-Train-Analysis-(2080s-and-2083s)?_g=(refreshInterval:(display:Off,pause:!f,section:0,value:0),time:(from:'2018-01-12T13:22:36-0700',mode:absolute,to:'2018-01-12T16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/stypes="*4025*201801122*" /stext=" 22:.+((SYSTEM_STATE.+slice.+state.+changed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43112.923969907402</v>
      </c>
      <c r="W10" s="45" t="str">
        <f>DetSubdiv(C10)</f>
        <v>EC</v>
      </c>
      <c r="X10" s="228">
        <f>VALUE(LEFT(C10,LEN(C10)-3))</f>
        <v>182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Arrival","project_id":79,"tracker_id":40,"status_id":1,"priority_id":2,"assigned_to_id":338,"start_date":"2018-01-12","description":"","custom_fields":[{"id":1,"name":"Subdivision","value":"EC"},{"id":4,"name":"Milepost","value":"3.3257"},{"id":17,"name":"Train ID","value":"182-12"},{"id":16,"name":"Locomotive ID","value":"4025"},{"id":130,"name":"Impact","value":""},{"id":150,"name":"Time of Event (Mountain Time)","value":"15:10:31"},{"id":151,"name":"Denver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/c/Users/stu/AppData/Local/Temp/OnboardLogs/RTDC4025 --include="*4025*201801122*"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"%USERPROFILE%\AppData\Local\Temp\OnboardLogs"\RTDC4025\*4025*201801122* &gt;&gt; 2018-01-12-SliceDisagreementCheck.txt</v>
      </c>
      <c r="AE10" s="144" t="str">
        <f t="shared" si="1"/>
        <v>start /low /b %USERPROFILE%\Documents\GitHub\eaglep3\Utilities\DownloadLogsFromS3.py --loco 4025 --day 2018-01-12</v>
      </c>
      <c r="AF10" s="1"/>
    </row>
    <row r="11" spans="1:32" x14ac:dyDescent="0.3">
      <c r="A11" s="31">
        <v>43112.565925925926</v>
      </c>
      <c r="B11" s="30" t="s">
        <v>677</v>
      </c>
      <c r="C11" s="30" t="s">
        <v>678</v>
      </c>
      <c r="D11" s="30" t="s">
        <v>49</v>
      </c>
      <c r="E11" s="30" t="s">
        <v>480</v>
      </c>
      <c r="F11" s="42">
        <v>110</v>
      </c>
      <c r="G11" s="42">
        <v>160</v>
      </c>
      <c r="H11" s="42">
        <v>63866</v>
      </c>
      <c r="I11" s="42">
        <v>63627</v>
      </c>
      <c r="J11" s="30" t="s">
        <v>183</v>
      </c>
      <c r="K11" s="42">
        <v>63309</v>
      </c>
      <c r="L11" s="131" t="s">
        <v>51</v>
      </c>
      <c r="M11" s="132">
        <f>CONVERT((I11-K11)/10000,"mi","ft")*IF(L11="Increasing Mileposts (1)",-1,1)</f>
        <v>167.904</v>
      </c>
      <c r="N11" s="133" t="str">
        <f>VLOOKUP(C11,'Trips&amp;Operators'!$C$1:$G$99911,5,FALSE)</f>
        <v>LEVIN SCOTT</v>
      </c>
      <c r="O11" s="175" t="s">
        <v>178</v>
      </c>
      <c r="P11" s="239" t="s">
        <v>481</v>
      </c>
      <c r="Q11" s="30"/>
      <c r="R11" s="81" t="str">
        <f>VLOOKUP(C11,'Train Runs'!$A$13:$AE$10259,31,0)</f>
        <v>aws s3 cp s3://rtdc.mdm.uploadarchive.raw/RTDC4059/ "%USERPROFILE%\AppData\Local\Temp\OnboardLogs"\RTDC4059\2018-01-12 --exclude "*" --recursive --include "*20180112*" &amp; "%USERPROFILE%\Documents\GitHub\mrs-test-scripts\Headless Mode &amp; Sideloading\WalkAndUnGZ.bat" "%USERPROFILE%\AppData\Local\Temp\OnboardLogs"\RTDC4059\2018-01-12 &amp; aws s3 cp s3://rtdc.mdm.uploadarchive.raw/RTDC4059/ "%USERPROFILE%\AppData\Local\Temp\OnboardLogs"\RTDC4059\2018-01-13 --exclude "*" --recursive --include "*20180113*" &amp; "%USERPROFILE%\Documents\GitHub\mrs-test-scripts\Headless Mode &amp; Sideloading\WalkAndUnGZ.bat" "%USERPROFILE%\AppData\Local\Temp\OnboardLogs"\RTDC4059\2018-01-13</v>
      </c>
      <c r="S11" s="84" t="str">
        <f>VLOOKUP(C11,'Train Runs'!$A$13:$AE$10259,22,0)</f>
        <v>https://d0f6bd738d7f1b3e5a7ca70fe4ff75f0.us-east-1.aws.found.io/app/kibana#/discover/Steve-Slow-Train-Analysis-(2080s-and-2083s)?_g=(refreshInterval:(display:Off,pause:!f,section:0,value:0),time:(from:'2018-01-12T12:07:56-0700',mode:absolute,to:'2018-01-12T14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/stypes="*4059*201801122*" /stext=" 20:.+((SYSTEM_STATE.+slice.+state.+changed )|(ment ac)|(multiple cpu faults)|(system.+state.+changed )|(\[timeout)|(PRM\|1\|D)|(kpr)|(kdp)|(train st.+moving)|(\|lc)|(penalty))"</v>
      </c>
      <c r="U11" s="9" t="str">
        <f>MID(B11,13,4)</f>
        <v>4059</v>
      </c>
      <c r="V11" s="31">
        <f>A11-utc_offset/24</f>
        <v>43112.857592592591</v>
      </c>
      <c r="W11" s="45" t="str">
        <f>DetSubdiv(C11)</f>
        <v>EC</v>
      </c>
      <c r="X11" s="228">
        <f>VALUE(LEFT(C11,LEN(C11)-3))</f>
        <v>170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Arrival","project_id":79,"tracker_id":40,"status_id":1,"priority_id":2,"assigned_to_id":338,"start_date":"2018-01-12","description":"","custom_fields":[{"id":1,"name":"Subdivision","value":"EC"},{"id":4,"name":"Milepost","value":"6.3309"},{"id":17,"name":"Train ID","value":"170-12"},{"id":16,"name":"Locomotive ID","value":"4059"},{"id":130,"name":"Impact","value":""},{"id":150,"name":"Time of Event (Mountain Time)","value":"13:34:56"},{"id":151,"name":"Denver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/c/Users/stu/AppData/Local/Temp/OnboardLogs/RTDC4059 --include="*4059*201801122*"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"%USERPROFILE%\AppData\Local\Temp\OnboardLogs"\RTDC4059\*4059*201801122* &gt;&gt; 2018-01-12-SliceDisagreementCheck.txt</v>
      </c>
      <c r="AE11" s="144" t="str">
        <f t="shared" si="1"/>
        <v>start /low /b %USERPROFILE%\Documents\GitHub\eaglep3\Utilities\DownloadLogsFromS3.py --loco 4059 --day 2018-01-12</v>
      </c>
      <c r="AF11" s="1"/>
    </row>
    <row r="12" spans="1:32" x14ac:dyDescent="0.3">
      <c r="A12" s="31">
        <v>43112.377453703702</v>
      </c>
      <c r="B12" s="30" t="s">
        <v>361</v>
      </c>
      <c r="C12" s="30" t="s">
        <v>671</v>
      </c>
      <c r="D12" s="30" t="s">
        <v>49</v>
      </c>
      <c r="E12" s="30" t="s">
        <v>480</v>
      </c>
      <c r="F12" s="42">
        <v>480</v>
      </c>
      <c r="G12" s="42">
        <v>535</v>
      </c>
      <c r="H12" s="42">
        <v>79888</v>
      </c>
      <c r="I12" s="42">
        <v>78001</v>
      </c>
      <c r="J12" s="30" t="s">
        <v>183</v>
      </c>
      <c r="K12" s="42">
        <v>78469</v>
      </c>
      <c r="L12" s="131" t="s">
        <v>51</v>
      </c>
      <c r="M12" s="132">
        <f>CONVERT((I12-K12)/10000,"mi","ft")*IF(L12="Increasing Mileposts (1)",-1,1)</f>
        <v>-247.10400000000001</v>
      </c>
      <c r="N12" s="133" t="str">
        <f>VLOOKUP(C12,'Trips&amp;Operators'!$C$1:$G$99911,5,FALSE)</f>
        <v>STRICKLAND EVAN</v>
      </c>
      <c r="O12" s="175" t="s">
        <v>178</v>
      </c>
      <c r="P12" s="239" t="s">
        <v>481</v>
      </c>
      <c r="Q12" s="30"/>
      <c r="R12" s="81" t="str">
        <f>VLOOKUP(C12,'Train Runs'!$A$13:$AE$10259,31,0)</f>
        <v>aws s3 cp s3://rtdc.mdm.uploadarchive.raw/RTDC4017/ "%USERPROFILE%\AppData\Local\Temp\OnboardLogs"\RTDC4017\2018-01-12 --exclude "*" --recursive --include "*20180112*" &amp; "%USERPROFILE%\Documents\GitHub\mrs-test-scripts\Headless Mode &amp; Sideloading\WalkAndUnGZ.bat" "%USERPROFILE%\AppData\Local\Temp\OnboardLogs"\RTDC4017\2018-01-12 &amp; aws s3 cp s3://rtdc.mdm.uploadarchive.raw/RTDC4017/ "%USERPROFILE%\AppData\Local\Temp\OnboardLogs"\RTDC4017\2018-01-13 --exclude "*" --recursive --include "*20180113*" &amp; "%USERPROFILE%\Documents\GitHub\mrs-test-scripts\Headless Mode &amp; Sideloading\WalkAndUnGZ.bat" "%USERPROFILE%\AppData\Local\Temp\OnboardLogs"\RTDC4017\2018-01-13</v>
      </c>
      <c r="S12" s="84" t="str">
        <f>VLOOKUP(C12,'Train Runs'!$A$13:$AE$10259,22,0)</f>
        <v>https://d0f6bd738d7f1b3e5a7ca70fe4ff75f0.us-east-1.aws.found.io/app/kibana#/discover/Steve-Slow-Train-Analysis-(2080s-and-2083s)?_g=(refreshInterval:(display:Off,pause:!f,section:0,value:0),time:(from:'2018-01-12T07:26:36-0700',mode:absolute,to:'2018-01-12T10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/stypes="*4017*201801121*" /stext=" 16:.+((SYSTEM_STATE.+slice.+state.+changed )|(ment ac)|(multiple cpu faults)|(system.+state.+changed )|(\[timeout)|(PRM\|1\|D)|(kpr)|(kdp)|(train st.+moving)|(\|lc)|(penalty))"</v>
      </c>
      <c r="U12" s="9" t="str">
        <f>MID(B12,13,4)</f>
        <v>4017</v>
      </c>
      <c r="V12" s="31">
        <f>A12-utc_offset/24</f>
        <v>43112.669120370367</v>
      </c>
      <c r="W12" s="45" t="str">
        <f>DetSubdiv(C12)</f>
        <v>EC</v>
      </c>
      <c r="X12" s="228">
        <f>VALUE(LEFT(C12,LEN(C12)-3))</f>
        <v>134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Arrival","project_id":79,"tracker_id":40,"status_id":1,"priority_id":2,"assigned_to_id":338,"start_date":"2018-01-12","description":"","custom_fields":[{"id":1,"name":"Subdivision","value":"EC"},{"id":4,"name":"Milepost","value":"7.8469"},{"id":17,"name":"Train ID","value":"134-12"},{"id":16,"name":"Locomotive ID","value":"4017"},{"id":130,"name":"Impact","value":""},{"id":150,"name":"Time of Event (Mountain Time)","value":"09:03:32"},{"id":151,"name":"Denver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/c/Users/stu/AppData/Local/Temp/OnboardLogs/RTDC4017 --include="*4017*201801121*"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"%USERPROFILE%\AppData\Local\Temp\OnboardLogs"\RTDC4017\*4017*201801121* &gt;&gt; 2018-01-12-SliceDisagreementCheck.txt</v>
      </c>
      <c r="AE12" s="144" t="str">
        <f t="shared" si="1"/>
        <v>start /low /b %USERPROFILE%\Documents\GitHub\eaglep3\Utilities\DownloadLogsFromS3.py --loco 4017 --day 2018-01-12</v>
      </c>
      <c r="AF12" s="1"/>
    </row>
    <row r="13" spans="1:32" x14ac:dyDescent="0.3">
      <c r="A13" s="31">
        <v>43112.803749999999</v>
      </c>
      <c r="B13" s="30" t="s">
        <v>691</v>
      </c>
      <c r="C13" s="30" t="s">
        <v>692</v>
      </c>
      <c r="D13" s="30" t="s">
        <v>49</v>
      </c>
      <c r="E13" s="30" t="s">
        <v>480</v>
      </c>
      <c r="F13" s="42">
        <v>600</v>
      </c>
      <c r="G13" s="42">
        <v>676</v>
      </c>
      <c r="H13" s="42">
        <v>80861</v>
      </c>
      <c r="I13" s="42">
        <v>78214</v>
      </c>
      <c r="J13" s="30" t="s">
        <v>183</v>
      </c>
      <c r="K13" s="42">
        <v>78469</v>
      </c>
      <c r="L13" s="131" t="s">
        <v>51</v>
      </c>
      <c r="M13" s="132">
        <f>CONVERT((I13-K13)/10000,"mi","ft")*IF(L13="Increasing Mileposts (1)",-1,1)</f>
        <v>-134.63999999999999</v>
      </c>
      <c r="N13" s="133" t="str">
        <f>VLOOKUP(C13,'Trips&amp;Operators'!$C$1:$G$99911,5,FALSE)</f>
        <v>ROBINSON KADDIBA</v>
      </c>
      <c r="O13" s="175" t="s">
        <v>178</v>
      </c>
      <c r="P13" s="239" t="s">
        <v>481</v>
      </c>
      <c r="Q13" s="30"/>
      <c r="R13" s="81" t="str">
        <f>VLOOKUP(C13,'Train Runs'!$A$13:$AE$10259,31,0)</f>
        <v>aws s3 cp s3://rtdc.mdm.uploadarchive.raw/RTDC4027/ "%USERPROFILE%\AppData\Local\Temp\OnboardLogs"\RTDC4027\2018-01-12 --exclude "*" --recursive --include "*20180112*" &amp; "%USERPROFILE%\Documents\GitHub\mrs-test-scripts\Headless Mode &amp; Sideloading\WalkAndUnGZ.bat" "%USERPROFILE%\AppData\Local\Temp\OnboardLogs"\RTDC4027\2018-01-12 &amp; aws s3 cp s3://rtdc.mdm.uploadarchive.raw/RTDC4027/ "%USERPROFILE%\AppData\Local\Temp\OnboardLogs"\RTDC4027\2018-01-13 --exclude "*" --recursive --include "*20180113*" &amp; "%USERPROFILE%\Documents\GitHub\mrs-test-scripts\Headless Mode &amp; Sideloading\WalkAndUnGZ.bat" "%USERPROFILE%\AppData\Local\Temp\OnboardLogs"\RTDC4027\2018-01-13</v>
      </c>
      <c r="S13" s="84" t="str">
        <f>VLOOKUP(C13,'Train Runs'!$A$13:$AE$10259,22,0)</f>
        <v>https://d0f6bd738d7f1b3e5a7ca70fe4ff75f0.us-east-1.aws.found.io/app/kibana#/discover/Steve-Slow-Train-Analysis-(2080s-and-2083s)?_g=(refreshInterval:(display:Off,pause:!f,section:0,value:0),time:(from:'2018-01-12T17:49:49-0700',mode:absolute,to:'2018-01-12T20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/stypes="*4027*201801130*" /stext=" 02:.+((SYSTEM_STATE.+slice.+state.+changed )|(ment ac)|(multiple cpu faults)|(system.+state.+changed )|(\[timeout)|(PRM\|1\|D)|(kpr)|(kdp)|(train st.+moving)|(\|lc)|(penalty))"</v>
      </c>
      <c r="U13" s="9" t="str">
        <f>MID(B13,13,4)</f>
        <v>4027</v>
      </c>
      <c r="V13" s="31">
        <f>A13-utc_offset/24</f>
        <v>43113.095416666663</v>
      </c>
      <c r="W13" s="45" t="str">
        <f>DetSubdiv(C13)</f>
        <v>EC</v>
      </c>
      <c r="X13" s="228">
        <f>VALUE(LEFT(C13,LEN(C13)-3))</f>
        <v>216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Arrival","project_id":79,"tracker_id":40,"status_id":1,"priority_id":2,"assigned_to_id":338,"start_date":"2018-01-12","description":"","custom_fields":[{"id":1,"name":"Subdivision","value":"EC"},{"id":4,"name":"Milepost","value":"7.8469"},{"id":17,"name":"Train ID","value":"216-12"},{"id":16,"name":"Locomotive ID","value":"4027"},{"id":130,"name":"Impact","value":""},{"id":150,"name":"Time of Event (Mountain Time)","value":"19:17:24"},{"id":151,"name":"Denver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/c/Users/stu/AppData/Local/Temp/OnboardLogs/RTDC4027 --include="*4027*201801130*"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"%USERPROFILE%\AppData\Local\Temp\OnboardLogs"\RTDC4027\*4027*201801130* &gt;&gt; 2018-01-12-SliceDisagreementCheck.txt</v>
      </c>
      <c r="AE13" s="144" t="str">
        <f t="shared" si="1"/>
        <v>start /low /b %USERPROFILE%\Documents\GitHub\eaglep3\Utilities\DownloadLogsFromS3.py --loco 4027 --day 2018-01-13</v>
      </c>
      <c r="AF13" s="1"/>
    </row>
    <row r="14" spans="1:32" s="223" customFormat="1" x14ac:dyDescent="0.3">
      <c r="A14" s="31">
        <v>43112.378136574072</v>
      </c>
      <c r="B14" s="30" t="s">
        <v>497</v>
      </c>
      <c r="C14" s="30" t="s">
        <v>672</v>
      </c>
      <c r="D14" s="30" t="s">
        <v>49</v>
      </c>
      <c r="E14" s="30" t="s">
        <v>189</v>
      </c>
      <c r="F14" s="42">
        <v>400</v>
      </c>
      <c r="G14" s="42">
        <v>452</v>
      </c>
      <c r="H14" s="42">
        <v>17480</v>
      </c>
      <c r="I14" s="42">
        <v>18110</v>
      </c>
      <c r="J14" s="30" t="s">
        <v>190</v>
      </c>
      <c r="K14" s="42">
        <v>17867</v>
      </c>
      <c r="L14" s="131" t="s">
        <v>50</v>
      </c>
      <c r="M14" s="132">
        <f>CONVERT((I14-K14)/10000,"mi","ft")*IF(L14="Increasing Mileposts (1)",-1,1)</f>
        <v>-128.304</v>
      </c>
      <c r="N14" s="133" t="str">
        <f>VLOOKUP(C14,'Trips&amp;Operators'!$C$1:$G$99911,5,FALSE)</f>
        <v>HUFFSMITH MONTY</v>
      </c>
      <c r="O14" s="175" t="s">
        <v>178</v>
      </c>
      <c r="P14" s="239"/>
      <c r="Q14" s="30"/>
      <c r="R14" s="81" t="str">
        <f>VLOOKUP(C14,'Train Runs'!$A$13:$AE$10259,31,0)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S14" s="84" t="str">
        <f>VLOOKUP(C14,'Train Runs'!$A$13:$AE$10259,22,0)</f>
        <v>https://d0f6bd738d7f1b3e5a7ca70fe4ff75f0.us-east-1.aws.found.io/app/kibana#/discover/Steve-Slow-Train-Analysis-(2080s-and-2083s)?_g=(refreshInterval:(display:Off,pause:!f,section:0,value:0),time:(from:'2018-01-12T07:53:50-0700',mode:absolute,to:'2018-01-12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/stypes="*4040*201801121*" /stext=" 16:.+((SYSTEM_STATE.+slice.+state.+changed )|(ment ac)|(multiple cpu faults)|(system.+state.+changed )|(\[timeout)|(PRM\|1\|D)|(kpr)|(kdp)|(train st.+moving)|(\|lc)|(penalty))"</v>
      </c>
      <c r="U14" s="9" t="str">
        <f>MID(B14,13,4)</f>
        <v>4040</v>
      </c>
      <c r="V14" s="31">
        <f>A14-utc_offset/24</f>
        <v>43112.669803240737</v>
      </c>
      <c r="W14" s="45" t="str">
        <f>DetSubdiv(C14)</f>
        <v>EC</v>
      </c>
      <c r="X14" s="228">
        <f>VALUE(LEFT(C14,LEN(C14)-3))</f>
        <v>143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{"issue":{"subject":"","project_id":79,"tracker_id":40,"status_id":1,"priority_id":2,"assigned_to_id":338,"start_date":"2018-01-12","description":"","custom_fields":[{"id":1,"name":"Subdivision","value":"EC"},{"id":4,"name":"Milepost","value":"1.7867"},{"id":17,"name":"Train ID","value":"143-12"},{"id":16,"name":"Locomotive ID","value":"4040"},{"id":130,"name":"Impact","value":""},{"id":150,"name":"Time of Event (Mountain Time)","value":"09:04:31"},{"id":151,"name":"Denver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/c/Users/stu/AppData/Local/Temp/OnboardLogs/RTDC4040 --include="*4040*201801121*"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"%USERPROFILE%\AppData\Local\Temp\OnboardLogs"\RTDC4040\*4040*201801121* &gt;&gt; 2018-01-12-SliceDisagreementCheck.txt</v>
      </c>
      <c r="AE14" s="144" t="str">
        <f t="shared" si="1"/>
        <v>start /low /b %USERPROFILE%\Documents\GitHub\eaglep3\Utilities\DownloadLogsFromS3.py --loco 4040 --day 2018-01-12</v>
      </c>
      <c r="AF14" s="1"/>
    </row>
    <row r="15" spans="1:32" x14ac:dyDescent="0.3">
      <c r="A15" s="31">
        <v>43112.332280092596</v>
      </c>
      <c r="B15" s="30" t="s">
        <v>669</v>
      </c>
      <c r="C15" s="30" t="s">
        <v>670</v>
      </c>
      <c r="D15" s="30" t="s">
        <v>49</v>
      </c>
      <c r="E15" s="30" t="s">
        <v>189</v>
      </c>
      <c r="F15" s="42">
        <v>300</v>
      </c>
      <c r="G15" s="42">
        <v>466</v>
      </c>
      <c r="H15" s="42">
        <v>24968</v>
      </c>
      <c r="I15" s="42">
        <v>23529</v>
      </c>
      <c r="J15" s="30" t="s">
        <v>190</v>
      </c>
      <c r="K15" s="42">
        <v>21848</v>
      </c>
      <c r="L15" s="131" t="s">
        <v>51</v>
      </c>
      <c r="M15" s="132">
        <f>CONVERT((I15-K15)/10000,"mi","ft")*IF(L15="Increasing Mileposts (1)",-1,1)</f>
        <v>887.56799999999998</v>
      </c>
      <c r="N15" s="133" t="str">
        <f>VLOOKUP(C15,'Trips&amp;Operators'!$C$1:$G$99911,5,FALSE)</f>
        <v>LOPES KIMBERLY</v>
      </c>
      <c r="O15" s="175" t="s">
        <v>178</v>
      </c>
      <c r="P15" s="239"/>
      <c r="Q15" s="30"/>
      <c r="R15" s="81" t="str">
        <f>VLOOKUP(C15,'Train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15" s="84" t="str">
        <f>VLOOKUP(C15,'Train Runs'!$A$13:$AE$10259,22,0)</f>
        <v>https://d0f6bd738d7f1b3e5a7ca70fe4ff75f0.us-east-1.aws.found.io/app/kibana#/discover/Steve-Slow-Train-Analysis-(2080s-and-2083s)?_g=(refreshInterval:(display:Off,pause:!f,section:0,value:0),time:(from:'2018-01-12T06:20:56-0700',mode:absolute,to:'2018-01-12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/stypes="*4003*201801121*" /stext=" 14:.+((SYSTEM_STATE.+slice.+state.+changed )|(ment ac)|(multiple cpu faults)|(system.+state.+changed )|(\[timeout)|(PRM\|1\|D)|(kpr)|(kdp)|(train st.+moving)|(\|lc)|(penalty))"</v>
      </c>
      <c r="U15" s="9" t="str">
        <f>MID(B15,13,4)</f>
        <v>4003</v>
      </c>
      <c r="V15" s="31">
        <f>A15-utc_offset/24</f>
        <v>43112.62394675926</v>
      </c>
      <c r="W15" s="45" t="str">
        <f>DetSubdiv(C15)</f>
        <v>EC</v>
      </c>
      <c r="X15" s="228">
        <f>VALUE(LEFT(C15,LEN(C15)-3))</f>
        <v>124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{"issue":{"subject":"","project_id":79,"tracker_id":40,"status_id":1,"priority_id":2,"assigned_to_id":338,"start_date":"2018-01-12","description":"","custom_fields":[{"id":1,"name":"Subdivision","value":"EC"},{"id":4,"name":"Milepost","value":"2.1848"},{"id":17,"name":"Train ID","value":"124-12"},{"id":16,"name":"Locomotive ID","value":"4003"},{"id":130,"name":"Impact","value":""},{"id":150,"name":"Time of Event (Mountain Time)","value":"07:58:29"},{"id":151,"name":"Denver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/c/Users/stu/AppData/Local/Temp/OnboardLogs/RTDC4003 --include="*4003*201801121*"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"%USERPROFILE%\AppData\Local\Temp\OnboardLogs"\RTDC4003\*4003*201801121* &gt;&gt; 2018-01-12-SliceDisagreementCheck.txt</v>
      </c>
      <c r="AE15" s="144" t="str">
        <f t="shared" si="1"/>
        <v>start /low /b %USERPROFILE%\Documents\GitHub\eaglep3\Utilities\DownloadLogsFromS3.py --loco 4003 --day 2018-01-12</v>
      </c>
      <c r="AF15" s="1"/>
    </row>
    <row r="16" spans="1:32" x14ac:dyDescent="0.3">
      <c r="A16" s="31">
        <v>43112.208020833335</v>
      </c>
      <c r="B16" s="30" t="s">
        <v>563</v>
      </c>
      <c r="C16" s="30" t="s">
        <v>668</v>
      </c>
      <c r="D16" s="30" t="s">
        <v>49</v>
      </c>
      <c r="E16" s="30" t="s">
        <v>189</v>
      </c>
      <c r="F16" s="42">
        <v>600</v>
      </c>
      <c r="G16" s="42">
        <v>677</v>
      </c>
      <c r="H16" s="42">
        <v>181893</v>
      </c>
      <c r="I16" s="42">
        <v>186561</v>
      </c>
      <c r="J16" s="30" t="s">
        <v>190</v>
      </c>
      <c r="K16" s="42">
        <v>183829</v>
      </c>
      <c r="L16" s="131" t="s">
        <v>50</v>
      </c>
      <c r="M16" s="132">
        <f>CONVERT((I16-K16)/10000,"mi","ft")*IF(L16="Increasing Mileposts (1)",-1,1)</f>
        <v>-1442.4960000000001</v>
      </c>
      <c r="N16" s="133" t="str">
        <f>VLOOKUP(C16,'Trips&amp;Operators'!$C$1:$G$99911,5,FALSE)</f>
        <v>GEBRETEKLE DAGNEW</v>
      </c>
      <c r="O16" s="175" t="s">
        <v>178</v>
      </c>
      <c r="P16" s="239"/>
      <c r="Q16" s="30"/>
      <c r="R16" s="81" t="str">
        <f>VLOOKUP(C16,'Train Runs'!$A$13:$AE$10259,31,0)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S16" s="84" t="str">
        <f>VLOOKUP(C16,'Train Runs'!$A$13:$AE$10259,22,0)</f>
        <v>https://d0f6bd738d7f1b3e5a7ca70fe4ff75f0.us-east-1.aws.found.io/app/kibana#/discover/Steve-Slow-Train-Analysis-(2080s-and-2083s)?_g=(refreshInterval:(display:Off,pause:!f,section:0,value:0),time:(from:'2018-01-12T03:24:08-0700',mode:absolute,to:'2018-01-12T06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/stypes="*4006*201801121*" /stext=" 11:.+((SYSTEM_STATE.+slice.+state.+changed )|(ment ac)|(multiple cpu faults)|(system.+state.+changed )|(\[timeout)|(PRM\|1\|D)|(kpr)|(kdp)|(train st.+moving)|(\|lc)|(penalty))"</v>
      </c>
      <c r="U16" s="9" t="str">
        <f>MID(B16,13,4)</f>
        <v>4006</v>
      </c>
      <c r="V16" s="31">
        <f>A16-utc_offset/24</f>
        <v>43112.4996875</v>
      </c>
      <c r="W16" s="45" t="str">
        <f>DetSubdiv(C16)</f>
        <v>EC</v>
      </c>
      <c r="X16" s="228">
        <f>VALUE(LEFT(C16,LEN(C16)-3))</f>
        <v>107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{"issue":{"subject":"","project_id":79,"tracker_id":40,"status_id":1,"priority_id":2,"assigned_to_id":338,"start_date":"2018-01-12","description":"","custom_fields":[{"id":1,"name":"Subdivision","value":"EC"},{"id":4,"name":"Milepost","value":"18.3829"},{"id":17,"name":"Train ID","value":"107-12"},{"id":16,"name":"Locomotive ID","value":"4006"},{"id":130,"name":"Impact","value":""},{"id":150,"name":"Time of Event (Mountain Time)","value":"04:59:33"},{"id":151,"name":"Denver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/c/Users/stu/AppData/Local/Temp/OnboardLogs/RTDC4006 --include="*4006*201801121*"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"%USERPROFILE%\AppData\Local\Temp\OnboardLogs"\RTDC4006\*4006*201801121* &gt;&gt; 2018-01-12-SliceDisagreementCheck.txt</v>
      </c>
      <c r="AE16" s="144" t="str">
        <f t="shared" si="1"/>
        <v>start /low /b %USERPROFILE%\Documents\GitHub\eaglep3\Utilities\DownloadLogsFromS3.py --loco 4006 --day 2018-01-12</v>
      </c>
      <c r="AF16" s="1"/>
    </row>
    <row r="17" spans="1:32" x14ac:dyDescent="0.3">
      <c r="A17" s="31">
        <v>43112.39806712963</v>
      </c>
      <c r="B17" s="30" t="s">
        <v>669</v>
      </c>
      <c r="C17" s="30" t="s">
        <v>673</v>
      </c>
      <c r="D17" s="30" t="s">
        <v>49</v>
      </c>
      <c r="E17" s="30" t="s">
        <v>353</v>
      </c>
      <c r="F17" s="42">
        <v>0</v>
      </c>
      <c r="G17" s="42">
        <v>719</v>
      </c>
      <c r="H17" s="42">
        <v>79207</v>
      </c>
      <c r="I17" s="42">
        <v>75927</v>
      </c>
      <c r="J17" s="30" t="s">
        <v>354</v>
      </c>
      <c r="K17" s="42">
        <v>75579</v>
      </c>
      <c r="L17" s="131" t="s">
        <v>51</v>
      </c>
      <c r="M17" s="132">
        <f>CONVERT((I17-K17)/10000,"mi","ft")*IF(L17="Increasing Mileposts (1)",-1,1)</f>
        <v>183.744</v>
      </c>
      <c r="N17" s="133" t="str">
        <f>VLOOKUP(C17,'Trips&amp;Operators'!$C$1:$G$99911,5,FALSE)</f>
        <v>LOPES KIMBERLY</v>
      </c>
      <c r="O17" s="175" t="s">
        <v>347</v>
      </c>
      <c r="P17" s="239" t="s">
        <v>437</v>
      </c>
      <c r="Q17" s="30"/>
      <c r="R17" s="81" t="str">
        <f>VLOOKUP(C17,'Train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17" s="84" t="str">
        <f>VLOOKUP(C17,'Train Runs'!$A$13:$AE$10259,22,0)</f>
        <v>https://d0f6bd738d7f1b3e5a7ca70fe4ff75f0.us-east-1.aws.found.io/app/kibana#/discover/Steve-Slow-Train-Analysis-(2080s-and-2083s)?_g=(refreshInterval:(display:Off,pause:!f,section:0,value:0),time:(from:'2018-01-12T07:06:54-0700',mode:absolute,to:'2018-01-12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/stypes="*4003*201801121*" /stext=" 16:.+((SYSTEM_STATE.+slice.+state.+changed )|(ment ac)|(multiple cpu faults)|(system.+state.+changed )|(\[timeout)|(PRM\|1\|D)|(kpr)|(kdp)|(train st.+moving)|(\|lc)|(penalty))"</v>
      </c>
      <c r="U17" s="9" t="str">
        <f>MID(B17,13,4)</f>
        <v>4003</v>
      </c>
      <c r="V17" s="31">
        <f>A17-utc_offset/24</f>
        <v>43112.689733796295</v>
      </c>
      <c r="W17" s="45" t="str">
        <f>DetSubdiv(C17)</f>
        <v>EC</v>
      </c>
      <c r="X17" s="228">
        <f>VALUE(LEFT(C17,LEN(C17)-3))</f>
        <v>138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drop","project_id":79,"tracker_id":40,"status_id":1,"priority_id":2,"assigned_to_id":338,"start_date":"2018-01-12","description":"","custom_fields":[{"id":1,"name":"Subdivision","value":"EC"},{"id":4,"name":"Milepost","value":"7.5579"},{"id":17,"name":"Train ID","value":"138-12"},{"id":16,"name":"Locomotive ID","value":"4003"},{"id":130,"name":"Impact","value":""},{"id":150,"name":"Time of Event (Mountain Time)","value":"09:33:13"},{"id":151,"name":"Denver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/c/Users/stu/AppData/Local/Temp/OnboardLogs/RTDC4003 --include="*4003*201801121*"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"%USERPROFILE%\AppData\Local\Temp\OnboardLogs"\RTDC4003\*4003*201801121* &gt;&gt; 2018-01-12-SliceDisagreementCheck.txt</v>
      </c>
      <c r="AE17" s="144" t="str">
        <f t="shared" si="1"/>
        <v>start /low /b %USERPROFILE%\Documents\GitHub\eaglep3\Utilities\DownloadLogsFromS3.py --loco 4003 --day 2018-01-12</v>
      </c>
      <c r="AF17" s="1"/>
    </row>
    <row r="18" spans="1:32" x14ac:dyDescent="0.3">
      <c r="A18" s="31">
        <v>43112.9922337963</v>
      </c>
      <c r="B18" s="30" t="s">
        <v>497</v>
      </c>
      <c r="C18" s="30" t="s">
        <v>696</v>
      </c>
      <c r="D18" s="30" t="s">
        <v>95</v>
      </c>
      <c r="E18" s="30" t="s">
        <v>353</v>
      </c>
      <c r="F18" s="42">
        <v>200</v>
      </c>
      <c r="G18" s="42">
        <v>257</v>
      </c>
      <c r="H18" s="42">
        <v>87039</v>
      </c>
      <c r="I18" s="42">
        <v>88188</v>
      </c>
      <c r="J18" s="30" t="s">
        <v>354</v>
      </c>
      <c r="K18" s="42">
        <v>81738</v>
      </c>
      <c r="L18" s="131" t="s">
        <v>50</v>
      </c>
      <c r="M18" s="132">
        <f>CONVERT((I18-K18)/10000,"mi","ft")*IF(L18="Increasing Mileposts (1)",-1,1)</f>
        <v>-3405.6</v>
      </c>
      <c r="N18" s="133" t="str">
        <f>VLOOKUP(C18,'Trips&amp;Operators'!$C$1:$G$99911,5,FALSE)</f>
        <v>ANDREA WILLIAMS</v>
      </c>
      <c r="O18" s="175" t="s">
        <v>178</v>
      </c>
      <c r="P18" s="239" t="s">
        <v>1112</v>
      </c>
      <c r="Q18" s="30"/>
      <c r="R18" s="81" t="str">
        <f>VLOOKUP(C18,'Train Runs'!$A$13:$AE$10259,31,0)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S18" s="84" t="str">
        <f>VLOOKUP(C18,'Train Runs'!$A$13:$AE$10259,22,0)</f>
        <v>https://d0f6bd738d7f1b3e5a7ca70fe4ff75f0.us-east-1.aws.found.io/app/kibana#/discover/Steve-Slow-Train-Analysis-(2080s-and-2083s)?_g=(refreshInterval:(display:Off,pause:!f,section:0,value:0),time:(from:'2018-01-12T22:11:15-0700',mode:absolute,to:'2018-01-13T01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/stypes="*4040*201801130*" /stext=" 06:.+((SYSTEM_STATE.+slice.+state.+changed )|(ment ac)|(multiple cpu faults)|(system.+state.+changed )|(\[timeout)|(PRM\|1\|D)|(kpr)|(kdp)|(train st.+moving)|(\|lc)|(penalty))"</v>
      </c>
      <c r="U18" s="9" t="str">
        <f>MID(B18,13,4)</f>
        <v>4040</v>
      </c>
      <c r="V18" s="31">
        <f>A18-utc_offset/24</f>
        <v>43113.283900462964</v>
      </c>
      <c r="W18" s="45" t="str">
        <f>DetSubdiv(C18)</f>
        <v>EC</v>
      </c>
      <c r="X18" s="228">
        <f>VALUE(LEFT(C18,LEN(C18)-3))</f>
        <v>239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{"issue":{"subject":"Restricted aspect","project_id":79,"tracker_id":40,"status_id":1,"priority_id":2,"assigned_to_id":338,"start_date":"2018-01-12","description":"","custom_fields":[{"id":1,"name":"Subdivision","value":"EC"},{"id":4,"name":"Milepost","value":"8.1738"},{"id":17,"name":"Train ID","value":"239-12"},{"id":16,"name":"Locomotive ID","value":"4040"},{"id":130,"name":"Impact","value":""},{"id":150,"name":"Time of Event (Mountain Time)","value":"23:48:49"},{"id":151,"name":"Denver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/c/Users/stu/AppData/Local/Temp/OnboardLogs/RTDC4040 --include="*4040*201801130*"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"%USERPROFILE%\AppData\Local\Temp\OnboardLogs"\RTDC4040\*4040*201801130* &gt;&gt; 2018-01-12-SliceDisagreementCheck.txt</v>
      </c>
      <c r="AE18" s="144" t="str">
        <f t="shared" si="1"/>
        <v>start /low /b %USERPROFILE%\Documents\GitHub\eaglep3\Utilities\DownloadLogsFromS3.py --loco 4040 --day 2018-01-13</v>
      </c>
      <c r="AF18" s="1"/>
    </row>
    <row r="19" spans="1:32" s="223" customFormat="1" x14ac:dyDescent="0.3">
      <c r="A19" s="31">
        <v>43112.601689814815</v>
      </c>
      <c r="B19" s="30" t="s">
        <v>356</v>
      </c>
      <c r="C19" s="30" t="s">
        <v>679</v>
      </c>
      <c r="D19" s="30" t="s">
        <v>49</v>
      </c>
      <c r="E19" s="30" t="s">
        <v>353</v>
      </c>
      <c r="F19" s="42">
        <v>0</v>
      </c>
      <c r="G19" s="42">
        <v>97</v>
      </c>
      <c r="H19" s="42">
        <v>126381</v>
      </c>
      <c r="I19" s="42">
        <v>126524</v>
      </c>
      <c r="J19" s="30" t="s">
        <v>354</v>
      </c>
      <c r="K19" s="42">
        <v>126585</v>
      </c>
      <c r="L19" s="131" t="s">
        <v>50</v>
      </c>
      <c r="M19" s="132">
        <f>CONVERT((I19-K19)/10000,"mi","ft")*IF(L19="Increasing Mileposts (1)",-1,1)</f>
        <v>32.207999999999998</v>
      </c>
      <c r="N19" s="133" t="str">
        <f>VLOOKUP(C19,'Trips&amp;Operators'!$C$1:$G$99911,5,FALSE)</f>
        <v>LEVIN SCOTT</v>
      </c>
      <c r="O19" s="175" t="s">
        <v>347</v>
      </c>
      <c r="P19" s="239" t="s">
        <v>437</v>
      </c>
      <c r="Q19" s="30"/>
      <c r="R19" s="81" t="str">
        <f>VLOOKUP(C19,'Train Runs'!$A$13:$AE$10259,31,0)</f>
        <v>aws s3 cp s3://rtdc.mdm.uploadarchive.raw/RTDC4060/ "%USERPROFILE%\AppData\Local\Temp\OnboardLogs"\RTDC4060\2018-01-12 --exclude "*" --recursive --include "*20180112*" &amp; "%USERPROFILE%\Documents\GitHub\mrs-test-scripts\Headless Mode &amp; Sideloading\WalkAndUnGZ.bat" "%USERPROFILE%\AppData\Local\Temp\OnboardLogs"\RTDC4060\2018-01-12 &amp; aws s3 cp s3://rtdc.mdm.uploadarchive.raw/RTDC4060/ "%USERPROFILE%\AppData\Local\Temp\OnboardLogs"\RTDC4060\2018-01-13 --exclude "*" --recursive --include "*20180113*" &amp; "%USERPROFILE%\Documents\GitHub\mrs-test-scripts\Headless Mode &amp; Sideloading\WalkAndUnGZ.bat" "%USERPROFILE%\AppData\Local\Temp\OnboardLogs"\RTDC4060\2018-01-13</v>
      </c>
      <c r="S19" s="84" t="str">
        <f>VLOOKUP(C19,'Train Runs'!$A$13:$AE$10259,22,0)</f>
        <v>https://d0f6bd738d7f1b3e5a7ca70fe4ff75f0.us-east-1.aws.found.io/app/kibana#/discover/Steve-Slow-Train-Analysis-(2080s-and-2083s)?_g=(refreshInterval:(display:Off,pause:!f,section:0,value:0),time:(from:'2018-01-12T12:50:52-0700',mode:absolute,to:'2018-01-12T15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/stypes="*4060*201801122*" /stext=" 21:.+((SYSTEM_STATE.+slice.+state.+changed )|(ment ac)|(multiple cpu faults)|(system.+state.+changed )|(\[timeout)|(PRM\|1\|D)|(kpr)|(kdp)|(train st.+moving)|(\|lc)|(penalty))"</v>
      </c>
      <c r="U19" s="9" t="str">
        <f>MID(B19,13,4)</f>
        <v>4060</v>
      </c>
      <c r="V19" s="31">
        <f>A19-utc_offset/24</f>
        <v>43112.89335648148</v>
      </c>
      <c r="W19" s="45" t="str">
        <f>DetSubdiv(C19)</f>
        <v>EC</v>
      </c>
      <c r="X19" s="228">
        <f>VALUE(LEFT(C19,LEN(C19)-3))</f>
        <v>183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drop","project_id":79,"tracker_id":40,"status_id":1,"priority_id":2,"assigned_to_id":338,"start_date":"2018-01-12","description":"","custom_fields":[{"id":1,"name":"Subdivision","value":"EC"},{"id":4,"name":"Milepost","value":"12.6585"},{"id":17,"name":"Train ID","value":"183-12"},{"id":16,"name":"Locomotive ID","value":"4060"},{"id":130,"name":"Impact","value":""},{"id":150,"name":"Time of Event (Mountain Time)","value":"14:26:26"},{"id":151,"name":"Denver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/c/Users/stu/AppData/Local/Temp/OnboardLogs/RTDC4060 --include="*4060*201801122*"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"%USERPROFILE%\AppData\Local\Temp\OnboardLogs"\RTDC4060\*4060*201801122* &gt;&gt; 2018-01-12-SliceDisagreementCheck.txt</v>
      </c>
      <c r="AE19" s="144" t="str">
        <f t="shared" si="1"/>
        <v>start /low /b %USERPROFILE%\Documents\GitHub\eaglep3\Utilities\DownloadLogsFromS3.py --loco 4060 --day 2018-01-12</v>
      </c>
      <c r="AF19" s="1"/>
    </row>
    <row r="20" spans="1:32" x14ac:dyDescent="0.3">
      <c r="A20" s="31">
        <v>43112.911238425928</v>
      </c>
      <c r="B20" s="30" t="s">
        <v>497</v>
      </c>
      <c r="C20" s="30" t="s">
        <v>694</v>
      </c>
      <c r="D20" s="30" t="s">
        <v>49</v>
      </c>
      <c r="E20" s="30" t="s">
        <v>353</v>
      </c>
      <c r="F20" s="42">
        <v>0</v>
      </c>
      <c r="G20" s="42">
        <v>556</v>
      </c>
      <c r="H20" s="42">
        <v>122039</v>
      </c>
      <c r="I20" s="42">
        <v>123844</v>
      </c>
      <c r="J20" s="30" t="s">
        <v>354</v>
      </c>
      <c r="K20" s="42">
        <v>126585</v>
      </c>
      <c r="L20" s="131" t="s">
        <v>50</v>
      </c>
      <c r="M20" s="132">
        <f>CONVERT((I20-K20)/10000,"mi","ft")*IF(L20="Increasing Mileposts (1)",-1,1)</f>
        <v>1447.248</v>
      </c>
      <c r="N20" s="133" t="str">
        <f>VLOOKUP(C20,'Trips&amp;Operators'!$C$1:$G$99911,5,FALSE)</f>
        <v>ANDREA WILLIAMS</v>
      </c>
      <c r="O20" s="175" t="s">
        <v>347</v>
      </c>
      <c r="P20" s="239" t="s">
        <v>437</v>
      </c>
      <c r="Q20" s="30"/>
      <c r="R20" s="81" t="str">
        <f>VLOOKUP(C20,'Train Runs'!$A$13:$AE$10259,31,0)</f>
        <v>aws s3 cp s3://rtdc.mdm.uploadarchive.raw/RTDC4040/ "%USERPROFILE%\AppData\Local\Temp\OnboardLogs"\RTDC4040\2018-01-12 --exclude "*" --recursive --include "*20180112*" &amp; "%USERPROFILE%\Documents\GitHub\mrs-test-scripts\Headless Mode &amp; Sideloading\WalkAndUnGZ.bat" "%USERPROFILE%\AppData\Local\Temp\OnboardLogs"\RTDC4040\2018-01-12 &amp; aws s3 cp s3://rtdc.mdm.uploadarchive.raw/RTDC4040/ "%USERPROFILE%\AppData\Local\Temp\OnboardLogs"\RTDC4040\2018-01-13 --exclude "*" --recursive --include "*20180113*" &amp; "%USERPROFILE%\Documents\GitHub\mrs-test-scripts\Headless Mode &amp; Sideloading\WalkAndUnGZ.bat" "%USERPROFILE%\AppData\Local\Temp\OnboardLogs"\RTDC4040\2018-01-13</v>
      </c>
      <c r="S20" s="84" t="str">
        <f>VLOOKUP(C20,'Train Runs'!$A$13:$AE$10259,22,0)</f>
        <v>https://d0f6bd738d7f1b3e5a7ca70fe4ff75f0.us-east-1.aws.found.io/app/kibana#/discover/Steve-Slow-Train-Analysis-(2080s-and-2083s)?_g=(refreshInterval:(display:Off,pause:!f,section:0,value:0),time:(from:'2018-01-12T20:08:37-0700',mode:absolute,to:'2018-01-12T23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/stypes="*4040*201801130*" /stext=" 04:.+((SYSTEM_STATE.+slice.+state.+changed )|(ment ac)|(multiple cpu faults)|(system.+state.+changed )|(\[timeout)|(PRM\|1\|D)|(kpr)|(kdp)|(train st.+moving)|(\|lc)|(penalty))"</v>
      </c>
      <c r="U20" s="9" t="str">
        <f>MID(B20,13,4)</f>
        <v>4040</v>
      </c>
      <c r="V20" s="31">
        <f>A20-utc_offset/24</f>
        <v>43113.202905092592</v>
      </c>
      <c r="W20" s="45" t="str">
        <f>DetSubdiv(C20)</f>
        <v>EC</v>
      </c>
      <c r="X20" s="228">
        <f>VALUE(LEFT(C20,LEN(C20)-3))</f>
        <v>231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drop","project_id":79,"tracker_id":40,"status_id":1,"priority_id":2,"assigned_to_id":338,"start_date":"2018-01-12","description":"","custom_fields":[{"id":1,"name":"Subdivision","value":"EC"},{"id":4,"name":"Milepost","value":"12.6585"},{"id":17,"name":"Train ID","value":"231-12"},{"id":16,"name":"Locomotive ID","value":"4040"},{"id":130,"name":"Impact","value":""},{"id":150,"name":"Time of Event (Mountain Time)","value":"21:52:11"},{"id":151,"name":"Denver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/c/Users/stu/AppData/Local/Temp/OnboardLogs/RTDC4040 --include="*4040*201801130*"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"%USERPROFILE%\AppData\Local\Temp\OnboardLogs"\RTDC4040\*4040*201801130* &gt;&gt; 2018-01-12-SliceDisagreementCheck.txt</v>
      </c>
      <c r="AE20" s="144" t="str">
        <f t="shared" si="1"/>
        <v>start /low /b %USERPROFILE%\Documents\GitHub\eaglep3\Utilities\DownloadLogsFromS3.py --loco 4040 --day 2018-01-13</v>
      </c>
      <c r="AF20" s="1"/>
    </row>
    <row r="21" spans="1:32" x14ac:dyDescent="0.3">
      <c r="A21" s="31">
        <v>43112.426666666666</v>
      </c>
      <c r="B21" s="30" t="s">
        <v>563</v>
      </c>
      <c r="C21" s="30" t="s">
        <v>674</v>
      </c>
      <c r="D21" s="30" t="s">
        <v>95</v>
      </c>
      <c r="E21" s="30" t="s">
        <v>353</v>
      </c>
      <c r="F21" s="42">
        <v>0</v>
      </c>
      <c r="G21" s="42">
        <v>617</v>
      </c>
      <c r="H21" s="42">
        <v>190874</v>
      </c>
      <c r="I21" s="42">
        <v>193858</v>
      </c>
      <c r="J21" s="30" t="s">
        <v>354</v>
      </c>
      <c r="K21" s="42">
        <v>190738</v>
      </c>
      <c r="L21" s="131" t="s">
        <v>50</v>
      </c>
      <c r="M21" s="132">
        <f>CONVERT((I21-K21)/10000,"mi","ft")*IF(L21="Increasing Mileposts (1)",-1,1)</f>
        <v>-1647.36</v>
      </c>
      <c r="N21" s="133" t="str">
        <f>VLOOKUP(C21,'Trips&amp;Operators'!$C$1:$G$99911,5,FALSE)</f>
        <v>GEBRETEKLE DAGNEW</v>
      </c>
      <c r="O21" s="175" t="s">
        <v>347</v>
      </c>
      <c r="P21" s="239" t="s">
        <v>1115</v>
      </c>
      <c r="Q21" s="30"/>
      <c r="R21" s="81" t="str">
        <f>VLOOKUP(C21,'Train Runs'!$A$13:$AE$10259,31,0)</f>
        <v>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 &amp; aws s3 cp s3://rtdc.mdm.uploadarchive.raw/RTDC4006/ "%USERPROFILE%\AppData\Local\Temp\OnboardLogs"\RTDC4006\2018-01-13 --exclude "*" --recursive --include "*20180113*" &amp; "%USERPROFILE%\Documents\GitHub\mrs-test-scripts\Headless Mode &amp; Sideloading\WalkAndUnGZ.bat" "%USERPROFILE%\AppData\Local\Temp\OnboardLogs"\RTDC4006\2018-01-13</v>
      </c>
      <c r="S21" s="84" t="str">
        <f>VLOOKUP(C21,'Train Runs'!$A$13:$AE$10259,22,0)</f>
        <v>https://d0f6bd738d7f1b3e5a7ca70fe4ff75f0.us-east-1.aws.found.io/app/kibana#/discover/Steve-Slow-Train-Analysis-(2080s-and-2083s)?_g=(refreshInterval:(display:Off,pause:!f,section:0,value:0),time:(from:'2018-01-12T08:36:56-0700',mode:absolute,to:'2018-01-12T11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/stypes="*4006*201801121*" /stext=" 17:.+((SYSTEM_STATE.+slice.+state.+changed )|(ment ac)|(multiple cpu faults)|(system.+state.+changed )|(\[timeout)|(PRM\|1\|D)|(kpr)|(kdp)|(train st.+moving)|(\|lc)|(penalty))"</v>
      </c>
      <c r="U21" s="9" t="str">
        <f>MID(B21,13,4)</f>
        <v>4006</v>
      </c>
      <c r="V21" s="31">
        <f>A21-utc_offset/24</f>
        <v>43112.718333333331</v>
      </c>
      <c r="W21" s="45" t="str">
        <f>DetSubdiv(C21)</f>
        <v>EC</v>
      </c>
      <c r="X21" s="228">
        <f>VALUE(LEFT(C21,LEN(C21)-3))</f>
        <v>149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{"issue":{"subject":"Premature downgrade CP Pena 2N","project_id":79,"tracker_id":40,"status_id":1,"priority_id":2,"assigned_to_id":338,"start_date":"2018-01-12","description":"","custom_fields":[{"id":1,"name":"Subdivision","value":"EC"},{"id":4,"name":"Milepost","value":"19.0738"},{"id":17,"name":"Train ID","value":"149-12"},{"id":16,"name":"Locomotive ID","value":"4006"},{"id":130,"name":"Impact","value":""},{"id":150,"name":"Time of Event (Mountain Time)","value":"10:14:24"},{"id":151,"name":"Denver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/c/Users/stu/AppData/Local/Temp/OnboardLogs/RTDC4006 --include="*4006*201801121*"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"%USERPROFILE%\AppData\Local\Temp\OnboardLogs"\RTDC4006\*4006*201801121* &gt;&gt; 2018-01-12-SliceDisagreementCheck.txt</v>
      </c>
      <c r="AE21" s="144" t="str">
        <f t="shared" si="1"/>
        <v>start /low /b %USERPROFILE%\Documents\GitHub\eaglep3\Utilities\DownloadLogsFromS3.py --loco 4006 --day 2018-01-12</v>
      </c>
      <c r="AF21" s="1"/>
    </row>
    <row r="22" spans="1:32" x14ac:dyDescent="0.3">
      <c r="A22" s="31">
        <v>43112.701539351852</v>
      </c>
      <c r="B22" s="30" t="s">
        <v>389</v>
      </c>
      <c r="C22" s="30" t="s">
        <v>681</v>
      </c>
      <c r="D22" s="30" t="s">
        <v>95</v>
      </c>
      <c r="E22" s="30" t="s">
        <v>353</v>
      </c>
      <c r="F22" s="42">
        <v>200</v>
      </c>
      <c r="G22" s="42">
        <v>264</v>
      </c>
      <c r="H22" s="42">
        <v>220415</v>
      </c>
      <c r="I22" s="42">
        <v>220994</v>
      </c>
      <c r="J22" s="30" t="s">
        <v>354</v>
      </c>
      <c r="K22" s="42">
        <v>217106</v>
      </c>
      <c r="L22" s="131" t="s">
        <v>50</v>
      </c>
      <c r="M22" s="132">
        <f>CONVERT((I22-K22)/10000,"mi","ft")*IF(L22="Increasing Mileposts (1)",-1,1)</f>
        <v>-2052.864</v>
      </c>
      <c r="N22" s="133" t="str">
        <f>VLOOKUP(C22,'Trips&amp;Operators'!$C$1:$G$99911,5,FALSE)</f>
        <v>ROBINSON KADDIBA</v>
      </c>
      <c r="O22" s="175" t="s">
        <v>347</v>
      </c>
      <c r="P22" s="239" t="s">
        <v>437</v>
      </c>
      <c r="Q22" s="30"/>
      <c r="R22" s="81" t="str">
        <f>VLOOKUP(C22,'Train Runs'!$A$13:$AE$10259,31,0)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S22" s="84" t="str">
        <f>VLOOKUP(C22,'Train Runs'!$A$13:$AE$10259,22,0)</f>
        <v>https://d0f6bd738d7f1b3e5a7ca70fe4ff75f0.us-east-1.aws.found.io/app/kibana#/discover/Steve-Slow-Train-Analysis-(2080s-and-2083s)?_g=(refreshInterval:(display:Off,pause:!f,section:0,value:0),time:(from:'2018-01-12T15:05:04-0700',mode:absolute,to:'2018-01-12T17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/stypes="*4028*201801122*" /stext=" 23:.+((SYSTEM_STATE.+slice.+state.+changed )|(ment ac)|(multiple cpu faults)|(system.+state.+changed )|(\[timeout)|(PRM\|1\|D)|(kpr)|(kdp)|(train st.+moving)|(\|lc)|(penalty))"</v>
      </c>
      <c r="U22" s="9" t="str">
        <f>MID(B22,13,4)</f>
        <v>4028</v>
      </c>
      <c r="V22" s="31">
        <f>A22-utc_offset/24</f>
        <v>43112.993206018517</v>
      </c>
      <c r="W22" s="45" t="str">
        <f>DetSubdiv(C22)</f>
        <v>EC</v>
      </c>
      <c r="X22" s="228">
        <f>VALUE(LEFT(C22,LEN(C22)-3))</f>
        <v>201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drop","project_id":79,"tracker_id":40,"status_id":1,"priority_id":2,"assigned_to_id":338,"start_date":"2018-01-12","description":"","custom_fields":[{"id":1,"name":"Subdivision","value":"EC"},{"id":4,"name":"Milepost","value":"21.7106"},{"id":17,"name":"Train ID","value":"201-12"},{"id":16,"name":"Locomotive ID","value":"4028"},{"id":130,"name":"Impact","value":""},{"id":150,"name":"Time of Event (Mountain Time)","value":"16:50:13"},{"id":151,"name":"Denver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/c/Users/stu/AppData/Local/Temp/OnboardLogs/RTDC4028 --include="*4028*201801122*"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"%USERPROFILE%\AppData\Local\Temp\OnboardLogs"\RTDC4028\*4028*201801122* &gt;&gt; 2018-01-12-SliceDisagreementCheck.txt</v>
      </c>
      <c r="AE22" s="144" t="str">
        <f t="shared" si="1"/>
        <v>start /low /b %USERPROFILE%\Documents\GitHub\eaglep3\Utilities\DownloadLogsFromS3.py --loco 4028 --day 2018-01-12</v>
      </c>
      <c r="AF22" s="1"/>
    </row>
    <row r="23" spans="1:32" x14ac:dyDescent="0.3">
      <c r="A23" s="31">
        <v>43112.700937499998</v>
      </c>
      <c r="B23" s="30" t="s">
        <v>389</v>
      </c>
      <c r="C23" s="30" t="s">
        <v>681</v>
      </c>
      <c r="D23" s="30" t="s">
        <v>49</v>
      </c>
      <c r="E23" s="30" t="s">
        <v>447</v>
      </c>
      <c r="F23" s="42">
        <v>0</v>
      </c>
      <c r="G23" s="42">
        <v>425</v>
      </c>
      <c r="H23" s="42">
        <v>218500</v>
      </c>
      <c r="I23" s="42">
        <v>219809</v>
      </c>
      <c r="J23" s="30" t="s">
        <v>448</v>
      </c>
      <c r="K23" s="42">
        <v>218954</v>
      </c>
      <c r="L23" s="131" t="s">
        <v>50</v>
      </c>
      <c r="M23" s="132">
        <f>CONVERT((I23-K23)/10000,"mi","ft")*IF(L23="Increasing Mileposts (1)",-1,1)</f>
        <v>-451.44</v>
      </c>
      <c r="N23" s="133" t="str">
        <f>VLOOKUP(C23,'Trips&amp;Operators'!$C$1:$G$99911,5,FALSE)</f>
        <v>ROBINSON KADDIBA</v>
      </c>
      <c r="O23" s="175" t="s">
        <v>347</v>
      </c>
      <c r="P23" s="239" t="s">
        <v>437</v>
      </c>
      <c r="Q23" s="30"/>
      <c r="R23" s="81" t="str">
        <f>VLOOKUP(C23,'Train Runs'!$A$13:$AE$10259,31,0)</f>
        <v>aws s3 cp s3://rtdc.mdm.uploadarchive.raw/RTDC4028/ "%USERPROFILE%\AppData\Local\Temp\OnboardLogs"\RTDC4028\2018-01-12 --exclude "*" --recursive --include "*20180112*" &amp; "%USERPROFILE%\Documents\GitHub\mrs-test-scripts\Headless Mode &amp; Sideloading\WalkAndUnGZ.bat" "%USERPROFILE%\AppData\Local\Temp\OnboardLogs"\RTDC4028\2018-01-12 &amp; aws s3 cp s3://rtdc.mdm.uploadarchive.raw/RTDC4028/ "%USERPROFILE%\AppData\Local\Temp\OnboardLogs"\RTDC4028\2018-01-13 --exclude "*" --recursive --include "*20180113*" &amp; "%USERPROFILE%\Documents\GitHub\mrs-test-scripts\Headless Mode &amp; Sideloading\WalkAndUnGZ.bat" "%USERPROFILE%\AppData\Local\Temp\OnboardLogs"\RTDC4028\2018-01-13</v>
      </c>
      <c r="S23" s="84" t="str">
        <f>VLOOKUP(C23,'Train Runs'!$A$13:$AE$10259,22,0)</f>
        <v>https://d0f6bd738d7f1b3e5a7ca70fe4ff75f0.us-east-1.aws.found.io/app/kibana#/discover/Steve-Slow-Train-Analysis-(2080s-and-2083s)?_g=(refreshInterval:(display:Off,pause:!f,section:0,value:0),time:(from:'2018-01-12T15:05:04-0700',mode:absolute,to:'2018-01-12T17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/stypes="*4028*201801122*" /stext=" 23:.+((SYSTEM_STATE.+slice.+state.+changed )|(ment ac)|(multiple cpu faults)|(system.+state.+changed )|(\[timeout)|(PRM\|1\|D)|(kpr)|(kdp)|(train st.+moving)|(\|lc)|(penalty))"</v>
      </c>
      <c r="U23" s="9" t="str">
        <f>MID(B23,13,4)</f>
        <v>4028</v>
      </c>
      <c r="V23" s="31">
        <f>A23-utc_offset/24</f>
        <v>43112.992604166662</v>
      </c>
      <c r="W23" s="45" t="str">
        <f>DetSubdiv(C23)</f>
        <v>EC</v>
      </c>
      <c r="X23" s="228">
        <f>VALUE(LEFT(C23,LEN(C23)-3))</f>
        <v>201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drop","project_id":79,"tracker_id":40,"status_id":1,"priority_id":2,"assigned_to_id":338,"start_date":"2018-01-12","description":"","custom_fields":[{"id":1,"name":"Subdivision","value":"EC"},{"id":4,"name":"Milepost","value":"21.8954"},{"id":17,"name":"Train ID","value":"201-12"},{"id":16,"name":"Locomotive ID","value":"4028"},{"id":130,"name":"Impact","value":""},{"id":150,"name":"Time of Event (Mountain Time)","value":"16:49:21"},{"id":151,"name":"Denver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/c/Users/stu/AppData/Local/Temp/OnboardLogs/RTDC4028 --include="*4028*201801122*"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"%USERPROFILE%\AppData\Local\Temp\OnboardLogs"\RTDC4028\*4028*201801122* &gt;&gt; 2018-01-12-SliceDisagreementCheck.txt</v>
      </c>
      <c r="AE23" s="144" t="str">
        <f t="shared" si="1"/>
        <v>start /low /b %USERPROFILE%\Documents\GitHub\eaglep3\Utilities\DownloadLogsFromS3.py --loco 4028 --day 2018-01-12</v>
      </c>
      <c r="AF23" s="1"/>
    </row>
    <row r="24" spans="1:32" x14ac:dyDescent="0.3">
      <c r="A24" s="31">
        <v>43112.409502314818</v>
      </c>
      <c r="B24" s="30" t="s">
        <v>669</v>
      </c>
      <c r="C24" s="30" t="s">
        <v>673</v>
      </c>
      <c r="D24" s="30" t="s">
        <v>49</v>
      </c>
      <c r="E24" s="30" t="s">
        <v>561</v>
      </c>
      <c r="F24" s="42">
        <v>0</v>
      </c>
      <c r="G24" s="42">
        <v>155</v>
      </c>
      <c r="H24" s="42">
        <v>797</v>
      </c>
      <c r="I24" s="42">
        <v>593</v>
      </c>
      <c r="J24" s="30" t="s">
        <v>562</v>
      </c>
      <c r="K24" s="42">
        <v>1</v>
      </c>
      <c r="L24" s="131" t="s">
        <v>51</v>
      </c>
      <c r="M24" s="132">
        <f>CONVERT((I24-K24)/10000,"mi","ft")*IF(L24="Increasing Mileposts (1)",-1,1)</f>
        <v>312.57600000000002</v>
      </c>
      <c r="N24" s="133" t="str">
        <f>VLOOKUP(C24,'Trips&amp;Operators'!$C$1:$G$99911,5,FALSE)</f>
        <v>LOPES KIMBERLY</v>
      </c>
      <c r="O24" s="175" t="s">
        <v>178</v>
      </c>
      <c r="P24" s="239"/>
      <c r="Q24" s="30"/>
      <c r="R24" s="81" t="str">
        <f>VLOOKUP(C24,'Train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24" s="84" t="str">
        <f>VLOOKUP(C24,'Train Runs'!$A$13:$AE$10259,22,0)</f>
        <v>https://d0f6bd738d7f1b3e5a7ca70fe4ff75f0.us-east-1.aws.found.io/app/kibana#/discover/Steve-Slow-Train-Analysis-(2080s-and-2083s)?_g=(refreshInterval:(display:Off,pause:!f,section:0,value:0),time:(from:'2018-01-12T07:06:54-0700',mode:absolute,to:'2018-01-12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/stypes="*4003*201801121*" /stext=" 16:.+((SYSTEM_STATE.+slice.+state.+changed )|(ment ac)|(multiple cpu faults)|(system.+state.+changed )|(\[timeout)|(PRM\|1\|D)|(kpr)|(kdp)|(train st.+moving)|(\|lc)|(penalty))"</v>
      </c>
      <c r="U24" s="9" t="str">
        <f>MID(B24,13,4)</f>
        <v>4003</v>
      </c>
      <c r="V24" s="31">
        <f>A24-utc_offset/24</f>
        <v>43112.701168981483</v>
      </c>
      <c r="W24" s="45" t="str">
        <f>DetSubdiv(C24)</f>
        <v>EC</v>
      </c>
      <c r="X24" s="228">
        <f>VALUE(LEFT(C24,LEN(C24)-3))</f>
        <v>138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{"issue":{"subject":"","project_id":79,"tracker_id":40,"status_id":1,"priority_id":2,"assigned_to_id":338,"start_date":"2018-01-12","description":"","custom_fields":[{"id":1,"name":"Subdivision","value":"EC"},{"id":4,"name":"Milepost","value":"0.0001"},{"id":17,"name":"Train ID","value":"138-12"},{"id":16,"name":"Locomotive ID","value":"4003"},{"id":130,"name":"Impact","value":""},{"id":150,"name":"Time of Event (Mountain Time)","value":"09:49:41"},{"id":151,"name":"Denver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/c/Users/stu/AppData/Local/Temp/OnboardLogs/RTDC4003 --include="*4003*201801121*"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"%USERPROFILE%\AppData\Local\Temp\OnboardLogs"\RTDC4003\*4003*201801121* &gt;&gt; 2018-01-12-SliceDisagreementCheck.txt</v>
      </c>
      <c r="AE24" s="144" t="str">
        <f t="shared" si="1"/>
        <v>start /low /b %USERPROFILE%\Documents\GitHub\eaglep3\Utilities\DownloadLogsFromS3.py --loco 4003 --day 2018-01-12</v>
      </c>
      <c r="AF24" s="1"/>
    </row>
    <row r="25" spans="1:32" x14ac:dyDescent="0.3">
      <c r="A25" s="31">
        <v>43112.410150462965</v>
      </c>
      <c r="B25" s="30" t="s">
        <v>669</v>
      </c>
      <c r="C25" s="30" t="s">
        <v>673</v>
      </c>
      <c r="D25" s="30" t="s">
        <v>49</v>
      </c>
      <c r="E25" s="30" t="s">
        <v>561</v>
      </c>
      <c r="F25" s="42">
        <v>0</v>
      </c>
      <c r="G25" s="42">
        <v>62</v>
      </c>
      <c r="H25" s="42">
        <v>265</v>
      </c>
      <c r="I25" s="42">
        <v>212</v>
      </c>
      <c r="J25" s="30" t="s">
        <v>562</v>
      </c>
      <c r="K25" s="42">
        <v>1</v>
      </c>
      <c r="L25" s="131" t="s">
        <v>51</v>
      </c>
      <c r="M25" s="132">
        <f>CONVERT((I25-K25)/10000,"mi","ft")*IF(L25="Increasing Mileposts (1)",-1,1)</f>
        <v>111.408</v>
      </c>
      <c r="N25" s="133" t="str">
        <f>VLOOKUP(C25,'Trips&amp;Operators'!$C$1:$G$99911,5,FALSE)</f>
        <v>LOPES KIMBERLY</v>
      </c>
      <c r="O25" s="175" t="s">
        <v>178</v>
      </c>
      <c r="P25" s="239"/>
      <c r="Q25" s="30"/>
      <c r="R25" s="81" t="str">
        <f>VLOOKUP(C25,'Train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25" s="84" t="str">
        <f>VLOOKUP(C25,'Train Runs'!$A$13:$AE$10259,22,0)</f>
        <v>https://d0f6bd738d7f1b3e5a7ca70fe4ff75f0.us-east-1.aws.found.io/app/kibana#/discover/Steve-Slow-Train-Analysis-(2080s-and-2083s)?_g=(refreshInterval:(display:Off,pause:!f,section:0,value:0),time:(from:'2018-01-12T07:06:54-0700',mode:absolute,to:'2018-01-12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/stypes="*4003*201801121*" /stext=" 16:.+((SYSTEM_STATE.+slice.+state.+changed )|(ment ac)|(multiple cpu faults)|(system.+state.+changed )|(\[timeout)|(PRM\|1\|D)|(kpr)|(kdp)|(train st.+moving)|(\|lc)|(penalty))"</v>
      </c>
      <c r="U25" s="9" t="str">
        <f>MID(B25,13,4)</f>
        <v>4003</v>
      </c>
      <c r="V25" s="31">
        <f>A25-utc_offset/24</f>
        <v>43112.701817129629</v>
      </c>
      <c r="W25" s="45" t="str">
        <f>DetSubdiv(C25)</f>
        <v>EC</v>
      </c>
      <c r="X25" s="228">
        <f>VALUE(LEFT(C25,LEN(C25)-3))</f>
        <v>138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{"issue":{"subject":"","project_id":79,"tracker_id":40,"status_id":1,"priority_id":2,"assigned_to_id":338,"start_date":"2018-01-12","description":"","custom_fields":[{"id":1,"name":"Subdivision","value":"EC"},{"id":4,"name":"Milepost","value":"0.0001"},{"id":17,"name":"Train ID","value":"138-12"},{"id":16,"name":"Locomotive ID","value":"4003"},{"id":130,"name":"Impact","value":""},{"id":150,"name":"Time of Event (Mountain Time)","value":"09:50:37"},{"id":151,"name":"Denver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/c/Users/stu/AppData/Local/Temp/OnboardLogs/RTDC4003 --include="*4003*201801121*"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"%USERPROFILE%\AppData\Local\Temp\OnboardLogs"\RTDC4003\*4003*201801121* &gt;&gt; 2018-01-12-SliceDisagreementCheck.txt</v>
      </c>
      <c r="AE25" s="144" t="str">
        <f t="shared" si="1"/>
        <v>start /low /b %USERPROFILE%\Documents\GitHub\eaglep3\Utilities\DownloadLogsFromS3.py --loco 4003 --day 2018-01-12</v>
      </c>
      <c r="AF25" s="1"/>
    </row>
    <row r="26" spans="1:32" x14ac:dyDescent="0.3">
      <c r="A26" s="31">
        <v>43112.705949074072</v>
      </c>
      <c r="B26" s="30" t="s">
        <v>669</v>
      </c>
      <c r="C26" s="30" t="s">
        <v>682</v>
      </c>
      <c r="D26" s="30" t="s">
        <v>49</v>
      </c>
      <c r="E26" s="30" t="s">
        <v>561</v>
      </c>
      <c r="F26" s="42">
        <v>0</v>
      </c>
      <c r="G26" s="42">
        <v>134</v>
      </c>
      <c r="H26" s="42">
        <v>666</v>
      </c>
      <c r="I26" s="42">
        <v>526</v>
      </c>
      <c r="J26" s="30" t="s">
        <v>562</v>
      </c>
      <c r="K26" s="42">
        <v>1</v>
      </c>
      <c r="L26" s="131" t="s">
        <v>51</v>
      </c>
      <c r="M26" s="132">
        <f>CONVERT((I26-K26)/10000,"mi","ft")*IF(L26="Increasing Mileposts (1)",-1,1)</f>
        <v>277.2</v>
      </c>
      <c r="N26" s="133" t="str">
        <f>VLOOKUP(C26,'Trips&amp;Operators'!$C$1:$G$99911,5,FALSE)</f>
        <v>LONG FULLER</v>
      </c>
      <c r="O26" s="175" t="s">
        <v>178</v>
      </c>
      <c r="P26" s="239"/>
      <c r="Q26" s="30"/>
      <c r="R26" s="81" t="str">
        <f>VLOOKUP(C26,'Train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26" s="84" t="str">
        <f>VLOOKUP(C26,'Train Runs'!$A$13:$AE$10259,22,0)</f>
        <v>https://d0f6bd738d7f1b3e5a7ca70fe4ff75f0.us-east-1.aws.found.io/app/kibana#/discover/Steve-Slow-Train-Analysis-(2080s-and-2083s)?_g=(refreshInterval:(display:Off,pause:!f,section:0,value:0),time:(from:'2018-01-12T14:59:16-0700',mode:absolute,to:'2018-01-12T17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/stypes="*4003*201801122*" /stext=" 23:.+((SYSTEM_STATE.+slice.+state.+changed )|(ment ac)|(multiple cpu faults)|(system.+state.+changed )|(\[timeout)|(PRM\|1\|D)|(kpr)|(kdp)|(train st.+moving)|(\|lc)|(penalty))"</v>
      </c>
      <c r="U26" s="9" t="str">
        <f>MID(B26,13,4)</f>
        <v>4003</v>
      </c>
      <c r="V26" s="31">
        <f>A26-utc_offset/24</f>
        <v>43112.997615740736</v>
      </c>
      <c r="W26" s="45" t="str">
        <f>DetSubdiv(C26)</f>
        <v>EC</v>
      </c>
      <c r="X26" s="228">
        <f>VALUE(LEFT(C26,LEN(C26)-3))</f>
        <v>194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{"issue":{"subject":"","project_id":79,"tracker_id":40,"status_id":1,"priority_id":2,"assigned_to_id":338,"start_date":"2018-01-12","description":"","custom_fields":[{"id":1,"name":"Subdivision","value":"EC"},{"id":4,"name":"Milepost","value":"0.0001"},{"id":17,"name":"Train ID","value":"194-12"},{"id":16,"name":"Locomotive ID","value":"4003"},{"id":130,"name":"Impact","value":""},{"id":150,"name":"Time of Event (Mountain Time)","value":"16:56:34"},{"id":151,"name":"Denver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/c/Users/stu/AppData/Local/Temp/OnboardLogs/RTDC4003 --include="*4003*201801122*"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"%USERPROFILE%\AppData\Local\Temp\OnboardLogs"\RTDC4003\*4003*201801122* &gt;&gt; 2018-01-12-SliceDisagreementCheck.txt</v>
      </c>
      <c r="AE26" s="144" t="str">
        <f t="shared" si="1"/>
        <v>start /low /b %USERPROFILE%\Documents\GitHub\eaglep3\Utilities\DownloadLogsFromS3.py --loco 4003 --day 2018-01-12</v>
      </c>
      <c r="AF26" s="1"/>
    </row>
    <row r="27" spans="1:32" x14ac:dyDescent="0.3">
      <c r="A27" s="31">
        <v>43112.706620370373</v>
      </c>
      <c r="B27" s="30" t="s">
        <v>669</v>
      </c>
      <c r="C27" s="30" t="s">
        <v>682</v>
      </c>
      <c r="D27" s="30" t="s">
        <v>49</v>
      </c>
      <c r="E27" s="30" t="s">
        <v>561</v>
      </c>
      <c r="F27" s="42">
        <v>0</v>
      </c>
      <c r="G27" s="42">
        <v>44</v>
      </c>
      <c r="H27" s="42">
        <v>338</v>
      </c>
      <c r="I27" s="42">
        <v>305</v>
      </c>
      <c r="J27" s="30" t="s">
        <v>562</v>
      </c>
      <c r="K27" s="42">
        <v>1</v>
      </c>
      <c r="L27" s="131" t="s">
        <v>51</v>
      </c>
      <c r="M27" s="132">
        <f>CONVERT((I27-K27)/10000,"mi","ft")*IF(L27="Increasing Mileposts (1)",-1,1)</f>
        <v>160.512</v>
      </c>
      <c r="N27" s="133" t="str">
        <f>VLOOKUP(C27,'Trips&amp;Operators'!$C$1:$G$99911,5,FALSE)</f>
        <v>LONG FULLER</v>
      </c>
      <c r="O27" s="175" t="s">
        <v>178</v>
      </c>
      <c r="P27" s="239"/>
      <c r="Q27" s="30"/>
      <c r="R27" s="81" t="str">
        <f>VLOOKUP(C27,'Train Runs'!$A$13:$AE$10259,31,0)</f>
        <v>aws s3 cp s3://rtdc.mdm.uploadarchive.raw/RTDC4003/ "%USERPROFILE%\AppData\Local\Temp\OnboardLogs"\RTDC4003\2018-01-12 --exclude "*" --recursive --include "*20180112*" &amp; "%USERPROFILE%\Documents\GitHub\mrs-test-scripts\Headless Mode &amp; Sideloading\WalkAndUnGZ.bat" "%USERPROFILE%\AppData\Local\Temp\OnboardLogs"\RTDC4003\2018-01-12 &amp; aws s3 cp s3://rtdc.mdm.uploadarchive.raw/RTDC4003/ "%USERPROFILE%\AppData\Local\Temp\OnboardLogs"\RTDC4003\2018-01-13 --exclude "*" --recursive --include "*20180113*" &amp; "%USERPROFILE%\Documents\GitHub\mrs-test-scripts\Headless Mode &amp; Sideloading\WalkAndUnGZ.bat" "%USERPROFILE%\AppData\Local\Temp\OnboardLogs"\RTDC4003\2018-01-13</v>
      </c>
      <c r="S27" s="84" t="str">
        <f>VLOOKUP(C27,'Train Runs'!$A$13:$AE$10259,22,0)</f>
        <v>https://d0f6bd738d7f1b3e5a7ca70fe4ff75f0.us-east-1.aws.found.io/app/kibana#/discover/Steve-Slow-Train-Analysis-(2080s-and-2083s)?_g=(refreshInterval:(display:Off,pause:!f,section:0,value:0),time:(from:'2018-01-12T14:59:16-0700',mode:absolute,to:'2018-01-12T17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/stypes="*4003*201801122*" /stext=" 23:.+((SYSTEM_STATE.+slice.+state.+changed )|(ment ac)|(multiple cpu faults)|(system.+state.+changed )|(\[timeout)|(PRM\|1\|D)|(kpr)|(kdp)|(train st.+moving)|(\|lc)|(penalty))"</v>
      </c>
      <c r="U27" s="9" t="str">
        <f>MID(B27,13,4)</f>
        <v>4003</v>
      </c>
      <c r="V27" s="31">
        <f>A27-utc_offset/24</f>
        <v>43112.998287037037</v>
      </c>
      <c r="W27" s="45" t="str">
        <f>DetSubdiv(C27)</f>
        <v>EC</v>
      </c>
      <c r="X27" s="228">
        <f>VALUE(LEFT(C27,LEN(C27)-3))</f>
        <v>194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{"issue":{"subject":"","project_id":79,"tracker_id":40,"status_id":1,"priority_id":2,"assigned_to_id":338,"start_date":"2018-01-12","description":"","custom_fields":[{"id":1,"name":"Subdivision","value":"EC"},{"id":4,"name":"Milepost","value":"0.0001"},{"id":17,"name":"Train ID","value":"194-12"},{"id":16,"name":"Locomotive ID","value":"4003"},{"id":130,"name":"Impact","value":""},{"id":150,"name":"Time of Event (Mountain Time)","value":"16:57:32"},{"id":151,"name":"Denver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/c/Users/stu/AppData/Local/Temp/OnboardLogs/RTDC4003 --include="*4003*201801122*"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"%USERPROFILE%\AppData\Local\Temp\OnboardLogs"\RTDC4003\*4003*201801122* &gt;&gt; 2018-01-12-SliceDisagreementCheck.txt</v>
      </c>
      <c r="AE27" s="144" t="str">
        <f t="shared" si="1"/>
        <v>start /low /b %USERPROFILE%\Documents\GitHub\eaglep3\Utilities\DownloadLogsFromS3.py --loco 4003 --day 2018-01-12</v>
      </c>
      <c r="AF27" s="1"/>
    </row>
    <row r="28" spans="1:32" x14ac:dyDescent="0.3">
      <c r="A28" s="31">
        <v>43112.759467592594</v>
      </c>
      <c r="B28" s="30" t="s">
        <v>683</v>
      </c>
      <c r="C28" s="30" t="s">
        <v>688</v>
      </c>
      <c r="D28" s="30" t="s">
        <v>49</v>
      </c>
      <c r="E28" s="30" t="s">
        <v>480</v>
      </c>
      <c r="F28" s="42">
        <v>0</v>
      </c>
      <c r="G28" s="42">
        <v>175</v>
      </c>
      <c r="H28" s="42">
        <v>10608</v>
      </c>
      <c r="I28" s="42">
        <v>10797</v>
      </c>
      <c r="J28" s="30" t="s">
        <v>183</v>
      </c>
      <c r="K28" s="42">
        <v>10714</v>
      </c>
      <c r="L28" s="131" t="s">
        <v>50</v>
      </c>
      <c r="M28" s="132">
        <f>CONVERT((I28-K28)/10000,"mi","ft")*IF(L28="Increasing Mileposts (1)",-1,1)</f>
        <v>-43.823999999999998</v>
      </c>
      <c r="N28" s="133" t="str">
        <f>VLOOKUP(C28,'Trips&amp;Operators'!$C$1:$G$99911,5,FALSE)</f>
        <v>GUNTHIER ERIC</v>
      </c>
      <c r="O28" s="175" t="s">
        <v>178</v>
      </c>
      <c r="P28" s="239" t="s">
        <v>481</v>
      </c>
      <c r="Q28" s="30"/>
      <c r="R28" s="81" t="str">
        <f>VLOOKUP(C28,'Train Runs'!$A$13:$AE$10259,31,0)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S28" s="84" t="str">
        <f>VLOOKUP(C28,'Train Runs'!$A$13:$AE$10259,22,0)</f>
        <v>https://d0f6bd738d7f1b3e5a7ca70fe4ff75f0.us-east-1.aws.found.io/app/kibana#/discover/Steve-Slow-Train-Analysis-(2080s-and-2083s)?_g=(refreshInterval:(display:Off,pause:!f,section:0,value:0),time:(from:'2018-01-12T17:02:44-0700',mode:absolute,to:'2018-01-12T19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/stypes="*4052*201801130*" /stext=" 01:.+((SYSTEM_STATE.+slice.+state.+changed )|(ment ac)|(multiple cpu faults)|(system.+state.+changed )|(\[timeout)|(PRM\|1\|D)|(kpr)|(kdp)|(train st.+moving)|(\|lc)|(penalty))"</v>
      </c>
      <c r="U28" s="9" t="str">
        <f>MID(B28,13,4)</f>
        <v>4052</v>
      </c>
      <c r="V28" s="31">
        <f>A28-utc_offset/24</f>
        <v>43113.051134259258</v>
      </c>
      <c r="W28" s="45" t="str">
        <f>DetSubdiv(C28)</f>
        <v>NW</v>
      </c>
      <c r="X28" s="228">
        <f>VALUE(LEFT(C28,LEN(C28)-3))</f>
        <v>837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Arrival","project_id":79,"tracker_id":40,"status_id":1,"priority_id":2,"assigned_to_id":338,"start_date":"2018-01-12","description":"","custom_fields":[{"id":1,"name":"Subdivision","value":"NW"},{"id":4,"name":"Milepost","value":"1.0714"},{"id":17,"name":"Train ID","value":"837-12"},{"id":16,"name":"Locomotive ID","value":"4052"},{"id":130,"name":"Impact","value":""},{"id":150,"name":"Time of Event (Mountain Time)","value":"18:13:38"},{"id":151,"name":"Denver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/c/Users/stu/AppData/Local/Temp/OnboardLogs/RTDC4052 --include="*4052*201801130*"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"%USERPROFILE%\AppData\Local\Temp\OnboardLogs"\RTDC4052\*4052*201801130* &gt;&gt; 2018-01-12-SliceDisagreementCheck.txt</v>
      </c>
      <c r="AE28" s="144" t="str">
        <f t="shared" si="1"/>
        <v>start /low /b %USERPROFILE%\Documents\GitHub\eaglep3\Utilities\DownloadLogsFromS3.py --loco 4052 --day 2018-01-13</v>
      </c>
      <c r="AF28" s="1"/>
    </row>
    <row r="29" spans="1:32" x14ac:dyDescent="0.3">
      <c r="A29" s="31">
        <v>43112.533356481479</v>
      </c>
      <c r="B29" s="30" t="s">
        <v>675</v>
      </c>
      <c r="C29" s="30" t="s">
        <v>676</v>
      </c>
      <c r="D29" s="30" t="s">
        <v>49</v>
      </c>
      <c r="E29" s="30" t="s">
        <v>189</v>
      </c>
      <c r="F29" s="42">
        <v>300</v>
      </c>
      <c r="G29" s="42">
        <v>600</v>
      </c>
      <c r="H29" s="42">
        <v>26844</v>
      </c>
      <c r="I29" s="42">
        <v>24543</v>
      </c>
      <c r="J29" s="30" t="s">
        <v>190</v>
      </c>
      <c r="K29" s="42">
        <v>23491</v>
      </c>
      <c r="L29" s="131" t="s">
        <v>51</v>
      </c>
      <c r="M29" s="132">
        <f>CONVERT((I29-K29)/10000,"mi","ft")*IF(L29="Increasing Mileposts (1)",-1,1)</f>
        <v>555.45600000000002</v>
      </c>
      <c r="N29" s="133" t="str">
        <f>VLOOKUP(C29,'Trips&amp;Operators'!$C$1:$G$99911,5,FALSE)</f>
        <v>BIRENBAUM THOMAS</v>
      </c>
      <c r="O29" s="175" t="s">
        <v>178</v>
      </c>
      <c r="P29" s="239"/>
      <c r="Q29" s="30"/>
      <c r="R29" s="81" t="str">
        <f>VLOOKUP(C29,'Train Runs'!$A$13:$AE$10259,31,0)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S29" s="84" t="str">
        <f>VLOOKUP(C29,'Train Runs'!$A$13:$AE$10259,22,0)</f>
        <v>https://d0f6bd738d7f1b3e5a7ca70fe4ff75f0.us-east-1.aws.found.io/app/kibana#/discover/Steve-Slow-Train-Analysis-(2080s-and-2083s)?_g=(refreshInterval:(display:Off,pause:!f,section:0,value:0),time:(from:'2018-01-12T11:25:19-0700',mode:absolute,to:'2018-01-12T13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/stypes="*4051*201801121*" /stext=" 19:.+((SYSTEM_STATE.+slice.+state.+changed )|(ment ac)|(multiple cpu faults)|(system.+state.+changed )|(\[timeout)|(PRM\|1\|D)|(kpr)|(kdp)|(train st.+moving)|(\|lc)|(penalty))"</v>
      </c>
      <c r="U29" s="9" t="str">
        <f>MID(B29,13,4)</f>
        <v>4051</v>
      </c>
      <c r="V29" s="31">
        <f>A29-utc_offset/24</f>
        <v>43112.825023148143</v>
      </c>
      <c r="W29" s="45" t="str">
        <f>DetSubdiv(C29)</f>
        <v>NW</v>
      </c>
      <c r="X29" s="228">
        <f>VALUE(LEFT(C29,LEN(C29)-3))</f>
        <v>820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{"issue":{"subject":"","project_id":79,"tracker_id":40,"status_id":1,"priority_id":2,"assigned_to_id":338,"start_date":"2018-01-12","description":"","custom_fields":[{"id":1,"name":"Subdivision","value":"NW"},{"id":4,"name":"Milepost","value":"2.3491"},{"id":17,"name":"Train ID","value":"820-12"},{"id":16,"name":"Locomotive ID","value":"4051"},{"id":130,"name":"Impact","value":""},{"id":150,"name":"Time of Event (Mountain Time)","value":"12:48:02"},{"id":151,"name":"Denver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/c/Users/stu/AppData/Local/Temp/OnboardLogs/RTDC4051 --include="*4051*201801121*"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"%USERPROFILE%\AppData\Local\Temp\OnboardLogs"\RTDC4051\*4051*201801121* &gt;&gt; 2018-01-12-SliceDisagreementCheck.txt</v>
      </c>
      <c r="AE29" s="144" t="str">
        <f t="shared" si="1"/>
        <v>start /low /b %USERPROFILE%\Documents\GitHub\eaglep3\Utilities\DownloadLogsFromS3.py --loco 4051 --day 2018-01-12</v>
      </c>
      <c r="AF29" s="1"/>
    </row>
    <row r="30" spans="1:32" x14ac:dyDescent="0.3">
      <c r="A30" s="31">
        <v>43112.725451388891</v>
      </c>
      <c r="B30" s="30" t="s">
        <v>566</v>
      </c>
      <c r="C30" s="30" t="s">
        <v>685</v>
      </c>
      <c r="D30" s="30" t="s">
        <v>49</v>
      </c>
      <c r="E30" s="30" t="s">
        <v>353</v>
      </c>
      <c r="F30" s="42">
        <v>0</v>
      </c>
      <c r="G30" s="42">
        <v>36</v>
      </c>
      <c r="H30" s="42">
        <v>4809</v>
      </c>
      <c r="I30" s="42">
        <v>4722</v>
      </c>
      <c r="J30" s="30" t="s">
        <v>354</v>
      </c>
      <c r="K30" s="42">
        <v>4798</v>
      </c>
      <c r="L30" s="131" t="s">
        <v>51</v>
      </c>
      <c r="M30" s="132">
        <f>CONVERT((I30-K30)/10000,"mi","ft")*IF(L30="Increasing Mileposts (1)",-1,1)</f>
        <v>-40.128</v>
      </c>
      <c r="N30" s="133" t="str">
        <f>VLOOKUP(C30,'Trips&amp;Operators'!$C$1:$G$99911,5,FALSE)</f>
        <v>SMITH MICHAEL</v>
      </c>
      <c r="O30" s="175" t="s">
        <v>347</v>
      </c>
      <c r="P30" s="239" t="s">
        <v>1114</v>
      </c>
      <c r="Q30" s="30"/>
      <c r="R30" s="81" t="str">
        <f>VLOOKUP(C30,'Train Runs'!$A$13:$AE$10259,31,0)</f>
        <v>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 &amp; aws s3 cp s3://rtdc.mdm.uploadarchive.raw/RTDC4015/ "%USERPROFILE%\AppData\Local\Temp\OnboardLogs"\RTDC4015\2018-01-13 --exclude "*" --recursive --include "*20180113*" &amp; "%USERPROFILE%\Documents\GitHub\mrs-test-scripts\Headless Mode &amp; Sideloading\WalkAndUnGZ.bat" "%USERPROFILE%\AppData\Local\Temp\OnboardLogs"\RTDC4015\2018-01-13</v>
      </c>
      <c r="S30" s="84" t="str">
        <f>VLOOKUP(C30,'Train Runs'!$A$13:$AE$10259,22,0)</f>
        <v>https://d0f6bd738d7f1b3e5a7ca70fe4ff75f0.us-east-1.aws.found.io/app/kibana#/discover/Steve-Slow-Train-Analysis-(2080s-and-2083s)?_g=(refreshInterval:(display:Off,pause:!f,section:0,value:0),time:(from:'2018-01-12T15:56:00-0700',mode:absolute,to:'2018-01-12T18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/stypes="*4015*201801130*" /stext=" 00:.+((SYSTEM_STATE.+slice.+state.+changed )|(ment ac)|(multiple cpu faults)|(system.+state.+changed )|(\[timeout)|(PRM\|1\|D)|(kpr)|(kdp)|(train st.+moving)|(\|lc)|(penalty))"</v>
      </c>
      <c r="U30" s="9" t="str">
        <f>MID(B30,13,4)</f>
        <v>4015</v>
      </c>
      <c r="V30" s="31">
        <f>A30-utc_offset/24</f>
        <v>43113.017118055555</v>
      </c>
      <c r="W30" s="45" t="str">
        <f>DetSubdiv(C30)</f>
        <v>NW</v>
      </c>
      <c r="X30" s="228">
        <f>VALUE(LEFT(C30,LEN(C30)-3))</f>
        <v>832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{"issue":{"subject":"Poor GPS under Wewatta St.","project_id":79,"tracker_id":40,"status_id":1,"priority_id":2,"assigned_to_id":338,"start_date":"2018-01-12","description":"","custom_fields":[{"id":1,"name":"Subdivision","value":"NW"},{"id":4,"name":"Milepost","value":"0.4798"},{"id":17,"name":"Train ID","value":"832-12"},{"id":16,"name":"Locomotive ID","value":"4015"},{"id":130,"name":"Impact","value":""},{"id":150,"name":"Time of Event (Mountain Time)","value":"17:24:39"},{"id":151,"name":"Denver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/c/Users/stu/AppData/Local/Temp/OnboardLogs/RTDC4015 --include="*4015*201801130*"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"%USERPROFILE%\AppData\Local\Temp\OnboardLogs"\RTDC4015\*4015*201801130* &gt;&gt; 2018-01-12-SliceDisagreementCheck.txt</v>
      </c>
      <c r="AE30" s="144" t="str">
        <f t="shared" si="1"/>
        <v>start /low /b %USERPROFILE%\Documents\GitHub\eaglep3\Utilities\DownloadLogsFromS3.py --loco 4015 --day 2018-01-13</v>
      </c>
      <c r="AF30" s="1"/>
    </row>
    <row r="31" spans="1:32" x14ac:dyDescent="0.3">
      <c r="A31" s="31">
        <v>43112.912037037036</v>
      </c>
      <c r="B31" s="30" t="s">
        <v>675</v>
      </c>
      <c r="C31" s="30" t="s">
        <v>695</v>
      </c>
      <c r="D31" s="30" t="s">
        <v>49</v>
      </c>
      <c r="E31" s="30" t="s">
        <v>353</v>
      </c>
      <c r="F31" s="42">
        <v>0</v>
      </c>
      <c r="G31" s="42">
        <v>39</v>
      </c>
      <c r="H31" s="42">
        <v>4806</v>
      </c>
      <c r="I31" s="42">
        <v>4651</v>
      </c>
      <c r="J31" s="30" t="s">
        <v>354</v>
      </c>
      <c r="K31" s="42">
        <v>4798</v>
      </c>
      <c r="L31" s="131" t="s">
        <v>51</v>
      </c>
      <c r="M31" s="132">
        <f>CONVERT((I31-K31)/10000,"mi","ft")*IF(L31="Increasing Mileposts (1)",-1,1)</f>
        <v>-77.616</v>
      </c>
      <c r="N31" s="133" t="str">
        <f>VLOOKUP(C31,'Trips&amp;Operators'!$C$1:$G$99911,5,FALSE)</f>
        <v>SMITH MICHAEL</v>
      </c>
      <c r="O31" s="175" t="s">
        <v>347</v>
      </c>
      <c r="P31" s="239" t="s">
        <v>1114</v>
      </c>
      <c r="Q31" s="30"/>
      <c r="R31" s="81" t="str">
        <f>VLOOKUP(C31,'Train Runs'!$A$13:$AE$10259,31,0)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S31" s="84" t="str">
        <f>VLOOKUP(C31,'Train Runs'!$A$13:$AE$10259,22,0)</f>
        <v>https://d0f6bd738d7f1b3e5a7ca70fe4ff75f0.us-east-1.aws.found.io/app/kibana#/discover/Steve-Slow-Train-Analysis-(2080s-and-2083s)?_g=(refreshInterval:(display:Off,pause:!f,section:0,value:0),time:(from:'2018-01-12T20:25:39-0700',mode:absolute,to:'2018-01-12T22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/stypes="*4051*201801130*" /stext=" 04:.+((SYSTEM_STATE.+slice.+state.+changed )|(ment ac)|(multiple cpu faults)|(system.+state.+changed )|(\[timeout)|(PRM\|1\|D)|(kpr)|(kdp)|(train st.+moving)|(\|lc)|(penalty))"</v>
      </c>
      <c r="U31" s="9" t="str">
        <f>MID(B31,13,4)</f>
        <v>4051</v>
      </c>
      <c r="V31" s="31">
        <f>A31-utc_offset/24</f>
        <v>43113.203703703701</v>
      </c>
      <c r="W31" s="45" t="str">
        <f>DetSubdiv(C31)</f>
        <v>NW</v>
      </c>
      <c r="X31" s="228">
        <f>VALUE(LEFT(C31,LEN(C31)-3))</f>
        <v>844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{"issue":{"subject":"Poor GPS under Wewatta St.","project_id":79,"tracker_id":40,"status_id":1,"priority_id":2,"assigned_to_id":338,"start_date":"2018-01-12","description":"","custom_fields":[{"id":1,"name":"Subdivision","value":"NW"},{"id":4,"name":"Milepost","value":"0.4798"},{"id":17,"name":"Train ID","value":"844-12"},{"id":16,"name":"Locomotive ID","value":"4051"},{"id":130,"name":"Impact","value":""},{"id":150,"name":"Time of Event (Mountain Time)","value":"21:53:20"},{"id":151,"name":"Denver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/c/Users/stu/AppData/Local/Temp/OnboardLogs/RTDC4051 --include="*4051*201801130*"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"%USERPROFILE%\AppData\Local\Temp\OnboardLogs"\RTDC4051\*4051*201801130* &gt;&gt; 2018-01-12-SliceDisagreementCheck.txt</v>
      </c>
      <c r="AE31" s="144" t="str">
        <f t="shared" si="1"/>
        <v>start /low /b %USERPROFILE%\Documents\GitHub\eaglep3\Utilities\DownloadLogsFromS3.py --loco 4051 --day 2018-01-13</v>
      </c>
      <c r="AF31" s="1"/>
    </row>
    <row r="32" spans="1:32" x14ac:dyDescent="0.3">
      <c r="A32" s="31">
        <v>43112.912083333336</v>
      </c>
      <c r="B32" s="30" t="s">
        <v>675</v>
      </c>
      <c r="C32" s="30" t="s">
        <v>695</v>
      </c>
      <c r="D32" s="30" t="s">
        <v>95</v>
      </c>
      <c r="E32" s="30" t="s">
        <v>353</v>
      </c>
      <c r="F32" s="42">
        <v>0</v>
      </c>
      <c r="G32" s="42">
        <v>3</v>
      </c>
      <c r="H32" s="42">
        <v>4647</v>
      </c>
      <c r="I32" s="42">
        <v>4645</v>
      </c>
      <c r="J32" s="30" t="s">
        <v>354</v>
      </c>
      <c r="K32" s="42">
        <v>4798</v>
      </c>
      <c r="L32" s="131" t="s">
        <v>51</v>
      </c>
      <c r="M32" s="132">
        <f>CONVERT((I32-K32)/10000,"mi","ft")*IF(L32="Increasing Mileposts (1)",-1,1)</f>
        <v>-80.784000000000006</v>
      </c>
      <c r="N32" s="133" t="str">
        <f>VLOOKUP(C32,'Trips&amp;Operators'!$C$1:$G$99911,5,FALSE)</f>
        <v>SMITH MICHAEL</v>
      </c>
      <c r="O32" s="175" t="s">
        <v>347</v>
      </c>
      <c r="P32" s="239" t="s">
        <v>1114</v>
      </c>
      <c r="Q32" s="30"/>
      <c r="R32" s="81" t="str">
        <f>VLOOKUP(C32,'Train Runs'!$A$13:$AE$10259,31,0)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S32" s="84" t="str">
        <f>VLOOKUP(C32,'Train Runs'!$A$13:$AE$10259,22,0)</f>
        <v>https://d0f6bd738d7f1b3e5a7ca70fe4ff75f0.us-east-1.aws.found.io/app/kibana#/discover/Steve-Slow-Train-Analysis-(2080s-and-2083s)?_g=(refreshInterval:(display:Off,pause:!f,section:0,value:0),time:(from:'2018-01-12T20:25:39-0700',mode:absolute,to:'2018-01-12T22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/stypes="*4051*201801130*" /stext=" 04:.+((SYSTEM_STATE.+slice.+state.+changed )|(ment ac)|(multiple cpu faults)|(system.+state.+changed )|(\[timeout)|(PRM\|1\|D)|(kpr)|(kdp)|(train st.+moving)|(\|lc)|(penalty))"</v>
      </c>
      <c r="U32" s="9" t="str">
        <f>MID(B32,13,4)</f>
        <v>4051</v>
      </c>
      <c r="V32" s="31">
        <f>A32-utc_offset/24</f>
        <v>43113.203750000001</v>
      </c>
      <c r="W32" s="45" t="str">
        <f>DetSubdiv(C32)</f>
        <v>NW</v>
      </c>
      <c r="X32" s="228">
        <f>VALUE(LEFT(C32,LEN(C32)-3))</f>
        <v>844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under Wewatta St.","project_id":79,"tracker_id":40,"status_id":1,"priority_id":2,"assigned_to_id":338,"start_date":"2018-01-12","description":"","custom_fields":[{"id":1,"name":"Subdivision","value":"NW"},{"id":4,"name":"Milepost","value":"0.4798"},{"id":17,"name":"Train ID","value":"844-12"},{"id":16,"name":"Locomotive ID","value":"4051"},{"id":130,"name":"Impact","value":""},{"id":150,"name":"Time of Event (Mountain Time)","value":"21:53:24"},{"id":151,"name":"Denver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/c/Users/stu/AppData/Local/Temp/OnboardLogs/RTDC4051 --include="*4051*201801130*"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"%USERPROFILE%\AppData\Local\Temp\OnboardLogs"\RTDC4051\*4051*201801130* &gt;&gt; 2018-01-12-SliceDisagreementCheck.txt</v>
      </c>
      <c r="AE32" s="144" t="str">
        <f t="shared" si="1"/>
        <v>start /low /b %USERPROFILE%\Documents\GitHub\eaglep3\Utilities\DownloadLogsFromS3.py --loco 4051 --day 2018-01-13</v>
      </c>
      <c r="AF32" s="1"/>
    </row>
    <row r="33" spans="1:32" x14ac:dyDescent="0.3">
      <c r="A33" s="31">
        <v>43112.71974537037</v>
      </c>
      <c r="B33" s="30" t="s">
        <v>683</v>
      </c>
      <c r="C33" s="30" t="s">
        <v>684</v>
      </c>
      <c r="D33" s="30" t="s">
        <v>49</v>
      </c>
      <c r="E33" s="30" t="s">
        <v>353</v>
      </c>
      <c r="F33" s="42">
        <v>0</v>
      </c>
      <c r="G33" s="42">
        <v>273</v>
      </c>
      <c r="H33" s="42">
        <v>32948</v>
      </c>
      <c r="I33" s="42">
        <v>33593</v>
      </c>
      <c r="J33" s="30" t="s">
        <v>354</v>
      </c>
      <c r="K33" s="42">
        <v>34583</v>
      </c>
      <c r="L33" s="131" t="s">
        <v>50</v>
      </c>
      <c r="M33" s="132">
        <f>CONVERT((I33-K33)/10000,"mi","ft")*IF(L33="Increasing Mileposts (1)",-1,1)</f>
        <v>522.72</v>
      </c>
      <c r="N33" s="133" t="str">
        <f>VLOOKUP(C33,'Trips&amp;Operators'!$C$1:$G$99911,5,FALSE)</f>
        <v>GUNTHIER ERIC</v>
      </c>
      <c r="O33" s="175" t="s">
        <v>347</v>
      </c>
      <c r="P33" s="239" t="s">
        <v>667</v>
      </c>
      <c r="Q33" s="30"/>
      <c r="R33" s="81" t="str">
        <f>VLOOKUP(C33,'Train Runs'!$A$13:$AE$10259,31,0)</f>
        <v>aws s3 cp s3://rtdc.mdm.uploadarchive.raw/RTDC4052/ "%USERPROFILE%\AppData\Local\Temp\OnboardLogs"\RTDC4052\2018-01-12 --exclude "*" --recursive --include "*20180112*" &amp; "%USERPROFILE%\Documents\GitHub\mrs-test-scripts\Headless Mode &amp; Sideloading\WalkAndUnGZ.bat" "%USERPROFILE%\AppData\Local\Temp\OnboardLogs"\RTDC4052\2018-01-12 &amp; aws s3 cp s3://rtdc.mdm.uploadarchive.raw/RTDC4052/ "%USERPROFILE%\AppData\Local\Temp\OnboardLogs"\RTDC4052\2018-01-13 --exclude "*" --recursive --include "*20180113*" &amp; "%USERPROFILE%\Documents\GitHub\mrs-test-scripts\Headless Mode &amp; Sideloading\WalkAndUnGZ.bat" "%USERPROFILE%\AppData\Local\Temp\OnboardLogs"\RTDC4052\2018-01-13</v>
      </c>
      <c r="S33" s="84" t="str">
        <f>VLOOKUP(C33,'Train Runs'!$A$13:$AE$10259,22,0)</f>
        <v>https://d0f6bd738d7f1b3e5a7ca70fe4ff75f0.us-east-1.aws.found.io/app/kibana#/discover/Steve-Slow-Train-Analysis-(2080s-and-2083s)?_g=(refreshInterval:(display:Off,pause:!f,section:0,value:0),time:(from:'2018-01-12T15:58:56-0700',mode:absolute,to:'2018-01-12T18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/stypes="*4052*201801130*" /stext=" 00:.+((SYSTEM_STATE.+slice.+state.+changed )|(ment ac)|(multiple cpu faults)|(system.+state.+changed )|(\[timeout)|(PRM\|1\|D)|(kpr)|(kdp)|(train st.+moving)|(\|lc)|(penalty))"</v>
      </c>
      <c r="U33" s="9" t="str">
        <f>MID(B33,13,4)</f>
        <v>4052</v>
      </c>
      <c r="V33" s="31">
        <f>A33-utc_offset/24</f>
        <v>43113.011412037034</v>
      </c>
      <c r="W33" s="45" t="str">
        <f>DetSubdiv(C33)</f>
        <v>NW</v>
      </c>
      <c r="X33" s="228">
        <f>VALUE(LEFT(C33,LEN(C33)-3))</f>
        <v>833</v>
      </c>
      <c r="Y33" s="23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{"issue":{"subject":"Restricted aspect due to Pecos 4N","project_id":79,"tracker_id":40,"status_id":1,"priority_id":2,"assigned_to_id":338,"start_date":"2018-01-12","description":"","custom_fields":[{"id":1,"name":"Subdivision","value":"NW"},{"id":4,"name":"Milepost","value":"3.4583"},{"id":17,"name":"Train ID","value":"833-12"},{"id":16,"name":"Locomotive ID","value":"4052"},{"id":130,"name":"Impact","value":""},{"id":150,"name":"Time of Event (Mountain Time)","value":"17:16:26"},{"id":151,"name":"Denver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/c/Users/stu/AppData/Local/Temp/OnboardLogs/RTDC4052 --include="*4052*201801130*"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"%USERPROFILE%\AppData\Local\Temp\OnboardLogs"\RTDC4052\*4052*201801130* &gt;&gt; 2018-01-12-SliceDisagreementCheck.txt</v>
      </c>
      <c r="AE33" s="144" t="str">
        <f t="shared" si="1"/>
        <v>start /low /b %USERPROFILE%\Documents\GitHub\eaglep3\Utilities\DownloadLogsFromS3.py --loco 4052 --day 2018-01-13</v>
      </c>
      <c r="AF33" s="1"/>
    </row>
    <row r="34" spans="1:32" x14ac:dyDescent="0.3">
      <c r="A34" s="31">
        <v>43112.830023148148</v>
      </c>
      <c r="B34" s="30" t="s">
        <v>675</v>
      </c>
      <c r="C34" s="30" t="s">
        <v>693</v>
      </c>
      <c r="D34" s="30" t="s">
        <v>49</v>
      </c>
      <c r="E34" s="30" t="s">
        <v>561</v>
      </c>
      <c r="F34" s="42">
        <v>0</v>
      </c>
      <c r="G34" s="42">
        <v>55</v>
      </c>
      <c r="H34" s="42">
        <v>198</v>
      </c>
      <c r="I34" s="42">
        <v>149</v>
      </c>
      <c r="J34" s="30" t="s">
        <v>562</v>
      </c>
      <c r="K34" s="42">
        <v>1</v>
      </c>
      <c r="L34" s="131" t="s">
        <v>51</v>
      </c>
      <c r="M34" s="132">
        <f>CONVERT((I34-K34)/10000,"mi","ft")*IF(L34="Increasing Mileposts (1)",-1,1)</f>
        <v>78.144000000000005</v>
      </c>
      <c r="N34" s="133" t="str">
        <f>VLOOKUP(C34,'Trips&amp;Operators'!$C$1:$G$99911,5,FALSE)</f>
        <v>GUNTHIER ERIC</v>
      </c>
      <c r="O34" s="175" t="s">
        <v>178</v>
      </c>
      <c r="P34" s="239"/>
      <c r="Q34" s="30"/>
      <c r="R34" s="81" t="str">
        <f>VLOOKUP(C34,'Train Runs'!$A$13:$AE$10259,31,0)</f>
        <v>aws s3 cp s3://rtdc.mdm.uploadarchive.raw/RTDC4051/ "%USERPROFILE%\AppData\Local\Temp\OnboardLogs"\RTDC4051\2018-01-12 --exclude "*" --recursive --include "*20180112*" &amp; "%USERPROFILE%\Documents\GitHub\mrs-test-scripts\Headless Mode &amp; Sideloading\WalkAndUnGZ.bat" "%USERPROFILE%\AppData\Local\Temp\OnboardLogs"\RTDC4051\2018-01-12 &amp; aws s3 cp s3://rtdc.mdm.uploadarchive.raw/RTDC4051/ "%USERPROFILE%\AppData\Local\Temp\OnboardLogs"\RTDC4051\2018-01-13 --exclude "*" --recursive --include "*20180113*" &amp; "%USERPROFILE%\Documents\GitHub\mrs-test-scripts\Headless Mode &amp; Sideloading\WalkAndUnGZ.bat" "%USERPROFILE%\AppData\Local\Temp\OnboardLogs"\RTDC4051\2018-01-13</v>
      </c>
      <c r="S34" s="84" t="str">
        <f>VLOOKUP(C34,'Train Runs'!$A$13:$AE$10259,22,0)</f>
        <v>https://d0f6bd738d7f1b3e5a7ca70fe4ff75f0.us-east-1.aws.found.io/app/kibana#/discover/Steve-Slow-Train-Analysis-(2080s-and-2083s)?_g=(refreshInterval:(display:Off,pause:!f,section:0,value:0),time:(from:'2018-01-12T18:25:58-0700',mode:absolute,to:'2018-01-12T20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/stypes="*4051*201801130*" /stext=" 02:.+((SYSTEM_STATE.+slice.+state.+changed )|(ment ac)|(multiple cpu faults)|(system.+state.+changed )|(\[timeout)|(PRM\|1\|D)|(kpr)|(kdp)|(train st.+moving)|(\|lc)|(penalty))"</v>
      </c>
      <c r="U34" s="9" t="str">
        <f>MID(B34,13,4)</f>
        <v>4051</v>
      </c>
      <c r="V34" s="31">
        <f>A34-utc_offset/24</f>
        <v>43113.121689814812</v>
      </c>
      <c r="W34" s="45" t="str">
        <f>DetSubdiv(C34)</f>
        <v>NW</v>
      </c>
      <c r="X34" s="228">
        <f>VALUE(LEFT(C34,LEN(C34)-3))</f>
        <v>840</v>
      </c>
      <c r="Y34" s="23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{"issue":{"subject":"","project_id":79,"tracker_id":40,"status_id":1,"priority_id":2,"assigned_to_id":338,"start_date":"2018-01-12","description":"","custom_fields":[{"id":1,"name":"Subdivision","value":"NW"},{"id":4,"name":"Milepost","value":"0.0001"},{"id":17,"name":"Train ID","value":"840-12"},{"id":16,"name":"Locomotive ID","value":"4051"},{"id":130,"name":"Impact","value":""},{"id":150,"name":"Time of Event (Mountain Time)","value":"19:55:14"},{"id":151,"name":"Denver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/c/Users/stu/AppData/Local/Temp/OnboardLogs/RTDC4051 --include="*4051*201801130*"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"%USERPROFILE%\AppData\Local\Temp\OnboardLogs"\RTDC4051\*4051*201801130* &gt;&gt; 2018-01-12-SliceDisagreementCheck.txt</v>
      </c>
      <c r="AE34" s="144" t="str">
        <f t="shared" si="1"/>
        <v>start /low /b %USERPROFILE%\Documents\GitHub\eaglep3\Utilities\DownloadLogsFromS3.py --loco 4051 --day 2018-01-13</v>
      </c>
      <c r="AF34" s="1"/>
    </row>
    <row r="35" spans="1:32" x14ac:dyDescent="0.3">
      <c r="A35" s="31">
        <v>43112.788032407407</v>
      </c>
      <c r="B35" s="30" t="s">
        <v>573</v>
      </c>
      <c r="C35" s="30" t="s">
        <v>689</v>
      </c>
      <c r="D35" s="30" t="s">
        <v>49</v>
      </c>
      <c r="E35" s="30" t="s">
        <v>561</v>
      </c>
      <c r="F35" s="42">
        <v>0</v>
      </c>
      <c r="G35" s="42">
        <v>18</v>
      </c>
      <c r="H35" s="42">
        <v>59031</v>
      </c>
      <c r="I35" s="42">
        <v>59039</v>
      </c>
      <c r="J35" s="30" t="s">
        <v>562</v>
      </c>
      <c r="K35" s="42">
        <v>59048</v>
      </c>
      <c r="L35" s="131" t="s">
        <v>50</v>
      </c>
      <c r="M35" s="132">
        <f>CONVERT((I35-K35)/10000,"mi","ft")*IF(L35="Increasing Mileposts (1)",-1,1)</f>
        <v>4.7519999999999998</v>
      </c>
      <c r="N35" s="133" t="str">
        <f>VLOOKUP(C35,'Trips&amp;Operators'!$C$1:$G$99911,5,FALSE)</f>
        <v>SMITH MICHAEL</v>
      </c>
      <c r="O35" s="175" t="s">
        <v>178</v>
      </c>
      <c r="P35" s="239"/>
      <c r="Q35" s="30"/>
      <c r="R35" s="81" t="str">
        <f>VLOOKUP(C35,'Train Runs'!$A$13:$AE$10259,31,0)</f>
        <v>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 &amp; aws s3 cp s3://rtdc.mdm.uploadarchive.raw/RTDC4016/ "%USERPROFILE%\AppData\Local\Temp\OnboardLogs"\RTDC4016\2018-01-13 --exclude "*" --recursive --include "*20180113*" &amp; "%USERPROFILE%\Documents\GitHub\mrs-test-scripts\Headless Mode &amp; Sideloading\WalkAndUnGZ.bat" "%USERPROFILE%\AppData\Local\Temp\OnboardLogs"\RTDC4016\2018-01-13</v>
      </c>
      <c r="S35" s="84" t="str">
        <f>VLOOKUP(C35,'Train Runs'!$A$13:$AE$10259,22,0)</f>
        <v>https://d0f6bd738d7f1b3e5a7ca70fe4ff75f0.us-east-1.aws.found.io/app/kibana#/discover/Steve-Slow-Train-Analysis-(2080s-and-2083s)?_g=(refreshInterval:(display:Off,pause:!f,section:0,value:0),time:(from:'2018-01-12T17:27:40-0700',mode:absolute,to:'2018-01-12T19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/stypes="*4016*201801130*" /stext=" 01:.+((SYSTEM_STATE.+slice.+state.+changed )|(ment ac)|(multiple cpu faults)|(system.+state.+changed )|(\[timeout)|(PRM\|1\|D)|(kpr)|(kdp)|(train st.+moving)|(\|lc)|(penalty))"</v>
      </c>
      <c r="U35" s="9" t="str">
        <f>MID(B35,13,4)</f>
        <v>4016</v>
      </c>
      <c r="V35" s="31">
        <f>A35-utc_offset/24</f>
        <v>43113.079699074071</v>
      </c>
      <c r="W35" s="45" t="str">
        <f>DetSubdiv(C35)</f>
        <v>NW</v>
      </c>
      <c r="X35" s="228">
        <f>VALUE(LEFT(C35,LEN(C35)-3))</f>
        <v>839</v>
      </c>
      <c r="Y35" s="23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{"issue":{"subject":"","project_id":79,"tracker_id":40,"status_id":1,"priority_id":2,"assigned_to_id":338,"start_date":"2018-01-12","description":"","custom_fields":[{"id":1,"name":"Subdivision","value":"NW"},{"id":4,"name":"Milepost","value":"5.9048"},{"id":17,"name":"Train ID","value":"839-12"},{"id":16,"name":"Locomotive ID","value":"4016"},{"id":130,"name":"Impact","value":""},{"id":150,"name":"Time of Event (Mountain Time)","value":"18:54:46"},{"id":151,"name":"Denver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1"/>
      <c r="AB35" s="231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/c/Users/stu/AppData/Local/Temp/OnboardLogs/RTDC4016 --include="*4016*201801130*"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"%USERPROFILE%\AppData\Local\Temp\OnboardLogs"\RTDC4016\*4016*201801130* &gt;&gt; 2018-01-12-SliceDisagreementCheck.txt</v>
      </c>
      <c r="AE35" s="144" t="str">
        <f t="shared" si="1"/>
        <v>start /low /b %USERPROFILE%\Documents\GitHub\eaglep3\Utilities\DownloadLogsFromS3.py --loco 4016 --day 2018-01-13</v>
      </c>
      <c r="AF35" s="1"/>
    </row>
    <row r="36" spans="1:32" x14ac:dyDescent="0.3">
      <c r="A36" s="31">
        <v>43112.744988425926</v>
      </c>
      <c r="B36" s="30" t="s">
        <v>570</v>
      </c>
      <c r="C36" s="30" t="s">
        <v>686</v>
      </c>
      <c r="D36" s="30" t="s">
        <v>95</v>
      </c>
      <c r="E36" s="30" t="s">
        <v>687</v>
      </c>
      <c r="F36" s="42">
        <v>0</v>
      </c>
      <c r="G36" s="42">
        <v>89</v>
      </c>
      <c r="H36" s="42">
        <v>23964</v>
      </c>
      <c r="I36" s="42">
        <v>23843</v>
      </c>
      <c r="J36" s="30" t="s">
        <v>448</v>
      </c>
      <c r="K36" s="42">
        <v>24235</v>
      </c>
      <c r="L36" s="131" t="s">
        <v>51</v>
      </c>
      <c r="M36" s="132">
        <f>CONVERT((I36-K36)/10000,"mi","ft")*IF(L36="Increasing Mileposts (1)",-1,1)</f>
        <v>-206.976</v>
      </c>
      <c r="N36" s="133" t="str">
        <f>VLOOKUP(C36,'Trips&amp;Operators'!$C$1:$G$99911,5,FALSE)</f>
        <v>LORI SANTOS</v>
      </c>
      <c r="O36" s="175" t="s">
        <v>178</v>
      </c>
      <c r="P36" s="239" t="s">
        <v>1118</v>
      </c>
      <c r="Q36" s="30"/>
      <c r="R36" s="81" t="str">
        <f>VLOOKUP(C36,'Train Runs'!$A$13:$AE$10259,31,0)</f>
        <v>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 &amp; aws s3 cp s3://rtdc.mdm.uploadarchive.raw/RTDC4063/ "%USERPROFILE%\AppData\Local\Temp\OnboardLogs"\RTDC4063\2018-01-13 --exclude "*" --recursive --include "*20180113*" &amp; "%USERPROFILE%\Documents\GitHub\mrs-test-scripts\Headless Mode &amp; Sideloading\WalkAndUnGZ.bat" "%USERPROFILE%\AppData\Local\Temp\OnboardLogs"\RTDC4063\2018-01-13</v>
      </c>
      <c r="S36" s="84" t="str">
        <f>VLOOKUP(C36,'Train Runs'!$A$13:$AE$10259,22,0)</f>
        <v>https://d0f6bd738d7f1b3e5a7ca70fe4ff75f0.us-east-1.aws.found.io/app/kibana#/discover/Steve-Slow-Train-Analysis-(2080s-and-2083s)?_g=(refreshInterval:(display:Off,pause:!f,section:0,value:0),time:(from:'2018-01-12T16:40:48-0700',mode:absolute,to:'2018-01-12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/stypes="*4063*201801130*" /stext=" 00:.+((SYSTEM_STATE.+slice.+state.+changed )|(ment ac)|(multiple cpu faults)|(system.+state.+changed )|(\[timeout)|(PRM\|1\|D)|(kpr)|(kdp)|(train st.+moving)|(\|lc)|(penalty))"</v>
      </c>
      <c r="U36" s="9" t="str">
        <f>MID(B36,13,4)</f>
        <v>4063</v>
      </c>
      <c r="V36" s="31">
        <f>A36-utc_offset/24</f>
        <v>43113.03665509259</v>
      </c>
      <c r="W36" s="45" t="str">
        <f>DetSubdiv(C36)</f>
        <v>Shuttle/Test</v>
      </c>
      <c r="X36" s="228">
        <f>VALUE(LEFT(C36,LEN(C36)-3))</f>
        <v>72</v>
      </c>
      <c r="Y36" s="23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track","project_id":79,"tracker_id":40,"status_id":1,"priority_id":2,"assigned_to_id":338,"start_date":"2018-01-12","description":"","custom_fields":[{"id":1,"name":"Subdivision","value":"Shuttle/Test"},{"id":4,"name":"Milepost","value":"2.4235"},{"id":17,"name":"Train ID","value":"72-12"},{"id":16,"name":"Locomotive ID","value":"4063"},{"id":130,"name":"Impact","value":""},{"id":150,"name":"Time of Event (Mountain Time)","value":"17:52:47"},{"id":151,"name":"Denver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1"/>
      <c r="AB36" s="231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/c/Users/stu/AppData/Local/Temp/OnboardLogs/RTDC4063 --include="*4063*201801130*"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"%USERPROFILE%\AppData\Local\Temp\OnboardLogs"\RTDC4063\*4063*201801130* &gt;&gt; 2018-01-12-SliceDisagreementCheck.txt</v>
      </c>
      <c r="AE36" s="144" t="str">
        <f t="shared" si="1"/>
        <v>start /low /b %USERPROFILE%\Documents\GitHub\eaglep3\Utilities\DownloadLogsFromS3.py --loco 4063 --day 2018-01-13</v>
      </c>
      <c r="AF36" s="1"/>
    </row>
    <row r="37" spans="1:32" x14ac:dyDescent="0.3">
      <c r="A37" s="31">
        <v>43112.745370370372</v>
      </c>
      <c r="B37" s="30" t="s">
        <v>570</v>
      </c>
      <c r="C37" s="30" t="s">
        <v>686</v>
      </c>
      <c r="D37" s="30" t="s">
        <v>95</v>
      </c>
      <c r="E37" s="30" t="s">
        <v>687</v>
      </c>
      <c r="F37" s="42">
        <v>0</v>
      </c>
      <c r="G37" s="42">
        <v>5</v>
      </c>
      <c r="H37" s="42">
        <v>23845</v>
      </c>
      <c r="I37" s="42">
        <v>23836</v>
      </c>
      <c r="J37" s="30" t="s">
        <v>448</v>
      </c>
      <c r="K37" s="42">
        <v>24235</v>
      </c>
      <c r="L37" s="131" t="s">
        <v>51</v>
      </c>
      <c r="M37" s="132">
        <f>CONVERT((I37-K37)/10000,"mi","ft")*IF(L37="Increasing Mileposts (1)",-1,1)</f>
        <v>-210.672</v>
      </c>
      <c r="N37" s="133" t="str">
        <f>VLOOKUP(C37,'Trips&amp;Operators'!$C$1:$G$99911,5,FALSE)</f>
        <v>LORI SANTOS</v>
      </c>
      <c r="O37" s="175" t="s">
        <v>178</v>
      </c>
      <c r="P37" s="239"/>
      <c r="Q37" s="30"/>
      <c r="R37" s="81" t="str">
        <f>VLOOKUP(C37,'Train Runs'!$A$13:$AE$10259,31,0)</f>
        <v>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 &amp; aws s3 cp s3://rtdc.mdm.uploadarchive.raw/RTDC4063/ "%USERPROFILE%\AppData\Local\Temp\OnboardLogs"\RTDC4063\2018-01-13 --exclude "*" --recursive --include "*20180113*" &amp; "%USERPROFILE%\Documents\GitHub\mrs-test-scripts\Headless Mode &amp; Sideloading\WalkAndUnGZ.bat" "%USERPROFILE%\AppData\Local\Temp\OnboardLogs"\RTDC4063\2018-01-13</v>
      </c>
      <c r="S37" s="84" t="str">
        <f>VLOOKUP(C37,'Train Runs'!$A$13:$AE$10259,22,0)</f>
        <v>https://d0f6bd738d7f1b3e5a7ca70fe4ff75f0.us-east-1.aws.found.io/app/kibana#/discover/Steve-Slow-Train-Analysis-(2080s-and-2083s)?_g=(refreshInterval:(display:Off,pause:!f,section:0,value:0),time:(from:'2018-01-12T16:40:48-0700',mode:absolute,to:'2018-01-12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/stypes="*4063*201801130*" /stext=" 00:.+((SYSTEM_STATE.+slice.+state.+changed )|(ment ac)|(multiple cpu faults)|(system.+state.+changed )|(\[timeout)|(PRM\|1\|D)|(kpr)|(kdp)|(train st.+moving)|(\|lc)|(penalty))"</v>
      </c>
      <c r="U37" s="9" t="str">
        <f>MID(B37,13,4)</f>
        <v>4063</v>
      </c>
      <c r="V37" s="31">
        <f>A37-utc_offset/24</f>
        <v>43113.037037037036</v>
      </c>
      <c r="W37" s="45" t="str">
        <f>DetSubdiv(C37)</f>
        <v>Shuttle/Test</v>
      </c>
      <c r="X37" s="228">
        <f>VALUE(LEFT(C37,LEN(C37)-3))</f>
        <v>72</v>
      </c>
      <c r="Y37" s="23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Shuttle/Test"},{"id":4,"name":"Milepost","value":"2.4235"},{"id":17,"name":"Train ID","value":"72-12"},{"id":16,"name":"Locomotive ID","value":"4063"},{"id":130,"name":"Impact","value":""},{"id":150,"name":"Time of Event (Mountain Time)","value":"17:53:20"},{"id":151,"name":"Denver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8"/>
      <c r="AA37" s="231"/>
      <c r="AB37" s="231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/c/Users/stu/AppData/Local/Temp/OnboardLogs/RTDC4063 --include="*4063*201801130*"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"%USERPROFILE%\AppData\Local\Temp\OnboardLogs"\RTDC4063\*4063*201801130* &gt;&gt; 2018-01-12-SliceDisagreementCheck.txt</v>
      </c>
      <c r="AE37" s="144" t="str">
        <f t="shared" si="1"/>
        <v>start /low /b %USERPROFILE%\Documents\GitHub\eaglep3\Utilities\DownloadLogsFromS3.py --loco 4063 --day 2018-01-13</v>
      </c>
      <c r="AF37" s="1"/>
    </row>
    <row r="38" spans="1:32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</sheetData>
  <autoFilter ref="A6:AC13">
    <sortState ref="A7:AC37">
      <sortCondition ref="W7:W37"/>
      <sortCondition ref="E7:E37"/>
      <sortCondition ref="K7:K37"/>
      <sortCondition ref="F7:F37"/>
    </sortState>
  </autoFilter>
  <sortState ref="A7:AE13">
    <sortCondition ref="W7:W13"/>
    <sortCondition ref="E7:E13"/>
    <sortCondition ref="K7:K13"/>
    <sortCondition ref="C7:C13"/>
    <sortCondition ref="F7:F13"/>
  </sortState>
  <mergeCells count="1">
    <mergeCell ref="A5:O5"/>
  </mergeCells>
  <conditionalFormatting sqref="O6:P6 R6 O45:O1048576 O7:O37">
    <cfRule type="cellIs" dxfId="7" priority="44" operator="equal">
      <formula>"Y"</formula>
    </cfRule>
  </conditionalFormatting>
  <conditionalFormatting sqref="O2:O3">
    <cfRule type="cellIs" dxfId="6" priority="35" operator="equal">
      <formula>"Y"</formula>
    </cfRule>
  </conditionalFormatting>
  <conditionalFormatting sqref="A7:P37">
    <cfRule type="expression" dxfId="5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2018-01-12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-12</v>
      </c>
      <c r="C3" s="134"/>
      <c r="D3" s="250">
        <v>4020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Runs'!$A$13:$A$100256,1,FALSE)</f>
        <v>#N/A</v>
      </c>
    </row>
    <row r="4" spans="1:10" x14ac:dyDescent="0.3">
      <c r="A4" s="197"/>
      <c r="B4" s="42" t="str">
        <f>A4&amp;"-"&amp;IF(DAY(Variables!$A$2)&lt;10,0,"")&amp;DAY(Variables!$A$2)</f>
        <v>-12</v>
      </c>
      <c r="C4" s="134"/>
      <c r="D4" s="250">
        <v>4020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Runs'!$A$13:$A$100256,1,FALSE)</f>
        <v>#N/A</v>
      </c>
    </row>
    <row r="5" spans="1:10" x14ac:dyDescent="0.3">
      <c r="A5" s="197"/>
      <c r="B5" s="42" t="str">
        <f>A5&amp;"-"&amp;IF(DAY(Variables!$A$2)&lt;10,0,"")&amp;DAY(Variables!$A$2)</f>
        <v>-12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Runs'!$A$13:$A$100256,1,FALSE)</f>
        <v>#N/A</v>
      </c>
    </row>
    <row r="6" spans="1:10" x14ac:dyDescent="0.3">
      <c r="A6" s="197"/>
      <c r="B6" s="42" t="str">
        <f>A6&amp;"-"&amp;IF(DAY(Variables!$A$2)&lt;10,0,"")&amp;DAY(Variables!$A$2)</f>
        <v>-12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Runs'!$A$13:$A$100256,1,FALSE)</f>
        <v>#N/A</v>
      </c>
    </row>
    <row r="7" spans="1:10" x14ac:dyDescent="0.3">
      <c r="A7" s="197"/>
      <c r="B7" s="42" t="str">
        <f>A7&amp;"-"&amp;IF(DAY(Variables!$A$2)&lt;10,0,"")&amp;DAY(Variables!$A$2)</f>
        <v>-12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Runs'!$A$13:$A$100256,1,FALSE)</f>
        <v>#N/A</v>
      </c>
    </row>
    <row r="8" spans="1:10" x14ac:dyDescent="0.3">
      <c r="A8" s="197"/>
      <c r="B8" s="42" t="str">
        <f>A8&amp;"-"&amp;IF(DAY(Variables!$A$2)&lt;10,0,"")&amp;DAY(Variables!$A$2)</f>
        <v>-12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Runs'!$A$13:$A$100256,1,FALSE)</f>
        <v>#N/A</v>
      </c>
    </row>
    <row r="9" spans="1:10" x14ac:dyDescent="0.3">
      <c r="A9" s="197"/>
      <c r="B9" s="42" t="str">
        <f>A9&amp;"-"&amp;IF(DAY(Variables!$A$2)&lt;10,0,"")&amp;DAY(Variables!$A$2)</f>
        <v>-12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Runs'!$A$13:$A$100256,1,FALSE)</f>
        <v>#N/A</v>
      </c>
    </row>
    <row r="10" spans="1:10" x14ac:dyDescent="0.3">
      <c r="A10" s="197"/>
      <c r="B10" s="42" t="str">
        <f>A10&amp;"-"&amp;IF(DAY(Variables!$A$2)&lt;10,0,"")&amp;DAY(Variables!$A$2)</f>
        <v>-12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Runs'!$A$13:$A$100256,1,FALSE)</f>
        <v>#N/A</v>
      </c>
    </row>
    <row r="11" spans="1:10" x14ac:dyDescent="0.3">
      <c r="A11" s="197"/>
      <c r="B11" s="42" t="str">
        <f>A11&amp;"-"&amp;IF(DAY(Variables!$A$2)&lt;10,0,"")&amp;DAY(Variables!$A$2)</f>
        <v>-12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Runs'!$A$13:$A$100256,1,FALSE)</f>
        <v>#N/A</v>
      </c>
    </row>
    <row r="12" spans="1:10" x14ac:dyDescent="0.3">
      <c r="A12" s="197"/>
      <c r="B12" s="42" t="str">
        <f>A12&amp;"-"&amp;IF(DAY(Variables!$A$2)&lt;10,0,"")&amp;DAY(Variables!$A$2)</f>
        <v>-12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Runs'!$A$13:$A$100256,1,FALSE)</f>
        <v>#N/A</v>
      </c>
    </row>
    <row r="13" spans="1:10" x14ac:dyDescent="0.3">
      <c r="A13" s="197"/>
      <c r="B13" s="42" t="str">
        <f>A13&amp;"-"&amp;IF(DAY(Variables!$A$2)&lt;10,0,"")&amp;DAY(Variables!$A$2)</f>
        <v>-12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Runs'!$A$13:$A$100256,1,FALSE)</f>
        <v>#N/A</v>
      </c>
    </row>
    <row r="14" spans="1:10" x14ac:dyDescent="0.3">
      <c r="A14" s="197"/>
      <c r="B14" s="42" t="str">
        <f>A14&amp;"-"&amp;IF(DAY(Variables!$A$2)&lt;10,0,"")&amp;DAY(Variables!$A$2)</f>
        <v>-12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Runs'!$A$13:$A$100256,1,FALSE)</f>
        <v>#N/A</v>
      </c>
    </row>
    <row r="15" spans="1:10" x14ac:dyDescent="0.3">
      <c r="A15" s="197"/>
      <c r="B15" s="42" t="str">
        <f>A15&amp;"-"&amp;IF(DAY(Variables!$A$2)&lt;10,0,"")&amp;DAY(Variables!$A$2)</f>
        <v>-12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Runs'!$A$13:$A$100256,1,FALSE)</f>
        <v>#N/A</v>
      </c>
    </row>
    <row r="16" spans="1:10" x14ac:dyDescent="0.3">
      <c r="A16" s="197"/>
      <c r="B16" s="42" t="str">
        <f>A16&amp;"-"&amp;IF(DAY(Variables!$A$2)&lt;10,0,"")&amp;DAY(Variables!$A$2)</f>
        <v>-12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Runs'!$A$13:$A$100256,1,FALSE)</f>
        <v>#N/A</v>
      </c>
    </row>
    <row r="17" spans="1:10" x14ac:dyDescent="0.3">
      <c r="A17" s="197"/>
      <c r="B17" s="42" t="str">
        <f>A17&amp;"-"&amp;IF(DAY(Variables!$A$2)&lt;10,0,"")&amp;DAY(Variables!$A$2)</f>
        <v>-12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Runs'!$A$13:$A$100256,1,FALSE)</f>
        <v>#N/A</v>
      </c>
    </row>
    <row r="18" spans="1:10" x14ac:dyDescent="0.3">
      <c r="A18" s="197"/>
      <c r="B18" s="42" t="str">
        <f>A18&amp;"-"&amp;IF(DAY(Variables!$A$2)&lt;10,0,"")&amp;DAY(Variables!$A$2)</f>
        <v>-12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Runs'!$A$13:$A$100256,1,FALSE)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2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43112.046782407408</v>
      </c>
      <c r="B2" s="20" t="s">
        <v>445</v>
      </c>
      <c r="C2" s="20" t="s">
        <v>613</v>
      </c>
      <c r="D2" s="137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4020</v>
      </c>
    </row>
    <row r="3" spans="1:8" x14ac:dyDescent="0.3">
      <c r="A3" s="8">
        <v>43112.056458333333</v>
      </c>
      <c r="B3" s="20" t="s">
        <v>370</v>
      </c>
      <c r="C3" s="20" t="s">
        <v>614</v>
      </c>
      <c r="D3" s="137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4011</v>
      </c>
    </row>
    <row r="4" spans="1:8" x14ac:dyDescent="0.3">
      <c r="A4" s="8">
        <v>43112.068252314813</v>
      </c>
      <c r="B4" s="20" t="s">
        <v>459</v>
      </c>
      <c r="C4" s="20" t="s">
        <v>615</v>
      </c>
      <c r="D4" s="137">
        <v>3340000</v>
      </c>
      <c r="E4" s="20" t="s">
        <v>580</v>
      </c>
      <c r="F4" s="20" t="s">
        <v>581</v>
      </c>
      <c r="G4" s="8" t="str">
        <f t="shared" si="0"/>
        <v>ELBAUM MIKE</v>
      </c>
      <c r="H4" s="20" t="str">
        <f t="shared" si="1"/>
        <v>4056</v>
      </c>
    </row>
    <row r="5" spans="1:8" x14ac:dyDescent="0.3">
      <c r="A5" s="8">
        <v>43112.091423611113</v>
      </c>
      <c r="B5" s="20" t="s">
        <v>369</v>
      </c>
      <c r="C5" s="20" t="s">
        <v>616</v>
      </c>
      <c r="D5" s="137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4012</v>
      </c>
    </row>
    <row r="6" spans="1:8" x14ac:dyDescent="0.3">
      <c r="A6" s="8">
        <v>43112.11619212963</v>
      </c>
      <c r="B6" s="20" t="s">
        <v>698</v>
      </c>
      <c r="C6" s="20" t="s">
        <v>699</v>
      </c>
      <c r="D6" s="137">
        <v>1830000</v>
      </c>
      <c r="E6" s="20" t="s">
        <v>345</v>
      </c>
      <c r="F6" s="20" t="s">
        <v>346</v>
      </c>
      <c r="G6" s="8" t="str">
        <f t="shared" si="0"/>
        <v>YORK EDGAR</v>
      </c>
      <c r="H6" s="20" t="str">
        <f t="shared" si="1"/>
        <v>4001</v>
      </c>
    </row>
    <row r="7" spans="1:8" x14ac:dyDescent="0.3">
      <c r="A7" s="8">
        <v>43112.127465277779</v>
      </c>
      <c r="B7" s="20" t="s">
        <v>471</v>
      </c>
      <c r="C7" s="20" t="s">
        <v>700</v>
      </c>
      <c r="D7" s="137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4026</v>
      </c>
    </row>
    <row r="8" spans="1:8" x14ac:dyDescent="0.3">
      <c r="A8" s="8">
        <v>43112.127662037034</v>
      </c>
      <c r="B8" s="20" t="s">
        <v>701</v>
      </c>
      <c r="C8" s="20" t="s">
        <v>702</v>
      </c>
      <c r="D8" s="137">
        <v>900000</v>
      </c>
      <c r="E8" s="20" t="s">
        <v>514</v>
      </c>
      <c r="F8" s="20" t="s">
        <v>515</v>
      </c>
      <c r="G8" s="8" t="str">
        <f t="shared" si="0"/>
        <v>ROCHA YAOTL</v>
      </c>
      <c r="H8" s="20" t="str">
        <f t="shared" si="1"/>
        <v>4002</v>
      </c>
    </row>
    <row r="9" spans="1:8" ht="15" thickBot="1" x14ac:dyDescent="0.35">
      <c r="A9" s="24">
        <v>43112.137280092589</v>
      </c>
      <c r="B9" s="20" t="s">
        <v>496</v>
      </c>
      <c r="C9" s="20" t="s">
        <v>703</v>
      </c>
      <c r="D9" s="137">
        <v>2010000</v>
      </c>
      <c r="E9" s="20" t="s">
        <v>571</v>
      </c>
      <c r="F9" s="20" t="s">
        <v>572</v>
      </c>
      <c r="G9" s="8" t="str">
        <f t="shared" si="0"/>
        <v>MAELZER KURT</v>
      </c>
      <c r="H9" s="20" t="str">
        <f t="shared" si="1"/>
        <v>4039</v>
      </c>
    </row>
    <row r="10" spans="1:8" x14ac:dyDescent="0.3">
      <c r="A10" s="8">
        <v>43112.139722222222</v>
      </c>
      <c r="B10" s="20" t="s">
        <v>698</v>
      </c>
      <c r="C10" s="20" t="s">
        <v>702</v>
      </c>
      <c r="D10" s="137">
        <v>900000</v>
      </c>
      <c r="E10" s="20" t="s">
        <v>514</v>
      </c>
      <c r="F10" s="20" t="s">
        <v>515</v>
      </c>
      <c r="G10" s="8" t="str">
        <f t="shared" si="0"/>
        <v>ROCHA YAOTL</v>
      </c>
      <c r="H10" s="20" t="str">
        <f t="shared" si="1"/>
        <v>4001</v>
      </c>
    </row>
    <row r="11" spans="1:8" x14ac:dyDescent="0.3">
      <c r="A11" s="8">
        <v>43112.14980324074</v>
      </c>
      <c r="B11" s="20" t="s">
        <v>497</v>
      </c>
      <c r="C11" s="20" t="s">
        <v>704</v>
      </c>
      <c r="D11" s="137">
        <v>2010000</v>
      </c>
      <c r="E11" s="20" t="s">
        <v>571</v>
      </c>
      <c r="F11" s="20" t="s">
        <v>572</v>
      </c>
      <c r="G11" s="8" t="str">
        <f t="shared" si="0"/>
        <v>MAELZER KURT</v>
      </c>
      <c r="H11" s="20" t="str">
        <f t="shared" si="1"/>
        <v>4040</v>
      </c>
    </row>
    <row r="12" spans="1:8" x14ac:dyDescent="0.3">
      <c r="A12" s="8">
        <v>43112.160902777781</v>
      </c>
      <c r="B12" s="20" t="s">
        <v>470</v>
      </c>
      <c r="C12" s="20" t="s">
        <v>705</v>
      </c>
      <c r="D12" s="137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4025</v>
      </c>
    </row>
    <row r="13" spans="1:8" x14ac:dyDescent="0.3">
      <c r="A13" s="8">
        <v>43112.162002314813</v>
      </c>
      <c r="B13" s="20" t="s">
        <v>361</v>
      </c>
      <c r="C13" s="20" t="s">
        <v>706</v>
      </c>
      <c r="D13" s="137">
        <v>940000</v>
      </c>
      <c r="E13" s="20" t="s">
        <v>498</v>
      </c>
      <c r="F13" s="20" t="s">
        <v>499</v>
      </c>
      <c r="G13" s="8" t="str">
        <f t="shared" si="0"/>
        <v>BONDS REYNALDO</v>
      </c>
      <c r="H13" s="20" t="str">
        <f t="shared" si="1"/>
        <v>4017</v>
      </c>
    </row>
    <row r="14" spans="1:8" x14ac:dyDescent="0.3">
      <c r="A14" s="8">
        <v>43112.170555555553</v>
      </c>
      <c r="B14" s="20" t="s">
        <v>560</v>
      </c>
      <c r="C14" s="20" t="s">
        <v>707</v>
      </c>
      <c r="D14" s="137">
        <v>1100000</v>
      </c>
      <c r="E14" s="20" t="s">
        <v>518</v>
      </c>
      <c r="F14" s="20" t="s">
        <v>519</v>
      </c>
      <c r="G14" s="8" t="str">
        <f t="shared" si="0"/>
        <v>GEBRETEKLE DAGNEW</v>
      </c>
      <c r="H14" s="20" t="str">
        <f t="shared" si="1"/>
        <v>4005</v>
      </c>
    </row>
    <row r="15" spans="1:8" x14ac:dyDescent="0.3">
      <c r="A15" s="8">
        <v>43112.173715277779</v>
      </c>
      <c r="B15" s="20" t="s">
        <v>359</v>
      </c>
      <c r="C15" s="20" t="s">
        <v>708</v>
      </c>
      <c r="D15" s="137">
        <v>940000</v>
      </c>
      <c r="E15" s="20" t="s">
        <v>498</v>
      </c>
      <c r="F15" s="20" t="s">
        <v>499</v>
      </c>
      <c r="G15" s="8" t="str">
        <f t="shared" si="0"/>
        <v>BONDS REYNALDO</v>
      </c>
      <c r="H15" s="20" t="str">
        <f t="shared" si="1"/>
        <v>4018</v>
      </c>
    </row>
    <row r="16" spans="1:8" x14ac:dyDescent="0.3">
      <c r="A16" s="8">
        <v>43112.178229166668</v>
      </c>
      <c r="B16" s="20" t="s">
        <v>669</v>
      </c>
      <c r="C16" s="20" t="s">
        <v>709</v>
      </c>
      <c r="D16" s="137">
        <v>2440000</v>
      </c>
      <c r="E16" s="20" t="s">
        <v>516</v>
      </c>
      <c r="F16" s="20" t="s">
        <v>517</v>
      </c>
      <c r="G16" s="8" t="str">
        <f t="shared" si="0"/>
        <v>LOPES KIMBERLY</v>
      </c>
      <c r="H16" s="20" t="str">
        <f t="shared" si="1"/>
        <v>4003</v>
      </c>
    </row>
    <row r="17" spans="1:8" x14ac:dyDescent="0.3">
      <c r="A17" s="8">
        <v>43112.183993055558</v>
      </c>
      <c r="B17" s="20" t="s">
        <v>563</v>
      </c>
      <c r="C17" s="20" t="s">
        <v>668</v>
      </c>
      <c r="D17" s="137">
        <v>1100000</v>
      </c>
      <c r="E17" s="20" t="s">
        <v>518</v>
      </c>
      <c r="F17" s="20" t="s">
        <v>519</v>
      </c>
      <c r="G17" s="8" t="str">
        <f t="shared" si="0"/>
        <v>GEBRETEKLE DAGNEW</v>
      </c>
      <c r="H17" s="20" t="str">
        <f t="shared" si="1"/>
        <v>4006</v>
      </c>
    </row>
    <row r="18" spans="1:8" x14ac:dyDescent="0.3">
      <c r="A18" s="8">
        <v>43112.187696759262</v>
      </c>
      <c r="B18" s="20" t="s">
        <v>496</v>
      </c>
      <c r="C18" s="20" t="s">
        <v>710</v>
      </c>
      <c r="D18" s="137">
        <v>2010000</v>
      </c>
      <c r="E18" s="20" t="s">
        <v>571</v>
      </c>
      <c r="F18" s="20" t="s">
        <v>572</v>
      </c>
      <c r="G18" s="8" t="str">
        <f t="shared" si="0"/>
        <v>MAELZER KURT</v>
      </c>
      <c r="H18" s="20" t="str">
        <f t="shared" si="1"/>
        <v>4039</v>
      </c>
    </row>
    <row r="19" spans="1:8" x14ac:dyDescent="0.3">
      <c r="A19" s="8">
        <v>43112.194328703707</v>
      </c>
      <c r="B19" s="20" t="s">
        <v>711</v>
      </c>
      <c r="C19" s="20" t="s">
        <v>712</v>
      </c>
      <c r="D19" s="137">
        <v>2440000</v>
      </c>
      <c r="E19" s="20" t="s">
        <v>516</v>
      </c>
      <c r="F19" s="20" t="s">
        <v>517</v>
      </c>
      <c r="G19" s="8" t="str">
        <f t="shared" si="0"/>
        <v>LOPES KIMBERLY</v>
      </c>
      <c r="H19" s="20" t="str">
        <f t="shared" si="1"/>
        <v>4004</v>
      </c>
    </row>
    <row r="20" spans="1:8" x14ac:dyDescent="0.3">
      <c r="A20" s="8">
        <v>43112.196666666663</v>
      </c>
      <c r="B20" s="20" t="s">
        <v>677</v>
      </c>
      <c r="C20" s="20" t="s">
        <v>713</v>
      </c>
      <c r="D20" s="137">
        <v>2560000</v>
      </c>
      <c r="E20" s="20" t="s">
        <v>714</v>
      </c>
      <c r="F20" s="20" t="s">
        <v>715</v>
      </c>
      <c r="G20" s="8" t="str">
        <f t="shared" si="0"/>
        <v>MACDONALD THOMAS</v>
      </c>
      <c r="H20" s="20" t="str">
        <f t="shared" si="1"/>
        <v>4059</v>
      </c>
    </row>
    <row r="21" spans="1:8" x14ac:dyDescent="0.3">
      <c r="A21" s="8">
        <v>43112.201469907406</v>
      </c>
      <c r="B21" s="20" t="s">
        <v>471</v>
      </c>
      <c r="C21" s="20" t="s">
        <v>716</v>
      </c>
      <c r="D21" s="137">
        <v>1830000</v>
      </c>
      <c r="E21" s="20" t="s">
        <v>345</v>
      </c>
      <c r="F21" s="20" t="s">
        <v>346</v>
      </c>
      <c r="G21" s="8" t="str">
        <f t="shared" si="0"/>
        <v>YORK EDGAR</v>
      </c>
      <c r="H21" s="20" t="str">
        <f t="shared" si="1"/>
        <v>4026</v>
      </c>
    </row>
    <row r="22" spans="1:8" x14ac:dyDescent="0.3">
      <c r="A22" s="26">
        <v>43112.203125</v>
      </c>
      <c r="B22" s="20" t="s">
        <v>573</v>
      </c>
      <c r="C22" s="20" t="s">
        <v>717</v>
      </c>
      <c r="D22" s="137">
        <v>3040000</v>
      </c>
      <c r="E22" s="20" t="s">
        <v>367</v>
      </c>
      <c r="F22" s="20" t="s">
        <v>460</v>
      </c>
      <c r="G22" s="8" t="str">
        <f t="shared" si="0"/>
        <v>WILLIAMS DONTE</v>
      </c>
      <c r="H22" s="20" t="str">
        <f t="shared" si="1"/>
        <v>4016</v>
      </c>
    </row>
    <row r="23" spans="1:8" x14ac:dyDescent="0.3">
      <c r="A23" s="8">
        <v>43112.210821759261</v>
      </c>
      <c r="B23" s="20" t="s">
        <v>356</v>
      </c>
      <c r="C23" s="20" t="s">
        <v>718</v>
      </c>
      <c r="D23" s="137">
        <v>2560000</v>
      </c>
      <c r="E23" s="20" t="s">
        <v>714</v>
      </c>
      <c r="F23" s="20" t="s">
        <v>715</v>
      </c>
      <c r="G23" s="8" t="str">
        <f t="shared" si="0"/>
        <v>MACDONALD THOMAS</v>
      </c>
      <c r="H23" s="20" t="str">
        <f t="shared" si="1"/>
        <v>4060</v>
      </c>
    </row>
    <row r="24" spans="1:8" x14ac:dyDescent="0.3">
      <c r="A24" s="8">
        <v>43112.213726851849</v>
      </c>
      <c r="B24" s="20" t="s">
        <v>361</v>
      </c>
      <c r="C24" s="20" t="s">
        <v>719</v>
      </c>
      <c r="D24" s="137">
        <v>940000</v>
      </c>
      <c r="E24" s="20" t="s">
        <v>498</v>
      </c>
      <c r="F24" s="20" t="s">
        <v>499</v>
      </c>
      <c r="G24" s="8" t="str">
        <f t="shared" si="0"/>
        <v>BONDS REYNALDO</v>
      </c>
      <c r="H24" s="20" t="str">
        <f t="shared" si="1"/>
        <v>4017</v>
      </c>
    </row>
    <row r="25" spans="1:8" x14ac:dyDescent="0.3">
      <c r="A25" s="8">
        <v>43112.214143518519</v>
      </c>
      <c r="B25" s="20" t="s">
        <v>566</v>
      </c>
      <c r="C25" s="20" t="s">
        <v>720</v>
      </c>
      <c r="D25" s="137">
        <v>3040000</v>
      </c>
      <c r="E25" s="20" t="s">
        <v>367</v>
      </c>
      <c r="F25" s="20" t="s">
        <v>460</v>
      </c>
      <c r="G25" s="8" t="str">
        <f t="shared" si="0"/>
        <v>WILLIAMS DONTE</v>
      </c>
      <c r="H25" s="20" t="str">
        <f t="shared" si="1"/>
        <v>4015</v>
      </c>
    </row>
    <row r="26" spans="1:8" x14ac:dyDescent="0.3">
      <c r="A26" s="8">
        <v>43112.214629629627</v>
      </c>
      <c r="B26" s="20" t="s">
        <v>560</v>
      </c>
      <c r="C26" s="20" t="s">
        <v>721</v>
      </c>
      <c r="D26" s="137">
        <v>1100000</v>
      </c>
      <c r="E26" s="20" t="s">
        <v>518</v>
      </c>
      <c r="F26" s="20" t="s">
        <v>519</v>
      </c>
      <c r="G26" s="8" t="str">
        <f t="shared" si="0"/>
        <v>GEBRETEKLE DAGNEW</v>
      </c>
      <c r="H26" s="20" t="str">
        <f t="shared" si="1"/>
        <v>4005</v>
      </c>
    </row>
    <row r="27" spans="1:8" x14ac:dyDescent="0.3">
      <c r="A27" s="8">
        <v>43112.221712962964</v>
      </c>
      <c r="B27" s="20" t="s">
        <v>691</v>
      </c>
      <c r="C27" s="20" t="s">
        <v>722</v>
      </c>
      <c r="D27" s="137">
        <v>1230000</v>
      </c>
      <c r="E27" s="20" t="s">
        <v>500</v>
      </c>
      <c r="F27" s="20" t="s">
        <v>501</v>
      </c>
      <c r="G27" s="8" t="str">
        <f t="shared" si="0"/>
        <v>YANAI IAN</v>
      </c>
      <c r="H27" s="20" t="str">
        <f t="shared" si="1"/>
        <v>4027</v>
      </c>
    </row>
    <row r="28" spans="1:8" x14ac:dyDescent="0.3">
      <c r="A28" s="8">
        <v>43112.226203703707</v>
      </c>
      <c r="B28" s="20" t="s">
        <v>497</v>
      </c>
      <c r="C28" s="20" t="s">
        <v>723</v>
      </c>
      <c r="D28" s="137">
        <v>2010000</v>
      </c>
      <c r="E28" s="20" t="s">
        <v>571</v>
      </c>
      <c r="F28" s="20" t="s">
        <v>572</v>
      </c>
      <c r="G28" s="8" t="str">
        <f t="shared" si="0"/>
        <v>MAELZER KURT</v>
      </c>
      <c r="H28" s="20" t="str">
        <f t="shared" si="1"/>
        <v>4040</v>
      </c>
    </row>
    <row r="29" spans="1:8" x14ac:dyDescent="0.3">
      <c r="A29" s="8">
        <v>43112.233657407407</v>
      </c>
      <c r="B29" s="20" t="s">
        <v>573</v>
      </c>
      <c r="C29" s="20" t="s">
        <v>724</v>
      </c>
      <c r="D29" s="137">
        <v>3040000</v>
      </c>
      <c r="E29" s="20" t="s">
        <v>367</v>
      </c>
      <c r="F29" s="20" t="s">
        <v>460</v>
      </c>
      <c r="G29" s="8" t="str">
        <f t="shared" si="0"/>
        <v>WILLIAMS DONTE</v>
      </c>
      <c r="H29" s="20" t="str">
        <f t="shared" si="1"/>
        <v>4016</v>
      </c>
    </row>
    <row r="30" spans="1:8" x14ac:dyDescent="0.3">
      <c r="A30" s="8">
        <v>43112.235150462962</v>
      </c>
      <c r="B30" s="20" t="s">
        <v>470</v>
      </c>
      <c r="C30" s="20" t="s">
        <v>725</v>
      </c>
      <c r="D30" s="137">
        <v>1830000</v>
      </c>
      <c r="E30" s="20" t="s">
        <v>345</v>
      </c>
      <c r="F30" s="20" t="s">
        <v>346</v>
      </c>
      <c r="G30" s="8" t="str">
        <f t="shared" si="0"/>
        <v>YORK EDGAR</v>
      </c>
      <c r="H30" s="20" t="str">
        <f t="shared" si="1"/>
        <v>4025</v>
      </c>
    </row>
    <row r="31" spans="1:8" x14ac:dyDescent="0.3">
      <c r="A31" s="8">
        <v>43112.235590277778</v>
      </c>
      <c r="B31" s="20" t="s">
        <v>669</v>
      </c>
      <c r="C31" s="20" t="s">
        <v>726</v>
      </c>
      <c r="D31" s="137">
        <v>2440000</v>
      </c>
      <c r="E31" s="20" t="s">
        <v>516</v>
      </c>
      <c r="F31" s="20" t="s">
        <v>517</v>
      </c>
      <c r="G31" s="8" t="str">
        <f t="shared" si="0"/>
        <v>LOPES KIMBERLY</v>
      </c>
      <c r="H31" s="20" t="str">
        <f t="shared" si="1"/>
        <v>4003</v>
      </c>
    </row>
    <row r="32" spans="1:8" x14ac:dyDescent="0.3">
      <c r="A32" s="8">
        <v>43112.235752314817</v>
      </c>
      <c r="B32" s="20" t="s">
        <v>389</v>
      </c>
      <c r="C32" s="20" t="s">
        <v>727</v>
      </c>
      <c r="D32" s="137">
        <v>1230000</v>
      </c>
      <c r="E32" s="20" t="s">
        <v>500</v>
      </c>
      <c r="F32" s="20" t="s">
        <v>501</v>
      </c>
      <c r="G32" s="8" t="str">
        <f t="shared" si="0"/>
        <v>YANAI IAN</v>
      </c>
      <c r="H32" s="20" t="str">
        <f t="shared" si="1"/>
        <v>4028</v>
      </c>
    </row>
    <row r="33" spans="1:8" x14ac:dyDescent="0.3">
      <c r="A33" s="8">
        <v>43112.243032407408</v>
      </c>
      <c r="B33" s="20" t="s">
        <v>675</v>
      </c>
      <c r="C33" s="20" t="s">
        <v>728</v>
      </c>
      <c r="D33" s="137">
        <v>3030000</v>
      </c>
      <c r="E33" s="20" t="s">
        <v>729</v>
      </c>
      <c r="F33" s="20" t="s">
        <v>715</v>
      </c>
      <c r="G33" s="8" t="str">
        <f t="shared" si="0"/>
        <v>BIRENBAUM THOMAS</v>
      </c>
      <c r="H33" s="20" t="str">
        <f t="shared" si="1"/>
        <v>4051</v>
      </c>
    </row>
    <row r="34" spans="1:8" x14ac:dyDescent="0.3">
      <c r="A34" s="8">
        <v>43112.244780092595</v>
      </c>
      <c r="B34" s="20" t="s">
        <v>359</v>
      </c>
      <c r="C34" s="20" t="s">
        <v>730</v>
      </c>
      <c r="D34" s="137">
        <v>940000</v>
      </c>
      <c r="E34" s="20" t="s">
        <v>498</v>
      </c>
      <c r="F34" s="20" t="s">
        <v>499</v>
      </c>
      <c r="G34" s="8" t="str">
        <f t="shared" si="0"/>
        <v>BONDS REYNALDO</v>
      </c>
      <c r="H34" s="20" t="str">
        <f t="shared" si="1"/>
        <v>4018</v>
      </c>
    </row>
    <row r="35" spans="1:8" x14ac:dyDescent="0.3">
      <c r="A35" s="8">
        <v>43112.246932870374</v>
      </c>
      <c r="B35" s="20" t="s">
        <v>566</v>
      </c>
      <c r="C35" s="20" t="s">
        <v>731</v>
      </c>
      <c r="D35" s="137">
        <v>3040000</v>
      </c>
      <c r="E35" s="20" t="s">
        <v>367</v>
      </c>
      <c r="F35" s="20" t="s">
        <v>460</v>
      </c>
      <c r="G35" s="8" t="str">
        <f t="shared" si="0"/>
        <v>WILLIAMS DONTE</v>
      </c>
      <c r="H35" s="20" t="str">
        <f t="shared" si="1"/>
        <v>4015</v>
      </c>
    </row>
    <row r="36" spans="1:8" x14ac:dyDescent="0.3">
      <c r="A36" s="8">
        <v>43112.252280092594</v>
      </c>
      <c r="B36" s="20" t="s">
        <v>683</v>
      </c>
      <c r="C36" s="20" t="s">
        <v>732</v>
      </c>
      <c r="D36" s="137">
        <v>3030000</v>
      </c>
      <c r="E36" s="20" t="s">
        <v>729</v>
      </c>
      <c r="F36" s="20" t="s">
        <v>715</v>
      </c>
      <c r="G36" s="8" t="str">
        <f t="shared" si="0"/>
        <v>BIRENBAUM THOMAS</v>
      </c>
      <c r="H36" s="20" t="str">
        <f t="shared" si="1"/>
        <v>4052</v>
      </c>
    </row>
    <row r="37" spans="1:8" x14ac:dyDescent="0.3">
      <c r="A37" s="8">
        <v>43112.255266203705</v>
      </c>
      <c r="B37" s="20" t="s">
        <v>563</v>
      </c>
      <c r="C37" s="20" t="s">
        <v>733</v>
      </c>
      <c r="D37" s="137">
        <v>1100000</v>
      </c>
      <c r="E37" s="20" t="s">
        <v>518</v>
      </c>
      <c r="F37" s="20" t="s">
        <v>519</v>
      </c>
      <c r="G37" s="8" t="str">
        <f t="shared" si="0"/>
        <v>GEBRETEKLE DAGNEW</v>
      </c>
      <c r="H37" s="20" t="str">
        <f t="shared" si="1"/>
        <v>4006</v>
      </c>
    </row>
    <row r="38" spans="1:8" x14ac:dyDescent="0.3">
      <c r="A38" s="8">
        <v>43112.256678240738</v>
      </c>
      <c r="B38" s="20" t="s">
        <v>677</v>
      </c>
      <c r="C38" s="20" t="s">
        <v>734</v>
      </c>
      <c r="D38" s="137">
        <v>2560000</v>
      </c>
      <c r="E38" s="20" t="s">
        <v>714</v>
      </c>
      <c r="F38" s="20" t="s">
        <v>715</v>
      </c>
      <c r="G38" s="8" t="str">
        <f t="shared" si="0"/>
        <v>MACDONALD THOMAS</v>
      </c>
      <c r="H38" s="20" t="str">
        <f t="shared" si="1"/>
        <v>4059</v>
      </c>
    </row>
    <row r="39" spans="1:8" x14ac:dyDescent="0.3">
      <c r="A39" s="8">
        <v>43112.263310185182</v>
      </c>
      <c r="B39" s="20" t="s">
        <v>496</v>
      </c>
      <c r="C39" s="20" t="s">
        <v>735</v>
      </c>
      <c r="D39" s="137">
        <v>2010000</v>
      </c>
      <c r="E39" s="20" t="s">
        <v>571</v>
      </c>
      <c r="F39" s="20" t="s">
        <v>572</v>
      </c>
      <c r="G39" s="8" t="str">
        <f t="shared" si="0"/>
        <v>MAELZER KURT</v>
      </c>
      <c r="H39" s="20" t="str">
        <f t="shared" si="1"/>
        <v>4039</v>
      </c>
    </row>
    <row r="40" spans="1:8" x14ac:dyDescent="0.3">
      <c r="A40" s="8">
        <v>43112.265682870369</v>
      </c>
      <c r="B40" s="25" t="s">
        <v>711</v>
      </c>
      <c r="C40" s="20" t="s">
        <v>736</v>
      </c>
      <c r="D40" s="137">
        <v>2440000</v>
      </c>
      <c r="E40" s="20" t="s">
        <v>516</v>
      </c>
      <c r="F40" s="20" t="s">
        <v>517</v>
      </c>
      <c r="G40" s="8" t="str">
        <f t="shared" si="0"/>
        <v>LOPES KIMBERLY</v>
      </c>
      <c r="H40" s="20" t="str">
        <f t="shared" si="1"/>
        <v>4004</v>
      </c>
    </row>
    <row r="41" spans="1:8" x14ac:dyDescent="0.3">
      <c r="A41" s="8">
        <v>43112.26635416667</v>
      </c>
      <c r="B41" s="20" t="s">
        <v>691</v>
      </c>
      <c r="C41" s="20" t="s">
        <v>737</v>
      </c>
      <c r="D41" s="137">
        <v>1230000</v>
      </c>
      <c r="E41" s="20" t="s">
        <v>500</v>
      </c>
      <c r="F41" s="20" t="s">
        <v>501</v>
      </c>
      <c r="G41" s="8" t="str">
        <f t="shared" si="0"/>
        <v>YANAI IAN</v>
      </c>
      <c r="H41" s="20" t="str">
        <f t="shared" si="1"/>
        <v>4027</v>
      </c>
    </row>
    <row r="42" spans="1:8" x14ac:dyDescent="0.3">
      <c r="A42" s="8">
        <v>43112.267696759256</v>
      </c>
      <c r="B42" s="20" t="s">
        <v>675</v>
      </c>
      <c r="C42" s="20" t="s">
        <v>738</v>
      </c>
      <c r="D42" s="137">
        <v>3030000</v>
      </c>
      <c r="E42" s="20" t="s">
        <v>729</v>
      </c>
      <c r="F42" s="20" t="s">
        <v>715</v>
      </c>
      <c r="G42" s="8" t="str">
        <f t="shared" si="0"/>
        <v>BIRENBAUM THOMAS</v>
      </c>
      <c r="H42" s="20" t="str">
        <f t="shared" si="1"/>
        <v>4051</v>
      </c>
    </row>
    <row r="43" spans="1:8" x14ac:dyDescent="0.3">
      <c r="A43" s="8">
        <v>43112.274884259263</v>
      </c>
      <c r="B43" s="20" t="s">
        <v>471</v>
      </c>
      <c r="C43" s="20" t="s">
        <v>739</v>
      </c>
      <c r="D43" s="137">
        <v>1830000</v>
      </c>
      <c r="E43" s="20" t="s">
        <v>345</v>
      </c>
      <c r="F43" s="20" t="s">
        <v>346</v>
      </c>
      <c r="G43" s="8" t="str">
        <f t="shared" si="0"/>
        <v>YORK EDGAR</v>
      </c>
      <c r="H43" s="20" t="str">
        <f t="shared" si="1"/>
        <v>4026</v>
      </c>
    </row>
    <row r="44" spans="1:8" x14ac:dyDescent="0.3">
      <c r="A44" s="8">
        <v>43112.274895833332</v>
      </c>
      <c r="B44" s="20" t="s">
        <v>573</v>
      </c>
      <c r="C44" s="20" t="s">
        <v>740</v>
      </c>
      <c r="D44" s="137">
        <v>3040000</v>
      </c>
      <c r="E44" s="20" t="s">
        <v>367</v>
      </c>
      <c r="F44" s="20" t="s">
        <v>460</v>
      </c>
      <c r="G44" s="8" t="str">
        <f t="shared" si="0"/>
        <v>WILLIAMS DONTE</v>
      </c>
      <c r="H44" s="20" t="str">
        <f t="shared" si="1"/>
        <v>4016</v>
      </c>
    </row>
    <row r="45" spans="1:8" x14ac:dyDescent="0.3">
      <c r="A45" s="8">
        <v>43112.286678240744</v>
      </c>
      <c r="B45" s="20" t="s">
        <v>560</v>
      </c>
      <c r="C45" s="20" t="s">
        <v>741</v>
      </c>
      <c r="D45" s="137">
        <v>1100000</v>
      </c>
      <c r="E45" s="20" t="s">
        <v>518</v>
      </c>
      <c r="F45" s="20" t="s">
        <v>519</v>
      </c>
      <c r="G45" s="8" t="str">
        <f t="shared" si="0"/>
        <v>GEBRETEKLE DAGNEW</v>
      </c>
      <c r="H45" s="20" t="str">
        <f t="shared" si="1"/>
        <v>4005</v>
      </c>
    </row>
    <row r="46" spans="1:8" x14ac:dyDescent="0.3">
      <c r="A46" s="8">
        <v>43112.288402777776</v>
      </c>
      <c r="B46" s="20" t="s">
        <v>356</v>
      </c>
      <c r="C46" s="20" t="s">
        <v>742</v>
      </c>
      <c r="D46" s="137">
        <v>1340000</v>
      </c>
      <c r="E46" s="20" t="s">
        <v>743</v>
      </c>
      <c r="F46" s="20" t="s">
        <v>744</v>
      </c>
      <c r="G46" s="8" t="str">
        <f t="shared" si="0"/>
        <v>BEAM ROSS</v>
      </c>
      <c r="H46" s="20" t="str">
        <f t="shared" si="1"/>
        <v>4060</v>
      </c>
    </row>
    <row r="47" spans="1:8" x14ac:dyDescent="0.3">
      <c r="A47" s="8">
        <v>43112.289293981485</v>
      </c>
      <c r="B47" s="20" t="s">
        <v>566</v>
      </c>
      <c r="C47" s="20" t="s">
        <v>745</v>
      </c>
      <c r="D47" s="137">
        <v>3040000</v>
      </c>
      <c r="E47" s="20" t="s">
        <v>367</v>
      </c>
      <c r="F47" s="20" t="s">
        <v>460</v>
      </c>
      <c r="G47" s="8" t="str">
        <f t="shared" si="0"/>
        <v>WILLIAMS DONTE</v>
      </c>
      <c r="H47" s="20" t="str">
        <f t="shared" si="1"/>
        <v>4015</v>
      </c>
    </row>
    <row r="48" spans="1:8" x14ac:dyDescent="0.3">
      <c r="A48" s="8">
        <v>43112.289768518516</v>
      </c>
      <c r="B48" s="20" t="s">
        <v>361</v>
      </c>
      <c r="C48" s="20" t="s">
        <v>746</v>
      </c>
      <c r="D48" s="137">
        <v>940000</v>
      </c>
      <c r="E48" s="20" t="s">
        <v>498</v>
      </c>
      <c r="F48" s="20" t="s">
        <v>499</v>
      </c>
      <c r="G48" s="8" t="str">
        <f t="shared" si="0"/>
        <v>BONDS REYNALDO</v>
      </c>
      <c r="H48" s="20" t="str">
        <f t="shared" si="1"/>
        <v>4017</v>
      </c>
    </row>
    <row r="49" spans="1:8" x14ac:dyDescent="0.3">
      <c r="A49" s="8">
        <v>43112.291689814818</v>
      </c>
      <c r="B49" s="20" t="s">
        <v>683</v>
      </c>
      <c r="C49" s="20" t="s">
        <v>747</v>
      </c>
      <c r="D49" s="137">
        <v>3030000</v>
      </c>
      <c r="E49" s="20" t="s">
        <v>729</v>
      </c>
      <c r="F49" s="20" t="s">
        <v>715</v>
      </c>
      <c r="G49" s="8" t="str">
        <f t="shared" si="0"/>
        <v>BIRENBAUM THOMAS</v>
      </c>
      <c r="H49" s="20" t="str">
        <f t="shared" si="1"/>
        <v>4052</v>
      </c>
    </row>
    <row r="50" spans="1:8" x14ac:dyDescent="0.3">
      <c r="A50" s="8">
        <v>43112.29787037037</v>
      </c>
      <c r="B50" s="20" t="s">
        <v>497</v>
      </c>
      <c r="C50" s="20" t="s">
        <v>748</v>
      </c>
      <c r="D50" s="137">
        <v>2010000</v>
      </c>
      <c r="E50" s="20" t="s">
        <v>571</v>
      </c>
      <c r="F50" s="20" t="s">
        <v>572</v>
      </c>
      <c r="G50" s="8" t="str">
        <f t="shared" si="0"/>
        <v>MAELZER KURT</v>
      </c>
      <c r="H50" s="20" t="str">
        <f t="shared" si="1"/>
        <v>4040</v>
      </c>
    </row>
    <row r="51" spans="1:8" x14ac:dyDescent="0.3">
      <c r="A51" s="8">
        <v>43112.306585648148</v>
      </c>
      <c r="B51" s="20" t="s">
        <v>669</v>
      </c>
      <c r="C51" s="20" t="s">
        <v>670</v>
      </c>
      <c r="D51" s="137">
        <v>2440000</v>
      </c>
      <c r="E51" s="20" t="s">
        <v>516</v>
      </c>
      <c r="F51" s="20" t="s">
        <v>517</v>
      </c>
      <c r="G51" s="8" t="str">
        <f t="shared" si="0"/>
        <v>LOPES KIMBERLY</v>
      </c>
      <c r="H51" s="20" t="str">
        <f t="shared" si="1"/>
        <v>4003</v>
      </c>
    </row>
    <row r="52" spans="1:8" x14ac:dyDescent="0.3">
      <c r="A52" s="8">
        <v>43112.307280092595</v>
      </c>
      <c r="B52" s="20" t="s">
        <v>470</v>
      </c>
      <c r="C52" s="20" t="s">
        <v>749</v>
      </c>
      <c r="D52" s="137">
        <v>1830000</v>
      </c>
      <c r="E52" s="20" t="s">
        <v>345</v>
      </c>
      <c r="F52" s="20" t="s">
        <v>346</v>
      </c>
      <c r="G52" s="8" t="str">
        <f t="shared" si="0"/>
        <v>YORK EDGAR</v>
      </c>
      <c r="H52" s="20" t="str">
        <f t="shared" si="1"/>
        <v>4025</v>
      </c>
    </row>
    <row r="53" spans="1:8" x14ac:dyDescent="0.3">
      <c r="A53" s="8">
        <v>43112.307743055557</v>
      </c>
      <c r="B53" s="20" t="s">
        <v>389</v>
      </c>
      <c r="C53" s="20" t="s">
        <v>750</v>
      </c>
      <c r="D53" s="137">
        <v>1230000</v>
      </c>
      <c r="E53" s="20" t="s">
        <v>500</v>
      </c>
      <c r="F53" s="20" t="s">
        <v>501</v>
      </c>
      <c r="G53" s="8" t="str">
        <f t="shared" si="0"/>
        <v>YANAI IAN</v>
      </c>
      <c r="H53" s="20" t="str">
        <f t="shared" si="1"/>
        <v>4028</v>
      </c>
    </row>
    <row r="54" spans="1:8" x14ac:dyDescent="0.3">
      <c r="A54" s="8">
        <v>43112.308900462966</v>
      </c>
      <c r="B54" s="20" t="s">
        <v>675</v>
      </c>
      <c r="C54" s="20" t="s">
        <v>751</v>
      </c>
      <c r="D54" s="137">
        <v>3030000</v>
      </c>
      <c r="E54" s="20" t="s">
        <v>729</v>
      </c>
      <c r="F54" s="20" t="s">
        <v>715</v>
      </c>
      <c r="G54" s="8" t="str">
        <f t="shared" si="0"/>
        <v>BIRENBAUM THOMAS</v>
      </c>
      <c r="H54" s="20" t="str">
        <f t="shared" si="1"/>
        <v>4051</v>
      </c>
    </row>
    <row r="55" spans="1:8" x14ac:dyDescent="0.3">
      <c r="A55" s="8">
        <v>43112.315960648149</v>
      </c>
      <c r="B55" s="20" t="s">
        <v>573</v>
      </c>
      <c r="C55" s="20" t="s">
        <v>752</v>
      </c>
      <c r="D55" s="137">
        <v>3040000</v>
      </c>
      <c r="E55" s="20" t="s">
        <v>367</v>
      </c>
      <c r="F55" s="20" t="s">
        <v>460</v>
      </c>
      <c r="G55" s="8" t="str">
        <f t="shared" si="0"/>
        <v>WILLIAMS DONTE</v>
      </c>
      <c r="H55" s="20" t="str">
        <f t="shared" si="1"/>
        <v>4016</v>
      </c>
    </row>
    <row r="56" spans="1:8" x14ac:dyDescent="0.3">
      <c r="A56" s="8">
        <v>43112.319247685184</v>
      </c>
      <c r="B56" s="20" t="s">
        <v>359</v>
      </c>
      <c r="C56" s="20" t="s">
        <v>753</v>
      </c>
      <c r="D56" s="137">
        <v>1760000</v>
      </c>
      <c r="E56" s="20" t="s">
        <v>574</v>
      </c>
      <c r="F56" s="20" t="s">
        <v>575</v>
      </c>
      <c r="G56" s="8" t="str">
        <f t="shared" si="0"/>
        <v>STRICKLAND EVAN</v>
      </c>
      <c r="H56" s="20" t="str">
        <f t="shared" si="1"/>
        <v>4018</v>
      </c>
    </row>
    <row r="57" spans="1:8" x14ac:dyDescent="0.3">
      <c r="A57" s="8">
        <v>43112.321701388886</v>
      </c>
      <c r="B57" s="20" t="s">
        <v>677</v>
      </c>
      <c r="C57" s="20" t="s">
        <v>754</v>
      </c>
      <c r="D57" s="137">
        <v>1340000</v>
      </c>
      <c r="E57" s="20" t="s">
        <v>743</v>
      </c>
      <c r="F57" s="20" t="s">
        <v>744</v>
      </c>
      <c r="G57" s="8" t="str">
        <f t="shared" si="0"/>
        <v>BEAM ROSS</v>
      </c>
      <c r="H57" s="20" t="str">
        <f t="shared" si="1"/>
        <v>4059</v>
      </c>
    </row>
    <row r="58" spans="1:8" x14ac:dyDescent="0.3">
      <c r="A58" s="8">
        <v>43112.328229166669</v>
      </c>
      <c r="B58" s="20" t="s">
        <v>563</v>
      </c>
      <c r="C58" s="20" t="s">
        <v>755</v>
      </c>
      <c r="D58" s="137">
        <v>3260000</v>
      </c>
      <c r="E58" s="20" t="s">
        <v>756</v>
      </c>
      <c r="F58" s="20" t="s">
        <v>757</v>
      </c>
      <c r="G58" s="8" t="str">
        <f t="shared" si="0"/>
        <v>PAGE MARCUS</v>
      </c>
      <c r="H58" s="20" t="str">
        <f t="shared" si="1"/>
        <v>4006</v>
      </c>
    </row>
    <row r="59" spans="1:8" x14ac:dyDescent="0.3">
      <c r="A59" s="8">
        <v>43112.331111111111</v>
      </c>
      <c r="B59" s="20" t="s">
        <v>566</v>
      </c>
      <c r="C59" s="20" t="s">
        <v>758</v>
      </c>
      <c r="D59" s="137">
        <v>3040000</v>
      </c>
      <c r="E59" s="20" t="s">
        <v>367</v>
      </c>
      <c r="F59" s="20" t="s">
        <v>460</v>
      </c>
      <c r="G59" s="8" t="str">
        <f t="shared" si="0"/>
        <v>WILLIAMS DONTE</v>
      </c>
      <c r="H59" s="20" t="str">
        <f t="shared" si="1"/>
        <v>4015</v>
      </c>
    </row>
    <row r="60" spans="1:8" x14ac:dyDescent="0.3">
      <c r="A60" s="8">
        <v>43112.331331018519</v>
      </c>
      <c r="B60" s="20" t="s">
        <v>683</v>
      </c>
      <c r="C60" s="20" t="s">
        <v>759</v>
      </c>
      <c r="D60" s="137">
        <v>3030000</v>
      </c>
      <c r="E60" s="20" t="s">
        <v>729</v>
      </c>
      <c r="F60" s="20" t="s">
        <v>715</v>
      </c>
      <c r="G60" s="8" t="str">
        <f t="shared" si="0"/>
        <v>BIRENBAUM THOMAS</v>
      </c>
      <c r="H60" s="20" t="str">
        <f t="shared" si="1"/>
        <v>4052</v>
      </c>
    </row>
    <row r="61" spans="1:8" x14ac:dyDescent="0.3">
      <c r="A61" s="8">
        <v>43112.33834490741</v>
      </c>
      <c r="B61" s="20" t="s">
        <v>691</v>
      </c>
      <c r="C61" s="20" t="s">
        <v>760</v>
      </c>
      <c r="D61" s="137">
        <v>1230000</v>
      </c>
      <c r="E61" s="20" t="s">
        <v>500</v>
      </c>
      <c r="F61" s="20" t="s">
        <v>501</v>
      </c>
      <c r="G61" s="8" t="str">
        <f t="shared" si="0"/>
        <v>YANAI IAN</v>
      </c>
      <c r="H61" s="20" t="str">
        <f t="shared" si="1"/>
        <v>4027</v>
      </c>
    </row>
    <row r="62" spans="1:8" x14ac:dyDescent="0.3">
      <c r="A62" s="8">
        <v>43112.339062500003</v>
      </c>
      <c r="B62" s="20" t="s">
        <v>711</v>
      </c>
      <c r="C62" s="20" t="s">
        <v>761</v>
      </c>
      <c r="D62" s="137">
        <v>2440000</v>
      </c>
      <c r="E62" s="20" t="s">
        <v>516</v>
      </c>
      <c r="F62" s="20" t="s">
        <v>517</v>
      </c>
      <c r="G62" s="8" t="str">
        <f t="shared" si="0"/>
        <v>LOPES KIMBERLY</v>
      </c>
      <c r="H62" s="20" t="str">
        <f t="shared" si="1"/>
        <v>4004</v>
      </c>
    </row>
    <row r="63" spans="1:8" x14ac:dyDescent="0.3">
      <c r="A63" s="8">
        <v>43112.339479166665</v>
      </c>
      <c r="B63" s="20" t="s">
        <v>496</v>
      </c>
      <c r="C63" s="20" t="s">
        <v>762</v>
      </c>
      <c r="D63" s="137">
        <v>2010000</v>
      </c>
      <c r="E63" s="20" t="s">
        <v>571</v>
      </c>
      <c r="F63" s="20" t="s">
        <v>572</v>
      </c>
      <c r="G63" s="8" t="str">
        <f t="shared" si="0"/>
        <v>MAELZER KURT</v>
      </c>
      <c r="H63" s="20" t="str">
        <f t="shared" si="1"/>
        <v>4039</v>
      </c>
    </row>
    <row r="64" spans="1:8" x14ac:dyDescent="0.3">
      <c r="A64" s="26">
        <v>43112.347511574073</v>
      </c>
      <c r="B64" s="20" t="s">
        <v>471</v>
      </c>
      <c r="C64" s="20" t="s">
        <v>763</v>
      </c>
      <c r="D64" s="137">
        <v>1830000</v>
      </c>
      <c r="E64" s="20" t="s">
        <v>345</v>
      </c>
      <c r="F64" s="20" t="s">
        <v>346</v>
      </c>
      <c r="G64" s="8" t="str">
        <f t="shared" si="0"/>
        <v>YORK EDGAR</v>
      </c>
      <c r="H64" s="20" t="str">
        <f t="shared" si="1"/>
        <v>4026</v>
      </c>
    </row>
    <row r="65" spans="1:8" x14ac:dyDescent="0.3">
      <c r="A65" s="8">
        <v>43112.350682870368</v>
      </c>
      <c r="B65" s="20" t="s">
        <v>675</v>
      </c>
      <c r="C65" s="20" t="s">
        <v>764</v>
      </c>
      <c r="D65" s="137">
        <v>3030000</v>
      </c>
      <c r="E65" s="20" t="s">
        <v>729</v>
      </c>
      <c r="F65" s="20" t="s">
        <v>715</v>
      </c>
      <c r="G65" s="8" t="str">
        <f t="shared" si="0"/>
        <v>BIRENBAUM THOMAS</v>
      </c>
      <c r="H65" s="20" t="str">
        <f t="shared" si="1"/>
        <v>4051</v>
      </c>
    </row>
    <row r="66" spans="1:8" x14ac:dyDescent="0.3">
      <c r="A66" s="8">
        <v>43112.352581018517</v>
      </c>
      <c r="B66" s="20" t="s">
        <v>361</v>
      </c>
      <c r="C66" s="20" t="s">
        <v>671</v>
      </c>
      <c r="D66" s="137">
        <v>1760000</v>
      </c>
      <c r="E66" s="20" t="s">
        <v>574</v>
      </c>
      <c r="F66" s="20" t="s">
        <v>575</v>
      </c>
      <c r="G66" s="8" t="str">
        <f t="shared" si="0"/>
        <v>STRICKLAND EVAN</v>
      </c>
      <c r="H66" s="20" t="str">
        <f t="shared" si="1"/>
        <v>4017</v>
      </c>
    </row>
    <row r="67" spans="1:8" x14ac:dyDescent="0.3">
      <c r="A67" s="8">
        <v>43112.354305555556</v>
      </c>
      <c r="B67" s="20" t="s">
        <v>573</v>
      </c>
      <c r="C67" s="20" t="s">
        <v>765</v>
      </c>
      <c r="D67" s="137">
        <v>3040000</v>
      </c>
      <c r="E67" s="20" t="s">
        <v>367</v>
      </c>
      <c r="F67" s="20" t="s">
        <v>460</v>
      </c>
      <c r="G67" s="8" t="str">
        <f t="shared" ref="G67:G130" si="2">E67&amp;" "&amp;F67</f>
        <v>WILLIAMS DONTE</v>
      </c>
      <c r="H67" s="20" t="str">
        <f t="shared" ref="H67:H130" si="3">MID(B67,13,4)</f>
        <v>4016</v>
      </c>
    </row>
    <row r="68" spans="1:8" x14ac:dyDescent="0.3">
      <c r="A68" s="8">
        <v>43112.358877314815</v>
      </c>
      <c r="B68" s="20" t="s">
        <v>560</v>
      </c>
      <c r="C68" s="20" t="s">
        <v>766</v>
      </c>
      <c r="D68" s="137">
        <v>3260000</v>
      </c>
      <c r="E68" s="20" t="s">
        <v>756</v>
      </c>
      <c r="F68" s="20" t="s">
        <v>757</v>
      </c>
      <c r="G68" s="8" t="str">
        <f t="shared" si="2"/>
        <v>PAGE MARCUS</v>
      </c>
      <c r="H68" s="20" t="str">
        <f t="shared" si="3"/>
        <v>4005</v>
      </c>
    </row>
    <row r="69" spans="1:8" x14ac:dyDescent="0.3">
      <c r="A69" s="8">
        <v>43112.361006944448</v>
      </c>
      <c r="B69" s="20" t="s">
        <v>356</v>
      </c>
      <c r="C69" s="20" t="s">
        <v>767</v>
      </c>
      <c r="D69" s="137">
        <v>1340000</v>
      </c>
      <c r="E69" s="20" t="s">
        <v>743</v>
      </c>
      <c r="F69" s="20" t="s">
        <v>744</v>
      </c>
      <c r="G69" s="8" t="str">
        <f t="shared" si="2"/>
        <v>BEAM ROSS</v>
      </c>
      <c r="H69" s="20" t="str">
        <f t="shared" si="3"/>
        <v>4060</v>
      </c>
    </row>
    <row r="70" spans="1:8" x14ac:dyDescent="0.3">
      <c r="A70" s="8">
        <v>43112.371435185189</v>
      </c>
      <c r="B70" s="20" t="s">
        <v>497</v>
      </c>
      <c r="C70" s="20" t="s">
        <v>672</v>
      </c>
      <c r="D70" s="137">
        <v>3180000</v>
      </c>
      <c r="E70" s="20" t="s">
        <v>520</v>
      </c>
      <c r="F70" s="20" t="s">
        <v>521</v>
      </c>
      <c r="G70" s="8" t="str">
        <f t="shared" si="2"/>
        <v>HUFFSMITH MONTY</v>
      </c>
      <c r="H70" s="20" t="str">
        <f t="shared" si="3"/>
        <v>4040</v>
      </c>
    </row>
    <row r="71" spans="1:8" x14ac:dyDescent="0.3">
      <c r="A71" s="8">
        <v>43112.373460648145</v>
      </c>
      <c r="B71" s="20" t="s">
        <v>669</v>
      </c>
      <c r="C71" s="20" t="s">
        <v>673</v>
      </c>
      <c r="D71" s="137">
        <v>2440000</v>
      </c>
      <c r="E71" s="20" t="s">
        <v>516</v>
      </c>
      <c r="F71" s="20" t="s">
        <v>517</v>
      </c>
      <c r="G71" s="8" t="str">
        <f t="shared" si="2"/>
        <v>LOPES KIMBERLY</v>
      </c>
      <c r="H71" s="20" t="str">
        <f t="shared" si="3"/>
        <v>4003</v>
      </c>
    </row>
    <row r="72" spans="1:8" x14ac:dyDescent="0.3">
      <c r="A72" s="8">
        <v>43112.378958333335</v>
      </c>
      <c r="B72" s="20" t="s">
        <v>683</v>
      </c>
      <c r="C72" s="20" t="s">
        <v>768</v>
      </c>
      <c r="D72" s="137">
        <v>2010000</v>
      </c>
      <c r="E72" s="20" t="s">
        <v>571</v>
      </c>
      <c r="F72" s="20" t="s">
        <v>572</v>
      </c>
      <c r="G72" s="8" t="str">
        <f t="shared" si="2"/>
        <v>MAELZER KURT</v>
      </c>
      <c r="H72" s="20" t="str">
        <f t="shared" si="3"/>
        <v>4052</v>
      </c>
    </row>
    <row r="73" spans="1:8" x14ac:dyDescent="0.3">
      <c r="A73" s="8">
        <v>43112.380937499998</v>
      </c>
      <c r="B73" s="20" t="s">
        <v>470</v>
      </c>
      <c r="C73" s="20" t="s">
        <v>769</v>
      </c>
      <c r="D73" s="137">
        <v>1830000</v>
      </c>
      <c r="E73" s="20" t="s">
        <v>345</v>
      </c>
      <c r="F73" s="20" t="s">
        <v>346</v>
      </c>
      <c r="G73" s="8" t="str">
        <f t="shared" si="2"/>
        <v>YORK EDGAR</v>
      </c>
      <c r="H73" s="20" t="str">
        <f t="shared" si="3"/>
        <v>4025</v>
      </c>
    </row>
    <row r="74" spans="1:8" x14ac:dyDescent="0.3">
      <c r="A74" s="8">
        <v>43112.383020833331</v>
      </c>
      <c r="B74" s="20" t="s">
        <v>389</v>
      </c>
      <c r="C74" s="20" t="s">
        <v>770</v>
      </c>
      <c r="D74" s="137">
        <v>1230000</v>
      </c>
      <c r="E74" s="20" t="s">
        <v>500</v>
      </c>
      <c r="F74" s="20" t="s">
        <v>501</v>
      </c>
      <c r="G74" s="8" t="str">
        <f t="shared" si="2"/>
        <v>YANAI IAN</v>
      </c>
      <c r="H74" s="20" t="str">
        <f t="shared" si="3"/>
        <v>4028</v>
      </c>
    </row>
    <row r="75" spans="1:8" x14ac:dyDescent="0.3">
      <c r="A75" s="8">
        <v>43112.391041666669</v>
      </c>
      <c r="B75" s="20" t="s">
        <v>677</v>
      </c>
      <c r="C75" s="20" t="s">
        <v>771</v>
      </c>
      <c r="D75" s="137">
        <v>1340000</v>
      </c>
      <c r="E75" s="20" t="s">
        <v>743</v>
      </c>
      <c r="F75" s="20" t="s">
        <v>744</v>
      </c>
      <c r="G75" s="8" t="str">
        <f t="shared" si="2"/>
        <v>BEAM ROSS</v>
      </c>
      <c r="H75" s="20" t="str">
        <f t="shared" si="3"/>
        <v>4059</v>
      </c>
    </row>
    <row r="76" spans="1:8" x14ac:dyDescent="0.3">
      <c r="A76" s="8">
        <v>43112.391516203701</v>
      </c>
      <c r="B76" s="20" t="s">
        <v>359</v>
      </c>
      <c r="C76" s="20" t="s">
        <v>772</v>
      </c>
      <c r="D76" s="137">
        <v>940000</v>
      </c>
      <c r="E76" s="20" t="s">
        <v>498</v>
      </c>
      <c r="F76" s="20" t="s">
        <v>499</v>
      </c>
      <c r="G76" s="8" t="str">
        <f t="shared" si="2"/>
        <v>BONDS REYNALDO</v>
      </c>
      <c r="H76" s="20" t="str">
        <f t="shared" si="3"/>
        <v>4018</v>
      </c>
    </row>
    <row r="77" spans="1:8" x14ac:dyDescent="0.3">
      <c r="A77" s="8">
        <v>43112.393912037034</v>
      </c>
      <c r="B77" s="20" t="s">
        <v>675</v>
      </c>
      <c r="C77" s="20" t="s">
        <v>773</v>
      </c>
      <c r="D77" s="137">
        <v>2010000</v>
      </c>
      <c r="E77" s="20" t="s">
        <v>571</v>
      </c>
      <c r="F77" s="20" t="s">
        <v>572</v>
      </c>
      <c r="G77" s="8" t="str">
        <f t="shared" si="2"/>
        <v>MAELZER KURT</v>
      </c>
      <c r="H77" s="20" t="str">
        <f t="shared" si="3"/>
        <v>4051</v>
      </c>
    </row>
    <row r="78" spans="1:8" x14ac:dyDescent="0.3">
      <c r="A78" s="8">
        <v>43112.401307870372</v>
      </c>
      <c r="B78" s="20" t="s">
        <v>563</v>
      </c>
      <c r="C78" s="20" t="s">
        <v>674</v>
      </c>
      <c r="D78" s="137">
        <v>1100000</v>
      </c>
      <c r="E78" s="20" t="s">
        <v>518</v>
      </c>
      <c r="F78" s="20" t="s">
        <v>519</v>
      </c>
      <c r="G78" s="8" t="str">
        <f t="shared" si="2"/>
        <v>GEBRETEKLE DAGNEW</v>
      </c>
      <c r="H78" s="20" t="str">
        <f t="shared" si="3"/>
        <v>4006</v>
      </c>
    </row>
    <row r="79" spans="1:8" x14ac:dyDescent="0.3">
      <c r="A79" s="8">
        <v>43112.403055555558</v>
      </c>
      <c r="B79" s="20" t="s">
        <v>496</v>
      </c>
      <c r="C79" s="20" t="s">
        <v>774</v>
      </c>
      <c r="D79" s="137">
        <v>3180000</v>
      </c>
      <c r="E79" s="20" t="s">
        <v>520</v>
      </c>
      <c r="F79" s="20" t="s">
        <v>521</v>
      </c>
      <c r="G79" s="8" t="str">
        <f t="shared" si="2"/>
        <v>HUFFSMITH MONTY</v>
      </c>
      <c r="H79" s="20" t="str">
        <f t="shared" si="3"/>
        <v>4039</v>
      </c>
    </row>
    <row r="80" spans="1:8" x14ac:dyDescent="0.3">
      <c r="A80" s="8">
        <v>43112.411620370367</v>
      </c>
      <c r="B80" s="20" t="s">
        <v>711</v>
      </c>
      <c r="C80" s="20" t="s">
        <v>775</v>
      </c>
      <c r="D80" s="137">
        <v>2440000</v>
      </c>
      <c r="E80" s="20" t="s">
        <v>516</v>
      </c>
      <c r="F80" s="20" t="s">
        <v>517</v>
      </c>
      <c r="G80" s="8" t="str">
        <f t="shared" si="2"/>
        <v>LOPES KIMBERLY</v>
      </c>
      <c r="H80" s="20" t="str">
        <f t="shared" si="3"/>
        <v>4004</v>
      </c>
    </row>
    <row r="81" spans="1:8" x14ac:dyDescent="0.3">
      <c r="A81" s="8">
        <v>43112.41207175926</v>
      </c>
      <c r="B81" s="20" t="s">
        <v>691</v>
      </c>
      <c r="C81" s="20" t="s">
        <v>776</v>
      </c>
      <c r="D81" s="137">
        <v>1230000</v>
      </c>
      <c r="E81" s="20" t="s">
        <v>500</v>
      </c>
      <c r="F81" s="20" t="s">
        <v>501</v>
      </c>
      <c r="G81" s="8" t="str">
        <f t="shared" si="2"/>
        <v>YANAI IAN</v>
      </c>
      <c r="H81" s="20" t="str">
        <f t="shared" si="3"/>
        <v>4027</v>
      </c>
    </row>
    <row r="82" spans="1:8" x14ac:dyDescent="0.3">
      <c r="A82" s="8">
        <v>43112.417673611111</v>
      </c>
      <c r="B82" s="20" t="s">
        <v>683</v>
      </c>
      <c r="C82" s="20" t="s">
        <v>777</v>
      </c>
      <c r="D82" s="137">
        <v>2010000</v>
      </c>
      <c r="E82" s="20" t="s">
        <v>571</v>
      </c>
      <c r="F82" s="20" t="s">
        <v>572</v>
      </c>
      <c r="G82" s="8" t="str">
        <f t="shared" si="2"/>
        <v>MAELZER KURT</v>
      </c>
      <c r="H82" s="20" t="str">
        <f t="shared" si="3"/>
        <v>4052</v>
      </c>
    </row>
    <row r="83" spans="1:8" x14ac:dyDescent="0.3">
      <c r="A83" s="8">
        <v>43112.423518518517</v>
      </c>
      <c r="B83" s="20" t="s">
        <v>471</v>
      </c>
      <c r="C83" s="20" t="s">
        <v>778</v>
      </c>
      <c r="D83" s="137">
        <v>3040000</v>
      </c>
      <c r="E83" s="20" t="s">
        <v>367</v>
      </c>
      <c r="F83" s="20" t="s">
        <v>460</v>
      </c>
      <c r="G83" s="8" t="str">
        <f t="shared" si="2"/>
        <v>WILLIAMS DONTE</v>
      </c>
      <c r="H83" s="20" t="str">
        <f t="shared" si="3"/>
        <v>4026</v>
      </c>
    </row>
    <row r="84" spans="1:8" x14ac:dyDescent="0.3">
      <c r="A84" s="8">
        <v>43112.429259259261</v>
      </c>
      <c r="B84" s="20" t="s">
        <v>361</v>
      </c>
      <c r="C84" s="20" t="s">
        <v>779</v>
      </c>
      <c r="D84" s="137">
        <v>940000</v>
      </c>
      <c r="E84" s="20" t="s">
        <v>498</v>
      </c>
      <c r="F84" s="20" t="s">
        <v>499</v>
      </c>
      <c r="G84" s="8" t="str">
        <f t="shared" si="2"/>
        <v>BONDS REYNALDO</v>
      </c>
      <c r="H84" s="20" t="str">
        <f t="shared" si="3"/>
        <v>4017</v>
      </c>
    </row>
    <row r="85" spans="1:8" x14ac:dyDescent="0.3">
      <c r="A85" s="8">
        <v>43112.43409722222</v>
      </c>
      <c r="B85" s="20" t="s">
        <v>356</v>
      </c>
      <c r="C85" s="20" t="s">
        <v>780</v>
      </c>
      <c r="D85" s="137">
        <v>1340000</v>
      </c>
      <c r="E85" s="20" t="s">
        <v>743</v>
      </c>
      <c r="F85" s="20" t="s">
        <v>744</v>
      </c>
      <c r="G85" s="8" t="str">
        <f t="shared" si="2"/>
        <v>BEAM ROSS</v>
      </c>
      <c r="H85" s="20" t="str">
        <f t="shared" si="3"/>
        <v>4060</v>
      </c>
    </row>
    <row r="86" spans="1:8" x14ac:dyDescent="0.3">
      <c r="A86" s="8">
        <v>43112.43509259259</v>
      </c>
      <c r="B86" s="20" t="s">
        <v>675</v>
      </c>
      <c r="C86" s="20" t="s">
        <v>781</v>
      </c>
      <c r="D86" s="137">
        <v>2010000</v>
      </c>
      <c r="E86" s="20" t="s">
        <v>571</v>
      </c>
      <c r="F86" s="20" t="s">
        <v>572</v>
      </c>
      <c r="G86" s="8" t="str">
        <f t="shared" si="2"/>
        <v>MAELZER KURT</v>
      </c>
      <c r="H86" s="20" t="str">
        <f t="shared" si="3"/>
        <v>4051</v>
      </c>
    </row>
    <row r="87" spans="1:8" x14ac:dyDescent="0.3">
      <c r="A87" s="8">
        <v>43112.436481481483</v>
      </c>
      <c r="B87" s="20" t="s">
        <v>560</v>
      </c>
      <c r="C87" s="20" t="s">
        <v>782</v>
      </c>
      <c r="D87" s="137">
        <v>1100000</v>
      </c>
      <c r="E87" s="20" t="s">
        <v>518</v>
      </c>
      <c r="F87" s="20" t="s">
        <v>519</v>
      </c>
      <c r="G87" s="8" t="str">
        <f t="shared" si="2"/>
        <v>GEBRETEKLE DAGNEW</v>
      </c>
      <c r="H87" s="20" t="str">
        <f t="shared" si="3"/>
        <v>4005</v>
      </c>
    </row>
    <row r="88" spans="1:8" x14ac:dyDescent="0.3">
      <c r="A88" s="8">
        <v>43112.445520833331</v>
      </c>
      <c r="B88" s="20" t="s">
        <v>497</v>
      </c>
      <c r="C88" s="20" t="s">
        <v>783</v>
      </c>
      <c r="D88" s="137">
        <v>2550000</v>
      </c>
      <c r="E88" s="20" t="s">
        <v>576</v>
      </c>
      <c r="F88" s="20" t="s">
        <v>577</v>
      </c>
      <c r="G88" s="8" t="str">
        <f t="shared" si="2"/>
        <v>BADERTSCHER DIANE</v>
      </c>
      <c r="H88" s="20" t="str">
        <f t="shared" si="3"/>
        <v>4040</v>
      </c>
    </row>
    <row r="89" spans="1:8" x14ac:dyDescent="0.3">
      <c r="A89" s="8">
        <v>43112.453055555554</v>
      </c>
      <c r="B89" s="20" t="s">
        <v>669</v>
      </c>
      <c r="C89" s="20" t="s">
        <v>784</v>
      </c>
      <c r="D89" s="137">
        <v>2440000</v>
      </c>
      <c r="E89" s="20" t="s">
        <v>516</v>
      </c>
      <c r="F89" s="20" t="s">
        <v>517</v>
      </c>
      <c r="G89" s="8" t="str">
        <f t="shared" si="2"/>
        <v>LOPES KIMBERLY</v>
      </c>
      <c r="H89" s="20" t="str">
        <f t="shared" si="3"/>
        <v>4003</v>
      </c>
    </row>
    <row r="90" spans="1:8" x14ac:dyDescent="0.3">
      <c r="A90" s="8">
        <v>43112.45648148148</v>
      </c>
      <c r="B90" s="20" t="s">
        <v>389</v>
      </c>
      <c r="C90" s="20" t="s">
        <v>785</v>
      </c>
      <c r="D90" s="137">
        <v>1230000</v>
      </c>
      <c r="E90" s="20" t="s">
        <v>500</v>
      </c>
      <c r="F90" s="20" t="s">
        <v>501</v>
      </c>
      <c r="G90" s="8" t="str">
        <f t="shared" si="2"/>
        <v>YANAI IAN</v>
      </c>
      <c r="H90" s="20" t="str">
        <f t="shared" si="3"/>
        <v>4028</v>
      </c>
    </row>
    <row r="91" spans="1:8" x14ac:dyDescent="0.3">
      <c r="A91" s="8">
        <v>43112.457511574074</v>
      </c>
      <c r="B91" s="20" t="s">
        <v>683</v>
      </c>
      <c r="C91" s="20" t="s">
        <v>786</v>
      </c>
      <c r="D91" s="137">
        <v>3030000</v>
      </c>
      <c r="E91" s="20" t="s">
        <v>729</v>
      </c>
      <c r="F91" s="20" t="s">
        <v>715</v>
      </c>
      <c r="G91" s="8" t="str">
        <f t="shared" si="2"/>
        <v>BIRENBAUM THOMAS</v>
      </c>
      <c r="H91" s="20" t="str">
        <f t="shared" si="3"/>
        <v>4052</v>
      </c>
    </row>
    <row r="92" spans="1:8" x14ac:dyDescent="0.3">
      <c r="A92" s="8">
        <v>43112.463622685187</v>
      </c>
      <c r="B92" s="20" t="s">
        <v>677</v>
      </c>
      <c r="C92" s="20" t="s">
        <v>787</v>
      </c>
      <c r="D92" s="137">
        <v>1340000</v>
      </c>
      <c r="E92" s="20" t="s">
        <v>743</v>
      </c>
      <c r="F92" s="20" t="s">
        <v>744</v>
      </c>
      <c r="G92" s="8" t="str">
        <f t="shared" si="2"/>
        <v>BEAM ROSS</v>
      </c>
      <c r="H92" s="20" t="str">
        <f t="shared" si="3"/>
        <v>4059</v>
      </c>
    </row>
    <row r="93" spans="1:8" x14ac:dyDescent="0.3">
      <c r="A93" s="8">
        <v>43112.463784722226</v>
      </c>
      <c r="B93" s="20" t="s">
        <v>470</v>
      </c>
      <c r="C93" s="20" t="s">
        <v>788</v>
      </c>
      <c r="D93" s="137">
        <v>3040000</v>
      </c>
      <c r="E93" s="20" t="s">
        <v>367</v>
      </c>
      <c r="F93" s="20" t="s">
        <v>460</v>
      </c>
      <c r="G93" s="8" t="str">
        <f t="shared" si="2"/>
        <v>WILLIAMS DONTE</v>
      </c>
      <c r="H93" s="20" t="str">
        <f t="shared" si="3"/>
        <v>4025</v>
      </c>
    </row>
    <row r="94" spans="1:8" x14ac:dyDescent="0.3">
      <c r="A94" s="8">
        <v>43112.464583333334</v>
      </c>
      <c r="B94" s="20" t="s">
        <v>359</v>
      </c>
      <c r="C94" s="20" t="s">
        <v>789</v>
      </c>
      <c r="D94" s="137">
        <v>2630000</v>
      </c>
      <c r="E94" s="20" t="s">
        <v>371</v>
      </c>
      <c r="F94" s="20" t="s">
        <v>372</v>
      </c>
      <c r="G94" s="8" t="str">
        <f t="shared" si="2"/>
        <v>SAFIEF AEIMEN</v>
      </c>
      <c r="H94" s="20" t="str">
        <f t="shared" si="3"/>
        <v>4018</v>
      </c>
    </row>
    <row r="95" spans="1:8" x14ac:dyDescent="0.3">
      <c r="A95" s="8">
        <v>43112.474432870367</v>
      </c>
      <c r="B95" s="20" t="s">
        <v>563</v>
      </c>
      <c r="C95" s="20" t="s">
        <v>790</v>
      </c>
      <c r="D95" s="137">
        <v>1810000</v>
      </c>
      <c r="E95" s="20" t="s">
        <v>506</v>
      </c>
      <c r="F95" s="20" t="s">
        <v>393</v>
      </c>
      <c r="G95" s="8" t="str">
        <f t="shared" si="2"/>
        <v>NEWELL JAMES</v>
      </c>
      <c r="H95" s="20" t="str">
        <f t="shared" si="3"/>
        <v>4006</v>
      </c>
    </row>
    <row r="96" spans="1:8" x14ac:dyDescent="0.3">
      <c r="A96" s="8">
        <v>43112.475486111114</v>
      </c>
      <c r="B96" s="20" t="s">
        <v>675</v>
      </c>
      <c r="C96" s="20" t="s">
        <v>791</v>
      </c>
      <c r="D96" s="137">
        <v>3030000</v>
      </c>
      <c r="E96" s="20" t="s">
        <v>729</v>
      </c>
      <c r="F96" s="20" t="s">
        <v>715</v>
      </c>
      <c r="G96" s="8" t="str">
        <f t="shared" si="2"/>
        <v>BIRENBAUM THOMAS</v>
      </c>
      <c r="H96" s="20" t="str">
        <f t="shared" si="3"/>
        <v>4051</v>
      </c>
    </row>
    <row r="97" spans="1:8" x14ac:dyDescent="0.3">
      <c r="A97" s="8">
        <v>43112.483842592592</v>
      </c>
      <c r="B97" s="20" t="s">
        <v>711</v>
      </c>
      <c r="C97" s="20" t="s">
        <v>792</v>
      </c>
      <c r="D97" s="137">
        <v>3840000</v>
      </c>
      <c r="E97" s="20" t="s">
        <v>482</v>
      </c>
      <c r="F97" s="20" t="s">
        <v>483</v>
      </c>
      <c r="G97" s="8" t="str">
        <f t="shared" si="2"/>
        <v>LONG FULLER</v>
      </c>
      <c r="H97" s="20" t="str">
        <f t="shared" si="3"/>
        <v>4004</v>
      </c>
    </row>
    <row r="98" spans="1:8" x14ac:dyDescent="0.3">
      <c r="A98" s="8">
        <v>43112.485011574077</v>
      </c>
      <c r="B98" s="20" t="s">
        <v>691</v>
      </c>
      <c r="C98" s="20" t="s">
        <v>793</v>
      </c>
      <c r="D98" s="137">
        <v>1230000</v>
      </c>
      <c r="E98" s="20" t="s">
        <v>500</v>
      </c>
      <c r="F98" s="20" t="s">
        <v>501</v>
      </c>
      <c r="G98" s="8" t="str">
        <f t="shared" si="2"/>
        <v>YANAI IAN</v>
      </c>
      <c r="H98" s="20" t="str">
        <f t="shared" si="3"/>
        <v>4027</v>
      </c>
    </row>
    <row r="99" spans="1:8" x14ac:dyDescent="0.3">
      <c r="A99" s="8">
        <v>43112.485266203701</v>
      </c>
      <c r="B99" s="20" t="s">
        <v>496</v>
      </c>
      <c r="C99" s="20" t="s">
        <v>794</v>
      </c>
      <c r="D99" s="137">
        <v>2550000</v>
      </c>
      <c r="E99" s="20" t="s">
        <v>576</v>
      </c>
      <c r="F99" s="20" t="s">
        <v>577</v>
      </c>
      <c r="G99" s="8" t="str">
        <f t="shared" si="2"/>
        <v>BADERTSCHER DIANE</v>
      </c>
      <c r="H99" s="20" t="str">
        <f t="shared" si="3"/>
        <v>4039</v>
      </c>
    </row>
    <row r="100" spans="1:8" x14ac:dyDescent="0.3">
      <c r="A100" s="8">
        <v>43112.495775462965</v>
      </c>
      <c r="B100" s="20" t="s">
        <v>471</v>
      </c>
      <c r="C100" s="20" t="s">
        <v>795</v>
      </c>
      <c r="D100" s="137">
        <v>3000000</v>
      </c>
      <c r="E100" s="20" t="s">
        <v>455</v>
      </c>
      <c r="F100" s="20" t="s">
        <v>456</v>
      </c>
      <c r="G100" s="8" t="str">
        <f t="shared" si="2"/>
        <v>FORTUNATO FRANK</v>
      </c>
      <c r="H100" s="20" t="str">
        <f t="shared" si="3"/>
        <v>4026</v>
      </c>
    </row>
    <row r="101" spans="1:8" x14ac:dyDescent="0.3">
      <c r="A101" s="8">
        <v>43112.498784722222</v>
      </c>
      <c r="B101" s="20" t="s">
        <v>683</v>
      </c>
      <c r="C101" s="20" t="s">
        <v>796</v>
      </c>
      <c r="D101" s="137">
        <v>3030000</v>
      </c>
      <c r="E101" s="20" t="s">
        <v>729</v>
      </c>
      <c r="F101" s="20" t="s">
        <v>715</v>
      </c>
      <c r="G101" s="8" t="str">
        <f t="shared" si="2"/>
        <v>BIRENBAUM THOMAS</v>
      </c>
      <c r="H101" s="20" t="str">
        <f t="shared" si="3"/>
        <v>4052</v>
      </c>
    </row>
    <row r="102" spans="1:8" x14ac:dyDescent="0.3">
      <c r="A102" s="8">
        <v>43112.499479166669</v>
      </c>
      <c r="B102" s="20" t="s">
        <v>361</v>
      </c>
      <c r="C102" s="20" t="s">
        <v>797</v>
      </c>
      <c r="D102" s="137">
        <v>2630000</v>
      </c>
      <c r="E102" s="20" t="s">
        <v>371</v>
      </c>
      <c r="F102" s="20" t="s">
        <v>372</v>
      </c>
      <c r="G102" s="8" t="str">
        <f t="shared" si="2"/>
        <v>SAFIEF AEIMEN</v>
      </c>
      <c r="H102" s="20" t="str">
        <f t="shared" si="3"/>
        <v>4017</v>
      </c>
    </row>
    <row r="103" spans="1:8" x14ac:dyDescent="0.3">
      <c r="A103" s="8">
        <v>43112.507071759261</v>
      </c>
      <c r="B103" s="20" t="s">
        <v>356</v>
      </c>
      <c r="C103" s="20" t="s">
        <v>798</v>
      </c>
      <c r="D103" s="137">
        <v>1300000</v>
      </c>
      <c r="E103" s="20" t="s">
        <v>357</v>
      </c>
      <c r="F103" s="20" t="s">
        <v>358</v>
      </c>
      <c r="G103" s="8" t="str">
        <f t="shared" si="2"/>
        <v>LEVIN SCOTT</v>
      </c>
      <c r="H103" s="20" t="str">
        <f t="shared" si="3"/>
        <v>4060</v>
      </c>
    </row>
    <row r="104" spans="1:8" x14ac:dyDescent="0.3">
      <c r="A104" s="8">
        <v>43112.508425925924</v>
      </c>
      <c r="B104" s="20" t="s">
        <v>560</v>
      </c>
      <c r="C104" s="20" t="s">
        <v>799</v>
      </c>
      <c r="D104" s="137">
        <v>1810000</v>
      </c>
      <c r="E104" s="20" t="s">
        <v>506</v>
      </c>
      <c r="F104" s="20" t="s">
        <v>393</v>
      </c>
      <c r="G104" s="8" t="str">
        <f t="shared" si="2"/>
        <v>NEWELL JAMES</v>
      </c>
      <c r="H104" s="20" t="str">
        <f t="shared" si="3"/>
        <v>4005</v>
      </c>
    </row>
    <row r="105" spans="1:8" x14ac:dyDescent="0.3">
      <c r="A105" s="8">
        <v>43112.517199074071</v>
      </c>
      <c r="B105" s="20" t="s">
        <v>497</v>
      </c>
      <c r="C105" s="20" t="s">
        <v>800</v>
      </c>
      <c r="D105" s="137">
        <v>2550000</v>
      </c>
      <c r="E105" s="20" t="s">
        <v>576</v>
      </c>
      <c r="F105" s="20" t="s">
        <v>577</v>
      </c>
      <c r="G105" s="8" t="str">
        <f t="shared" si="2"/>
        <v>BADERTSCHER DIANE</v>
      </c>
      <c r="H105" s="20" t="str">
        <f t="shared" si="3"/>
        <v>4040</v>
      </c>
    </row>
    <row r="106" spans="1:8" x14ac:dyDescent="0.3">
      <c r="A106" s="8">
        <v>43112.517905092594</v>
      </c>
      <c r="B106" s="20" t="s">
        <v>675</v>
      </c>
      <c r="C106" s="20" t="s">
        <v>676</v>
      </c>
      <c r="D106" s="137">
        <v>3030000</v>
      </c>
      <c r="E106" s="20" t="s">
        <v>729</v>
      </c>
      <c r="F106" s="20" t="s">
        <v>715</v>
      </c>
      <c r="G106" s="8" t="str">
        <f t="shared" si="2"/>
        <v>BIRENBAUM THOMAS</v>
      </c>
      <c r="H106" s="20" t="str">
        <f t="shared" si="3"/>
        <v>4051</v>
      </c>
    </row>
    <row r="107" spans="1:8" x14ac:dyDescent="0.3">
      <c r="A107" s="8">
        <v>43112.521087962959</v>
      </c>
      <c r="B107" s="20" t="s">
        <v>669</v>
      </c>
      <c r="C107" s="20" t="s">
        <v>801</v>
      </c>
      <c r="D107" s="137">
        <v>3840000</v>
      </c>
      <c r="E107" s="20" t="s">
        <v>482</v>
      </c>
      <c r="F107" s="20" t="s">
        <v>483</v>
      </c>
      <c r="G107" s="8" t="str">
        <f t="shared" si="2"/>
        <v>LONG FULLER</v>
      </c>
      <c r="H107" s="20" t="str">
        <f t="shared" si="3"/>
        <v>4003</v>
      </c>
    </row>
    <row r="108" spans="1:8" x14ac:dyDescent="0.3">
      <c r="A108" s="8">
        <v>43112.526585648149</v>
      </c>
      <c r="B108" s="20" t="s">
        <v>389</v>
      </c>
      <c r="C108" s="20" t="s">
        <v>802</v>
      </c>
      <c r="D108" s="137">
        <v>2140000</v>
      </c>
      <c r="E108" s="20" t="s">
        <v>578</v>
      </c>
      <c r="F108" s="20" t="s">
        <v>579</v>
      </c>
      <c r="G108" s="8" t="str">
        <f t="shared" si="2"/>
        <v>ROBINSON KADDIBA</v>
      </c>
      <c r="H108" s="20" t="str">
        <f t="shared" si="3"/>
        <v>4028</v>
      </c>
    </row>
    <row r="109" spans="1:8" x14ac:dyDescent="0.3">
      <c r="A109" s="8">
        <v>43112.528090277781</v>
      </c>
      <c r="B109" s="20" t="s">
        <v>470</v>
      </c>
      <c r="C109" s="20" t="s">
        <v>803</v>
      </c>
      <c r="D109" s="137">
        <v>3000000</v>
      </c>
      <c r="E109" s="20" t="s">
        <v>455</v>
      </c>
      <c r="F109" s="20" t="s">
        <v>456</v>
      </c>
      <c r="G109" s="8" t="str">
        <f t="shared" si="2"/>
        <v>FORTUNATO FRANK</v>
      </c>
      <c r="H109" s="20" t="str">
        <f t="shared" si="3"/>
        <v>4025</v>
      </c>
    </row>
    <row r="110" spans="1:8" x14ac:dyDescent="0.3">
      <c r="A110" s="8">
        <v>43112.540370370371</v>
      </c>
      <c r="B110" s="20" t="s">
        <v>359</v>
      </c>
      <c r="C110" s="20" t="s">
        <v>804</v>
      </c>
      <c r="D110" s="137">
        <v>2630000</v>
      </c>
      <c r="E110" s="20" t="s">
        <v>371</v>
      </c>
      <c r="F110" s="20" t="s">
        <v>372</v>
      </c>
      <c r="G110" s="8" t="str">
        <f t="shared" si="2"/>
        <v>SAFIEF AEIMEN</v>
      </c>
      <c r="H110" s="20" t="str">
        <f t="shared" si="3"/>
        <v>4018</v>
      </c>
    </row>
    <row r="111" spans="1:8" x14ac:dyDescent="0.3">
      <c r="A111" s="8">
        <v>43112.54215277778</v>
      </c>
      <c r="B111" s="20" t="s">
        <v>683</v>
      </c>
      <c r="C111" s="20" t="s">
        <v>805</v>
      </c>
      <c r="D111" s="137">
        <v>3500000</v>
      </c>
      <c r="E111" s="20" t="s">
        <v>375</v>
      </c>
      <c r="F111" s="20" t="s">
        <v>376</v>
      </c>
      <c r="G111" s="8" t="str">
        <f t="shared" si="2"/>
        <v>GUNTHIER ERIC</v>
      </c>
      <c r="H111" s="20" t="str">
        <f t="shared" si="3"/>
        <v>4052</v>
      </c>
    </row>
    <row r="112" spans="1:8" x14ac:dyDescent="0.3">
      <c r="A112" s="8">
        <v>43112.548182870371</v>
      </c>
      <c r="B112" s="20" t="s">
        <v>677</v>
      </c>
      <c r="C112" s="20" t="s">
        <v>678</v>
      </c>
      <c r="D112" s="137">
        <v>1300000</v>
      </c>
      <c r="E112" s="20" t="s">
        <v>357</v>
      </c>
      <c r="F112" s="20" t="s">
        <v>358</v>
      </c>
      <c r="G112" s="8" t="str">
        <f t="shared" si="2"/>
        <v>LEVIN SCOTT</v>
      </c>
      <c r="H112" s="20" t="str">
        <f t="shared" si="3"/>
        <v>4059</v>
      </c>
    </row>
    <row r="113" spans="1:8" x14ac:dyDescent="0.3">
      <c r="A113" s="8">
        <v>43112.549942129626</v>
      </c>
      <c r="B113" s="20" t="s">
        <v>563</v>
      </c>
      <c r="C113" s="20" t="s">
        <v>806</v>
      </c>
      <c r="D113" s="137">
        <v>1770000</v>
      </c>
      <c r="E113" s="20" t="s">
        <v>502</v>
      </c>
      <c r="F113" s="20" t="s">
        <v>503</v>
      </c>
      <c r="G113" s="8" t="str">
        <f t="shared" si="2"/>
        <v>BRUDER RICHARD</v>
      </c>
      <c r="H113" s="20" t="str">
        <f t="shared" si="3"/>
        <v>4006</v>
      </c>
    </row>
    <row r="114" spans="1:8" x14ac:dyDescent="0.3">
      <c r="A114" s="8">
        <v>43112.556921296295</v>
      </c>
      <c r="B114" s="20" t="s">
        <v>496</v>
      </c>
      <c r="C114" s="20" t="s">
        <v>807</v>
      </c>
      <c r="D114" s="137">
        <v>2550000</v>
      </c>
      <c r="E114" s="20" t="s">
        <v>576</v>
      </c>
      <c r="F114" s="20" t="s">
        <v>577</v>
      </c>
      <c r="G114" s="8" t="str">
        <f t="shared" si="2"/>
        <v>BADERTSCHER DIANE</v>
      </c>
      <c r="H114" s="20" t="str">
        <f t="shared" si="3"/>
        <v>4039</v>
      </c>
    </row>
    <row r="115" spans="1:8" x14ac:dyDescent="0.3">
      <c r="A115" s="8">
        <v>43112.558217592596</v>
      </c>
      <c r="B115" s="20" t="s">
        <v>711</v>
      </c>
      <c r="C115" s="20" t="s">
        <v>808</v>
      </c>
      <c r="D115" s="137">
        <v>3840000</v>
      </c>
      <c r="E115" s="20" t="s">
        <v>482</v>
      </c>
      <c r="F115" s="20" t="s">
        <v>483</v>
      </c>
      <c r="G115" s="8" t="str">
        <f t="shared" si="2"/>
        <v>LONG FULLER</v>
      </c>
      <c r="H115" s="20" t="str">
        <f t="shared" si="3"/>
        <v>4004</v>
      </c>
    </row>
    <row r="116" spans="1:8" x14ac:dyDescent="0.3">
      <c r="A116" s="8">
        <v>43112.560185185182</v>
      </c>
      <c r="B116" s="20" t="s">
        <v>675</v>
      </c>
      <c r="C116" s="20" t="s">
        <v>809</v>
      </c>
      <c r="D116" s="137">
        <v>3500000</v>
      </c>
      <c r="E116" s="20" t="s">
        <v>375</v>
      </c>
      <c r="F116" s="20" t="s">
        <v>376</v>
      </c>
      <c r="G116" s="8" t="str">
        <f t="shared" si="2"/>
        <v>GUNTHIER ERIC</v>
      </c>
      <c r="H116" s="20" t="str">
        <f t="shared" si="3"/>
        <v>4051</v>
      </c>
    </row>
    <row r="117" spans="1:8" x14ac:dyDescent="0.3">
      <c r="A117" s="8">
        <v>43112.567499999997</v>
      </c>
      <c r="B117" s="20" t="s">
        <v>471</v>
      </c>
      <c r="C117" s="20" t="s">
        <v>810</v>
      </c>
      <c r="D117" s="137">
        <v>3000000</v>
      </c>
      <c r="E117" s="20" t="s">
        <v>455</v>
      </c>
      <c r="F117" s="20" t="s">
        <v>456</v>
      </c>
      <c r="G117" s="8" t="str">
        <f t="shared" si="2"/>
        <v>FORTUNATO FRANK</v>
      </c>
      <c r="H117" s="20" t="str">
        <f t="shared" si="3"/>
        <v>4026</v>
      </c>
    </row>
    <row r="118" spans="1:8" x14ac:dyDescent="0.3">
      <c r="A118" s="8">
        <v>43112.568657407406</v>
      </c>
      <c r="B118" s="20" t="s">
        <v>691</v>
      </c>
      <c r="C118" s="20" t="s">
        <v>811</v>
      </c>
      <c r="D118" s="137">
        <v>2140000</v>
      </c>
      <c r="E118" s="20" t="s">
        <v>578</v>
      </c>
      <c r="F118" s="20" t="s">
        <v>579</v>
      </c>
      <c r="G118" s="8" t="str">
        <f t="shared" si="2"/>
        <v>ROBINSON KADDIBA</v>
      </c>
      <c r="H118" s="20" t="str">
        <f t="shared" si="3"/>
        <v>4027</v>
      </c>
    </row>
    <row r="119" spans="1:8" x14ac:dyDescent="0.3">
      <c r="A119" s="8">
        <v>43112.569733796299</v>
      </c>
      <c r="B119" s="20" t="s">
        <v>361</v>
      </c>
      <c r="C119" s="20" t="s">
        <v>812</v>
      </c>
      <c r="D119" s="137">
        <v>2630000</v>
      </c>
      <c r="E119" s="20" t="s">
        <v>371</v>
      </c>
      <c r="F119" s="20" t="s">
        <v>372</v>
      </c>
      <c r="G119" s="8" t="str">
        <f t="shared" si="2"/>
        <v>SAFIEF AEIMEN</v>
      </c>
      <c r="H119" s="20" t="str">
        <f t="shared" si="3"/>
        <v>4017</v>
      </c>
    </row>
    <row r="120" spans="1:8" x14ac:dyDescent="0.3">
      <c r="A120" s="8">
        <v>43112.577372685184</v>
      </c>
      <c r="B120" s="20" t="s">
        <v>356</v>
      </c>
      <c r="C120" s="20" t="s">
        <v>679</v>
      </c>
      <c r="D120" s="137">
        <v>1300000</v>
      </c>
      <c r="E120" s="20" t="s">
        <v>357</v>
      </c>
      <c r="F120" s="20" t="s">
        <v>358</v>
      </c>
      <c r="G120" s="8" t="str">
        <f t="shared" si="2"/>
        <v>LEVIN SCOTT</v>
      </c>
      <c r="H120" s="20" t="str">
        <f t="shared" si="3"/>
        <v>4060</v>
      </c>
    </row>
    <row r="121" spans="1:8" x14ac:dyDescent="0.3">
      <c r="A121" s="8">
        <v>43112.583067129628</v>
      </c>
      <c r="B121" s="20" t="s">
        <v>683</v>
      </c>
      <c r="C121" s="20" t="s">
        <v>813</v>
      </c>
      <c r="D121" s="137">
        <v>3500000</v>
      </c>
      <c r="E121" s="20" t="s">
        <v>375</v>
      </c>
      <c r="F121" s="20" t="s">
        <v>376</v>
      </c>
      <c r="G121" s="8" t="str">
        <f t="shared" si="2"/>
        <v>GUNTHIER ERIC</v>
      </c>
      <c r="H121" s="20" t="str">
        <f t="shared" si="3"/>
        <v>4052</v>
      </c>
    </row>
    <row r="122" spans="1:8" x14ac:dyDescent="0.3">
      <c r="A122" s="8">
        <v>43112.589097222219</v>
      </c>
      <c r="B122" s="25" t="s">
        <v>560</v>
      </c>
      <c r="C122" s="20" t="s">
        <v>814</v>
      </c>
      <c r="D122" s="137">
        <v>1770000</v>
      </c>
      <c r="E122" s="20" t="s">
        <v>502</v>
      </c>
      <c r="F122" s="20" t="s">
        <v>503</v>
      </c>
      <c r="G122" s="8" t="str">
        <f t="shared" si="2"/>
        <v>BRUDER RICHARD</v>
      </c>
      <c r="H122" s="20" t="str">
        <f t="shared" si="3"/>
        <v>4005</v>
      </c>
    </row>
    <row r="123" spans="1:8" x14ac:dyDescent="0.3">
      <c r="A123" s="8">
        <v>43112.591400462959</v>
      </c>
      <c r="B123" s="20" t="s">
        <v>497</v>
      </c>
      <c r="C123" s="20" t="s">
        <v>815</v>
      </c>
      <c r="D123" s="137">
        <v>2040000</v>
      </c>
      <c r="E123" s="20" t="s">
        <v>394</v>
      </c>
      <c r="F123" s="20" t="s">
        <v>395</v>
      </c>
      <c r="G123" s="8" t="str">
        <f t="shared" si="2"/>
        <v>MOSES BRADLEY</v>
      </c>
      <c r="H123" s="20" t="str">
        <f t="shared" si="3"/>
        <v>4040</v>
      </c>
    </row>
    <row r="124" spans="1:8" x14ac:dyDescent="0.3">
      <c r="A124" s="8">
        <v>43112.597870370373</v>
      </c>
      <c r="B124" s="20" t="s">
        <v>669</v>
      </c>
      <c r="C124" s="20" t="s">
        <v>816</v>
      </c>
      <c r="D124" s="137">
        <v>3840000</v>
      </c>
      <c r="E124" s="20" t="s">
        <v>482</v>
      </c>
      <c r="F124" s="20" t="s">
        <v>483</v>
      </c>
      <c r="G124" s="8" t="str">
        <f t="shared" si="2"/>
        <v>LONG FULLER</v>
      </c>
      <c r="H124" s="20" t="str">
        <f t="shared" si="3"/>
        <v>4003</v>
      </c>
    </row>
    <row r="125" spans="1:8" x14ac:dyDescent="0.3">
      <c r="A125" s="8">
        <v>43112.599351851852</v>
      </c>
      <c r="B125" s="20" t="s">
        <v>470</v>
      </c>
      <c r="C125" s="20" t="s">
        <v>680</v>
      </c>
      <c r="D125" s="137">
        <v>3000000</v>
      </c>
      <c r="E125" s="20" t="s">
        <v>455</v>
      </c>
      <c r="F125" s="20" t="s">
        <v>456</v>
      </c>
      <c r="G125" s="8" t="str">
        <f t="shared" si="2"/>
        <v>FORTUNATO FRANK</v>
      </c>
      <c r="H125" s="20" t="str">
        <f t="shared" si="3"/>
        <v>4025</v>
      </c>
    </row>
    <row r="126" spans="1:8" x14ac:dyDescent="0.3">
      <c r="A126" s="8">
        <v>43112.60087962963</v>
      </c>
      <c r="B126" s="20" t="s">
        <v>389</v>
      </c>
      <c r="C126" s="20" t="s">
        <v>817</v>
      </c>
      <c r="D126" s="137">
        <v>1360000</v>
      </c>
      <c r="E126" s="20" t="s">
        <v>818</v>
      </c>
      <c r="F126" s="20" t="s">
        <v>819</v>
      </c>
      <c r="G126" s="8" t="str">
        <f t="shared" si="2"/>
        <v>SANTIZO D. EDY</v>
      </c>
      <c r="H126" s="20" t="str">
        <f t="shared" si="3"/>
        <v>4028</v>
      </c>
    </row>
    <row r="127" spans="1:8" x14ac:dyDescent="0.3">
      <c r="A127" s="8">
        <v>43112.601400462961</v>
      </c>
      <c r="B127" s="20" t="s">
        <v>675</v>
      </c>
      <c r="C127" s="20" t="s">
        <v>820</v>
      </c>
      <c r="D127" s="137">
        <v>3500000</v>
      </c>
      <c r="E127" s="20" t="s">
        <v>375</v>
      </c>
      <c r="F127" s="20" t="s">
        <v>376</v>
      </c>
      <c r="G127" s="8" t="str">
        <f t="shared" si="2"/>
        <v>GUNTHIER ERIC</v>
      </c>
      <c r="H127" s="20" t="str">
        <f t="shared" si="3"/>
        <v>4051</v>
      </c>
    </row>
    <row r="128" spans="1:8" x14ac:dyDescent="0.3">
      <c r="A128" s="8">
        <v>43112.613298611112</v>
      </c>
      <c r="B128" s="20" t="s">
        <v>359</v>
      </c>
      <c r="C128" s="20" t="s">
        <v>821</v>
      </c>
      <c r="D128" s="137">
        <v>2630000</v>
      </c>
      <c r="E128" s="20" t="s">
        <v>371</v>
      </c>
      <c r="F128" s="20" t="s">
        <v>372</v>
      </c>
      <c r="G128" s="8" t="str">
        <f t="shared" si="2"/>
        <v>SAFIEF AEIMEN</v>
      </c>
      <c r="H128" s="20" t="str">
        <f t="shared" si="3"/>
        <v>4018</v>
      </c>
    </row>
    <row r="129" spans="1:8" x14ac:dyDescent="0.3">
      <c r="A129" s="8">
        <v>43112.616956018515</v>
      </c>
      <c r="B129" s="20" t="s">
        <v>677</v>
      </c>
      <c r="C129" s="20" t="s">
        <v>822</v>
      </c>
      <c r="D129" s="137">
        <v>1300000</v>
      </c>
      <c r="E129" s="20" t="s">
        <v>357</v>
      </c>
      <c r="F129" s="20" t="s">
        <v>358</v>
      </c>
      <c r="G129" s="8" t="str">
        <f t="shared" si="2"/>
        <v>LEVIN SCOTT</v>
      </c>
      <c r="H129" s="20" t="str">
        <f t="shared" si="3"/>
        <v>4059</v>
      </c>
    </row>
    <row r="130" spans="1:8" x14ac:dyDescent="0.3">
      <c r="A130" s="8">
        <v>43112.622384259259</v>
      </c>
      <c r="B130" s="20" t="s">
        <v>563</v>
      </c>
      <c r="C130" s="20" t="s">
        <v>823</v>
      </c>
      <c r="D130" s="137">
        <v>1770000</v>
      </c>
      <c r="E130" s="20" t="s">
        <v>502</v>
      </c>
      <c r="F130" s="20" t="s">
        <v>503</v>
      </c>
      <c r="G130" s="8" t="str">
        <f t="shared" si="2"/>
        <v>BRUDER RICHARD</v>
      </c>
      <c r="H130" s="20" t="str">
        <f t="shared" si="3"/>
        <v>4006</v>
      </c>
    </row>
    <row r="131" spans="1:8" x14ac:dyDescent="0.3">
      <c r="A131" s="8">
        <v>43112.626898148148</v>
      </c>
      <c r="B131" s="20" t="s">
        <v>683</v>
      </c>
      <c r="C131" s="20" t="s">
        <v>824</v>
      </c>
      <c r="D131" s="137">
        <v>3500000</v>
      </c>
      <c r="E131" s="20" t="s">
        <v>375</v>
      </c>
      <c r="F131" s="20" t="s">
        <v>376</v>
      </c>
      <c r="G131" s="8" t="str">
        <f t="shared" ref="G131:G194" si="4">E131&amp;" "&amp;F131</f>
        <v>GUNTHIER ERIC</v>
      </c>
      <c r="H131" s="20" t="str">
        <f t="shared" ref="H131:H194" si="5">MID(B131,13,4)</f>
        <v>4052</v>
      </c>
    </row>
    <row r="132" spans="1:8" x14ac:dyDescent="0.3">
      <c r="A132" s="8">
        <v>43112.631701388891</v>
      </c>
      <c r="B132" s="20" t="s">
        <v>496</v>
      </c>
      <c r="C132" s="20" t="s">
        <v>825</v>
      </c>
      <c r="D132" s="137">
        <v>2040000</v>
      </c>
      <c r="E132" s="20" t="s">
        <v>394</v>
      </c>
      <c r="F132" s="20" t="s">
        <v>395</v>
      </c>
      <c r="G132" s="8" t="str">
        <f t="shared" si="4"/>
        <v>MOSES BRADLEY</v>
      </c>
      <c r="H132" s="20" t="str">
        <f t="shared" si="5"/>
        <v>4039</v>
      </c>
    </row>
    <row r="133" spans="1:8" x14ac:dyDescent="0.3">
      <c r="A133" s="8">
        <v>43112.631932870368</v>
      </c>
      <c r="B133" s="20" t="s">
        <v>691</v>
      </c>
      <c r="C133" s="20" t="s">
        <v>826</v>
      </c>
      <c r="D133" s="137">
        <v>1360000</v>
      </c>
      <c r="E133" s="20" t="s">
        <v>818</v>
      </c>
      <c r="F133" s="20" t="s">
        <v>819</v>
      </c>
      <c r="G133" s="8" t="str">
        <f t="shared" si="4"/>
        <v>SANTIZO D. EDY</v>
      </c>
      <c r="H133" s="20" t="str">
        <f t="shared" si="5"/>
        <v>4027</v>
      </c>
    </row>
    <row r="134" spans="1:8" x14ac:dyDescent="0.3">
      <c r="A134" s="8">
        <v>43112.633657407408</v>
      </c>
      <c r="B134" s="20" t="s">
        <v>711</v>
      </c>
      <c r="C134" s="20" t="s">
        <v>827</v>
      </c>
      <c r="D134" s="137">
        <v>3840000</v>
      </c>
      <c r="E134" s="20" t="s">
        <v>482</v>
      </c>
      <c r="F134" s="20" t="s">
        <v>483</v>
      </c>
      <c r="G134" s="8" t="str">
        <f t="shared" si="4"/>
        <v>LONG FULLER</v>
      </c>
      <c r="H134" s="20" t="str">
        <f t="shared" si="5"/>
        <v>4004</v>
      </c>
    </row>
    <row r="135" spans="1:8" x14ac:dyDescent="0.3">
      <c r="A135" s="8">
        <v>43112.635717592595</v>
      </c>
      <c r="B135" s="20" t="s">
        <v>566</v>
      </c>
      <c r="C135" s="20" t="s">
        <v>828</v>
      </c>
      <c r="D135" s="137">
        <v>2230000</v>
      </c>
      <c r="E135" s="20" t="s">
        <v>391</v>
      </c>
      <c r="F135" s="20" t="s">
        <v>351</v>
      </c>
      <c r="G135" s="8" t="str">
        <f t="shared" si="4"/>
        <v>SMITH MICHAEL</v>
      </c>
      <c r="H135" s="20" t="str">
        <f t="shared" si="5"/>
        <v>4015</v>
      </c>
    </row>
    <row r="136" spans="1:8" x14ac:dyDescent="0.3">
      <c r="A136" s="8">
        <v>43112.642916666664</v>
      </c>
      <c r="B136" s="20" t="s">
        <v>471</v>
      </c>
      <c r="C136" s="20" t="s">
        <v>829</v>
      </c>
      <c r="D136" s="137">
        <v>3000000</v>
      </c>
      <c r="E136" s="20" t="s">
        <v>455</v>
      </c>
      <c r="F136" s="20" t="s">
        <v>456</v>
      </c>
      <c r="G136" s="8" t="str">
        <f t="shared" si="4"/>
        <v>FORTUNATO FRANK</v>
      </c>
      <c r="H136" s="20" t="str">
        <f t="shared" si="5"/>
        <v>4026</v>
      </c>
    </row>
    <row r="137" spans="1:8" x14ac:dyDescent="0.3">
      <c r="A137" s="8">
        <v>43112.643182870372</v>
      </c>
      <c r="B137" s="20" t="s">
        <v>675</v>
      </c>
      <c r="C137" s="20" t="s">
        <v>830</v>
      </c>
      <c r="D137" s="137">
        <v>3500000</v>
      </c>
      <c r="E137" s="20" t="s">
        <v>375</v>
      </c>
      <c r="F137" s="20" t="s">
        <v>376</v>
      </c>
      <c r="G137" s="8" t="str">
        <f t="shared" si="4"/>
        <v>GUNTHIER ERIC</v>
      </c>
      <c r="H137" s="20" t="str">
        <f t="shared" si="5"/>
        <v>4051</v>
      </c>
    </row>
    <row r="138" spans="1:8" x14ac:dyDescent="0.3">
      <c r="A138" s="8">
        <v>43112.643263888887</v>
      </c>
      <c r="B138" s="20" t="s">
        <v>361</v>
      </c>
      <c r="C138" s="20" t="s">
        <v>831</v>
      </c>
      <c r="D138" s="137">
        <v>2630000</v>
      </c>
      <c r="E138" s="20" t="s">
        <v>371</v>
      </c>
      <c r="F138" s="20" t="s">
        <v>372</v>
      </c>
      <c r="G138" s="8" t="str">
        <f t="shared" si="4"/>
        <v>SAFIEF AEIMEN</v>
      </c>
      <c r="H138" s="20" t="str">
        <f t="shared" si="5"/>
        <v>4017</v>
      </c>
    </row>
    <row r="139" spans="1:8" x14ac:dyDescent="0.3">
      <c r="A139" s="8">
        <v>43112.645474537036</v>
      </c>
      <c r="B139" s="20" t="s">
        <v>573</v>
      </c>
      <c r="C139" s="20" t="s">
        <v>832</v>
      </c>
      <c r="D139" s="137">
        <v>2230000</v>
      </c>
      <c r="E139" s="20" t="s">
        <v>391</v>
      </c>
      <c r="F139" s="20" t="s">
        <v>351</v>
      </c>
      <c r="G139" s="8" t="str">
        <f t="shared" si="4"/>
        <v>SMITH MICHAEL</v>
      </c>
      <c r="H139" s="20" t="str">
        <f t="shared" si="5"/>
        <v>4016</v>
      </c>
    </row>
    <row r="140" spans="1:8" x14ac:dyDescent="0.3">
      <c r="A140" s="8">
        <v>43112.654699074075</v>
      </c>
      <c r="B140" s="20" t="s">
        <v>356</v>
      </c>
      <c r="C140" s="20" t="s">
        <v>833</v>
      </c>
      <c r="D140" s="137">
        <v>1300000</v>
      </c>
      <c r="E140" s="20" t="s">
        <v>357</v>
      </c>
      <c r="F140" s="20" t="s">
        <v>358</v>
      </c>
      <c r="G140" s="8" t="str">
        <f t="shared" si="4"/>
        <v>LEVIN SCOTT</v>
      </c>
      <c r="H140" s="20" t="str">
        <f t="shared" si="5"/>
        <v>4060</v>
      </c>
    </row>
    <row r="141" spans="1:8" x14ac:dyDescent="0.3">
      <c r="A141" s="8">
        <v>43112.661874999998</v>
      </c>
      <c r="B141" s="20" t="s">
        <v>560</v>
      </c>
      <c r="C141" s="20" t="s">
        <v>834</v>
      </c>
      <c r="D141" s="137">
        <v>1770000</v>
      </c>
      <c r="E141" s="20" t="s">
        <v>502</v>
      </c>
      <c r="F141" s="20" t="s">
        <v>503</v>
      </c>
      <c r="G141" s="8" t="str">
        <f t="shared" si="4"/>
        <v>BRUDER RICHARD</v>
      </c>
      <c r="H141" s="20" t="str">
        <f t="shared" si="5"/>
        <v>4005</v>
      </c>
    </row>
    <row r="142" spans="1:8" x14ac:dyDescent="0.3">
      <c r="A142" s="8">
        <v>43112.661956018521</v>
      </c>
      <c r="B142" s="20" t="s">
        <v>497</v>
      </c>
      <c r="C142" s="20" t="s">
        <v>835</v>
      </c>
      <c r="D142" s="137">
        <v>2550000</v>
      </c>
      <c r="E142" s="20" t="s">
        <v>576</v>
      </c>
      <c r="F142" s="20" t="s">
        <v>577</v>
      </c>
      <c r="G142" s="8" t="str">
        <f t="shared" si="4"/>
        <v>BADERTSCHER DIANE</v>
      </c>
      <c r="H142" s="20" t="str">
        <f t="shared" si="5"/>
        <v>4040</v>
      </c>
    </row>
    <row r="143" spans="1:8" x14ac:dyDescent="0.3">
      <c r="A143" s="8">
        <v>43112.664155092592</v>
      </c>
      <c r="B143" s="20" t="s">
        <v>566</v>
      </c>
      <c r="C143" s="20" t="s">
        <v>836</v>
      </c>
      <c r="D143" s="137">
        <v>2230000</v>
      </c>
      <c r="E143" s="20" t="s">
        <v>391</v>
      </c>
      <c r="F143" s="20" t="s">
        <v>351</v>
      </c>
      <c r="G143" s="8" t="str">
        <f t="shared" si="4"/>
        <v>SMITH MICHAEL</v>
      </c>
      <c r="H143" s="20" t="str">
        <f t="shared" si="5"/>
        <v>4015</v>
      </c>
    </row>
    <row r="144" spans="1:8" x14ac:dyDescent="0.3">
      <c r="A144" s="8">
        <v>43112.666574074072</v>
      </c>
      <c r="B144" s="20" t="s">
        <v>669</v>
      </c>
      <c r="C144" s="20" t="s">
        <v>682</v>
      </c>
      <c r="D144" s="137">
        <v>3840000</v>
      </c>
      <c r="E144" s="20" t="s">
        <v>482</v>
      </c>
      <c r="F144" s="20" t="s">
        <v>483</v>
      </c>
      <c r="G144" s="8" t="str">
        <f t="shared" si="4"/>
        <v>LONG FULLER</v>
      </c>
      <c r="H144" s="20" t="str">
        <f t="shared" si="5"/>
        <v>4003</v>
      </c>
    </row>
    <row r="145" spans="1:8" x14ac:dyDescent="0.3">
      <c r="A145" s="8">
        <v>43112.669537037036</v>
      </c>
      <c r="B145" s="20" t="s">
        <v>683</v>
      </c>
      <c r="C145" s="20" t="s">
        <v>837</v>
      </c>
      <c r="D145" s="137">
        <v>3500000</v>
      </c>
      <c r="E145" s="20" t="s">
        <v>375</v>
      </c>
      <c r="F145" s="20" t="s">
        <v>376</v>
      </c>
      <c r="G145" s="8" t="str">
        <f t="shared" si="4"/>
        <v>GUNTHIER ERIC</v>
      </c>
      <c r="H145" s="20" t="str">
        <f t="shared" si="5"/>
        <v>4052</v>
      </c>
    </row>
    <row r="146" spans="1:8" x14ac:dyDescent="0.3">
      <c r="A146" s="8">
        <v>43112.671030092592</v>
      </c>
      <c r="B146" s="20" t="s">
        <v>389</v>
      </c>
      <c r="C146" s="20" t="s">
        <v>681</v>
      </c>
      <c r="D146" s="137">
        <v>2140000</v>
      </c>
      <c r="E146" s="20" t="s">
        <v>578</v>
      </c>
      <c r="F146" s="20" t="s">
        <v>579</v>
      </c>
      <c r="G146" s="8" t="str">
        <f t="shared" si="4"/>
        <v>ROBINSON KADDIBA</v>
      </c>
      <c r="H146" s="20" t="str">
        <f t="shared" si="5"/>
        <v>4028</v>
      </c>
    </row>
    <row r="147" spans="1:8" x14ac:dyDescent="0.3">
      <c r="A147" s="8">
        <v>43112.67260416667</v>
      </c>
      <c r="B147" s="20" t="s">
        <v>470</v>
      </c>
      <c r="C147" s="20" t="s">
        <v>838</v>
      </c>
      <c r="D147" s="137">
        <v>3000000</v>
      </c>
      <c r="E147" s="20" t="s">
        <v>455</v>
      </c>
      <c r="F147" s="20" t="s">
        <v>456</v>
      </c>
      <c r="G147" s="8" t="str">
        <f t="shared" si="4"/>
        <v>FORTUNATO FRANK</v>
      </c>
      <c r="H147" s="20" t="str">
        <f t="shared" si="5"/>
        <v>4025</v>
      </c>
    </row>
    <row r="148" spans="1:8" x14ac:dyDescent="0.3">
      <c r="A148" s="8">
        <v>43112.682685185187</v>
      </c>
      <c r="B148" s="20" t="s">
        <v>701</v>
      </c>
      <c r="C148" s="20" t="s">
        <v>839</v>
      </c>
      <c r="D148" s="137">
        <v>1780000</v>
      </c>
      <c r="E148" s="20" t="s">
        <v>840</v>
      </c>
      <c r="F148" s="20" t="s">
        <v>841</v>
      </c>
      <c r="G148" s="8" t="str">
        <f t="shared" si="4"/>
        <v>DE LA ROSA ALEX</v>
      </c>
      <c r="H148" s="20" t="str">
        <f t="shared" si="5"/>
        <v>4002</v>
      </c>
    </row>
    <row r="149" spans="1:8" x14ac:dyDescent="0.3">
      <c r="A149" s="8">
        <v>43112.685381944444</v>
      </c>
      <c r="B149" s="20" t="s">
        <v>359</v>
      </c>
      <c r="C149" s="20" t="s">
        <v>842</v>
      </c>
      <c r="D149" s="137">
        <v>2630000</v>
      </c>
      <c r="E149" s="20" t="s">
        <v>371</v>
      </c>
      <c r="F149" s="20" t="s">
        <v>372</v>
      </c>
      <c r="G149" s="8" t="str">
        <f t="shared" si="4"/>
        <v>SAFIEF AEIMEN</v>
      </c>
      <c r="H149" s="20" t="str">
        <f t="shared" si="5"/>
        <v>4018</v>
      </c>
    </row>
    <row r="150" spans="1:8" x14ac:dyDescent="0.3">
      <c r="A150" s="8">
        <v>43112.686516203707</v>
      </c>
      <c r="B150" s="20" t="s">
        <v>675</v>
      </c>
      <c r="C150" s="20" t="s">
        <v>843</v>
      </c>
      <c r="D150" s="137">
        <v>3500000</v>
      </c>
      <c r="E150" s="20" t="s">
        <v>375</v>
      </c>
      <c r="F150" s="20" t="s">
        <v>376</v>
      </c>
      <c r="G150" s="8" t="str">
        <f t="shared" si="4"/>
        <v>GUNTHIER ERIC</v>
      </c>
      <c r="H150" s="20" t="str">
        <f t="shared" si="5"/>
        <v>4051</v>
      </c>
    </row>
    <row r="151" spans="1:8" x14ac:dyDescent="0.3">
      <c r="A151" s="8">
        <v>43112.687106481484</v>
      </c>
      <c r="B151" s="20" t="s">
        <v>573</v>
      </c>
      <c r="C151" s="20" t="s">
        <v>844</v>
      </c>
      <c r="D151" s="137">
        <v>2230000</v>
      </c>
      <c r="E151" s="20" t="s">
        <v>391</v>
      </c>
      <c r="F151" s="20" t="s">
        <v>351</v>
      </c>
      <c r="G151" s="8" t="str">
        <f t="shared" si="4"/>
        <v>SMITH MICHAEL</v>
      </c>
      <c r="H151" s="20" t="str">
        <f t="shared" si="5"/>
        <v>4016</v>
      </c>
    </row>
    <row r="152" spans="1:8" x14ac:dyDescent="0.3">
      <c r="A152" s="8">
        <v>43112.687175925923</v>
      </c>
      <c r="B152" s="20" t="s">
        <v>669</v>
      </c>
      <c r="C152" s="20" t="s">
        <v>682</v>
      </c>
      <c r="D152" s="137">
        <v>3840000</v>
      </c>
      <c r="E152" s="20" t="s">
        <v>482</v>
      </c>
      <c r="F152" s="20" t="s">
        <v>483</v>
      </c>
      <c r="G152" s="8" t="str">
        <f t="shared" si="4"/>
        <v>LONG FULLER</v>
      </c>
      <c r="H152" s="20" t="str">
        <f t="shared" si="5"/>
        <v>4003</v>
      </c>
    </row>
    <row r="153" spans="1:8" x14ac:dyDescent="0.3">
      <c r="A153" s="8">
        <v>43112.690925925926</v>
      </c>
      <c r="B153" s="20" t="s">
        <v>677</v>
      </c>
      <c r="C153" s="20" t="s">
        <v>845</v>
      </c>
      <c r="D153" s="137">
        <v>1300000</v>
      </c>
      <c r="E153" s="20" t="s">
        <v>357</v>
      </c>
      <c r="F153" s="20" t="s">
        <v>358</v>
      </c>
      <c r="G153" s="8" t="str">
        <f t="shared" si="4"/>
        <v>LEVIN SCOTT</v>
      </c>
      <c r="H153" s="20" t="str">
        <f t="shared" si="5"/>
        <v>4059</v>
      </c>
    </row>
    <row r="154" spans="1:8" x14ac:dyDescent="0.3">
      <c r="A154" s="8">
        <v>43112.693807870368</v>
      </c>
      <c r="B154" s="20" t="s">
        <v>563</v>
      </c>
      <c r="C154" s="20" t="s">
        <v>846</v>
      </c>
      <c r="D154" s="137">
        <v>1360000</v>
      </c>
      <c r="E154" s="20" t="s">
        <v>818</v>
      </c>
      <c r="F154" s="20" t="s">
        <v>819</v>
      </c>
      <c r="G154" s="8" t="str">
        <f t="shared" si="4"/>
        <v>SANTIZO D. EDY</v>
      </c>
      <c r="H154" s="20" t="str">
        <f t="shared" si="5"/>
        <v>4006</v>
      </c>
    </row>
    <row r="155" spans="1:8" x14ac:dyDescent="0.3">
      <c r="A155" s="8">
        <v>43112.701805555553</v>
      </c>
      <c r="B155" s="20" t="s">
        <v>496</v>
      </c>
      <c r="C155" s="20" t="s">
        <v>847</v>
      </c>
      <c r="D155" s="137">
        <v>2550000</v>
      </c>
      <c r="E155" s="20" t="s">
        <v>576</v>
      </c>
      <c r="F155" s="20" t="s">
        <v>577</v>
      </c>
      <c r="G155" s="8" t="str">
        <f t="shared" si="4"/>
        <v>BADERTSCHER DIANE</v>
      </c>
      <c r="H155" s="20" t="str">
        <f t="shared" si="5"/>
        <v>4039</v>
      </c>
    </row>
    <row r="156" spans="1:8" x14ac:dyDescent="0.3">
      <c r="A156" s="8">
        <v>43112.705960648149</v>
      </c>
      <c r="B156" s="20" t="s">
        <v>566</v>
      </c>
      <c r="C156" s="20" t="s">
        <v>685</v>
      </c>
      <c r="D156" s="137">
        <v>2230000</v>
      </c>
      <c r="E156" s="20" t="s">
        <v>391</v>
      </c>
      <c r="F156" s="20" t="s">
        <v>351</v>
      </c>
      <c r="G156" s="8" t="str">
        <f t="shared" si="4"/>
        <v>SMITH MICHAEL</v>
      </c>
      <c r="H156" s="20" t="str">
        <f t="shared" si="5"/>
        <v>4015</v>
      </c>
    </row>
    <row r="157" spans="1:8" x14ac:dyDescent="0.3">
      <c r="A157" s="8">
        <v>43112.70826388889</v>
      </c>
      <c r="B157" s="20" t="s">
        <v>683</v>
      </c>
      <c r="C157" s="20" t="s">
        <v>684</v>
      </c>
      <c r="D157" s="137">
        <v>3500000</v>
      </c>
      <c r="E157" s="20" t="s">
        <v>375</v>
      </c>
      <c r="F157" s="20" t="s">
        <v>376</v>
      </c>
      <c r="G157" s="8" t="str">
        <f t="shared" si="4"/>
        <v>GUNTHIER ERIC</v>
      </c>
      <c r="H157" s="20" t="str">
        <f t="shared" si="5"/>
        <v>4052</v>
      </c>
    </row>
    <row r="158" spans="1:8" x14ac:dyDescent="0.3">
      <c r="A158" s="8">
        <v>43112.708425925928</v>
      </c>
      <c r="B158" s="20" t="s">
        <v>711</v>
      </c>
      <c r="C158" s="20" t="s">
        <v>848</v>
      </c>
      <c r="D158" s="137">
        <v>3840000</v>
      </c>
      <c r="E158" s="20" t="s">
        <v>482</v>
      </c>
      <c r="F158" s="20" t="s">
        <v>483</v>
      </c>
      <c r="G158" s="8" t="str">
        <f t="shared" si="4"/>
        <v>LONG FULLER</v>
      </c>
      <c r="H158" s="20" t="str">
        <f t="shared" si="5"/>
        <v>4004</v>
      </c>
    </row>
    <row r="159" spans="1:8" x14ac:dyDescent="0.3">
      <c r="A159" s="8">
        <v>43112.709502314814</v>
      </c>
      <c r="B159" s="20" t="s">
        <v>565</v>
      </c>
      <c r="C159" s="20" t="s">
        <v>849</v>
      </c>
      <c r="D159" s="137">
        <v>2540000</v>
      </c>
      <c r="E159" s="20" t="s">
        <v>524</v>
      </c>
      <c r="F159" s="20" t="s">
        <v>525</v>
      </c>
      <c r="G159" s="8" t="str">
        <f t="shared" si="4"/>
        <v>MCREYNOLDS KYLE</v>
      </c>
      <c r="H159" s="20" t="str">
        <f t="shared" si="5"/>
        <v>4032</v>
      </c>
    </row>
    <row r="160" spans="1:8" x14ac:dyDescent="0.3">
      <c r="A160" s="8">
        <v>43112.713761574072</v>
      </c>
      <c r="B160" s="20" t="s">
        <v>691</v>
      </c>
      <c r="C160" s="20" t="s">
        <v>850</v>
      </c>
      <c r="D160" s="137">
        <v>2140000</v>
      </c>
      <c r="E160" s="20" t="s">
        <v>578</v>
      </c>
      <c r="F160" s="20" t="s">
        <v>579</v>
      </c>
      <c r="G160" s="8" t="str">
        <f t="shared" si="4"/>
        <v>ROBINSON KADDIBA</v>
      </c>
      <c r="H160" s="20" t="str">
        <f t="shared" si="5"/>
        <v>4027</v>
      </c>
    </row>
    <row r="161" spans="1:8" x14ac:dyDescent="0.3">
      <c r="A161" s="8">
        <v>43112.714571759258</v>
      </c>
      <c r="B161" s="20" t="s">
        <v>471</v>
      </c>
      <c r="C161" s="20" t="s">
        <v>851</v>
      </c>
      <c r="D161" s="137">
        <v>3000000</v>
      </c>
      <c r="E161" s="20" t="s">
        <v>455</v>
      </c>
      <c r="F161" s="20" t="s">
        <v>456</v>
      </c>
      <c r="G161" s="8" t="str">
        <f t="shared" si="4"/>
        <v>FORTUNATO FRANK</v>
      </c>
      <c r="H161" s="20" t="str">
        <f t="shared" si="5"/>
        <v>4026</v>
      </c>
    </row>
    <row r="162" spans="1:8" x14ac:dyDescent="0.3">
      <c r="A162" s="8">
        <v>43112.716249999998</v>
      </c>
      <c r="B162" s="20" t="s">
        <v>361</v>
      </c>
      <c r="C162" s="20" t="s">
        <v>852</v>
      </c>
      <c r="D162" s="137">
        <v>2630000</v>
      </c>
      <c r="E162" s="20" t="s">
        <v>371</v>
      </c>
      <c r="F162" s="20" t="s">
        <v>372</v>
      </c>
      <c r="G162" s="8" t="str">
        <f t="shared" si="4"/>
        <v>SAFIEF AEIMEN</v>
      </c>
      <c r="H162" s="20" t="str">
        <f t="shared" si="5"/>
        <v>4017</v>
      </c>
    </row>
    <row r="163" spans="1:8" x14ac:dyDescent="0.3">
      <c r="A163" s="8">
        <v>43112.725821759261</v>
      </c>
      <c r="B163" s="20" t="s">
        <v>560</v>
      </c>
      <c r="C163" s="20" t="s">
        <v>853</v>
      </c>
      <c r="D163" s="137">
        <v>1360000</v>
      </c>
      <c r="E163" s="20" t="s">
        <v>818</v>
      </c>
      <c r="F163" s="20" t="s">
        <v>819</v>
      </c>
      <c r="G163" s="8" t="str">
        <f t="shared" si="4"/>
        <v>SANTIZO D. EDY</v>
      </c>
      <c r="H163" s="20" t="str">
        <f t="shared" si="5"/>
        <v>4005</v>
      </c>
    </row>
    <row r="164" spans="1:8" x14ac:dyDescent="0.3">
      <c r="A164" s="8">
        <v>43112.7265625</v>
      </c>
      <c r="B164" s="20" t="s">
        <v>356</v>
      </c>
      <c r="C164" s="20" t="s">
        <v>854</v>
      </c>
      <c r="D164" s="137">
        <v>1300000</v>
      </c>
      <c r="E164" s="20" t="s">
        <v>357</v>
      </c>
      <c r="F164" s="20" t="s">
        <v>358</v>
      </c>
      <c r="G164" s="8" t="str">
        <f t="shared" si="4"/>
        <v>LEVIN SCOTT</v>
      </c>
      <c r="H164" s="20" t="str">
        <f t="shared" si="5"/>
        <v>4060</v>
      </c>
    </row>
    <row r="165" spans="1:8" x14ac:dyDescent="0.3">
      <c r="A165" s="8">
        <v>43112.727673611109</v>
      </c>
      <c r="B165" s="20" t="s">
        <v>675</v>
      </c>
      <c r="C165" s="20" t="s">
        <v>855</v>
      </c>
      <c r="D165" s="137">
        <v>3500000</v>
      </c>
      <c r="E165" s="20" t="s">
        <v>375</v>
      </c>
      <c r="F165" s="20" t="s">
        <v>376</v>
      </c>
      <c r="G165" s="8" t="str">
        <f t="shared" si="4"/>
        <v>GUNTHIER ERIC</v>
      </c>
      <c r="H165" s="20" t="str">
        <f t="shared" si="5"/>
        <v>4051</v>
      </c>
    </row>
    <row r="166" spans="1:8" x14ac:dyDescent="0.3">
      <c r="A166" s="8">
        <v>43112.732719907406</v>
      </c>
      <c r="B166" s="20" t="s">
        <v>573</v>
      </c>
      <c r="C166" s="20" t="s">
        <v>856</v>
      </c>
      <c r="D166" s="137">
        <v>2230000</v>
      </c>
      <c r="E166" s="20" t="s">
        <v>391</v>
      </c>
      <c r="F166" s="20" t="s">
        <v>351</v>
      </c>
      <c r="G166" s="8" t="str">
        <f t="shared" si="4"/>
        <v>SMITH MICHAEL</v>
      </c>
      <c r="H166" s="20" t="str">
        <f t="shared" si="5"/>
        <v>4016</v>
      </c>
    </row>
    <row r="167" spans="1:8" x14ac:dyDescent="0.3">
      <c r="A167" s="8">
        <v>43112.737222222226</v>
      </c>
      <c r="B167" s="20" t="s">
        <v>570</v>
      </c>
      <c r="C167" s="20" t="s">
        <v>686</v>
      </c>
      <c r="D167" s="137">
        <v>3810000</v>
      </c>
      <c r="E167" s="20" t="s">
        <v>484</v>
      </c>
      <c r="F167" s="20" t="s">
        <v>485</v>
      </c>
      <c r="G167" s="8" t="str">
        <f t="shared" si="4"/>
        <v>LORI SANTOS</v>
      </c>
      <c r="H167" s="20" t="str">
        <f t="shared" si="5"/>
        <v>4063</v>
      </c>
    </row>
    <row r="168" spans="1:8" x14ac:dyDescent="0.3">
      <c r="A168" s="8">
        <v>43112.737349537034</v>
      </c>
      <c r="B168" s="20" t="s">
        <v>497</v>
      </c>
      <c r="C168" s="20" t="s">
        <v>857</v>
      </c>
      <c r="D168" s="137">
        <v>3670000</v>
      </c>
      <c r="E168" s="20" t="s">
        <v>381</v>
      </c>
      <c r="F168" s="20" t="s">
        <v>367</v>
      </c>
      <c r="G168" s="8" t="str">
        <f t="shared" si="4"/>
        <v>ANDREA WILLIAMS</v>
      </c>
      <c r="H168" s="20" t="str">
        <f t="shared" si="5"/>
        <v>4040</v>
      </c>
    </row>
    <row r="169" spans="1:8" x14ac:dyDescent="0.3">
      <c r="A169" s="8">
        <v>43112.742372685185</v>
      </c>
      <c r="B169" s="20" t="s">
        <v>669</v>
      </c>
      <c r="C169" s="20" t="s">
        <v>858</v>
      </c>
      <c r="D169" s="137">
        <v>3840000</v>
      </c>
      <c r="E169" s="20" t="s">
        <v>482</v>
      </c>
      <c r="F169" s="20" t="s">
        <v>483</v>
      </c>
      <c r="G169" s="8" t="str">
        <f t="shared" si="4"/>
        <v>LONG FULLER</v>
      </c>
      <c r="H169" s="20" t="str">
        <f t="shared" si="5"/>
        <v>4003</v>
      </c>
    </row>
    <row r="170" spans="1:8" x14ac:dyDescent="0.3">
      <c r="A170" s="8">
        <v>43112.742581018516</v>
      </c>
      <c r="B170" s="20" t="s">
        <v>570</v>
      </c>
      <c r="C170" s="20" t="s">
        <v>686</v>
      </c>
      <c r="D170" s="137">
        <v>3810000</v>
      </c>
      <c r="E170" s="20" t="s">
        <v>484</v>
      </c>
      <c r="F170" s="20" t="s">
        <v>485</v>
      </c>
      <c r="G170" s="8" t="str">
        <f t="shared" si="4"/>
        <v>LORI SANTOS</v>
      </c>
      <c r="H170" s="20" t="str">
        <f t="shared" si="5"/>
        <v>4063</v>
      </c>
    </row>
    <row r="171" spans="1:8" x14ac:dyDescent="0.3">
      <c r="A171" s="8">
        <v>43112.745844907404</v>
      </c>
      <c r="B171" s="20" t="s">
        <v>470</v>
      </c>
      <c r="C171" s="20" t="s">
        <v>859</v>
      </c>
      <c r="D171" s="137">
        <v>3000000</v>
      </c>
      <c r="E171" s="20" t="s">
        <v>455</v>
      </c>
      <c r="F171" s="20" t="s">
        <v>456</v>
      </c>
      <c r="G171" s="8" t="str">
        <f t="shared" si="4"/>
        <v>FORTUNATO FRANK</v>
      </c>
      <c r="H171" s="20" t="str">
        <f t="shared" si="5"/>
        <v>4025</v>
      </c>
    </row>
    <row r="172" spans="1:8" x14ac:dyDescent="0.3">
      <c r="A172" s="8">
        <v>43112.747627314813</v>
      </c>
      <c r="B172" s="20" t="s">
        <v>389</v>
      </c>
      <c r="C172" s="20" t="s">
        <v>860</v>
      </c>
      <c r="D172" s="137">
        <v>2140000</v>
      </c>
      <c r="E172" s="20" t="s">
        <v>578</v>
      </c>
      <c r="F172" s="20" t="s">
        <v>579</v>
      </c>
      <c r="G172" s="8" t="str">
        <f t="shared" si="4"/>
        <v>ROBINSON KADDIBA</v>
      </c>
      <c r="H172" s="20" t="str">
        <f t="shared" si="5"/>
        <v>4028</v>
      </c>
    </row>
    <row r="173" spans="1:8" x14ac:dyDescent="0.3">
      <c r="A173" s="8">
        <v>43112.747731481482</v>
      </c>
      <c r="B173" s="20" t="s">
        <v>566</v>
      </c>
      <c r="C173" s="20" t="s">
        <v>861</v>
      </c>
      <c r="D173" s="137">
        <v>2230000</v>
      </c>
      <c r="E173" s="20" t="s">
        <v>391</v>
      </c>
      <c r="F173" s="20" t="s">
        <v>351</v>
      </c>
      <c r="G173" s="8" t="str">
        <f t="shared" si="4"/>
        <v>SMITH MICHAEL</v>
      </c>
      <c r="H173" s="20" t="str">
        <f t="shared" si="5"/>
        <v>4015</v>
      </c>
    </row>
    <row r="174" spans="1:8" x14ac:dyDescent="0.3">
      <c r="A174" s="8">
        <v>43112.752337962964</v>
      </c>
      <c r="B174" s="20" t="s">
        <v>683</v>
      </c>
      <c r="C174" s="20" t="s">
        <v>688</v>
      </c>
      <c r="D174" s="137">
        <v>3500000</v>
      </c>
      <c r="E174" s="20" t="s">
        <v>375</v>
      </c>
      <c r="F174" s="20" t="s">
        <v>376</v>
      </c>
      <c r="G174" s="8" t="str">
        <f t="shared" si="4"/>
        <v>GUNTHIER ERIC</v>
      </c>
      <c r="H174" s="20" t="str">
        <f t="shared" si="5"/>
        <v>4052</v>
      </c>
    </row>
    <row r="175" spans="1:8" x14ac:dyDescent="0.3">
      <c r="A175" s="8">
        <v>43112.758738425924</v>
      </c>
      <c r="B175" s="20" t="s">
        <v>359</v>
      </c>
      <c r="C175" s="20" t="s">
        <v>862</v>
      </c>
      <c r="D175" s="137">
        <v>3320000</v>
      </c>
      <c r="E175" s="20" t="s">
        <v>362</v>
      </c>
      <c r="F175" s="20" t="s">
        <v>363</v>
      </c>
      <c r="G175" s="8" t="str">
        <f t="shared" si="4"/>
        <v>NICHOLSON WESLEY</v>
      </c>
      <c r="H175" s="20" t="str">
        <f t="shared" si="5"/>
        <v>4018</v>
      </c>
    </row>
    <row r="176" spans="1:8" x14ac:dyDescent="0.3">
      <c r="A176" s="8">
        <v>43112.760613425926</v>
      </c>
      <c r="B176" s="20" t="s">
        <v>677</v>
      </c>
      <c r="C176" s="20" t="s">
        <v>690</v>
      </c>
      <c r="D176" s="137">
        <v>1300000</v>
      </c>
      <c r="E176" s="20" t="s">
        <v>357</v>
      </c>
      <c r="F176" s="20" t="s">
        <v>358</v>
      </c>
      <c r="G176" s="8" t="str">
        <f t="shared" si="4"/>
        <v>LEVIN SCOTT</v>
      </c>
      <c r="H176" s="20" t="str">
        <f t="shared" si="5"/>
        <v>4059</v>
      </c>
    </row>
    <row r="177" spans="1:8" x14ac:dyDescent="0.3">
      <c r="A177" s="8">
        <v>43112.767465277779</v>
      </c>
      <c r="B177" s="20" t="s">
        <v>496</v>
      </c>
      <c r="C177" s="20" t="s">
        <v>863</v>
      </c>
      <c r="D177" s="137">
        <v>3670000</v>
      </c>
      <c r="E177" s="20" t="s">
        <v>381</v>
      </c>
      <c r="F177" s="20" t="s">
        <v>367</v>
      </c>
      <c r="G177" s="8" t="str">
        <f t="shared" si="4"/>
        <v>ANDREA WILLIAMS</v>
      </c>
      <c r="H177" s="20" t="str">
        <f t="shared" si="5"/>
        <v>4039</v>
      </c>
    </row>
    <row r="178" spans="1:8" x14ac:dyDescent="0.3">
      <c r="A178" s="8">
        <v>43112.769791666666</v>
      </c>
      <c r="B178" s="20" t="s">
        <v>573</v>
      </c>
      <c r="C178" s="20" t="s">
        <v>689</v>
      </c>
      <c r="D178" s="137">
        <v>2230000</v>
      </c>
      <c r="E178" s="20" t="s">
        <v>391</v>
      </c>
      <c r="F178" s="20" t="s">
        <v>351</v>
      </c>
      <c r="G178" s="8" t="str">
        <f t="shared" si="4"/>
        <v>SMITH MICHAEL</v>
      </c>
      <c r="H178" s="20" t="str">
        <f t="shared" si="5"/>
        <v>4016</v>
      </c>
    </row>
    <row r="179" spans="1:8" x14ac:dyDescent="0.3">
      <c r="A179" s="8">
        <v>43112.769861111112</v>
      </c>
      <c r="B179" s="20" t="s">
        <v>563</v>
      </c>
      <c r="C179" s="20" t="s">
        <v>864</v>
      </c>
      <c r="D179" s="137">
        <v>3700000</v>
      </c>
      <c r="E179" s="20" t="s">
        <v>436</v>
      </c>
      <c r="F179" s="20" t="s">
        <v>368</v>
      </c>
      <c r="G179" s="8" t="str">
        <f t="shared" si="4"/>
        <v>AUSTIN THOMPSON</v>
      </c>
      <c r="H179" s="20" t="str">
        <f t="shared" si="5"/>
        <v>4006</v>
      </c>
    </row>
    <row r="180" spans="1:8" x14ac:dyDescent="0.3">
      <c r="A180" s="8">
        <v>43112.770069444443</v>
      </c>
      <c r="B180" s="20" t="s">
        <v>675</v>
      </c>
      <c r="C180" s="20" t="s">
        <v>865</v>
      </c>
      <c r="D180" s="137">
        <v>3500000</v>
      </c>
      <c r="E180" s="20" t="s">
        <v>375</v>
      </c>
      <c r="F180" s="20" t="s">
        <v>376</v>
      </c>
      <c r="G180" s="8" t="str">
        <f t="shared" si="4"/>
        <v>GUNTHIER ERIC</v>
      </c>
      <c r="H180" s="20" t="str">
        <f t="shared" si="5"/>
        <v>4051</v>
      </c>
    </row>
    <row r="181" spans="1:8" x14ac:dyDescent="0.3">
      <c r="A181" s="8">
        <v>43112.77652777778</v>
      </c>
      <c r="B181" s="20" t="s">
        <v>711</v>
      </c>
      <c r="C181" s="20" t="s">
        <v>866</v>
      </c>
      <c r="D181" s="137">
        <v>3840000</v>
      </c>
      <c r="E181" s="20" t="s">
        <v>482</v>
      </c>
      <c r="F181" s="20" t="s">
        <v>483</v>
      </c>
      <c r="G181" s="8" t="str">
        <f t="shared" si="4"/>
        <v>LONG FULLER</v>
      </c>
      <c r="H181" s="20" t="str">
        <f t="shared" si="5"/>
        <v>4004</v>
      </c>
    </row>
    <row r="182" spans="1:8" x14ac:dyDescent="0.3">
      <c r="A182" s="8">
        <v>43112.778773148151</v>
      </c>
      <c r="B182" s="20" t="s">
        <v>711</v>
      </c>
      <c r="C182" s="20" t="s">
        <v>866</v>
      </c>
      <c r="D182" s="137">
        <v>3840000</v>
      </c>
      <c r="E182" s="20" t="s">
        <v>482</v>
      </c>
      <c r="F182" s="20" t="s">
        <v>483</v>
      </c>
      <c r="G182" s="8" t="str">
        <f t="shared" si="4"/>
        <v>LONG FULLER</v>
      </c>
      <c r="H182" s="20" t="str">
        <f t="shared" si="5"/>
        <v>4004</v>
      </c>
    </row>
    <row r="183" spans="1:8" x14ac:dyDescent="0.3">
      <c r="A183" s="8">
        <v>43112.785104166665</v>
      </c>
      <c r="B183" s="20" t="s">
        <v>691</v>
      </c>
      <c r="C183" s="20" t="s">
        <v>692</v>
      </c>
      <c r="D183" s="137">
        <v>2140000</v>
      </c>
      <c r="E183" s="20" t="s">
        <v>578</v>
      </c>
      <c r="F183" s="20" t="s">
        <v>579</v>
      </c>
      <c r="G183" s="8" t="str">
        <f t="shared" si="4"/>
        <v>ROBINSON KADDIBA</v>
      </c>
      <c r="H183" s="20" t="str">
        <f t="shared" si="5"/>
        <v>4027</v>
      </c>
    </row>
    <row r="184" spans="1:8" x14ac:dyDescent="0.3">
      <c r="A184" s="8">
        <v>43112.78869212963</v>
      </c>
      <c r="B184" s="20" t="s">
        <v>471</v>
      </c>
      <c r="C184" s="20" t="s">
        <v>867</v>
      </c>
      <c r="D184" s="137">
        <v>3310000</v>
      </c>
      <c r="E184" s="20" t="s">
        <v>438</v>
      </c>
      <c r="F184" s="20" t="s">
        <v>439</v>
      </c>
      <c r="G184" s="8" t="str">
        <f t="shared" si="4"/>
        <v>ANDERS STEVEN</v>
      </c>
      <c r="H184" s="20" t="str">
        <f t="shared" si="5"/>
        <v>4026</v>
      </c>
    </row>
    <row r="185" spans="1:8" x14ac:dyDescent="0.3">
      <c r="A185" s="8">
        <v>43112.789606481485</v>
      </c>
      <c r="B185" s="20" t="s">
        <v>566</v>
      </c>
      <c r="C185" s="20" t="s">
        <v>868</v>
      </c>
      <c r="D185" s="137">
        <v>2230000</v>
      </c>
      <c r="E185" s="20" t="s">
        <v>391</v>
      </c>
      <c r="F185" s="20" t="s">
        <v>351</v>
      </c>
      <c r="G185" s="8" t="str">
        <f t="shared" si="4"/>
        <v>SMITH MICHAEL</v>
      </c>
      <c r="H185" s="20" t="str">
        <f t="shared" si="5"/>
        <v>4015</v>
      </c>
    </row>
    <row r="186" spans="1:8" x14ac:dyDescent="0.3">
      <c r="A186" s="8">
        <v>43112.791238425925</v>
      </c>
      <c r="B186" s="20" t="s">
        <v>361</v>
      </c>
      <c r="C186" s="20" t="s">
        <v>869</v>
      </c>
      <c r="D186" s="137">
        <v>3320000</v>
      </c>
      <c r="E186" s="20" t="s">
        <v>362</v>
      </c>
      <c r="F186" s="20" t="s">
        <v>363</v>
      </c>
      <c r="G186" s="8" t="str">
        <f t="shared" si="4"/>
        <v>NICHOLSON WESLEY</v>
      </c>
      <c r="H186" s="20" t="str">
        <f t="shared" si="5"/>
        <v>4017</v>
      </c>
    </row>
    <row r="187" spans="1:8" x14ac:dyDescent="0.3">
      <c r="A187" s="8">
        <v>43112.791689814818</v>
      </c>
      <c r="B187" s="20" t="s">
        <v>683</v>
      </c>
      <c r="C187" s="20" t="s">
        <v>870</v>
      </c>
      <c r="D187" s="137">
        <v>3500000</v>
      </c>
      <c r="E187" s="20" t="s">
        <v>375</v>
      </c>
      <c r="F187" s="20" t="s">
        <v>376</v>
      </c>
      <c r="G187" s="8" t="str">
        <f t="shared" si="4"/>
        <v>GUNTHIER ERIC</v>
      </c>
      <c r="H187" s="20" t="str">
        <f t="shared" si="5"/>
        <v>4052</v>
      </c>
    </row>
    <row r="188" spans="1:8" x14ac:dyDescent="0.3">
      <c r="A188" s="8">
        <v>43112.798587962963</v>
      </c>
      <c r="B188" s="20" t="s">
        <v>356</v>
      </c>
      <c r="C188" s="20" t="s">
        <v>871</v>
      </c>
      <c r="D188" s="137">
        <v>1300000</v>
      </c>
      <c r="E188" s="20" t="s">
        <v>357</v>
      </c>
      <c r="F188" s="20" t="s">
        <v>358</v>
      </c>
      <c r="G188" s="8" t="str">
        <f t="shared" si="4"/>
        <v>LEVIN SCOTT</v>
      </c>
      <c r="H188" s="20" t="str">
        <f t="shared" si="5"/>
        <v>4060</v>
      </c>
    </row>
    <row r="189" spans="1:8" x14ac:dyDescent="0.3">
      <c r="A189" s="8">
        <v>43112.808437500003</v>
      </c>
      <c r="B189" s="20" t="s">
        <v>497</v>
      </c>
      <c r="C189" s="20" t="s">
        <v>872</v>
      </c>
      <c r="D189" s="137">
        <v>3670000</v>
      </c>
      <c r="E189" s="20" t="s">
        <v>381</v>
      </c>
      <c r="F189" s="20" t="s">
        <v>367</v>
      </c>
      <c r="G189" s="8" t="str">
        <f t="shared" si="4"/>
        <v>ANDREA WILLIAMS</v>
      </c>
      <c r="H189" s="20" t="str">
        <f t="shared" si="5"/>
        <v>4040</v>
      </c>
    </row>
    <row r="190" spans="1:8" x14ac:dyDescent="0.3">
      <c r="A190" s="8">
        <v>43112.80976851852</v>
      </c>
      <c r="B190" s="20" t="s">
        <v>560</v>
      </c>
      <c r="C190" s="20" t="s">
        <v>873</v>
      </c>
      <c r="D190" s="137">
        <v>3700000</v>
      </c>
      <c r="E190" s="20" t="s">
        <v>436</v>
      </c>
      <c r="F190" s="20" t="s">
        <v>368</v>
      </c>
      <c r="G190" s="8" t="str">
        <f t="shared" si="4"/>
        <v>AUSTIN THOMPSON</v>
      </c>
      <c r="H190" s="20" t="str">
        <f t="shared" si="5"/>
        <v>4005</v>
      </c>
    </row>
    <row r="191" spans="1:8" x14ac:dyDescent="0.3">
      <c r="A191" s="8">
        <v>43112.810104166667</v>
      </c>
      <c r="B191" s="20" t="s">
        <v>675</v>
      </c>
      <c r="C191" s="20" t="s">
        <v>693</v>
      </c>
      <c r="D191" s="137">
        <v>3500000</v>
      </c>
      <c r="E191" s="20" t="s">
        <v>375</v>
      </c>
      <c r="F191" s="20" t="s">
        <v>376</v>
      </c>
      <c r="G191" s="8" t="str">
        <f t="shared" si="4"/>
        <v>GUNTHIER ERIC</v>
      </c>
      <c r="H191" s="20" t="str">
        <f t="shared" si="5"/>
        <v>4051</v>
      </c>
    </row>
    <row r="192" spans="1:8" x14ac:dyDescent="0.3">
      <c r="A192" s="8">
        <v>43112.818449074075</v>
      </c>
      <c r="B192" s="20" t="s">
        <v>389</v>
      </c>
      <c r="C192" s="20" t="s">
        <v>874</v>
      </c>
      <c r="D192" s="137">
        <v>2140000</v>
      </c>
      <c r="E192" s="20" t="s">
        <v>578</v>
      </c>
      <c r="F192" s="20" t="s">
        <v>579</v>
      </c>
      <c r="G192" s="8" t="str">
        <f t="shared" si="4"/>
        <v>ROBINSON KADDIBA</v>
      </c>
      <c r="H192" s="20" t="str">
        <f t="shared" si="5"/>
        <v>4028</v>
      </c>
    </row>
    <row r="193" spans="1:8" x14ac:dyDescent="0.3">
      <c r="A193" s="8">
        <v>43112.820115740738</v>
      </c>
      <c r="B193" s="20" t="s">
        <v>470</v>
      </c>
      <c r="C193" s="20" t="s">
        <v>875</v>
      </c>
      <c r="D193" s="137">
        <v>3310000</v>
      </c>
      <c r="E193" s="20" t="s">
        <v>438</v>
      </c>
      <c r="F193" s="20" t="s">
        <v>439</v>
      </c>
      <c r="G193" s="8" t="str">
        <f t="shared" si="4"/>
        <v>ANDERS STEVEN</v>
      </c>
      <c r="H193" s="20" t="str">
        <f t="shared" si="5"/>
        <v>4025</v>
      </c>
    </row>
    <row r="194" spans="1:8" x14ac:dyDescent="0.3">
      <c r="A194" s="8">
        <v>43112.831064814818</v>
      </c>
      <c r="B194" s="20" t="s">
        <v>359</v>
      </c>
      <c r="C194" s="20" t="s">
        <v>876</v>
      </c>
      <c r="D194" s="137">
        <v>3130000</v>
      </c>
      <c r="E194" s="20" t="s">
        <v>504</v>
      </c>
      <c r="F194" s="20" t="s">
        <v>505</v>
      </c>
      <c r="G194" s="8" t="str">
        <f t="shared" si="4"/>
        <v>ZEWDU DEREJE</v>
      </c>
      <c r="H194" s="20" t="str">
        <f t="shared" si="5"/>
        <v>4018</v>
      </c>
    </row>
    <row r="195" spans="1:8" x14ac:dyDescent="0.3">
      <c r="A195" s="8">
        <v>43112.835462962961</v>
      </c>
      <c r="B195" s="20" t="s">
        <v>683</v>
      </c>
      <c r="C195" s="20" t="s">
        <v>877</v>
      </c>
      <c r="D195" s="137">
        <v>3500000</v>
      </c>
      <c r="E195" s="20" t="s">
        <v>375</v>
      </c>
      <c r="F195" s="20" t="s">
        <v>376</v>
      </c>
      <c r="G195" s="8" t="str">
        <f t="shared" ref="G195:G258" si="6">E195&amp;" "&amp;F195</f>
        <v>GUNTHIER ERIC</v>
      </c>
      <c r="H195" s="20" t="str">
        <f t="shared" ref="H195:H258" si="7">MID(B195,13,4)</f>
        <v>4052</v>
      </c>
    </row>
    <row r="196" spans="1:8" x14ac:dyDescent="0.3">
      <c r="A196" s="8">
        <v>43112.840069444443</v>
      </c>
      <c r="B196" s="20" t="s">
        <v>496</v>
      </c>
      <c r="C196" s="20" t="s">
        <v>878</v>
      </c>
      <c r="D196" s="137">
        <v>3670000</v>
      </c>
      <c r="E196" s="20" t="s">
        <v>381</v>
      </c>
      <c r="F196" s="20" t="s">
        <v>367</v>
      </c>
      <c r="G196" s="8" t="str">
        <f t="shared" si="6"/>
        <v>ANDREA WILLIAMS</v>
      </c>
      <c r="H196" s="20" t="str">
        <f t="shared" si="7"/>
        <v>4039</v>
      </c>
    </row>
    <row r="197" spans="1:8" x14ac:dyDescent="0.3">
      <c r="A197" s="8">
        <v>43112.851122685184</v>
      </c>
      <c r="B197" s="20" t="s">
        <v>563</v>
      </c>
      <c r="C197" s="20" t="s">
        <v>879</v>
      </c>
      <c r="D197" s="137">
        <v>3700000</v>
      </c>
      <c r="E197" s="20" t="s">
        <v>436</v>
      </c>
      <c r="F197" s="20" t="s">
        <v>368</v>
      </c>
      <c r="G197" s="8" t="str">
        <f t="shared" si="6"/>
        <v>AUSTIN THOMPSON</v>
      </c>
      <c r="H197" s="20" t="str">
        <f t="shared" si="7"/>
        <v>4006</v>
      </c>
    </row>
    <row r="198" spans="1:8" x14ac:dyDescent="0.3">
      <c r="A198" s="8">
        <v>43112.854004629633</v>
      </c>
      <c r="B198" s="20" t="s">
        <v>675</v>
      </c>
      <c r="C198" s="20" t="s">
        <v>880</v>
      </c>
      <c r="D198" s="137">
        <v>3500000</v>
      </c>
      <c r="E198" s="20" t="s">
        <v>375</v>
      </c>
      <c r="F198" s="20" t="s">
        <v>376</v>
      </c>
      <c r="G198" s="8" t="str">
        <f t="shared" si="6"/>
        <v>GUNTHIER ERIC</v>
      </c>
      <c r="H198" s="20" t="str">
        <f t="shared" si="7"/>
        <v>4051</v>
      </c>
    </row>
    <row r="199" spans="1:8" x14ac:dyDescent="0.3">
      <c r="A199" s="8">
        <v>43112.859340277777</v>
      </c>
      <c r="B199" s="20" t="s">
        <v>471</v>
      </c>
      <c r="C199" s="20" t="s">
        <v>881</v>
      </c>
      <c r="D199" s="137">
        <v>3310000</v>
      </c>
      <c r="E199" s="20" t="s">
        <v>438</v>
      </c>
      <c r="F199" s="20" t="s">
        <v>439</v>
      </c>
      <c r="G199" s="8" t="str">
        <f t="shared" si="6"/>
        <v>ANDERS STEVEN</v>
      </c>
      <c r="H199" s="20" t="str">
        <f t="shared" si="7"/>
        <v>4026</v>
      </c>
    </row>
    <row r="200" spans="1:8" x14ac:dyDescent="0.3">
      <c r="A200" s="8">
        <v>43112.867604166669</v>
      </c>
      <c r="B200" s="20" t="s">
        <v>361</v>
      </c>
      <c r="C200" s="20" t="s">
        <v>882</v>
      </c>
      <c r="D200" s="137">
        <v>3130000</v>
      </c>
      <c r="E200" s="20" t="s">
        <v>504</v>
      </c>
      <c r="F200" s="20" t="s">
        <v>505</v>
      </c>
      <c r="G200" s="8" t="str">
        <f t="shared" si="6"/>
        <v>ZEWDU DEREJE</v>
      </c>
      <c r="H200" s="20" t="str">
        <f t="shared" si="7"/>
        <v>4017</v>
      </c>
    </row>
    <row r="201" spans="1:8" x14ac:dyDescent="0.3">
      <c r="A201" s="8">
        <v>43112.877476851849</v>
      </c>
      <c r="B201" s="20" t="s">
        <v>683</v>
      </c>
      <c r="C201" s="20" t="s">
        <v>883</v>
      </c>
      <c r="D201" s="137">
        <v>2230000</v>
      </c>
      <c r="E201" s="20" t="s">
        <v>391</v>
      </c>
      <c r="F201" s="20" t="s">
        <v>351</v>
      </c>
      <c r="G201" s="8" t="str">
        <f t="shared" si="6"/>
        <v>SMITH MICHAEL</v>
      </c>
      <c r="H201" s="20" t="str">
        <f t="shared" si="7"/>
        <v>4052</v>
      </c>
    </row>
    <row r="202" spans="1:8" x14ac:dyDescent="0.3">
      <c r="A202" s="26">
        <v>43112.882939814815</v>
      </c>
      <c r="B202" s="20" t="s">
        <v>497</v>
      </c>
      <c r="C202" s="20" t="s">
        <v>694</v>
      </c>
      <c r="D202" s="137">
        <v>3670000</v>
      </c>
      <c r="E202" s="20" t="s">
        <v>381</v>
      </c>
      <c r="F202" s="20" t="s">
        <v>367</v>
      </c>
      <c r="G202" s="8" t="str">
        <f t="shared" si="6"/>
        <v>ANDREA WILLIAMS</v>
      </c>
      <c r="H202" s="20" t="str">
        <f t="shared" si="7"/>
        <v>4040</v>
      </c>
    </row>
    <row r="203" spans="1:8" x14ac:dyDescent="0.3">
      <c r="A203" s="8">
        <v>43112.892245370371</v>
      </c>
      <c r="B203" s="20" t="s">
        <v>560</v>
      </c>
      <c r="C203" s="20" t="s">
        <v>884</v>
      </c>
      <c r="D203" s="137">
        <v>3700000</v>
      </c>
      <c r="E203" s="20" t="s">
        <v>436</v>
      </c>
      <c r="F203" s="20" t="s">
        <v>368</v>
      </c>
      <c r="G203" s="8" t="str">
        <f t="shared" si="6"/>
        <v>AUSTIN THOMPSON</v>
      </c>
      <c r="H203" s="20" t="str">
        <f t="shared" si="7"/>
        <v>4005</v>
      </c>
    </row>
    <row r="204" spans="1:8" x14ac:dyDescent="0.3">
      <c r="A204" s="8">
        <v>43112.893379629626</v>
      </c>
      <c r="B204" s="20" t="s">
        <v>675</v>
      </c>
      <c r="C204" s="20" t="s">
        <v>695</v>
      </c>
      <c r="D204" s="137">
        <v>2230000</v>
      </c>
      <c r="E204" s="20" t="s">
        <v>391</v>
      </c>
      <c r="F204" s="20" t="s">
        <v>351</v>
      </c>
      <c r="G204" s="8" t="str">
        <f t="shared" si="6"/>
        <v>SMITH MICHAEL</v>
      </c>
      <c r="H204" s="20" t="str">
        <f t="shared" si="7"/>
        <v>4051</v>
      </c>
    </row>
    <row r="205" spans="1:8" x14ac:dyDescent="0.3">
      <c r="A205" s="8">
        <v>43112.912199074075</v>
      </c>
      <c r="B205" s="20" t="s">
        <v>359</v>
      </c>
      <c r="C205" s="20" t="s">
        <v>885</v>
      </c>
      <c r="D205" s="137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4018</v>
      </c>
    </row>
    <row r="206" spans="1:8" x14ac:dyDescent="0.3">
      <c r="A206" s="8">
        <v>43112.912800925929</v>
      </c>
      <c r="B206" s="20" t="s">
        <v>470</v>
      </c>
      <c r="C206" s="20" t="s">
        <v>886</v>
      </c>
      <c r="D206" s="137">
        <v>3310000</v>
      </c>
      <c r="E206" s="20" t="s">
        <v>438</v>
      </c>
      <c r="F206" s="20" t="s">
        <v>439</v>
      </c>
      <c r="G206" s="8" t="str">
        <f t="shared" si="6"/>
        <v>ANDERS STEVEN</v>
      </c>
      <c r="H206" s="20" t="str">
        <f t="shared" si="7"/>
        <v>4025</v>
      </c>
    </row>
    <row r="207" spans="1:8" x14ac:dyDescent="0.3">
      <c r="A207" s="8">
        <v>43112.916932870372</v>
      </c>
      <c r="B207" s="20" t="s">
        <v>683</v>
      </c>
      <c r="C207" s="20" t="s">
        <v>887</v>
      </c>
      <c r="D207" s="137">
        <v>2230000</v>
      </c>
      <c r="E207" s="20" t="s">
        <v>391</v>
      </c>
      <c r="F207" s="20" t="s">
        <v>351</v>
      </c>
      <c r="G207" s="8" t="str">
        <f t="shared" si="6"/>
        <v>SMITH MICHAEL</v>
      </c>
      <c r="H207" s="20" t="str">
        <f t="shared" si="7"/>
        <v>4052</v>
      </c>
    </row>
    <row r="208" spans="1:8" x14ac:dyDescent="0.3">
      <c r="A208" s="8">
        <v>43112.930937500001</v>
      </c>
      <c r="B208" s="20" t="s">
        <v>496</v>
      </c>
      <c r="C208" s="20" t="s">
        <v>888</v>
      </c>
      <c r="D208" s="137">
        <v>3670000</v>
      </c>
      <c r="E208" s="20" t="s">
        <v>381</v>
      </c>
      <c r="F208" s="20" t="s">
        <v>367</v>
      </c>
      <c r="G208" s="8" t="str">
        <f t="shared" si="6"/>
        <v>ANDREA WILLIAMS</v>
      </c>
      <c r="H208" s="20" t="str">
        <f t="shared" si="7"/>
        <v>4039</v>
      </c>
    </row>
    <row r="209" spans="1:8" x14ac:dyDescent="0.3">
      <c r="A209" s="8">
        <v>43112.935312499998</v>
      </c>
      <c r="B209" s="20" t="s">
        <v>675</v>
      </c>
      <c r="C209" s="20" t="s">
        <v>889</v>
      </c>
      <c r="D209" s="137">
        <v>2230000</v>
      </c>
      <c r="E209" s="20" t="s">
        <v>391</v>
      </c>
      <c r="F209" s="20" t="s">
        <v>351</v>
      </c>
      <c r="G209" s="8" t="str">
        <f t="shared" si="6"/>
        <v>SMITH MICHAEL</v>
      </c>
      <c r="H209" s="20" t="str">
        <f t="shared" si="7"/>
        <v>4051</v>
      </c>
    </row>
    <row r="210" spans="1:8" x14ac:dyDescent="0.3">
      <c r="A210" s="8">
        <v>43112.935671296298</v>
      </c>
      <c r="B210" s="20" t="s">
        <v>563</v>
      </c>
      <c r="C210" s="20" t="s">
        <v>890</v>
      </c>
      <c r="D210" s="137">
        <v>3700000</v>
      </c>
      <c r="E210" s="20" t="s">
        <v>436</v>
      </c>
      <c r="F210" s="20" t="s">
        <v>368</v>
      </c>
      <c r="G210" s="8" t="str">
        <f t="shared" si="6"/>
        <v>AUSTIN THOMPSON</v>
      </c>
      <c r="H210" s="20" t="str">
        <f t="shared" si="7"/>
        <v>4006</v>
      </c>
    </row>
    <row r="211" spans="1:8" x14ac:dyDescent="0.3">
      <c r="A211" s="8">
        <v>43112.950324074074</v>
      </c>
      <c r="B211" s="20" t="s">
        <v>361</v>
      </c>
      <c r="C211" s="20" t="s">
        <v>891</v>
      </c>
      <c r="D211" s="137">
        <v>3320000</v>
      </c>
      <c r="E211" s="20" t="s">
        <v>362</v>
      </c>
      <c r="F211" s="20" t="s">
        <v>363</v>
      </c>
      <c r="G211" s="8" t="str">
        <f t="shared" si="6"/>
        <v>NICHOLSON WESLEY</v>
      </c>
      <c r="H211" s="20" t="str">
        <f t="shared" si="7"/>
        <v>4017</v>
      </c>
    </row>
    <row r="212" spans="1:8" x14ac:dyDescent="0.3">
      <c r="A212" s="8">
        <v>43112.957546296297</v>
      </c>
      <c r="B212" s="20" t="s">
        <v>471</v>
      </c>
      <c r="C212" s="20" t="s">
        <v>892</v>
      </c>
      <c r="D212" s="137">
        <v>3310000</v>
      </c>
      <c r="E212" s="20" t="s">
        <v>438</v>
      </c>
      <c r="F212" s="20" t="s">
        <v>439</v>
      </c>
      <c r="G212" s="8" t="str">
        <f t="shared" si="6"/>
        <v>ANDERS STEVEN</v>
      </c>
      <c r="H212" s="20" t="str">
        <f t="shared" si="7"/>
        <v>4026</v>
      </c>
    </row>
    <row r="213" spans="1:8" x14ac:dyDescent="0.3">
      <c r="A213" s="8">
        <v>43112.95884259259</v>
      </c>
      <c r="B213" s="20" t="s">
        <v>683</v>
      </c>
      <c r="C213" s="20" t="s">
        <v>893</v>
      </c>
      <c r="D213" s="137">
        <v>2230000</v>
      </c>
      <c r="E213" s="20" t="s">
        <v>391</v>
      </c>
      <c r="F213" s="20" t="s">
        <v>351</v>
      </c>
      <c r="G213" s="8" t="str">
        <f t="shared" si="6"/>
        <v>SMITH MICHAEL</v>
      </c>
      <c r="H213" s="20" t="str">
        <f t="shared" si="7"/>
        <v>4052</v>
      </c>
    </row>
    <row r="214" spans="1:8" x14ac:dyDescent="0.3">
      <c r="A214" s="8">
        <v>43112.966828703706</v>
      </c>
      <c r="B214" s="20" t="s">
        <v>497</v>
      </c>
      <c r="C214" s="20" t="s">
        <v>696</v>
      </c>
      <c r="D214" s="137">
        <v>3670000</v>
      </c>
      <c r="E214" s="20" t="s">
        <v>381</v>
      </c>
      <c r="F214" s="20" t="s">
        <v>367</v>
      </c>
      <c r="G214" s="8" t="str">
        <f t="shared" si="6"/>
        <v>ANDREA WILLIAMS</v>
      </c>
      <c r="H214" s="20" t="str">
        <f t="shared" si="7"/>
        <v>4040</v>
      </c>
    </row>
    <row r="215" spans="1:8" x14ac:dyDescent="0.3">
      <c r="A215" s="8">
        <v>43112.975381944445</v>
      </c>
      <c r="B215" s="20" t="s">
        <v>560</v>
      </c>
      <c r="C215" s="20" t="s">
        <v>894</v>
      </c>
      <c r="D215" s="137">
        <v>3700000</v>
      </c>
      <c r="E215" s="20" t="s">
        <v>436</v>
      </c>
      <c r="F215" s="20" t="s">
        <v>368</v>
      </c>
      <c r="G215" s="8" t="str">
        <f t="shared" si="6"/>
        <v>AUSTIN THOMPSON</v>
      </c>
      <c r="H215" s="20" t="str">
        <f t="shared" si="7"/>
        <v>4005</v>
      </c>
    </row>
    <row r="216" spans="1:8" x14ac:dyDescent="0.3">
      <c r="A216" s="8">
        <v>43112.977314814816</v>
      </c>
      <c r="B216" s="20" t="s">
        <v>675</v>
      </c>
      <c r="C216" s="20" t="s">
        <v>895</v>
      </c>
      <c r="D216" s="137">
        <v>2230000</v>
      </c>
      <c r="E216" s="20" t="s">
        <v>391</v>
      </c>
      <c r="F216" s="20" t="s">
        <v>351</v>
      </c>
      <c r="G216" s="8" t="str">
        <f t="shared" si="6"/>
        <v>SMITH MICHAEL</v>
      </c>
      <c r="H216" s="20" t="str">
        <f t="shared" si="7"/>
        <v>4051</v>
      </c>
    </row>
    <row r="217" spans="1:8" x14ac:dyDescent="0.3">
      <c r="A217" s="8">
        <v>43112.992071759261</v>
      </c>
      <c r="B217" s="20" t="s">
        <v>359</v>
      </c>
      <c r="C217" s="20" t="s">
        <v>896</v>
      </c>
      <c r="D217" s="137">
        <v>3320000</v>
      </c>
      <c r="E217" s="20" t="s">
        <v>362</v>
      </c>
      <c r="F217" s="20" t="s">
        <v>363</v>
      </c>
      <c r="G217" s="8" t="str">
        <f t="shared" si="6"/>
        <v>NICHOLSON WESLEY</v>
      </c>
      <c r="H217" s="20" t="str">
        <f t="shared" si="7"/>
        <v>4018</v>
      </c>
    </row>
    <row r="218" spans="1:8" x14ac:dyDescent="0.3">
      <c r="A218" s="8">
        <v>43112.996157407404</v>
      </c>
      <c r="B218" s="20" t="s">
        <v>470</v>
      </c>
      <c r="C218" s="20" t="s">
        <v>897</v>
      </c>
      <c r="D218" s="137">
        <v>3310000</v>
      </c>
      <c r="E218" s="20" t="s">
        <v>438</v>
      </c>
      <c r="F218" s="20" t="s">
        <v>439</v>
      </c>
      <c r="G218" s="8" t="str">
        <f t="shared" si="6"/>
        <v>ANDERS STEVEN</v>
      </c>
      <c r="H218" s="20" t="str">
        <f t="shared" si="7"/>
        <v>4025</v>
      </c>
    </row>
    <row r="219" spans="1:8" x14ac:dyDescent="0.3">
      <c r="A219" s="8">
        <v>43113.012106481481</v>
      </c>
      <c r="B219" s="20" t="s">
        <v>496</v>
      </c>
      <c r="C219" s="20" t="s">
        <v>898</v>
      </c>
      <c r="D219" s="137">
        <v>3670000</v>
      </c>
      <c r="E219" s="20" t="s">
        <v>381</v>
      </c>
      <c r="F219" s="20" t="s">
        <v>367</v>
      </c>
      <c r="G219" s="8" t="str">
        <f t="shared" si="6"/>
        <v>ANDREA WILLIAMS</v>
      </c>
      <c r="H219" s="20" t="str">
        <f t="shared" si="7"/>
        <v>4039</v>
      </c>
    </row>
    <row r="220" spans="1:8" x14ac:dyDescent="0.3">
      <c r="A220" s="8">
        <v>43113.017824074072</v>
      </c>
      <c r="B220" s="20" t="s">
        <v>563</v>
      </c>
      <c r="C220" s="20" t="s">
        <v>899</v>
      </c>
      <c r="D220" s="137">
        <v>3700000</v>
      </c>
      <c r="E220" s="20" t="s">
        <v>436</v>
      </c>
      <c r="F220" s="20" t="s">
        <v>368</v>
      </c>
      <c r="G220" s="8" t="str">
        <f t="shared" si="6"/>
        <v>AUSTIN THOMPSON</v>
      </c>
      <c r="H220" s="20" t="str">
        <f t="shared" si="7"/>
        <v>4006</v>
      </c>
    </row>
    <row r="221" spans="1:8" x14ac:dyDescent="0.3">
      <c r="A221" s="8">
        <v>43113.028541666667</v>
      </c>
      <c r="B221" s="20" t="s">
        <v>471</v>
      </c>
      <c r="C221" s="20" t="s">
        <v>900</v>
      </c>
      <c r="D221" s="137">
        <v>3310000</v>
      </c>
      <c r="E221" s="20" t="s">
        <v>438</v>
      </c>
      <c r="F221" s="20" t="s">
        <v>439</v>
      </c>
      <c r="G221" s="8" t="str">
        <f t="shared" si="6"/>
        <v>ANDERS STEVEN</v>
      </c>
      <c r="H221" s="20" t="str">
        <f t="shared" si="7"/>
        <v>4026</v>
      </c>
    </row>
    <row r="222" spans="1:8" x14ac:dyDescent="0.3">
      <c r="A222" s="8">
        <v>43113.037407407406</v>
      </c>
      <c r="B222" s="20" t="s">
        <v>361</v>
      </c>
      <c r="C222" s="20" t="s">
        <v>901</v>
      </c>
      <c r="D222" s="137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4017</v>
      </c>
    </row>
    <row r="223" spans="1:8" x14ac:dyDescent="0.3">
      <c r="A223" s="8">
        <v>43113.048437500001</v>
      </c>
      <c r="B223" s="20" t="s">
        <v>497</v>
      </c>
      <c r="C223" s="20" t="s">
        <v>902</v>
      </c>
      <c r="D223" s="137">
        <v>3670000</v>
      </c>
      <c r="E223" s="20" t="s">
        <v>381</v>
      </c>
      <c r="F223" s="20" t="s">
        <v>367</v>
      </c>
      <c r="G223" s="8" t="str">
        <f t="shared" si="6"/>
        <v>ANDREA WILLIAMS</v>
      </c>
      <c r="H223" s="20" t="str">
        <f t="shared" si="7"/>
        <v>4040</v>
      </c>
    </row>
    <row r="224" spans="1:8" x14ac:dyDescent="0.3">
      <c r="A224" s="8">
        <v>43113.058668981481</v>
      </c>
      <c r="B224" t="s">
        <v>560</v>
      </c>
      <c r="C224" t="s">
        <v>903</v>
      </c>
      <c r="D224" s="137">
        <v>3700000</v>
      </c>
      <c r="E224" t="s">
        <v>436</v>
      </c>
      <c r="F224" s="20" t="s">
        <v>368</v>
      </c>
      <c r="G224" s="8" t="str">
        <f t="shared" si="6"/>
        <v>AUSTIN THOMPSON</v>
      </c>
      <c r="H224" s="20" t="str">
        <f t="shared" si="7"/>
        <v>4005</v>
      </c>
    </row>
    <row r="225" spans="1:8" x14ac:dyDescent="0.3">
      <c r="A225" s="8">
        <v>43113.070925925924</v>
      </c>
      <c r="B225" t="s">
        <v>359</v>
      </c>
      <c r="C225" t="s">
        <v>904</v>
      </c>
      <c r="D225" s="137">
        <v>3320000</v>
      </c>
      <c r="E225" t="s">
        <v>362</v>
      </c>
      <c r="F225" s="20" t="s">
        <v>363</v>
      </c>
      <c r="G225" s="8" t="str">
        <f t="shared" si="6"/>
        <v>NICHOLSON WESLEY</v>
      </c>
      <c r="H225" s="20" t="str">
        <f t="shared" si="7"/>
        <v>4018</v>
      </c>
    </row>
    <row r="226" spans="1:8" x14ac:dyDescent="0.3">
      <c r="A226" s="8">
        <v>43113.080347222225</v>
      </c>
      <c r="B226" t="s">
        <v>470</v>
      </c>
      <c r="C226" t="s">
        <v>697</v>
      </c>
      <c r="D226" s="137">
        <v>3310000</v>
      </c>
      <c r="E226" t="s">
        <v>438</v>
      </c>
      <c r="F226" s="20" t="s">
        <v>439</v>
      </c>
      <c r="G226" s="8" t="str">
        <f t="shared" si="6"/>
        <v>ANDERS STEVEN</v>
      </c>
      <c r="H226" s="20" t="str">
        <f t="shared" si="7"/>
        <v>4025</v>
      </c>
    </row>
    <row r="227" spans="1:8" x14ac:dyDescent="0.3">
      <c r="A227" s="8">
        <v>43113.086886574078</v>
      </c>
      <c r="B227" t="s">
        <v>563</v>
      </c>
      <c r="C227" t="s">
        <v>905</v>
      </c>
      <c r="D227" s="137">
        <v>3700000</v>
      </c>
      <c r="E227" t="s">
        <v>436</v>
      </c>
      <c r="F227" s="20" t="s">
        <v>368</v>
      </c>
      <c r="G227" s="8" t="str">
        <f t="shared" si="6"/>
        <v>AUSTIN THOMPSON</v>
      </c>
      <c r="H227" s="20" t="str">
        <f t="shared" si="7"/>
        <v>4006</v>
      </c>
    </row>
    <row r="228" spans="1:8" x14ac:dyDescent="0.3">
      <c r="A228" s="8">
        <v>43113.111574074072</v>
      </c>
      <c r="B228" t="s">
        <v>471</v>
      </c>
      <c r="C228" t="s">
        <v>906</v>
      </c>
      <c r="D228" s="137">
        <v>3310000</v>
      </c>
      <c r="E228" t="s">
        <v>438</v>
      </c>
      <c r="F228" s="20" t="s">
        <v>439</v>
      </c>
      <c r="G228" s="8" t="str">
        <f t="shared" si="6"/>
        <v>ANDERS STEVEN</v>
      </c>
      <c r="H228" s="20" t="str">
        <f t="shared" si="7"/>
        <v>4026</v>
      </c>
    </row>
    <row r="229" spans="1:8" x14ac:dyDescent="0.3">
      <c r="A229" s="8">
        <v>43111.799212962964</v>
      </c>
      <c r="B229" t="s">
        <v>573</v>
      </c>
      <c r="C229" t="s">
        <v>582</v>
      </c>
      <c r="D229" s="137">
        <v>3840000</v>
      </c>
      <c r="E229" t="s">
        <v>482</v>
      </c>
      <c r="F229" s="20" t="s">
        <v>483</v>
      </c>
      <c r="G229" s="8" t="str">
        <f t="shared" si="6"/>
        <v>LONG FULLER</v>
      </c>
      <c r="H229" s="20" t="str">
        <f t="shared" si="7"/>
        <v>4016</v>
      </c>
    </row>
    <row r="230" spans="1:8" x14ac:dyDescent="0.3">
      <c r="A230" s="8">
        <v>43111.80059027778</v>
      </c>
      <c r="B230" t="s">
        <v>370</v>
      </c>
      <c r="C230" t="s">
        <v>583</v>
      </c>
      <c r="D230" s="137">
        <v>3320000</v>
      </c>
      <c r="E230" t="s">
        <v>362</v>
      </c>
      <c r="F230" s="20" t="s">
        <v>363</v>
      </c>
      <c r="G230" s="8" t="str">
        <f t="shared" si="6"/>
        <v>NICHOLSON WESLEY</v>
      </c>
      <c r="H230" s="20" t="str">
        <f t="shared" si="7"/>
        <v>4011</v>
      </c>
    </row>
    <row r="231" spans="1:8" x14ac:dyDescent="0.3">
      <c r="A231" s="8">
        <v>43111.809386574074</v>
      </c>
      <c r="B231" t="s">
        <v>560</v>
      </c>
      <c r="C231" t="s">
        <v>584</v>
      </c>
      <c r="D231" s="137">
        <v>2000000</v>
      </c>
      <c r="E231" t="s">
        <v>392</v>
      </c>
      <c r="F231" s="20" t="s">
        <v>393</v>
      </c>
      <c r="G231" s="8" t="str">
        <f t="shared" si="6"/>
        <v>STAMBAUGH JAMES</v>
      </c>
      <c r="H231" s="20" t="str">
        <f t="shared" si="7"/>
        <v>4005</v>
      </c>
    </row>
    <row r="232" spans="1:8" x14ac:dyDescent="0.3">
      <c r="A232" s="8">
        <v>43111.810856481483</v>
      </c>
      <c r="B232" t="s">
        <v>445</v>
      </c>
      <c r="C232" t="s">
        <v>585</v>
      </c>
      <c r="D232" s="137">
        <v>890000</v>
      </c>
      <c r="E232" t="s">
        <v>343</v>
      </c>
      <c r="F232" s="20" t="s">
        <v>344</v>
      </c>
      <c r="G232" s="8" t="str">
        <f t="shared" si="6"/>
        <v>LOZA FIDEL</v>
      </c>
      <c r="H232" s="20" t="str">
        <f t="shared" si="7"/>
        <v>4020</v>
      </c>
    </row>
    <row r="233" spans="1:8" x14ac:dyDescent="0.3">
      <c r="A233" s="8">
        <v>43111.819374999999</v>
      </c>
      <c r="B233" t="s">
        <v>383</v>
      </c>
      <c r="C233" t="s">
        <v>586</v>
      </c>
      <c r="D233" s="137">
        <v>2420000</v>
      </c>
      <c r="E233" t="s">
        <v>522</v>
      </c>
      <c r="F233" s="20" t="s">
        <v>523</v>
      </c>
      <c r="G233" s="8" t="str">
        <f t="shared" si="6"/>
        <v>HOLCOMB KAMDEN</v>
      </c>
      <c r="H233" s="20" t="str">
        <f t="shared" si="7"/>
        <v>4022</v>
      </c>
    </row>
    <row r="234" spans="1:8" x14ac:dyDescent="0.3">
      <c r="A234" s="8">
        <v>43111.825879629629</v>
      </c>
      <c r="B234" t="s">
        <v>449</v>
      </c>
      <c r="C234" t="s">
        <v>587</v>
      </c>
      <c r="D234" s="137">
        <v>3810000</v>
      </c>
      <c r="E234" t="s">
        <v>484</v>
      </c>
      <c r="F234" s="20" t="s">
        <v>485</v>
      </c>
      <c r="G234" s="8" t="str">
        <f t="shared" si="6"/>
        <v>LORI SANTOS</v>
      </c>
      <c r="H234" s="20" t="str">
        <f t="shared" si="7"/>
        <v>4033</v>
      </c>
    </row>
    <row r="235" spans="1:8" x14ac:dyDescent="0.3">
      <c r="A235" s="8">
        <v>43111.826504629629</v>
      </c>
      <c r="B235" t="s">
        <v>459</v>
      </c>
      <c r="C235" t="s">
        <v>588</v>
      </c>
      <c r="D235" s="137">
        <v>3340000</v>
      </c>
      <c r="E235" t="s">
        <v>580</v>
      </c>
      <c r="F235" s="20" t="s">
        <v>581</v>
      </c>
      <c r="G235" s="8" t="str">
        <f t="shared" si="6"/>
        <v>ELBAUM MIKE</v>
      </c>
      <c r="H235" s="20" t="str">
        <f t="shared" si="7"/>
        <v>4056</v>
      </c>
    </row>
    <row r="236" spans="1:8" x14ac:dyDescent="0.3">
      <c r="A236" s="8">
        <v>43111.831342592595</v>
      </c>
      <c r="B236" t="s">
        <v>563</v>
      </c>
      <c r="C236" t="s">
        <v>567</v>
      </c>
      <c r="D236" s="137">
        <v>2000000</v>
      </c>
      <c r="E236" t="s">
        <v>392</v>
      </c>
      <c r="F236" s="20" t="s">
        <v>393</v>
      </c>
      <c r="G236" s="8" t="str">
        <f t="shared" si="6"/>
        <v>STAMBAUGH JAMES</v>
      </c>
      <c r="H236" s="20" t="str">
        <f t="shared" si="7"/>
        <v>4006</v>
      </c>
    </row>
    <row r="237" spans="1:8" x14ac:dyDescent="0.3">
      <c r="A237" s="8">
        <v>43111.832187499997</v>
      </c>
      <c r="B237" t="s">
        <v>563</v>
      </c>
      <c r="C237" t="s">
        <v>589</v>
      </c>
      <c r="D237" s="137">
        <v>2000000</v>
      </c>
      <c r="E237" t="s">
        <v>392</v>
      </c>
      <c r="F237" s="20" t="s">
        <v>393</v>
      </c>
      <c r="G237" s="8" t="str">
        <f t="shared" si="6"/>
        <v>STAMBAUGH JAMES</v>
      </c>
      <c r="H237" s="20" t="str">
        <f t="shared" si="7"/>
        <v>4006</v>
      </c>
    </row>
    <row r="238" spans="1:8" x14ac:dyDescent="0.3">
      <c r="A238" s="8">
        <v>43111.840555555558</v>
      </c>
      <c r="B238" t="s">
        <v>369</v>
      </c>
      <c r="C238" t="s">
        <v>590</v>
      </c>
      <c r="D238" s="137">
        <v>3320000</v>
      </c>
      <c r="E238" t="s">
        <v>362</v>
      </c>
      <c r="F238" s="20" t="s">
        <v>363</v>
      </c>
      <c r="G238" s="8" t="str">
        <f t="shared" si="6"/>
        <v>NICHOLSON WESLEY</v>
      </c>
      <c r="H238" s="20" t="str">
        <f t="shared" si="7"/>
        <v>4012</v>
      </c>
    </row>
    <row r="239" spans="1:8" x14ac:dyDescent="0.3">
      <c r="A239" s="8">
        <v>43111.850324074076</v>
      </c>
      <c r="B239" t="s">
        <v>444</v>
      </c>
      <c r="C239" t="s">
        <v>591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4019</v>
      </c>
    </row>
    <row r="240" spans="1:8" x14ac:dyDescent="0.3">
      <c r="A240" s="8">
        <v>43111.850763888891</v>
      </c>
      <c r="B240" t="s">
        <v>560</v>
      </c>
      <c r="C240" t="s">
        <v>567</v>
      </c>
      <c r="D240" s="137">
        <v>2000000</v>
      </c>
      <c r="E240" t="s">
        <v>392</v>
      </c>
      <c r="F240" s="20" t="s">
        <v>393</v>
      </c>
      <c r="G240" s="8" t="str">
        <f t="shared" si="6"/>
        <v>STAMBAUGH JAMES</v>
      </c>
      <c r="H240" s="20" t="str">
        <f t="shared" si="7"/>
        <v>4005</v>
      </c>
    </row>
    <row r="241" spans="1:8" x14ac:dyDescent="0.3">
      <c r="A241" s="8">
        <v>43111.859780092593</v>
      </c>
      <c r="B241" t="s">
        <v>350</v>
      </c>
      <c r="C241" t="s">
        <v>592</v>
      </c>
      <c r="D241" s="137">
        <v>3340000</v>
      </c>
      <c r="E241" t="s">
        <v>580</v>
      </c>
      <c r="F241" s="20" t="s">
        <v>581</v>
      </c>
      <c r="G241" s="8" t="str">
        <f t="shared" si="6"/>
        <v>ELBAUM MIKE</v>
      </c>
      <c r="H241" s="20" t="str">
        <f t="shared" si="7"/>
        <v>4055</v>
      </c>
    </row>
    <row r="242" spans="1:8" x14ac:dyDescent="0.3">
      <c r="A242" s="8">
        <v>43111.870092592595</v>
      </c>
      <c r="B242" t="s">
        <v>564</v>
      </c>
      <c r="C242" t="s">
        <v>593</v>
      </c>
      <c r="D242" s="137">
        <v>3810000</v>
      </c>
      <c r="E242" t="s">
        <v>484</v>
      </c>
      <c r="F242" s="20" t="s">
        <v>485</v>
      </c>
      <c r="G242" s="8" t="str">
        <f t="shared" si="6"/>
        <v>LORI SANTOS</v>
      </c>
      <c r="H242" s="20" t="str">
        <f t="shared" si="7"/>
        <v>4034</v>
      </c>
    </row>
    <row r="243" spans="1:8" x14ac:dyDescent="0.3">
      <c r="A243" s="8">
        <v>43111.870787037034</v>
      </c>
      <c r="B243" t="s">
        <v>350</v>
      </c>
      <c r="C243" t="s">
        <v>592</v>
      </c>
      <c r="D243" s="137">
        <v>3340000</v>
      </c>
      <c r="E243" t="s">
        <v>580</v>
      </c>
      <c r="F243" s="20" t="s">
        <v>581</v>
      </c>
      <c r="G243" s="8" t="str">
        <f t="shared" si="6"/>
        <v>ELBAUM MIKE</v>
      </c>
      <c r="H243" s="20" t="str">
        <f t="shared" si="7"/>
        <v>4055</v>
      </c>
    </row>
    <row r="244" spans="1:8" x14ac:dyDescent="0.3">
      <c r="A244" s="8">
        <v>43111.875787037039</v>
      </c>
      <c r="B244" t="s">
        <v>563</v>
      </c>
      <c r="C244" t="s">
        <v>594</v>
      </c>
      <c r="D244" s="137">
        <v>3670000</v>
      </c>
      <c r="E244" t="s">
        <v>381</v>
      </c>
      <c r="F244" s="20" t="s">
        <v>367</v>
      </c>
      <c r="G244" s="8" t="str">
        <f t="shared" si="6"/>
        <v>ANDREA WILLIAMS</v>
      </c>
      <c r="H244" s="20" t="str">
        <f t="shared" si="7"/>
        <v>4006</v>
      </c>
    </row>
    <row r="245" spans="1:8" x14ac:dyDescent="0.3">
      <c r="A245" s="8">
        <v>43111.881782407407</v>
      </c>
      <c r="B245" t="s">
        <v>370</v>
      </c>
      <c r="C245" t="s">
        <v>595</v>
      </c>
      <c r="D245" s="137">
        <v>3320000</v>
      </c>
      <c r="E245" t="s">
        <v>362</v>
      </c>
      <c r="F245" s="20" t="s">
        <v>363</v>
      </c>
      <c r="G245" s="8" t="str">
        <f t="shared" si="6"/>
        <v>NICHOLSON WESLEY</v>
      </c>
      <c r="H245" s="20" t="str">
        <f t="shared" si="7"/>
        <v>4011</v>
      </c>
    </row>
    <row r="246" spans="1:8" x14ac:dyDescent="0.3">
      <c r="A246" s="8">
        <v>43111.894259259258</v>
      </c>
      <c r="B246" t="s">
        <v>560</v>
      </c>
      <c r="C246" t="s">
        <v>596</v>
      </c>
      <c r="D246" s="137">
        <v>3670000</v>
      </c>
      <c r="E246" t="s">
        <v>381</v>
      </c>
      <c r="F246" s="20" t="s">
        <v>367</v>
      </c>
      <c r="G246" s="8" t="str">
        <f t="shared" si="6"/>
        <v>ANDREA WILLIAMS</v>
      </c>
      <c r="H246" s="20" t="str">
        <f t="shared" si="7"/>
        <v>4005</v>
      </c>
    </row>
    <row r="247" spans="1:8" x14ac:dyDescent="0.3">
      <c r="A247" s="8">
        <v>43111.899907407409</v>
      </c>
      <c r="B247" t="s">
        <v>459</v>
      </c>
      <c r="C247" t="s">
        <v>597</v>
      </c>
      <c r="D247" s="137">
        <v>3340000</v>
      </c>
      <c r="E247" t="s">
        <v>580</v>
      </c>
      <c r="F247" s="20" t="s">
        <v>581</v>
      </c>
      <c r="G247" s="8" t="str">
        <f t="shared" si="6"/>
        <v>ELBAUM MIKE</v>
      </c>
      <c r="H247" s="20" t="str">
        <f t="shared" si="7"/>
        <v>4056</v>
      </c>
    </row>
    <row r="248" spans="1:8" x14ac:dyDescent="0.3">
      <c r="A248" s="8">
        <v>43111.90960648148</v>
      </c>
      <c r="B248" t="s">
        <v>449</v>
      </c>
      <c r="C248" t="s">
        <v>598</v>
      </c>
      <c r="D248" s="137">
        <v>3810000</v>
      </c>
      <c r="E248" t="s">
        <v>484</v>
      </c>
      <c r="F248" s="20" t="s">
        <v>485</v>
      </c>
      <c r="G248" s="8" t="str">
        <f t="shared" si="6"/>
        <v>LORI SANTOS</v>
      </c>
      <c r="H248" s="20" t="str">
        <f t="shared" si="7"/>
        <v>4033</v>
      </c>
    </row>
    <row r="249" spans="1:8" x14ac:dyDescent="0.3">
      <c r="A249" s="8">
        <v>43111.916006944448</v>
      </c>
      <c r="B249" t="s">
        <v>563</v>
      </c>
      <c r="C249" t="s">
        <v>599</v>
      </c>
      <c r="D249" s="137">
        <v>3670000</v>
      </c>
      <c r="E249" t="s">
        <v>381</v>
      </c>
      <c r="F249" s="20" t="s">
        <v>367</v>
      </c>
      <c r="G249" s="8" t="str">
        <f t="shared" si="6"/>
        <v>ANDREA WILLIAMS</v>
      </c>
      <c r="H249" s="20" t="str">
        <f t="shared" si="7"/>
        <v>4006</v>
      </c>
    </row>
    <row r="250" spans="1:8" x14ac:dyDescent="0.3">
      <c r="A250" s="8">
        <v>43111.930844907409</v>
      </c>
      <c r="B250" t="s">
        <v>369</v>
      </c>
      <c r="C250" t="s">
        <v>600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4012</v>
      </c>
    </row>
    <row r="251" spans="1:8" x14ac:dyDescent="0.3">
      <c r="A251" s="8">
        <v>43111.93582175926</v>
      </c>
      <c r="B251" t="s">
        <v>560</v>
      </c>
      <c r="C251" t="s">
        <v>601</v>
      </c>
      <c r="D251" s="137">
        <v>3670000</v>
      </c>
      <c r="E251" t="s">
        <v>381</v>
      </c>
      <c r="F251" s="20" t="s">
        <v>367</v>
      </c>
      <c r="G251" s="8" t="str">
        <f t="shared" si="6"/>
        <v>ANDREA WILLIAMS</v>
      </c>
      <c r="H251" s="20" t="str">
        <f t="shared" si="7"/>
        <v>4005</v>
      </c>
    </row>
    <row r="252" spans="1:8" x14ac:dyDescent="0.3">
      <c r="A252" s="8">
        <v>43111.936585648145</v>
      </c>
      <c r="B252" t="s">
        <v>444</v>
      </c>
      <c r="C252" t="s">
        <v>602</v>
      </c>
      <c r="D252" s="137">
        <v>890000</v>
      </c>
      <c r="E252" t="s">
        <v>343</v>
      </c>
      <c r="F252" s="20" t="s">
        <v>344</v>
      </c>
      <c r="G252" s="8" t="str">
        <f t="shared" si="6"/>
        <v>LOZA FIDEL</v>
      </c>
      <c r="H252" s="20" t="str">
        <f t="shared" si="7"/>
        <v>4019</v>
      </c>
    </row>
    <row r="253" spans="1:8" x14ac:dyDescent="0.3">
      <c r="A253" s="8">
        <v>43111.945138888892</v>
      </c>
      <c r="B253" t="s">
        <v>350</v>
      </c>
      <c r="C253" t="s">
        <v>603</v>
      </c>
      <c r="D253" s="137">
        <v>3340000</v>
      </c>
      <c r="E253" t="s">
        <v>580</v>
      </c>
      <c r="F253" s="20" t="s">
        <v>581</v>
      </c>
      <c r="G253" s="8" t="str">
        <f t="shared" si="6"/>
        <v>ELBAUM MIKE</v>
      </c>
      <c r="H253" s="20" t="str">
        <f t="shared" si="7"/>
        <v>4055</v>
      </c>
    </row>
    <row r="254" spans="1:8" x14ac:dyDescent="0.3">
      <c r="A254" s="8">
        <v>43111.956099537034</v>
      </c>
      <c r="B254" t="s">
        <v>564</v>
      </c>
      <c r="C254" t="s">
        <v>604</v>
      </c>
      <c r="D254" s="137">
        <v>3810000</v>
      </c>
      <c r="E254" t="s">
        <v>484</v>
      </c>
      <c r="F254" s="20" t="s">
        <v>485</v>
      </c>
      <c r="G254" s="8" t="str">
        <f t="shared" si="6"/>
        <v>LORI SANTOS</v>
      </c>
      <c r="H254" s="20" t="str">
        <f t="shared" si="7"/>
        <v>4034</v>
      </c>
    </row>
    <row r="255" spans="1:8" x14ac:dyDescent="0.3">
      <c r="A255" s="8">
        <v>43111.961875000001</v>
      </c>
      <c r="B255" t="s">
        <v>563</v>
      </c>
      <c r="C255" t="s">
        <v>568</v>
      </c>
      <c r="D255" s="137">
        <v>3670000</v>
      </c>
      <c r="E255" t="s">
        <v>381</v>
      </c>
      <c r="F255" s="20" t="s">
        <v>367</v>
      </c>
      <c r="G255" s="8" t="str">
        <f t="shared" si="6"/>
        <v>ANDREA WILLIAMS</v>
      </c>
      <c r="H255" s="20" t="str">
        <f t="shared" si="7"/>
        <v>4006</v>
      </c>
    </row>
    <row r="256" spans="1:8" x14ac:dyDescent="0.3">
      <c r="A256" s="8">
        <v>43111.967939814815</v>
      </c>
      <c r="B256" t="s">
        <v>445</v>
      </c>
      <c r="C256" t="s">
        <v>605</v>
      </c>
      <c r="D256" s="137">
        <v>890000</v>
      </c>
      <c r="E256" t="s">
        <v>343</v>
      </c>
      <c r="F256" s="20" t="s">
        <v>344</v>
      </c>
      <c r="G256" s="8" t="str">
        <f t="shared" si="6"/>
        <v>LOZA FIDEL</v>
      </c>
      <c r="H256" s="20" t="str">
        <f t="shared" si="7"/>
        <v>4020</v>
      </c>
    </row>
    <row r="257" spans="1:8" x14ac:dyDescent="0.3">
      <c r="A257" s="8">
        <v>43111.973993055559</v>
      </c>
      <c r="B257" t="s">
        <v>370</v>
      </c>
      <c r="C257" t="s">
        <v>606</v>
      </c>
      <c r="D257" s="137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4011</v>
      </c>
    </row>
    <row r="258" spans="1:8" x14ac:dyDescent="0.3">
      <c r="A258" s="8">
        <v>43111.977037037039</v>
      </c>
      <c r="B258" t="s">
        <v>560</v>
      </c>
      <c r="C258" t="s">
        <v>607</v>
      </c>
      <c r="D258" s="137">
        <v>3670000</v>
      </c>
      <c r="E258" t="s">
        <v>381</v>
      </c>
      <c r="F258" s="20" t="s">
        <v>367</v>
      </c>
      <c r="G258" s="8" t="str">
        <f t="shared" si="6"/>
        <v>ANDREA WILLIAMS</v>
      </c>
      <c r="H258" s="20" t="str">
        <f t="shared" si="7"/>
        <v>4005</v>
      </c>
    </row>
    <row r="259" spans="1:8" x14ac:dyDescent="0.3">
      <c r="A259" s="8">
        <v>43111.989166666666</v>
      </c>
      <c r="B259" t="s">
        <v>459</v>
      </c>
      <c r="C259" t="s">
        <v>608</v>
      </c>
      <c r="D259" s="137">
        <v>3340000</v>
      </c>
      <c r="E259" t="s">
        <v>580</v>
      </c>
      <c r="F259" s="20" t="s">
        <v>581</v>
      </c>
      <c r="G259" s="8" t="str">
        <f t="shared" ref="G259:G313" si="8">E259&amp;" "&amp;F259</f>
        <v>ELBAUM MIKE</v>
      </c>
      <c r="H259" s="20" t="str">
        <f t="shared" ref="H259:H313" si="9">MID(B259,13,4)</f>
        <v>4056</v>
      </c>
    </row>
    <row r="260" spans="1:8" x14ac:dyDescent="0.3">
      <c r="A260" s="8">
        <v>43111.995474537034</v>
      </c>
      <c r="B260" t="s">
        <v>449</v>
      </c>
      <c r="C260" t="s">
        <v>569</v>
      </c>
      <c r="D260" s="137">
        <v>3810000</v>
      </c>
      <c r="E260" t="s">
        <v>484</v>
      </c>
      <c r="F260" s="20" t="s">
        <v>485</v>
      </c>
      <c r="G260" s="8" t="str">
        <f t="shared" si="8"/>
        <v>LORI SANTOS</v>
      </c>
      <c r="H260" s="20" t="str">
        <f t="shared" si="9"/>
        <v>4033</v>
      </c>
    </row>
    <row r="261" spans="1:8" x14ac:dyDescent="0.3">
      <c r="A261" s="8">
        <v>43112.007581018515</v>
      </c>
      <c r="B261" t="s">
        <v>369</v>
      </c>
      <c r="C261" t="s">
        <v>609</v>
      </c>
      <c r="D261" s="137">
        <v>3320000</v>
      </c>
      <c r="E261" t="s">
        <v>362</v>
      </c>
      <c r="F261" s="20" t="s">
        <v>363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43112.01666666667</v>
      </c>
      <c r="B262" t="s">
        <v>444</v>
      </c>
      <c r="C262" t="s">
        <v>610</v>
      </c>
      <c r="D262" s="137">
        <v>890000</v>
      </c>
      <c r="E262" t="s">
        <v>343</v>
      </c>
      <c r="F262" s="20" t="s">
        <v>344</v>
      </c>
      <c r="G262" s="8" t="str">
        <f t="shared" si="8"/>
        <v>LOZA FIDEL</v>
      </c>
      <c r="H262" s="20" t="str">
        <f t="shared" si="9"/>
        <v>4019</v>
      </c>
    </row>
    <row r="263" spans="1:8" x14ac:dyDescent="0.3">
      <c r="A263" s="8">
        <v>43112.025810185187</v>
      </c>
      <c r="B263" t="s">
        <v>350</v>
      </c>
      <c r="C263" t="s">
        <v>611</v>
      </c>
      <c r="D263" s="137">
        <v>3340000</v>
      </c>
      <c r="E263" t="s">
        <v>580</v>
      </c>
      <c r="F263" s="20" t="s">
        <v>581</v>
      </c>
      <c r="G263" s="8" t="str">
        <f t="shared" si="8"/>
        <v>ELBAUM MIKE</v>
      </c>
      <c r="H263" s="20" t="str">
        <f t="shared" si="9"/>
        <v>4055</v>
      </c>
    </row>
    <row r="264" spans="1:8" x14ac:dyDescent="0.3">
      <c r="A264" s="8">
        <v>43112.028657407405</v>
      </c>
      <c r="B264" t="s">
        <v>564</v>
      </c>
      <c r="C264" t="s">
        <v>612</v>
      </c>
      <c r="D264" s="137">
        <v>3810000</v>
      </c>
      <c r="E264" t="s">
        <v>484</v>
      </c>
      <c r="F264" s="20" t="s">
        <v>485</v>
      </c>
      <c r="G264" s="8" t="str">
        <f t="shared" si="8"/>
        <v>LORI SANTOS</v>
      </c>
      <c r="H264" s="20" t="str">
        <f t="shared" si="9"/>
        <v>4034</v>
      </c>
    </row>
    <row r="265" spans="1:8" x14ac:dyDescent="0.3">
      <c r="A265" s="8">
        <v>43112.046782407408</v>
      </c>
      <c r="B265" t="s">
        <v>445</v>
      </c>
      <c r="C265" t="s">
        <v>613</v>
      </c>
      <c r="D265" s="137">
        <v>890000</v>
      </c>
      <c r="E265" t="s">
        <v>343</v>
      </c>
      <c r="F265" s="20" t="s">
        <v>344</v>
      </c>
      <c r="G265" s="8" t="str">
        <f t="shared" si="8"/>
        <v>LOZA FIDEL</v>
      </c>
      <c r="H265" s="20" t="str">
        <f t="shared" si="9"/>
        <v>4020</v>
      </c>
    </row>
    <row r="266" spans="1:8" x14ac:dyDescent="0.3">
      <c r="A266" s="8">
        <v>43112.056458333333</v>
      </c>
      <c r="B266" t="s">
        <v>370</v>
      </c>
      <c r="C266" t="s">
        <v>614</v>
      </c>
      <c r="D266" s="137">
        <v>3320000</v>
      </c>
      <c r="E266" t="s">
        <v>362</v>
      </c>
      <c r="F266" s="20" t="s">
        <v>363</v>
      </c>
      <c r="G266" s="8" t="str">
        <f t="shared" si="8"/>
        <v>NICHOLSON WESLEY</v>
      </c>
      <c r="H266" s="20" t="str">
        <f t="shared" si="9"/>
        <v>4011</v>
      </c>
    </row>
    <row r="267" spans="1:8" x14ac:dyDescent="0.3">
      <c r="A267" s="8">
        <v>43112.068252314813</v>
      </c>
      <c r="B267" t="s">
        <v>459</v>
      </c>
      <c r="C267" t="s">
        <v>615</v>
      </c>
      <c r="D267" s="137">
        <v>3340000</v>
      </c>
      <c r="E267" t="s">
        <v>580</v>
      </c>
      <c r="F267" s="20" t="s">
        <v>581</v>
      </c>
      <c r="G267" s="8" t="str">
        <f t="shared" si="8"/>
        <v>ELBAUM MIKE</v>
      </c>
      <c r="H267" s="20" t="str">
        <f t="shared" si="9"/>
        <v>4056</v>
      </c>
    </row>
    <row r="268" spans="1:8" x14ac:dyDescent="0.3">
      <c r="A268" s="8">
        <v>43112.091423611113</v>
      </c>
      <c r="B268" t="s">
        <v>369</v>
      </c>
      <c r="C268" t="s">
        <v>616</v>
      </c>
      <c r="D268" s="137">
        <v>3320000</v>
      </c>
      <c r="E268" t="s">
        <v>362</v>
      </c>
      <c r="F268" s="20" t="s">
        <v>363</v>
      </c>
      <c r="G268" s="8" t="str">
        <f t="shared" si="8"/>
        <v>NICHOLSON WESLEY</v>
      </c>
      <c r="H268" s="20" t="str">
        <f t="shared" si="9"/>
        <v>4012</v>
      </c>
    </row>
    <row r="269" spans="1:8" x14ac:dyDescent="0.3">
      <c r="A269" s="8">
        <v>43039.788460648146</v>
      </c>
      <c r="B269" t="s">
        <v>361</v>
      </c>
      <c r="C269" t="s">
        <v>396</v>
      </c>
      <c r="D269" s="137">
        <v>2000000</v>
      </c>
      <c r="E269" t="s">
        <v>392</v>
      </c>
      <c r="F269" s="20" t="s">
        <v>393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397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398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399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389</v>
      </c>
      <c r="C273" t="s">
        <v>400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390</v>
      </c>
      <c r="C274" t="s">
        <v>401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402</v>
      </c>
      <c r="D275" s="137">
        <v>2040000</v>
      </c>
      <c r="E275" t="s">
        <v>394</v>
      </c>
      <c r="F275" s="20" t="s">
        <v>395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403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404</v>
      </c>
      <c r="D277" s="137">
        <v>2230000</v>
      </c>
      <c r="E277" t="s">
        <v>391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405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406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407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408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409</v>
      </c>
      <c r="D283" s="137">
        <v>2040000</v>
      </c>
      <c r="E283" t="s">
        <v>394</v>
      </c>
      <c r="F283" s="20" t="s">
        <v>395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410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411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412</v>
      </c>
      <c r="D286" s="137">
        <v>2000000</v>
      </c>
      <c r="E286" t="s">
        <v>392</v>
      </c>
      <c r="F286" s="20" t="s">
        <v>393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412</v>
      </c>
      <c r="D287" s="137">
        <v>2000000</v>
      </c>
      <c r="E287" t="s">
        <v>392</v>
      </c>
      <c r="F287" s="20" t="s">
        <v>393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390</v>
      </c>
      <c r="C288" t="s">
        <v>413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414</v>
      </c>
      <c r="D289" s="137">
        <v>2040000</v>
      </c>
      <c r="E289" t="s">
        <v>394</v>
      </c>
      <c r="F289" s="20" t="s">
        <v>395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415</v>
      </c>
      <c r="D290" s="137">
        <v>2000000</v>
      </c>
      <c r="E290" t="s">
        <v>392</v>
      </c>
      <c r="F290" s="20" t="s">
        <v>393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416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417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418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419</v>
      </c>
      <c r="D295" s="137">
        <v>2040000</v>
      </c>
      <c r="E295" t="s">
        <v>394</v>
      </c>
      <c r="F295" s="20" t="s">
        <v>395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420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421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422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423</v>
      </c>
      <c r="D299" s="137">
        <v>2000000</v>
      </c>
      <c r="E299" t="s">
        <v>392</v>
      </c>
      <c r="F299" s="20" t="s">
        <v>393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390</v>
      </c>
      <c r="C300" t="s">
        <v>424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425</v>
      </c>
      <c r="D301" s="137">
        <v>2040000</v>
      </c>
      <c r="E301" t="s">
        <v>394</v>
      </c>
      <c r="F301" s="20" t="s">
        <v>395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426</v>
      </c>
      <c r="D302" s="137">
        <v>2000000</v>
      </c>
      <c r="E302" t="s">
        <v>392</v>
      </c>
      <c r="F302" s="20" t="s">
        <v>393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427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428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429</v>
      </c>
      <c r="D306" s="137">
        <v>2040000</v>
      </c>
      <c r="E306" t="s">
        <v>394</v>
      </c>
      <c r="F306" s="20" t="s">
        <v>395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430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431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390</v>
      </c>
      <c r="C309" t="s">
        <v>432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433</v>
      </c>
      <c r="D310" s="137">
        <v>2040000</v>
      </c>
      <c r="E310" t="s">
        <v>394</v>
      </c>
      <c r="F310" s="20" t="s">
        <v>395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434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435</v>
      </c>
      <c r="D312" s="137">
        <v>2040000</v>
      </c>
      <c r="E312" t="s">
        <v>394</v>
      </c>
      <c r="F312" s="20" t="s">
        <v>395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526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333</v>
      </c>
      <c r="P1" s="217" t="s">
        <v>154</v>
      </c>
      <c r="Q1" s="217" t="s">
        <v>161</v>
      </c>
      <c r="R1" s="217" t="s">
        <v>334</v>
      </c>
      <c r="S1" s="217" t="s">
        <v>158</v>
      </c>
      <c r="T1"/>
    </row>
    <row r="2" spans="1:20" x14ac:dyDescent="0.3">
      <c r="A2" s="195">
        <v>32.22</v>
      </c>
      <c r="B2" s="195">
        <v>0.15</v>
      </c>
      <c r="C2" s="195">
        <v>14.44</v>
      </c>
      <c r="D2" s="8">
        <v>43112</v>
      </c>
      <c r="E2" s="195">
        <v>0.47</v>
      </c>
      <c r="F2" s="195" t="s">
        <v>453</v>
      </c>
      <c r="G2" s="195">
        <v>316.25</v>
      </c>
      <c r="H2" s="195">
        <v>0</v>
      </c>
      <c r="I2" s="195">
        <v>0</v>
      </c>
      <c r="J2" s="195"/>
      <c r="K2" s="195">
        <v>1016.77</v>
      </c>
      <c r="L2" s="195" t="s">
        <v>452</v>
      </c>
      <c r="M2" s="195">
        <v>32.22</v>
      </c>
      <c r="N2" s="195">
        <v>1515740400</v>
      </c>
      <c r="O2" s="195">
        <v>0</v>
      </c>
      <c r="P2" s="195">
        <v>4.03</v>
      </c>
      <c r="Q2" s="195">
        <v>181</v>
      </c>
      <c r="R2" s="195">
        <v>8.26</v>
      </c>
      <c r="S2" s="195">
        <v>1.69</v>
      </c>
      <c r="T2"/>
    </row>
    <row r="3" spans="1:20" x14ac:dyDescent="0.3">
      <c r="A3" s="195">
        <v>31.03</v>
      </c>
      <c r="B3" s="195">
        <v>0.08</v>
      </c>
      <c r="C3" s="195">
        <v>14.34</v>
      </c>
      <c r="D3" s="8">
        <v>43112.041666666664</v>
      </c>
      <c r="E3" s="195">
        <v>0.49</v>
      </c>
      <c r="F3" s="195" t="s">
        <v>453</v>
      </c>
      <c r="G3" s="195">
        <v>320.73</v>
      </c>
      <c r="H3" s="195">
        <v>0</v>
      </c>
      <c r="I3" s="195">
        <v>0</v>
      </c>
      <c r="J3" s="195"/>
      <c r="K3" s="195">
        <v>1016.23</v>
      </c>
      <c r="L3" s="195" t="s">
        <v>452</v>
      </c>
      <c r="M3" s="195">
        <v>31.03</v>
      </c>
      <c r="N3" s="195">
        <v>1515744000</v>
      </c>
      <c r="O3" s="195">
        <v>0</v>
      </c>
      <c r="P3" s="195">
        <v>4.03</v>
      </c>
      <c r="Q3" s="195">
        <v>177</v>
      </c>
      <c r="R3" s="195">
        <v>7.14</v>
      </c>
      <c r="S3" s="195">
        <v>2.8</v>
      </c>
      <c r="T3"/>
    </row>
    <row r="4" spans="1:20" x14ac:dyDescent="0.3">
      <c r="A4" s="195">
        <v>30.99</v>
      </c>
      <c r="B4" s="195">
        <v>0.06</v>
      </c>
      <c r="C4" s="195">
        <v>14.15</v>
      </c>
      <c r="D4" s="8">
        <v>43112.083333333336</v>
      </c>
      <c r="E4" s="195">
        <v>0.49</v>
      </c>
      <c r="F4" s="195" t="s">
        <v>453</v>
      </c>
      <c r="G4" s="195">
        <v>324.56</v>
      </c>
      <c r="H4" s="195">
        <v>0</v>
      </c>
      <c r="I4" s="195">
        <v>0</v>
      </c>
      <c r="J4" s="195"/>
      <c r="K4" s="195">
        <v>1016.41</v>
      </c>
      <c r="L4" s="195" t="s">
        <v>452</v>
      </c>
      <c r="M4" s="195">
        <v>30.99</v>
      </c>
      <c r="N4" s="195">
        <v>1515747600</v>
      </c>
      <c r="O4" s="195">
        <v>0</v>
      </c>
      <c r="P4" s="195">
        <v>3.44</v>
      </c>
      <c r="Q4" s="195">
        <v>169</v>
      </c>
      <c r="R4" s="195">
        <v>7.85</v>
      </c>
      <c r="S4" s="195">
        <v>2.2799999999999998</v>
      </c>
      <c r="T4"/>
    </row>
    <row r="5" spans="1:20" x14ac:dyDescent="0.3">
      <c r="A5" s="195">
        <v>31.34</v>
      </c>
      <c r="B5" s="195">
        <v>0.03</v>
      </c>
      <c r="C5" s="195">
        <v>14.71</v>
      </c>
      <c r="D5" s="8">
        <v>43112.125</v>
      </c>
      <c r="E5" s="195">
        <v>0.5</v>
      </c>
      <c r="F5" s="195" t="s">
        <v>453</v>
      </c>
      <c r="G5" s="195">
        <v>327.52</v>
      </c>
      <c r="H5" s="195">
        <v>0</v>
      </c>
      <c r="I5" s="195">
        <v>0</v>
      </c>
      <c r="J5" s="195"/>
      <c r="K5" s="195">
        <v>1015.58</v>
      </c>
      <c r="L5" s="195" t="s">
        <v>452</v>
      </c>
      <c r="M5" s="195">
        <v>31.34</v>
      </c>
      <c r="N5" s="195">
        <v>1515751200</v>
      </c>
      <c r="O5" s="195">
        <v>0</v>
      </c>
      <c r="P5" s="195">
        <v>3.83</v>
      </c>
      <c r="Q5" s="195">
        <v>126</v>
      </c>
      <c r="R5" s="195">
        <v>8.58</v>
      </c>
      <c r="S5" s="195">
        <v>0.99</v>
      </c>
      <c r="T5"/>
    </row>
    <row r="6" spans="1:20" x14ac:dyDescent="0.3">
      <c r="A6" s="195">
        <v>31.42</v>
      </c>
      <c r="B6" s="195">
        <v>0.06</v>
      </c>
      <c r="C6" s="195">
        <v>15.73</v>
      </c>
      <c r="D6" s="8">
        <v>43112.166666666664</v>
      </c>
      <c r="E6" s="195">
        <v>0.52</v>
      </c>
      <c r="F6" s="195" t="s">
        <v>453</v>
      </c>
      <c r="G6" s="195">
        <v>329.86</v>
      </c>
      <c r="H6" s="195">
        <v>0</v>
      </c>
      <c r="I6" s="195">
        <v>0</v>
      </c>
      <c r="J6" s="195"/>
      <c r="K6" s="195">
        <v>1016.75</v>
      </c>
      <c r="L6" s="195" t="s">
        <v>452</v>
      </c>
      <c r="M6" s="195">
        <v>31.42</v>
      </c>
      <c r="N6" s="195">
        <v>1515754800</v>
      </c>
      <c r="O6" s="195">
        <v>0</v>
      </c>
      <c r="P6" s="195">
        <v>3.31</v>
      </c>
      <c r="Q6" s="195">
        <v>172</v>
      </c>
      <c r="R6" s="195">
        <v>9.67</v>
      </c>
      <c r="S6" s="195">
        <v>1.5</v>
      </c>
      <c r="T6"/>
    </row>
    <row r="7" spans="1:20" x14ac:dyDescent="0.3">
      <c r="A7" s="195">
        <v>32.24</v>
      </c>
      <c r="B7" s="195">
        <v>0.09</v>
      </c>
      <c r="C7" s="195">
        <v>16.399999999999999</v>
      </c>
      <c r="D7" s="8">
        <v>43112.208333333336</v>
      </c>
      <c r="E7" s="195">
        <v>0.52</v>
      </c>
      <c r="F7" s="195" t="s">
        <v>453</v>
      </c>
      <c r="G7" s="195">
        <v>332.37</v>
      </c>
      <c r="H7" s="195">
        <v>0</v>
      </c>
      <c r="I7" s="195">
        <v>0</v>
      </c>
      <c r="J7" s="195"/>
      <c r="K7" s="195">
        <v>1015.01</v>
      </c>
      <c r="L7" s="195" t="s">
        <v>452</v>
      </c>
      <c r="M7" s="195">
        <v>32.24</v>
      </c>
      <c r="N7" s="195">
        <v>1515758400</v>
      </c>
      <c r="O7" s="195">
        <v>0</v>
      </c>
      <c r="P7" s="195">
        <v>3.79</v>
      </c>
      <c r="Q7" s="195">
        <v>130</v>
      </c>
      <c r="R7" s="195">
        <v>9.15</v>
      </c>
      <c r="S7" s="195">
        <v>0.95</v>
      </c>
      <c r="T7"/>
    </row>
    <row r="8" spans="1:20" x14ac:dyDescent="0.3">
      <c r="A8" s="195">
        <v>34</v>
      </c>
      <c r="B8" s="195">
        <v>0.06</v>
      </c>
      <c r="C8" s="195">
        <v>16.309999999999999</v>
      </c>
      <c r="D8" s="8">
        <v>43112.25</v>
      </c>
      <c r="E8" s="195">
        <v>0.48</v>
      </c>
      <c r="F8" s="195" t="s">
        <v>453</v>
      </c>
      <c r="G8" s="195">
        <v>334.3</v>
      </c>
      <c r="H8" s="195">
        <v>0</v>
      </c>
      <c r="I8" s="195">
        <v>0</v>
      </c>
      <c r="J8" s="195"/>
      <c r="K8" s="195">
        <v>1017.16</v>
      </c>
      <c r="L8" s="195" t="s">
        <v>452</v>
      </c>
      <c r="M8" s="195">
        <v>34</v>
      </c>
      <c r="N8" s="195">
        <v>1515762000</v>
      </c>
      <c r="O8" s="195">
        <v>0</v>
      </c>
      <c r="P8" s="195">
        <v>3.12</v>
      </c>
      <c r="Q8" s="195">
        <v>167</v>
      </c>
      <c r="R8" s="195">
        <v>9.19</v>
      </c>
      <c r="S8" s="195">
        <v>2.21</v>
      </c>
      <c r="T8"/>
    </row>
    <row r="9" spans="1:20" x14ac:dyDescent="0.3">
      <c r="A9" s="195">
        <v>34.840000000000003</v>
      </c>
      <c r="B9" s="195">
        <v>0.08</v>
      </c>
      <c r="C9" s="195">
        <v>16.72</v>
      </c>
      <c r="D9" s="8">
        <v>43112.291666666664</v>
      </c>
      <c r="E9" s="195">
        <v>0.47</v>
      </c>
      <c r="F9" s="195" t="s">
        <v>453</v>
      </c>
      <c r="G9" s="195">
        <v>335.93</v>
      </c>
      <c r="H9" s="195">
        <v>0</v>
      </c>
      <c r="I9" s="195">
        <v>0</v>
      </c>
      <c r="J9" s="195"/>
      <c r="K9" s="195">
        <v>1016.73</v>
      </c>
      <c r="L9" s="195" t="s">
        <v>452</v>
      </c>
      <c r="M9" s="195">
        <v>34.840000000000003</v>
      </c>
      <c r="N9" s="195">
        <v>1515765600</v>
      </c>
      <c r="O9" s="195">
        <v>0</v>
      </c>
      <c r="P9" s="195">
        <v>3.79</v>
      </c>
      <c r="Q9" s="195">
        <v>130</v>
      </c>
      <c r="R9" s="195">
        <v>7.94</v>
      </c>
      <c r="S9" s="195">
        <v>1.84</v>
      </c>
      <c r="T9"/>
    </row>
    <row r="10" spans="1:20" x14ac:dyDescent="0.3">
      <c r="A10" s="195">
        <v>35.35</v>
      </c>
      <c r="B10" s="195">
        <v>0.11</v>
      </c>
      <c r="C10" s="195">
        <v>17.57</v>
      </c>
      <c r="D10" s="8">
        <v>43112.333333333336</v>
      </c>
      <c r="E10" s="195">
        <v>0.48</v>
      </c>
      <c r="F10" s="195" t="s">
        <v>451</v>
      </c>
      <c r="G10" s="195">
        <v>337.54</v>
      </c>
      <c r="H10" s="195">
        <v>0</v>
      </c>
      <c r="I10" s="195">
        <v>0</v>
      </c>
      <c r="J10" s="195"/>
      <c r="K10" s="195">
        <v>1018.27</v>
      </c>
      <c r="L10" s="195" t="s">
        <v>452</v>
      </c>
      <c r="M10" s="195">
        <v>35.35</v>
      </c>
      <c r="N10" s="195">
        <v>1515769200</v>
      </c>
      <c r="O10" s="195">
        <v>0</v>
      </c>
      <c r="P10" s="195">
        <v>2.62</v>
      </c>
      <c r="Q10" s="195">
        <v>269</v>
      </c>
      <c r="R10" s="195">
        <v>8.18</v>
      </c>
      <c r="S10" s="195">
        <v>0.24</v>
      </c>
      <c r="T10"/>
    </row>
    <row r="11" spans="1:20" x14ac:dyDescent="0.3">
      <c r="A11" s="195">
        <v>37.450000000000003</v>
      </c>
      <c r="B11" s="195">
        <v>0.06</v>
      </c>
      <c r="C11" s="195">
        <v>18.46</v>
      </c>
      <c r="D11" s="8">
        <v>43112.375</v>
      </c>
      <c r="E11" s="195">
        <v>0.46</v>
      </c>
      <c r="F11" s="195" t="s">
        <v>451</v>
      </c>
      <c r="G11" s="195">
        <v>339.95</v>
      </c>
      <c r="H11" s="195">
        <v>0</v>
      </c>
      <c r="I11" s="195">
        <v>0</v>
      </c>
      <c r="J11" s="195"/>
      <c r="K11" s="195">
        <v>1017.23</v>
      </c>
      <c r="L11" s="195" t="s">
        <v>452</v>
      </c>
      <c r="M11" s="195">
        <v>37.450000000000003</v>
      </c>
      <c r="N11" s="195">
        <v>1515772800</v>
      </c>
      <c r="O11" s="195">
        <v>1</v>
      </c>
      <c r="P11" s="195">
        <v>3.79</v>
      </c>
      <c r="Q11" s="195">
        <v>149</v>
      </c>
      <c r="R11" s="195">
        <v>5.68</v>
      </c>
      <c r="S11" s="195">
        <v>1.27</v>
      </c>
      <c r="T11"/>
    </row>
    <row r="12" spans="1:20" x14ac:dyDescent="0.3">
      <c r="A12" s="195">
        <v>41.32</v>
      </c>
      <c r="B12" s="195">
        <v>0.08</v>
      </c>
      <c r="C12" s="195">
        <v>20.18</v>
      </c>
      <c r="D12" s="8">
        <v>43112.416666666664</v>
      </c>
      <c r="E12" s="195">
        <v>0.42</v>
      </c>
      <c r="F12" s="195" t="s">
        <v>451</v>
      </c>
      <c r="G12" s="195">
        <v>342.35</v>
      </c>
      <c r="H12" s="195">
        <v>0</v>
      </c>
      <c r="I12" s="195">
        <v>0</v>
      </c>
      <c r="J12" s="195"/>
      <c r="K12" s="195">
        <v>1017.38</v>
      </c>
      <c r="L12" s="195" t="s">
        <v>452</v>
      </c>
      <c r="M12" s="195">
        <v>41.32</v>
      </c>
      <c r="N12" s="195">
        <v>1515776400</v>
      </c>
      <c r="O12" s="195">
        <v>1</v>
      </c>
      <c r="P12" s="195">
        <v>3.2</v>
      </c>
      <c r="Q12" s="195">
        <v>259</v>
      </c>
      <c r="R12" s="195">
        <v>9.51</v>
      </c>
      <c r="S12" s="195">
        <v>0.89</v>
      </c>
      <c r="T12"/>
    </row>
    <row r="13" spans="1:20" x14ac:dyDescent="0.3">
      <c r="A13" s="195">
        <v>45.66</v>
      </c>
      <c r="B13" s="195">
        <v>0.3</v>
      </c>
      <c r="C13" s="195">
        <v>18.899999999999999</v>
      </c>
      <c r="D13" s="8">
        <v>43112.458333333336</v>
      </c>
      <c r="E13" s="195">
        <v>0.34</v>
      </c>
      <c r="F13" s="195" t="s">
        <v>907</v>
      </c>
      <c r="G13" s="195">
        <v>344.04</v>
      </c>
      <c r="H13" s="195">
        <v>0</v>
      </c>
      <c r="I13" s="195">
        <v>0</v>
      </c>
      <c r="J13" s="195"/>
      <c r="K13" s="195">
        <v>1017.1</v>
      </c>
      <c r="L13" s="195" t="s">
        <v>464</v>
      </c>
      <c r="M13" s="195">
        <v>45.66</v>
      </c>
      <c r="N13" s="195">
        <v>1515780000</v>
      </c>
      <c r="O13" s="195">
        <v>2</v>
      </c>
      <c r="P13" s="195">
        <v>5.63</v>
      </c>
      <c r="Q13" s="195">
        <v>301</v>
      </c>
      <c r="R13" s="195">
        <v>18.600000000000001</v>
      </c>
      <c r="S13" s="195">
        <v>2.4</v>
      </c>
      <c r="T13"/>
    </row>
    <row r="14" spans="1:20" x14ac:dyDescent="0.3">
      <c r="A14" s="195">
        <v>42.91</v>
      </c>
      <c r="B14" s="195">
        <v>0.63</v>
      </c>
      <c r="C14" s="195">
        <v>19.600000000000001</v>
      </c>
      <c r="D14" s="8">
        <v>43112.5</v>
      </c>
      <c r="E14" s="195">
        <v>0.35</v>
      </c>
      <c r="F14" s="195" t="s">
        <v>907</v>
      </c>
      <c r="G14" s="195">
        <v>344.54</v>
      </c>
      <c r="H14" s="195">
        <v>0</v>
      </c>
      <c r="I14" s="195">
        <v>0</v>
      </c>
      <c r="J14" s="195"/>
      <c r="K14" s="195">
        <v>1017.93</v>
      </c>
      <c r="L14" s="195" t="s">
        <v>908</v>
      </c>
      <c r="M14" s="195">
        <v>45.73</v>
      </c>
      <c r="N14" s="195">
        <v>1515783600</v>
      </c>
      <c r="O14" s="195">
        <v>1</v>
      </c>
      <c r="P14" s="195">
        <v>4.03</v>
      </c>
      <c r="Q14" s="195">
        <v>342</v>
      </c>
      <c r="R14" s="195">
        <v>12.28</v>
      </c>
      <c r="S14" s="195">
        <v>5.45</v>
      </c>
      <c r="T14"/>
    </row>
    <row r="15" spans="1:20" x14ac:dyDescent="0.3">
      <c r="A15" s="195">
        <v>40.51</v>
      </c>
      <c r="B15" s="195">
        <v>0.55000000000000004</v>
      </c>
      <c r="C15" s="195">
        <v>23.51</v>
      </c>
      <c r="D15" s="8">
        <v>43112.541666666664</v>
      </c>
      <c r="E15" s="195">
        <v>0.45</v>
      </c>
      <c r="F15" s="195" t="s">
        <v>907</v>
      </c>
      <c r="G15" s="195">
        <v>344.35</v>
      </c>
      <c r="H15" s="195">
        <v>0</v>
      </c>
      <c r="I15" s="195">
        <v>0</v>
      </c>
      <c r="J15" s="195"/>
      <c r="K15" s="195">
        <v>1019.41</v>
      </c>
      <c r="L15" s="195" t="s">
        <v>464</v>
      </c>
      <c r="M15" s="195">
        <v>43.67</v>
      </c>
      <c r="N15" s="195">
        <v>1515787200</v>
      </c>
      <c r="O15" s="195">
        <v>1</v>
      </c>
      <c r="P15" s="195">
        <v>4.03</v>
      </c>
      <c r="Q15" s="195">
        <v>42</v>
      </c>
      <c r="R15" s="195">
        <v>15.02</v>
      </c>
      <c r="S15" s="195">
        <v>5.39</v>
      </c>
      <c r="T15"/>
    </row>
    <row r="16" spans="1:20" x14ac:dyDescent="0.3">
      <c r="A16" s="195">
        <v>41.52</v>
      </c>
      <c r="B16" s="195">
        <v>0.54</v>
      </c>
      <c r="C16" s="195">
        <v>23.39</v>
      </c>
      <c r="D16" s="8">
        <v>43112.583333333336</v>
      </c>
      <c r="E16" s="195">
        <v>0.43</v>
      </c>
      <c r="F16" s="195" t="s">
        <v>907</v>
      </c>
      <c r="G16" s="195">
        <v>343.85</v>
      </c>
      <c r="H16" s="195">
        <v>0</v>
      </c>
      <c r="I16" s="195">
        <v>0</v>
      </c>
      <c r="J16" s="195"/>
      <c r="K16" s="195">
        <v>1020.55</v>
      </c>
      <c r="L16" s="195" t="s">
        <v>464</v>
      </c>
      <c r="M16" s="195">
        <v>44.74</v>
      </c>
      <c r="N16" s="195">
        <v>1515790800</v>
      </c>
      <c r="O16" s="195">
        <v>1</v>
      </c>
      <c r="P16" s="195">
        <v>4.03</v>
      </c>
      <c r="Q16" s="195">
        <v>34</v>
      </c>
      <c r="R16" s="195">
        <v>12.59</v>
      </c>
      <c r="S16" s="195">
        <v>5.81</v>
      </c>
      <c r="T16"/>
    </row>
    <row r="17" spans="1:20" x14ac:dyDescent="0.3">
      <c r="A17" s="195">
        <v>42.66</v>
      </c>
      <c r="B17" s="195">
        <v>0.54</v>
      </c>
      <c r="C17" s="195">
        <v>23.24</v>
      </c>
      <c r="D17" s="8">
        <v>43112.625</v>
      </c>
      <c r="E17" s="195">
        <v>0.41</v>
      </c>
      <c r="F17" s="195" t="s">
        <v>907</v>
      </c>
      <c r="G17" s="195">
        <v>343.35</v>
      </c>
      <c r="H17" s="195">
        <v>0</v>
      </c>
      <c r="I17" s="195">
        <v>0</v>
      </c>
      <c r="J17" s="195"/>
      <c r="K17" s="195">
        <v>1022.12</v>
      </c>
      <c r="L17" s="195" t="s">
        <v>464</v>
      </c>
      <c r="M17" s="195">
        <v>45.31</v>
      </c>
      <c r="N17" s="195">
        <v>1515794400</v>
      </c>
      <c r="O17" s="195">
        <v>1</v>
      </c>
      <c r="P17" s="195">
        <v>5.59</v>
      </c>
      <c r="Q17" s="195">
        <v>24</v>
      </c>
      <c r="R17" s="195">
        <v>10.6</v>
      </c>
      <c r="S17" s="195">
        <v>5.07</v>
      </c>
      <c r="T17"/>
    </row>
    <row r="18" spans="1:20" x14ac:dyDescent="0.3">
      <c r="A18" s="195">
        <v>42.28</v>
      </c>
      <c r="B18" s="195">
        <v>0.43</v>
      </c>
      <c r="C18" s="195">
        <v>23.78</v>
      </c>
      <c r="D18" s="8">
        <v>43112.666666666664</v>
      </c>
      <c r="E18" s="195">
        <v>0.43</v>
      </c>
      <c r="F18" s="195" t="s">
        <v>907</v>
      </c>
      <c r="G18" s="195">
        <v>342.55</v>
      </c>
      <c r="H18" s="195">
        <v>0</v>
      </c>
      <c r="I18" s="195">
        <v>0</v>
      </c>
      <c r="J18" s="195"/>
      <c r="K18" s="195">
        <v>1023.58</v>
      </c>
      <c r="L18" s="195" t="s">
        <v>464</v>
      </c>
      <c r="M18" s="195">
        <v>44.67</v>
      </c>
      <c r="N18" s="195">
        <v>1515798000</v>
      </c>
      <c r="O18" s="195">
        <v>0</v>
      </c>
      <c r="P18" s="195">
        <v>5.59</v>
      </c>
      <c r="Q18" s="195">
        <v>24</v>
      </c>
      <c r="R18" s="195">
        <v>7.91</v>
      </c>
      <c r="S18" s="195">
        <v>4.5599999999999996</v>
      </c>
      <c r="T18"/>
    </row>
    <row r="19" spans="1:20" x14ac:dyDescent="0.3">
      <c r="A19" s="195">
        <v>38.93</v>
      </c>
      <c r="B19" s="195">
        <v>0.54</v>
      </c>
      <c r="C19" s="195">
        <v>26.97</v>
      </c>
      <c r="D19" s="8">
        <v>43112.708333333336</v>
      </c>
      <c r="E19" s="195">
        <v>0.55000000000000004</v>
      </c>
      <c r="F19" s="195" t="s">
        <v>465</v>
      </c>
      <c r="G19" s="195">
        <v>342.05</v>
      </c>
      <c r="H19" s="195">
        <v>0</v>
      </c>
      <c r="I19" s="195">
        <v>0</v>
      </c>
      <c r="J19" s="195"/>
      <c r="K19" s="195">
        <v>1025.21</v>
      </c>
      <c r="L19" s="195" t="s">
        <v>464</v>
      </c>
      <c r="M19" s="195">
        <v>41.9</v>
      </c>
      <c r="N19" s="195">
        <v>1515801600</v>
      </c>
      <c r="O19" s="195">
        <v>0</v>
      </c>
      <c r="P19" s="195">
        <v>5.39</v>
      </c>
      <c r="Q19" s="195">
        <v>42</v>
      </c>
      <c r="R19" s="195">
        <v>13.63</v>
      </c>
      <c r="S19" s="195">
        <v>4.7</v>
      </c>
      <c r="T19"/>
    </row>
    <row r="20" spans="1:20" x14ac:dyDescent="0.3">
      <c r="A20" s="195">
        <v>34.880000000000003</v>
      </c>
      <c r="B20" s="195">
        <v>0.35</v>
      </c>
      <c r="C20" s="195">
        <v>28.66</v>
      </c>
      <c r="D20" s="8">
        <v>43112.75</v>
      </c>
      <c r="E20" s="195">
        <v>0.68</v>
      </c>
      <c r="F20" s="195" t="s">
        <v>465</v>
      </c>
      <c r="G20" s="195">
        <v>338.64</v>
      </c>
      <c r="H20" s="195">
        <v>1.2999999999999999E-3</v>
      </c>
      <c r="I20" s="195">
        <v>0.05</v>
      </c>
      <c r="J20" s="195" t="s">
        <v>527</v>
      </c>
      <c r="K20" s="195">
        <v>1027.3699999999999</v>
      </c>
      <c r="L20" s="195" t="s">
        <v>464</v>
      </c>
      <c r="M20" s="195">
        <v>38.33</v>
      </c>
      <c r="N20" s="195">
        <v>1515805200</v>
      </c>
      <c r="O20" s="195">
        <v>0</v>
      </c>
      <c r="P20" s="195">
        <v>5.51</v>
      </c>
      <c r="Q20" s="195">
        <v>62</v>
      </c>
      <c r="R20" s="195">
        <v>8.39</v>
      </c>
      <c r="S20" s="195">
        <v>4.5599999999999996</v>
      </c>
      <c r="T20"/>
    </row>
    <row r="21" spans="1:20" x14ac:dyDescent="0.3">
      <c r="A21" s="195">
        <v>35.630000000000003</v>
      </c>
      <c r="B21" s="195">
        <v>0.53</v>
      </c>
      <c r="C21" s="195">
        <v>29.34</v>
      </c>
      <c r="D21" s="8">
        <v>43112.791666666664</v>
      </c>
      <c r="E21" s="195">
        <v>0.78</v>
      </c>
      <c r="F21" s="195" t="s">
        <v>465</v>
      </c>
      <c r="G21" s="195">
        <v>334.22</v>
      </c>
      <c r="H21" s="195">
        <v>0</v>
      </c>
      <c r="I21" s="195">
        <v>0</v>
      </c>
      <c r="J21" s="195"/>
      <c r="K21" s="195">
        <v>1028.77</v>
      </c>
      <c r="L21" s="195" t="s">
        <v>464</v>
      </c>
      <c r="M21" s="195">
        <v>35.630000000000003</v>
      </c>
      <c r="N21" s="195">
        <v>1515808800</v>
      </c>
      <c r="O21" s="195">
        <v>0</v>
      </c>
      <c r="P21" s="195">
        <v>4.59</v>
      </c>
      <c r="Q21" s="195">
        <v>82</v>
      </c>
      <c r="R21" s="195">
        <v>6.34</v>
      </c>
      <c r="S21" s="195">
        <v>2.82</v>
      </c>
      <c r="T21"/>
    </row>
    <row r="22" spans="1:20" x14ac:dyDescent="0.3">
      <c r="A22" s="195">
        <v>33.5</v>
      </c>
      <c r="B22" s="195">
        <v>0.56000000000000005</v>
      </c>
      <c r="C22" s="195">
        <v>29.07</v>
      </c>
      <c r="D22" s="8">
        <v>43112.833333333336</v>
      </c>
      <c r="E22" s="195">
        <v>0.84</v>
      </c>
      <c r="F22" s="195" t="s">
        <v>465</v>
      </c>
      <c r="G22" s="195">
        <v>330.68</v>
      </c>
      <c r="H22" s="195">
        <v>0</v>
      </c>
      <c r="I22" s="195">
        <v>0</v>
      </c>
      <c r="J22" s="195"/>
      <c r="K22" s="195">
        <v>1029.8</v>
      </c>
      <c r="L22" s="195" t="s">
        <v>464</v>
      </c>
      <c r="M22" s="195">
        <v>33.5</v>
      </c>
      <c r="N22" s="195">
        <v>1515812400</v>
      </c>
      <c r="O22" s="195">
        <v>0</v>
      </c>
      <c r="P22" s="195">
        <v>4.09</v>
      </c>
      <c r="Q22" s="195">
        <v>94</v>
      </c>
      <c r="R22" s="195">
        <v>7.05</v>
      </c>
      <c r="S22" s="195">
        <v>2.61</v>
      </c>
      <c r="T22"/>
    </row>
    <row r="23" spans="1:20" x14ac:dyDescent="0.3">
      <c r="A23" s="195">
        <v>32.840000000000003</v>
      </c>
      <c r="B23" s="195">
        <v>0.83</v>
      </c>
      <c r="C23" s="195">
        <v>28.53</v>
      </c>
      <c r="D23" s="8">
        <v>43112.875</v>
      </c>
      <c r="E23" s="195">
        <v>0.84</v>
      </c>
      <c r="F23" s="195" t="s">
        <v>465</v>
      </c>
      <c r="G23" s="195">
        <v>329.16</v>
      </c>
      <c r="H23" s="195">
        <v>0</v>
      </c>
      <c r="I23" s="195">
        <v>0</v>
      </c>
      <c r="J23" s="195"/>
      <c r="K23" s="195">
        <v>1029.53</v>
      </c>
      <c r="L23" s="195" t="s">
        <v>908</v>
      </c>
      <c r="M23" s="195">
        <v>32.840000000000003</v>
      </c>
      <c r="N23" s="195">
        <v>1515816000</v>
      </c>
      <c r="O23" s="195">
        <v>0</v>
      </c>
      <c r="P23" s="195">
        <v>3.48</v>
      </c>
      <c r="Q23" s="195">
        <v>99</v>
      </c>
      <c r="R23" s="195">
        <v>4.7300000000000004</v>
      </c>
      <c r="S23" s="195">
        <v>1.83</v>
      </c>
      <c r="T23"/>
    </row>
    <row r="24" spans="1:20" x14ac:dyDescent="0.3">
      <c r="A24" s="195">
        <v>32.22</v>
      </c>
      <c r="B24" s="195">
        <v>0.67</v>
      </c>
      <c r="C24" s="195">
        <v>28.37</v>
      </c>
      <c r="D24" s="8">
        <v>43112.916666666664</v>
      </c>
      <c r="E24" s="195">
        <v>0.86</v>
      </c>
      <c r="F24" s="195" t="s">
        <v>465</v>
      </c>
      <c r="G24" s="195">
        <v>328.65</v>
      </c>
      <c r="H24" s="195">
        <v>0</v>
      </c>
      <c r="I24" s="195">
        <v>0</v>
      </c>
      <c r="J24" s="195"/>
      <c r="K24" s="195">
        <v>1028.8499999999999</v>
      </c>
      <c r="L24" s="195" t="s">
        <v>908</v>
      </c>
      <c r="M24" s="195">
        <v>32.22</v>
      </c>
      <c r="N24" s="195">
        <v>1515819600</v>
      </c>
      <c r="O24" s="195">
        <v>0</v>
      </c>
      <c r="P24" s="195">
        <v>4.4000000000000004</v>
      </c>
      <c r="Q24" s="195">
        <v>149</v>
      </c>
      <c r="R24" s="195">
        <v>4.32</v>
      </c>
      <c r="S24" s="195">
        <v>1.41</v>
      </c>
      <c r="T24"/>
    </row>
    <row r="25" spans="1:20" x14ac:dyDescent="0.3">
      <c r="A25" s="195">
        <v>31.84</v>
      </c>
      <c r="B25" s="195">
        <v>0.49</v>
      </c>
      <c r="C25" s="195">
        <v>27.39</v>
      </c>
      <c r="D25" s="8">
        <v>43112.958333333336</v>
      </c>
      <c r="E25" s="195">
        <v>0.83</v>
      </c>
      <c r="F25" s="195" t="s">
        <v>465</v>
      </c>
      <c r="G25" s="195">
        <v>329.36</v>
      </c>
      <c r="H25" s="195">
        <v>0</v>
      </c>
      <c r="I25" s="195">
        <v>0</v>
      </c>
      <c r="J25" s="195"/>
      <c r="K25" s="195">
        <v>1031.21</v>
      </c>
      <c r="L25" s="195" t="s">
        <v>464</v>
      </c>
      <c r="M25" s="195">
        <v>31.84</v>
      </c>
      <c r="N25" s="195">
        <v>1515823200</v>
      </c>
      <c r="O25" s="195">
        <v>0</v>
      </c>
      <c r="P25" s="195">
        <v>3.83</v>
      </c>
      <c r="Q25" s="195">
        <v>160</v>
      </c>
      <c r="R25" s="195">
        <v>6.83</v>
      </c>
      <c r="S25" s="195">
        <v>2.5099999999999998</v>
      </c>
      <c r="T25"/>
    </row>
    <row r="26" spans="1:20" x14ac:dyDescent="0.3">
      <c r="A26" s="195">
        <v>30.96</v>
      </c>
      <c r="B26" s="195">
        <v>0.19</v>
      </c>
      <c r="C26" s="195">
        <v>26.57</v>
      </c>
      <c r="D26" s="8">
        <v>43113</v>
      </c>
      <c r="E26" s="195">
        <v>0.84</v>
      </c>
      <c r="F26" s="195" t="s">
        <v>453</v>
      </c>
      <c r="G26" s="195">
        <v>327.13</v>
      </c>
      <c r="H26" s="195">
        <v>0</v>
      </c>
      <c r="I26" s="195">
        <v>0</v>
      </c>
      <c r="J26" s="195"/>
      <c r="K26" s="195">
        <v>1028.9100000000001</v>
      </c>
      <c r="L26" s="195" t="s">
        <v>452</v>
      </c>
      <c r="M26" s="195">
        <v>30.96</v>
      </c>
      <c r="N26" s="195">
        <v>1515826800</v>
      </c>
      <c r="O26" s="195">
        <v>0</v>
      </c>
      <c r="P26" s="195">
        <v>3.52</v>
      </c>
      <c r="Q26" s="195">
        <v>175</v>
      </c>
      <c r="R26" s="195">
        <v>5.32</v>
      </c>
      <c r="S26" s="195">
        <v>2.48</v>
      </c>
      <c r="T26"/>
    </row>
    <row r="27" spans="1:20" x14ac:dyDescent="0.3">
      <c r="A27" s="195">
        <v>28.22</v>
      </c>
      <c r="B27" s="195">
        <v>0.06</v>
      </c>
      <c r="C27" s="195">
        <v>23.96</v>
      </c>
      <c r="D27" s="8">
        <v>43113.041666666664</v>
      </c>
      <c r="E27" s="195">
        <v>0.84</v>
      </c>
      <c r="F27" s="195" t="s">
        <v>453</v>
      </c>
      <c r="G27" s="195">
        <v>324.06</v>
      </c>
      <c r="H27" s="195">
        <v>0</v>
      </c>
      <c r="I27" s="195">
        <v>0</v>
      </c>
      <c r="J27" s="195"/>
      <c r="K27" s="195">
        <v>1027.75</v>
      </c>
      <c r="L27" s="195" t="s">
        <v>452</v>
      </c>
      <c r="M27" s="195">
        <v>28.22</v>
      </c>
      <c r="N27" s="195">
        <v>1515830400</v>
      </c>
      <c r="O27" s="195">
        <v>0</v>
      </c>
      <c r="P27" s="195">
        <v>3.57</v>
      </c>
      <c r="Q27" s="195">
        <v>141</v>
      </c>
      <c r="R27" s="195">
        <v>6.91</v>
      </c>
      <c r="S27" s="195">
        <v>2.79</v>
      </c>
      <c r="T27"/>
    </row>
    <row r="28" spans="1:20" x14ac:dyDescent="0.3">
      <c r="A28" s="195">
        <v>28.49</v>
      </c>
      <c r="B28" s="195">
        <v>0.25</v>
      </c>
      <c r="C28" s="195">
        <v>23.05</v>
      </c>
      <c r="D28" s="8">
        <v>43113.083333333336</v>
      </c>
      <c r="E28" s="195">
        <v>0.8</v>
      </c>
      <c r="F28" s="195" t="s">
        <v>465</v>
      </c>
      <c r="G28" s="195">
        <v>321.49</v>
      </c>
      <c r="H28" s="195">
        <v>0</v>
      </c>
      <c r="I28" s="195">
        <v>0</v>
      </c>
      <c r="J28" s="195"/>
      <c r="K28" s="195">
        <v>1027.4100000000001</v>
      </c>
      <c r="L28" s="195" t="s">
        <v>464</v>
      </c>
      <c r="M28" s="195">
        <v>28.49</v>
      </c>
      <c r="N28" s="195">
        <v>1515834000</v>
      </c>
      <c r="O28" s="195">
        <v>0</v>
      </c>
      <c r="P28" s="195">
        <v>4.03</v>
      </c>
      <c r="Q28" s="195">
        <v>189</v>
      </c>
      <c r="R28" s="195">
        <v>5.57</v>
      </c>
      <c r="S28" s="195">
        <v>1.51</v>
      </c>
      <c r="T28"/>
    </row>
    <row r="29" spans="1:20" x14ac:dyDescent="0.3">
      <c r="A29" s="195">
        <v>26.57</v>
      </c>
      <c r="B29" s="195">
        <v>0.6</v>
      </c>
      <c r="C29" s="195">
        <v>22.2</v>
      </c>
      <c r="D29" s="8">
        <v>43113.125</v>
      </c>
      <c r="E29" s="195">
        <v>0.83</v>
      </c>
      <c r="F29" s="195" t="s">
        <v>465</v>
      </c>
      <c r="G29" s="195">
        <v>320.14999999999998</v>
      </c>
      <c r="H29" s="195">
        <v>0</v>
      </c>
      <c r="I29" s="195">
        <v>0</v>
      </c>
      <c r="J29" s="195"/>
      <c r="K29" s="195">
        <v>1027.8499999999999</v>
      </c>
      <c r="L29" s="195" t="s">
        <v>908</v>
      </c>
      <c r="M29" s="195">
        <v>26.57</v>
      </c>
      <c r="N29" s="195">
        <v>1515837600</v>
      </c>
      <c r="O29" s="195">
        <v>0</v>
      </c>
      <c r="P29" s="195">
        <v>3.67</v>
      </c>
      <c r="Q29" s="195">
        <v>11</v>
      </c>
      <c r="R29" s="195">
        <v>3.89</v>
      </c>
      <c r="S29" s="195">
        <v>0.52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2" sqref="A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43112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666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1094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1095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1096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1097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1098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1099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1100</v>
      </c>
      <c r="J25" s="139" t="s">
        <v>144</v>
      </c>
      <c r="M25" s="153" t="b">
        <v>1</v>
      </c>
    </row>
    <row r="26" spans="3:24" x14ac:dyDescent="0.3">
      <c r="C26" t="s">
        <v>1101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%USERPROFILE%\Documents\GitHub\eaglep3-reporting\EC\2018-01-12-refined-times.txt</v>
      </c>
    </row>
    <row r="27" spans="3:24" x14ac:dyDescent="0.3">
      <c r="C27" t="s">
        <v>1102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%USERPROFILE%\Documents\GitHub\eaglep3-reporting\EC\2018-01-12-Enforcements.txt</v>
      </c>
    </row>
    <row r="28" spans="3:24" x14ac:dyDescent="0.3">
      <c r="C28" t="s">
        <v>1103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%USERPROFILE%\Documents\GitHub\eaglep3-reporting\EC\2018-01-12-Runs-refined.txt</v>
      </c>
    </row>
    <row r="29" spans="3:24" x14ac:dyDescent="0.3">
      <c r="C29" t="s">
        <v>1104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%USERPROFILE%\Documents\GitHub\eaglep3-reporting\EC\2018-01-12-Trips.txt</v>
      </c>
    </row>
    <row r="30" spans="3:24" x14ac:dyDescent="0.3">
      <c r="C30" t="s">
        <v>1105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%USERPROFILE%\Documents\GitHub\eaglep3-reporting\EC\2018-01-12-Weather.txt</v>
      </c>
    </row>
    <row r="31" spans="3:24" x14ac:dyDescent="0.3">
      <c r="C31" t="s">
        <v>1106</v>
      </c>
      <c r="J31" s="139" t="s">
        <v>187</v>
      </c>
      <c r="M31" s="153" t="s">
        <v>188</v>
      </c>
    </row>
    <row r="32" spans="3:24" x14ac:dyDescent="0.3">
      <c r="C32" t="s">
        <v>1107</v>
      </c>
    </row>
    <row r="33" spans="3:3" x14ac:dyDescent="0.3">
      <c r="C33" t="s">
        <v>1108</v>
      </c>
    </row>
    <row r="34" spans="3:3" x14ac:dyDescent="0.3">
      <c r="C34" t="s">
        <v>1109</v>
      </c>
    </row>
    <row r="35" spans="3:3" x14ac:dyDescent="0.3">
      <c r="C35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2018-01-15T15:50:33Z</dcterms:modified>
</cp:coreProperties>
</file>