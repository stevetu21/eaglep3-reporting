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Enforcements!$A$6:$AC$50</definedName>
    <definedName name="_xlnm._FilterDatabase" localSheetId="2" hidden="1">'Missing Trips'!$B$2:$I$2</definedName>
    <definedName name="_xlnm._FilterDatabase" localSheetId="0" hidden="1">'Train Runs'!$A$12:$AG$281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05" i="1" l="1"/>
  <c r="K104" i="1"/>
  <c r="L104" i="1"/>
  <c r="M104" i="1"/>
  <c r="T104" i="1"/>
  <c r="V104" i="1"/>
  <c r="Y104" i="1"/>
  <c r="Z104" i="1"/>
  <c r="AA104" i="1" s="1"/>
  <c r="AB104" i="1"/>
  <c r="AC104" i="1"/>
  <c r="AD104" i="1"/>
  <c r="X104" i="1" s="1"/>
  <c r="AE104" i="1"/>
  <c r="AF104" i="1"/>
  <c r="AH104" i="1"/>
  <c r="K100" i="1"/>
  <c r="L100" i="1"/>
  <c r="M100" i="1"/>
  <c r="V100" i="1"/>
  <c r="Y100" i="1"/>
  <c r="Z100" i="1"/>
  <c r="AA100" i="1" s="1"/>
  <c r="AB100" i="1"/>
  <c r="AC100" i="1"/>
  <c r="AD100" i="1"/>
  <c r="T100" i="1" s="1"/>
  <c r="AE100" i="1"/>
  <c r="AF100" i="1"/>
  <c r="AH100" i="1"/>
  <c r="K96" i="1"/>
  <c r="L96" i="1"/>
  <c r="M96" i="1"/>
  <c r="V96" i="1"/>
  <c r="Y96" i="1"/>
  <c r="Z96" i="1"/>
  <c r="AA96" i="1" s="1"/>
  <c r="AB96" i="1"/>
  <c r="AC96" i="1"/>
  <c r="AD96" i="1"/>
  <c r="T96" i="1" s="1"/>
  <c r="AE96" i="1"/>
  <c r="AF96" i="1"/>
  <c r="AH96" i="1"/>
  <c r="K97" i="1"/>
  <c r="L97" i="1"/>
  <c r="M97" i="1"/>
  <c r="V97" i="1"/>
  <c r="Y97" i="1"/>
  <c r="Z97" i="1"/>
  <c r="AA97" i="1" s="1"/>
  <c r="AB97" i="1"/>
  <c r="AC97" i="1"/>
  <c r="AD97" i="1"/>
  <c r="T97" i="1" s="1"/>
  <c r="AE97" i="1"/>
  <c r="AF97" i="1"/>
  <c r="AH97" i="1"/>
  <c r="K87" i="1"/>
  <c r="L87" i="1"/>
  <c r="M87" i="1"/>
  <c r="V87" i="1"/>
  <c r="Y87" i="1"/>
  <c r="Z87" i="1"/>
  <c r="AA87" i="1" s="1"/>
  <c r="AB87" i="1"/>
  <c r="AC87" i="1"/>
  <c r="AD87" i="1"/>
  <c r="T87" i="1" s="1"/>
  <c r="AE87" i="1"/>
  <c r="AF87" i="1"/>
  <c r="AH87" i="1"/>
  <c r="P101" i="1"/>
  <c r="K101" i="1"/>
  <c r="L101" i="1"/>
  <c r="M101" i="1"/>
  <c r="V101" i="1"/>
  <c r="Y101" i="1"/>
  <c r="Z101" i="1"/>
  <c r="AA101" i="1" s="1"/>
  <c r="W101" i="1" s="1"/>
  <c r="AB101" i="1"/>
  <c r="AC101" i="1"/>
  <c r="AD101" i="1"/>
  <c r="AG101" i="1" s="1"/>
  <c r="AE101" i="1"/>
  <c r="AF101" i="1"/>
  <c r="AH101" i="1"/>
  <c r="W104" i="1" l="1"/>
  <c r="AG104" i="1"/>
  <c r="AI104" i="1"/>
  <c r="U104" i="1"/>
  <c r="S104" i="1" s="1"/>
  <c r="X101" i="1"/>
  <c r="AG100" i="1"/>
  <c r="X97" i="1"/>
  <c r="AG96" i="1"/>
  <c r="W96" i="1" s="1"/>
  <c r="AG97" i="1"/>
  <c r="AI97" i="1" s="1"/>
  <c r="AG87" i="1"/>
  <c r="T101" i="1"/>
  <c r="U101" i="1" s="1"/>
  <c r="S101" i="1" s="1"/>
  <c r="AI10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R15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R27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R18" i="3" s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S28" i="3" s="1"/>
  <c r="Y38" i="1"/>
  <c r="Z38" i="1"/>
  <c r="AB38" i="1"/>
  <c r="AC38" i="1"/>
  <c r="AD38" i="1"/>
  <c r="T38" i="1" s="1"/>
  <c r="AE38" i="1"/>
  <c r="R28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S9" i="3" s="1"/>
  <c r="Y40" i="1"/>
  <c r="Z40" i="1"/>
  <c r="AB40" i="1"/>
  <c r="AC40" i="1"/>
  <c r="AD40" i="1"/>
  <c r="T40" i="1" s="1"/>
  <c r="AE40" i="1"/>
  <c r="R9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V44" i="1"/>
  <c r="Y44" i="1"/>
  <c r="Z44" i="1"/>
  <c r="AB44" i="1"/>
  <c r="AC44" i="1"/>
  <c r="AD44" i="1"/>
  <c r="X44" i="1" s="1"/>
  <c r="AE44" i="1"/>
  <c r="AF44" i="1"/>
  <c r="AH44" i="1"/>
  <c r="K45" i="1"/>
  <c r="L45" i="1"/>
  <c r="M45" i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V49" i="1"/>
  <c r="Y49" i="1"/>
  <c r="Z49" i="1"/>
  <c r="AB49" i="1"/>
  <c r="AC49" i="1"/>
  <c r="AD49" i="1"/>
  <c r="AG49" i="1" s="1"/>
  <c r="AE49" i="1"/>
  <c r="R25" i="3" s="1"/>
  <c r="AF49" i="1"/>
  <c r="AH49" i="1"/>
  <c r="K50" i="1"/>
  <c r="L50" i="1"/>
  <c r="M50" i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S8" i="3" s="1"/>
  <c r="Y53" i="1"/>
  <c r="Z53" i="1"/>
  <c r="AB53" i="1"/>
  <c r="AC53" i="1"/>
  <c r="AD53" i="1"/>
  <c r="T53" i="1" s="1"/>
  <c r="AE53" i="1"/>
  <c r="R8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R24" i="3" s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S12" i="3" s="1"/>
  <c r="Y62" i="1"/>
  <c r="Z62" i="1"/>
  <c r="AB62" i="1"/>
  <c r="AC62" i="1"/>
  <c r="AD62" i="1"/>
  <c r="X62" i="1" s="1"/>
  <c r="AE62" i="1"/>
  <c r="R12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P74" i="1" s="1"/>
  <c r="V74" i="1"/>
  <c r="S23" i="3" s="1"/>
  <c r="Y74" i="1"/>
  <c r="Z74" i="1"/>
  <c r="AB74" i="1"/>
  <c r="AC74" i="1"/>
  <c r="AD74" i="1"/>
  <c r="AE74" i="1"/>
  <c r="R23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S13" i="3" s="1"/>
  <c r="Y78" i="1"/>
  <c r="Z78" i="1"/>
  <c r="AB78" i="1"/>
  <c r="AC78" i="1"/>
  <c r="AD78" i="1"/>
  <c r="AG78" i="1" s="1"/>
  <c r="AE78" i="1"/>
  <c r="R13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R19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X87" i="1" s="1"/>
  <c r="AE86" i="1"/>
  <c r="AF86" i="1"/>
  <c r="AH86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R22" i="3" s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S29" i="3" s="1"/>
  <c r="Y94" i="1"/>
  <c r="Z94" i="1"/>
  <c r="AB94" i="1"/>
  <c r="AC94" i="1"/>
  <c r="AD94" i="1"/>
  <c r="X94" i="1" s="1"/>
  <c r="AE94" i="1"/>
  <c r="R29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X100" i="1" s="1"/>
  <c r="AE99" i="1"/>
  <c r="AF99" i="1"/>
  <c r="AH99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S7" i="3" s="1"/>
  <c r="Y109" i="1"/>
  <c r="Z109" i="1"/>
  <c r="AB109" i="1"/>
  <c r="AC109" i="1"/>
  <c r="AD109" i="1"/>
  <c r="T109" i="1" s="1"/>
  <c r="AE109" i="1"/>
  <c r="R7" i="3" s="1"/>
  <c r="AF109" i="1"/>
  <c r="AH109" i="1"/>
  <c r="K110" i="1"/>
  <c r="L110" i="1"/>
  <c r="M110" i="1"/>
  <c r="N110" i="1" s="1"/>
  <c r="V110" i="1"/>
  <c r="S17" i="3" s="1"/>
  <c r="Y110" i="1"/>
  <c r="Z110" i="1"/>
  <c r="AB110" i="1"/>
  <c r="AC110" i="1"/>
  <c r="AD110" i="1"/>
  <c r="AG110" i="1" s="1"/>
  <c r="AE110" i="1"/>
  <c r="R17" i="3" s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S26" i="3" s="1"/>
  <c r="Y113" i="1"/>
  <c r="Z113" i="1"/>
  <c r="AB113" i="1"/>
  <c r="AC113" i="1"/>
  <c r="AD113" i="1"/>
  <c r="AG113" i="1" s="1"/>
  <c r="AE113" i="1"/>
  <c r="R26" i="3" s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K122" i="1"/>
  <c r="L122" i="1"/>
  <c r="M122" i="1"/>
  <c r="N122" i="1" s="1"/>
  <c r="V122" i="1"/>
  <c r="S30" i="3" s="1"/>
  <c r="Y122" i="1"/>
  <c r="Z122" i="1"/>
  <c r="AB122" i="1"/>
  <c r="AC122" i="1"/>
  <c r="AD122" i="1"/>
  <c r="AG122" i="1" s="1"/>
  <c r="AE122" i="1"/>
  <c r="R30" i="3" s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S31" i="3" s="1"/>
  <c r="Y130" i="1"/>
  <c r="Z130" i="1"/>
  <c r="AB130" i="1"/>
  <c r="AC130" i="1"/>
  <c r="AD130" i="1"/>
  <c r="AG130" i="1" s="1"/>
  <c r="AE130" i="1"/>
  <c r="R31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S20" i="3" s="1"/>
  <c r="Y143" i="1"/>
  <c r="Z143" i="1"/>
  <c r="AB143" i="1"/>
  <c r="AC143" i="1"/>
  <c r="AD143" i="1"/>
  <c r="T143" i="1" s="1"/>
  <c r="AE143" i="1"/>
  <c r="R20" i="3" s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S11" i="3" s="1"/>
  <c r="Y148" i="1"/>
  <c r="Z148" i="1"/>
  <c r="AB148" i="1"/>
  <c r="AC148" i="1"/>
  <c r="AD148" i="1"/>
  <c r="T148" i="1" s="1"/>
  <c r="AE148" i="1"/>
  <c r="R11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S14" i="3" s="1"/>
  <c r="Y155" i="1"/>
  <c r="Z155" i="1"/>
  <c r="AB155" i="1"/>
  <c r="AC155" i="1"/>
  <c r="AD155" i="1"/>
  <c r="X155" i="1" s="1"/>
  <c r="AE155" i="1"/>
  <c r="R14" i="3" s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9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1" i="1"/>
  <c r="K227" i="1"/>
  <c r="L227" i="1"/>
  <c r="M227" i="1"/>
  <c r="N227" i="1" s="1"/>
  <c r="V227" i="1"/>
  <c r="S48" i="3" s="1"/>
  <c r="Y227" i="1"/>
  <c r="Z227" i="1"/>
  <c r="AB227" i="1"/>
  <c r="AC227" i="1"/>
  <c r="AD227" i="1"/>
  <c r="T227" i="1" s="1"/>
  <c r="AE227" i="1"/>
  <c r="R48" i="3" s="1"/>
  <c r="AF227" i="1"/>
  <c r="AH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K229" i="1"/>
  <c r="L229" i="1"/>
  <c r="M229" i="1"/>
  <c r="N229" i="1" s="1"/>
  <c r="V229" i="1"/>
  <c r="S49" i="3" s="1"/>
  <c r="Y229" i="1"/>
  <c r="Z229" i="1"/>
  <c r="AB229" i="1"/>
  <c r="AC229" i="1"/>
  <c r="AD229" i="1"/>
  <c r="AG229" i="1" s="1"/>
  <c r="AE229" i="1"/>
  <c r="R49" i="3" s="1"/>
  <c r="AF229" i="1"/>
  <c r="AH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K232" i="1"/>
  <c r="L232" i="1"/>
  <c r="M232" i="1"/>
  <c r="N232" i="1" s="1"/>
  <c r="V232" i="1"/>
  <c r="S45" i="3" s="1"/>
  <c r="Y232" i="1"/>
  <c r="Z232" i="1"/>
  <c r="AB232" i="1"/>
  <c r="AC232" i="1"/>
  <c r="AD232" i="1"/>
  <c r="T232" i="1" s="1"/>
  <c r="AE232" i="1"/>
  <c r="R45" i="3" s="1"/>
  <c r="AF232" i="1"/>
  <c r="AH177" i="1"/>
  <c r="K161" i="1"/>
  <c r="L161" i="1"/>
  <c r="M161" i="1"/>
  <c r="N161" i="1" s="1"/>
  <c r="V161" i="1"/>
  <c r="S33" i="3" s="1"/>
  <c r="Y161" i="1"/>
  <c r="Z161" i="1"/>
  <c r="AB161" i="1"/>
  <c r="AC161" i="1"/>
  <c r="AD161" i="1"/>
  <c r="AG161" i="1" s="1"/>
  <c r="AE161" i="1"/>
  <c r="R33" i="3" s="1"/>
  <c r="AF161" i="1"/>
  <c r="AH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1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3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4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5" i="1"/>
  <c r="K169" i="1"/>
  <c r="L169" i="1"/>
  <c r="M169" i="1"/>
  <c r="N169" i="1" s="1"/>
  <c r="V169" i="1"/>
  <c r="S39" i="3" s="1"/>
  <c r="Y169" i="1"/>
  <c r="Z169" i="1"/>
  <c r="AB169" i="1"/>
  <c r="AC169" i="1"/>
  <c r="AD169" i="1"/>
  <c r="AG169" i="1" s="1"/>
  <c r="AE169" i="1"/>
  <c r="R39" i="3" s="1"/>
  <c r="AF169" i="1"/>
  <c r="AH18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2" i="1"/>
  <c r="K176" i="1"/>
  <c r="L176" i="1"/>
  <c r="M176" i="1"/>
  <c r="V176" i="1"/>
  <c r="S37" i="3" s="1"/>
  <c r="Y176" i="1"/>
  <c r="Z176" i="1"/>
  <c r="AB176" i="1"/>
  <c r="AC176" i="1"/>
  <c r="AD176" i="1"/>
  <c r="T176" i="1" s="1"/>
  <c r="AE176" i="1"/>
  <c r="R37" i="3" s="1"/>
  <c r="AF176" i="1"/>
  <c r="AH193" i="1"/>
  <c r="K177" i="1"/>
  <c r="L177" i="1"/>
  <c r="M177" i="1"/>
  <c r="V177" i="1"/>
  <c r="Y177" i="1"/>
  <c r="Z177" i="1"/>
  <c r="AB177" i="1"/>
  <c r="AC177" i="1"/>
  <c r="AD177" i="1"/>
  <c r="AG177" i="1" s="1"/>
  <c r="AE177" i="1"/>
  <c r="AF177" i="1"/>
  <c r="AH19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6" i="1"/>
  <c r="K180" i="1"/>
  <c r="L180" i="1"/>
  <c r="M180" i="1"/>
  <c r="N180" i="1" s="1"/>
  <c r="V180" i="1"/>
  <c r="S32" i="3" s="1"/>
  <c r="Y180" i="1"/>
  <c r="Z180" i="1"/>
  <c r="AB180" i="1"/>
  <c r="AC180" i="1"/>
  <c r="AD180" i="1"/>
  <c r="T180" i="1" s="1"/>
  <c r="AE180" i="1"/>
  <c r="R32" i="3" s="1"/>
  <c r="AF180" i="1"/>
  <c r="AH197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8" i="1"/>
  <c r="K182" i="1"/>
  <c r="L182" i="1"/>
  <c r="M182" i="1"/>
  <c r="N182" i="1" s="1"/>
  <c r="V182" i="1"/>
  <c r="S40" i="3" s="1"/>
  <c r="Y182" i="1"/>
  <c r="Z182" i="1"/>
  <c r="AB182" i="1"/>
  <c r="AC182" i="1"/>
  <c r="AD182" i="1"/>
  <c r="T182" i="1" s="1"/>
  <c r="AE182" i="1"/>
  <c r="R40" i="3" s="1"/>
  <c r="AF182" i="1"/>
  <c r="AH19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0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1" i="1"/>
  <c r="K185" i="1"/>
  <c r="L185" i="1"/>
  <c r="M185" i="1"/>
  <c r="N185" i="1" s="1"/>
  <c r="V185" i="1"/>
  <c r="S43" i="3" s="1"/>
  <c r="Y185" i="1"/>
  <c r="Z185" i="1"/>
  <c r="AB185" i="1"/>
  <c r="AC185" i="1"/>
  <c r="AD185" i="1"/>
  <c r="AG185" i="1" s="1"/>
  <c r="AE185" i="1"/>
  <c r="R43" i="3" s="1"/>
  <c r="AF185" i="1"/>
  <c r="AH202" i="1"/>
  <c r="K186" i="1"/>
  <c r="L186" i="1"/>
  <c r="M186" i="1"/>
  <c r="N186" i="1" s="1"/>
  <c r="V186" i="1"/>
  <c r="S41" i="3" s="1"/>
  <c r="Y186" i="1"/>
  <c r="Z186" i="1"/>
  <c r="AB186" i="1"/>
  <c r="AC186" i="1"/>
  <c r="AD186" i="1"/>
  <c r="T186" i="1" s="1"/>
  <c r="AE186" i="1"/>
  <c r="R41" i="3" s="1"/>
  <c r="AF186" i="1"/>
  <c r="AH203" i="1"/>
  <c r="K187" i="1"/>
  <c r="L187" i="1"/>
  <c r="M187" i="1"/>
  <c r="N187" i="1" s="1"/>
  <c r="V187" i="1"/>
  <c r="S34" i="3" s="1"/>
  <c r="Y187" i="1"/>
  <c r="Z187" i="1"/>
  <c r="AB187" i="1"/>
  <c r="AC187" i="1"/>
  <c r="AD187" i="1"/>
  <c r="T187" i="1" s="1"/>
  <c r="AE187" i="1"/>
  <c r="R34" i="3" s="1"/>
  <c r="AF187" i="1"/>
  <c r="AH204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5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9" i="1"/>
  <c r="K193" i="1"/>
  <c r="L193" i="1"/>
  <c r="M193" i="1"/>
  <c r="N193" i="1" s="1"/>
  <c r="V193" i="1"/>
  <c r="S35" i="3" s="1"/>
  <c r="Y193" i="1"/>
  <c r="Z193" i="1"/>
  <c r="AB193" i="1"/>
  <c r="AC193" i="1"/>
  <c r="AD193" i="1"/>
  <c r="AG193" i="1" s="1"/>
  <c r="AE193" i="1"/>
  <c r="R35" i="3" s="1"/>
  <c r="AF193" i="1"/>
  <c r="AH210" i="1"/>
  <c r="K194" i="1"/>
  <c r="L194" i="1"/>
  <c r="M194" i="1"/>
  <c r="N194" i="1" s="1"/>
  <c r="V194" i="1"/>
  <c r="S42" i="3" s="1"/>
  <c r="Y194" i="1"/>
  <c r="Z194" i="1"/>
  <c r="AB194" i="1"/>
  <c r="AC194" i="1"/>
  <c r="AD194" i="1"/>
  <c r="T194" i="1" s="1"/>
  <c r="AE194" i="1"/>
  <c r="R42" i="3" s="1"/>
  <c r="AF194" i="1"/>
  <c r="AH21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2" i="1"/>
  <c r="K196" i="1"/>
  <c r="L196" i="1"/>
  <c r="M196" i="1"/>
  <c r="V196" i="1"/>
  <c r="S36" i="3" s="1"/>
  <c r="Y196" i="1"/>
  <c r="Z196" i="1"/>
  <c r="AB196" i="1"/>
  <c r="AC196" i="1"/>
  <c r="AD196" i="1"/>
  <c r="T196" i="1" s="1"/>
  <c r="AE196" i="1"/>
  <c r="R38" i="3" s="1"/>
  <c r="AF196" i="1"/>
  <c r="AH213" i="1"/>
  <c r="K197" i="1"/>
  <c r="L197" i="1"/>
  <c r="M197" i="1"/>
  <c r="V197" i="1"/>
  <c r="Y197" i="1"/>
  <c r="Z197" i="1"/>
  <c r="AB197" i="1"/>
  <c r="AC197" i="1"/>
  <c r="AD197" i="1"/>
  <c r="AG197" i="1" s="1"/>
  <c r="AE197" i="1"/>
  <c r="AF197" i="1"/>
  <c r="AH21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6" i="1"/>
  <c r="K200" i="1"/>
  <c r="L200" i="1"/>
  <c r="M200" i="1"/>
  <c r="N200" i="1" s="1"/>
  <c r="V200" i="1"/>
  <c r="S44" i="3" s="1"/>
  <c r="Y200" i="1"/>
  <c r="Z200" i="1"/>
  <c r="AB200" i="1"/>
  <c r="AC200" i="1"/>
  <c r="AD200" i="1"/>
  <c r="T200" i="1" s="1"/>
  <c r="AE200" i="1"/>
  <c r="R44" i="3" s="1"/>
  <c r="AF200" i="1"/>
  <c r="AH21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0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1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2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3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4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5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26" i="1"/>
  <c r="K219" i="1"/>
  <c r="L219" i="1"/>
  <c r="M219" i="1"/>
  <c r="N219" i="1" s="1"/>
  <c r="V219" i="1"/>
  <c r="S50" i="3" s="1"/>
  <c r="Y219" i="1"/>
  <c r="Z219" i="1"/>
  <c r="AB219" i="1"/>
  <c r="AC219" i="1"/>
  <c r="AD219" i="1"/>
  <c r="T219" i="1" s="1"/>
  <c r="AE219" i="1"/>
  <c r="AF219" i="1"/>
  <c r="AH227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2" i="1"/>
  <c r="W14" i="3"/>
  <c r="V14" i="3"/>
  <c r="U14" i="3"/>
  <c r="AC14" i="3" s="1"/>
  <c r="W11" i="3"/>
  <c r="V11" i="3"/>
  <c r="U11" i="3"/>
  <c r="AC11" i="3" s="1"/>
  <c r="W20" i="3"/>
  <c r="V20" i="3"/>
  <c r="U20" i="3"/>
  <c r="AC20" i="3" s="1"/>
  <c r="W31" i="3"/>
  <c r="V31" i="3"/>
  <c r="U31" i="3"/>
  <c r="AC31" i="3" s="1"/>
  <c r="W30" i="3"/>
  <c r="V30" i="3"/>
  <c r="U30" i="3"/>
  <c r="AC30" i="3" s="1"/>
  <c r="W44" i="3"/>
  <c r="V44" i="3"/>
  <c r="U44" i="3"/>
  <c r="AC44" i="3" s="1"/>
  <c r="W10" i="3"/>
  <c r="V10" i="3"/>
  <c r="U10" i="3"/>
  <c r="AC10" i="3" s="1"/>
  <c r="W48" i="3"/>
  <c r="V48" i="3"/>
  <c r="U48" i="3"/>
  <c r="AC48" i="3" s="1"/>
  <c r="W36" i="3"/>
  <c r="V36" i="3"/>
  <c r="U36" i="3"/>
  <c r="AC36" i="3" s="1"/>
  <c r="W49" i="3"/>
  <c r="V49" i="3"/>
  <c r="U49" i="3"/>
  <c r="AC49" i="3" s="1"/>
  <c r="W38" i="3"/>
  <c r="V38" i="3"/>
  <c r="U38" i="3"/>
  <c r="AC38" i="3" s="1"/>
  <c r="W42" i="3"/>
  <c r="V42" i="3"/>
  <c r="U42" i="3"/>
  <c r="AC42" i="3" s="1"/>
  <c r="W45" i="3"/>
  <c r="V45" i="3"/>
  <c r="U45" i="3"/>
  <c r="AC45" i="3" s="1"/>
  <c r="W35" i="3"/>
  <c r="V35" i="3"/>
  <c r="U35" i="3"/>
  <c r="AC35" i="3" s="1"/>
  <c r="W17" i="3"/>
  <c r="V17" i="3"/>
  <c r="U17" i="3"/>
  <c r="AC17" i="3" s="1"/>
  <c r="W26" i="3"/>
  <c r="V26" i="3"/>
  <c r="U26" i="3"/>
  <c r="AC26" i="3" s="1"/>
  <c r="W7" i="3"/>
  <c r="V7" i="3"/>
  <c r="U7" i="3"/>
  <c r="AC7" i="3" s="1"/>
  <c r="W34" i="3"/>
  <c r="V34" i="3"/>
  <c r="U34" i="3"/>
  <c r="AC34" i="3" s="1"/>
  <c r="W29" i="3"/>
  <c r="V29" i="3"/>
  <c r="U29" i="3"/>
  <c r="AC29" i="3" s="1"/>
  <c r="W41" i="3"/>
  <c r="V41" i="3"/>
  <c r="U41" i="3"/>
  <c r="AC41" i="3" s="1"/>
  <c r="W43" i="3"/>
  <c r="V43" i="3"/>
  <c r="U43" i="3"/>
  <c r="AC43" i="3" s="1"/>
  <c r="W22" i="3"/>
  <c r="V22" i="3"/>
  <c r="U22" i="3"/>
  <c r="AC22" i="3" s="1"/>
  <c r="S22" i="3"/>
  <c r="W19" i="3"/>
  <c r="V19" i="3"/>
  <c r="U19" i="3"/>
  <c r="AC19" i="3" s="1"/>
  <c r="S19" i="3"/>
  <c r="W13" i="3"/>
  <c r="V13" i="3"/>
  <c r="U13" i="3"/>
  <c r="AC13" i="3" s="1"/>
  <c r="W40" i="3"/>
  <c r="V40" i="3"/>
  <c r="U40" i="3"/>
  <c r="AC40" i="3" s="1"/>
  <c r="W23" i="3"/>
  <c r="V23" i="3"/>
  <c r="U23" i="3"/>
  <c r="AC23" i="3" s="1"/>
  <c r="W32" i="3"/>
  <c r="V32" i="3"/>
  <c r="U32" i="3"/>
  <c r="AC32" i="3" s="1"/>
  <c r="W12" i="3"/>
  <c r="V12" i="3"/>
  <c r="U12" i="3"/>
  <c r="AC12" i="3" s="1"/>
  <c r="W37" i="3"/>
  <c r="Y37" i="3" s="1"/>
  <c r="V37" i="3"/>
  <c r="U37" i="3"/>
  <c r="AC37" i="3" s="1"/>
  <c r="W24" i="3"/>
  <c r="V24" i="3"/>
  <c r="U24" i="3"/>
  <c r="AC24" i="3" s="1"/>
  <c r="S24" i="3"/>
  <c r="W25" i="3"/>
  <c r="V25" i="3"/>
  <c r="U25" i="3"/>
  <c r="AC25" i="3" s="1"/>
  <c r="S25" i="3"/>
  <c r="W8" i="3"/>
  <c r="V8" i="3"/>
  <c r="U8" i="3"/>
  <c r="AC8" i="3" s="1"/>
  <c r="W9" i="3"/>
  <c r="Y9" i="3" s="1"/>
  <c r="V9" i="3"/>
  <c r="U9" i="3"/>
  <c r="AC9" i="3" s="1"/>
  <c r="W28" i="3"/>
  <c r="Y28" i="3" s="1"/>
  <c r="V28" i="3"/>
  <c r="U28" i="3"/>
  <c r="AC28" i="3" s="1"/>
  <c r="W39" i="3"/>
  <c r="V39" i="3"/>
  <c r="U39" i="3"/>
  <c r="AC39" i="3" s="1"/>
  <c r="W18" i="3"/>
  <c r="V18" i="3"/>
  <c r="U18" i="3"/>
  <c r="AC18" i="3" s="1"/>
  <c r="S18" i="3"/>
  <c r="W27" i="3"/>
  <c r="V27" i="3"/>
  <c r="U27" i="3"/>
  <c r="AC27" i="3" s="1"/>
  <c r="S27" i="3"/>
  <c r="W16" i="3"/>
  <c r="V16" i="3"/>
  <c r="U16" i="3"/>
  <c r="AC16" i="3" s="1"/>
  <c r="S16" i="3"/>
  <c r="W15" i="3"/>
  <c r="V15" i="3"/>
  <c r="U15" i="3"/>
  <c r="AC15" i="3" s="1"/>
  <c r="S15" i="3"/>
  <c r="W21" i="3"/>
  <c r="V21" i="3"/>
  <c r="U21" i="3"/>
  <c r="AC21" i="3" s="1"/>
  <c r="S21" i="3"/>
  <c r="W33" i="3"/>
  <c r="V33" i="3"/>
  <c r="U33" i="3"/>
  <c r="AC33" i="3" s="1"/>
  <c r="W50" i="3"/>
  <c r="V50" i="3"/>
  <c r="U50" i="3"/>
  <c r="AC50" i="3" s="1"/>
  <c r="R50" i="3"/>
  <c r="W47" i="3"/>
  <c r="V47" i="3"/>
  <c r="U47" i="3"/>
  <c r="AC47" i="3" s="1"/>
  <c r="S47" i="3"/>
  <c r="R47" i="3"/>
  <c r="N14" i="3"/>
  <c r="M14" i="3"/>
  <c r="N11" i="3"/>
  <c r="M11" i="3"/>
  <c r="N20" i="3"/>
  <c r="M20" i="3"/>
  <c r="N31" i="3"/>
  <c r="M31" i="3"/>
  <c r="N30" i="3"/>
  <c r="M30" i="3"/>
  <c r="N44" i="3"/>
  <c r="M44" i="3"/>
  <c r="N10" i="3"/>
  <c r="M10" i="3"/>
  <c r="N48" i="3"/>
  <c r="M48" i="3"/>
  <c r="N36" i="3"/>
  <c r="M36" i="3"/>
  <c r="N49" i="3"/>
  <c r="M49" i="3"/>
  <c r="N38" i="3"/>
  <c r="M38" i="3"/>
  <c r="N42" i="3"/>
  <c r="M42" i="3"/>
  <c r="N45" i="3"/>
  <c r="M45" i="3"/>
  <c r="N35" i="3"/>
  <c r="M35" i="3"/>
  <c r="N17" i="3"/>
  <c r="M17" i="3"/>
  <c r="N26" i="3"/>
  <c r="M26" i="3"/>
  <c r="N7" i="3"/>
  <c r="M7" i="3"/>
  <c r="N34" i="3"/>
  <c r="M34" i="3"/>
  <c r="N29" i="3"/>
  <c r="M29" i="3"/>
  <c r="N41" i="3"/>
  <c r="M41" i="3"/>
  <c r="N43" i="3"/>
  <c r="M43" i="3"/>
  <c r="N22" i="3"/>
  <c r="M22" i="3"/>
  <c r="N19" i="3"/>
  <c r="M19" i="3"/>
  <c r="N13" i="3"/>
  <c r="M13" i="3"/>
  <c r="N40" i="3"/>
  <c r="M40" i="3"/>
  <c r="N23" i="3"/>
  <c r="M23" i="3"/>
  <c r="N32" i="3"/>
  <c r="M32" i="3"/>
  <c r="N12" i="3"/>
  <c r="M12" i="3"/>
  <c r="N37" i="3"/>
  <c r="M37" i="3"/>
  <c r="N24" i="3"/>
  <c r="M24" i="3"/>
  <c r="N25" i="3"/>
  <c r="M25" i="3"/>
  <c r="N8" i="3"/>
  <c r="M8" i="3"/>
  <c r="N9" i="3"/>
  <c r="M9" i="3"/>
  <c r="N28" i="3"/>
  <c r="M28" i="3"/>
  <c r="N39" i="3"/>
  <c r="M39" i="3"/>
  <c r="N18" i="3"/>
  <c r="M18" i="3"/>
  <c r="N27" i="3"/>
  <c r="M27" i="3"/>
  <c r="N16" i="3"/>
  <c r="M16" i="3"/>
  <c r="N15" i="3"/>
  <c r="M15" i="3"/>
  <c r="N21" i="3"/>
  <c r="M21" i="3"/>
  <c r="N33" i="3"/>
  <c r="M33" i="3"/>
  <c r="N50" i="3"/>
  <c r="M50" i="3"/>
  <c r="N47" i="3"/>
  <c r="M47" i="3"/>
  <c r="AA16" i="1" l="1"/>
  <c r="AA15" i="1"/>
  <c r="AA14" i="1"/>
  <c r="AI96" i="1"/>
  <c r="X96" i="1"/>
  <c r="U96" i="1"/>
  <c r="S96" i="1" s="1"/>
  <c r="S10" i="3"/>
  <c r="AI100" i="1"/>
  <c r="U100" i="1"/>
  <c r="S100" i="1" s="1"/>
  <c r="W100" i="1"/>
  <c r="W97" i="1"/>
  <c r="U97" i="1"/>
  <c r="S97" i="1" s="1"/>
  <c r="AG90" i="1"/>
  <c r="AI90" i="1" s="1"/>
  <c r="X90" i="1"/>
  <c r="T89" i="1"/>
  <c r="X89" i="1"/>
  <c r="T88" i="1"/>
  <c r="X88" i="1"/>
  <c r="R21" i="3"/>
  <c r="AG16" i="1"/>
  <c r="U87" i="1"/>
  <c r="S87" i="1" s="1"/>
  <c r="AI87" i="1"/>
  <c r="W87" i="1"/>
  <c r="AG99" i="1"/>
  <c r="AI99" i="1" s="1"/>
  <c r="R10" i="3"/>
  <c r="T159" i="1"/>
  <c r="X159" i="1"/>
  <c r="AG158" i="1"/>
  <c r="AI158" i="1" s="1"/>
  <c r="X158" i="1"/>
  <c r="P196" i="1"/>
  <c r="Y33" i="3"/>
  <c r="Y30" i="3"/>
  <c r="Y24" i="3"/>
  <c r="Y50" i="3"/>
  <c r="Y16" i="3"/>
  <c r="Y27" i="3"/>
  <c r="Y23" i="3"/>
  <c r="Y40" i="3"/>
  <c r="Y22" i="3"/>
  <c r="Y43" i="3"/>
  <c r="Y14" i="3"/>
  <c r="Y7" i="3"/>
  <c r="Y45" i="3"/>
  <c r="Y36" i="3"/>
  <c r="T154" i="1"/>
  <c r="X154" i="1"/>
  <c r="AA185" i="1"/>
  <c r="W185" i="1" s="1"/>
  <c r="AA184" i="1"/>
  <c r="W184" i="1" s="1"/>
  <c r="AA154" i="1"/>
  <c r="AA150" i="1"/>
  <c r="AI130" i="1"/>
  <c r="AA129" i="1"/>
  <c r="AI126" i="1"/>
  <c r="AI122" i="1"/>
  <c r="AA119" i="1"/>
  <c r="AI118" i="1"/>
  <c r="AI114" i="1"/>
  <c r="AI106" i="1"/>
  <c r="AA88" i="1"/>
  <c r="AA86" i="1"/>
  <c r="AI85" i="1"/>
  <c r="AI81" i="1"/>
  <c r="AA80" i="1"/>
  <c r="W80" i="1" s="1"/>
  <c r="R36" i="3"/>
  <c r="T157" i="1"/>
  <c r="T156" i="1"/>
  <c r="T155" i="1"/>
  <c r="AA170" i="1"/>
  <c r="AA169" i="1"/>
  <c r="W169" i="1" s="1"/>
  <c r="AA166" i="1"/>
  <c r="AI127" i="1"/>
  <c r="AG31" i="1"/>
  <c r="AI31" i="1" s="1"/>
  <c r="X29" i="1"/>
  <c r="AA208" i="1"/>
  <c r="AA206" i="1"/>
  <c r="AA205" i="1"/>
  <c r="W205" i="1" s="1"/>
  <c r="AA201" i="1"/>
  <c r="W201" i="1" s="1"/>
  <c r="T184" i="1"/>
  <c r="U184" i="1" s="1"/>
  <c r="S184" i="1" s="1"/>
  <c r="AA226" i="1"/>
  <c r="AA225" i="1"/>
  <c r="AA216" i="1"/>
  <c r="AI54" i="1"/>
  <c r="AA35" i="1"/>
  <c r="AA34" i="1"/>
  <c r="AA33" i="1"/>
  <c r="W33" i="1" s="1"/>
  <c r="AG214" i="1"/>
  <c r="U214" i="1" s="1"/>
  <c r="S214" i="1" s="1"/>
  <c r="AA230" i="1"/>
  <c r="T168" i="1"/>
  <c r="U168" i="1" s="1"/>
  <c r="S168" i="1" s="1"/>
  <c r="AI225" i="1"/>
  <c r="AA212" i="1"/>
  <c r="AI73" i="1"/>
  <c r="AA67" i="1"/>
  <c r="AA65" i="1"/>
  <c r="W65" i="1" s="1"/>
  <c r="X45" i="1"/>
  <c r="T95" i="1"/>
  <c r="AG93" i="1"/>
  <c r="X93" i="1"/>
  <c r="T92" i="1"/>
  <c r="X92" i="1"/>
  <c r="AG64" i="1"/>
  <c r="U64" i="1" s="1"/>
  <c r="S64" i="1" s="1"/>
  <c r="X64" i="1"/>
  <c r="AG199" i="1"/>
  <c r="U199" i="1" s="1"/>
  <c r="S199" i="1" s="1"/>
  <c r="AI189" i="1"/>
  <c r="AG164" i="1"/>
  <c r="U164" i="1" s="1"/>
  <c r="S164" i="1" s="1"/>
  <c r="AI229" i="1"/>
  <c r="AA21" i="1"/>
  <c r="AA17" i="1"/>
  <c r="R16" i="3"/>
  <c r="AG175" i="1"/>
  <c r="U175" i="1" s="1"/>
  <c r="S175" i="1" s="1"/>
  <c r="S38" i="3"/>
  <c r="AA177" i="1"/>
  <c r="W177" i="1" s="1"/>
  <c r="AA162" i="1"/>
  <c r="AA161" i="1"/>
  <c r="W161" i="1" s="1"/>
  <c r="T218" i="1"/>
  <c r="AA159" i="1"/>
  <c r="AA156" i="1"/>
  <c r="AG152" i="1"/>
  <c r="AI152" i="1" s="1"/>
  <c r="AA138" i="1"/>
  <c r="AA134" i="1"/>
  <c r="AA133" i="1"/>
  <c r="AA123" i="1"/>
  <c r="W123" i="1" s="1"/>
  <c r="T98" i="1"/>
  <c r="AI78" i="1"/>
  <c r="AI77" i="1"/>
  <c r="AA62" i="1"/>
  <c r="AA61" i="1"/>
  <c r="AA43" i="1"/>
  <c r="AA42" i="1"/>
  <c r="AA41" i="1"/>
  <c r="W41" i="1" s="1"/>
  <c r="AA27" i="1"/>
  <c r="AA26" i="1"/>
  <c r="AA25" i="1"/>
  <c r="W25" i="1" s="1"/>
  <c r="AG61" i="1"/>
  <c r="AI61" i="1" s="1"/>
  <c r="X61" i="1"/>
  <c r="T60" i="1"/>
  <c r="X60" i="1"/>
  <c r="AA228" i="1"/>
  <c r="T59" i="1"/>
  <c r="X59" i="1"/>
  <c r="AA89" i="1"/>
  <c r="AA68" i="1"/>
  <c r="AG59" i="1"/>
  <c r="AI59" i="1" s="1"/>
  <c r="AG58" i="1"/>
  <c r="AI58" i="1" s="1"/>
  <c r="X58" i="1"/>
  <c r="AA58" i="1"/>
  <c r="AG39" i="1"/>
  <c r="X37" i="1"/>
  <c r="AG23" i="1"/>
  <c r="U23" i="1" s="1"/>
  <c r="S23" i="1" s="1"/>
  <c r="AA223" i="1"/>
  <c r="AA204" i="1"/>
  <c r="AA180" i="1"/>
  <c r="AG208" i="1"/>
  <c r="AI208" i="1" s="1"/>
  <c r="AA193" i="1"/>
  <c r="W193" i="1" s="1"/>
  <c r="AA192" i="1"/>
  <c r="AG187" i="1"/>
  <c r="U187" i="1" s="1"/>
  <c r="AA176" i="1"/>
  <c r="AA165" i="1"/>
  <c r="W165" i="1" s="1"/>
  <c r="AA215" i="1"/>
  <c r="W215" i="1" s="1"/>
  <c r="X153" i="1"/>
  <c r="AA146" i="1"/>
  <c r="AA145" i="1"/>
  <c r="W145" i="1" s="1"/>
  <c r="AA143" i="1"/>
  <c r="T140" i="1"/>
  <c r="U140" i="1" s="1"/>
  <c r="S140" i="1" s="1"/>
  <c r="AA136" i="1"/>
  <c r="AG129" i="1"/>
  <c r="AA118" i="1"/>
  <c r="W118" i="1" s="1"/>
  <c r="AG98" i="1"/>
  <c r="AA93" i="1"/>
  <c r="W93" i="1" s="1"/>
  <c r="AG88" i="1"/>
  <c r="AI88" i="1" s="1"/>
  <c r="AG67" i="1"/>
  <c r="U67" i="1" s="1"/>
  <c r="S67" i="1" s="1"/>
  <c r="X65" i="1"/>
  <c r="AA60" i="1"/>
  <c r="AA59" i="1"/>
  <c r="AG57" i="1"/>
  <c r="U57" i="1" s="1"/>
  <c r="S57" i="1" s="1"/>
  <c r="AA46" i="1"/>
  <c r="AA45" i="1"/>
  <c r="W45" i="1" s="1"/>
  <c r="P44" i="1"/>
  <c r="AG43" i="1"/>
  <c r="AI43" i="1" s="1"/>
  <c r="X41" i="1"/>
  <c r="AA39" i="1"/>
  <c r="AA38" i="1"/>
  <c r="AA37" i="1"/>
  <c r="W37" i="1" s="1"/>
  <c r="AG35" i="1"/>
  <c r="U35" i="1" s="1"/>
  <c r="S35" i="1" s="1"/>
  <c r="X33" i="1"/>
  <c r="AA31" i="1"/>
  <c r="AA30" i="1"/>
  <c r="AA29" i="1"/>
  <c r="W29" i="1" s="1"/>
  <c r="AG27" i="1"/>
  <c r="X25" i="1"/>
  <c r="AA23" i="1"/>
  <c r="AA22" i="1"/>
  <c r="AA189" i="1"/>
  <c r="W189" i="1" s="1"/>
  <c r="AA188" i="1"/>
  <c r="AA229" i="1"/>
  <c r="W229" i="1" s="1"/>
  <c r="T125" i="1"/>
  <c r="T121" i="1"/>
  <c r="AA90" i="1"/>
  <c r="AI69" i="1"/>
  <c r="X21" i="1"/>
  <c r="AA20" i="1"/>
  <c r="X109" i="1"/>
  <c r="AA200" i="1"/>
  <c r="AI218" i="1"/>
  <c r="AA153" i="1"/>
  <c r="W153" i="1" s="1"/>
  <c r="X137" i="1"/>
  <c r="AG125" i="1"/>
  <c r="AI125" i="1" s="1"/>
  <c r="AG121" i="1"/>
  <c r="AI121" i="1" s="1"/>
  <c r="AG117" i="1"/>
  <c r="AI117" i="1" s="1"/>
  <c r="X117" i="1"/>
  <c r="AG109" i="1"/>
  <c r="U109" i="1" s="1"/>
  <c r="S109" i="1" s="1"/>
  <c r="AA106" i="1"/>
  <c r="W106" i="1" s="1"/>
  <c r="AG92" i="1"/>
  <c r="P49" i="1"/>
  <c r="AG20" i="1"/>
  <c r="U20" i="1" s="1"/>
  <c r="S20" i="1" s="1"/>
  <c r="T49" i="1"/>
  <c r="U49" i="1" s="1"/>
  <c r="AA50" i="1"/>
  <c r="W50" i="1" s="1"/>
  <c r="AA221" i="1"/>
  <c r="AA202" i="1"/>
  <c r="AA197" i="1"/>
  <c r="W197" i="1" s="1"/>
  <c r="X192" i="1"/>
  <c r="T188" i="1"/>
  <c r="AG183" i="1"/>
  <c r="U183" i="1" s="1"/>
  <c r="S183" i="1" s="1"/>
  <c r="AA181" i="1"/>
  <c r="W181" i="1" s="1"/>
  <c r="AG180" i="1"/>
  <c r="U180" i="1" s="1"/>
  <c r="S180" i="1" s="1"/>
  <c r="X180" i="1"/>
  <c r="AA179" i="1"/>
  <c r="AA173" i="1"/>
  <c r="AA164" i="1"/>
  <c r="W164" i="1" s="1"/>
  <c r="AG232" i="1"/>
  <c r="AA214" i="1"/>
  <c r="AG210" i="1"/>
  <c r="AI210" i="1" s="1"/>
  <c r="AA152" i="1"/>
  <c r="AA144" i="1"/>
  <c r="X133" i="1"/>
  <c r="X118" i="1"/>
  <c r="T113" i="1"/>
  <c r="U113" i="1" s="1"/>
  <c r="S113" i="1" s="1"/>
  <c r="X184" i="1"/>
  <c r="X181" i="1"/>
  <c r="AA211" i="1"/>
  <c r="W211" i="1" s="1"/>
  <c r="AA158" i="1"/>
  <c r="AA149" i="1"/>
  <c r="W149" i="1" s="1"/>
  <c r="AG148" i="1"/>
  <c r="U148" i="1" s="1"/>
  <c r="S148" i="1" s="1"/>
  <c r="AA137" i="1"/>
  <c r="W137" i="1" s="1"/>
  <c r="AG136" i="1"/>
  <c r="U136" i="1" s="1"/>
  <c r="S136" i="1" s="1"/>
  <c r="AA130" i="1"/>
  <c r="W130" i="1" s="1"/>
  <c r="AA127" i="1"/>
  <c r="W127" i="1" s="1"/>
  <c r="AI123" i="1"/>
  <c r="AA122" i="1"/>
  <c r="W122" i="1" s="1"/>
  <c r="X114" i="1"/>
  <c r="X110" i="1"/>
  <c r="AG103" i="1"/>
  <c r="U103" i="1" s="1"/>
  <c r="S103" i="1" s="1"/>
  <c r="AA99" i="1"/>
  <c r="AA85" i="1"/>
  <c r="W85" i="1" s="1"/>
  <c r="AG83" i="1"/>
  <c r="U83" i="1" s="1"/>
  <c r="S83" i="1" s="1"/>
  <c r="X83" i="1"/>
  <c r="X77" i="1"/>
  <c r="T76" i="1"/>
  <c r="AA73" i="1"/>
  <c r="W73" i="1" s="1"/>
  <c r="AG71" i="1"/>
  <c r="AI71" i="1" s="1"/>
  <c r="AA69" i="1"/>
  <c r="W69" i="1" s="1"/>
  <c r="AI65" i="1"/>
  <c r="AA54" i="1"/>
  <c r="W54" i="1" s="1"/>
  <c r="AG53" i="1"/>
  <c r="U53" i="1" s="1"/>
  <c r="S53" i="1" s="1"/>
  <c r="X53" i="1"/>
  <c r="AA51" i="1"/>
  <c r="AA19" i="1"/>
  <c r="AA18" i="1"/>
  <c r="AA222" i="1"/>
  <c r="AG221" i="1"/>
  <c r="U221" i="1" s="1"/>
  <c r="S221" i="1" s="1"/>
  <c r="AA219" i="1"/>
  <c r="X196" i="1"/>
  <c r="AA183" i="1"/>
  <c r="AG179" i="1"/>
  <c r="U179" i="1" s="1"/>
  <c r="X172" i="1"/>
  <c r="AA171" i="1"/>
  <c r="W171" i="1" s="1"/>
  <c r="X165" i="1"/>
  <c r="AA227" i="1"/>
  <c r="X215" i="1"/>
  <c r="AA157" i="1"/>
  <c r="X149" i="1"/>
  <c r="AA142" i="1"/>
  <c r="AA141" i="1"/>
  <c r="W141" i="1" s="1"/>
  <c r="AA114" i="1"/>
  <c r="W114" i="1" s="1"/>
  <c r="AA110" i="1"/>
  <c r="W110" i="1" s="1"/>
  <c r="T110" i="1"/>
  <c r="U110" i="1" s="1"/>
  <c r="S110" i="1" s="1"/>
  <c r="AA107" i="1"/>
  <c r="AA105" i="1"/>
  <c r="AI93" i="1"/>
  <c r="X85" i="1"/>
  <c r="X84" i="1"/>
  <c r="AA84" i="1"/>
  <c r="AA83" i="1"/>
  <c r="AA81" i="1"/>
  <c r="W81" i="1" s="1"/>
  <c r="AA77" i="1"/>
  <c r="W77" i="1" s="1"/>
  <c r="AG76" i="1"/>
  <c r="AI76" i="1" s="1"/>
  <c r="AA72" i="1"/>
  <c r="AA70" i="1"/>
  <c r="X54" i="1"/>
  <c r="AA53" i="1"/>
  <c r="AI50" i="1"/>
  <c r="X224" i="1"/>
  <c r="AG223" i="1"/>
  <c r="U223" i="1" s="1"/>
  <c r="S223" i="1" s="1"/>
  <c r="X220" i="1"/>
  <c r="AG219" i="1"/>
  <c r="U219" i="1" s="1"/>
  <c r="S219" i="1" s="1"/>
  <c r="X208" i="1"/>
  <c r="X205" i="1"/>
  <c r="AG204" i="1"/>
  <c r="U204" i="1" s="1"/>
  <c r="S204" i="1" s="1"/>
  <c r="X204" i="1"/>
  <c r="AG203" i="1"/>
  <c r="U203" i="1" s="1"/>
  <c r="S203" i="1" s="1"/>
  <c r="X201" i="1"/>
  <c r="AG200" i="1"/>
  <c r="U200" i="1" s="1"/>
  <c r="S200" i="1" s="1"/>
  <c r="X200" i="1"/>
  <c r="AA196" i="1"/>
  <c r="AG195" i="1"/>
  <c r="U195" i="1" s="1"/>
  <c r="T193" i="1"/>
  <c r="U193" i="1" s="1"/>
  <c r="S193" i="1" s="1"/>
  <c r="AG191" i="1"/>
  <c r="U191" i="1" s="1"/>
  <c r="S191" i="1" s="1"/>
  <c r="T189" i="1"/>
  <c r="U189" i="1" s="1"/>
  <c r="S189" i="1" s="1"/>
  <c r="T185" i="1"/>
  <c r="U185" i="1" s="1"/>
  <c r="S185" i="1" s="1"/>
  <c r="AA178" i="1"/>
  <c r="X177" i="1"/>
  <c r="AG176" i="1"/>
  <c r="U176" i="1" s="1"/>
  <c r="S176" i="1" s="1"/>
  <c r="X176" i="1"/>
  <c r="AA172" i="1"/>
  <c r="T172" i="1"/>
  <c r="AA168" i="1"/>
  <c r="W168" i="1" s="1"/>
  <c r="AA167" i="1"/>
  <c r="T165" i="1"/>
  <c r="U165" i="1" s="1"/>
  <c r="S165" i="1" s="1"/>
  <c r="X229" i="1"/>
  <c r="AG228" i="1"/>
  <c r="U228" i="1" s="1"/>
  <c r="S228" i="1" s="1"/>
  <c r="AA218" i="1"/>
  <c r="W218" i="1" s="1"/>
  <c r="AA217" i="1"/>
  <c r="T215" i="1"/>
  <c r="U215" i="1" s="1"/>
  <c r="S215" i="1" s="1"/>
  <c r="AA155" i="1"/>
  <c r="T153" i="1"/>
  <c r="U153" i="1" s="1"/>
  <c r="S153" i="1" s="1"/>
  <c r="X145" i="1"/>
  <c r="AG144" i="1"/>
  <c r="U144" i="1" s="1"/>
  <c r="S144" i="1" s="1"/>
  <c r="AA140" i="1"/>
  <c r="W140" i="1" s="1"/>
  <c r="AA139" i="1"/>
  <c r="T137" i="1"/>
  <c r="U137" i="1" s="1"/>
  <c r="S137" i="1" s="1"/>
  <c r="AG133" i="1"/>
  <c r="AG132" i="1"/>
  <c r="U132" i="1" s="1"/>
  <c r="S132" i="1" s="1"/>
  <c r="X132" i="1"/>
  <c r="AA124" i="1"/>
  <c r="AA121" i="1"/>
  <c r="AG120" i="1"/>
  <c r="U120" i="1" s="1"/>
  <c r="S120" i="1" s="1"/>
  <c r="T112" i="1"/>
  <c r="AG112" i="1"/>
  <c r="AI112" i="1" s="1"/>
  <c r="AA224" i="1"/>
  <c r="W224" i="1" s="1"/>
  <c r="T224" i="1"/>
  <c r="U224" i="1" s="1"/>
  <c r="S224" i="1" s="1"/>
  <c r="AA199" i="1"/>
  <c r="AA198" i="1"/>
  <c r="X197" i="1"/>
  <c r="AG196" i="1"/>
  <c r="U196" i="1" s="1"/>
  <c r="S196" i="1" s="1"/>
  <c r="AG192" i="1"/>
  <c r="U192" i="1" s="1"/>
  <c r="S192" i="1" s="1"/>
  <c r="AG188" i="1"/>
  <c r="T181" i="1"/>
  <c r="U181" i="1" s="1"/>
  <c r="S181" i="1" s="1"/>
  <c r="AA175" i="1"/>
  <c r="AA174" i="1"/>
  <c r="X173" i="1"/>
  <c r="AG172" i="1"/>
  <c r="X169" i="1"/>
  <c r="AA163" i="1"/>
  <c r="T161" i="1"/>
  <c r="U161" i="1" s="1"/>
  <c r="S161" i="1" s="1"/>
  <c r="X225" i="1"/>
  <c r="AA213" i="1"/>
  <c r="T211" i="1"/>
  <c r="U211" i="1" s="1"/>
  <c r="S211" i="1" s="1"/>
  <c r="AA151" i="1"/>
  <c r="T149" i="1"/>
  <c r="U149" i="1" s="1"/>
  <c r="S149" i="1" s="1"/>
  <c r="X141" i="1"/>
  <c r="AA135" i="1"/>
  <c r="X129" i="1"/>
  <c r="X122" i="1"/>
  <c r="T116" i="1"/>
  <c r="AG116" i="1"/>
  <c r="AI45" i="1"/>
  <c r="AI37" i="1"/>
  <c r="AI29" i="1"/>
  <c r="AA220" i="1"/>
  <c r="W220" i="1" s="1"/>
  <c r="T220" i="1"/>
  <c r="U220" i="1" s="1"/>
  <c r="S220" i="1" s="1"/>
  <c r="AA209" i="1"/>
  <c r="T205" i="1"/>
  <c r="U205" i="1" s="1"/>
  <c r="S205" i="1" s="1"/>
  <c r="AA203" i="1"/>
  <c r="T201" i="1"/>
  <c r="U201" i="1" s="1"/>
  <c r="S201" i="1" s="1"/>
  <c r="AA195" i="1"/>
  <c r="AA194" i="1"/>
  <c r="X193" i="1"/>
  <c r="AA191" i="1"/>
  <c r="AA190" i="1"/>
  <c r="X189" i="1"/>
  <c r="AA187" i="1"/>
  <c r="AA186" i="1"/>
  <c r="X185" i="1"/>
  <c r="T177" i="1"/>
  <c r="AA232" i="1"/>
  <c r="W232" i="1" s="1"/>
  <c r="AA231" i="1"/>
  <c r="T229" i="1"/>
  <c r="U229" i="1" s="1"/>
  <c r="S229" i="1" s="1"/>
  <c r="AA210" i="1"/>
  <c r="AA160" i="1"/>
  <c r="T158" i="1"/>
  <c r="AA148" i="1"/>
  <c r="AA147" i="1"/>
  <c r="T145" i="1"/>
  <c r="U145" i="1" s="1"/>
  <c r="S145" i="1" s="1"/>
  <c r="AA132" i="1"/>
  <c r="AA131" i="1"/>
  <c r="W131" i="1" s="1"/>
  <c r="AA125" i="1"/>
  <c r="AG124" i="1"/>
  <c r="X124" i="1"/>
  <c r="T118" i="1"/>
  <c r="U118" i="1" s="1"/>
  <c r="S118" i="1" s="1"/>
  <c r="T114" i="1"/>
  <c r="U114" i="1" s="1"/>
  <c r="S114" i="1" s="1"/>
  <c r="AI110" i="1"/>
  <c r="T197" i="1"/>
  <c r="U197" i="1" s="1"/>
  <c r="AA182" i="1"/>
  <c r="T169" i="1"/>
  <c r="U169" i="1" s="1"/>
  <c r="S169" i="1" s="1"/>
  <c r="X161" i="1"/>
  <c r="T225" i="1"/>
  <c r="U225" i="1" s="1"/>
  <c r="S225" i="1" s="1"/>
  <c r="X211" i="1"/>
  <c r="T141" i="1"/>
  <c r="U141" i="1" s="1"/>
  <c r="S141" i="1" s="1"/>
  <c r="AA126" i="1"/>
  <c r="W126" i="1" s="1"/>
  <c r="T122" i="1"/>
  <c r="U122" i="1" s="1"/>
  <c r="S122" i="1" s="1"/>
  <c r="X113" i="1"/>
  <c r="T108" i="1"/>
  <c r="AG108" i="1"/>
  <c r="AI108" i="1" s="1"/>
  <c r="T105" i="1"/>
  <c r="AG105" i="1"/>
  <c r="AI80" i="1"/>
  <c r="AI41" i="1"/>
  <c r="AI33" i="1"/>
  <c r="AI25" i="1"/>
  <c r="T85" i="1"/>
  <c r="U85" i="1" s="1"/>
  <c r="S85" i="1" s="1"/>
  <c r="T77" i="1"/>
  <c r="U77" i="1" s="1"/>
  <c r="S77" i="1" s="1"/>
  <c r="X73" i="1"/>
  <c r="T65" i="1"/>
  <c r="U65" i="1" s="1"/>
  <c r="S65" i="1" s="1"/>
  <c r="X57" i="1"/>
  <c r="T54" i="1"/>
  <c r="U54" i="1" s="1"/>
  <c r="S54" i="1" s="1"/>
  <c r="X50" i="1"/>
  <c r="X49" i="1"/>
  <c r="T41" i="1"/>
  <c r="U41" i="1" s="1"/>
  <c r="S41" i="1" s="1"/>
  <c r="T33" i="1"/>
  <c r="U33" i="1" s="1"/>
  <c r="S33" i="1" s="1"/>
  <c r="T25" i="1"/>
  <c r="U25" i="1" s="1"/>
  <c r="S25" i="1" s="1"/>
  <c r="AA117" i="1"/>
  <c r="AA111" i="1"/>
  <c r="AA109" i="1"/>
  <c r="X106" i="1"/>
  <c r="AA98" i="1"/>
  <c r="AG95" i="1"/>
  <c r="AA91" i="1"/>
  <c r="AG89" i="1"/>
  <c r="AI89" i="1" s="1"/>
  <c r="T84" i="1"/>
  <c r="AA78" i="1"/>
  <c r="W78" i="1" s="1"/>
  <c r="AA76" i="1"/>
  <c r="AG72" i="1"/>
  <c r="X72" i="1"/>
  <c r="T69" i="1"/>
  <c r="U69" i="1" s="1"/>
  <c r="S69" i="1" s="1"/>
  <c r="T68" i="1"/>
  <c r="AA66" i="1"/>
  <c r="AA64" i="1"/>
  <c r="AG63" i="1"/>
  <c r="U63" i="1" s="1"/>
  <c r="S63" i="1" s="1"/>
  <c r="AG60" i="1"/>
  <c r="T58" i="1"/>
  <c r="AA55" i="1"/>
  <c r="AG52" i="1"/>
  <c r="U52" i="1" s="1"/>
  <c r="AA48" i="1"/>
  <c r="AA47" i="1"/>
  <c r="AA44" i="1"/>
  <c r="T44" i="1"/>
  <c r="AG40" i="1"/>
  <c r="U40" i="1" s="1"/>
  <c r="S40" i="1" s="1"/>
  <c r="X40" i="1"/>
  <c r="AA36" i="1"/>
  <c r="T36" i="1"/>
  <c r="AG32" i="1"/>
  <c r="U32" i="1" s="1"/>
  <c r="S32" i="1" s="1"/>
  <c r="X32" i="1"/>
  <c r="AA28" i="1"/>
  <c r="T28" i="1"/>
  <c r="AG24" i="1"/>
  <c r="U24" i="1" s="1"/>
  <c r="S24" i="1" s="1"/>
  <c r="X24" i="1"/>
  <c r="T21" i="1"/>
  <c r="AG17" i="1"/>
  <c r="W17" i="1" s="1"/>
  <c r="X17" i="1"/>
  <c r="T80" i="1"/>
  <c r="U80" i="1" s="1"/>
  <c r="S80" i="1" s="1"/>
  <c r="T73" i="1"/>
  <c r="U73" i="1" s="1"/>
  <c r="S73" i="1" s="1"/>
  <c r="T50" i="1"/>
  <c r="U50" i="1" s="1"/>
  <c r="T48" i="1"/>
  <c r="T45" i="1"/>
  <c r="U45" i="1" s="1"/>
  <c r="T37" i="1"/>
  <c r="U37" i="1" s="1"/>
  <c r="S37" i="1" s="1"/>
  <c r="T29" i="1"/>
  <c r="U29" i="1" s="1"/>
  <c r="S29" i="1" s="1"/>
  <c r="AA116" i="1"/>
  <c r="AA115" i="1"/>
  <c r="AA113" i="1"/>
  <c r="W113" i="1" s="1"/>
  <c r="AA108" i="1"/>
  <c r="T106" i="1"/>
  <c r="U106" i="1" s="1"/>
  <c r="S106" i="1" s="1"/>
  <c r="AA102" i="1"/>
  <c r="AA95" i="1"/>
  <c r="AA94" i="1"/>
  <c r="AG84" i="1"/>
  <c r="AI84" i="1" s="1"/>
  <c r="AA82" i="1"/>
  <c r="W82" i="1" s="1"/>
  <c r="AA75" i="1"/>
  <c r="W75" i="1" s="1"/>
  <c r="AA74" i="1"/>
  <c r="U71" i="1"/>
  <c r="S71" i="1" s="1"/>
  <c r="X69" i="1"/>
  <c r="AG68" i="1"/>
  <c r="AA63" i="1"/>
  <c r="T61" i="1"/>
  <c r="AA57" i="1"/>
  <c r="AG56" i="1"/>
  <c r="U56" i="1" s="1"/>
  <c r="S56" i="1" s="1"/>
  <c r="AA52" i="1"/>
  <c r="AA49" i="1"/>
  <c r="W49" i="1" s="1"/>
  <c r="AG48" i="1"/>
  <c r="AI48" i="1" s="1"/>
  <c r="AG47" i="1"/>
  <c r="U47" i="1" s="1"/>
  <c r="AG44" i="1"/>
  <c r="AI44" i="1" s="1"/>
  <c r="AA40" i="1"/>
  <c r="AG36" i="1"/>
  <c r="AI36" i="1" s="1"/>
  <c r="AA32" i="1"/>
  <c r="AG28" i="1"/>
  <c r="AI28" i="1" s="1"/>
  <c r="AA24" i="1"/>
  <c r="AG21" i="1"/>
  <c r="AI232" i="1"/>
  <c r="AI228" i="1"/>
  <c r="T207" i="1"/>
  <c r="U177" i="1"/>
  <c r="X223" i="1"/>
  <c r="AG222" i="1"/>
  <c r="X219" i="1"/>
  <c r="AG209" i="1"/>
  <c r="AG207" i="1"/>
  <c r="X207" i="1"/>
  <c r="X222" i="1"/>
  <c r="X209" i="1"/>
  <c r="T206" i="1"/>
  <c r="X206" i="1"/>
  <c r="X221" i="1"/>
  <c r="AA207" i="1"/>
  <c r="AG206" i="1"/>
  <c r="AI220" i="1"/>
  <c r="T202" i="1"/>
  <c r="X202" i="1"/>
  <c r="AG202" i="1"/>
  <c r="X203" i="1"/>
  <c r="X199" i="1"/>
  <c r="AG198" i="1"/>
  <c r="X195" i="1"/>
  <c r="AG194" i="1"/>
  <c r="AI194" i="1" s="1"/>
  <c r="X191" i="1"/>
  <c r="AG190" i="1"/>
  <c r="AI205" i="1"/>
  <c r="X187" i="1"/>
  <c r="AG186" i="1"/>
  <c r="AI201" i="1"/>
  <c r="X183" i="1"/>
  <c r="AG182" i="1"/>
  <c r="AI197" i="1"/>
  <c r="X179" i="1"/>
  <c r="AG178" i="1"/>
  <c r="AI178" i="1" s="1"/>
  <c r="AI193" i="1"/>
  <c r="X175" i="1"/>
  <c r="AG174" i="1"/>
  <c r="AI174" i="1" s="1"/>
  <c r="T171" i="1"/>
  <c r="U171" i="1" s="1"/>
  <c r="S171" i="1" s="1"/>
  <c r="X171" i="1"/>
  <c r="W225" i="1"/>
  <c r="AI145" i="1"/>
  <c r="X198" i="1"/>
  <c r="X194" i="1"/>
  <c r="X190" i="1"/>
  <c r="X186" i="1"/>
  <c r="X182" i="1"/>
  <c r="X178" i="1"/>
  <c r="X174" i="1"/>
  <c r="AG173" i="1"/>
  <c r="AI173" i="1" s="1"/>
  <c r="AI185" i="1"/>
  <c r="AI141" i="1"/>
  <c r="T167" i="1"/>
  <c r="X167" i="1"/>
  <c r="AG167" i="1"/>
  <c r="X168" i="1"/>
  <c r="AI153" i="1"/>
  <c r="AI137" i="1"/>
  <c r="AI149" i="1"/>
  <c r="U232" i="1"/>
  <c r="S232" i="1" s="1"/>
  <c r="U218" i="1"/>
  <c r="S218" i="1" s="1"/>
  <c r="T128" i="1"/>
  <c r="T115" i="1"/>
  <c r="X115" i="1"/>
  <c r="AG115" i="1"/>
  <c r="T86" i="1"/>
  <c r="X86" i="1"/>
  <c r="AG86" i="1"/>
  <c r="AI82" i="1"/>
  <c r="X164" i="1"/>
  <c r="AG163" i="1"/>
  <c r="X232" i="1"/>
  <c r="AG231" i="1"/>
  <c r="AI231" i="1" s="1"/>
  <c r="X228" i="1"/>
  <c r="AG227" i="1"/>
  <c r="X218" i="1"/>
  <c r="AG217" i="1"/>
  <c r="AI217" i="1" s="1"/>
  <c r="X214" i="1"/>
  <c r="AG213" i="1"/>
  <c r="AI213" i="1" s="1"/>
  <c r="X210" i="1"/>
  <c r="AG160" i="1"/>
  <c r="AG157" i="1"/>
  <c r="AG155" i="1"/>
  <c r="X152" i="1"/>
  <c r="AG151" i="1"/>
  <c r="X148" i="1"/>
  <c r="AG147" i="1"/>
  <c r="X144" i="1"/>
  <c r="AG143" i="1"/>
  <c r="X140" i="1"/>
  <c r="AG139" i="1"/>
  <c r="X136" i="1"/>
  <c r="AG135" i="1"/>
  <c r="AG128" i="1"/>
  <c r="X128" i="1"/>
  <c r="T126" i="1"/>
  <c r="U126" i="1" s="1"/>
  <c r="S126" i="1" s="1"/>
  <c r="T123" i="1"/>
  <c r="U123" i="1" s="1"/>
  <c r="S123" i="1" s="1"/>
  <c r="X123" i="1"/>
  <c r="AA120" i="1"/>
  <c r="T111" i="1"/>
  <c r="X111" i="1"/>
  <c r="AG111" i="1"/>
  <c r="AA103" i="1"/>
  <c r="W103" i="1" s="1"/>
  <c r="T91" i="1"/>
  <c r="AG91" i="1"/>
  <c r="AG170" i="1"/>
  <c r="AI170" i="1" s="1"/>
  <c r="AG166" i="1"/>
  <c r="AI181" i="1"/>
  <c r="X163" i="1"/>
  <c r="AG162" i="1"/>
  <c r="AI162" i="1" s="1"/>
  <c r="AI177" i="1"/>
  <c r="X231" i="1"/>
  <c r="AG230" i="1"/>
  <c r="X227" i="1"/>
  <c r="AG226" i="1"/>
  <c r="W226" i="1" s="1"/>
  <c r="AI169" i="1"/>
  <c r="X217" i="1"/>
  <c r="AG216" i="1"/>
  <c r="AI216" i="1" s="1"/>
  <c r="AI165" i="1"/>
  <c r="X213" i="1"/>
  <c r="AG212" i="1"/>
  <c r="AI161" i="1"/>
  <c r="X160" i="1"/>
  <c r="AG159" i="1"/>
  <c r="AG156" i="1"/>
  <c r="AG154" i="1"/>
  <c r="X151" i="1"/>
  <c r="AG150" i="1"/>
  <c r="X147" i="1"/>
  <c r="AG146" i="1"/>
  <c r="X143" i="1"/>
  <c r="AG142" i="1"/>
  <c r="AI140" i="1"/>
  <c r="X139" i="1"/>
  <c r="AG138" i="1"/>
  <c r="X135" i="1"/>
  <c r="AG134" i="1"/>
  <c r="AI131" i="1"/>
  <c r="T130" i="1"/>
  <c r="U130" i="1" s="1"/>
  <c r="S130" i="1" s="1"/>
  <c r="T127" i="1"/>
  <c r="U127" i="1" s="1"/>
  <c r="S127" i="1" s="1"/>
  <c r="X127" i="1"/>
  <c r="X126" i="1"/>
  <c r="T107" i="1"/>
  <c r="X107" i="1"/>
  <c r="AG107" i="1"/>
  <c r="T94" i="1"/>
  <c r="AG94" i="1"/>
  <c r="W94" i="1" s="1"/>
  <c r="T74" i="1"/>
  <c r="X74" i="1"/>
  <c r="AG74" i="1"/>
  <c r="X170" i="1"/>
  <c r="X166" i="1"/>
  <c r="X162" i="1"/>
  <c r="X230" i="1"/>
  <c r="X226" i="1"/>
  <c r="X216" i="1"/>
  <c r="X212" i="1"/>
  <c r="X150" i="1"/>
  <c r="X146" i="1"/>
  <c r="X142" i="1"/>
  <c r="X138" i="1"/>
  <c r="X134" i="1"/>
  <c r="T131" i="1"/>
  <c r="U131" i="1" s="1"/>
  <c r="S131" i="1" s="1"/>
  <c r="X131" i="1"/>
  <c r="X130" i="1"/>
  <c r="AA128" i="1"/>
  <c r="T119" i="1"/>
  <c r="X119" i="1"/>
  <c r="AG119" i="1"/>
  <c r="AA112" i="1"/>
  <c r="AI103" i="1"/>
  <c r="T102" i="1"/>
  <c r="AG102" i="1"/>
  <c r="AA92" i="1"/>
  <c r="X79" i="1"/>
  <c r="AG79" i="1"/>
  <c r="X80" i="1"/>
  <c r="AI75" i="1"/>
  <c r="X99" i="1"/>
  <c r="T99" i="1"/>
  <c r="T93" i="1"/>
  <c r="T90" i="1"/>
  <c r="T82" i="1"/>
  <c r="U82" i="1" s="1"/>
  <c r="S82" i="1" s="1"/>
  <c r="X82" i="1"/>
  <c r="X81" i="1"/>
  <c r="AA79" i="1"/>
  <c r="T75" i="1"/>
  <c r="U75" i="1" s="1"/>
  <c r="S75" i="1" s="1"/>
  <c r="X75" i="1"/>
  <c r="AA71" i="1"/>
  <c r="T62" i="1"/>
  <c r="AG62" i="1"/>
  <c r="AA56" i="1"/>
  <c r="X120" i="1"/>
  <c r="X116" i="1"/>
  <c r="AI113" i="1"/>
  <c r="X112" i="1"/>
  <c r="X108" i="1"/>
  <c r="AI105" i="1"/>
  <c r="X103" i="1"/>
  <c r="T70" i="1"/>
  <c r="X70" i="1"/>
  <c r="AG70" i="1"/>
  <c r="T55" i="1"/>
  <c r="X55" i="1"/>
  <c r="AG55" i="1"/>
  <c r="T81" i="1"/>
  <c r="U81" i="1" s="1"/>
  <c r="S81" i="1" s="1"/>
  <c r="T78" i="1"/>
  <c r="U78" i="1" s="1"/>
  <c r="S78" i="1" s="1"/>
  <c r="X78" i="1"/>
  <c r="T66" i="1"/>
  <c r="X66" i="1"/>
  <c r="AG66" i="1"/>
  <c r="T51" i="1"/>
  <c r="X51" i="1"/>
  <c r="AG51" i="1"/>
  <c r="U16" i="1"/>
  <c r="S16" i="1" s="1"/>
  <c r="X71" i="1"/>
  <c r="X67" i="1"/>
  <c r="X63" i="1"/>
  <c r="X56" i="1"/>
  <c r="X52" i="1"/>
  <c r="AI49" i="1"/>
  <c r="T46" i="1"/>
  <c r="X46" i="1"/>
  <c r="AG46" i="1"/>
  <c r="X20" i="1"/>
  <c r="AG19" i="1"/>
  <c r="X16" i="1"/>
  <c r="AG15" i="1"/>
  <c r="W15" i="1" s="1"/>
  <c r="X47" i="1"/>
  <c r="X43" i="1"/>
  <c r="AG42" i="1"/>
  <c r="X39" i="1"/>
  <c r="AG38" i="1"/>
  <c r="X35" i="1"/>
  <c r="AG34" i="1"/>
  <c r="X31" i="1"/>
  <c r="AG30" i="1"/>
  <c r="X27" i="1"/>
  <c r="AG26" i="1"/>
  <c r="X23" i="1"/>
  <c r="AG22" i="1"/>
  <c r="X19" i="1"/>
  <c r="AG18" i="1"/>
  <c r="AI16" i="1"/>
  <c r="X15" i="1"/>
  <c r="AG14" i="1"/>
  <c r="W14" i="1" s="1"/>
  <c r="X42" i="1"/>
  <c r="X38" i="1"/>
  <c r="AI35" i="1"/>
  <c r="X34" i="1"/>
  <c r="X30" i="1"/>
  <c r="X26" i="1"/>
  <c r="X22" i="1"/>
  <c r="X18" i="1"/>
  <c r="Y34" i="3"/>
  <c r="Y35" i="3"/>
  <c r="Y49" i="3"/>
  <c r="Y44" i="3"/>
  <c r="Y11" i="3"/>
  <c r="Y21" i="3"/>
  <c r="Y18" i="3"/>
  <c r="Y8" i="3"/>
  <c r="Y12" i="3"/>
  <c r="Y13" i="3"/>
  <c r="Y41" i="3"/>
  <c r="Y26" i="3"/>
  <c r="Y42" i="3"/>
  <c r="Y48" i="3"/>
  <c r="Y31" i="3"/>
  <c r="Y47" i="3"/>
  <c r="Y15" i="3"/>
  <c r="Y39" i="3"/>
  <c r="Y25" i="3"/>
  <c r="Y32" i="3"/>
  <c r="Y19" i="3"/>
  <c r="Y29" i="3"/>
  <c r="Y17" i="3"/>
  <c r="Y38" i="3"/>
  <c r="Y10" i="3"/>
  <c r="Y20" i="3"/>
  <c r="T50" i="3"/>
  <c r="T21" i="3"/>
  <c r="T16" i="3"/>
  <c r="T18" i="3"/>
  <c r="T28" i="3"/>
  <c r="T8" i="3"/>
  <c r="T24" i="3"/>
  <c r="T12" i="3"/>
  <c r="T23" i="3"/>
  <c r="T13" i="3"/>
  <c r="T22" i="3"/>
  <c r="T41" i="3"/>
  <c r="T34" i="3"/>
  <c r="T26" i="3"/>
  <c r="T35" i="3"/>
  <c r="T42" i="3"/>
  <c r="T49" i="3"/>
  <c r="T48" i="3"/>
  <c r="T44" i="3"/>
  <c r="T31" i="3"/>
  <c r="T11" i="3"/>
  <c r="T47" i="3"/>
  <c r="T33" i="3"/>
  <c r="T15" i="3"/>
  <c r="T27" i="3"/>
  <c r="T39" i="3"/>
  <c r="T9" i="3"/>
  <c r="T25" i="3"/>
  <c r="T37" i="3"/>
  <c r="T32" i="3"/>
  <c r="T40" i="3"/>
  <c r="T19" i="3"/>
  <c r="T43" i="3"/>
  <c r="T29" i="3"/>
  <c r="T7" i="3"/>
  <c r="T17" i="3"/>
  <c r="T45" i="3"/>
  <c r="T38" i="3"/>
  <c r="T36" i="3"/>
  <c r="T10" i="3"/>
  <c r="T30" i="3"/>
  <c r="T20" i="3"/>
  <c r="T14" i="3"/>
  <c r="R46" i="3"/>
  <c r="X21" i="3"/>
  <c r="X47" i="3"/>
  <c r="X32" i="3"/>
  <c r="X15" i="3"/>
  <c r="X29" i="3"/>
  <c r="X8" i="3"/>
  <c r="X17" i="3"/>
  <c r="X45" i="3"/>
  <c r="X19" i="3"/>
  <c r="X22" i="3"/>
  <c r="X23" i="3"/>
  <c r="X37" i="3"/>
  <c r="X12" i="3"/>
  <c r="X7" i="3"/>
  <c r="X34" i="3"/>
  <c r="X27" i="3"/>
  <c r="X9" i="3"/>
  <c r="X14" i="3"/>
  <c r="M46" i="3"/>
  <c r="N46" i="3"/>
  <c r="S46" i="3"/>
  <c r="U46" i="3"/>
  <c r="AC46" i="3" s="1"/>
  <c r="V46" i="3"/>
  <c r="W46" i="3"/>
  <c r="X46" i="3"/>
  <c r="X10" i="3"/>
  <c r="X44" i="3"/>
  <c r="X35" i="3"/>
  <c r="X33" i="3"/>
  <c r="X40" i="3"/>
  <c r="X43" i="3"/>
  <c r="X30" i="3"/>
  <c r="X42" i="3"/>
  <c r="X25" i="3"/>
  <c r="X31" i="3"/>
  <c r="X20" i="3"/>
  <c r="X24" i="3"/>
  <c r="X11" i="3"/>
  <c r="X49" i="3"/>
  <c r="X36" i="3"/>
  <c r="X38" i="3"/>
  <c r="X18" i="3"/>
  <c r="X39" i="3"/>
  <c r="X26" i="3"/>
  <c r="X28" i="3"/>
  <c r="X41" i="3"/>
  <c r="X13" i="3"/>
  <c r="X16" i="3"/>
  <c r="X50" i="3"/>
  <c r="U90" i="1" l="1"/>
  <c r="S90" i="1" s="1"/>
  <c r="W46" i="1"/>
  <c r="W71" i="1"/>
  <c r="W105" i="1"/>
  <c r="U31" i="1"/>
  <c r="S31" i="1" s="1"/>
  <c r="U208" i="1"/>
  <c r="S208" i="1" s="1"/>
  <c r="W16" i="1"/>
  <c r="AI53" i="1"/>
  <c r="W91" i="1"/>
  <c r="U58" i="1"/>
  <c r="S58" i="1" s="1"/>
  <c r="W109" i="1"/>
  <c r="W120" i="1"/>
  <c r="AI109" i="1"/>
  <c r="U68" i="1"/>
  <c r="S68" i="1" s="1"/>
  <c r="W199" i="1"/>
  <c r="U93" i="1"/>
  <c r="S93" i="1" s="1"/>
  <c r="W154" i="1"/>
  <c r="W31" i="1"/>
  <c r="W90" i="1"/>
  <c r="U99" i="1"/>
  <c r="S99" i="1" s="1"/>
  <c r="U61" i="1"/>
  <c r="S61" i="1" s="1"/>
  <c r="W53" i="1"/>
  <c r="W99" i="1"/>
  <c r="U121" i="1"/>
  <c r="S121" i="1" s="1"/>
  <c r="AI192" i="1"/>
  <c r="AI204" i="1"/>
  <c r="W18" i="1"/>
  <c r="W34" i="1"/>
  <c r="AI63" i="1"/>
  <c r="AI120" i="1"/>
  <c r="W86" i="1"/>
  <c r="U188" i="1"/>
  <c r="S188" i="1" s="1"/>
  <c r="U89" i="1"/>
  <c r="S89" i="1" s="1"/>
  <c r="AI136" i="1"/>
  <c r="W128" i="1"/>
  <c r="W204" i="1"/>
  <c r="W35" i="1"/>
  <c r="W88" i="1"/>
  <c r="AI64" i="1"/>
  <c r="W56" i="1"/>
  <c r="AI40" i="1"/>
  <c r="W83" i="1"/>
  <c r="W112" i="1"/>
  <c r="W72" i="1"/>
  <c r="U158" i="1"/>
  <c r="S158" i="1" s="1"/>
  <c r="W183" i="1"/>
  <c r="W158" i="1"/>
  <c r="U92" i="1"/>
  <c r="S92" i="1" s="1"/>
  <c r="W27" i="1"/>
  <c r="W136" i="1"/>
  <c r="W176" i="1"/>
  <c r="AI20" i="1"/>
  <c r="W202" i="1"/>
  <c r="W144" i="1"/>
  <c r="AI52" i="1"/>
  <c r="AI83" i="1"/>
  <c r="W62" i="1"/>
  <c r="AI144" i="1"/>
  <c r="U125" i="1"/>
  <c r="S125" i="1" s="1"/>
  <c r="W124" i="1"/>
  <c r="W23" i="1"/>
  <c r="AI23" i="1"/>
  <c r="W190" i="1"/>
  <c r="W206" i="1"/>
  <c r="W209" i="1"/>
  <c r="W89" i="1"/>
  <c r="W125" i="1"/>
  <c r="W59" i="1"/>
  <c r="W129" i="1"/>
  <c r="W228" i="1"/>
  <c r="AI92" i="1"/>
  <c r="W182" i="1"/>
  <c r="W64" i="1"/>
  <c r="U95" i="1"/>
  <c r="S95" i="1" s="1"/>
  <c r="W67" i="1"/>
  <c r="W191" i="1"/>
  <c r="U98" i="1"/>
  <c r="S98" i="1" s="1"/>
  <c r="U27" i="1"/>
  <c r="S27" i="1" s="1"/>
  <c r="W55" i="1"/>
  <c r="AI132" i="1"/>
  <c r="W212" i="1"/>
  <c r="U88" i="1"/>
  <c r="S88" i="1" s="1"/>
  <c r="AI188" i="1"/>
  <c r="W186" i="1"/>
  <c r="W188" i="1"/>
  <c r="W208" i="1"/>
  <c r="W19" i="1"/>
  <c r="U124" i="1"/>
  <c r="S124" i="1" s="1"/>
  <c r="AI124" i="1"/>
  <c r="U152" i="1"/>
  <c r="S152" i="1" s="1"/>
  <c r="AI214" i="1"/>
  <c r="W68" i="1"/>
  <c r="W95" i="1"/>
  <c r="W60" i="1"/>
  <c r="AI129" i="1"/>
  <c r="W214" i="1"/>
  <c r="W175" i="1"/>
  <c r="U112" i="1"/>
  <c r="S112" i="1" s="1"/>
  <c r="U129" i="1"/>
  <c r="S129" i="1" s="1"/>
  <c r="AI27" i="1"/>
  <c r="W107" i="1"/>
  <c r="W166" i="1"/>
  <c r="W152" i="1"/>
  <c r="W39" i="1"/>
  <c r="W24" i="1"/>
  <c r="W40" i="1"/>
  <c r="U105" i="1"/>
  <c r="S105" i="1" s="1"/>
  <c r="W192" i="1"/>
  <c r="W203" i="1"/>
  <c r="W219" i="1"/>
  <c r="S49" i="1"/>
  <c r="W20" i="1"/>
  <c r="W61" i="1"/>
  <c r="W51" i="1"/>
  <c r="U116" i="1"/>
  <c r="S116" i="1" s="1"/>
  <c r="W84" i="1"/>
  <c r="W133" i="1"/>
  <c r="AI57" i="1"/>
  <c r="U72" i="1"/>
  <c r="S72" i="1" s="1"/>
  <c r="U117" i="1"/>
  <c r="S117" i="1" s="1"/>
  <c r="W115" i="1"/>
  <c r="W117" i="1"/>
  <c r="U39" i="1"/>
  <c r="S39" i="1" s="1"/>
  <c r="AI95" i="1"/>
  <c r="AI148" i="1"/>
  <c r="AI200" i="1"/>
  <c r="AI209" i="1"/>
  <c r="W148" i="1"/>
  <c r="W121" i="1"/>
  <c r="W58" i="1"/>
  <c r="W180" i="1"/>
  <c r="AI68" i="1"/>
  <c r="W142" i="1"/>
  <c r="W167" i="1"/>
  <c r="S195" i="1"/>
  <c r="AI32" i="1"/>
  <c r="AI67" i="1"/>
  <c r="U59" i="1"/>
  <c r="S59" i="1" s="1"/>
  <c r="W92" i="1"/>
  <c r="AI39" i="1"/>
  <c r="AI24" i="1"/>
  <c r="AI72" i="1"/>
  <c r="W134" i="1"/>
  <c r="W143" i="1"/>
  <c r="AI196" i="1"/>
  <c r="W32" i="1"/>
  <c r="W200" i="1"/>
  <c r="U60" i="1"/>
  <c r="S60" i="1" s="1"/>
  <c r="S52" i="1"/>
  <c r="W155" i="1"/>
  <c r="U76" i="1"/>
  <c r="S76" i="1" s="1"/>
  <c r="AI116" i="1"/>
  <c r="S187" i="1"/>
  <c r="W57" i="1"/>
  <c r="W63" i="1"/>
  <c r="W116" i="1"/>
  <c r="W43" i="1"/>
  <c r="W210" i="1"/>
  <c r="W187" i="1"/>
  <c r="W30" i="1"/>
  <c r="U43" i="1"/>
  <c r="S43" i="1" s="1"/>
  <c r="AI47" i="1"/>
  <c r="AI60" i="1"/>
  <c r="AI98" i="1"/>
  <c r="W76" i="1"/>
  <c r="W173" i="1"/>
  <c r="W108" i="1"/>
  <c r="W98" i="1"/>
  <c r="W132" i="1"/>
  <c r="W223" i="1"/>
  <c r="W179" i="1"/>
  <c r="S47" i="1"/>
  <c r="W66" i="1"/>
  <c r="AI56" i="1"/>
  <c r="U84" i="1"/>
  <c r="S84" i="1" s="1"/>
  <c r="W135" i="1"/>
  <c r="W227" i="1"/>
  <c r="U210" i="1"/>
  <c r="S210" i="1" s="1"/>
  <c r="AI186" i="1"/>
  <c r="AI182" i="1"/>
  <c r="S179" i="1"/>
  <c r="W198" i="1"/>
  <c r="AI221" i="1"/>
  <c r="W195" i="1"/>
  <c r="U172" i="1"/>
  <c r="S172" i="1" s="1"/>
  <c r="W207" i="1"/>
  <c r="AI198" i="1"/>
  <c r="U108" i="1"/>
  <c r="S108" i="1" s="1"/>
  <c r="W221" i="1"/>
  <c r="AI212" i="1"/>
  <c r="U28" i="1"/>
  <c r="S28" i="1" s="1"/>
  <c r="U44" i="1"/>
  <c r="S44" i="1" s="1"/>
  <c r="W52" i="1"/>
  <c r="W28" i="1"/>
  <c r="W36" i="1"/>
  <c r="W44" i="1"/>
  <c r="W213" i="1"/>
  <c r="AI227" i="1"/>
  <c r="W47" i="1"/>
  <c r="W162" i="1"/>
  <c r="AI202" i="1"/>
  <c r="AI206" i="1"/>
  <c r="U21" i="1"/>
  <c r="S21" i="1" s="1"/>
  <c r="AI21" i="1"/>
  <c r="U36" i="1"/>
  <c r="S36" i="1" s="1"/>
  <c r="U48" i="1"/>
  <c r="S48" i="1" s="1"/>
  <c r="W21" i="1"/>
  <c r="W48" i="1"/>
  <c r="U133" i="1"/>
  <c r="S133" i="1" s="1"/>
  <c r="AI133" i="1"/>
  <c r="W172" i="1"/>
  <c r="W196" i="1"/>
  <c r="AI166" i="1"/>
  <c r="W222" i="1"/>
  <c r="AI222" i="1"/>
  <c r="U17" i="1"/>
  <c r="S17" i="1" s="1"/>
  <c r="AI17" i="1"/>
  <c r="AI15" i="1"/>
  <c r="U15" i="1"/>
  <c r="S15" i="1" s="1"/>
  <c r="AI46" i="1"/>
  <c r="U46" i="1"/>
  <c r="S46" i="1" s="1"/>
  <c r="U62" i="1"/>
  <c r="S62" i="1" s="1"/>
  <c r="AI62" i="1"/>
  <c r="W79" i="1"/>
  <c r="U146" i="1"/>
  <c r="S146" i="1" s="1"/>
  <c r="AI146" i="1"/>
  <c r="U159" i="1"/>
  <c r="S159" i="1" s="1"/>
  <c r="AI159" i="1"/>
  <c r="U230" i="1"/>
  <c r="S230" i="1" s="1"/>
  <c r="AI175" i="1"/>
  <c r="AI128" i="1"/>
  <c r="U128" i="1"/>
  <c r="S128" i="1" s="1"/>
  <c r="AI139" i="1"/>
  <c r="U139" i="1"/>
  <c r="S139" i="1" s="1"/>
  <c r="AI147" i="1"/>
  <c r="U147" i="1"/>
  <c r="S147" i="1" s="1"/>
  <c r="AI155" i="1"/>
  <c r="U155" i="1"/>
  <c r="S155" i="1" s="1"/>
  <c r="AI160" i="1"/>
  <c r="U160" i="1"/>
  <c r="S160" i="1" s="1"/>
  <c r="AI168" i="1"/>
  <c r="U217" i="1"/>
  <c r="S217" i="1" s="1"/>
  <c r="AI176" i="1"/>
  <c r="U231" i="1"/>
  <c r="S231" i="1" s="1"/>
  <c r="W231" i="1"/>
  <c r="AI79" i="1"/>
  <c r="U79" i="1"/>
  <c r="S79" i="1" s="1"/>
  <c r="U74" i="1"/>
  <c r="S74" i="1" s="1"/>
  <c r="AI74" i="1"/>
  <c r="U107" i="1"/>
  <c r="S107" i="1" s="1"/>
  <c r="AI107" i="1"/>
  <c r="U142" i="1"/>
  <c r="S142" i="1" s="1"/>
  <c r="AI142" i="1"/>
  <c r="U156" i="1"/>
  <c r="S156" i="1" s="1"/>
  <c r="AI156" i="1"/>
  <c r="U226" i="1"/>
  <c r="S226" i="1" s="1"/>
  <c r="AI171" i="1"/>
  <c r="AI86" i="1"/>
  <c r="U86" i="1"/>
  <c r="S86" i="1" s="1"/>
  <c r="U115" i="1"/>
  <c r="S115" i="1" s="1"/>
  <c r="AI115" i="1"/>
  <c r="W146" i="1"/>
  <c r="W160" i="1"/>
  <c r="AI230" i="1"/>
  <c r="U222" i="1"/>
  <c r="S222" i="1" s="1"/>
  <c r="U55" i="1"/>
  <c r="S55" i="1" s="1"/>
  <c r="AI55" i="1"/>
  <c r="U70" i="1"/>
  <c r="S70" i="1" s="1"/>
  <c r="AI70" i="1"/>
  <c r="U102" i="1"/>
  <c r="S102" i="1" s="1"/>
  <c r="AI102" i="1"/>
  <c r="U94" i="1"/>
  <c r="S94" i="1" s="1"/>
  <c r="AI94" i="1"/>
  <c r="U138" i="1"/>
  <c r="S138" i="1" s="1"/>
  <c r="AI138" i="1"/>
  <c r="U154" i="1"/>
  <c r="S154" i="1" s="1"/>
  <c r="AI154" i="1"/>
  <c r="U216" i="1"/>
  <c r="S216" i="1" s="1"/>
  <c r="AI167" i="1"/>
  <c r="U166" i="1"/>
  <c r="S166" i="1" s="1"/>
  <c r="AI183" i="1"/>
  <c r="U111" i="1"/>
  <c r="S111" i="1" s="1"/>
  <c r="AI111" i="1"/>
  <c r="AI135" i="1"/>
  <c r="U135" i="1"/>
  <c r="S135" i="1" s="1"/>
  <c r="AI143" i="1"/>
  <c r="U143" i="1"/>
  <c r="S143" i="1" s="1"/>
  <c r="AI151" i="1"/>
  <c r="U151" i="1"/>
  <c r="S151" i="1" s="1"/>
  <c r="AI157" i="1"/>
  <c r="U157" i="1"/>
  <c r="S157" i="1" s="1"/>
  <c r="AI164" i="1"/>
  <c r="U213" i="1"/>
  <c r="S213" i="1" s="1"/>
  <c r="AI172" i="1"/>
  <c r="U227" i="1"/>
  <c r="S227" i="1" s="1"/>
  <c r="AI180" i="1"/>
  <c r="U163" i="1"/>
  <c r="S163" i="1" s="1"/>
  <c r="W70" i="1"/>
  <c r="W138" i="1"/>
  <c r="W216" i="1"/>
  <c r="W156" i="1"/>
  <c r="AI184" i="1"/>
  <c r="U167" i="1"/>
  <c r="S167" i="1" s="1"/>
  <c r="W157" i="1"/>
  <c r="W230" i="1"/>
  <c r="W147" i="1"/>
  <c r="AI191" i="1"/>
  <c r="U174" i="1"/>
  <c r="S174" i="1" s="1"/>
  <c r="AI195" i="1"/>
  <c r="U178" i="1"/>
  <c r="S178" i="1" s="1"/>
  <c r="AI199" i="1"/>
  <c r="U182" i="1"/>
  <c r="S182" i="1" s="1"/>
  <c r="AI203" i="1"/>
  <c r="U186" i="1"/>
  <c r="S186" i="1" s="1"/>
  <c r="AI207" i="1"/>
  <c r="U190" i="1"/>
  <c r="S190" i="1" s="1"/>
  <c r="AI211" i="1"/>
  <c r="U194" i="1"/>
  <c r="S194" i="1" s="1"/>
  <c r="AI215" i="1"/>
  <c r="U198" i="1"/>
  <c r="S198" i="1" s="1"/>
  <c r="W178" i="1"/>
  <c r="AI224" i="1"/>
  <c r="U207" i="1"/>
  <c r="S207" i="1" s="1"/>
  <c r="W194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19" i="1"/>
  <c r="U19" i="1"/>
  <c r="S19" i="1" s="1"/>
  <c r="W22" i="1"/>
  <c r="W38" i="1"/>
  <c r="W26" i="1"/>
  <c r="W42" i="1"/>
  <c r="AI51" i="1"/>
  <c r="U51" i="1"/>
  <c r="S51" i="1" s="1"/>
  <c r="U66" i="1"/>
  <c r="S66" i="1" s="1"/>
  <c r="AI66" i="1"/>
  <c r="W74" i="1"/>
  <c r="U119" i="1"/>
  <c r="S119" i="1" s="1"/>
  <c r="AI119" i="1"/>
  <c r="W102" i="1"/>
  <c r="W119" i="1"/>
  <c r="U134" i="1"/>
  <c r="S134" i="1" s="1"/>
  <c r="AI134" i="1"/>
  <c r="U150" i="1"/>
  <c r="S150" i="1" s="1"/>
  <c r="AI150" i="1"/>
  <c r="U212" i="1"/>
  <c r="S212" i="1" s="1"/>
  <c r="AI163" i="1"/>
  <c r="U162" i="1"/>
  <c r="S162" i="1" s="1"/>
  <c r="AI179" i="1"/>
  <c r="U170" i="1"/>
  <c r="S170" i="1" s="1"/>
  <c r="AI187" i="1"/>
  <c r="W170" i="1"/>
  <c r="U91" i="1"/>
  <c r="S91" i="1" s="1"/>
  <c r="AI91" i="1"/>
  <c r="W111" i="1"/>
  <c r="W151" i="1"/>
  <c r="W163" i="1"/>
  <c r="W139" i="1"/>
  <c r="W217" i="1"/>
  <c r="W159" i="1"/>
  <c r="U173" i="1"/>
  <c r="S173" i="1" s="1"/>
  <c r="AI190" i="1"/>
  <c r="W150" i="1"/>
  <c r="W174" i="1"/>
  <c r="AI219" i="1"/>
  <c r="U202" i="1"/>
  <c r="S202" i="1" s="1"/>
  <c r="U206" i="1"/>
  <c r="S206" i="1" s="1"/>
  <c r="AI223" i="1"/>
  <c r="AI226" i="1"/>
  <c r="U209" i="1"/>
  <c r="S209" i="1" s="1"/>
  <c r="Y46" i="3"/>
  <c r="T46" i="3"/>
  <c r="X48" i="3"/>
  <c r="M30" i="5" l="1"/>
  <c r="M29" i="5"/>
  <c r="M28" i="5"/>
  <c r="M27" i="5"/>
  <c r="K15" i="6" l="1"/>
  <c r="B15" i="6"/>
  <c r="K14" i="6"/>
  <c r="B14" i="6"/>
  <c r="J14" i="6" s="1"/>
  <c r="K13" i="6"/>
  <c r="B13" i="6"/>
  <c r="I13" i="6" s="1"/>
  <c r="K12" i="6"/>
  <c r="B12" i="6"/>
  <c r="I12" i="6" s="1"/>
  <c r="K11" i="6"/>
  <c r="B11" i="6"/>
  <c r="K10" i="6"/>
  <c r="B10" i="6"/>
  <c r="J10" i="6" s="1"/>
  <c r="K9" i="6"/>
  <c r="B9" i="6"/>
  <c r="I9" i="6" s="1"/>
  <c r="K8" i="6"/>
  <c r="B8" i="6"/>
  <c r="I8" i="6" s="1"/>
  <c r="K7" i="6"/>
  <c r="B7" i="6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8" i="6" l="1"/>
  <c r="AA13" i="1"/>
  <c r="F12" i="6"/>
  <c r="AG13" i="1"/>
  <c r="AI13" i="1" s="1"/>
  <c r="F5" i="6"/>
  <c r="J12" i="6"/>
  <c r="J8" i="6"/>
  <c r="J5" i="6"/>
  <c r="I4" i="6"/>
  <c r="I7" i="6"/>
  <c r="I11" i="6"/>
  <c r="F7" i="6"/>
  <c r="J7" i="6"/>
  <c r="J15" i="6"/>
  <c r="F6" i="6"/>
  <c r="J6" i="6"/>
  <c r="F9" i="6"/>
  <c r="J9" i="6"/>
  <c r="F13" i="6"/>
  <c r="J13" i="6"/>
  <c r="I15" i="6"/>
  <c r="I3" i="6"/>
  <c r="F4" i="6"/>
  <c r="J4" i="6"/>
  <c r="I10" i="6"/>
  <c r="F11" i="6"/>
  <c r="J11" i="6"/>
  <c r="I14" i="6"/>
  <c r="F15" i="6"/>
  <c r="F3" i="6"/>
  <c r="F10" i="6"/>
  <c r="F14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7" i="6" s="1"/>
  <c r="G58" i="4"/>
  <c r="H7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9" i="6" s="1"/>
  <c r="G64" i="4"/>
  <c r="H9" i="6" s="1"/>
  <c r="F65" i="4"/>
  <c r="G65" i="4"/>
  <c r="F66" i="4"/>
  <c r="G66" i="4"/>
  <c r="F67" i="4"/>
  <c r="G67" i="4"/>
  <c r="F68" i="4"/>
  <c r="G68" i="4"/>
  <c r="F69" i="4"/>
  <c r="G8" i="6" s="1"/>
  <c r="G69" i="4"/>
  <c r="H8" i="6" s="1"/>
  <c r="F70" i="4"/>
  <c r="G12" i="6" s="1"/>
  <c r="G70" i="4"/>
  <c r="H12" i="6" s="1"/>
  <c r="F71" i="4"/>
  <c r="G71" i="4"/>
  <c r="F72" i="4"/>
  <c r="G72" i="4"/>
  <c r="F73" i="4"/>
  <c r="G73" i="4"/>
  <c r="F74" i="4"/>
  <c r="G10" i="6" s="1"/>
  <c r="G74" i="4"/>
  <c r="H10" i="6" s="1"/>
  <c r="F75" i="4"/>
  <c r="G13" i="6" s="1"/>
  <c r="G75" i="4"/>
  <c r="H13" i="6" s="1"/>
  <c r="F76" i="4"/>
  <c r="G11" i="6" s="1"/>
  <c r="G76" i="4"/>
  <c r="H11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4" i="6" s="1"/>
  <c r="G84" i="4"/>
  <c r="H14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5" i="6" s="1"/>
  <c r="G223" i="4"/>
  <c r="H15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<sst xmlns="http://schemas.openxmlformats.org/spreadsheetml/2006/main" count="2310" uniqueCount="805">
  <si>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</si>
  <si>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</si>
  <si>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</si>
  <si>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</si>
  <si>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</si>
  <si>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</si>
  <si>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</si>
  <si>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</si>
  <si>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</si>
  <si>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</si>
  <si>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</si>
  <si>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</si>
  <si>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</si>
  <si>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</si>
  <si>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</si>
  <si>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</si>
  <si>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</si>
  <si>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</si>
  <si>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</si>
  <si>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</si>
  <si>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</si>
  <si>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</si>
  <si>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</si>
  <si>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</si>
  <si>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</si>
  <si>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</si>
  <si>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</si>
  <si>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</si>
  <si>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</si>
  <si>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</si>
  <si>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</si>
  <si>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</si>
  <si>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</si>
  <si>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</si>
  <si>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</si>
  <si>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</si>
  <si>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</si>
  <si>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</si>
  <si>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</si>
  <si>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</si>
  <si>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</si>
  <si>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</si>
  <si>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</si>
  <si>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</si>
  <si>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</si>
  <si>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</si>
  <si>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</si>
  <si>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</si>
  <si>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</si>
  <si>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</si>
  <si>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</si>
  <si>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</si>
  <si>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</si>
  <si>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</si>
  <si>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</si>
  <si>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</si>
  <si>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</si>
  <si>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</si>
  <si>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</si>
  <si>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</si>
  <si>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</si>
  <si>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</si>
  <si>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</si>
  <si>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</si>
  <si>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</si>
  <si>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</si>
  <si>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</si>
  <si>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</si>
  <si>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</si>
  <si>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</si>
  <si>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</si>
  <si>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</si>
  <si>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</si>
  <si>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</si>
  <si>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</si>
  <si>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</si>
  <si>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</si>
  <si>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</si>
  <si>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</si>
  <si>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</si>
  <si>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</si>
  <si>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</si>
  <si>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</si>
  <si>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</si>
  <si>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</si>
  <si>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</si>
  <si>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</si>
  <si>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</si>
  <si>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</si>
  <si>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</si>
  <si>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</si>
  <si>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</si>
  <si>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</si>
  <si>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</si>
  <si>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</si>
  <si>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</si>
  <si>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</si>
  <si>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</si>
  <si>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</si>
  <si>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</si>
  <si>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</si>
  <si>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</si>
  <si>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</si>
  <si>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</si>
  <si>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</si>
  <si>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</si>
  <si>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</si>
  <si>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</si>
  <si>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</si>
  <si>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</si>
  <si>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</si>
  <si>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</si>
  <si>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</si>
  <si>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</si>
  <si>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</si>
  <si>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</si>
  <si>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</si>
  <si>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</si>
  <si>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</si>
  <si>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</si>
  <si>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</si>
  <si>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</si>
  <si>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</si>
  <si>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</si>
  <si>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</si>
  <si>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</si>
  <si>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</si>
  <si>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</si>
  <si>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</si>
  <si>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</si>
  <si>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</si>
  <si>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</si>
  <si>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</si>
  <si>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</si>
  <si>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</si>
  <si>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</si>
  <si>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</si>
  <si>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</si>
  <si>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</si>
  <si>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</si>
  <si>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</si>
  <si>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</si>
  <si>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</si>
  <si>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</si>
  <si>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</si>
  <si>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</si>
  <si>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</si>
  <si>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</si>
  <si>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</si>
  <si>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</si>
  <si>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</si>
  <si>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</si>
  <si>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</si>
  <si>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</si>
  <si>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</si>
  <si>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</si>
  <si>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</si>
  <si>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</si>
  <si>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</si>
  <si>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</si>
  <si>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</si>
  <si>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</si>
  <si>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</si>
  <si>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</si>
  <si>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</si>
  <si>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</si>
  <si>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</si>
  <si>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</si>
  <si>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</si>
  <si>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</si>
  <si>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</si>
  <si>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</si>
  <si>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</si>
  <si>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</si>
  <si>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</si>
  <si>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</si>
  <si>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</si>
  <si>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</si>
  <si>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</si>
  <si>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</si>
  <si>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</si>
  <si>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</si>
  <si>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</si>
  <si>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</si>
  <si>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</si>
  <si>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</si>
  <si>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</si>
  <si>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</si>
  <si>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</si>
  <si>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</si>
  <si>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</si>
  <si>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</si>
  <si>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</si>
  <si>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</si>
  <si>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</si>
  <si>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</si>
  <si>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</si>
  <si>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</si>
  <si>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</si>
  <si>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</si>
  <si>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</si>
  <si>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</si>
  <si>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</si>
  <si>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</si>
  <si>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</si>
  <si>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</si>
  <si>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</si>
  <si>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</si>
  <si>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</si>
  <si>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</si>
  <si>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</si>
  <si>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</si>
  <si>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</si>
  <si>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</si>
  <si>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</si>
  <si>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</si>
  <si>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Enforcements Text</t>
  </si>
  <si>
    <t>Runs-Refined Text</t>
  </si>
  <si>
    <t>Trips Text</t>
  </si>
  <si>
    <t>Weather Text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</si>
  <si>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</si>
  <si>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</si>
  <si>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</si>
  <si>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</si>
  <si>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</si>
  <si>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</si>
  <si>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</si>
  <si>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</si>
  <si>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</si>
  <si>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</si>
  <si>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</si>
  <si>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</si>
  <si>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</si>
  <si>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</si>
  <si>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204:232978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</si>
  <si>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</si>
  <si>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</si>
  <si>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</si>
  <si>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</si>
  <si>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</si>
  <si>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</si>
  <si>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</si>
  <si>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</si>
  <si>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</si>
  <si>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</si>
  <si>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</si>
  <si>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</si>
  <si>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</si>
  <si>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</si>
  <si>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</si>
  <si>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</si>
  <si>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</si>
  <si>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</si>
  <si>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</si>
  <si>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</si>
  <si>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</si>
  <si>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</si>
  <si>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</si>
  <si>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204:232998</t>
  </si>
  <si>
    <t>204:233301</t>
  </si>
  <si>
    <t>204:232994</t>
  </si>
  <si>
    <t>204:233315</t>
  </si>
  <si>
    <t>204:232991</t>
  </si>
  <si>
    <t>204:471</t>
  </si>
  <si>
    <t>AWS CP Commands</t>
  </si>
  <si>
    <t>rtdc.l.rtdc.4012:itc</t>
  </si>
  <si>
    <t>204:444</t>
  </si>
  <si>
    <t>clear-day</t>
  </si>
  <si>
    <t>204:156</t>
  </si>
  <si>
    <t>204:233000</t>
  </si>
  <si>
    <t>rtdc.l.rtdc.4029:itc</t>
  </si>
  <si>
    <t>rtdc.l.rtdc.4030:itc</t>
  </si>
  <si>
    <t>BERLING</t>
  </si>
  <si>
    <t>204:139</t>
  </si>
  <si>
    <t>204:232981</t>
  </si>
  <si>
    <t>204:233278</t>
  </si>
  <si>
    <t>204:233304</t>
  </si>
  <si>
    <t>300:58615</t>
  </si>
  <si>
    <t>rtdc.l.rtdc.4054:itc</t>
  </si>
  <si>
    <t>SPECTOR</t>
  </si>
  <si>
    <t>rtdc.l.rtdc.4053:itc</t>
  </si>
  <si>
    <t>HELVIE</t>
  </si>
  <si>
    <t>DELGADO</t>
  </si>
  <si>
    <t>MATTHEWS</t>
  </si>
  <si>
    <t>204:232983</t>
  </si>
  <si>
    <t>204:449</t>
  </si>
  <si>
    <t>204:158</t>
  </si>
  <si>
    <t>204:233311</t>
  </si>
  <si>
    <t>204:232986</t>
  </si>
  <si>
    <t>204:138</t>
  </si>
  <si>
    <t>204:232990</t>
  </si>
  <si>
    <t>204:233334</t>
  </si>
  <si>
    <t>204:437</t>
  </si>
  <si>
    <t>300:23304</t>
  </si>
  <si>
    <t>300:58613</t>
  </si>
  <si>
    <t>300:58928</t>
  </si>
  <si>
    <t>rtdc.l.rtdc.4016:itc</t>
  </si>
  <si>
    <t>rtdc.l.rtdc.4015:itc</t>
  </si>
  <si>
    <t>54-18</t>
  </si>
  <si>
    <t>STORY</t>
  </si>
  <si>
    <t>PINCURA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</si>
  <si>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</si>
  <si>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</si>
  <si>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</si>
  <si>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</si>
  <si>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</si>
  <si>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</si>
  <si>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</si>
  <si>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</si>
  <si>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</si>
  <si>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</si>
  <si>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</si>
  <si>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</si>
  <si>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</si>
  <si>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</si>
  <si>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</si>
  <si>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204:233280</t>
  </si>
  <si>
    <t>204:233319</t>
  </si>
  <si>
    <t>204:232984</t>
  </si>
  <si>
    <t>204:233329</t>
  </si>
  <si>
    <t>204:462</t>
  </si>
  <si>
    <t>300:58604</t>
  </si>
  <si>
    <t>Y</t>
  </si>
  <si>
    <t>MAELZER</t>
  </si>
  <si>
    <t>STRICKLAND</t>
  </si>
  <si>
    <t>ADANE</t>
  </si>
  <si>
    <t>MOSES</t>
  </si>
  <si>
    <t>YOUNG</t>
  </si>
  <si>
    <t>204:232973</t>
  </si>
  <si>
    <t>204:232996</t>
  </si>
  <si>
    <t>204:232989</t>
  </si>
  <si>
    <t>204:232993</t>
  </si>
  <si>
    <t>204:440</t>
  </si>
  <si>
    <t>204:233310</t>
  </si>
  <si>
    <t>204:233302</t>
  </si>
  <si>
    <t>204:169</t>
  </si>
  <si>
    <t>204:233011</t>
  </si>
  <si>
    <t>300:58617</t>
  </si>
  <si>
    <t>Reactive Warning (1)</t>
  </si>
  <si>
    <t>rtdc.l.rtdc.4037:itc</t>
  </si>
  <si>
    <t>rtdc.l.rtdc.4005:itc</t>
  </si>
  <si>
    <t>311-20</t>
  </si>
  <si>
    <t>242-20</t>
  </si>
  <si>
    <t>SANTIZO</t>
  </si>
  <si>
    <t>YORK</t>
  </si>
  <si>
    <t>rtdc.l.rtdc.4038:itc</t>
  </si>
  <si>
    <t>BROWN</t>
  </si>
  <si>
    <t>SHOOK</t>
  </si>
  <si>
    <t>NEWELL</t>
  </si>
  <si>
    <t>309-20</t>
  </si>
  <si>
    <t>244-20</t>
  </si>
  <si>
    <t>204:233321</t>
  </si>
  <si>
    <t>204:233006</t>
  </si>
  <si>
    <t>204:233316</t>
  </si>
  <si>
    <t>204:233309</t>
  </si>
  <si>
    <t>204:467</t>
  </si>
  <si>
    <t>204:163</t>
  </si>
  <si>
    <t>204:488</t>
  </si>
  <si>
    <t>204:233284</t>
  </si>
  <si>
    <t>204:232980</t>
  </si>
  <si>
    <t>204:136</t>
  </si>
  <si>
    <t>204:233336</t>
  </si>
  <si>
    <t>204:233008</t>
  </si>
  <si>
    <t>204:232966</t>
  </si>
  <si>
    <t>204:233042</t>
  </si>
  <si>
    <t>204:482</t>
  </si>
  <si>
    <t>204:232934</t>
  </si>
  <si>
    <t>204:233320</t>
  </si>
  <si>
    <t>204:232953</t>
  </si>
  <si>
    <t>204:233327</t>
  </si>
  <si>
    <t>204:233002</t>
  </si>
  <si>
    <t>204:1194</t>
  </si>
  <si>
    <t>300:58611</t>
  </si>
  <si>
    <t>204:433</t>
  </si>
  <si>
    <t>300:58609</t>
  </si>
  <si>
    <t>300:58624</t>
  </si>
  <si>
    <t>300:58937</t>
  </si>
  <si>
    <t>204:705</t>
  </si>
  <si>
    <t>300:58929</t>
  </si>
  <si>
    <t>300:58924</t>
  </si>
  <si>
    <t>300:58911</t>
  </si>
  <si>
    <t>204:1035</t>
  </si>
  <si>
    <t>204:1034</t>
  </si>
  <si>
    <t>300:58931</t>
  </si>
  <si>
    <t>300:58608</t>
  </si>
  <si>
    <t>300:58606</t>
  </si>
  <si>
    <t>204:943</t>
  </si>
  <si>
    <t>204:1065</t>
  </si>
  <si>
    <t>204:747</t>
  </si>
  <si>
    <t>300:58926</t>
  </si>
  <si>
    <t>204:754</t>
  </si>
  <si>
    <t>204:1032</t>
  </si>
  <si>
    <t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t>
  </si>
  <si>
    <t>304-21</t>
  </si>
  <si>
    <t>901-21</t>
  </si>
  <si>
    <t>rtdc.l.rtdc.4045:itc</t>
  </si>
  <si>
    <t>800-21</t>
  </si>
  <si>
    <t>108-21</t>
  </si>
  <si>
    <t>106-21</t>
  </si>
  <si>
    <t>116-21</t>
  </si>
  <si>
    <t>rtdc.l.rtdc.4026:itc</t>
  </si>
  <si>
    <t>808-21</t>
  </si>
  <si>
    <t>rtdc.l.rtdc.4013:itc</t>
  </si>
  <si>
    <t>126-21</t>
  </si>
  <si>
    <t>128-21</t>
  </si>
  <si>
    <t>rtdc.l.rtdc.4014:itc</t>
  </si>
  <si>
    <t>139-21</t>
  </si>
  <si>
    <t>136-21</t>
  </si>
  <si>
    <t>146-21</t>
  </si>
  <si>
    <t>rtdc.l.rtdc.4025:itc</t>
  </si>
  <si>
    <t>815-21</t>
  </si>
  <si>
    <t>148-21</t>
  </si>
  <si>
    <t>818-21</t>
  </si>
  <si>
    <t>160-21</t>
  </si>
  <si>
    <t>820-21</t>
  </si>
  <si>
    <t>164-21</t>
  </si>
  <si>
    <t>171-21</t>
  </si>
  <si>
    <t>177-21</t>
  </si>
  <si>
    <t>823-21</t>
  </si>
  <si>
    <t>824-21</t>
  </si>
  <si>
    <t>180-21</t>
  </si>
  <si>
    <t>825-21</t>
  </si>
  <si>
    <t>195-21</t>
  </si>
  <si>
    <t>199-21</t>
  </si>
  <si>
    <t>196-21</t>
  </si>
  <si>
    <t>831-21</t>
  </si>
  <si>
    <t>71-21</t>
  </si>
  <si>
    <t>832-21</t>
  </si>
  <si>
    <t>834-21</t>
  </si>
  <si>
    <t>56-21</t>
  </si>
  <si>
    <t>54-21</t>
  </si>
  <si>
    <t>208-21</t>
  </si>
  <si>
    <t>837-21</t>
  </si>
  <si>
    <t>216-21</t>
  </si>
  <si>
    <t>229-21</t>
  </si>
  <si>
    <t>234-21</t>
  </si>
  <si>
    <t>rtdc.l.rtdc.4027:itc</t>
  </si>
  <si>
    <t>241-21</t>
  </si>
  <si>
    <t>101-21</t>
  </si>
  <si>
    <t>DAVIS</t>
  </si>
  <si>
    <t>103-21</t>
  </si>
  <si>
    <t>306-21</t>
  </si>
  <si>
    <t>MALAVE</t>
  </si>
  <si>
    <t>102-21</t>
  </si>
  <si>
    <t>105-21</t>
  </si>
  <si>
    <t>310-21</t>
  </si>
  <si>
    <t>GEBRETEKLE</t>
  </si>
  <si>
    <t>107-21</t>
  </si>
  <si>
    <t>GRASTON</t>
  </si>
  <si>
    <t>104-21</t>
  </si>
  <si>
    <t>109-21</t>
  </si>
  <si>
    <t>111-21</t>
  </si>
  <si>
    <t>113-21</t>
  </si>
  <si>
    <t>115-21</t>
  </si>
  <si>
    <t>ROBINSON</t>
  </si>
  <si>
    <t>110-21</t>
  </si>
  <si>
    <t>117-21</t>
  </si>
  <si>
    <t>801-21</t>
  </si>
  <si>
    <t>112-21</t>
  </si>
  <si>
    <t>119-21</t>
  </si>
  <si>
    <t>902-21</t>
  </si>
  <si>
    <t>114-21</t>
  </si>
  <si>
    <t>802-21</t>
  </si>
  <si>
    <t>121-21</t>
  </si>
  <si>
    <t>803-21</t>
  </si>
  <si>
    <t>123-21</t>
  </si>
  <si>
    <t>118-21</t>
  </si>
  <si>
    <t>804-21</t>
  </si>
  <si>
    <t>125-21</t>
  </si>
  <si>
    <t>805-21</t>
  </si>
  <si>
    <t>120-21</t>
  </si>
  <si>
    <t>127-21</t>
  </si>
  <si>
    <t>122-21</t>
  </si>
  <si>
    <t>806-21</t>
  </si>
  <si>
    <t>129-21</t>
  </si>
  <si>
    <t>124-21</t>
  </si>
  <si>
    <t>807-21</t>
  </si>
  <si>
    <t>131-21</t>
  </si>
  <si>
    <t>133-21</t>
  </si>
  <si>
    <t>809-21</t>
  </si>
  <si>
    <t>130-21</t>
  </si>
  <si>
    <t>135-21</t>
  </si>
  <si>
    <t>810-21</t>
  </si>
  <si>
    <t>137-21</t>
  </si>
  <si>
    <t>811-21</t>
  </si>
  <si>
    <t>132-21</t>
  </si>
  <si>
    <t>903-21</t>
  </si>
  <si>
    <t>134-21</t>
  </si>
  <si>
    <t>812-21</t>
  </si>
  <si>
    <t>141-21</t>
  </si>
  <si>
    <t>143-21</t>
  </si>
  <si>
    <t>138-21</t>
  </si>
  <si>
    <t>145-21</t>
  </si>
  <si>
    <t>813-21</t>
  </si>
  <si>
    <t>140-21</t>
  </si>
  <si>
    <t>147-21</t>
  </si>
  <si>
    <t>142-21</t>
  </si>
  <si>
    <t>814-21</t>
  </si>
  <si>
    <t>149-21</t>
  </si>
  <si>
    <t>144-21</t>
  </si>
  <si>
    <t>151-21</t>
  </si>
  <si>
    <t>153-21</t>
  </si>
  <si>
    <t>150-21</t>
  </si>
  <si>
    <t>155-21</t>
  </si>
  <si>
    <t>157-21</t>
  </si>
  <si>
    <t>816-21</t>
  </si>
  <si>
    <t>152-21</t>
  </si>
  <si>
    <t>159-21</t>
  </si>
  <si>
    <t>STEWART</t>
  </si>
  <si>
    <t>154-21</t>
  </si>
  <si>
    <t>50-21</t>
  </si>
  <si>
    <t>161-21</t>
  </si>
  <si>
    <t>CLARK</t>
  </si>
  <si>
    <t>156-21</t>
  </si>
  <si>
    <t>817-21</t>
  </si>
  <si>
    <t>158-21</t>
  </si>
  <si>
    <t>163-21</t>
  </si>
  <si>
    <t>165-21</t>
  </si>
  <si>
    <t>55-21</t>
  </si>
  <si>
    <t>167-21</t>
  </si>
  <si>
    <t>162-21</t>
  </si>
  <si>
    <t>169-21</t>
  </si>
  <si>
    <t>819-21</t>
  </si>
  <si>
    <t>166-21</t>
  </si>
  <si>
    <t>168-21</t>
  </si>
  <si>
    <t>175-21</t>
  </si>
  <si>
    <t>170-21</t>
  </si>
  <si>
    <t>821-21</t>
  </si>
  <si>
    <t>172-21</t>
  </si>
  <si>
    <t>179-21</t>
  </si>
  <si>
    <t>174-21</t>
  </si>
  <si>
    <t>822-21</t>
  </si>
  <si>
    <t>181-21</t>
  </si>
  <si>
    <t>176-21</t>
  </si>
  <si>
    <t>178-21</t>
  </si>
  <si>
    <t>185-21</t>
  </si>
  <si>
    <t>187-21</t>
  </si>
  <si>
    <t>189-21</t>
  </si>
  <si>
    <t>66-21</t>
  </si>
  <si>
    <t>191-21</t>
  </si>
  <si>
    <t>HAITHCOX</t>
  </si>
  <si>
    <t>184-21</t>
  </si>
  <si>
    <t>52-21</t>
  </si>
  <si>
    <t>904-21</t>
  </si>
  <si>
    <t>193-21</t>
  </si>
  <si>
    <t>188-21</t>
  </si>
  <si>
    <t>827-21</t>
  </si>
  <si>
    <t>826-21</t>
  </si>
  <si>
    <t>197-21</t>
  </si>
  <si>
    <t>192-21</t>
  </si>
  <si>
    <t>828-21</t>
  </si>
  <si>
    <t>201-21</t>
  </si>
  <si>
    <t>194-21</t>
  </si>
  <si>
    <t>829-21</t>
  </si>
  <si>
    <t>203-21</t>
  </si>
  <si>
    <t>198-21</t>
  </si>
  <si>
    <t>830-21</t>
  </si>
  <si>
    <t>205-21</t>
  </si>
  <si>
    <t>200-21</t>
  </si>
  <si>
    <t>207-21</t>
  </si>
  <si>
    <t>202-21</t>
  </si>
  <si>
    <t>209-21</t>
  </si>
  <si>
    <t>833-21</t>
  </si>
  <si>
    <t>204-21</t>
  </si>
  <si>
    <t>211-21</t>
  </si>
  <si>
    <t>835-21</t>
  </si>
  <si>
    <t>206-21</t>
  </si>
  <si>
    <t>213-21</t>
  </si>
  <si>
    <t>215-21</t>
  </si>
  <si>
    <t>210-21</t>
  </si>
  <si>
    <t>836-21</t>
  </si>
  <si>
    <t>217-21</t>
  </si>
  <si>
    <t>212-21</t>
  </si>
  <si>
    <t>214-21</t>
  </si>
  <si>
    <t>219-21</t>
  </si>
  <si>
    <t>839-21</t>
  </si>
  <si>
    <t>838-21</t>
  </si>
  <si>
    <t>303-21</t>
  </si>
  <si>
    <t>221-21</t>
  </si>
  <si>
    <t>906-21</t>
  </si>
  <si>
    <t>218-21</t>
  </si>
  <si>
    <t>305-21</t>
  </si>
  <si>
    <t>220-21</t>
  </si>
  <si>
    <t>841-21</t>
  </si>
  <si>
    <t>223-21</t>
  </si>
  <si>
    <t>840-21</t>
  </si>
  <si>
    <t>307-21</t>
  </si>
  <si>
    <t>222-21</t>
  </si>
  <si>
    <t>225-21</t>
  </si>
  <si>
    <t>224-21</t>
  </si>
  <si>
    <t>842-21</t>
  </si>
  <si>
    <t>843-21</t>
  </si>
  <si>
    <t>227-21</t>
  </si>
  <si>
    <t>PUGH</t>
  </si>
  <si>
    <t>226-21</t>
  </si>
  <si>
    <t>63-21</t>
  </si>
  <si>
    <t>845-21</t>
  </si>
  <si>
    <t>231-21</t>
  </si>
  <si>
    <t>228-21</t>
  </si>
  <si>
    <t>844-21</t>
  </si>
  <si>
    <t>230-21</t>
  </si>
  <si>
    <t>233-21</t>
  </si>
  <si>
    <t>847-21</t>
  </si>
  <si>
    <t>232-21</t>
  </si>
  <si>
    <t>235-21</t>
  </si>
  <si>
    <t>908-21</t>
  </si>
  <si>
    <t>237-21</t>
  </si>
  <si>
    <t>239-21</t>
  </si>
  <si>
    <t>236-21</t>
  </si>
  <si>
    <t>238-21</t>
  </si>
  <si>
    <t>240-21</t>
  </si>
  <si>
    <t>243-21</t>
  </si>
  <si>
    <t>242-21</t>
  </si>
  <si>
    <t>245-21</t>
  </si>
  <si>
    <t>309-21</t>
  </si>
  <si>
    <t>244-21</t>
  </si>
  <si>
    <t>311-21</t>
  </si>
  <si>
    <t>246-21</t>
  </si>
  <si>
    <t>313-21</t>
  </si>
  <si>
    <t>partly-cloudy-day</t>
  </si>
  <si>
    <t>204:743</t>
  </si>
  <si>
    <t>204:233347</t>
  </si>
  <si>
    <t>204:232698</t>
  </si>
  <si>
    <t>204:732</t>
  </si>
  <si>
    <t>204:232666</t>
  </si>
  <si>
    <t>204:757</t>
  </si>
  <si>
    <t>204:232656</t>
  </si>
  <si>
    <t>204:389</t>
  </si>
  <si>
    <t>204:233291</t>
  </si>
  <si>
    <t>204:232971</t>
  </si>
  <si>
    <t>204:211</t>
  </si>
  <si>
    <t>204:232985</t>
  </si>
  <si>
    <t>204:746</t>
  </si>
  <si>
    <t>204:435</t>
  </si>
  <si>
    <t>204:233289</t>
  </si>
  <si>
    <t>204:750</t>
  </si>
  <si>
    <t>204:233240</t>
  </si>
  <si>
    <t>204:232919</t>
  </si>
  <si>
    <t>204:232959</t>
  </si>
  <si>
    <t>204:772</t>
  </si>
  <si>
    <t>204:232952</t>
  </si>
  <si>
    <t>204:489</t>
  </si>
  <si>
    <t>204:232976</t>
  </si>
  <si>
    <t>204:233332</t>
  </si>
  <si>
    <t>204:233001</t>
  </si>
  <si>
    <t>204:233004</t>
  </si>
  <si>
    <t>204:233305</t>
  </si>
  <si>
    <t>204:233322</t>
  </si>
  <si>
    <t>204:127768</t>
  </si>
  <si>
    <t>204:86353</t>
  </si>
  <si>
    <t>204:149921</t>
  </si>
  <si>
    <t>204:86352</t>
  </si>
  <si>
    <t>204:83172</t>
  </si>
  <si>
    <t>204:233005</t>
  </si>
  <si>
    <t>204:233298</t>
  </si>
  <si>
    <t>204:232972</t>
  </si>
  <si>
    <t>204:233253</t>
  </si>
  <si>
    <t>204:473</t>
  </si>
  <si>
    <t>204:442</t>
  </si>
  <si>
    <t>204:232965</t>
  </si>
  <si>
    <t>204:20757</t>
  </si>
  <si>
    <t>204:233307</t>
  </si>
  <si>
    <t>204:233346</t>
  </si>
  <si>
    <t>204:233028</t>
  </si>
  <si>
    <t>204:478</t>
  </si>
  <si>
    <t>204:233341</t>
  </si>
  <si>
    <t>204:233009</t>
  </si>
  <si>
    <t>204:232982</t>
  </si>
  <si>
    <t>204:232660</t>
  </si>
  <si>
    <t>204:225</t>
  </si>
  <si>
    <t>204:232894</t>
  </si>
  <si>
    <t>204:233204</t>
  </si>
  <si>
    <t>204:1177</t>
  </si>
  <si>
    <t>204:854</t>
  </si>
  <si>
    <t>204:520</t>
  </si>
  <si>
    <t>204:233368</t>
  </si>
  <si>
    <t>204:233266</t>
  </si>
  <si>
    <t>204:232936</t>
  </si>
  <si>
    <t>204:233324</t>
  </si>
  <si>
    <t>204:429</t>
  </si>
  <si>
    <t>204:232945</t>
  </si>
  <si>
    <t>204:132</t>
  </si>
  <si>
    <t>204:945</t>
  </si>
  <si>
    <t>204:232963</t>
  </si>
  <si>
    <t>204:233364</t>
  </si>
  <si>
    <t>204:233057</t>
  </si>
  <si>
    <t>204:921</t>
  </si>
  <si>
    <t>204:233288</t>
  </si>
  <si>
    <t>204:233323</t>
  </si>
  <si>
    <t>204:978</t>
  </si>
  <si>
    <t>204:232969</t>
  </si>
  <si>
    <t>204:233344</t>
  </si>
  <si>
    <t>204:170</t>
  </si>
  <si>
    <t>204:233286</t>
  </si>
  <si>
    <t>204:233306</t>
  </si>
  <si>
    <t>204:232962</t>
  </si>
  <si>
    <t>204:233287</t>
  </si>
  <si>
    <t>204:1203</t>
  </si>
  <si>
    <t>204:1253</t>
  </si>
  <si>
    <t>300:23302</t>
  </si>
  <si>
    <t>300:23247</t>
  </si>
  <si>
    <t>204:1236</t>
  </si>
  <si>
    <t>300:23316</t>
  </si>
  <si>
    <t>300:14400</t>
  </si>
  <si>
    <t>204:1292</t>
  </si>
  <si>
    <t>300:23085</t>
  </si>
  <si>
    <t>300:23673</t>
  </si>
  <si>
    <t>300:22265</t>
  </si>
  <si>
    <t>300:22195</t>
  </si>
  <si>
    <t>204:90</t>
  </si>
  <si>
    <t>300:23576</t>
  </si>
  <si>
    <t>204:93</t>
  </si>
  <si>
    <t>204:385</t>
  </si>
  <si>
    <t>300:24224</t>
  </si>
  <si>
    <t>300:23193</t>
  </si>
  <si>
    <t>204:1840</t>
  </si>
  <si>
    <t>204:388</t>
  </si>
  <si>
    <t>300:23306</t>
  </si>
  <si>
    <t>204:233046</t>
  </si>
  <si>
    <t>204:1201</t>
  </si>
  <si>
    <t>204:1496</t>
  </si>
  <si>
    <t>204:1926</t>
  </si>
  <si>
    <t>300:58645</t>
  </si>
  <si>
    <t>204:736</t>
  </si>
  <si>
    <t>204:1058</t>
  </si>
  <si>
    <t>204:741</t>
  </si>
  <si>
    <t>300:58920</t>
  </si>
  <si>
    <t>300:58602</t>
  </si>
  <si>
    <t>300:58941</t>
  </si>
  <si>
    <t>204:699</t>
  </si>
  <si>
    <t>204:1030</t>
  </si>
  <si>
    <t>204:857</t>
  </si>
  <si>
    <t>204:1004</t>
  </si>
  <si>
    <t>300:58621</t>
  </si>
  <si>
    <t>204:1153</t>
  </si>
  <si>
    <t>204:720</t>
  </si>
  <si>
    <t>204:1025</t>
  </si>
  <si>
    <t>300:58922</t>
  </si>
  <si>
    <t>204:1021</t>
  </si>
  <si>
    <t>204:1447</t>
  </si>
  <si>
    <t>300:13527</t>
  </si>
  <si>
    <t>300:13751</t>
  </si>
  <si>
    <t>204:731</t>
  </si>
  <si>
    <t>204:1042</t>
  </si>
  <si>
    <t>300:58598</t>
  </si>
  <si>
    <t>204:766</t>
  </si>
  <si>
    <t>204:1072</t>
  </si>
  <si>
    <t>300:57339</t>
  </si>
  <si>
    <t>204:759</t>
  </si>
  <si>
    <t>204:1053</t>
  </si>
  <si>
    <t>204:944</t>
  </si>
  <si>
    <t>204:633</t>
  </si>
  <si>
    <t>204:1046</t>
  </si>
  <si>
    <t>300:26514</t>
  </si>
  <si>
    <t>204:4510</t>
  </si>
  <si>
    <t>300:27336</t>
  </si>
  <si>
    <t>204:992</t>
  </si>
  <si>
    <t>300:58916</t>
  </si>
  <si>
    <t>204:761</t>
  </si>
  <si>
    <t>204:783</t>
  </si>
  <si>
    <t>204:745</t>
  </si>
  <si>
    <t>204:1062</t>
  </si>
  <si>
    <t>204:748</t>
  </si>
  <si>
    <t>204:1037</t>
  </si>
  <si>
    <t>204:1044</t>
  </si>
  <si>
    <t>300:30527</t>
  </si>
  <si>
    <t>300:58958</t>
  </si>
  <si>
    <t>300:22713</t>
  </si>
  <si>
    <t>300:24254</t>
  </si>
  <si>
    <t>300:23368</t>
  </si>
  <si>
    <t>204:675</t>
  </si>
  <si>
    <t>300:28797</t>
  </si>
  <si>
    <t>300:21664</t>
  </si>
  <si>
    <t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t>
  </si>
  <si>
    <t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t>
  </si>
  <si>
    <t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t>
  </si>
  <si>
    <t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t>
  </si>
  <si>
    <t>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 &amp; 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</t>
  </si>
  <si>
    <t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t>
  </si>
  <si>
    <t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t>
  </si>
  <si>
    <t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t>
  </si>
  <si>
    <t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t>
  </si>
  <si>
    <t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t>
  </si>
  <si>
    <t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t>
  </si>
  <si>
    <t>CP 40th ELXS failure</t>
  </si>
  <si>
    <t>Wi-MAX outage</t>
  </si>
  <si>
    <t>Went active too close to signal</t>
  </si>
  <si>
    <t>Premature downgrade at CRMFN 2S</t>
  </si>
  <si>
    <t>Early arrival</t>
  </si>
  <si>
    <t>http://stevetu21.github.io/eaglep3/load_kml.html?kml=http://rtdc.gmaps-snips.s3.amazonaws.com/ac80d2cc-a0d2-4a9c-a7d4-7b6aea5e2835.kml</t>
  </si>
  <si>
    <t>40th 4S STOP, cleared afterward</t>
  </si>
  <si>
    <t>CP 40th failed around 201610-21 08:30, went to Standby unit</t>
  </si>
  <si>
    <t>61st 2N STOP, cleared afterward</t>
  </si>
  <si>
    <t>At 17:47:43, NW0301RH (CRMF NORTH) Signal 2S dropped from PROCEED CAB to STOP, seems like this was unexpected and led to an enforcement. Any oddities in this timeframe?</t>
  </si>
  <si>
    <t>At 18:00:34, DU0031WCPM1 (DUS GL) Signal 28S dropped from PROCEED CAB to STOP, seems like this was unexpected and led to an enforcement. Any oddities in this timeframe?</t>
  </si>
  <si>
    <t>Premature downgrade at DUS Signal 28S</t>
  </si>
  <si>
    <t>Departure test buttons not available</t>
  </si>
  <si>
    <t>173-21</t>
  </si>
  <si>
    <t>182-21</t>
  </si>
  <si>
    <t>183-21</t>
  </si>
  <si>
    <t>Did not init</t>
  </si>
  <si>
    <t>186-21</t>
  </si>
  <si>
    <t>190-21</t>
  </si>
  <si>
    <t>SYS :2016/10/21 20:27:55.909:SYSTEM_STATE:system state changed [sysINITIALIZING]-&gt;[sysCUT_OUT] [departure test failure] - from the looks of it, the user canceled the departure test because the Depart Test button wasn't available</t>
  </si>
  <si>
    <t>Wi-MAX outage prevented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</si>
</sst>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c80d2cc-a0d2-4a9c-a7d4-7b6aea5e2835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1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42664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COUNTIFS($N$13:$N$9414,"&gt;0",$AG$13:$AG$9414,I1)</f>
        <v>137</v>
      </c>
      <c r="K5" s="44"/>
      <c r="L5" s="44"/>
      <c r="M5" s="45">
        <f>AVERAGEIFS($N$13:$N$9414,$AG$13:$AG$9414,I1)</f>
        <v>39.235766423121774</v>
      </c>
      <c r="N5" s="43">
        <f t="array" ref="N5">MIN(IF($AG$13:$AG$9414=I1,IF(ISNUMBER($N$13:$N$9414),IF($N$13:$N$9414&gt;0,$N$13:$N$9414))))</f>
        <v>34.883333336329088</v>
      </c>
      <c r="O5" s="3">
        <f t="array" ref="O5">MAX(IF($AG$13:$AG$9414=I1,IF(ISNUMBER($N$13:$N$9414),IF($N$13:$N$9414&gt;0,$N$13:$N$9414))))</f>
        <v>51.866666668793187</v>
      </c>
      <c r="P5" s="2"/>
      <c r="R5" s="80" t="s">
        <v>17</v>
      </c>
      <c r="S5" s="55">
        <f>COUNTIFS($N$13:$N$9414,"&gt;0",$AG$13:$AG$9414,R1)</f>
        <v>45</v>
      </c>
      <c r="T5" s="44"/>
      <c r="U5" s="175"/>
      <c r="V5" s="45">
        <f>AVERAGEIFS($N$13:$N$9414,$AG$13:$AG$9414,R1)</f>
        <v>15.121111111249775</v>
      </c>
      <c r="W5" s="43">
        <f t="array" ref="W5">MIN(IF($AG$13:$AG$9414=R1,IF(ISNUMBER($N$13:$N$9414),IF($N$13:$N$9414&gt;0,$N$13:$N$9414))))</f>
        <v>12.616666671819985</v>
      </c>
      <c r="X5" s="167">
        <f t="array" ref="X5">MAX(IF($AG$13:$AG$9414=R1,IF(ISNUMBER($N$13:$N$9414),IF($N$13:$N$9414&gt;0,$N$13:$N$9414))))</f>
        <v>19.416666668839753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COUNT($O$13:$O$184)</f>
        <v>0</v>
      </c>
      <c r="K6" s="44"/>
      <c r="L6" s="44"/>
      <c r="M6" s="45">
        <f>IFERROR(AVERAGE($O$13:$O$184),0)</f>
        <v>0</v>
      </c>
      <c r="N6" s="43">
        <f>MIN($O$13:$O$184)</f>
        <v>0</v>
      </c>
      <c r="O6" s="3">
        <f>MAX($O$13:$O$184)</f>
        <v>0</v>
      </c>
      <c r="P6" s="2"/>
      <c r="R6" s="81" t="s">
        <v>43</v>
      </c>
      <c r="S6" s="55">
        <f>COUNT($O$13:$O$184)</f>
        <v>0</v>
      </c>
      <c r="T6" s="44"/>
      <c r="U6" s="175"/>
      <c r="V6" s="45">
        <f>IFERROR(AVERAGE($O$13:$O$184),0)</f>
        <v>0</v>
      </c>
      <c r="W6" s="43">
        <f>MIN($O$13:$O$184)</f>
        <v>0</v>
      </c>
      <c r="X6" s="167">
        <f>MAX($O$13:$O$184)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COUNTIFS($P$13:$P$9414,"&gt;0",$AG$13:$AG$9414,I1)</f>
        <v>9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COUNTIFS($P$13:$P$9414,"&gt;0",$AG$13:$AG$9414,R1)</f>
        <v>2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39.235766423121774</v>
      </c>
      <c r="N8" s="43">
        <f>N5</f>
        <v>34.883333336329088</v>
      </c>
      <c r="O8" s="3">
        <f>O5</f>
        <v>51.866666668793187</v>
      </c>
      <c r="P8" s="2"/>
      <c r="R8" s="80" t="s">
        <v>16</v>
      </c>
      <c r="S8" s="55">
        <f>S5</f>
        <v>45</v>
      </c>
      <c r="T8" s="44"/>
      <c r="U8" s="175"/>
      <c r="V8" s="45">
        <f>V5</f>
        <v>15.121111111249775</v>
      </c>
      <c r="W8" s="43">
        <f>W5</f>
        <v>12.616666671819985</v>
      </c>
      <c r="X8" s="167">
        <f>X5</f>
        <v>19.416666668839753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0.93835616438356162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0.95744680851063835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- 2016-10-21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AVERAGE(S13:S118)</f>
        <v>0.94070512820512819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438</v>
      </c>
      <c r="B13" s="7">
        <v>4014</v>
      </c>
      <c r="C13" s="22" t="s">
        <v>99</v>
      </c>
      <c r="D13" s="22" t="s">
        <v>620</v>
      </c>
      <c r="E13" s="13">
        <v>42664.13795138889</v>
      </c>
      <c r="F13" s="13">
        <v>42664.140370370369</v>
      </c>
      <c r="G13" s="7">
        <v>2</v>
      </c>
      <c r="H13" s="13" t="s">
        <v>621</v>
      </c>
      <c r="I13" s="13">
        <v>42664.167199074072</v>
      </c>
      <c r="J13" s="7">
        <v>0</v>
      </c>
      <c r="K13" s="112" t="str">
        <f t="shared" ref="K13:K75" si="0">IF(ISEVEN(B13),(B13-1)&amp;"/"&amp;B13,B13&amp;"/"&amp;(B13+1))</f>
        <v>4013/4014</v>
      </c>
      <c r="L13" s="22" t="str">
        <f>VLOOKUP(A13,'Trips&amp;Operators'!$C$1:$E$10000,3,FALSE)</f>
        <v>MAELZER</v>
      </c>
      <c r="M13" s="6">
        <f t="shared" ref="M13:M75" si="1">I13-F13</f>
        <v>2.6828703703358769E-2</v>
      </c>
      <c r="N13" s="7">
        <f t="shared" ref="N13:P75" si="2">24*60*SUM($M13:$M13)</f>
        <v>38.633333332836628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5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https://search-rtdc-monitor-bjffxe2xuh6vdkpspy63sjmuny.us-east-1.es.amazonaws.com/_plugin/kibana/#/discover/Steve-Slow-Train-Analysis-(2080s-and-2083s)?_g=(refreshInterval:(display:Off,section:0,value:0),time:(from:'2016-10-21 02:18:39-0600',mode:absolute,to:'2016-10-21 05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75" si="6">IF(AA13&lt;IF(AG13="EC",23,5.65),"Y","N")</f>
        <v>N</v>
      </c>
      <c r="X13" s="171" t="e">
        <f t="shared" ref="X13:X75" si="7">VALUE(LEFT(AD13,4))-VALUE(LEFT(AD12,4))</f>
        <v>#VALUE!</v>
      </c>
      <c r="Y13" s="67">
        <f t="shared" ref="Y13:Y75" si="8">RIGHT(D13,LEN(D13)-4)/10000</f>
        <v>7.4300000000000005E-2</v>
      </c>
      <c r="Z13" s="67">
        <f t="shared" ref="Z13:Z75" si="9">RIGHT(H13,LEN(H13)-4)/10000</f>
        <v>23.334700000000002</v>
      </c>
      <c r="AA13" s="67">
        <f t="shared" ref="AA13:AA75" si="10">ABS(Z13-Y13)</f>
        <v>23.260400000000001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0101-21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/stypes="app*4014*20161021*" /stext=" 10:.+((SYSTEM_STATE.+slice.+state.+changed )|(ment ac)|(system.+state.+changed )|(\[timeout)|(PRM\|1\|D)|(kpr)|(kdp)|(\|lc)|(penalty))"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4014 --swversion DE.1.0.7.0 --startMP 204:743 --initTime 2016-10-21T03:18:39 --startdatetime 2016-10-21T03:22:08 --delay 2 --endMP 204:233347 --enddatetime 2016-10-21T04:00:46 --enforcementcount 0 &gt;&gt;C:\Users\stu\Documents\GitHub\eaglep3-reporting\EC\2016-10-21-refined-times.txt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{"issue":{"subject":"","project_id":79,"tracker_id":40,"status_id":1,"priority_id":2,"assigned_to_id":23,"start_date":"2016-10-21","description":"","custom_fields":[{"id":1,"name":"Subdivision","value":"EC"},{"id":4,"name":"Milepost","value":"23.3347"},{"id":17,"name":"Train ID","value":"101-21"},{"id":16,"name":"Locomotive ID","value":"4014"},{"id":130,"name":"Impact","value":""},{"id":150,"name":"Time of Event (Mountain Time)","value":"04:00:46"},{"id":151,"name":"Denver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443</v>
      </c>
      <c r="B14" s="7">
        <v>4010</v>
      </c>
      <c r="C14" s="22" t="s">
        <v>99</v>
      </c>
      <c r="D14" s="22" t="s">
        <v>622</v>
      </c>
      <c r="E14" s="13">
        <v>42664.172118055554</v>
      </c>
      <c r="F14" s="13">
        <v>42664.17459490741</v>
      </c>
      <c r="G14" s="7">
        <v>1</v>
      </c>
      <c r="H14" s="13" t="s">
        <v>233</v>
      </c>
      <c r="I14" s="13">
        <v>42664.202800925923</v>
      </c>
      <c r="J14" s="7">
        <v>0</v>
      </c>
      <c r="K14" s="112" t="str">
        <f t="shared" si="0"/>
        <v>4009/4010</v>
      </c>
      <c r="L14" s="22" t="str">
        <f>VLOOKUP(A14,'Trips&amp;Operators'!$C$1:$E$10000,3,FALSE)</f>
        <v>MAELZER</v>
      </c>
      <c r="M14" s="6">
        <f t="shared" si="1"/>
        <v>2.8206018512719311E-2</v>
      </c>
      <c r="N14" s="7">
        <f t="shared" si="2"/>
        <v>40.616666658315808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03:07:51-0600',mode:absolute,to:'2016-10-21 05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23.2698</v>
      </c>
      <c r="Z14" s="67">
        <f t="shared" si="9"/>
        <v>1.34E-2</v>
      </c>
      <c r="AA14" s="67">
        <f t="shared" si="10"/>
        <v>23.256399999999999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0102-21</v>
      </c>
      <c r="AE14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4" s="88" t="str">
        <f t="shared" si="13"/>
        <v>"C:\Program Files (x86)\AstroGrep\AstroGrep.exe" /spath="%USERPROFILE%\AppData\Local\Temp\OnboardLogs" /stypes="app*4010*20161021*"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4010 --swversion DE.1.0.7.0 --startMP 204:232698 --initTime 2016-10-21T04:07:51 --startdatetime 2016-10-21T04:11:25 --delay 1 --endMP 204:134 --enddatetime 2016-10-21T04:52:02 --enforcementcount 0 &gt;&gt;C:\Users\stu\Documents\GitHub\eaglep3-reporting\EC\2016-10-21-refined-times.txt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{"issue":{"subject":"","project_id":79,"tracker_id":40,"status_id":1,"priority_id":2,"assigned_to_id":23,"start_date":"2016-10-21","description":"","custom_fields":[{"id":1,"name":"Subdivision","value":"EC"},{"id":4,"name":"Milepost","value":"0.0134"},{"id":17,"name":"Train ID","value":"102-21"},{"id":16,"name":"Locomotive ID","value":"4010"},{"id":130,"name":"Impact","value":""},{"id":150,"name":"Time of Event (Mountain Time)","value":"04:52:02"},{"id":151,"name":"Denver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440</v>
      </c>
      <c r="B15" s="7">
        <v>4016</v>
      </c>
      <c r="C15" s="22" t="s">
        <v>99</v>
      </c>
      <c r="D15" s="22" t="s">
        <v>623</v>
      </c>
      <c r="E15" s="13">
        <v>42664.15415509259</v>
      </c>
      <c r="F15" s="13">
        <v>42664.157025462962</v>
      </c>
      <c r="G15" s="7">
        <v>1</v>
      </c>
      <c r="H15" s="13" t="s">
        <v>333</v>
      </c>
      <c r="I15" s="13">
        <v>42664.183935185189</v>
      </c>
      <c r="J15" s="7">
        <v>0</v>
      </c>
      <c r="K15" s="112" t="str">
        <f t="shared" si="0"/>
        <v>4015/4016</v>
      </c>
      <c r="L15" s="22" t="str">
        <f>VLOOKUP(A15,'Trips&amp;Operators'!$C$1:$E$10000,3,FALSE)</f>
        <v>DAVIS</v>
      </c>
      <c r="M15" s="6">
        <f t="shared" si="1"/>
        <v>2.6909722226264421E-2</v>
      </c>
      <c r="N15" s="7">
        <f t="shared" si="2"/>
        <v>38.750000005820766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02:41:59-0600',mode:absolute,to:'2016-10-21 05:24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7.3200000000000001E-2</v>
      </c>
      <c r="Z15" s="67">
        <f t="shared" si="9"/>
        <v>23.331</v>
      </c>
      <c r="AA15" s="67">
        <f t="shared" si="10"/>
        <v>23.2578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0103-21</v>
      </c>
      <c r="AE15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5" s="88" t="str">
        <f t="shared" si="13"/>
        <v>"C:\Program Files (x86)\AstroGrep\AstroGrep.exe" /spath="%USERPROFILE%\AppData\Local\Temp\OnboardLogs" /stypes="app*4016*20161021*"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103-21 --locoid 4016 --swversion DE.1.0.7.0 --startMP 204:732 --initTime 2016-10-21T03:41:59 --startdatetime 2016-10-21T03:46:07 --delay 1 --endMP 204:233310 --enddatetime 2016-10-21T04:24:52 --enforcementcount 0 &gt;&gt;C:\Users\stu\Documents\GitHub\eaglep3-reporting\EC\2016-10-21-refined-times.txt</v>
      </c>
      <c r="AI1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ID","value":"103-21"},{"id":16,"name":"Locomotive ID","value":"4016"},{"id":130,"name":"Impact","value":""},{"id":150,"name":"Time of Event (Mountain Time)","value":"04:24:52"},{"id":151,"name":"Denver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449</v>
      </c>
      <c r="B16" s="7">
        <v>4041</v>
      </c>
      <c r="C16" s="22" t="s">
        <v>99</v>
      </c>
      <c r="D16" s="22" t="s">
        <v>624</v>
      </c>
      <c r="E16" s="13">
        <v>42664.188333333332</v>
      </c>
      <c r="F16" s="13">
        <v>42664.195335648146</v>
      </c>
      <c r="G16" s="7">
        <v>0</v>
      </c>
      <c r="H16" s="13" t="s">
        <v>273</v>
      </c>
      <c r="I16" s="13">
        <v>42664.224247685182</v>
      </c>
      <c r="J16" s="7">
        <v>0</v>
      </c>
      <c r="K16" s="112" t="str">
        <f t="shared" si="0"/>
        <v>4041/4042</v>
      </c>
      <c r="L16" s="22" t="str">
        <f>VLOOKUP(A16,'Trips&amp;Operators'!$C$1:$E$10000,3,FALSE)</f>
        <v>DAVIS</v>
      </c>
      <c r="M16" s="6">
        <f t="shared" si="1"/>
        <v>2.8912037036207039E-2</v>
      </c>
      <c r="N16" s="7">
        <f t="shared" si="2"/>
        <v>41.633333332138136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03:31:12-0600',mode:absolute,to:'2016-10-21 06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23.2666</v>
      </c>
      <c r="Z16" s="67">
        <f t="shared" si="9"/>
        <v>1.3899999999999999E-2</v>
      </c>
      <c r="AA16" s="67">
        <f t="shared" si="10"/>
        <v>23.252700000000001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0104-21</v>
      </c>
      <c r="AE16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6" s="88" t="str">
        <f t="shared" si="13"/>
        <v>"C:\Program Files (x86)\AstroGrep\AstroGrep.exe" /spath="%USERPROFILE%\AppData\Local\Temp\OnboardLogs" /stypes="app*4041*20161021*"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104-21 --locoid 4041 --swversion DE.1.0.7.0 --startMP 204:232666 --initTime 2016-10-21T04:31:12 --startdatetime 2016-10-21T04:41:17 --delay 0 --endMP 204:139 --enddatetime 2016-10-21T05:22:55 --enforcementcount 0 &gt;&gt;C:\Users\stu\Documents\GitHub\eaglep3-reporting\EC\2016-10-21-refined-times.txt</v>
      </c>
      <c r="AI1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ID","value":"104-21"},{"id":16,"name":"Locomotive ID","value":"4041"},{"id":130,"name":"Impact","value":""},{"id":150,"name":"Time of Event (Mountain Time)","value":"05:22:55"},{"id":151,"name":"Denver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444</v>
      </c>
      <c r="B17" s="7">
        <v>4027</v>
      </c>
      <c r="C17" s="22" t="s">
        <v>99</v>
      </c>
      <c r="D17" s="22" t="s">
        <v>625</v>
      </c>
      <c r="E17" s="13">
        <v>42664.175925925927</v>
      </c>
      <c r="F17" s="13">
        <v>42664.177361111113</v>
      </c>
      <c r="G17" s="7">
        <v>1</v>
      </c>
      <c r="H17" s="13" t="s">
        <v>230</v>
      </c>
      <c r="I17" s="13">
        <v>42664.202928240738</v>
      </c>
      <c r="J17" s="7">
        <v>0</v>
      </c>
      <c r="K17" s="112" t="str">
        <f t="shared" si="0"/>
        <v>4027/4028</v>
      </c>
      <c r="L17" s="22" t="str">
        <f>VLOOKUP(A17,'Trips&amp;Operators'!$C$1:$E$10000,3,FALSE)</f>
        <v>MALAVE</v>
      </c>
      <c r="M17" s="6">
        <f t="shared" si="1"/>
        <v>2.5567129625414964E-2</v>
      </c>
      <c r="N17" s="7">
        <f t="shared" si="2"/>
        <v>36.816666660597548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03:13:20-0600',mode:absolute,to:'2016-10-21 05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7.5700000000000003E-2</v>
      </c>
      <c r="Z17" s="67">
        <f t="shared" si="9"/>
        <v>23.33</v>
      </c>
      <c r="AA17" s="67">
        <f t="shared" si="10"/>
        <v>23.254299999999997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0105-21</v>
      </c>
      <c r="AE17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7" s="88" t="str">
        <f t="shared" si="13"/>
        <v>"C:\Program Files (x86)\AstroGrep\AstroGrep.exe" /spath="%USERPROFILE%\AppData\Local\Temp\OnboardLogs" /stypes="app*4027*20161021*"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105-21 --locoid 4027 --swversion DE.1.0.7.0 --startMP 204:757 --initTime 2016-10-21T04:13:20 --startdatetime 2016-10-21T04:15:24 --delay 1 --endMP 204:233300 --enddatetime 2016-10-21T04:52:13 --enforcementcount 0 &gt;&gt;C:\Users\stu\Documents\GitHub\eaglep3-reporting\EC\2016-10-21-refined-times.txt</v>
      </c>
      <c r="AI1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{"issue":{"subject":"","project_id":79,"tracker_id":40,"status_id":1,"priority_id":2,"assigned_to_id":23,"start_date":"2016-10-21","description":"","custom_fields":[{"id":1,"name":"Subdivision","value":"EC"},{"id":4,"name":"Milepost","value":"23.33"},{"id":17,"name":"Train ID","value":"105-21"},{"id":16,"name":"Locomotive ID","value":"4027"},{"id":130,"name":"Impact","value":""},{"id":150,"name":"Time of Event (Mountain Time)","value":"04:52:13"},{"id":151,"name":"Denver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398</v>
      </c>
      <c r="B18" s="7">
        <v>4054</v>
      </c>
      <c r="C18" s="22" t="s">
        <v>99</v>
      </c>
      <c r="D18" s="22" t="s">
        <v>626</v>
      </c>
      <c r="E18" s="13">
        <v>42664.212071759262</v>
      </c>
      <c r="F18" s="13">
        <v>42664.216296296298</v>
      </c>
      <c r="G18" s="7">
        <v>5</v>
      </c>
      <c r="H18" s="13" t="s">
        <v>356</v>
      </c>
      <c r="I18" s="13">
        <v>42664.243194444447</v>
      </c>
      <c r="J18" s="7">
        <v>0</v>
      </c>
      <c r="K18" s="112" t="str">
        <f t="shared" si="0"/>
        <v>4053/4054</v>
      </c>
      <c r="L18" s="22" t="str">
        <f>VLOOKUP(A18,'Trips&amp;Operators'!$C$1:$E$10000,3,FALSE)</f>
        <v>MALAVE</v>
      </c>
      <c r="M18" s="6">
        <f t="shared" si="1"/>
        <v>2.6898148149484769E-2</v>
      </c>
      <c r="N18" s="7">
        <f t="shared" si="2"/>
        <v>38.733333335258067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04:05:23-0600',mode:absolute,to:'2016-10-21 06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23.265599999999999</v>
      </c>
      <c r="Z18" s="67">
        <f t="shared" si="9"/>
        <v>1.6299999999999999E-2</v>
      </c>
      <c r="AA18" s="67">
        <f t="shared" si="10"/>
        <v>23.249299999999998</v>
      </c>
      <c r="AB18" s="64" t="str">
        <f>VLOOKUP(A18,Enforcements!$C$7:$K$21,8,0)</f>
        <v>Speed (6)</v>
      </c>
      <c r="AC18" s="60" t="str">
        <f>VLOOKUP(A18,Enforcements!$C$7:$E$21,3,0)</f>
        <v>PERMANENT SPEED RESTRICTION</v>
      </c>
      <c r="AD18" s="61" t="str">
        <f t="shared" si="11"/>
        <v>0106-21</v>
      </c>
      <c r="AE18" s="91" t="str">
        <f t="shared" si="12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8" s="88" t="str">
        <f t="shared" si="13"/>
        <v>"C:\Program Files (x86)\AstroGrep\AstroGrep.exe" /spath="%USERPROFILE%\AppData\Local\Temp\OnboardLogs" /stypes="app*4054*20161021*"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106-21 --locoid 4054 --swversion DE.1.0.7.0 --startMP 204:232656 --initTime 2016-10-21T05:05:23 --startdatetime 2016-10-21T05:11:28 --delay 5 --endMP 204:163 --enddatetime 2016-10-21T05:50:12 --enforcementcount 0 &gt;&gt;C:\Users\stu\Documents\GitHub\eaglep3-reporting\EC\2016-10-21-refined-times.txt</v>
      </c>
      <c r="AI1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ID","value":"106-21"},{"id":16,"name":"Locomotive ID","value":"4054"},{"id":130,"name":"Impact","value":""},{"id":150,"name":"Time of Event (Mountain Time)","value":"05:50:12"},{"id":151,"name":"Denver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447</v>
      </c>
      <c r="B19" s="7">
        <v>4018</v>
      </c>
      <c r="C19" s="22" t="s">
        <v>99</v>
      </c>
      <c r="D19" s="22" t="s">
        <v>627</v>
      </c>
      <c r="E19" s="13">
        <v>42664.185543981483</v>
      </c>
      <c r="F19" s="13">
        <v>42664.1877662037</v>
      </c>
      <c r="G19" s="7">
        <v>1</v>
      </c>
      <c r="H19" s="13" t="s">
        <v>628</v>
      </c>
      <c r="I19" s="13">
        <v>42664.212569444448</v>
      </c>
      <c r="J19" s="7">
        <v>0</v>
      </c>
      <c r="K19" s="112" t="str">
        <f t="shared" si="0"/>
        <v>4017/4018</v>
      </c>
      <c r="L19" s="22" t="str">
        <f>VLOOKUP(A19,'Trips&amp;Operators'!$C$1:$E$10000,3,FALSE)</f>
        <v>GRASTON</v>
      </c>
      <c r="M19" s="6">
        <f t="shared" si="1"/>
        <v>2.4803240747132804E-2</v>
      </c>
      <c r="N19" s="7">
        <f t="shared" si="2"/>
        <v>35.716666675871238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03:27:11-0600',mode:absolute,to:'2016-10-21 06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3.8899999999999997E-2</v>
      </c>
      <c r="Z19" s="67">
        <f t="shared" si="9"/>
        <v>23.3291</v>
      </c>
      <c r="AA19" s="67">
        <f t="shared" si="10"/>
        <v>23.290199999999999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0107-21</v>
      </c>
      <c r="AE19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19" s="88" t="str">
        <f t="shared" si="13"/>
        <v>"C:\Program Files (x86)\AstroGrep\AstroGrep.exe" /spath="%USERPROFILE%\AppData\Local\Temp\OnboardLogs" /stypes="app*4018*20161021*"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107-21 --locoid 4018 --swversion DE.1.0.7.0 --startMP 204:389 --initTime 2016-10-21T04:27:11 --startdatetime 2016-10-21T04:30:23 --delay 1 --endMP 204:233291 --enddatetime 2016-10-21T05:06:06 --enforcementcount 0 &gt;&gt;C:\Users\stu\Documents\GitHub\eaglep3-reporting\EC\2016-10-21-refined-times.txt</v>
      </c>
      <c r="AI1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ID","value":"107-21"},{"id":16,"name":"Locomotive ID","value":"4018"},{"id":130,"name":"Impact","value":""},{"id":150,"name":"Time of Event (Mountain Time)","value":"05:06:06"},{"id":151,"name":"Denver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397</v>
      </c>
      <c r="B20" s="7">
        <v>4017</v>
      </c>
      <c r="C20" s="22" t="s">
        <v>99</v>
      </c>
      <c r="D20" s="22" t="s">
        <v>629</v>
      </c>
      <c r="E20" s="13">
        <v>42664.217002314814</v>
      </c>
      <c r="F20" s="13">
        <v>42664.226898148147</v>
      </c>
      <c r="G20" s="7">
        <v>1</v>
      </c>
      <c r="H20" s="13" t="s">
        <v>630</v>
      </c>
      <c r="I20" s="13">
        <v>42664.255949074075</v>
      </c>
      <c r="J20" s="7">
        <v>0</v>
      </c>
      <c r="K20" s="112" t="str">
        <f t="shared" si="0"/>
        <v>4017/4018</v>
      </c>
      <c r="L20" s="22" t="str">
        <f>VLOOKUP(A20,'Trips&amp;Operators'!$C$1:$E$10000,3,FALSE)</f>
        <v>SANTIZO</v>
      </c>
      <c r="M20" s="6">
        <f t="shared" si="1"/>
        <v>2.9050925928459037E-2</v>
      </c>
      <c r="N20" s="7">
        <f t="shared" si="2"/>
        <v>41.833333336981013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23.2971</v>
      </c>
      <c r="Z20" s="67">
        <f t="shared" si="9"/>
        <v>2.1100000000000001E-2</v>
      </c>
      <c r="AA20" s="67">
        <f t="shared" si="10"/>
        <v>23.276</v>
      </c>
      <c r="AB20" s="64" t="str">
        <f>VLOOKUP(A20,Enforcements!$C$7:$K$21,8,0)</f>
        <v>Speed (6)</v>
      </c>
      <c r="AC20" s="60" t="str">
        <f>VLOOKUP(A20,Enforcements!$C$7:$E$21,3,0)</f>
        <v>PERMANENT SPEED RESTRICTION</v>
      </c>
      <c r="AD20" s="61" t="str">
        <f t="shared" si="11"/>
        <v>0108-21</v>
      </c>
      <c r="AE20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20" s="88" t="str">
        <f t="shared" si="13"/>
        <v>"C:\Program Files (x86)\AstroGrep\AstroGrep.exe" /spath="%USERPROFILE%\AppData\Local\Temp\OnboardLogs" /stypes="app*4017*20161021*"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108-21 --locoid 4017 --swversion DE.1.0.7.0 --startMP 204:232971 --initTime 2016-10-21T05:12:29 --startdatetime 2016-10-21T05:26:44 --delay 1 --endMP 204:211 --enddatetime 2016-10-21T06:08:34 --enforcementcount 0 &gt;&gt;C:\Users\stu\Documents\GitHub\eaglep3-reporting\EC\2016-10-21-refined-times.txt</v>
      </c>
      <c r="AI2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{"issue":{"subject":"","project_id":79,"tracker_id":40,"status_id":1,"priority_id":2,"assigned_to_id":23,"start_date":"2016-10-21","description":"","custom_fields":[{"id":1,"name":"Subdivision","value":"EC"},{"id":4,"name":"Milepost","value":"0.0211"},{"id":17,"name":"Train ID","value":"108-21"},{"id":16,"name":"Locomotive ID","value":"4017"},{"id":130,"name":"Impact","value":""},{"id":150,"name":"Time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450</v>
      </c>
      <c r="B21" s="7">
        <v>4038</v>
      </c>
      <c r="C21" s="22" t="s">
        <v>99</v>
      </c>
      <c r="D21" s="22" t="s">
        <v>237</v>
      </c>
      <c r="E21" s="13">
        <v>42664.192766203705</v>
      </c>
      <c r="F21" s="13">
        <v>42664.198206018518</v>
      </c>
      <c r="G21" s="7">
        <v>1</v>
      </c>
      <c r="H21" s="13" t="s">
        <v>276</v>
      </c>
      <c r="I21" s="13">
        <v>42664.223298611112</v>
      </c>
      <c r="J21" s="7">
        <v>0</v>
      </c>
      <c r="K21" s="112" t="str">
        <f t="shared" si="0"/>
        <v>4037/4038</v>
      </c>
      <c r="L21" s="22" t="str">
        <f>VLOOKUP(A21,'Trips&amp;Operators'!$C$1:$E$10000,3,FALSE)</f>
        <v>GEBRETEKLE</v>
      </c>
      <c r="M21" s="6">
        <f t="shared" si="1"/>
        <v>2.5092592593864538E-2</v>
      </c>
      <c r="N21" s="7">
        <f t="shared" si="2"/>
        <v>36.133333335164934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03:37:35-0600',mode:absolute,to:'2016-10-21 06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4.4600000000000001E-2</v>
      </c>
      <c r="Z21" s="67">
        <f t="shared" si="9"/>
        <v>23.330400000000001</v>
      </c>
      <c r="AA21" s="67">
        <f t="shared" si="10"/>
        <v>23.285800000000002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0109-21</v>
      </c>
      <c r="AE21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21" s="88" t="str">
        <f t="shared" si="13"/>
        <v>"C:\Program Files (x86)\AstroGrep\AstroGrep.exe" /spath="%USERPROFILE%\AppData\Local\Temp\OnboardLogs" /stypes="app*4038*20161021*"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109-21 --locoid 4038 --swversion DE.1.0.7.0 --startMP 204:446 --initTime 2016-10-21T04:37:35 --startdatetime 2016-10-21T04:45:25 --delay 1 --endMP 204:233304 --enddatetime 2016-10-21T05:21:33 --enforcementcount 0 &gt;&gt;C:\Users\stu\Documents\GitHub\eaglep3-reporting\EC\2016-10-21-refined-times.txt</v>
      </c>
      <c r="AI2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{"issue":{"subject":"","project_id":79,"tracker_id":40,"status_id":1,"priority_id":2,"assigned_to_id":23,"start_date":"2016-10-21","description":"","custom_fields":[{"id":1,"name":"Subdivision","value":"EC"},{"id":4,"name":"Milepost","value":"23.3304"},{"id":17,"name":"Train ID","value":"109-21"},{"id":16,"name":"Locomotive ID","value":"4038"},{"id":130,"name":"Impact","value":""},{"id":150,"name":"Time of Event (Mountain Time)","value":"05:21:33"},{"id":151,"name":"Denver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455</v>
      </c>
      <c r="B22" s="7">
        <v>4037</v>
      </c>
      <c r="C22" s="22" t="s">
        <v>99</v>
      </c>
      <c r="D22" s="22" t="s">
        <v>631</v>
      </c>
      <c r="E22" s="13">
        <v>42664.231423611112</v>
      </c>
      <c r="F22" s="13">
        <v>42664.237083333333</v>
      </c>
      <c r="G22" s="7">
        <v>1</v>
      </c>
      <c r="H22" s="13" t="s">
        <v>177</v>
      </c>
      <c r="I22" s="13">
        <v>42664.264884259261</v>
      </c>
      <c r="J22" s="7">
        <v>0</v>
      </c>
      <c r="K22" s="112" t="str">
        <f t="shared" si="0"/>
        <v>4037/4038</v>
      </c>
      <c r="L22" s="22" t="str">
        <f>VLOOKUP(A22,'Trips&amp;Operators'!$C$1:$E$10000,3,FALSE)</f>
        <v>GEBRETEKLE</v>
      </c>
      <c r="M22" s="6">
        <f t="shared" si="1"/>
        <v>2.7800925927294884E-2</v>
      </c>
      <c r="N22" s="7">
        <f t="shared" si="2"/>
        <v>40.033333335304633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04:33:15-0600',mode:absolute,to:'2016-10-21 07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" s="52" t="str">
        <f t="shared" si="6"/>
        <v>N</v>
      </c>
      <c r="X22" s="171">
        <f t="shared" si="7"/>
        <v>1</v>
      </c>
      <c r="Y22" s="67">
        <f t="shared" si="8"/>
        <v>23.298500000000001</v>
      </c>
      <c r="Z22" s="67">
        <f t="shared" si="9"/>
        <v>1.52E-2</v>
      </c>
      <c r="AA22" s="67">
        <f t="shared" si="10"/>
        <v>23.283300000000001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0110-21</v>
      </c>
      <c r="AE22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22" s="88" t="str">
        <f t="shared" si="13"/>
        <v>"C:\Program Files (x86)\AstroGrep\AstroGrep.exe" /spath="%USERPROFILE%\AppData\Local\Temp\OnboardLogs" /stypes="app*4037*20161021*"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110-21 --locoid 4037 --swversion DE.1.0.7.0 --startMP 204:232985 --initTime 2016-10-21T05:33:15 --startdatetime 2016-10-21T05:41:24 --delay 1 --endMP 204:152 --enddatetime 2016-10-21T06:21:26 --enforcementcount 0 &gt;&gt;C:\Users\stu\Documents\GitHub\eaglep3-reporting\EC\2016-10-21-refined-times.txt</v>
      </c>
      <c r="AI2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ID","value":"110-21"},{"id":16,"name":"Locomotive ID","value":"4037"},{"id":130,"name":"Impact","value":""},{"id":150,"name":"Time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451</v>
      </c>
      <c r="B23" s="7">
        <v>4014</v>
      </c>
      <c r="C23" s="22" t="s">
        <v>99</v>
      </c>
      <c r="D23" s="22" t="s">
        <v>632</v>
      </c>
      <c r="E23" s="13">
        <v>42664.20616898148</v>
      </c>
      <c r="F23" s="13">
        <v>42664.208622685182</v>
      </c>
      <c r="G23" s="7">
        <v>2</v>
      </c>
      <c r="H23" s="13" t="s">
        <v>287</v>
      </c>
      <c r="I23" s="13">
        <v>42664.233263888891</v>
      </c>
      <c r="J23" s="7">
        <v>0</v>
      </c>
      <c r="K23" s="112" t="str">
        <f t="shared" si="0"/>
        <v>4013/4014</v>
      </c>
      <c r="L23" s="22" t="str">
        <f>VLOOKUP(A23,'Trips&amp;Operators'!$C$1:$E$10000,3,FALSE)</f>
        <v>SPECTOR</v>
      </c>
      <c r="M23" s="6">
        <f t="shared" si="1"/>
        <v>2.4641203708597459E-2</v>
      </c>
      <c r="N23" s="7">
        <f t="shared" si="2"/>
        <v>35.483333340380341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03:56:53-0600',mode:absolute,to:'2016-10-21 06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" s="52" t="str">
        <f t="shared" si="6"/>
        <v>N</v>
      </c>
      <c r="X23" s="171">
        <f t="shared" si="7"/>
        <v>1</v>
      </c>
      <c r="Y23" s="67">
        <f t="shared" si="8"/>
        <v>7.46E-2</v>
      </c>
      <c r="Z23" s="67">
        <f t="shared" si="9"/>
        <v>23.331099999999999</v>
      </c>
      <c r="AA23" s="67">
        <f t="shared" si="10"/>
        <v>23.256499999999999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0111-21</v>
      </c>
      <c r="AE23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23" s="88" t="str">
        <f t="shared" si="13"/>
        <v>"C:\Program Files (x86)\AstroGrep\AstroGrep.exe" /spath="%USERPROFILE%\AppData\Local\Temp\OnboardLogs" /stypes="app*4014*20161021*"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111-21 --locoid 4014 --swversion DE.1.0.7.0 --startMP 204:746 --initTime 2016-10-21T04:56:53 --startdatetime 2016-10-21T05:00:25 --delay 2 --endMP 204:233311 --enddatetime 2016-10-21T05:35:54 --enforcementcount 0 &gt;&gt;C:\Users\stu\Documents\GitHub\eaglep3-reporting\EC\2016-10-21-refined-times.txt</v>
      </c>
      <c r="AI2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ID","value":"111-21"},{"id":16,"name":"Locomotive ID","value":"4014"},{"id":130,"name":"Impact","value":""},{"id":150,"name":"Time of Event (Mountain Time)","value":"05:35:54"},{"id":151,"name":"Denver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458</v>
      </c>
      <c r="B24" s="7">
        <v>4013</v>
      </c>
      <c r="C24" s="22" t="s">
        <v>99</v>
      </c>
      <c r="D24" s="22" t="s">
        <v>318</v>
      </c>
      <c r="E24" s="13">
        <v>42664.244456018518</v>
      </c>
      <c r="F24" s="13">
        <v>42664.247453703705</v>
      </c>
      <c r="G24" s="7">
        <v>2</v>
      </c>
      <c r="H24" s="13" t="s">
        <v>286</v>
      </c>
      <c r="I24" s="13">
        <v>42664.276331018518</v>
      </c>
      <c r="J24" s="7">
        <v>0</v>
      </c>
      <c r="K24" s="112" t="str">
        <f t="shared" si="0"/>
        <v>4013/4014</v>
      </c>
      <c r="L24" s="22" t="str">
        <f>VLOOKUP(A24,'Trips&amp;Operators'!$C$1:$E$10000,3,FALSE)</f>
        <v>SPECTOR</v>
      </c>
      <c r="M24" s="6">
        <f t="shared" si="1"/>
        <v>2.8877314813144039E-2</v>
      </c>
      <c r="N24" s="7">
        <f t="shared" si="2"/>
        <v>41.583333330927417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04:52:01-0600',mode:absolute,to:'2016-10-21 07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23.298400000000001</v>
      </c>
      <c r="Z24" s="67">
        <f t="shared" si="9"/>
        <v>1.5800000000000002E-2</v>
      </c>
      <c r="AA24" s="67">
        <f t="shared" si="10"/>
        <v>23.282600000000002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0112-21</v>
      </c>
      <c r="AE24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24" s="88" t="str">
        <f t="shared" si="13"/>
        <v>"C:\Program Files (x86)\AstroGrep\AstroGrep.exe" /spath="%USERPROFILE%\AppData\Local\Temp\OnboardLogs" /stypes="app*4013*20161021*"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112-21 --locoid 4013 --swversion DE.1.0.7.0 --startMP 204:232984 --initTime 2016-10-21T05:52:01 --startdatetime 2016-10-21T05:56:20 --delay 2 --endMP 204:158 --enddatetime 2016-10-21T06:37:55 --enforcementcount 0 &gt;&gt;C:\Users\stu\Documents\GitHub\eaglep3-reporting\EC\2016-10-21-refined-times.txt</v>
      </c>
      <c r="AI2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ID","value":"112-21"},{"id":16,"name":"Locomotive ID","value":"4013"},{"id":130,"name":"Impact","value":""},{"id":150,"name":"Time of Event (Mountain Time)","value":"06:37:55"},{"id":151,"name":"Denver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452</v>
      </c>
      <c r="B25" s="7">
        <v>4009</v>
      </c>
      <c r="C25" s="22" t="s">
        <v>99</v>
      </c>
      <c r="D25" s="22" t="s">
        <v>633</v>
      </c>
      <c r="E25" s="13">
        <v>42664.210844907408</v>
      </c>
      <c r="F25" s="13">
        <v>42664.219027777777</v>
      </c>
      <c r="G25" s="7">
        <v>1</v>
      </c>
      <c r="H25" s="13" t="s">
        <v>634</v>
      </c>
      <c r="I25" s="13">
        <v>42664.245000000003</v>
      </c>
      <c r="J25" s="7">
        <v>0</v>
      </c>
      <c r="K25" s="112" t="str">
        <f t="shared" si="0"/>
        <v>4009/4010</v>
      </c>
      <c r="L25" s="22" t="str">
        <f>VLOOKUP(A25,'Trips&amp;Operators'!$C$1:$E$10000,3,FALSE)</f>
        <v>MAELZER</v>
      </c>
      <c r="M25" s="6">
        <f t="shared" si="1"/>
        <v>2.5972222225391306E-2</v>
      </c>
      <c r="N25" s="7">
        <f t="shared" si="2"/>
        <v>37.400000004563481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04:03:37-0600',mode:absolute,to:'2016-10-21 06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4.3499999999999997E-2</v>
      </c>
      <c r="Z25" s="67">
        <f t="shared" si="9"/>
        <v>23.328900000000001</v>
      </c>
      <c r="AA25" s="67">
        <f t="shared" si="10"/>
        <v>23.285399999999999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0113-21</v>
      </c>
      <c r="AE25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25" s="88" t="str">
        <f t="shared" si="13"/>
        <v>"C:\Program Files (x86)\AstroGrep\AstroGrep.exe" /spath="%USERPROFILE%\AppData\Local\Temp\OnboardLogs" /stypes="app*4009*20161021*"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113-21 --locoid 4009 --swversion DE.1.0.7.0 --startMP 204:435 --initTime 2016-10-21T05:03:37 --startdatetime 2016-10-21T05:15:24 --delay 1 --endMP 204:233289 --enddatetime 2016-10-21T05:52:48 --enforcementcount 0 &gt;&gt;C:\Users\stu\Documents\GitHub\eaglep3-reporting\EC\2016-10-21-refined-times.txt</v>
      </c>
      <c r="AI2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ID","value":"113-21"},{"id":16,"name":"Locomotive ID","value":"4009"},{"id":130,"name":"Impact","value":""},{"id":150,"name":"Time of Event (Mountain Time)","value":"05:52:48"},{"id":151,"name":"Denver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461</v>
      </c>
      <c r="B26" s="7">
        <v>4010</v>
      </c>
      <c r="C26" s="22" t="s">
        <v>99</v>
      </c>
      <c r="D26" s="22" t="s">
        <v>352</v>
      </c>
      <c r="E26" s="13">
        <v>42664.251180555555</v>
      </c>
      <c r="F26" s="13">
        <v>42664.257847222223</v>
      </c>
      <c r="G26" s="7">
        <v>1</v>
      </c>
      <c r="H26" s="13" t="s">
        <v>222</v>
      </c>
      <c r="I26" s="13">
        <v>42664.285243055558</v>
      </c>
      <c r="J26" s="7">
        <v>0</v>
      </c>
      <c r="K26" s="112" t="str">
        <f t="shared" si="0"/>
        <v>4009/4010</v>
      </c>
      <c r="L26" s="22" t="str">
        <f>VLOOKUP(A26,'Trips&amp;Operators'!$C$1:$E$10000,3,FALSE)</f>
        <v>MAELZER</v>
      </c>
      <c r="M26" s="6">
        <f t="shared" si="1"/>
        <v>2.7395833334594499E-2</v>
      </c>
      <c r="N26" s="7">
        <f t="shared" si="2"/>
        <v>39.450000001816079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05:01:42-0600',mode:absolute,to:'2016-10-21 07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6" s="52" t="str">
        <f t="shared" si="6"/>
        <v>N</v>
      </c>
      <c r="X26" s="171">
        <f t="shared" si="7"/>
        <v>1</v>
      </c>
      <c r="Y26" s="67">
        <f t="shared" si="8"/>
        <v>23.300599999999999</v>
      </c>
      <c r="Z26" s="67">
        <f t="shared" si="9"/>
        <v>1.4500000000000001E-2</v>
      </c>
      <c r="AA26" s="67">
        <f t="shared" si="10"/>
        <v>23.286099999999998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0114-21</v>
      </c>
      <c r="AE26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26" s="88" t="str">
        <f t="shared" si="13"/>
        <v>"C:\Program Files (x86)\AstroGrep\AstroGrep.exe" /spath="%USERPROFILE%\AppData\Local\Temp\OnboardLogs" /stypes="app*4010*20161021*"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114-21 --locoid 4010 --swversion DE.1.0.7.0 --startMP 204:233006 --initTime 2016-10-21T06:01:42 --startdatetime 2016-10-21T06:11:18 --delay 1 --endMP 204:145 --enddatetime 2016-10-21T06:50:45 --enforcementcount 0 &gt;&gt;C:\Users\stu\Documents\GitHub\eaglep3-reporting\EC\2016-10-21-refined-times.txt</v>
      </c>
      <c r="AI2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ID","value":"114-21"},{"id":16,"name":"Locomotive ID","value":"4010"},{"id":130,"name":"Impact","value":""},{"id":150,"name":"Time of Event (Mountain Time)","value":"06:50:45"},{"id":151,"name":"Denver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4016</v>
      </c>
      <c r="C27" s="22" t="s">
        <v>99</v>
      </c>
      <c r="D27" s="22" t="s">
        <v>635</v>
      </c>
      <c r="E27" s="13">
        <v>42664.229780092595</v>
      </c>
      <c r="F27" s="13">
        <v>42664.232002314813</v>
      </c>
      <c r="G27" s="7">
        <v>1</v>
      </c>
      <c r="H27" s="13" t="s">
        <v>636</v>
      </c>
      <c r="I27" s="13">
        <v>42664.257013888891</v>
      </c>
      <c r="J27" s="7">
        <v>0</v>
      </c>
      <c r="K27" s="112" t="str">
        <f t="shared" si="0"/>
        <v>4015/4016</v>
      </c>
      <c r="L27" s="22" t="str">
        <f>VLOOKUP(A27,'Trips&amp;Operators'!$C$1:$E$10000,3,FALSE)</f>
        <v>ROBINSON</v>
      </c>
      <c r="M27" s="6">
        <f t="shared" si="1"/>
        <v>2.5011574078234844E-2</v>
      </c>
      <c r="N27" s="7">
        <f t="shared" si="2"/>
        <v>36.016666672658175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04:30:53-0600',mode:absolute,to:'2016-10-21 07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7.4999999999999997E-2</v>
      </c>
      <c r="Z27" s="67">
        <f t="shared" si="9"/>
        <v>23.324000000000002</v>
      </c>
      <c r="AA27" s="67">
        <f t="shared" si="10"/>
        <v>23.249000000000002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0115-21</v>
      </c>
      <c r="AE27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27" s="88" t="str">
        <f t="shared" si="13"/>
        <v>"C:\Program Files (x86)\AstroGrep\AstroGrep.exe" /spath="%USERPROFILE%\AppData\Local\Temp\OnboardLogs" /stypes="app*4016*20161021*"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115-21 --locoid 4016 --swversion DE.1.0.7.0 --startMP 204:750 --initTime 2016-10-21T05:30:53 --startdatetime 2016-10-21T05:34:05 --delay 1 --endMP 204:233240 --enddatetime 2016-10-21T06:10:06 --enforcementcount 0 &gt;&gt;C:\Users\stu\Documents\GitHub\eaglep3-reporting\EC\2016-10-21-refined-times.txt</v>
      </c>
      <c r="AI2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{"issue":{"subject":"","project_id":79,"tracker_id":40,"status_id":1,"priority_id":2,"assigned_to_id":23,"start_date":"2016-10-21","description":"","custom_fields":[{"id":1,"name":"Subdivision","value":"EC"},{"id":4,"name":"Milepost","value":"23.324"},{"id":17,"name":"Train ID","value":"115-21"},{"id":16,"name":"Locomotive ID","value":"4016"},{"id":130,"name":"Impact","value":""},{"id":150,"name":"Time of Event (Mountain Time)","value":"06:10:06"},{"id":151,"name":"Denver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399</v>
      </c>
      <c r="B28" s="7">
        <v>4015</v>
      </c>
      <c r="C28" s="22" t="s">
        <v>99</v>
      </c>
      <c r="D28" s="22" t="s">
        <v>637</v>
      </c>
      <c r="E28" s="13">
        <v>42664.25885416667</v>
      </c>
      <c r="F28" s="13">
        <v>42664.268194444441</v>
      </c>
      <c r="G28" s="7">
        <v>1</v>
      </c>
      <c r="H28" s="13" t="s">
        <v>221</v>
      </c>
      <c r="I28" s="13">
        <v>42664.29550925926</v>
      </c>
      <c r="J28" s="7">
        <v>0</v>
      </c>
      <c r="K28" s="112" t="str">
        <f t="shared" si="0"/>
        <v>4015/4016</v>
      </c>
      <c r="L28" s="22" t="str">
        <f>VLOOKUP(A28,'Trips&amp;Operators'!$C$1:$E$10000,3,FALSE)</f>
        <v>ROBINSON</v>
      </c>
      <c r="M28" s="6">
        <f t="shared" si="1"/>
        <v>2.7314814818964805E-2</v>
      </c>
      <c r="N28" s="7">
        <f t="shared" si="2"/>
        <v>39.33333333930932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05:12:45-0600',mode:absolute,to:'2016-10-21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23.291899999999998</v>
      </c>
      <c r="Z28" s="67">
        <f t="shared" si="9"/>
        <v>1.54E-2</v>
      </c>
      <c r="AA28" s="67">
        <f t="shared" si="10"/>
        <v>23.276499999999999</v>
      </c>
      <c r="AB28" s="64" t="str">
        <f>VLOOKUP(A28,Enforcements!$C$7:$K$21,8,0)</f>
        <v>Speed (6)</v>
      </c>
      <c r="AC28" s="60" t="str">
        <f>VLOOKUP(A28,Enforcements!$C$7:$E$21,3,0)</f>
        <v>PERMANENT SPEED RESTRICTION</v>
      </c>
      <c r="AD28" s="61" t="str">
        <f t="shared" si="11"/>
        <v>0116-21</v>
      </c>
      <c r="AE28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28" s="88" t="str">
        <f t="shared" si="13"/>
        <v>"C:\Program Files (x86)\AstroGrep\AstroGrep.exe" /spath="%USERPROFILE%\AppData\Local\Temp\OnboardLogs" /stypes="app*4015*20161021*"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116-21 --locoid 4015 --swversion DE.1.0.7.0 --startMP 204:232919 --initTime 2016-10-21T06:12:45 --startdatetime 2016-10-21T06:26:12 --delay 1 --endMP 204:154 --enddatetime 2016-10-21T07:05:32 --enforcementcount 0 &gt;&gt;C:\Users\stu\Documents\GitHub\eaglep3-reporting\EC\2016-10-21-refined-times.txt</v>
      </c>
      <c r="AI2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ID","value":"116-21"},{"id":16,"name":"Locomotive ID","value":"4015"},{"id":130,"name":"Impact","value":""},{"id":150,"name":"Time of Event (Mountain Time)","value":"07:05:32"},{"id":151,"name":"Denver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456</v>
      </c>
      <c r="B29" s="7">
        <v>4042</v>
      </c>
      <c r="C29" s="22" t="s">
        <v>99</v>
      </c>
      <c r="D29" s="22" t="s">
        <v>228</v>
      </c>
      <c r="E29" s="13">
        <v>42664.233206018522</v>
      </c>
      <c r="F29" s="13">
        <v>42664.24</v>
      </c>
      <c r="G29" s="7">
        <v>1</v>
      </c>
      <c r="H29" s="13" t="s">
        <v>628</v>
      </c>
      <c r="I29" s="13">
        <v>42664.266562500001</v>
      </c>
      <c r="J29" s="7">
        <v>0</v>
      </c>
      <c r="K29" s="112" t="str">
        <f t="shared" si="0"/>
        <v>4041/4042</v>
      </c>
      <c r="L29" s="22" t="str">
        <f>VLOOKUP(A29,'Trips&amp;Operators'!$C$1:$E$10000,3,FALSE)</f>
        <v>DAVIS</v>
      </c>
      <c r="M29" s="6">
        <f t="shared" si="1"/>
        <v>2.6562500002910383E-2</v>
      </c>
      <c r="N29" s="7">
        <f t="shared" si="2"/>
        <v>38.250000004190952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04:35:49-0600',mode:absolute,to:'2016-10-21 07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4.4699999999999997E-2</v>
      </c>
      <c r="Z29" s="67">
        <f t="shared" si="9"/>
        <v>23.3291</v>
      </c>
      <c r="AA29" s="67">
        <f t="shared" si="10"/>
        <v>23.284400000000002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0117-21</v>
      </c>
      <c r="AE29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29" s="88" t="str">
        <f t="shared" si="13"/>
        <v>"C:\Program Files (x86)\AstroGrep\AstroGrep.exe" /spath="%USERPROFILE%\AppData\Local\Temp\OnboardLogs" /stypes="app*4042*20161021*"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117-21 --locoid 4042 --swversion DE.1.0.7.0 --startMP 204:447 --initTime 2016-10-21T05:35:49 --startdatetime 2016-10-21T05:45:36 --delay 1 --endMP 204:233291 --enddatetime 2016-10-21T06:23:51 --enforcementcount 0 &gt;&gt;C:\Users\stu\Documents\GitHub\eaglep3-reporting\EC\2016-10-21-refined-times.txt</v>
      </c>
      <c r="AI2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ID","value":"117-21"},{"id":16,"name":"Locomotive ID","value":"4042"},{"id":130,"name":"Impact","value":""},{"id":150,"name":"Time of Event (Mountain Time)","value":"06:23:51"},{"id":151,"name":"Denver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4041</v>
      </c>
      <c r="C30" s="22" t="s">
        <v>99</v>
      </c>
      <c r="D30" s="22" t="s">
        <v>638</v>
      </c>
      <c r="E30" s="13">
        <v>42664.273310185185</v>
      </c>
      <c r="F30" s="13">
        <v>42664.278622685182</v>
      </c>
      <c r="G30" s="7">
        <v>1</v>
      </c>
      <c r="H30" s="13" t="s">
        <v>356</v>
      </c>
      <c r="I30" s="13">
        <v>42664.307199074072</v>
      </c>
      <c r="J30" s="7">
        <v>0</v>
      </c>
      <c r="K30" s="112" t="str">
        <f t="shared" si="0"/>
        <v>4041/4042</v>
      </c>
      <c r="L30" s="22" t="str">
        <f>VLOOKUP(A30,'Trips&amp;Operators'!$C$1:$E$10000,3,FALSE)</f>
        <v>DAVIS</v>
      </c>
      <c r="M30" s="6">
        <f t="shared" si="1"/>
        <v>2.8576388889632653E-2</v>
      </c>
      <c r="N30" s="7">
        <f t="shared" si="2"/>
        <v>41.150000001071021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05:33:34-0600',mode:absolute,to:'2016-10-21 08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23.2959</v>
      </c>
      <c r="Z30" s="67">
        <f t="shared" si="9"/>
        <v>1.6299999999999999E-2</v>
      </c>
      <c r="AA30" s="67">
        <f t="shared" si="10"/>
        <v>23.279599999999999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0118-21</v>
      </c>
      <c r="AE30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30" s="88" t="str">
        <f t="shared" si="13"/>
        <v>"C:\Program Files (x86)\AstroGrep\AstroGrep.exe" /spath="%USERPROFILE%\AppData\Local\Temp\OnboardLogs" /stypes="app*4041*20161021*"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118-21 --locoid 4041 --swversion DE.1.0.7.0 --startMP 204:232959 --initTime 2016-10-21T06:33:34 --startdatetime 2016-10-21T06:41:13 --delay 1 --endMP 204:163 --enddatetime 2016-10-21T07:22:22 --enforcementcount 0 &gt;&gt;C:\Users\stu\Documents\GitHub\eaglep3-reporting\EC\2016-10-21-refined-times.txt</v>
      </c>
      <c r="AI3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ID","value":"118-21"},{"id":16,"name":"Locomotive ID","value":"4041"},{"id":130,"name":"Impact","value":""},{"id":150,"name":"Time of Event (Mountain Time)","value":"07:22:22"},{"id":151,"name":"Denver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459</v>
      </c>
      <c r="B31" s="7">
        <v>4027</v>
      </c>
      <c r="C31" s="22" t="s">
        <v>99</v>
      </c>
      <c r="D31" s="22" t="s">
        <v>639</v>
      </c>
      <c r="E31" s="13">
        <v>42664.248668981483</v>
      </c>
      <c r="F31" s="13">
        <v>42664.2502662037</v>
      </c>
      <c r="G31" s="7">
        <v>1</v>
      </c>
      <c r="H31" s="13" t="s">
        <v>275</v>
      </c>
      <c r="I31" s="13">
        <v>42664.275196759256</v>
      </c>
      <c r="J31" s="7">
        <v>0</v>
      </c>
      <c r="K31" s="112" t="str">
        <f t="shared" si="0"/>
        <v>4027/4028</v>
      </c>
      <c r="L31" s="22" t="str">
        <f>VLOOKUP(A31,'Trips&amp;Operators'!$C$1:$E$10000,3,FALSE)</f>
        <v>MALAVE</v>
      </c>
      <c r="M31" s="6">
        <f t="shared" si="1"/>
        <v>2.4930555555329192E-2</v>
      </c>
      <c r="N31" s="7">
        <f t="shared" si="2"/>
        <v>35.899999999674037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04:58:05-0600',mode:absolute,to:'2016-10-21 07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7.7200000000000005E-2</v>
      </c>
      <c r="Z31" s="67">
        <f t="shared" si="9"/>
        <v>23.3278</v>
      </c>
      <c r="AA31" s="67">
        <f t="shared" si="10"/>
        <v>23.250599999999999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0119-21</v>
      </c>
      <c r="AE31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31" s="88" t="str">
        <f t="shared" si="13"/>
        <v>"C:\Program Files (x86)\AstroGrep\AstroGrep.exe" /spath="%USERPROFILE%\AppData\Local\Temp\OnboardLogs" /stypes="app*4027*20161021*"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119-21 --locoid 4027 --swversion DE.1.0.7.0 --startMP 204:772 --initTime 2016-10-21T05:58:05 --startdatetime 2016-10-21T06:00:23 --delay 1 --endMP 204:233278 --enddatetime 2016-10-21T06:36:17 --enforcementcount 0 &gt;&gt;C:\Users\stu\Documents\GitHub\eaglep3-reporting\EC\2016-10-21-refined-times.txt</v>
      </c>
      <c r="AI3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{"issue":{"subject":"","project_id":79,"tracker_id":40,"status_id":1,"priority_id":2,"assigned_to_id":23,"start_date":"2016-10-21","description":"","custom_fields":[{"id":1,"name":"Subdivision","value":"EC"},{"id":4,"name":"Milepost","value":"23.3278"},{"id":17,"name":"Train ID","value":"119-21"},{"id":16,"name":"Locomotive ID","value":"4027"},{"id":130,"name":"Impact","value":""},{"id":150,"name":"Time of Event (Mountain Time)","value":"06:36:17"},{"id":151,"name":"Denver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470</v>
      </c>
      <c r="B32" s="7">
        <v>4028</v>
      </c>
      <c r="C32" s="22" t="s">
        <v>99</v>
      </c>
      <c r="D32" s="22" t="s">
        <v>640</v>
      </c>
      <c r="E32" s="13">
        <v>42664.283009259256</v>
      </c>
      <c r="F32" s="13">
        <v>42664.2891087963</v>
      </c>
      <c r="G32" s="7">
        <v>7</v>
      </c>
      <c r="H32" s="13" t="s">
        <v>239</v>
      </c>
      <c r="I32" s="13">
        <v>42664.315474537034</v>
      </c>
      <c r="J32" s="7">
        <v>0</v>
      </c>
      <c r="K32" s="112" t="str">
        <f t="shared" si="0"/>
        <v>4027/4028</v>
      </c>
      <c r="L32" s="22" t="str">
        <f>VLOOKUP(A32,'Trips&amp;Operators'!$C$1:$E$10000,3,FALSE)</f>
        <v>MALAVE</v>
      </c>
      <c r="M32" s="6">
        <f t="shared" si="1"/>
        <v>2.6365740734036081E-2</v>
      </c>
      <c r="N32" s="7">
        <f t="shared" si="2"/>
        <v>37.966666657011956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05:47:32-0600',mode:absolute,to:'2016-10-21 08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23.295200000000001</v>
      </c>
      <c r="Z32" s="67">
        <f t="shared" si="9"/>
        <v>1.6E-2</v>
      </c>
      <c r="AA32" s="67">
        <f t="shared" si="10"/>
        <v>23.279200000000003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0120-21</v>
      </c>
      <c r="AE32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32" s="88" t="str">
        <f t="shared" si="13"/>
        <v>"C:\Program Files (x86)\AstroGrep\AstroGrep.exe" /spath="%USERPROFILE%\AppData\Local\Temp\OnboardLogs" /stypes="app*4028*20161021*"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120-21 --locoid 4028 --swversion DE.1.0.7.0 --startMP 204:232952 --initTime 2016-10-21T06:47:32 --startdatetime 2016-10-21T06:56:19 --delay 7 --endMP 204:160 --enddatetime 2016-10-21T07:34:17 --enforcementcount 0 &gt;&gt;C:\Users\stu\Documents\GitHub\eaglep3-reporting\EC\2016-10-21-refined-times.txt</v>
      </c>
      <c r="AI3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ID","value":"120-21"},{"id":16,"name":"Locomotive ID","value":"4028"},{"id":130,"name":"Impact","value":""},{"id":150,"name":"Time of Event (Mountain Time)","value":"07:34:17"},{"id":151,"name":"Denver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463</v>
      </c>
      <c r="B33" s="7">
        <v>4018</v>
      </c>
      <c r="C33" s="22" t="s">
        <v>99</v>
      </c>
      <c r="D33" s="22" t="s">
        <v>641</v>
      </c>
      <c r="E33" s="13">
        <v>42664.25744212963</v>
      </c>
      <c r="F33" s="13">
        <v>42664.26059027778</v>
      </c>
      <c r="G33" s="7">
        <v>2</v>
      </c>
      <c r="H33" s="13" t="s">
        <v>230</v>
      </c>
      <c r="I33" s="13">
        <v>42664.287210648145</v>
      </c>
      <c r="J33" s="7">
        <v>0</v>
      </c>
      <c r="K33" s="112" t="str">
        <f t="shared" si="0"/>
        <v>4017/4018</v>
      </c>
      <c r="L33" s="22" t="str">
        <f>VLOOKUP(A33,'Trips&amp;Operators'!$C$1:$E$10000,3,FALSE)</f>
        <v>SANTIZO</v>
      </c>
      <c r="M33" s="6">
        <f t="shared" si="1"/>
        <v>2.6620370364980772E-2</v>
      </c>
      <c r="N33" s="7">
        <f t="shared" si="2"/>
        <v>38.333333325572312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05:10:43-0600',mode:absolute,to:'2016-10-21 07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4.8899999999999999E-2</v>
      </c>
      <c r="Z33" s="67">
        <f t="shared" si="9"/>
        <v>23.33</v>
      </c>
      <c r="AA33" s="67">
        <f t="shared" si="10"/>
        <v>23.281099999999999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0121-21</v>
      </c>
      <c r="AE33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33" s="88" t="str">
        <f t="shared" si="13"/>
        <v>"C:\Program Files (x86)\AstroGrep\AstroGrep.exe" /spath="%USERPROFILE%\AppData\Local\Temp\OnboardLogs" /stypes="app*4018*20161021*"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121-21 --locoid 4018 --swversion DE.1.0.7.0 --startMP 204:489 --initTime 2016-10-21T06:10:43 --startdatetime 2016-10-21T06:15:15 --delay 2 --endMP 204:233300 --enddatetime 2016-10-21T06:53:35 --enforcementcount 0 &gt;&gt;C:\Users\stu\Documents\GitHub\eaglep3-reporting\EC\2016-10-21-refined-times.txt</v>
      </c>
      <c r="AI3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{"issue":{"subject":"","project_id":79,"tracker_id":40,"status_id":1,"priority_id":2,"assigned_to_id":23,"start_date":"2016-10-21","description":"","custom_fields":[{"id":1,"name":"Subdivision","value":"EC"},{"id":4,"name":"Milepost","value":"23.33"},{"id":17,"name":"Train ID","value":"121-21"},{"id":16,"name":"Locomotive ID","value":"4018"},{"id":130,"name":"Impact","value":""},{"id":150,"name":"Time of Event (Mountain Time)","value":"06:53:35"},{"id":151,"name":"Denver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472</v>
      </c>
      <c r="B34" s="7">
        <v>4017</v>
      </c>
      <c r="C34" s="22" t="s">
        <v>99</v>
      </c>
      <c r="D34" s="22" t="s">
        <v>642</v>
      </c>
      <c r="E34" s="13">
        <v>42664.289861111109</v>
      </c>
      <c r="F34" s="13">
        <v>42664.299629629626</v>
      </c>
      <c r="G34" s="7">
        <v>1</v>
      </c>
      <c r="H34" s="13" t="s">
        <v>221</v>
      </c>
      <c r="I34" s="13">
        <v>42664.329479166663</v>
      </c>
      <c r="J34" s="7">
        <v>0</v>
      </c>
      <c r="K34" s="112" t="str">
        <f t="shared" si="0"/>
        <v>4017/4018</v>
      </c>
      <c r="L34" s="22" t="str">
        <f>VLOOKUP(A34,'Trips&amp;Operators'!$C$1:$E$10000,3,FALSE)</f>
        <v>SANTIZO</v>
      </c>
      <c r="M34" s="6">
        <f t="shared" si="1"/>
        <v>2.9849537037080154E-2</v>
      </c>
      <c r="N34" s="7">
        <f t="shared" si="2"/>
        <v>42.983333333395422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05:57:24-0600',mode:absolute,to:'2016-10-21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23.297599999999999</v>
      </c>
      <c r="Z34" s="67">
        <f t="shared" si="9"/>
        <v>1.54E-2</v>
      </c>
      <c r="AA34" s="67">
        <f t="shared" si="10"/>
        <v>23.2822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0122-21</v>
      </c>
      <c r="AE34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34" s="88" t="str">
        <f t="shared" si="13"/>
        <v>"C:\Program Files (x86)\AstroGrep\AstroGrep.exe" /spath="%USERPROFILE%\AppData\Local\Temp\OnboardLogs" /stypes="app*4017*20161021*"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122-21 --locoid 4017 --swversion DE.1.0.7.0 --startMP 204:232976 --initTime 2016-10-21T06:57:24 --startdatetime 2016-10-21T07:11:28 --delay 1 --endMP 204:154 --enddatetime 2016-10-21T07:54:27 --enforcementcount 0 &gt;&gt;C:\Users\stu\Documents\GitHub\eaglep3-reporting\EC\2016-10-21-refined-times.txt</v>
      </c>
      <c r="AI3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ID","value":"122-21"},{"id":16,"name":"Locomotive ID","value":"4017"},{"id":130,"name":"Impact","value":""},{"id":150,"name":"Time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465</v>
      </c>
      <c r="B35" s="7">
        <v>4038</v>
      </c>
      <c r="C35" s="22" t="s">
        <v>99</v>
      </c>
      <c r="D35" s="22" t="s">
        <v>365</v>
      </c>
      <c r="E35" s="13">
        <v>42664.267210648148</v>
      </c>
      <c r="F35" s="13">
        <v>42664.271006944444</v>
      </c>
      <c r="G35" s="7">
        <v>2</v>
      </c>
      <c r="H35" s="13" t="s">
        <v>643</v>
      </c>
      <c r="I35" s="13">
        <v>42664.29582175926</v>
      </c>
      <c r="J35" s="7">
        <v>0</v>
      </c>
      <c r="K35" s="112" t="str">
        <f t="shared" si="0"/>
        <v>4037/4038</v>
      </c>
      <c r="L35" s="22" t="str">
        <f>VLOOKUP(A35,'Trips&amp;Operators'!$C$1:$E$10000,3,FALSE)</f>
        <v>GEBRETEKLE</v>
      </c>
      <c r="M35" s="6">
        <f t="shared" si="1"/>
        <v>2.4814814816636499E-2</v>
      </c>
      <c r="N35" s="7">
        <f t="shared" si="2"/>
        <v>35.733333335956559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05:24:47-0600',mode:absolute,to:'2016-10-21 08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4.82E-2</v>
      </c>
      <c r="Z35" s="67">
        <f t="shared" si="9"/>
        <v>23.333200000000001</v>
      </c>
      <c r="AA35" s="67">
        <f t="shared" si="10"/>
        <v>23.285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0123-21</v>
      </c>
      <c r="AE35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35" s="88" t="str">
        <f t="shared" si="13"/>
        <v>"C:\Program Files (x86)\AstroGrep\AstroGrep.exe" /spath="%USERPROFILE%\AppData\Local\Temp\OnboardLogs" /stypes="app*4038*20161021*"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123-21 --locoid 4038 --swversion DE.1.0.7.0 --startMP 204:482 --initTime 2016-10-21T06:24:47 --startdatetime 2016-10-21T06:30:15 --delay 2 --endMP 204:233332 --enddatetime 2016-10-21T07:05:59 --enforcementcount 0 &gt;&gt;C:\Users\stu\Documents\GitHub\eaglep3-reporting\EC\2016-10-21-refined-times.txt</v>
      </c>
      <c r="AI3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{"issue":{"subject":"","project_id":79,"tracker_id":40,"status_id":1,"priority_id":2,"assigned_to_id":23,"start_date":"2016-10-21","description":"","custom_fields":[{"id":1,"name":"Subdivision","value":"EC"},{"id":4,"name":"Milepost","value":"23.3332"},{"id":17,"name":"Train ID","value":"123-21"},{"id":16,"name":"Locomotive ID","value":"4038"},{"id":130,"name":"Impact","value":""},{"id":150,"name":"Time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475</v>
      </c>
      <c r="B36" s="7">
        <v>4037</v>
      </c>
      <c r="C36" s="22" t="s">
        <v>99</v>
      </c>
      <c r="D36" s="22" t="s">
        <v>644</v>
      </c>
      <c r="E36" s="13">
        <v>42664.297824074078</v>
      </c>
      <c r="F36" s="13">
        <v>42664.31</v>
      </c>
      <c r="G36" s="7">
        <v>1</v>
      </c>
      <c r="H36" s="13" t="s">
        <v>224</v>
      </c>
      <c r="I36" s="13">
        <v>42664.337638888886</v>
      </c>
      <c r="J36" s="7">
        <v>0</v>
      </c>
      <c r="K36" s="112" t="str">
        <f t="shared" si="0"/>
        <v>4037/4038</v>
      </c>
      <c r="L36" s="22" t="str">
        <f>VLOOKUP(A36,'Trips&amp;Operators'!$C$1:$E$10000,3,FALSE)</f>
        <v>GEBRETEKLE</v>
      </c>
      <c r="M36" s="6">
        <f t="shared" si="1"/>
        <v>2.7638888888759539E-2</v>
      </c>
      <c r="N36" s="7">
        <f t="shared" si="2"/>
        <v>39.799999999813735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06:08:52-0600',mode:absolute,to:'2016-10-21 09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23.3001</v>
      </c>
      <c r="Z36" s="67">
        <f t="shared" si="9"/>
        <v>1.49E-2</v>
      </c>
      <c r="AA36" s="67">
        <f t="shared" si="10"/>
        <v>23.2852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0124-21</v>
      </c>
      <c r="AE36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36" s="88" t="str">
        <f t="shared" si="13"/>
        <v>"C:\Program Files (x86)\AstroGrep\AstroGrep.exe" /spath="%USERPROFILE%\AppData\Local\Temp\OnboardLogs" /stypes="app*4037*20161021*"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124-21 --locoid 4037 --swversion DE.1.0.7.0 --startMP 204:233001 --initTime 2016-10-21T07:08:52 --startdatetime 2016-10-21T07:26:24 --delay 1 --endMP 204:149 --enddatetime 2016-10-21T08:06:12 --enforcementcount 0 &gt;&gt;C:\Users\stu\Documents\GitHub\eaglep3-reporting\EC\2016-10-21-refined-times.txt</v>
      </c>
      <c r="AI3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ID","value":"124-21"},{"id":16,"name":"Locomotive ID","value":"4037"},{"id":130,"name":"Impact","value":""},{"id":150,"name":"Time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468</v>
      </c>
      <c r="B37" s="7">
        <v>4014</v>
      </c>
      <c r="C37" s="22" t="s">
        <v>99</v>
      </c>
      <c r="D37" s="22" t="s">
        <v>285</v>
      </c>
      <c r="E37" s="13">
        <v>42664.279305555552</v>
      </c>
      <c r="F37" s="13">
        <v>42664.281481481485</v>
      </c>
      <c r="G37" s="7">
        <v>1</v>
      </c>
      <c r="H37" s="13" t="s">
        <v>369</v>
      </c>
      <c r="I37" s="13">
        <v>42664.306261574071</v>
      </c>
      <c r="J37" s="7">
        <v>0</v>
      </c>
      <c r="K37" s="112" t="str">
        <f t="shared" si="0"/>
        <v>4013/4014</v>
      </c>
      <c r="L37" s="22" t="str">
        <f>VLOOKUP(A37,'Trips&amp;Operators'!$C$1:$E$10000,3,FALSE)</f>
        <v>SPECTOR</v>
      </c>
      <c r="M37" s="6">
        <f t="shared" si="1"/>
        <v>2.4780092586297542E-2</v>
      </c>
      <c r="N37" s="7">
        <f t="shared" si="2"/>
        <v>35.68333332426846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05:42:12-0600',mode:absolute,to:'2016-10-21 08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4.4900000000000002E-2</v>
      </c>
      <c r="Z37" s="67">
        <f t="shared" si="9"/>
        <v>23.332699999999999</v>
      </c>
      <c r="AA37" s="67">
        <f t="shared" si="10"/>
        <v>23.287800000000001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0125-21</v>
      </c>
      <c r="AE37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37" s="88" t="str">
        <f t="shared" si="13"/>
        <v>"C:\Program Files (x86)\AstroGrep\AstroGrep.exe" /spath="%USERPROFILE%\AppData\Local\Temp\OnboardLogs" /stypes="app*4014*20161021*"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125-21 --locoid 4014 --swversion DE.1.0.7.0 --startMP 204:449 --initTime 2016-10-21T06:42:12 --startdatetime 2016-10-21T06:45:20 --delay 1 --endMP 204:233327 --enddatetime 2016-10-21T07:21:01 --enforcementcount 0 &gt;&gt;C:\Users\stu\Documents\GitHub\eaglep3-reporting\EC\2016-10-21-refined-times.txt</v>
      </c>
      <c r="AI3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{"issue":{"subject":"","project_id":79,"tracker_id":40,"status_id":1,"priority_id":2,"assigned_to_id":23,"start_date":"2016-10-21","description":"","custom_fields":[{"id":1,"name":"Subdivision","value":"EC"},{"id":4,"name":"Milepost","value":"23.3327"},{"id":17,"name":"Train ID","value":"125-21"},{"id":16,"name":"Locomotive ID","value":"4014"},{"id":130,"name":"Impact","value":""},{"id":150,"name":"Time of Event (Mountain Time)","value":"07:21:01"},{"id":151,"name":"Denver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403</v>
      </c>
      <c r="B38" s="7">
        <v>4013</v>
      </c>
      <c r="C38" s="22" t="s">
        <v>99</v>
      </c>
      <c r="D38" s="22" t="s">
        <v>645</v>
      </c>
      <c r="E38" s="13">
        <v>42664.315034722225</v>
      </c>
      <c r="F38" s="13">
        <v>42664.3203125</v>
      </c>
      <c r="G38" s="7">
        <v>1</v>
      </c>
      <c r="H38" s="13" t="s">
        <v>224</v>
      </c>
      <c r="I38" s="13">
        <v>42664.347685185188</v>
      </c>
      <c r="J38" s="7">
        <v>0</v>
      </c>
      <c r="K38" s="112" t="str">
        <f t="shared" si="0"/>
        <v>4013/4014</v>
      </c>
      <c r="L38" s="22" t="str">
        <f>VLOOKUP(A38,'Trips&amp;Operators'!$C$1:$E$10000,3,FALSE)</f>
        <v>SPECTOR</v>
      </c>
      <c r="M38" s="6">
        <f t="shared" si="1"/>
        <v>2.7372685188311152E-2</v>
      </c>
      <c r="N38" s="7">
        <f t="shared" si="2"/>
        <v>39.416666671168059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06:33:39-0600',mode:absolute,to:'2016-10-21 09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23.3004</v>
      </c>
      <c r="Z38" s="67">
        <f t="shared" si="9"/>
        <v>1.49E-2</v>
      </c>
      <c r="AA38" s="67">
        <f t="shared" si="10"/>
        <v>23.285499999999999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0126-21</v>
      </c>
      <c r="AE38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38" s="88" t="str">
        <f t="shared" si="13"/>
        <v>"C:\Program Files (x86)\AstroGrep\AstroGrep.exe" /spath="%USERPROFILE%\AppData\Local\Temp\OnboardLogs" /stypes="app*4013*20161021*"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126-21 --locoid 4013 --swversion DE.1.0.7.0 --startMP 204:233004 --initTime 2016-10-21T07:33:39 --startdatetime 2016-10-21T07:41:15 --delay 1 --endMP 204:149 --enddatetime 2016-10-21T08:20:40 --enforcementcount 0 &gt;&gt;C:\Users\stu\Documents\GitHub\eaglep3-reporting\EC\2016-10-21-refined-times.txt</v>
      </c>
      <c r="AI3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ID","value":"126-21"},{"id":16,"name":"Locomotive ID","value":"4013"},{"id":130,"name":"Impact","value":""},{"id":150,"name":"Time of Event (Mountain Time)","value":"08:20:40"},{"id":151,"name":"Denver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471</v>
      </c>
      <c r="B39" s="7">
        <v>4009</v>
      </c>
      <c r="C39" s="22" t="s">
        <v>99</v>
      </c>
      <c r="D39" s="22" t="s">
        <v>285</v>
      </c>
      <c r="E39" s="13">
        <v>42664.28733796296</v>
      </c>
      <c r="F39" s="13">
        <v>42664.292025462964</v>
      </c>
      <c r="G39" s="7">
        <v>1</v>
      </c>
      <c r="H39" s="13" t="s">
        <v>646</v>
      </c>
      <c r="I39" s="13">
        <v>42664.318252314813</v>
      </c>
      <c r="J39" s="7">
        <v>0</v>
      </c>
      <c r="K39" s="112" t="str">
        <f t="shared" si="0"/>
        <v>4009/4010</v>
      </c>
      <c r="L39" s="22" t="str">
        <f>VLOOKUP(A39,'Trips&amp;Operators'!$C$1:$E$10000,3,FALSE)</f>
        <v>MAELZER</v>
      </c>
      <c r="M39" s="6">
        <f t="shared" si="1"/>
        <v>2.622685184906004E-2</v>
      </c>
      <c r="N39" s="7">
        <f t="shared" si="2"/>
        <v>37.766666662646458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05:53:46-0600',mode:absolute,to:'2016-10-21 08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9" s="52" t="str">
        <f t="shared" si="6"/>
        <v>N</v>
      </c>
      <c r="X39" s="171">
        <f t="shared" si="7"/>
        <v>1</v>
      </c>
      <c r="Y39" s="67">
        <f t="shared" si="8"/>
        <v>4.4900000000000002E-2</v>
      </c>
      <c r="Z39" s="67">
        <f t="shared" si="9"/>
        <v>23.330500000000001</v>
      </c>
      <c r="AA39" s="67">
        <f t="shared" si="10"/>
        <v>23.285600000000002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0127-21</v>
      </c>
      <c r="AE39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39" s="88" t="str">
        <f t="shared" si="13"/>
        <v>"C:\Program Files (x86)\AstroGrep\AstroGrep.exe" /spath="%USERPROFILE%\AppData\Local\Temp\OnboardLogs" /stypes="app*4009*20161021*"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127-21 --locoid 4009 --swversion DE.1.0.7.0 --startMP 204:449 --initTime 2016-10-21T06:53:46 --startdatetime 2016-10-21T07:00:31 --delay 1 --endMP 204:233305 --enddatetime 2016-10-21T07:38:17 --enforcementcount 0 &gt;&gt;C:\Users\stu\Documents\GitHub\eaglep3-reporting\EC\2016-10-21-refined-times.txt</v>
      </c>
      <c r="AI3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{"issue":{"subject":"","project_id":79,"tracker_id":40,"status_id":1,"priority_id":2,"assigned_to_id":23,"start_date":"2016-10-21","description":"","custom_fields":[{"id":1,"name":"Subdivision","value":"EC"},{"id":4,"name":"Milepost","value":"23.3305"},{"id":17,"name":"Train ID","value":"127-21"},{"id":16,"name":"Locomotive ID","value":"4009"},{"id":130,"name":"Impact","value":""},{"id":150,"name":"Time of Event (Mountain Time)","value":"07:38:17"},{"id":151,"name":"Denver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404</v>
      </c>
      <c r="B40" s="7">
        <v>4010</v>
      </c>
      <c r="C40" s="22" t="s">
        <v>99</v>
      </c>
      <c r="D40" s="22" t="s">
        <v>318</v>
      </c>
      <c r="E40" s="13">
        <v>42664.324224537035</v>
      </c>
      <c r="F40" s="13">
        <v>42664.330914351849</v>
      </c>
      <c r="G40" s="7">
        <v>1</v>
      </c>
      <c r="H40" s="13" t="s">
        <v>273</v>
      </c>
      <c r="I40" s="13">
        <v>42664.361030092594</v>
      </c>
      <c r="J40" s="7">
        <v>0</v>
      </c>
      <c r="K40" s="112" t="str">
        <f t="shared" si="0"/>
        <v>4009/4010</v>
      </c>
      <c r="L40" s="22" t="str">
        <f>VLOOKUP(A40,'Trips&amp;Operators'!$C$1:$E$10000,3,FALSE)</f>
        <v>MAELZER</v>
      </c>
      <c r="M40" s="6">
        <f t="shared" si="1"/>
        <v>3.0115740744804498E-2</v>
      </c>
      <c r="N40" s="7">
        <f t="shared" si="2"/>
        <v>43.366666672518477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06:46:53-0600',mode:absolute,to:'2016-10-21 09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23.298400000000001</v>
      </c>
      <c r="Z40" s="67">
        <f t="shared" si="9"/>
        <v>1.3899999999999999E-2</v>
      </c>
      <c r="AA40" s="67">
        <f t="shared" si="10"/>
        <v>23.284500000000001</v>
      </c>
      <c r="AB40" s="64" t="str">
        <f>VLOOKUP(A40,Enforcements!$C$7:$K$21,8,0)</f>
        <v>Bulletin (2)</v>
      </c>
      <c r="AC40" s="60" t="str">
        <f>VLOOKUP(A40,Enforcements!$C$7:$E$21,3,0)</f>
        <v>GRADE CROSSING</v>
      </c>
      <c r="AD40" s="61" t="str">
        <f t="shared" si="11"/>
        <v>0128-21</v>
      </c>
      <c r="AE40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40" s="88" t="str">
        <f t="shared" si="13"/>
        <v>"C:\Program Files (x86)\AstroGrep\AstroGrep.exe" /spath="%USERPROFILE%\AppData\Local\Temp\OnboardLogs" /stypes="app*4010*20161021*"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128-21 --locoid 4010 --swversion DE.1.0.7.0 --startMP 204:232984 --initTime 2016-10-21T07:46:53 --startdatetime 2016-10-21T07:56:31 --delay 1 --endMP 204:139 --enddatetime 2016-10-21T08:39:53 --enforcementcount 0 &gt;&gt;C:\Users\stu\Documents\GitHub\eaglep3-reporting\EC\2016-10-21-refined-times.txt</v>
      </c>
      <c r="AI4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ID","value":"128-21"},{"id":16,"name":"Locomotive ID","value":"4010"},{"id":130,"name":"Impact","value":""},{"id":150,"name":"Time of Event (Mountain Time)","value":"08:39:53"},{"id":151,"name":"Denver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474</v>
      </c>
      <c r="B41" s="7">
        <v>4016</v>
      </c>
      <c r="C41" s="22" t="s">
        <v>99</v>
      </c>
      <c r="D41" s="22" t="s">
        <v>285</v>
      </c>
      <c r="E41" s="13">
        <v>42664.297708333332</v>
      </c>
      <c r="F41" s="13">
        <v>42664.302233796298</v>
      </c>
      <c r="G41" s="7">
        <v>1</v>
      </c>
      <c r="H41" s="13" t="s">
        <v>334</v>
      </c>
      <c r="I41" s="13">
        <v>42664.326921296299</v>
      </c>
      <c r="J41" s="7">
        <v>0</v>
      </c>
      <c r="K41" s="112" t="str">
        <f t="shared" si="0"/>
        <v>4015/4016</v>
      </c>
      <c r="L41" s="22" t="str">
        <f>VLOOKUP(A41,'Trips&amp;Operators'!$C$1:$E$10000,3,FALSE)</f>
        <v>ROBINSON</v>
      </c>
      <c r="M41" s="6">
        <f t="shared" si="1"/>
        <v>2.4687500001164153E-2</v>
      </c>
      <c r="N41" s="7">
        <f t="shared" si="2"/>
        <v>35.550000001676381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06:08:42-0600',mode:absolute,to:'2016-10-21 08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4.4900000000000002E-2</v>
      </c>
      <c r="Z41" s="67">
        <f t="shared" si="9"/>
        <v>23.330200000000001</v>
      </c>
      <c r="AA41" s="67">
        <f t="shared" si="10"/>
        <v>23.285300000000003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0129-21</v>
      </c>
      <c r="AE41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41" s="88" t="str">
        <f t="shared" si="13"/>
        <v>"C:\Program Files (x86)\AstroGrep\AstroGrep.exe" /spath="%USERPROFILE%\AppData\Local\Temp\OnboardLogs" /stypes="app*4016*20161021*"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129-21 --locoid 4016 --swversion DE.1.0.7.0 --startMP 204:449 --initTime 2016-10-21T07:08:42 --startdatetime 2016-10-21T07:15:13 --delay 1 --endMP 204:233302 --enddatetime 2016-10-21T07:50:46 --enforcementcount 0 &gt;&gt;C:\Users\stu\Documents\GitHub\eaglep3-reporting\EC\2016-10-21-refined-times.txt</v>
      </c>
      <c r="AI4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{"issue":{"subject":"","project_id":79,"tracker_id":40,"status_id":1,"priority_id":2,"assigned_to_id":23,"start_date":"2016-10-21","description":"","custom_fields":[{"id":1,"name":"Subdivision","value":"EC"},{"id":4,"name":"Milepost","value":"23.3302"},{"id":17,"name":"Train ID","value":"129-21"},{"id":16,"name":"Locomotive ID","value":"4016"},{"id":130,"name":"Impact","value":""},{"id":150,"name":"Time of Event (Mountain Time)","value":"07:50:46"},{"id":151,"name":"Denver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480</v>
      </c>
      <c r="B42" s="7">
        <v>4015</v>
      </c>
      <c r="C42" s="22" t="s">
        <v>99</v>
      </c>
      <c r="D42" s="22" t="s">
        <v>329</v>
      </c>
      <c r="E42" s="13">
        <v>42664.328842592593</v>
      </c>
      <c r="F42" s="13">
        <v>42664.341157407405</v>
      </c>
      <c r="G42" s="7">
        <v>1</v>
      </c>
      <c r="H42" s="13" t="s">
        <v>227</v>
      </c>
      <c r="I42" s="13">
        <v>42664.369953703703</v>
      </c>
      <c r="J42" s="7">
        <v>0</v>
      </c>
      <c r="K42" s="112" t="str">
        <f t="shared" si="0"/>
        <v>4015/4016</v>
      </c>
      <c r="L42" s="22" t="str">
        <f>VLOOKUP(A42,'Trips&amp;Operators'!$C$1:$E$10000,3,FALSE)</f>
        <v>ROBINSON</v>
      </c>
      <c r="M42" s="6">
        <f t="shared" si="1"/>
        <v>2.8796296297514345E-2</v>
      </c>
      <c r="N42" s="7">
        <f t="shared" si="2"/>
        <v>41.466666668420658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06:53:32-0600',mode:absolute,to:'2016-10-21 09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2" s="52" t="str">
        <f t="shared" si="6"/>
        <v>N</v>
      </c>
      <c r="X42" s="171">
        <f t="shared" si="7"/>
        <v>1</v>
      </c>
      <c r="Y42" s="67">
        <f t="shared" si="8"/>
        <v>23.299600000000002</v>
      </c>
      <c r="Z42" s="67">
        <f t="shared" si="9"/>
        <v>1.4999999999999999E-2</v>
      </c>
      <c r="AA42" s="67">
        <f t="shared" si="10"/>
        <v>23.284600000000001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0130-21</v>
      </c>
      <c r="AE42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42" s="88" t="str">
        <f t="shared" si="13"/>
        <v>"C:\Program Files (x86)\AstroGrep\AstroGrep.exe" /spath="%USERPROFILE%\AppData\Local\Temp\OnboardLogs" /stypes="app*4015*20161021*"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130-21 --locoid 4015 --swversion DE.1.0.7.0 --startMP 204:232996 --initTime 2016-10-21T07:53:32 --startdatetime 2016-10-21T08:11:16 --delay 1 --endMP 204:150 --enddatetime 2016-10-21T08:52:44 --enforcementcount 0 &gt;&gt;C:\Users\stu\Documents\GitHub\eaglep3-reporting\EC\2016-10-21-refined-times.txt</v>
      </c>
      <c r="AI4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{"issue":{"subject":"","project_id":79,"tracker_id":40,"status_id":1,"priority_id":2,"assigned_to_id":23,"start_date":"2016-10-21","description":"","custom_fields":[{"id":1,"name":"Subdivision","value":"EC"},{"id":4,"name":"Milepost","value":"0.015"},{"id":17,"name":"Train ID","value":"130-21"},{"id":16,"name":"Locomotive ID","value":"4015"},{"id":130,"name":"Impact","value":""},{"id":150,"name":"Time of Event (Mountain Time)","value":"08:52:44"},{"id":151,"name":"Denver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477</v>
      </c>
      <c r="B43" s="7">
        <v>4042</v>
      </c>
      <c r="C43" s="22" t="s">
        <v>99</v>
      </c>
      <c r="D43" s="22" t="s">
        <v>223</v>
      </c>
      <c r="E43" s="13">
        <v>42664.308564814812</v>
      </c>
      <c r="F43" s="13">
        <v>42664.312662037039</v>
      </c>
      <c r="G43" s="7">
        <v>1</v>
      </c>
      <c r="H43" s="13" t="s">
        <v>647</v>
      </c>
      <c r="I43" s="13">
        <v>42664.339201388888</v>
      </c>
      <c r="J43" s="7">
        <v>0</v>
      </c>
      <c r="K43" s="112" t="str">
        <f t="shared" si="0"/>
        <v>4041/4042</v>
      </c>
      <c r="L43" s="22" t="str">
        <f>VLOOKUP(A43,'Trips&amp;Operators'!$C$1:$E$10000,3,FALSE)</f>
        <v>DAVIS</v>
      </c>
      <c r="M43" s="6">
        <f t="shared" si="1"/>
        <v>2.6539351849351078E-2</v>
      </c>
      <c r="N43" s="7">
        <f t="shared" si="2"/>
        <v>38.216666663065553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06:24:20-0600',mode:absolute,to:'2016-10-21 09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4.58E-2</v>
      </c>
      <c r="Z43" s="67">
        <f t="shared" si="9"/>
        <v>23.3322</v>
      </c>
      <c r="AA43" s="67">
        <f t="shared" si="10"/>
        <v>23.2864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0131-21</v>
      </c>
      <c r="AE43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43" s="88" t="str">
        <f t="shared" si="13"/>
        <v>"C:\Program Files (x86)\AstroGrep\AstroGrep.exe" /spath="%USERPROFILE%\AppData\Local\Temp\OnboardLogs" /stypes="app*4042*20161021*"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131-21 --locoid 4042 --swversion DE.1.0.7.0 --startMP 204:458 --initTime 2016-10-21T07:24:20 --startdatetime 2016-10-21T07:30:14 --delay 1 --endMP 204:233322 --enddatetime 2016-10-21T08:08:27 --enforcementcount 0 &gt;&gt;C:\Users\stu\Documents\GitHub\eaglep3-reporting\EC\2016-10-21-refined-times.txt</v>
      </c>
      <c r="AI4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{"issue":{"subject":"","project_id":79,"tracker_id":40,"status_id":1,"priority_id":2,"assigned_to_id":23,"start_date":"2016-10-21","description":"","custom_fields":[{"id":1,"name":"Subdivision","value":"EC"},{"id":4,"name":"Milepost","value":"23.3322"},{"id":17,"name":"Train ID","value":"131-21"},{"id":16,"name":"Locomotive ID","value":"4042"},{"id":130,"name":"Impact","value":""},{"id":150,"name":"Time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485</v>
      </c>
      <c r="B44" s="7">
        <v>4041</v>
      </c>
      <c r="C44" s="22" t="s">
        <v>99</v>
      </c>
      <c r="D44" s="22" t="s">
        <v>336</v>
      </c>
      <c r="E44" s="13">
        <v>42664.348402777781</v>
      </c>
      <c r="F44" s="13">
        <v>42664.349282407406</v>
      </c>
      <c r="G44" s="7">
        <v>1</v>
      </c>
      <c r="H44" s="13" t="s">
        <v>648</v>
      </c>
      <c r="I44" s="13">
        <v>42664.367314814815</v>
      </c>
      <c r="J44" s="7">
        <v>0</v>
      </c>
      <c r="K44" s="112" t="str">
        <f t="shared" si="0"/>
        <v>4041/4042</v>
      </c>
      <c r="L44" s="22" t="str">
        <f>VLOOKUP(A44,'Trips&amp;Operators'!$C$1:$E$10000,3,FALSE)</f>
        <v>DAVIS</v>
      </c>
      <c r="M44" s="6">
        <f t="shared" si="1"/>
        <v>1.803240740991896E-2</v>
      </c>
      <c r="N44" s="7"/>
      <c r="O44" s="7"/>
      <c r="P44" s="7">
        <f>24*60*SUM($M44:$M45)</f>
        <v>47.266666672658175</v>
      </c>
      <c r="Q44" s="23"/>
      <c r="R44" s="23" t="s">
        <v>784</v>
      </c>
      <c r="S44" s="35">
        <f>SUM(U44:U45)/IF(AG44="EC",12,1)</f>
        <v>0.83333333333333337</v>
      </c>
      <c r="T44" s="50" t="str">
        <f t="shared" si="4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07:21:42-0600',mode:absolute,to:'2016-10-21 09:48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6"/>
        <v>Y</v>
      </c>
      <c r="X44" s="171">
        <f t="shared" si="7"/>
        <v>1</v>
      </c>
      <c r="Y44" s="67">
        <f t="shared" si="8"/>
        <v>23.301100000000002</v>
      </c>
      <c r="Z44" s="67">
        <f t="shared" si="9"/>
        <v>12.7768</v>
      </c>
      <c r="AA44" s="67">
        <f t="shared" si="10"/>
        <v>10.524300000000002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0132-21</v>
      </c>
      <c r="AE44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44" s="88" t="str">
        <f t="shared" si="13"/>
        <v>"C:\Program Files (x86)\AstroGrep\AstroGrep.exe" /spath="%USERPROFILE%\AppData\Local\Temp\OnboardLogs" /stypes="app*4041*20161021*"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132-21 --locoid 4041 --swversion DE.1.0.7.0 --startMP 204:233011 --initTime 2016-10-21T08:21:42 --startdatetime 2016-10-21T08:22:58 --delay 1 --endMP 204:127768 --enddatetime 2016-10-21T08:48:56 --enforcementcount 0 &gt;&gt;C:\Users\stu\Documents\GitHub\eaglep3-reporting\EC\2016-10-21-refined-times.txt</v>
      </c>
      <c r="AI44" s="122" t="str">
        <f t="shared" si="18"/>
        <v>echo {"issue":{"subject":"CP 40th ELXS failure","project_id":79,"tracker_id":40,"status_id":1,"priority_id":2,"assigned_to_id":23,"start_date":"2016-10-21","description":"","custom_fields":[{"id":1,"name":"Subdivision","value":"EC"},{"id":4,"name":"Milepost","value":"12.7768"},{"id":17,"name":"Train ID","value":"132-21"},{"id":16,"name":"Locomotive ID","value":"4041"},{"id":130,"name":"Impact","value":""},{"id":150,"name":"Time of Event (Mountain Time)","value":"08:48:56"},{"id":151,"name":"Denver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485</v>
      </c>
      <c r="B45" s="7">
        <v>4041</v>
      </c>
      <c r="C45" s="22" t="s">
        <v>99</v>
      </c>
      <c r="D45" s="22" t="s">
        <v>649</v>
      </c>
      <c r="E45" s="13">
        <v>42664.371099537035</v>
      </c>
      <c r="F45" s="13">
        <v>42664.371874999997</v>
      </c>
      <c r="G45" s="7">
        <v>1</v>
      </c>
      <c r="H45" s="13" t="s">
        <v>176</v>
      </c>
      <c r="I45" s="13">
        <v>42664.386666666665</v>
      </c>
      <c r="J45" s="7">
        <v>0</v>
      </c>
      <c r="K45" s="112" t="str">
        <f t="shared" si="0"/>
        <v>4041/4042</v>
      </c>
      <c r="L45" s="22" t="str">
        <f>VLOOKUP(A45,'Trips&amp;Operators'!$C$1:$E$10000,3,FALSE)</f>
        <v>DAVIS</v>
      </c>
      <c r="M45" s="6">
        <f t="shared" si="1"/>
        <v>1.4791666668315884E-2</v>
      </c>
      <c r="N45" s="7"/>
      <c r="O45" s="7"/>
      <c r="P45" s="7"/>
      <c r="Q45" s="23"/>
      <c r="R45" s="23"/>
      <c r="S45" s="35"/>
      <c r="T45" s="50" t="str">
        <f t="shared" si="4"/>
        <v>Southbound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10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07:54:23-0600',mode:absolute,to:'2016-10-21 10:16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5" s="52" t="str">
        <f t="shared" si="6"/>
        <v>Y</v>
      </c>
      <c r="X45" s="171">
        <f t="shared" si="7"/>
        <v>0</v>
      </c>
      <c r="Y45" s="67">
        <f t="shared" si="8"/>
        <v>8.6353000000000009</v>
      </c>
      <c r="Z45" s="67">
        <f t="shared" si="9"/>
        <v>1.47E-2</v>
      </c>
      <c r="AA45" s="67">
        <f t="shared" si="10"/>
        <v>8.6206000000000014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0132-21</v>
      </c>
      <c r="AE45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45" s="88" t="str">
        <f t="shared" si="13"/>
        <v>"C:\Program Files (x86)\AstroGrep\AstroGrep.exe" /spath="%USERPROFILE%\AppData\Local\Temp\OnboardLogs" /stypes="app*4041*20161021*"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132-21 --locoid 4041 --swversion DE.1.0.7.0 --startMP 204:86353 --initTime 2016-10-21T08:54:23 --startdatetime 2016-10-21T08:55:30 --delay 1 --endMP 204:147 --enddatetime 2016-10-21T09:16:48 --enforcementcount 0 &gt;&gt;C:\Users\stu\Documents\GitHub\eaglep3-reporting\EC\2016-10-21-refined-times.txt</v>
      </c>
      <c r="AI4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ID","value":"132-21"},{"id":16,"name":"Locomotive ID","value":"4041"},{"id":130,"name":"Impact","value":""},{"id":150,"name":"Time of Event (Mountain Time)","value":"09:16:48"},{"id":151,"name":"Denver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478</v>
      </c>
      <c r="B46" s="7">
        <v>4027</v>
      </c>
      <c r="C46" s="22" t="s">
        <v>99</v>
      </c>
      <c r="D46" s="22" t="s">
        <v>223</v>
      </c>
      <c r="E46" s="13">
        <v>42664.320949074077</v>
      </c>
      <c r="F46" s="13">
        <v>42664.323217592595</v>
      </c>
      <c r="G46" s="7">
        <v>1</v>
      </c>
      <c r="H46" s="13" t="s">
        <v>628</v>
      </c>
      <c r="I46" s="13">
        <v>42664.347881944443</v>
      </c>
      <c r="J46" s="7">
        <v>0</v>
      </c>
      <c r="K46" s="112" t="str">
        <f t="shared" si="0"/>
        <v>4027/4028</v>
      </c>
      <c r="L46" s="22" t="str">
        <f>VLOOKUP(A46,'Trips&amp;Operators'!$C$1:$E$10000,3,FALSE)</f>
        <v>MALAVE</v>
      </c>
      <c r="M46" s="6">
        <f t="shared" si="1"/>
        <v>2.4664351847604848E-2</v>
      </c>
      <c r="N46" s="7">
        <f t="shared" si="2"/>
        <v>35.516666660550982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06:42:10-0600',mode:absolute,to:'2016-10-21 09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6" s="52" t="str">
        <f t="shared" si="6"/>
        <v>N</v>
      </c>
      <c r="X46" s="171">
        <f t="shared" si="7"/>
        <v>1</v>
      </c>
      <c r="Y46" s="67">
        <f t="shared" si="8"/>
        <v>4.58E-2</v>
      </c>
      <c r="Z46" s="67">
        <f t="shared" si="9"/>
        <v>23.3291</v>
      </c>
      <c r="AA46" s="67">
        <f t="shared" si="10"/>
        <v>23.283300000000001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0133-21</v>
      </c>
      <c r="AE46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46" s="88" t="str">
        <f t="shared" si="13"/>
        <v>"C:\Program Files (x86)\AstroGrep\AstroGrep.exe" /spath="%USERPROFILE%\AppData\Local\Temp\OnboardLogs" /stypes="app*4027*20161021*"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133-21 --locoid 4027 --swversion DE.1.0.7.0 --startMP 204:458 --initTime 2016-10-21T07:42:10 --startdatetime 2016-10-21T07:45:26 --delay 1 --endMP 204:233291 --enddatetime 2016-10-21T08:20:57 --enforcementcount 0 &gt;&gt;C:\Users\stu\Documents\GitHub\eaglep3-reporting\EC\2016-10-21-refined-times.txt</v>
      </c>
      <c r="AI4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ID","value":"133-21"},{"id":16,"name":"Locomotive ID","value":"4027"},{"id":130,"name":"Impact","value":""},{"id":150,"name":"Time of Event (Mountain Time)","value":"08:20:57"},{"id":151,"name":"Denver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487</v>
      </c>
      <c r="B47" s="7">
        <v>4028</v>
      </c>
      <c r="C47" s="22" t="s">
        <v>99</v>
      </c>
      <c r="D47" s="22" t="s">
        <v>363</v>
      </c>
      <c r="E47" s="13">
        <v>42664.3596412037</v>
      </c>
      <c r="F47" s="13">
        <v>42664.362175925926</v>
      </c>
      <c r="G47" s="7">
        <v>1</v>
      </c>
      <c r="H47" s="13" t="s">
        <v>177</v>
      </c>
      <c r="I47" s="13">
        <v>42664.38962962963</v>
      </c>
      <c r="J47" s="7">
        <v>0</v>
      </c>
      <c r="K47" s="112" t="str">
        <f t="shared" si="0"/>
        <v>4027/4028</v>
      </c>
      <c r="L47" s="22" t="str">
        <f>VLOOKUP(A47,'Trips&amp;Operators'!$C$1:$E$10000,3,FALSE)</f>
        <v>MALAVE</v>
      </c>
      <c r="M47" s="6">
        <f t="shared" si="1"/>
        <v>2.7453703703940846E-2</v>
      </c>
      <c r="N47" s="7">
        <f t="shared" si="2"/>
        <v>39.533333333674818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07:37:53-0600',mode:absolute,to:'2016-10-21 10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7" s="52" t="str">
        <f t="shared" si="6"/>
        <v>N</v>
      </c>
      <c r="X47" s="171">
        <f t="shared" si="7"/>
        <v>1</v>
      </c>
      <c r="Y47" s="67">
        <f t="shared" si="8"/>
        <v>23.296600000000002</v>
      </c>
      <c r="Z47" s="67">
        <f t="shared" si="9"/>
        <v>1.52E-2</v>
      </c>
      <c r="AA47" s="67">
        <f t="shared" si="10"/>
        <v>23.281400000000001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0134-21</v>
      </c>
      <c r="AE47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47" s="88" t="str">
        <f t="shared" si="13"/>
        <v>"C:\Program Files (x86)\AstroGrep\AstroGrep.exe" /spath="%USERPROFILE%\AppData\Local\Temp\OnboardLogs" /stypes="app*4028*20161021*"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134-21 --locoid 4028 --swversion DE.1.0.7.0 --startMP 204:232966 --initTime 2016-10-21T08:37:53 --startdatetime 2016-10-21T08:41:32 --delay 1 --endMP 204:152 --enddatetime 2016-10-21T09:21:04 --enforcementcount 0 &gt;&gt;C:\Users\stu\Documents\GitHub\eaglep3-reporting\EC\2016-10-21-refined-times.txt</v>
      </c>
      <c r="AI4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ID","value":"134-21"},{"id":16,"name":"Locomotive ID","value":"4028"},{"id":130,"name":"Impact","value":""},{"id":150,"name":"Time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481</v>
      </c>
      <c r="B48" s="7">
        <v>4018</v>
      </c>
      <c r="C48" s="22" t="s">
        <v>99</v>
      </c>
      <c r="D48" s="22" t="s">
        <v>231</v>
      </c>
      <c r="E48" s="13">
        <v>42664.330648148149</v>
      </c>
      <c r="F48" s="13">
        <v>42664.333773148152</v>
      </c>
      <c r="G48" s="7">
        <v>1</v>
      </c>
      <c r="H48" s="13" t="s">
        <v>287</v>
      </c>
      <c r="I48" s="13">
        <v>42664.360162037039</v>
      </c>
      <c r="J48" s="7">
        <v>0</v>
      </c>
      <c r="K48" s="112" t="str">
        <f t="shared" si="0"/>
        <v>4017/4018</v>
      </c>
      <c r="L48" s="22" t="str">
        <f>VLOOKUP(A48,'Trips&amp;Operators'!$C$1:$E$10000,3,FALSE)</f>
        <v>SANTIZO</v>
      </c>
      <c r="M48" s="6">
        <f t="shared" si="1"/>
        <v>2.6388888887595385E-2</v>
      </c>
      <c r="N48" s="7">
        <f t="shared" si="2"/>
        <v>37.999999998137355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06:56:08-0600',mode:absolute,to:'2016-10-21 09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8" s="52" t="str">
        <f t="shared" si="6"/>
        <v>N</v>
      </c>
      <c r="X48" s="171">
        <f t="shared" si="7"/>
        <v>1</v>
      </c>
      <c r="Y48" s="67">
        <f t="shared" si="8"/>
        <v>4.6399999999999997E-2</v>
      </c>
      <c r="Z48" s="67">
        <f t="shared" si="9"/>
        <v>23.331099999999999</v>
      </c>
      <c r="AA48" s="67">
        <f t="shared" si="10"/>
        <v>23.284700000000001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0135-21</v>
      </c>
      <c r="AE48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48" s="88" t="str">
        <f t="shared" si="13"/>
        <v>"C:\Program Files (x86)\AstroGrep\AstroGrep.exe" /spath="%USERPROFILE%\AppData\Local\Temp\OnboardLogs" /stypes="app*4018*20161021*"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135-21 --locoid 4018 --swversion DE.1.0.7.0 --startMP 204:464 --initTime 2016-10-21T07:56:08 --startdatetime 2016-10-21T08:00:38 --delay 1 --endMP 204:233311 --enddatetime 2016-10-21T08:38:38 --enforcementcount 0 &gt;&gt;C:\Users\stu\Documents\GitHub\eaglep3-reporting\EC\2016-10-21-refined-times.txt</v>
      </c>
      <c r="AI4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ID","value":"135-21"},{"id":16,"name":"Locomotive ID","value":"4018"},{"id":130,"name":"Impact","value":""},{"id":150,"name":"Time of Event (Mountain Time)","value":"08:38:38"},{"id":151,"name":"Denver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407</v>
      </c>
      <c r="B49" s="7">
        <v>4017</v>
      </c>
      <c r="C49" s="22" t="s">
        <v>99</v>
      </c>
      <c r="D49" s="22" t="s">
        <v>257</v>
      </c>
      <c r="E49" s="13">
        <v>42664.36109953704</v>
      </c>
      <c r="F49" s="13">
        <v>42664.361770833333</v>
      </c>
      <c r="G49" s="7">
        <v>0</v>
      </c>
      <c r="H49" s="13" t="s">
        <v>650</v>
      </c>
      <c r="I49" s="13">
        <v>42664.385196759256</v>
      </c>
      <c r="J49" s="7">
        <v>1</v>
      </c>
      <c r="K49" s="112" t="str">
        <f t="shared" si="0"/>
        <v>4017/4018</v>
      </c>
      <c r="L49" s="22" t="str">
        <f>VLOOKUP(A49,'Trips&amp;Operators'!$C$1:$E$10000,3,FALSE)</f>
        <v>SANTIZO</v>
      </c>
      <c r="M49" s="6">
        <f t="shared" si="1"/>
        <v>2.3425925923220348E-2</v>
      </c>
      <c r="N49" s="7"/>
      <c r="O49" s="7"/>
      <c r="P49" s="7">
        <f>24*60*SUM($M49:$M50)</f>
        <v>35.933333330322057</v>
      </c>
      <c r="Q49" s="23"/>
      <c r="R49" s="23" t="s">
        <v>784</v>
      </c>
      <c r="S49" s="35">
        <f>SUM(U49:U50)/IF(AG49="EC",12,1)</f>
        <v>0</v>
      </c>
      <c r="T49" s="50" t="str">
        <f t="shared" si="4"/>
        <v>Southbound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07:39:59-0600',mode:absolute,to:'2016-10-21 10:14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9" s="52" t="str">
        <f t="shared" si="6"/>
        <v>Y</v>
      </c>
      <c r="X49" s="171">
        <f t="shared" si="7"/>
        <v>1</v>
      </c>
      <c r="Y49" s="67">
        <f t="shared" si="8"/>
        <v>23.297699999999999</v>
      </c>
      <c r="Z49" s="67">
        <f t="shared" si="9"/>
        <v>14.992100000000001</v>
      </c>
      <c r="AA49" s="67">
        <f t="shared" si="10"/>
        <v>8.3055999999999983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0136-21</v>
      </c>
      <c r="AE49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49" s="88" t="str">
        <f t="shared" si="13"/>
        <v>"C:\Program Files (x86)\AstroGrep\AstroGrep.exe" /spath="%USERPROFILE%\AppData\Local\Temp\OnboardLogs" /stypes="app*4017*20161021*"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136-21 --locoid 4017 --swversion DE.1.0.7.0 --startMP 204:232977 --initTime 2016-10-21T08:39:59 --startdatetime 2016-10-21T08:40:57 --delay 0 --endMP 204:149921 --enddatetime 2016-10-21T09:14:41 --enforcementcount 1 &gt;&gt;C:\Users\stu\Documents\GitHub\eaglep3-reporting\EC\2016-10-21-refined-times.txt</v>
      </c>
      <c r="AI49" s="122" t="str">
        <f t="shared" si="18"/>
        <v>echo {"issue":{"subject":"CP 40th ELXS failure","project_id":79,"tracker_id":40,"status_id":1,"priority_id":2,"assigned_to_id":23,"start_date":"2016-10-21","description":"","custom_fields":[{"id":1,"name":"Subdivision","value":"EC"},{"id":4,"name":"Milepost","value":"14.9921"},{"id":17,"name":"Train ID","value":"136-21"},{"id":16,"name":"Locomotive ID","value":"4017"},{"id":130,"name":"Impact","value":""},{"id":150,"name":"Time of Event (Mountain Time)","value":"09:14:41"},{"id":151,"name":"Denver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407</v>
      </c>
      <c r="B50" s="7">
        <v>4017</v>
      </c>
      <c r="C50" s="22" t="s">
        <v>99</v>
      </c>
      <c r="D50" s="22" t="s">
        <v>651</v>
      </c>
      <c r="E50" s="13">
        <v>42664.398252314815</v>
      </c>
      <c r="F50" s="13">
        <v>42664.398819444446</v>
      </c>
      <c r="G50" s="7">
        <v>0</v>
      </c>
      <c r="H50" s="13" t="s">
        <v>652</v>
      </c>
      <c r="I50" s="13">
        <v>42664.400347222225</v>
      </c>
      <c r="J50" s="7">
        <v>0</v>
      </c>
      <c r="K50" s="112" t="str">
        <f t="shared" si="0"/>
        <v>4017/4018</v>
      </c>
      <c r="L50" s="22" t="str">
        <f>VLOOKUP(A50,'Trips&amp;Operators'!$C$1:$E$10000,3,FALSE)</f>
        <v>SANTIZO</v>
      </c>
      <c r="M50" s="6">
        <f t="shared" si="1"/>
        <v>1.527777778392192E-3</v>
      </c>
      <c r="N50" s="7"/>
      <c r="O50" s="7"/>
      <c r="P50" s="7"/>
      <c r="Q50" s="23"/>
      <c r="R50" s="23"/>
      <c r="S50" s="35"/>
      <c r="T50" s="50" t="str">
        <f t="shared" si="4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08:33:29-0600',mode:absolute,to:'2016-10-21 10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0" s="52" t="str">
        <f t="shared" si="6"/>
        <v>Y</v>
      </c>
      <c r="X50" s="171">
        <f t="shared" si="7"/>
        <v>0</v>
      </c>
      <c r="Y50" s="67">
        <f t="shared" si="8"/>
        <v>8.6351999999999993</v>
      </c>
      <c r="Z50" s="67">
        <f t="shared" si="9"/>
        <v>8.3171999999999997</v>
      </c>
      <c r="AA50" s="67">
        <f t="shared" si="10"/>
        <v>0.31799999999999962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0136-21</v>
      </c>
      <c r="AE50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50" s="88" t="str">
        <f t="shared" si="13"/>
        <v>"C:\Program Files (x86)\AstroGrep\AstroGrep.exe" /spath="%USERPROFILE%\AppData\Local\Temp\OnboardLogs" /stypes="app*4017*20161021*"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136-21 --locoid 4017 --swversion DE.1.0.7.0 --startMP 204:86352 --initTime 2016-10-21T09:33:29 --startdatetime 2016-10-21T09:34:18 --delay 0 --endMP 204:83172 --enddatetime 2016-10-21T09:36:30 --enforcementcount 0 &gt;&gt;C:\Users\stu\Documents\GitHub\eaglep3-reporting\EC\2016-10-21-refined-times.txt</v>
      </c>
      <c r="AI5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{"issue":{"subject":"","project_id":79,"tracker_id":40,"status_id":1,"priority_id":2,"assigned_to_id":23,"start_date":"2016-10-21","description":"","custom_fields":[{"id":1,"name":"Subdivision","value":"EC"},{"id":4,"name":"Milepost","value":"8.3172"},{"id":17,"name":"Train ID","value":"136-21"},{"id":16,"name":"Locomotive ID","value":"4017"},{"id":130,"name":"Impact","value":""},{"id":150,"name":"Time of Event (Mountain Time)","value":"09:36:30"},{"id":151,"name":"Denver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483</v>
      </c>
      <c r="B51" s="7">
        <v>4038</v>
      </c>
      <c r="C51" s="22" t="s">
        <v>99</v>
      </c>
      <c r="D51" s="22" t="s">
        <v>223</v>
      </c>
      <c r="E51" s="13">
        <v>42664.338888888888</v>
      </c>
      <c r="F51" s="13">
        <v>42664.343935185185</v>
      </c>
      <c r="G51" s="7">
        <v>1</v>
      </c>
      <c r="H51" s="13" t="s">
        <v>317</v>
      </c>
      <c r="I51" s="13">
        <v>42664.369212962964</v>
      </c>
      <c r="J51" s="7">
        <v>0</v>
      </c>
      <c r="K51" s="112" t="str">
        <f t="shared" si="0"/>
        <v>4037/4038</v>
      </c>
      <c r="L51" s="22" t="str">
        <f>VLOOKUP(A51,'Trips&amp;Operators'!$C$1:$E$10000,3,FALSE)</f>
        <v>GEBRETEKLE</v>
      </c>
      <c r="M51" s="6">
        <f t="shared" si="1"/>
        <v>2.527777777868323E-2</v>
      </c>
      <c r="N51" s="7">
        <f t="shared" si="2"/>
        <v>36.400000001303852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07:08:00-0600',mode:absolute,to:'2016-10-21 09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1" s="52" t="str">
        <f t="shared" si="6"/>
        <v>N</v>
      </c>
      <c r="X51" s="171">
        <f t="shared" si="7"/>
        <v>1</v>
      </c>
      <c r="Y51" s="67">
        <f t="shared" si="8"/>
        <v>4.58E-2</v>
      </c>
      <c r="Z51" s="67">
        <f t="shared" si="9"/>
        <v>23.331900000000001</v>
      </c>
      <c r="AA51" s="67">
        <f t="shared" si="10"/>
        <v>23.286100000000001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0137-21</v>
      </c>
      <c r="AE51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51" s="88" t="str">
        <f t="shared" si="13"/>
        <v>"C:\Program Files (x86)\AstroGrep\AstroGrep.exe" /spath="%USERPROFILE%\AppData\Local\Temp\OnboardLogs" /stypes="app*4038*20161021*" /stext=" 14:.+((SYSTEM_STATE.+slice.+state.+changed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137-21 --locoid 4038 --swversion DE.1.0.7.0 --startMP 204:458 --initTime 2016-10-21T08:08:00 --startdatetime 2016-10-21T08:15:16 --delay 1 --endMP 204:233319 --enddatetime 2016-10-21T08:51:40 --enforcementcount 0 &gt;&gt;C:\Users\stu\Documents\GitHub\eaglep3-reporting\EC\2016-10-21-refined-times.txt</v>
      </c>
      <c r="AI5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{"issue":{"subject":"","project_id":79,"tracker_id":40,"status_id":1,"priority_id":2,"assigned_to_id":23,"start_date":"2016-10-21","description":"","custom_fields":[{"id":1,"name":"Subdivision","value":"EC"},{"id":4,"name":"Milepost","value":"23.3319"},{"id":17,"name":"Train ID","value":"137-21"},{"id":16,"name":"Locomotive ID","value":"4038"},{"id":130,"name":"Impact","value":""},{"id":150,"name":"Time of Event (Mountain Time)","value":"08:51:40"},{"id":151,"name":"Denver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491</v>
      </c>
      <c r="B52" s="7">
        <v>4037</v>
      </c>
      <c r="C52" s="22" t="s">
        <v>99</v>
      </c>
      <c r="D52" s="22" t="s">
        <v>352</v>
      </c>
      <c r="E52" s="13">
        <v>42664.371828703705</v>
      </c>
      <c r="F52" s="13">
        <v>42664.382928240739</v>
      </c>
      <c r="G52" s="7">
        <v>1</v>
      </c>
      <c r="H52" s="13" t="s">
        <v>177</v>
      </c>
      <c r="I52" s="13">
        <v>42664.416134259256</v>
      </c>
      <c r="J52" s="7">
        <v>0</v>
      </c>
      <c r="K52" s="112" t="str">
        <f t="shared" si="0"/>
        <v>4037/4038</v>
      </c>
      <c r="L52" s="22" t="str">
        <f>VLOOKUP(A52,'Trips&amp;Operators'!$C$1:$E$10000,3,FALSE)</f>
        <v>GEBRETEKLE</v>
      </c>
      <c r="M52" s="6">
        <f t="shared" si="1"/>
        <v>3.3206018517375924E-2</v>
      </c>
      <c r="N52" s="7">
        <f t="shared" si="2"/>
        <v>47.81666666502133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07:55:26-0600',mode:absolute,to:'2016-10-21 10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2" s="52" t="str">
        <f t="shared" si="6"/>
        <v>N</v>
      </c>
      <c r="X52" s="171">
        <f t="shared" si="7"/>
        <v>1</v>
      </c>
      <c r="Y52" s="67">
        <f t="shared" si="8"/>
        <v>23.300599999999999</v>
      </c>
      <c r="Z52" s="67">
        <f t="shared" si="9"/>
        <v>1.52E-2</v>
      </c>
      <c r="AA52" s="67">
        <f t="shared" si="10"/>
        <v>23.285399999999999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0138-21</v>
      </c>
      <c r="AE52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52" s="88" t="str">
        <f t="shared" si="13"/>
        <v>"C:\Program Files (x86)\AstroGrep\AstroGrep.exe" /spath="%USERPROFILE%\AppData\Local\Temp\OnboardLogs" /stypes="app*4037*20161021*"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138-21 --locoid 4037 --swversion DE.1.0.7.0 --startMP 204:233006 --initTime 2016-10-21T08:55:26 --startdatetime 2016-10-21T09:11:25 --delay 1 --endMP 204:152 --enddatetime 2016-10-21T09:59:14 --enforcementcount 0 &gt;&gt;C:\Users\stu\Documents\GitHub\eaglep3-reporting\EC\2016-10-21-refined-times.txt</v>
      </c>
      <c r="AI5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ID","value":"138-21"},{"id":16,"name":"Locomotive ID","value":"4037"},{"id":130,"name":"Impact","value":""},{"id":150,"name":"Time of Event (Mountain Time)","value":"09:59:14"},{"id":151,"name":"Denver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406</v>
      </c>
      <c r="B53" s="7">
        <v>4014</v>
      </c>
      <c r="C53" s="22" t="s">
        <v>99</v>
      </c>
      <c r="D53" s="22" t="s">
        <v>292</v>
      </c>
      <c r="E53" s="13">
        <v>42664.350057870368</v>
      </c>
      <c r="F53" s="13">
        <v>42664.354363425926</v>
      </c>
      <c r="G53" s="7">
        <v>1</v>
      </c>
      <c r="H53" s="13" t="s">
        <v>367</v>
      </c>
      <c r="I53" s="13">
        <v>42664.382291666669</v>
      </c>
      <c r="J53" s="7">
        <v>0</v>
      </c>
      <c r="K53" s="112" t="str">
        <f t="shared" si="0"/>
        <v>4013/4014</v>
      </c>
      <c r="L53" s="22" t="str">
        <f>VLOOKUP(A53,'Trips&amp;Operators'!$C$1:$E$10000,3,FALSE)</f>
        <v>SPECTOR</v>
      </c>
      <c r="M53" s="6">
        <f t="shared" si="1"/>
        <v>2.792824074276723E-2</v>
      </c>
      <c r="N53" s="7">
        <f t="shared" si="2"/>
        <v>40.216666669584811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07:24:05-0600',mode:absolute,to:'2016-10-21 10:10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3" s="52" t="str">
        <f t="shared" si="6"/>
        <v>N</v>
      </c>
      <c r="X53" s="171">
        <f t="shared" si="7"/>
        <v>1</v>
      </c>
      <c r="Y53" s="67">
        <f t="shared" si="8"/>
        <v>4.3700000000000003E-2</v>
      </c>
      <c r="Z53" s="67">
        <f t="shared" si="9"/>
        <v>23.332000000000001</v>
      </c>
      <c r="AA53" s="67">
        <f t="shared" si="10"/>
        <v>23.2883</v>
      </c>
      <c r="AB53" s="64" t="str">
        <f>VLOOKUP(A53,Enforcements!$C$7:$K$21,8,0)</f>
        <v>Bulletin (2)</v>
      </c>
      <c r="AC53" s="60" t="str">
        <f>VLOOKUP(A53,Enforcements!$C$7:$E$21,3,0)</f>
        <v>GRADE CROSSING</v>
      </c>
      <c r="AD53" s="61" t="str">
        <f t="shared" si="11"/>
        <v>0139-21</v>
      </c>
      <c r="AE53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53" s="88" t="str">
        <f t="shared" si="13"/>
        <v>"C:\Program Files (x86)\AstroGrep\AstroGrep.exe" /spath="%USERPROFILE%\AppData\Local\Temp\OnboardLogs" /stypes="app*4014*20161021*"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139-21 --locoid 4014 --swversion DE.1.0.7.0 --startMP 204:437 --initTime 2016-10-21T08:24:05 --startdatetime 2016-10-21T08:30:17 --delay 1 --endMP 204:233320 --enddatetime 2016-10-21T09:10:30 --enforcementcount 0 &gt;&gt;C:\Users\stu\Documents\GitHub\eaglep3-reporting\EC\2016-10-21-refined-times.txt</v>
      </c>
      <c r="AI5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{"issue":{"subject":"","project_id":79,"tracker_id":40,"status_id":1,"priority_id":2,"assigned_to_id":23,"start_date":"2016-10-21","description":"","custom_fields":[{"id":1,"name":"Subdivision","value":"EC"},{"id":4,"name":"Milepost","value":"23.332"},{"id":17,"name":"Train ID","value":"139-21"},{"id":16,"name":"Locomotive ID","value":"4014"},{"id":130,"name":"Impact","value":""},{"id":150,"name":"Time of Event (Mountain Time)","value":"09:10:30"},{"id":151,"name":"Denver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494</v>
      </c>
      <c r="B54" s="7">
        <v>4013</v>
      </c>
      <c r="C54" s="22" t="s">
        <v>99</v>
      </c>
      <c r="D54" s="22" t="s">
        <v>653</v>
      </c>
      <c r="E54" s="13">
        <v>42664.388124999998</v>
      </c>
      <c r="F54" s="13">
        <v>42664.393483796295</v>
      </c>
      <c r="G54" s="7">
        <v>1</v>
      </c>
      <c r="H54" s="13" t="s">
        <v>273</v>
      </c>
      <c r="I54" s="13">
        <v>42664.422708333332</v>
      </c>
      <c r="J54" s="7">
        <v>0</v>
      </c>
      <c r="K54" s="112" t="str">
        <f t="shared" si="0"/>
        <v>4013/4014</v>
      </c>
      <c r="L54" s="22" t="str">
        <f>VLOOKUP(A54,'Trips&amp;Operators'!$C$1:$E$10000,3,FALSE)</f>
        <v>SPECTOR</v>
      </c>
      <c r="M54" s="6">
        <f t="shared" si="1"/>
        <v>2.9224537036498077E-2</v>
      </c>
      <c r="N54" s="7">
        <f t="shared" si="2"/>
        <v>42.083333332557231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08:18:54-0600',mode:absolute,to:'2016-10-21 11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4" s="52" t="str">
        <f t="shared" si="6"/>
        <v>N</v>
      </c>
      <c r="X54" s="171">
        <f t="shared" si="7"/>
        <v>1</v>
      </c>
      <c r="Y54" s="67">
        <f t="shared" si="8"/>
        <v>23.3005</v>
      </c>
      <c r="Z54" s="67">
        <f t="shared" si="9"/>
        <v>1.3899999999999999E-2</v>
      </c>
      <c r="AA54" s="67">
        <f t="shared" si="10"/>
        <v>23.2866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0140-21</v>
      </c>
      <c r="AE54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54" s="88" t="str">
        <f t="shared" si="13"/>
        <v>"C:\Program Files (x86)\AstroGrep\AstroGrep.exe" /spath="%USERPROFILE%\AppData\Local\Temp\OnboardLogs" /stypes="app*4013*20161021*"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140-21 --locoid 4013 --swversion DE.1.0.7.0 --startMP 204:233005 --initTime 2016-10-21T09:18:54 --startdatetime 2016-10-21T09:26:37 --delay 1 --endMP 204:139 --enddatetime 2016-10-21T10:08:42 --enforcementcount 0 &gt;&gt;C:\Users\stu\Documents\GitHub\eaglep3-reporting\EC\2016-10-21-refined-times.txt</v>
      </c>
      <c r="AI5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ID","value":"140-21"},{"id":16,"name":"Locomotive ID","value":"4013"},{"id":130,"name":"Impact","value":""},{"id":150,"name":"Time of Event (Mountain Time)","value":"10:08:42"},{"id":151,"name":"Denver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489</v>
      </c>
      <c r="B55" s="7">
        <v>4009</v>
      </c>
      <c r="C55" s="22" t="s">
        <v>99</v>
      </c>
      <c r="D55" s="22" t="s">
        <v>332</v>
      </c>
      <c r="E55" s="13">
        <v>42664.363043981481</v>
      </c>
      <c r="F55" s="13">
        <v>42664.364965277775</v>
      </c>
      <c r="G55" s="7">
        <v>1</v>
      </c>
      <c r="H55" s="13" t="s">
        <v>654</v>
      </c>
      <c r="I55" s="13">
        <v>42664.391388888886</v>
      </c>
      <c r="J55" s="7">
        <v>0</v>
      </c>
      <c r="K55" s="112" t="str">
        <f t="shared" si="0"/>
        <v>4009/4010</v>
      </c>
      <c r="L55" s="22" t="str">
        <f>VLOOKUP(A55,'Trips&amp;Operators'!$C$1:$E$10000,3,FALSE)</f>
        <v>MAELZER</v>
      </c>
      <c r="M55" s="6">
        <f t="shared" si="1"/>
        <v>2.6423611110658385E-2</v>
      </c>
      <c r="N55" s="7">
        <f t="shared" si="2"/>
        <v>38.049999999348074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07:42:47-0600',mode:absolute,to:'2016-10-21 10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6"/>
        <v>N</v>
      </c>
      <c r="X55" s="171">
        <f t="shared" si="7"/>
        <v>1</v>
      </c>
      <c r="Y55" s="67">
        <f t="shared" si="8"/>
        <v>4.3999999999999997E-2</v>
      </c>
      <c r="Z55" s="67">
        <f t="shared" si="9"/>
        <v>23.329799999999999</v>
      </c>
      <c r="AA55" s="67">
        <f t="shared" si="10"/>
        <v>23.285799999999998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0141-21</v>
      </c>
      <c r="AE55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55" s="88" t="str">
        <f t="shared" si="13"/>
        <v>"C:\Program Files (x86)\AstroGrep\AstroGrep.exe" /spath="%USERPROFILE%\AppData\Local\Temp\OnboardLogs" /stypes="app*4009*20161021*"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141-21 --locoid 4009 --swversion DE.1.0.7.0 --startMP 204:440 --initTime 2016-10-21T08:42:47 --startdatetime 2016-10-21T08:45:33 --delay 1 --endMP 204:233298 --enddatetime 2016-10-21T09:23:36 --enforcementcount 0 &gt;&gt;C:\Users\stu\Documents\GitHub\eaglep3-reporting\EC\2016-10-21-refined-times.txt</v>
      </c>
      <c r="AI5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ID","value":"141-21"},{"id":16,"name":"Locomotive ID","value":"4009"},{"id":130,"name":"Impact","value":""},{"id":150,"name":"Time of Event (Mountain Time)","value":"09:23:36"},{"id":151,"name":"Denver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496</v>
      </c>
      <c r="B56" s="7">
        <v>4010</v>
      </c>
      <c r="C56" s="22" t="s">
        <v>99</v>
      </c>
      <c r="D56" s="22" t="s">
        <v>655</v>
      </c>
      <c r="E56" s="13">
        <v>42664.397511574076</v>
      </c>
      <c r="F56" s="13">
        <v>42664.403946759259</v>
      </c>
      <c r="G56" s="7">
        <v>1</v>
      </c>
      <c r="H56" s="13" t="s">
        <v>224</v>
      </c>
      <c r="I56" s="13">
        <v>42664.433009259257</v>
      </c>
      <c r="J56" s="7">
        <v>0</v>
      </c>
      <c r="K56" s="112" t="str">
        <f t="shared" si="0"/>
        <v>4009/4010</v>
      </c>
      <c r="L56" s="22" t="str">
        <f>VLOOKUP(A56,'Trips&amp;Operators'!$C$1:$E$10000,3,FALSE)</f>
        <v>MAELZER</v>
      </c>
      <c r="M56" s="6">
        <f t="shared" si="1"/>
        <v>2.9062499997962732E-2</v>
      </c>
      <c r="N56" s="7">
        <f t="shared" si="2"/>
        <v>41.849999997066334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08:32:25-0600',mode:absolute,to:'2016-10-21 11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6"/>
        <v>N</v>
      </c>
      <c r="X56" s="171">
        <f t="shared" si="7"/>
        <v>1</v>
      </c>
      <c r="Y56" s="67">
        <f t="shared" si="8"/>
        <v>23.2972</v>
      </c>
      <c r="Z56" s="67">
        <f t="shared" si="9"/>
        <v>1.49E-2</v>
      </c>
      <c r="AA56" s="67">
        <f t="shared" si="10"/>
        <v>23.282299999999999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0142-21</v>
      </c>
      <c r="AE56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56" s="88" t="str">
        <f t="shared" si="13"/>
        <v>"C:\Program Files (x86)\AstroGrep\AstroGrep.exe" /spath="%USERPROFILE%\AppData\Local\Temp\OnboardLogs" /stypes="app*4010*20161021*"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142-21 --locoid 4010 --swversion DE.1.0.7.0 --startMP 204:232972 --initTime 2016-10-21T09:32:25 --startdatetime 2016-10-21T09:41:41 --delay 1 --endMP 204:149 --enddatetime 2016-10-21T10:23:32 --enforcementcount 0 &gt;&gt;C:\Users\stu\Documents\GitHub\eaglep3-reporting\EC\2016-10-21-refined-times.txt</v>
      </c>
      <c r="AI5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ID","value":"142-21"},{"id":16,"name":"Locomotive ID","value":"4010"},{"id":130,"name":"Impact","value":""},{"id":150,"name":"Time of Event (Mountain Time)","value":"10:23:32"},{"id":151,"name":"Denver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490</v>
      </c>
      <c r="B57" s="7">
        <v>4016</v>
      </c>
      <c r="C57" s="22" t="s">
        <v>99</v>
      </c>
      <c r="D57" s="22" t="s">
        <v>223</v>
      </c>
      <c r="E57" s="13">
        <v>42664.371331018519</v>
      </c>
      <c r="F57" s="13">
        <v>42664.375462962962</v>
      </c>
      <c r="G57" s="7">
        <v>1</v>
      </c>
      <c r="H57" s="13" t="s">
        <v>656</v>
      </c>
      <c r="I57" s="13">
        <v>42664.404131944444</v>
      </c>
      <c r="J57" s="7">
        <v>0</v>
      </c>
      <c r="K57" s="112" t="str">
        <f t="shared" si="0"/>
        <v>4015/4016</v>
      </c>
      <c r="L57" s="22" t="str">
        <f>VLOOKUP(A57,'Trips&amp;Operators'!$C$1:$E$10000,3,FALSE)</f>
        <v>ROBINSON</v>
      </c>
      <c r="M57" s="6">
        <f t="shared" si="1"/>
        <v>2.8668981482042E-2</v>
      </c>
      <c r="N57" s="7">
        <f t="shared" si="2"/>
        <v>41.28333333414048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07:54:43-0600',mode:absolute,to:'2016-10-21 10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 t="shared" si="6"/>
        <v>N</v>
      </c>
      <c r="X57" s="171">
        <f t="shared" si="7"/>
        <v>1</v>
      </c>
      <c r="Y57" s="67">
        <f t="shared" si="8"/>
        <v>4.58E-2</v>
      </c>
      <c r="Z57" s="67">
        <f t="shared" si="9"/>
        <v>23.325299999999999</v>
      </c>
      <c r="AA57" s="67">
        <f t="shared" si="10"/>
        <v>23.279499999999999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0143-21</v>
      </c>
      <c r="AE57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57" s="88" t="str">
        <f t="shared" si="13"/>
        <v>"C:\Program Files (x86)\AstroGrep\AstroGrep.exe" /spath="%USERPROFILE%\AppData\Local\Temp\OnboardLogs" /stypes="app*4016*20161021*"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143-21 --locoid 4016 --swversion DE.1.0.7.0 --startMP 204:458 --initTime 2016-10-21T08:54:43 --startdatetime 2016-10-21T09:00:40 --delay 1 --endMP 204:233253 --enddatetime 2016-10-21T09:41:57 --enforcementcount 0 &gt;&gt;C:\Users\stu\Documents\GitHub\eaglep3-reporting\EC\2016-10-21-refined-times.txt</v>
      </c>
      <c r="AI5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{"issue":{"subject":"","project_id":79,"tracker_id":40,"status_id":1,"priority_id":2,"assigned_to_id":23,"start_date":"2016-10-21","description":"","custom_fields":[{"id":1,"name":"Subdivision","value":"EC"},{"id":4,"name":"Milepost","value":"23.3253"},{"id":17,"name":"Train ID","value":"143-21"},{"id":16,"name":"Locomotive ID","value":"4016"},{"id":130,"name":"Impact","value":""},{"id":150,"name":"Time of Event (Mountain Time)","value":"09:41:57"},{"id":151,"name":"Denver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499</v>
      </c>
      <c r="B58" s="7">
        <v>4015</v>
      </c>
      <c r="C58" s="22" t="s">
        <v>99</v>
      </c>
      <c r="D58" s="22" t="s">
        <v>366</v>
      </c>
      <c r="E58" s="13">
        <v>42664.41202546296</v>
      </c>
      <c r="F58" s="13">
        <v>42664.414074074077</v>
      </c>
      <c r="G58" s="7">
        <v>1</v>
      </c>
      <c r="H58" s="13" t="s">
        <v>356</v>
      </c>
      <c r="I58" s="13">
        <v>42664.440625000003</v>
      </c>
      <c r="J58" s="7">
        <v>0</v>
      </c>
      <c r="K58" s="112" t="str">
        <f t="shared" si="0"/>
        <v>4015/4016</v>
      </c>
      <c r="L58" s="22" t="str">
        <f>VLOOKUP(A58,'Trips&amp;Operators'!$C$1:$E$10000,3,FALSE)</f>
        <v>ROBINSON</v>
      </c>
      <c r="M58" s="6">
        <f t="shared" si="1"/>
        <v>2.6550925926130731E-2</v>
      </c>
      <c r="N58" s="7">
        <f t="shared" si="2"/>
        <v>38.233333333628252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08:53:19-0600',mode:absolute,to:'2016-10-21 11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 t="shared" si="6"/>
        <v>N</v>
      </c>
      <c r="X58" s="171">
        <f t="shared" si="7"/>
        <v>1</v>
      </c>
      <c r="Y58" s="67">
        <f t="shared" si="8"/>
        <v>23.293399999999998</v>
      </c>
      <c r="Z58" s="67">
        <f t="shared" si="9"/>
        <v>1.6299999999999999E-2</v>
      </c>
      <c r="AA58" s="67">
        <f t="shared" si="10"/>
        <v>23.277099999999997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0144-21</v>
      </c>
      <c r="AE58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58" s="88" t="str">
        <f t="shared" si="13"/>
        <v>"C:\Program Files (x86)\AstroGrep\AstroGrep.exe" /spath="%USERPROFILE%\AppData\Local\Temp\OnboardLogs" /stypes="app*4015*20161021*"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144-21 --locoid 4015 --swversion DE.1.0.7.0 --startMP 204:232934 --initTime 2016-10-21T09:53:19 --startdatetime 2016-10-21T09:56:16 --delay 1 --endMP 204:163 --enddatetime 2016-10-21T10:34:30 --enforcementcount 0 &gt;&gt;C:\Users\stu\Documents\GitHub\eaglep3-reporting\EC\2016-10-21-refined-times.txt</v>
      </c>
      <c r="AI5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ID","value":"144-21"},{"id":16,"name":"Locomotive ID","value":"4015"},{"id":130,"name":"Impact","value":""},{"id":150,"name":"Time of Event (Mountain Time)","value":"10:34:30"},{"id":151,"name":"Denver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492</v>
      </c>
      <c r="B59" s="7">
        <v>4042</v>
      </c>
      <c r="C59" s="22" t="s">
        <v>99</v>
      </c>
      <c r="D59" s="22" t="s">
        <v>223</v>
      </c>
      <c r="E59" s="13">
        <v>42664.387430555558</v>
      </c>
      <c r="F59" s="13">
        <v>42664.388680555552</v>
      </c>
      <c r="G59" s="7">
        <v>1</v>
      </c>
      <c r="H59" s="13" t="s">
        <v>183</v>
      </c>
      <c r="I59" s="13">
        <v>42664.414270833331</v>
      </c>
      <c r="J59" s="7">
        <v>0</v>
      </c>
      <c r="K59" s="112" t="str">
        <f t="shared" si="0"/>
        <v>4041/4042</v>
      </c>
      <c r="L59" s="22" t="str">
        <f>VLOOKUP(A59,'Trips&amp;Operators'!$C$1:$E$10000,3,FALSE)</f>
        <v>DAVIS</v>
      </c>
      <c r="M59" s="6">
        <f t="shared" si="1"/>
        <v>2.5590277778974269E-2</v>
      </c>
      <c r="N59" s="7">
        <f t="shared" si="2"/>
        <v>36.850000001722947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08:17:54-0600',mode:absolute,to:'2016-10-21 10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6"/>
        <v>N</v>
      </c>
      <c r="X59" s="171">
        <f t="shared" si="7"/>
        <v>1</v>
      </c>
      <c r="Y59" s="67">
        <f t="shared" si="8"/>
        <v>4.58E-2</v>
      </c>
      <c r="Z59" s="67">
        <f t="shared" si="9"/>
        <v>23.331199999999999</v>
      </c>
      <c r="AA59" s="67">
        <f t="shared" si="10"/>
        <v>23.285399999999999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0145-21</v>
      </c>
      <c r="AE59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59" s="88" t="str">
        <f t="shared" si="13"/>
        <v>"C:\Program Files (x86)\AstroGrep\AstroGrep.exe" /spath="%USERPROFILE%\AppData\Local\Temp\OnboardLogs" /stypes="app*4042*20161021*" /stext=" 15:.+((SYSTEM_STATE.+slice.+state.+changed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145-21 --locoid 4042 --swversion DE.1.0.7.0 --startMP 204:458 --initTime 2016-10-21T09:17:54 --startdatetime 2016-10-21T09:19:42 --delay 1 --endMP 204:233312 --enddatetime 2016-10-21T09:56:33 --enforcementcount 0 &gt;&gt;C:\Users\stu\Documents\GitHub\eaglep3-reporting\EC\2016-10-21-refined-times.txt</v>
      </c>
      <c r="AI5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ID","value":"145-21"},{"id":16,"name":"Locomotive ID","value":"4042"},{"id":130,"name":"Impact","value":""},{"id":150,"name":"Time of Event (Mountain Time)","value":"09:56:33"},{"id":151,"name":"Denver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408</v>
      </c>
      <c r="B60" s="7">
        <v>4041</v>
      </c>
      <c r="C60" s="22" t="s">
        <v>99</v>
      </c>
      <c r="D60" s="22" t="s">
        <v>329</v>
      </c>
      <c r="E60" s="13">
        <v>42664.421388888892</v>
      </c>
      <c r="F60" s="13">
        <v>42664.424467592595</v>
      </c>
      <c r="G60" s="7">
        <v>1</v>
      </c>
      <c r="H60" s="13" t="s">
        <v>289</v>
      </c>
      <c r="I60" s="13">
        <v>42664.453206018516</v>
      </c>
      <c r="J60" s="7">
        <v>0</v>
      </c>
      <c r="K60" s="112" t="str">
        <f t="shared" si="0"/>
        <v>4041/4042</v>
      </c>
      <c r="L60" s="22" t="str">
        <f>VLOOKUP(A60,'Trips&amp;Operators'!$C$1:$E$10000,3,FALSE)</f>
        <v>DAVIS</v>
      </c>
      <c r="M60" s="6">
        <f t="shared" si="1"/>
        <v>2.8738425920892041E-2</v>
      </c>
      <c r="N60" s="7">
        <f t="shared" si="2"/>
        <v>41.383333326084539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09:06:48-0600',mode:absolute,to:'2016-10-21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6"/>
        <v>N</v>
      </c>
      <c r="X60" s="171">
        <f t="shared" si="7"/>
        <v>1</v>
      </c>
      <c r="Y60" s="67">
        <f t="shared" si="8"/>
        <v>23.299600000000002</v>
      </c>
      <c r="Z60" s="67">
        <f t="shared" si="9"/>
        <v>1.38E-2</v>
      </c>
      <c r="AA60" s="67">
        <f t="shared" si="10"/>
        <v>23.285800000000002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0146-21</v>
      </c>
      <c r="AE60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60" s="88" t="str">
        <f t="shared" si="13"/>
        <v>"C:\Program Files (x86)\AstroGrep\AstroGrep.exe" /spath="%USERPROFILE%\AppData\Local\Temp\OnboardLogs" /stypes="app*4041*20161021*"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146-21 --locoid 4041 --swversion DE.1.0.7.0 --startMP 204:232996 --initTime 2016-10-21T10:06:48 --startdatetime 2016-10-21T10:11:14 --delay 1 --endMP 204:138 --enddatetime 2016-10-21T10:52:37 --enforcementcount 0 &gt;&gt;C:\Users\stu\Documents\GitHub\eaglep3-reporting\EC\2016-10-21-refined-times.txt</v>
      </c>
      <c r="AI6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{"issue":{"subject":"","project_id":79,"tracker_id":40,"status_id":1,"priority_id":2,"assigned_to_id":23,"start_date":"2016-10-21","description":"","custom_fields":[{"id":1,"name":"Subdivision","value":"EC"},{"id":4,"name":"Milepost","value":"0.0138"},{"id":17,"name":"Train ID","value":"146-21"},{"id":16,"name":"Locomotive ID","value":"4041"},{"id":130,"name":"Impact","value":""},{"id":150,"name":"Time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495</v>
      </c>
      <c r="B61" s="7">
        <v>4027</v>
      </c>
      <c r="C61" s="22" t="s">
        <v>99</v>
      </c>
      <c r="D61" s="22" t="s">
        <v>657</v>
      </c>
      <c r="E61" s="13">
        <v>42664.39434027778</v>
      </c>
      <c r="F61" s="13">
        <v>42664.396099537036</v>
      </c>
      <c r="G61" s="7">
        <v>1</v>
      </c>
      <c r="H61" s="13" t="s">
        <v>316</v>
      </c>
      <c r="I61" s="13">
        <v>42664.421770833331</v>
      </c>
      <c r="J61" s="7">
        <v>0</v>
      </c>
      <c r="K61" s="112" t="str">
        <f t="shared" si="0"/>
        <v>4027/4028</v>
      </c>
      <c r="L61" s="22" t="str">
        <f>VLOOKUP(A61,'Trips&amp;Operators'!$C$1:$E$10000,3,FALSE)</f>
        <v>MALAVE</v>
      </c>
      <c r="M61" s="6">
        <f t="shared" si="1"/>
        <v>2.5671296294603962E-2</v>
      </c>
      <c r="N61" s="7">
        <f t="shared" si="2"/>
        <v>36.966666664229706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08:27:51-0600',mode:absolute,to:'2016-10-21 11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1" s="52" t="str">
        <f t="shared" si="6"/>
        <v>N</v>
      </c>
      <c r="X61" s="171">
        <f t="shared" si="7"/>
        <v>1</v>
      </c>
      <c r="Y61" s="67">
        <f t="shared" si="8"/>
        <v>4.7300000000000002E-2</v>
      </c>
      <c r="Z61" s="67">
        <f t="shared" si="9"/>
        <v>23.327999999999999</v>
      </c>
      <c r="AA61" s="67">
        <f t="shared" si="10"/>
        <v>23.2807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0147-21</v>
      </c>
      <c r="AE61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61" s="88" t="str">
        <f t="shared" si="13"/>
        <v>"C:\Program Files (x86)\AstroGrep\AstroGrep.exe" /spath="%USERPROFILE%\AppData\Local\Temp\OnboardLogs" /stypes="app*4027*20161021*"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147-21 --locoid 4027 --swversion DE.1.0.7.0 --startMP 204:473 --initTime 2016-10-21T09:27:51 --startdatetime 2016-10-21T09:30:23 --delay 1 --endMP 204:233280 --enddatetime 2016-10-21T10:07:21 --enforcementcount 0 &gt;&gt;C:\Users\stu\Documents\GitHub\eaglep3-reporting\EC\2016-10-21-refined-times.txt</v>
      </c>
      <c r="AI6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{"issue":{"subject":"","project_id":79,"tracker_id":40,"status_id":1,"priority_id":2,"assigned_to_id":23,"start_date":"2016-10-21","description":"","custom_fields":[{"id":1,"name":"Subdivision","value":"EC"},{"id":4,"name":"Milepost","value":"23.328"},{"id":17,"name":"Train ID","value":"147-21"},{"id":16,"name":"Locomotive ID","value":"4027"},{"id":130,"name":"Impact","value":""},{"id":150,"name":"Time of Event (Mountain Time)","value":"10:07:21"},{"id":151,"name":"Denver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411</v>
      </c>
      <c r="B62" s="7">
        <v>4028</v>
      </c>
      <c r="C62" s="22" t="s">
        <v>99</v>
      </c>
      <c r="D62" s="22" t="s">
        <v>368</v>
      </c>
      <c r="E62" s="13">
        <v>42664.431423611109</v>
      </c>
      <c r="F62" s="13">
        <v>42664.434930555559</v>
      </c>
      <c r="G62" s="7">
        <v>1</v>
      </c>
      <c r="H62" s="13" t="s">
        <v>268</v>
      </c>
      <c r="I62" s="13">
        <v>42664.464131944442</v>
      </c>
      <c r="J62" s="7">
        <v>0</v>
      </c>
      <c r="K62" s="112" t="str">
        <f t="shared" si="0"/>
        <v>4027/4028</v>
      </c>
      <c r="L62" s="22" t="str">
        <f>VLOOKUP(A62,'Trips&amp;Operators'!$C$1:$E$10000,3,FALSE)</f>
        <v>MALAVE</v>
      </c>
      <c r="M62" s="6">
        <f t="shared" si="1"/>
        <v>2.9201388882938772E-2</v>
      </c>
      <c r="N62" s="7">
        <f t="shared" si="2"/>
        <v>42.049999991431832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09:21:15-0600',mode:absolute,to:'2016-10-21 12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2" s="52" t="str">
        <f t="shared" si="6"/>
        <v>N</v>
      </c>
      <c r="X62" s="171">
        <f t="shared" si="7"/>
        <v>1</v>
      </c>
      <c r="Y62" s="67">
        <f t="shared" si="8"/>
        <v>23.295300000000001</v>
      </c>
      <c r="Z62" s="67">
        <f t="shared" si="9"/>
        <v>1.5599999999999999E-2</v>
      </c>
      <c r="AA62" s="67">
        <f t="shared" si="10"/>
        <v>23.279700000000002</v>
      </c>
      <c r="AB62" s="64" t="str">
        <f>VLOOKUP(A62,Enforcements!$C$7:$K$21,8,0)</f>
        <v>Bulletin (2)</v>
      </c>
      <c r="AC62" s="60" t="str">
        <f>VLOOKUP(A62,Enforcements!$C$7:$E$21,3,0)</f>
        <v>GRADE CROSSING</v>
      </c>
      <c r="AD62" s="61" t="str">
        <f t="shared" si="11"/>
        <v>0148-21</v>
      </c>
      <c r="AE62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62" s="88" t="str">
        <f t="shared" si="13"/>
        <v>"C:\Program Files (x86)\AstroGrep\AstroGrep.exe" /spath="%USERPROFILE%\AppData\Local\Temp\OnboardLogs" /stypes="app*4028*20161021*"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148-21 --locoid 4028 --swversion DE.1.0.7.0 --startMP 204:232953 --initTime 2016-10-21T10:21:15 --startdatetime 2016-10-21T10:26:18 --delay 1 --endMP 204:156 --enddatetime 2016-10-21T11:08:21 --enforcementcount 0 &gt;&gt;C:\Users\stu\Documents\GitHub\eaglep3-reporting\EC\2016-10-21-refined-times.txt</v>
      </c>
      <c r="AI6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ID","value":"148-21"},{"id":16,"name":"Locomotive ID","value":"4028"},{"id":130,"name":"Impact","value":""},{"id":150,"name":"Time of Event (Mountain Time)","value":"11:08:21"},{"id":151,"name":"Denver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498</v>
      </c>
      <c r="B63" s="7">
        <v>4053</v>
      </c>
      <c r="C63" s="22" t="s">
        <v>99</v>
      </c>
      <c r="D63" s="22" t="s">
        <v>228</v>
      </c>
      <c r="E63" s="13">
        <v>42664.402592592596</v>
      </c>
      <c r="F63" s="13">
        <v>42664.406689814816</v>
      </c>
      <c r="G63" s="7">
        <v>1</v>
      </c>
      <c r="H63" s="13" t="s">
        <v>183</v>
      </c>
      <c r="I63" s="13">
        <v>42664.431956018518</v>
      </c>
      <c r="J63" s="7">
        <v>0</v>
      </c>
      <c r="K63" s="112" t="str">
        <f t="shared" si="0"/>
        <v>4053/4054</v>
      </c>
      <c r="L63" s="22" t="str">
        <f>VLOOKUP(A63,'Trips&amp;Operators'!$C$1:$E$10000,3,FALSE)</f>
        <v>GRASTON</v>
      </c>
      <c r="M63" s="6">
        <f t="shared" si="1"/>
        <v>2.5266203701903578E-2</v>
      </c>
      <c r="N63" s="7">
        <f t="shared" si="2"/>
        <v>36.383333330741152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08:39:44-0600',mode:absolute,to:'2016-10-21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3" s="52" t="str">
        <f t="shared" si="6"/>
        <v>N</v>
      </c>
      <c r="X63" s="171">
        <f t="shared" si="7"/>
        <v>1</v>
      </c>
      <c r="Y63" s="67">
        <f t="shared" si="8"/>
        <v>4.4699999999999997E-2</v>
      </c>
      <c r="Z63" s="67">
        <f t="shared" si="9"/>
        <v>23.331199999999999</v>
      </c>
      <c r="AA63" s="67">
        <f t="shared" si="10"/>
        <v>23.2865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0149-21</v>
      </c>
      <c r="AE63" s="91" t="str">
        <f t="shared" si="12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63" s="88" t="str">
        <f t="shared" si="13"/>
        <v>"C:\Program Files (x86)\AstroGrep\AstroGrep.exe" /spath="%USERPROFILE%\AppData\Local\Temp\OnboardLogs" /stypes="app*4053*20161021*"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149-21 --locoid 4053 --swversion DE.1.0.7.0 --startMP 204:447 --initTime 2016-10-21T09:39:44 --startdatetime 2016-10-21T09:45:38 --delay 1 --endMP 204:233312 --enddatetime 2016-10-21T10:22:01 --enforcementcount 0 &gt;&gt;C:\Users\stu\Documents\GitHub\eaglep3-reporting\EC\2016-10-21-refined-times.txt</v>
      </c>
      <c r="AI6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ID","value":"149-21"},{"id":16,"name":"Locomotive ID","value":"4053"},{"id":130,"name":"Impact","value":""},{"id":150,"name":"Time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502</v>
      </c>
      <c r="B64" s="7">
        <v>4054</v>
      </c>
      <c r="C64" s="22" t="s">
        <v>99</v>
      </c>
      <c r="D64" s="22" t="s">
        <v>258</v>
      </c>
      <c r="E64" s="13">
        <v>42664.433969907404</v>
      </c>
      <c r="F64" s="13">
        <v>42664.445636574077</v>
      </c>
      <c r="G64" s="7">
        <v>1</v>
      </c>
      <c r="H64" s="13" t="s">
        <v>176</v>
      </c>
      <c r="I64" s="13">
        <v>42664.472337962965</v>
      </c>
      <c r="J64" s="7">
        <v>0</v>
      </c>
      <c r="K64" s="112" t="str">
        <f t="shared" si="0"/>
        <v>4053/4054</v>
      </c>
      <c r="L64" s="22" t="str">
        <f>VLOOKUP(A64,'Trips&amp;Operators'!$C$1:$E$10000,3,FALSE)</f>
        <v>GRASTON</v>
      </c>
      <c r="M64" s="6">
        <f t="shared" si="1"/>
        <v>2.6701388887886424E-2</v>
      </c>
      <c r="N64" s="7">
        <f t="shared" si="2"/>
        <v>38.44999999855645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09:24:55-0600',mode:absolute,to:'2016-10-21 12:20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4" s="52" t="str">
        <f t="shared" si="6"/>
        <v>N</v>
      </c>
      <c r="X64" s="171">
        <f t="shared" si="7"/>
        <v>1</v>
      </c>
      <c r="Y64" s="67">
        <f t="shared" si="8"/>
        <v>23.299800000000001</v>
      </c>
      <c r="Z64" s="67">
        <f t="shared" si="9"/>
        <v>1.47E-2</v>
      </c>
      <c r="AA64" s="67">
        <f t="shared" si="10"/>
        <v>23.2851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0150-21</v>
      </c>
      <c r="AE64" s="91" t="str">
        <f t="shared" si="12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64" s="88" t="str">
        <f t="shared" si="13"/>
        <v>"C:\Program Files (x86)\AstroGrep\AstroGrep.exe" /spath="%USERPROFILE%\AppData\Local\Temp\OnboardLogs" /stypes="app*4054*20161021*"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150-21 --locoid 4054 --swversion DE.1.0.7.0 --startMP 204:232998 --initTime 2016-10-21T10:24:55 --startdatetime 2016-10-21T10:41:43 --delay 1 --endMP 204:147 --enddatetime 2016-10-21T11:20:10 --enforcementcount 0 &gt;&gt;C:\Users\stu\Documents\GitHub\eaglep3-reporting\EC\2016-10-21-refined-times.txt</v>
      </c>
      <c r="AI6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ID","value":"150-21"},{"id":16,"name":"Locomotive ID","value":"4054"},{"id":130,"name":"Impact","value":""},{"id":150,"name":"Time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500</v>
      </c>
      <c r="B65" s="7">
        <v>4038</v>
      </c>
      <c r="C65" s="22" t="s">
        <v>99</v>
      </c>
      <c r="D65" s="22" t="s">
        <v>658</v>
      </c>
      <c r="E65" s="13">
        <v>42664.417164351849</v>
      </c>
      <c r="F65" s="13">
        <v>42664.41846064815</v>
      </c>
      <c r="G65" s="7">
        <v>1</v>
      </c>
      <c r="H65" s="13" t="s">
        <v>291</v>
      </c>
      <c r="I65" s="13">
        <v>42664.443437499998</v>
      </c>
      <c r="J65" s="7">
        <v>0</v>
      </c>
      <c r="K65" s="112" t="str">
        <f t="shared" si="0"/>
        <v>4037/4038</v>
      </c>
      <c r="L65" s="22" t="str">
        <f>VLOOKUP(A65,'Trips&amp;Operators'!$C$1:$E$10000,3,FALSE)</f>
        <v>GEBRETEKLE</v>
      </c>
      <c r="M65" s="6">
        <f t="shared" si="1"/>
        <v>2.4976851847895887E-2</v>
      </c>
      <c r="N65" s="7">
        <f t="shared" si="2"/>
        <v>35.966666660970077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09:00:43-0600',mode:absolute,to:'2016-10-21 11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5" s="52" t="str">
        <f t="shared" si="6"/>
        <v>N</v>
      </c>
      <c r="X65" s="171">
        <f t="shared" si="7"/>
        <v>1</v>
      </c>
      <c r="Y65" s="67">
        <f t="shared" si="8"/>
        <v>4.4200000000000003E-2</v>
      </c>
      <c r="Z65" s="67">
        <f t="shared" si="9"/>
        <v>23.333400000000001</v>
      </c>
      <c r="AA65" s="67">
        <f t="shared" si="10"/>
        <v>23.289200000000001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0151-21</v>
      </c>
      <c r="AE65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65" s="88" t="str">
        <f t="shared" si="13"/>
        <v>"C:\Program Files (x86)\AstroGrep\AstroGrep.exe" /spath="%USERPROFILE%\AppData\Local\Temp\OnboardLogs" /stypes="app*4038*20161021*"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151-21 --locoid 4038 --swversion DE.1.0.7.0 --startMP 204:442 --initTime 2016-10-21T10:00:43 --startdatetime 2016-10-21T10:02:35 --delay 1 --endMP 204:233334 --enddatetime 2016-10-21T10:38:33 --enforcementcount 0 &gt;&gt;C:\Users\stu\Documents\GitHub\eaglep3-reporting\EC\2016-10-21-refined-times.txt</v>
      </c>
      <c r="AI6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{"issue":{"subject":"","project_id":79,"tracker_id":40,"status_id":1,"priority_id":2,"assigned_to_id":23,"start_date":"2016-10-21","description":"","custom_fields":[{"id":1,"name":"Subdivision","value":"EC"},{"id":4,"name":"Milepost","value":"23.3334"},{"id":17,"name":"Train ID","value":"151-21"},{"id":16,"name":"Locomotive ID","value":"4038"},{"id":130,"name":"Impact","value":""},{"id":150,"name":"Time of Event (Mountain Time)","value":"10:38:33"},{"id":151,"name":"Denver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506</v>
      </c>
      <c r="B66" s="7">
        <v>4037</v>
      </c>
      <c r="C66" s="22" t="s">
        <v>99</v>
      </c>
      <c r="D66" s="22" t="s">
        <v>290</v>
      </c>
      <c r="E66" s="13">
        <v>42664.445567129631</v>
      </c>
      <c r="F66" s="13">
        <v>42664.455729166664</v>
      </c>
      <c r="G66" s="7">
        <v>1</v>
      </c>
      <c r="H66" s="13" t="s">
        <v>182</v>
      </c>
      <c r="I66" s="13">
        <v>42664.48232638889</v>
      </c>
      <c r="J66" s="7">
        <v>0</v>
      </c>
      <c r="K66" s="112" t="str">
        <f t="shared" si="0"/>
        <v>4037/4038</v>
      </c>
      <c r="L66" s="22" t="str">
        <f>VLOOKUP(A66,'Trips&amp;Operators'!$C$1:$E$10000,3,FALSE)</f>
        <v>GEBRETEKLE</v>
      </c>
      <c r="M66" s="6">
        <f t="shared" si="1"/>
        <v>2.6597222225973383E-2</v>
      </c>
      <c r="N66" s="7">
        <f t="shared" si="2"/>
        <v>38.300000005401671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09:41:37-0600',mode:absolute,to:'2016-10-21 12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6" s="52" t="str">
        <f t="shared" si="6"/>
        <v>N</v>
      </c>
      <c r="X66" s="171">
        <f t="shared" si="7"/>
        <v>1</v>
      </c>
      <c r="Y66" s="67">
        <f t="shared" si="8"/>
        <v>23.298999999999999</v>
      </c>
      <c r="Z66" s="67">
        <f t="shared" si="9"/>
        <v>1.41E-2</v>
      </c>
      <c r="AA66" s="67">
        <f t="shared" si="10"/>
        <v>23.2849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0152-21</v>
      </c>
      <c r="AE66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66" s="88" t="str">
        <f t="shared" si="13"/>
        <v>"C:\Program Files (x86)\AstroGrep\AstroGrep.exe" /spath="%USERPROFILE%\AppData\Local\Temp\OnboardLogs" /stypes="app*4037*20161021*"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152-21 --locoid 4037 --swversion DE.1.0.7.0 --startMP 204:232990 --initTime 2016-10-21T10:41:37 --startdatetime 2016-10-21T10:56:15 --delay 1 --endMP 204:141 --enddatetime 2016-10-21T11:34:33 --enforcementcount 0 &gt;&gt;C:\Users\stu\Documents\GitHub\eaglep3-reporting\EC\2016-10-21-refined-times.txt</v>
      </c>
      <c r="AI6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{"issue":{"subject":"","project_id":79,"tracker_id":40,"status_id":1,"priority_id":2,"assigned_to_id":23,"start_date":"2016-10-21","description":"","custom_fields":[{"id":1,"name":"Subdivision","value":"EC"},{"id":4,"name":"Milepost","value":"0.0141"},{"id":17,"name":"Train ID","value":"152-21"},{"id":16,"name":"Locomotive ID","value":"4037"},{"id":130,"name":"Impact","value":""},{"id":150,"name":"Time of Event (Mountain Time)","value":"11:34:33"},{"id":151,"name":"Denver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501</v>
      </c>
      <c r="B67" s="7">
        <v>4014</v>
      </c>
      <c r="C67" s="22" t="s">
        <v>99</v>
      </c>
      <c r="D67" s="22" t="s">
        <v>320</v>
      </c>
      <c r="E67" s="13">
        <v>42664.426770833335</v>
      </c>
      <c r="F67" s="13">
        <v>42664.428124999999</v>
      </c>
      <c r="G67" s="7">
        <v>1</v>
      </c>
      <c r="H67" s="13" t="s">
        <v>319</v>
      </c>
      <c r="I67" s="13">
        <v>42664.453206018516</v>
      </c>
      <c r="J67" s="7">
        <v>0</v>
      </c>
      <c r="K67" s="112" t="str">
        <f t="shared" si="0"/>
        <v>4013/4014</v>
      </c>
      <c r="L67" s="22" t="str">
        <f>VLOOKUP(A67,'Trips&amp;Operators'!$C$1:$E$10000,3,FALSE)</f>
        <v>SPECTOR</v>
      </c>
      <c r="M67" s="6">
        <f t="shared" si="1"/>
        <v>2.5081018517084885E-2</v>
      </c>
      <c r="N67" s="7">
        <f t="shared" si="2"/>
        <v>36.116666664602235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09:14:33-0600',mode:absolute,to:'2016-10-21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7" s="52" t="str">
        <f t="shared" si="6"/>
        <v>N</v>
      </c>
      <c r="X67" s="171">
        <f t="shared" si="7"/>
        <v>1</v>
      </c>
      <c r="Y67" s="67">
        <f t="shared" si="8"/>
        <v>4.6199999999999998E-2</v>
      </c>
      <c r="Z67" s="67">
        <f t="shared" si="9"/>
        <v>23.332899999999999</v>
      </c>
      <c r="AA67" s="67">
        <f t="shared" si="10"/>
        <v>23.2867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0153-21</v>
      </c>
      <c r="AE67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67" s="88" t="str">
        <f t="shared" si="13"/>
        <v>"C:\Program Files (x86)\AstroGrep\AstroGrep.exe" /spath="%USERPROFILE%\AppData\Local\Temp\OnboardLogs" /stypes="app*4014*20161021*" /stext=" 16:.+((SYSTEM_STATE.+slice.+state.+changed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153-21 --locoid 4014 --swversion DE.1.0.7.0 --startMP 204:462 --initTime 2016-10-21T10:14:33 --startdatetime 2016-10-21T10:16:30 --delay 1 --endMP 204:233329 --enddatetime 2016-10-21T10:52:37 --enforcementcount 0 &gt;&gt;C:\Users\stu\Documents\GitHub\eaglep3-reporting\EC\2016-10-21-refined-times.txt</v>
      </c>
      <c r="AI6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{"issue":{"subject":"","project_id":79,"tracker_id":40,"status_id":1,"priority_id":2,"assigned_to_id":23,"start_date":"2016-10-21","description":"","custom_fields":[{"id":1,"name":"Subdivision","value":"EC"},{"id":4,"name":"Milepost","value":"23.3329"},{"id":17,"name":"Train ID","value":"153-21"},{"id":16,"name":"Locomotive ID","value":"4014"},{"id":130,"name":"Impact","value":""},{"id":150,"name":"Time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509</v>
      </c>
      <c r="B68" s="7">
        <v>4013</v>
      </c>
      <c r="C68" s="22" t="s">
        <v>99</v>
      </c>
      <c r="D68" s="22" t="s">
        <v>336</v>
      </c>
      <c r="E68" s="13">
        <v>42664.461238425924</v>
      </c>
      <c r="F68" s="13">
        <v>42664.466215277775</v>
      </c>
      <c r="G68" s="7">
        <v>1</v>
      </c>
      <c r="H68" s="13" t="s">
        <v>222</v>
      </c>
      <c r="I68" s="13">
        <v>42664.493854166663</v>
      </c>
      <c r="J68" s="7">
        <v>0</v>
      </c>
      <c r="K68" s="112" t="str">
        <f t="shared" si="0"/>
        <v>4013/4014</v>
      </c>
      <c r="L68" s="22" t="str">
        <f>VLOOKUP(A68,'Trips&amp;Operators'!$C$1:$E$10000,3,FALSE)</f>
        <v>SPECTOR</v>
      </c>
      <c r="M68" s="6">
        <f t="shared" si="1"/>
        <v>2.7638888888759539E-2</v>
      </c>
      <c r="N68" s="7">
        <f t="shared" si="2"/>
        <v>39.799999999813735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10:04:11-0600',mode:absolute,to:'2016-10-21 12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8" s="52" t="str">
        <f t="shared" si="6"/>
        <v>N</v>
      </c>
      <c r="X68" s="171">
        <f t="shared" si="7"/>
        <v>1</v>
      </c>
      <c r="Y68" s="67">
        <f t="shared" si="8"/>
        <v>23.301100000000002</v>
      </c>
      <c r="Z68" s="67">
        <f t="shared" si="9"/>
        <v>1.4500000000000001E-2</v>
      </c>
      <c r="AA68" s="67">
        <f t="shared" si="10"/>
        <v>23.2866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0154-21</v>
      </c>
      <c r="AE68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68" s="88" t="str">
        <f t="shared" si="13"/>
        <v>"C:\Program Files (x86)\AstroGrep\AstroGrep.exe" /spath="%USERPROFILE%\AppData\Local\Temp\OnboardLogs" /stypes="app*4013*20161021*"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154-21 --locoid 4013 --swversion DE.1.0.7.0 --startMP 204:233011 --initTime 2016-10-21T11:04:11 --startdatetime 2016-10-21T11:11:21 --delay 1 --endMP 204:145 --enddatetime 2016-10-21T11:51:09 --enforcementcount 0 &gt;&gt;C:\Users\stu\Documents\GitHub\eaglep3-reporting\EC\2016-10-21-refined-times.txt</v>
      </c>
      <c r="AI6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ID","value":"154-21"},{"id":16,"name":"Locomotive ID","value":"4013"},{"id":130,"name":"Impact","value":""},{"id":150,"name":"Time of Event (Mountain Time)","value":"11:51:09"},{"id":151,"name":"Denver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503</v>
      </c>
      <c r="B69" s="7">
        <v>4009</v>
      </c>
      <c r="C69" s="22" t="s">
        <v>99</v>
      </c>
      <c r="D69" s="22" t="s">
        <v>320</v>
      </c>
      <c r="E69" s="13">
        <v>42664.434108796297</v>
      </c>
      <c r="F69" s="13">
        <v>42664.437719907408</v>
      </c>
      <c r="G69" s="7">
        <v>2</v>
      </c>
      <c r="H69" s="13" t="s">
        <v>353</v>
      </c>
      <c r="I69" s="13">
        <v>42664.464004629626</v>
      </c>
      <c r="J69" s="7">
        <v>0</v>
      </c>
      <c r="K69" s="112" t="str">
        <f t="shared" si="0"/>
        <v>4009/4010</v>
      </c>
      <c r="L69" s="22" t="str">
        <f>VLOOKUP(A69,'Trips&amp;Operators'!$C$1:$E$10000,3,FALSE)</f>
        <v>STRICKLAND</v>
      </c>
      <c r="M69" s="6">
        <f t="shared" si="1"/>
        <v>2.6284722218406387E-2</v>
      </c>
      <c r="N69" s="7">
        <f t="shared" si="2"/>
        <v>37.849999994505197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09:25:07-0600',mode:absolute,to:'2016-10-21 12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 t="shared" si="6"/>
        <v>N</v>
      </c>
      <c r="X69" s="171">
        <f t="shared" si="7"/>
        <v>1</v>
      </c>
      <c r="Y69" s="67">
        <f t="shared" si="8"/>
        <v>4.6199999999999998E-2</v>
      </c>
      <c r="Z69" s="67">
        <f t="shared" si="9"/>
        <v>23.331600000000002</v>
      </c>
      <c r="AA69" s="67">
        <f t="shared" si="10"/>
        <v>23.285400000000003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0155-21</v>
      </c>
      <c r="AE69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69" s="88" t="str">
        <f t="shared" si="13"/>
        <v>"C:\Program Files (x86)\AstroGrep\AstroGrep.exe" /spath="%USERPROFILE%\AppData\Local\Temp\OnboardLogs" /stypes="app*4009*20161021*"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155-21 --locoid 4009 --swversion DE.1.0.7.0 --startMP 204:462 --initTime 2016-10-21T10:25:07 --startdatetime 2016-10-21T10:30:19 --delay 2 --endMP 204:233316 --enddatetime 2016-10-21T11:08:10 --enforcementcount 0 &gt;&gt;C:\Users\stu\Documents\GitHub\eaglep3-reporting\EC\2016-10-21-refined-times.txt</v>
      </c>
      <c r="AI6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{"issue":{"subject":"","project_id":79,"tracker_id":40,"status_id":1,"priority_id":2,"assigned_to_id":23,"start_date":"2016-10-21","description":"","custom_fields":[{"id":1,"name":"Subdivision","value":"EC"},{"id":4,"name":"Milepost","value":"23.3316"},{"id":17,"name":"Train ID","value":"155-21"},{"id":16,"name":"Locomotive ID","value":"4009"},{"id":130,"name":"Impact","value":""},{"id":150,"name":"Time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513</v>
      </c>
      <c r="B70" s="7">
        <v>4010</v>
      </c>
      <c r="C70" s="22" t="s">
        <v>99</v>
      </c>
      <c r="D70" s="22" t="s">
        <v>260</v>
      </c>
      <c r="E70" s="13">
        <v>42664.470902777779</v>
      </c>
      <c r="F70" s="13">
        <v>42664.476655092592</v>
      </c>
      <c r="G70" s="7">
        <v>1</v>
      </c>
      <c r="H70" s="13" t="s">
        <v>268</v>
      </c>
      <c r="I70" s="13">
        <v>42664.506412037037</v>
      </c>
      <c r="J70" s="7">
        <v>0</v>
      </c>
      <c r="K70" s="112" t="str">
        <f t="shared" si="0"/>
        <v>4009/4010</v>
      </c>
      <c r="L70" s="22" t="str">
        <f>VLOOKUP(A70,'Trips&amp;Operators'!$C$1:$E$10000,3,FALSE)</f>
        <v>STRICKLAND</v>
      </c>
      <c r="M70" s="6">
        <f t="shared" si="1"/>
        <v>2.9756944444670808E-2</v>
      </c>
      <c r="N70" s="7">
        <f t="shared" si="2"/>
        <v>42.850000000325963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10:18:06-0600',mode:absolute,to:'2016-10-21 13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 t="shared" si="6"/>
        <v>N</v>
      </c>
      <c r="X70" s="171">
        <f t="shared" si="7"/>
        <v>1</v>
      </c>
      <c r="Y70" s="67">
        <f t="shared" si="8"/>
        <v>23.299399999999999</v>
      </c>
      <c r="Z70" s="67">
        <f t="shared" si="9"/>
        <v>1.5599999999999999E-2</v>
      </c>
      <c r="AA70" s="67">
        <f t="shared" si="10"/>
        <v>23.283799999999999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0156-21</v>
      </c>
      <c r="AE70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70" s="88" t="str">
        <f t="shared" si="13"/>
        <v>"C:\Program Files (x86)\AstroGrep\AstroGrep.exe" /spath="%USERPROFILE%\AppData\Local\Temp\OnboardLogs" /stypes="app*4010*20161021*"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156-21 --locoid 4010 --swversion DE.1.0.7.0 --startMP 204:232994 --initTime 2016-10-21T11:18:06 --startdatetime 2016-10-21T11:26:23 --delay 1 --endMP 204:156 --enddatetime 2016-10-21T12:09:14 --enforcementcount 0 &gt;&gt;C:\Users\stu\Documents\GitHub\eaglep3-reporting\EC\2016-10-21-refined-times.txt</v>
      </c>
      <c r="AI7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ID","value":"156-21"},{"id":16,"name":"Locomotive ID","value":"4010"},{"id":130,"name":"Impact","value":""},{"id":150,"name":"Time of Event (Mountain Time)","value":"12:09:14"},{"id":151,"name":"Denver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504</v>
      </c>
      <c r="B71" s="7">
        <v>4016</v>
      </c>
      <c r="C71" s="22" t="s">
        <v>99</v>
      </c>
      <c r="D71" s="22" t="s">
        <v>365</v>
      </c>
      <c r="E71" s="13">
        <v>42664.442499999997</v>
      </c>
      <c r="F71" s="13">
        <v>42664.448078703703</v>
      </c>
      <c r="G71" s="7">
        <v>1</v>
      </c>
      <c r="H71" s="13" t="s">
        <v>351</v>
      </c>
      <c r="I71" s="13">
        <v>42664.473368055558</v>
      </c>
      <c r="J71" s="7">
        <v>0</v>
      </c>
      <c r="K71" s="112" t="str">
        <f t="shared" si="0"/>
        <v>4015/4016</v>
      </c>
      <c r="L71" s="22" t="str">
        <f>VLOOKUP(A71,'Trips&amp;Operators'!$C$1:$E$10000,3,FALSE)</f>
        <v>ROBINSON</v>
      </c>
      <c r="M71" s="6">
        <f t="shared" si="1"/>
        <v>2.5289351855462883E-2</v>
      </c>
      <c r="N71" s="7">
        <f t="shared" si="2"/>
        <v>36.416666671866551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09:37:12-0600',mode:absolute,to:'2016-10-21 12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 t="shared" si="6"/>
        <v>N</v>
      </c>
      <c r="X71" s="171">
        <f t="shared" si="7"/>
        <v>1</v>
      </c>
      <c r="Y71" s="67">
        <f t="shared" si="8"/>
        <v>4.82E-2</v>
      </c>
      <c r="Z71" s="67">
        <f t="shared" si="9"/>
        <v>23.332100000000001</v>
      </c>
      <c r="AA71" s="67">
        <f t="shared" si="10"/>
        <v>23.283899999999999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0157-21</v>
      </c>
      <c r="AE71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71" s="88" t="str">
        <f t="shared" si="13"/>
        <v>"C:\Program Files (x86)\AstroGrep\AstroGrep.exe" /spath="%USERPROFILE%\AppData\Local\Temp\OnboardLogs" /stypes="app*4016*20161021*"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157-21 --locoid 4016 --swversion DE.1.0.7.0 --startMP 204:482 --initTime 2016-10-21T10:37:12 --startdatetime 2016-10-21T10:45:14 --delay 1 --endMP 204:233321 --enddatetime 2016-10-21T11:21:39 --enforcementcount 0 &gt;&gt;C:\Users\stu\Documents\GitHub\eaglep3-reporting\EC\2016-10-21-refined-times.txt</v>
      </c>
      <c r="AI7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{"issue":{"subject":"","project_id":79,"tracker_id":40,"status_id":1,"priority_id":2,"assigned_to_id":23,"start_date":"2016-10-21","description":"","custom_fields":[{"id":1,"name":"Subdivision","value":"EC"},{"id":4,"name":"Milepost","value":"23.3321"},{"id":17,"name":"Train ID","value":"157-21"},{"id":16,"name":"Locomotive ID","value":"4016"},{"id":130,"name":"Impact","value":""},{"id":150,"name":"Time of Event (Mountain Time)","value":"11:21:39"},{"id":151,"name":"Denver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515</v>
      </c>
      <c r="B72" s="7">
        <v>4015</v>
      </c>
      <c r="C72" s="22" t="s">
        <v>99</v>
      </c>
      <c r="D72" s="22" t="s">
        <v>331</v>
      </c>
      <c r="E72" s="13">
        <v>42664.474861111114</v>
      </c>
      <c r="F72" s="13">
        <v>42664.486967592595</v>
      </c>
      <c r="G72" s="7">
        <v>1</v>
      </c>
      <c r="H72" s="13" t="s">
        <v>220</v>
      </c>
      <c r="I72" s="13">
        <v>42664.513773148145</v>
      </c>
      <c r="J72" s="7">
        <v>0</v>
      </c>
      <c r="K72" s="112" t="str">
        <f t="shared" si="0"/>
        <v>4015/4016</v>
      </c>
      <c r="L72" s="22" t="str">
        <f>VLOOKUP(A72,'Trips&amp;Operators'!$C$1:$E$10000,3,FALSE)</f>
        <v>ROBINSON</v>
      </c>
      <c r="M72" s="6">
        <f t="shared" si="1"/>
        <v>2.6805555549799465E-2</v>
      </c>
      <c r="N72" s="7">
        <f t="shared" si="2"/>
        <v>38.599999991711229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10:23:48-0600',mode:absolute,to:'2016-10-21 13:19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 t="shared" si="6"/>
        <v>N</v>
      </c>
      <c r="X72" s="171">
        <f t="shared" si="7"/>
        <v>1</v>
      </c>
      <c r="Y72" s="67">
        <f t="shared" si="8"/>
        <v>23.299299999999999</v>
      </c>
      <c r="Z72" s="67">
        <f t="shared" si="9"/>
        <v>1.61E-2</v>
      </c>
      <c r="AA72" s="67">
        <f t="shared" si="10"/>
        <v>23.283199999999997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0158-21</v>
      </c>
      <c r="AE72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72" s="88" t="str">
        <f t="shared" si="13"/>
        <v>"C:\Program Files (x86)\AstroGrep\AstroGrep.exe" /spath="%USERPROFILE%\AppData\Local\Temp\OnboardLogs" /stypes="app*4015*20161021*"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158-21 --locoid 4015 --swversion DE.1.0.7.0 --startMP 204:232993 --initTime 2016-10-21T11:23:48 --startdatetime 2016-10-21T11:41:14 --delay 1 --endMP 204:161 --enddatetime 2016-10-21T12:19:50 --enforcementcount 0 &gt;&gt;C:\Users\stu\Documents\GitHub\eaglep3-reporting\EC\2016-10-21-refined-times.txt</v>
      </c>
      <c r="AI7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{"issue":{"subject":"","project_id":79,"tracker_id":40,"status_id":1,"priority_id":2,"assigned_to_id":23,"start_date":"2016-10-21","description":"","custom_fields":[{"id":1,"name":"Subdivision","value":"EC"},{"id":4,"name":"Milepost","value":"0.0161"},{"id":17,"name":"Train ID","value":"158-21"},{"id":16,"name":"Locomotive ID","value":"4015"},{"id":130,"name":"Impact","value":""},{"id":150,"name":"Time of Event (Mountain Time)","value":"12:19:50"},{"id":151,"name":"Denver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507</v>
      </c>
      <c r="B73" s="7">
        <v>4042</v>
      </c>
      <c r="C73" s="22" t="s">
        <v>99</v>
      </c>
      <c r="D73" s="22" t="s">
        <v>228</v>
      </c>
      <c r="E73" s="13">
        <v>42664.458935185183</v>
      </c>
      <c r="F73" s="13">
        <v>42664.461168981485</v>
      </c>
      <c r="G73" s="7">
        <v>1</v>
      </c>
      <c r="H73" s="13" t="s">
        <v>354</v>
      </c>
      <c r="I73" s="13">
        <v>42664.485775462963</v>
      </c>
      <c r="J73" s="7">
        <v>0</v>
      </c>
      <c r="K73" s="112" t="str">
        <f t="shared" si="0"/>
        <v>4041/4042</v>
      </c>
      <c r="L73" s="22" t="str">
        <f>VLOOKUP(A73,'Trips&amp;Operators'!$C$1:$E$10000,3,FALSE)</f>
        <v>STEWART</v>
      </c>
      <c r="M73" s="6">
        <f t="shared" si="1"/>
        <v>2.4606481478258502E-2</v>
      </c>
      <c r="N73" s="7">
        <f t="shared" si="2"/>
        <v>35.433333328692243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10:00:52-0600',mode:absolute,to:'2016-10-21 12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6"/>
        <v>N</v>
      </c>
      <c r="X73" s="171">
        <f t="shared" si="7"/>
        <v>1</v>
      </c>
      <c r="Y73" s="67">
        <f t="shared" si="8"/>
        <v>4.4699999999999997E-2</v>
      </c>
      <c r="Z73" s="67">
        <f t="shared" si="9"/>
        <v>23.3309</v>
      </c>
      <c r="AA73" s="67">
        <f t="shared" si="10"/>
        <v>23.286200000000001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0159-21</v>
      </c>
      <c r="AE73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73" s="88" t="str">
        <f t="shared" si="13"/>
        <v>"C:\Program Files (x86)\AstroGrep\AstroGrep.exe" /spath="%USERPROFILE%\AppData\Local\Temp\OnboardLogs" /stypes="app*4042*20161021*"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159-21 --locoid 4042 --swversion DE.1.0.7.0 --startMP 204:447 --initTime 2016-10-21T11:00:52 --startdatetime 2016-10-21T11:04:05 --delay 1 --endMP 204:233309 --enddatetime 2016-10-21T11:39:31 --enforcementcount 0 &gt;&gt;C:\Users\stu\Documents\GitHub\eaglep3-reporting\EC\2016-10-21-refined-times.txt</v>
      </c>
      <c r="AI7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{"issue":{"subject":"","project_id":79,"tracker_id":40,"status_id":1,"priority_id":2,"assigned_to_id":23,"start_date":"2016-10-21","description":"","custom_fields":[{"id":1,"name":"Subdivision","value":"EC"},{"id":4,"name":"Milepost","value":"23.3309"},{"id":17,"name":"Train ID","value":"159-21"},{"id":16,"name":"Locomotive ID","value":"4042"},{"id":130,"name":"Impact","value":""},{"id":150,"name":"Time of Event (Mountain Time)","value":"11:39:31"},{"id":151,"name":"Denver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413</v>
      </c>
      <c r="B74" s="7">
        <v>4041</v>
      </c>
      <c r="C74" s="22" t="s">
        <v>99</v>
      </c>
      <c r="D74" s="22" t="s">
        <v>659</v>
      </c>
      <c r="E74" s="13">
        <v>42664.494490740741</v>
      </c>
      <c r="F74" s="13">
        <v>42664.497812499998</v>
      </c>
      <c r="G74" s="7">
        <v>4</v>
      </c>
      <c r="H74" s="13" t="s">
        <v>660</v>
      </c>
      <c r="I74" s="13">
        <v>42664.51972222222</v>
      </c>
      <c r="J74" s="7">
        <v>0</v>
      </c>
      <c r="K74" s="112" t="str">
        <f t="shared" si="0"/>
        <v>4041/4042</v>
      </c>
      <c r="L74" s="22" t="str">
        <f>VLOOKUP(A74,'Trips&amp;Operators'!$C$1:$E$10000,3,FALSE)</f>
        <v>STEWART</v>
      </c>
      <c r="M74" s="6">
        <f t="shared" si="1"/>
        <v>2.1909722221607808E-2</v>
      </c>
      <c r="N74" s="7"/>
      <c r="O74" s="7"/>
      <c r="P74" s="7">
        <f t="shared" si="2"/>
        <v>31.549999999115244</v>
      </c>
      <c r="Q74" s="23"/>
      <c r="R74" s="23" t="s">
        <v>785</v>
      </c>
      <c r="S74" s="35">
        <f t="shared" si="3"/>
        <v>1</v>
      </c>
      <c r="T74" s="50" t="str">
        <f t="shared" si="4"/>
        <v>Southbound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10:52:04-0600',mode:absolute,to:'2016-10-21 13:28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6"/>
        <v>Y</v>
      </c>
      <c r="X74" s="171">
        <f t="shared" si="7"/>
        <v>1</v>
      </c>
      <c r="Y74" s="67">
        <f t="shared" si="8"/>
        <v>23.296500000000002</v>
      </c>
      <c r="Z74" s="67">
        <f t="shared" si="9"/>
        <v>2.0756999999999999</v>
      </c>
      <c r="AA74" s="67">
        <f t="shared" si="10"/>
        <v>21.220800000000001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0160-21</v>
      </c>
      <c r="AE74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74" s="88" t="str">
        <f t="shared" si="13"/>
        <v>"C:\Program Files (x86)\AstroGrep\AstroGrep.exe" /spath="%USERPROFILE%\AppData\Local\Temp\OnboardLogs" /stypes="app*4041*20161021*"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160-21 --locoid 4041 --swversion DE.1.0.7.0 --startMP 204:232965 --initTime 2016-10-21T11:52:04 --startdatetime 2016-10-21T11:56:51 --delay 4 --endMP 204:20757 --enddatetime 2016-10-21T12:28:24 --enforcementcount 0 &gt;&gt;C:\Users\stu\Documents\GitHub\eaglep3-reporting\EC\2016-10-21-refined-times.txt</v>
      </c>
      <c r="AI74" s="122" t="str">
        <f t="shared" si="18"/>
        <v>echo {"issue":{"subject":"Wi-MAX outage","project_id":79,"tracker_id":40,"status_id":1,"priority_id":2,"assigned_to_id":23,"start_date":"2016-10-21","description":"","custom_fields":[{"id":1,"name":"Subdivision","value":"EC"},{"id":4,"name":"Milepost","value":"2.0757"},{"id":17,"name":"Train ID","value":"160-21"},{"id":16,"name":"Locomotive ID","value":"4041"},{"id":130,"name":"Impact","value":""},{"id":150,"name":"Time of Event (Mountain Time)","value":"12:28:24"},{"id":151,"name":"Denver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511</v>
      </c>
      <c r="B75" s="7">
        <v>4027</v>
      </c>
      <c r="C75" s="22" t="s">
        <v>99</v>
      </c>
      <c r="D75" s="22" t="s">
        <v>241</v>
      </c>
      <c r="E75" s="13">
        <v>42664.465601851851</v>
      </c>
      <c r="F75" s="13">
        <v>42664.468912037039</v>
      </c>
      <c r="G75" s="7">
        <v>1</v>
      </c>
      <c r="H75" s="13" t="s">
        <v>183</v>
      </c>
      <c r="I75" s="13">
        <v>42664.49486111111</v>
      </c>
      <c r="J75" s="7">
        <v>0</v>
      </c>
      <c r="K75" s="112" t="str">
        <f t="shared" si="0"/>
        <v>4027/4028</v>
      </c>
      <c r="L75" s="22" t="str">
        <f>VLOOKUP(A75,'Trips&amp;Operators'!$C$1:$E$10000,3,FALSE)</f>
        <v>CLARK</v>
      </c>
      <c r="M75" s="6">
        <f t="shared" si="1"/>
        <v>2.5949074071832001E-2</v>
      </c>
      <c r="N75" s="7">
        <f t="shared" si="2"/>
        <v>37.366666663438082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10:10:28-0600',mode:absolute,to:'2016-10-21 12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5" s="52" t="str">
        <f t="shared" si="6"/>
        <v>N</v>
      </c>
      <c r="X75" s="171">
        <f t="shared" si="7"/>
        <v>1</v>
      </c>
      <c r="Y75" s="67">
        <f t="shared" si="8"/>
        <v>4.6899999999999997E-2</v>
      </c>
      <c r="Z75" s="67">
        <f t="shared" si="9"/>
        <v>23.331199999999999</v>
      </c>
      <c r="AA75" s="67">
        <f t="shared" si="10"/>
        <v>23.284299999999998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0161-21</v>
      </c>
      <c r="AE75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75" s="88" t="str">
        <f t="shared" si="13"/>
        <v>"C:\Program Files (x86)\AstroGrep\AstroGrep.exe" /spath="%USERPROFILE%\AppData\Local\Temp\OnboardLogs" /stypes="app*4027*20161021*" /stext=" 17:.+((SYSTEM_STATE.+slice.+state.+changed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161-21 --locoid 4027 --swversion DE.1.0.7.0 --startMP 204:469 --initTime 2016-10-21T11:10:28 --startdatetime 2016-10-21T11:15:14 --delay 1 --endMP 204:233312 --enddatetime 2016-10-21T11:52:36 --enforcementcount 0 &gt;&gt;C:\Users\stu\Documents\GitHub\eaglep3-reporting\EC\2016-10-21-refined-times.txt</v>
      </c>
      <c r="AI7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ID","value":"161-21"},{"id":16,"name":"Locomotive ID","value":"4027"},{"id":130,"name":"Impact","value":""},{"id":150,"name":"Time of Event (Mountain Time)","value":"11:52:36"},{"id":151,"name":"Denver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520</v>
      </c>
      <c r="B76" s="7">
        <v>4028</v>
      </c>
      <c r="C76" s="22" t="s">
        <v>99</v>
      </c>
      <c r="D76" s="22" t="s">
        <v>362</v>
      </c>
      <c r="E76" s="13">
        <v>42664.502881944441</v>
      </c>
      <c r="F76" s="13">
        <v>42664.5078125</v>
      </c>
      <c r="G76" s="7">
        <v>1</v>
      </c>
      <c r="H76" s="13" t="s">
        <v>226</v>
      </c>
      <c r="I76" s="13">
        <v>42664.536828703705</v>
      </c>
      <c r="J76" s="7">
        <v>0</v>
      </c>
      <c r="K76" s="112" t="str">
        <f t="shared" ref="K76:K144" si="19">IF(ISEVEN(B76),(B76-1)&amp;"/"&amp;B76,B76&amp;"/"&amp;(B76+1))</f>
        <v>4027/4028</v>
      </c>
      <c r="L76" s="22" t="str">
        <f>VLOOKUP(A76,'Trips&amp;Operators'!$C$1:$E$10000,3,FALSE)</f>
        <v>CLARK</v>
      </c>
      <c r="M76" s="6">
        <f t="shared" ref="M76:M144" si="20">I76-F76</f>
        <v>2.9016203705396038E-2</v>
      </c>
      <c r="N76" s="7">
        <f t="shared" ref="N76:P144" si="21">24*60*SUM($M76:$M76)</f>
        <v>41.783333335770294</v>
      </c>
      <c r="O76" s="7"/>
      <c r="P76" s="7"/>
      <c r="Q76" s="23"/>
      <c r="R76" s="23"/>
      <c r="S76" s="35">
        <f t="shared" ref="S76:S144" si="22">SUM(U76:U76)/IF(AG76="EC",12,1)</f>
        <v>1</v>
      </c>
      <c r="T76" s="50" t="str">
        <f t="shared" ref="T76:T144" si="23">IF(ISEVEN(LEFT(AD76,4)),"Southbound","NorthBound")</f>
        <v>Southbound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44" si="24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https://search-rtdc-monitor-bjffxe2xuh6vdkpspy63sjmuny.us-east-1.es.amazonaws.com/_plugin/kibana/#/discover/Steve-Slow-Train-Analysis-(2080s-and-2083s)?_g=(refreshInterval:(display:Off,section:0,value:0),time:(from:'2016-10-21 11:04:09-0600',mode:absolute,to:'2016-10-21 13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6" s="52" t="str">
        <f t="shared" ref="W76:W144" si="25">IF(AA76&lt;IF(AG76="EC",23,5.65),"Y","N")</f>
        <v>N</v>
      </c>
      <c r="X76" s="171">
        <f t="shared" ref="X76:X144" si="26">VALUE(LEFT(AD76,4))-VALUE(LEFT(AD75,4))</f>
        <v>1</v>
      </c>
      <c r="Y76" s="67">
        <f t="shared" ref="Y76:Y144" si="27">RIGHT(D76,LEN(D76)-4)/10000</f>
        <v>23.300799999999999</v>
      </c>
      <c r="Z76" s="67">
        <f t="shared" ref="Z76:Z144" si="28">RIGHT(H76,LEN(H76)-4)/10000</f>
        <v>1.43E-2</v>
      </c>
      <c r="AA76" s="67">
        <f t="shared" ref="AA76:AA144" si="29">ABS(Z76-Y76)</f>
        <v>23.2865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44" si="30">IF(LEN(A76)=6,"0"&amp;A76,A76)</f>
        <v>0162-21</v>
      </c>
      <c r="AE76" s="91" t="str">
        <f t="shared" ref="AE76:AE144" si="31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76" s="88" t="str">
        <f t="shared" ref="AF76:AF144" si="32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/stypes="app*4028*20161021*" /stext=" 18:.+((SYSTEM_STATE.+slice.+state.+changed )|(ment ac)|(system.+state.+changed )|(\[timeout)|(PRM\|1\|D)|(kpr)|(kdp)|(\|lc)|(penalty))" /e /r /s</v>
      </c>
      <c r="AG76" s="1" t="str">
        <f t="shared" ref="AG76:AG144" si="33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162-21 --locoid 4028 --swversion DE.1.0.7.0 --startMP 204:233008 --initTime 2016-10-21T12:04:09 --startdatetime 2016-10-21T12:11:15 --delay 1 --endMP 204:143 --enddatetime 2016-10-21T12:53:02 --enforcementcount 0 &gt;&gt;C:\Users\stu\Documents\GitHub\eaglep3-reporting\EC\2016-10-21-refined-times.txt</v>
      </c>
      <c r="AI7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ID","value":"162-21"},{"id":16,"name":"Locomotive ID","value":"4028"},{"id":130,"name":"Impact","value":""},{"id":150,"name":"Time of Event (Mountain Time)","value":"12:53:02"},{"id":151,"name":"Denver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516</v>
      </c>
      <c r="B77" s="7">
        <v>4053</v>
      </c>
      <c r="C77" s="22" t="s">
        <v>99</v>
      </c>
      <c r="D77" s="22" t="s">
        <v>263</v>
      </c>
      <c r="E77" s="13">
        <v>42664.476157407407</v>
      </c>
      <c r="F77" s="13">
        <v>42664.479409722226</v>
      </c>
      <c r="G77" s="7">
        <v>1</v>
      </c>
      <c r="H77" s="13" t="s">
        <v>661</v>
      </c>
      <c r="I77" s="13">
        <v>42664.504467592589</v>
      </c>
      <c r="J77" s="7">
        <v>0</v>
      </c>
      <c r="K77" s="112" t="str">
        <f t="shared" si="19"/>
        <v>4053/4054</v>
      </c>
      <c r="L77" s="22" t="str">
        <f>VLOOKUP(A77,'Trips&amp;Operators'!$C$1:$E$10000,3,FALSE)</f>
        <v>BROWN</v>
      </c>
      <c r="M77" s="6">
        <f t="shared" si="20"/>
        <v>2.5057870363525581E-2</v>
      </c>
      <c r="N77" s="7">
        <f t="shared" si="21"/>
        <v>36.083333323476836</v>
      </c>
      <c r="O77" s="7"/>
      <c r="P77" s="7"/>
      <c r="Q77" s="23"/>
      <c r="R77" s="23"/>
      <c r="S77" s="35">
        <f t="shared" si="22"/>
        <v>1</v>
      </c>
      <c r="T77" s="50" t="str">
        <f t="shared" si="23"/>
        <v>NorthBound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10:25:40-0600',mode:absolute,to:'2016-10-21 13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7" s="52" t="str">
        <f t="shared" si="25"/>
        <v>N</v>
      </c>
      <c r="X77" s="171">
        <f t="shared" si="26"/>
        <v>1</v>
      </c>
      <c r="Y77" s="67">
        <f t="shared" si="27"/>
        <v>4.7100000000000003E-2</v>
      </c>
      <c r="Z77" s="67">
        <f t="shared" si="28"/>
        <v>23.3307</v>
      </c>
      <c r="AA77" s="67">
        <f t="shared" si="29"/>
        <v>23.2836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0"/>
        <v>0163-21</v>
      </c>
      <c r="AE77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77" s="88" t="str">
        <f t="shared" si="32"/>
        <v>"C:\Program Files (x86)\AstroGrep\AstroGrep.exe" /spath="%USERPROFILE%\AppData\Local\Temp\OnboardLogs" /stypes="app*4053*20161021*" /stext=" 18:.+((SYSTEM_STATE.+slice.+state.+changed )|(ment ac)|(system.+state.+changed )|(\[timeout)|(PRM\|1\|D)|(kpr)|(kdp)|(\|lc)|(penalty))" /e /r /s</v>
      </c>
      <c r="AG77" s="1" t="str">
        <f t="shared" si="33"/>
        <v>EC</v>
      </c>
      <c r="AH77" s="92" t="str">
        <f t="shared" ref="AH77:AH145" si="3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163-21 --locoid 4053 --swversion DE.1.0.7.0 --startMP 204:471 --initTime 2016-10-21T11:25:40 --startdatetime 2016-10-21T11:30:21 --delay 1 --endMP 204:233307 --enddatetime 2016-10-21T12:06:26 --enforcementcount 0 &gt;&gt;C:\Users\stu\Documents\GitHub\eaglep3-reporting\EC\2016-10-21-refined-times.txt</v>
      </c>
      <c r="AI77" s="122" t="str">
        <f t="shared" ref="AI77:AI145" si="3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{"issue":{"subject":"","project_id":79,"tracker_id":40,"status_id":1,"priority_id":2,"assigned_to_id":23,"start_date":"2016-10-21","description":"","custom_fields":[{"id":1,"name":"Subdivision","value":"EC"},{"id":4,"name":"Milepost","value":"23.3307"},{"id":17,"name":"Train ID","value":"163-21"},{"id":16,"name":"Locomotive ID","value":"4053"},{"id":130,"name":"Impact","value":""},{"id":150,"name":"Time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415</v>
      </c>
      <c r="B78" s="7">
        <v>4054</v>
      </c>
      <c r="C78" s="22" t="s">
        <v>99</v>
      </c>
      <c r="D78" s="22" t="s">
        <v>269</v>
      </c>
      <c r="E78" s="13">
        <v>42664.508796296293</v>
      </c>
      <c r="F78" s="13">
        <v>42664.518263888887</v>
      </c>
      <c r="G78" s="7">
        <v>1</v>
      </c>
      <c r="H78" s="13" t="s">
        <v>289</v>
      </c>
      <c r="I78" s="13">
        <v>42664.546319444446</v>
      </c>
      <c r="J78" s="7">
        <v>0</v>
      </c>
      <c r="K78" s="112" t="str">
        <f t="shared" si="19"/>
        <v>4053/4054</v>
      </c>
      <c r="L78" s="22" t="str">
        <f>VLOOKUP(A78,'Trips&amp;Operators'!$C$1:$E$10000,3,FALSE)</f>
        <v>BROWN</v>
      </c>
      <c r="M78" s="6">
        <f t="shared" si="20"/>
        <v>2.8055555558239575E-2</v>
      </c>
      <c r="N78" s="7">
        <f t="shared" si="21"/>
        <v>40.400000003864989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11:12:40-0600',mode:absolute,to:'2016-10-21 14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8" s="52" t="str">
        <f t="shared" si="25"/>
        <v>N</v>
      </c>
      <c r="X78" s="171">
        <f t="shared" si="26"/>
        <v>1</v>
      </c>
      <c r="Y78" s="67">
        <f t="shared" si="27"/>
        <v>23.3</v>
      </c>
      <c r="Z78" s="67">
        <f t="shared" si="28"/>
        <v>1.38E-2</v>
      </c>
      <c r="AA78" s="67">
        <f t="shared" si="29"/>
        <v>23.286200000000001</v>
      </c>
      <c r="AB78" s="64" t="str">
        <f>VLOOKUP(A78,Enforcements!$C$7:$K$21,8,0)</f>
        <v>Speed (6)</v>
      </c>
      <c r="AC78" s="60" t="str">
        <f>VLOOKUP(A78,Enforcements!$C$7:$E$21,3,0)</f>
        <v>PERMANENT SPEED RESTRICTION</v>
      </c>
      <c r="AD78" s="61" t="str">
        <f t="shared" si="30"/>
        <v>0164-21</v>
      </c>
      <c r="AE78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78" s="88" t="str">
        <f t="shared" si="32"/>
        <v>"C:\Program Files (x86)\AstroGrep\AstroGrep.exe" /spath="%USERPROFILE%\AppData\Local\Temp\OnboardLogs" /stypes="app*4054*20161021*"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si="34"/>
        <v>"%USERPROFILE%\Documents\GitHub\eaglep3\Utilities\RefineRTDCRunTimes.py" --tripid 164-21 --locoid 4054 --swversion DE.1.0.7.0 --startMP 204:233000 --initTime 2016-10-21T12:12:40 --startdatetime 2016-10-21T12:26:18 --delay 1 --endMP 204:138 --enddatetime 2016-10-21T13:06:42 --enforcementcount 0 &gt;&gt;C:\Users\stu\Documents\GitHub\eaglep3-reporting\EC\2016-10-21-refined-times.txt</v>
      </c>
      <c r="AI7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{"issue":{"subject":"","project_id":79,"tracker_id":40,"status_id":1,"priority_id":2,"assigned_to_id":23,"start_date":"2016-10-21","description":"","custom_fields":[{"id":1,"name":"Subdivision","value":"EC"},{"id":4,"name":"Milepost","value":"0.0138"},{"id":17,"name":"Train ID","value":"164-21"},{"id":16,"name":"Locomotive ID","value":"4054"},{"id":130,"name":"Impact","value":""},{"id":150,"name":"Time of Event (Mountain Time)","value":"13:06:42"},{"id":151,"name":"Denver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517</v>
      </c>
      <c r="B79" s="7">
        <v>4038</v>
      </c>
      <c r="C79" s="22" t="s">
        <v>99</v>
      </c>
      <c r="D79" s="22" t="s">
        <v>228</v>
      </c>
      <c r="E79" s="13">
        <v>42664.485810185186</v>
      </c>
      <c r="F79" s="13">
        <v>42664.489837962959</v>
      </c>
      <c r="G79" s="7">
        <v>2</v>
      </c>
      <c r="H79" s="13" t="s">
        <v>261</v>
      </c>
      <c r="I79" s="13">
        <v>42664.515810185185</v>
      </c>
      <c r="J79" s="7">
        <v>0</v>
      </c>
      <c r="K79" s="112" t="str">
        <f t="shared" si="19"/>
        <v>4037/4038</v>
      </c>
      <c r="L79" s="22" t="str">
        <f>VLOOKUP(A79,'Trips&amp;Operators'!$C$1:$E$10000,3,FALSE)</f>
        <v>MOSES</v>
      </c>
      <c r="M79" s="6">
        <f t="shared" si="20"/>
        <v>2.5972222225391306E-2</v>
      </c>
      <c r="N79" s="7">
        <f t="shared" si="21"/>
        <v>37.400000004563481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10:39:34-0600',mode:absolute,to:'2016-10-21 13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9" s="52" t="str">
        <f t="shared" si="25"/>
        <v>N</v>
      </c>
      <c r="X79" s="171">
        <f t="shared" si="26"/>
        <v>1</v>
      </c>
      <c r="Y79" s="67">
        <f t="shared" si="27"/>
        <v>4.4699999999999997E-2</v>
      </c>
      <c r="Z79" s="67">
        <f t="shared" si="28"/>
        <v>23.331499999999998</v>
      </c>
      <c r="AA79" s="67">
        <f t="shared" si="29"/>
        <v>23.286799999999999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0165-21</v>
      </c>
      <c r="AE79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79" s="88" t="str">
        <f t="shared" si="32"/>
        <v>"C:\Program Files (x86)\AstroGrep\AstroGrep.exe" /spath="%USERPROFILE%\AppData\Local\Temp\OnboardLogs" /stypes="app*4038*20161021*"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165-21 --locoid 4038 --swversion DE.1.0.7.0 --startMP 204:447 --initTime 2016-10-21T11:39:34 --startdatetime 2016-10-21T11:45:22 --delay 2 --endMP 204:233315 --enddatetime 2016-10-21T12:22:46 --enforcementcount 0 &gt;&gt;C:\Users\stu\Documents\GitHub\eaglep3-reporting\EC\2016-10-21-refined-times.txt</v>
      </c>
      <c r="AI7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{"issue":{"subject":"","project_id":79,"tracker_id":40,"status_id":1,"priority_id":2,"assigned_to_id":23,"start_date":"2016-10-21","description":"","custom_fields":[{"id":1,"name":"Subdivision","value":"EC"},{"id":4,"name":"Milepost","value":"23.3315"},{"id":17,"name":"Train ID","value":"165-21"},{"id":16,"name":"Locomotive ID","value":"4038"},{"id":130,"name":"Impact","value":""},{"id":150,"name":"Time of Event (Mountain Time)","value":"12:22:46"},{"id":151,"name":"Denver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523</v>
      </c>
      <c r="B80" s="7">
        <v>4037</v>
      </c>
      <c r="C80" s="22" t="s">
        <v>99</v>
      </c>
      <c r="D80" s="22" t="s">
        <v>331</v>
      </c>
      <c r="E80" s="13">
        <v>42664.524409722224</v>
      </c>
      <c r="F80" s="13">
        <v>42664.528946759259</v>
      </c>
      <c r="G80" s="7">
        <v>1</v>
      </c>
      <c r="H80" s="13" t="s">
        <v>176</v>
      </c>
      <c r="I80" s="13">
        <v>42664.55636574074</v>
      </c>
      <c r="J80" s="7">
        <v>0</v>
      </c>
      <c r="K80" s="112" t="str">
        <f t="shared" si="19"/>
        <v>4037/4038</v>
      </c>
      <c r="L80" s="22" t="str">
        <f>VLOOKUP(A80,'Trips&amp;Operators'!$C$1:$E$10000,3,FALSE)</f>
        <v>MOSES</v>
      </c>
      <c r="M80" s="6">
        <f t="shared" si="20"/>
        <v>2.7418981480877846E-2</v>
      </c>
      <c r="N80" s="7">
        <f t="shared" si="21"/>
        <v>39.483333332464099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11:35:09-0600',mode:absolute,to:'2016-10-21 14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0" s="52" t="str">
        <f t="shared" si="25"/>
        <v>N</v>
      </c>
      <c r="X80" s="171">
        <f t="shared" si="26"/>
        <v>1</v>
      </c>
      <c r="Y80" s="67">
        <f t="shared" si="27"/>
        <v>23.299299999999999</v>
      </c>
      <c r="Z80" s="67">
        <f t="shared" si="28"/>
        <v>1.47E-2</v>
      </c>
      <c r="AA80" s="67">
        <f t="shared" si="29"/>
        <v>23.284599999999998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0166-21</v>
      </c>
      <c r="AE80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80" s="88" t="str">
        <f t="shared" si="32"/>
        <v>"C:\Program Files (x86)\AstroGrep\AstroGrep.exe" /spath="%USERPROFILE%\AppData\Local\Temp\OnboardLogs" /stypes="app*4037*20161021*"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166-21 --locoid 4037 --swversion DE.1.0.7.0 --startMP 204:232993 --initTime 2016-10-21T12:35:09 --startdatetime 2016-10-21T12:41:41 --delay 1 --endMP 204:147 --enddatetime 2016-10-21T13:21:10 --enforcementcount 0 &gt;&gt;C:\Users\stu\Documents\GitHub\eaglep3-reporting\EC\2016-10-21-refined-times.txt</v>
      </c>
      <c r="AI8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ID","value":"166-21"},{"id":16,"name":"Locomotive ID","value":"4037"},{"id":130,"name":"Impact","value":""},{"id":150,"name":"Time of Event (Mountain Time)","value":"13:21:10"},{"id":151,"name":"Denver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519</v>
      </c>
      <c r="B81" s="7">
        <v>4014</v>
      </c>
      <c r="C81" s="22" t="s">
        <v>99</v>
      </c>
      <c r="D81" s="22" t="s">
        <v>232</v>
      </c>
      <c r="E81" s="13">
        <v>42664.496851851851</v>
      </c>
      <c r="F81" s="13">
        <v>42664.501400462963</v>
      </c>
      <c r="G81" s="7">
        <v>3</v>
      </c>
      <c r="H81" s="13" t="s">
        <v>287</v>
      </c>
      <c r="I81" s="13">
        <v>42664.526585648149</v>
      </c>
      <c r="J81" s="7">
        <v>0</v>
      </c>
      <c r="K81" s="112" t="str">
        <f t="shared" si="19"/>
        <v>4013/4014</v>
      </c>
      <c r="L81" s="22" t="str">
        <f>VLOOKUP(A81,'Trips&amp;Operators'!$C$1:$E$10000,3,FALSE)</f>
        <v>ADANE</v>
      </c>
      <c r="M81" s="6">
        <f t="shared" si="20"/>
        <v>2.5185185186273884E-2</v>
      </c>
      <c r="N81" s="7">
        <f t="shared" si="21"/>
        <v>36.266666668234393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10:55:28-0600',mode:absolute,to:'2016-10-21 13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1" s="52" t="str">
        <f t="shared" si="25"/>
        <v>N</v>
      </c>
      <c r="X81" s="171">
        <f t="shared" si="26"/>
        <v>1</v>
      </c>
      <c r="Y81" s="67">
        <f t="shared" si="27"/>
        <v>4.5499999999999999E-2</v>
      </c>
      <c r="Z81" s="67">
        <f t="shared" si="28"/>
        <v>23.331099999999999</v>
      </c>
      <c r="AA81" s="67">
        <f t="shared" si="29"/>
        <v>23.285599999999999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0167-21</v>
      </c>
      <c r="AE81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81" s="88" t="str">
        <f t="shared" si="32"/>
        <v>"C:\Program Files (x86)\AstroGrep\AstroGrep.exe" /spath="%USERPROFILE%\AppData\Local\Temp\OnboardLogs" /stypes="app*4014*20161021*" /stext=" 18:.+((SYSTEM_STATE.+slice.+state.+changed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167-21 --locoid 4014 --swversion DE.1.0.7.0 --startMP 204:455 --initTime 2016-10-21T11:55:28 --startdatetime 2016-10-21T12:02:01 --delay 3 --endMP 204:233311 --enddatetime 2016-10-21T12:38:17 --enforcementcount 0 &gt;&gt;C:\Users\stu\Documents\GitHub\eaglep3-reporting\EC\2016-10-21-refined-times.txt</v>
      </c>
      <c r="AI8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ID","value":"167-21"},{"id":16,"name":"Locomotive ID","value":"4014"},{"id":130,"name":"Impact","value":""},{"id":150,"name":"Time of Event (Mountain Time)","value":"12:38:17"},{"id":151,"name":"Denver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4013</v>
      </c>
      <c r="C82" s="22" t="s">
        <v>99</v>
      </c>
      <c r="D82" s="22" t="s">
        <v>234</v>
      </c>
      <c r="E82" s="13">
        <v>42664.536319444444</v>
      </c>
      <c r="F82" s="13">
        <v>42664.539178240739</v>
      </c>
      <c r="G82" s="7">
        <v>2</v>
      </c>
      <c r="H82" s="13" t="s">
        <v>286</v>
      </c>
      <c r="I82" s="13">
        <v>42664.56690972222</v>
      </c>
      <c r="J82" s="7">
        <v>0</v>
      </c>
      <c r="K82" s="112" t="str">
        <f t="shared" si="19"/>
        <v>4013/4014</v>
      </c>
      <c r="L82" s="22" t="str">
        <f>VLOOKUP(A82,'Trips&amp;Operators'!$C$1:$E$10000,3,FALSE)</f>
        <v>ADANE</v>
      </c>
      <c r="M82" s="6">
        <f t="shared" si="20"/>
        <v>2.7731481481168885E-2</v>
      </c>
      <c r="N82" s="7">
        <f t="shared" si="21"/>
        <v>39.933333332883194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11:52:18-0600',mode:absolute,to:'2016-10-21 14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2" s="52" t="str">
        <f t="shared" si="25"/>
        <v>N</v>
      </c>
      <c r="X82" s="171">
        <f t="shared" si="26"/>
        <v>1</v>
      </c>
      <c r="Y82" s="67">
        <f t="shared" si="27"/>
        <v>23.297799999999999</v>
      </c>
      <c r="Z82" s="67">
        <f t="shared" si="28"/>
        <v>1.5800000000000002E-2</v>
      </c>
      <c r="AA82" s="67">
        <f t="shared" si="29"/>
        <v>23.282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0168-21</v>
      </c>
      <c r="AE82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82" s="88" t="str">
        <f t="shared" si="32"/>
        <v>"C:\Program Files (x86)\AstroGrep\AstroGrep.exe" /spath="%USERPROFILE%\AppData\Local\Temp\OnboardLogs" /stypes="app*4013*20161021*"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168-21 --locoid 4013 --swversion DE.1.0.7.0 --startMP 204:232978 --initTime 2016-10-21T12:52:18 --startdatetime 2016-10-21T12:56:25 --delay 2 --endMP 204:158 --enddatetime 2016-10-21T13:36:21 --enforcementcount 0 &gt;&gt;C:\Users\stu\Documents\GitHub\eaglep3-reporting\EC\2016-10-21-refined-times.txt</v>
      </c>
      <c r="AI8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ID","value":"168-21"},{"id":16,"name":"Locomotive ID","value":"4013"},{"id":130,"name":"Impact","value":""},{"id":150,"name":"Time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521</v>
      </c>
      <c r="B83" s="7">
        <v>4009</v>
      </c>
      <c r="C83" s="22" t="s">
        <v>99</v>
      </c>
      <c r="D83" s="22" t="s">
        <v>242</v>
      </c>
      <c r="E83" s="13">
        <v>42664.508090277777</v>
      </c>
      <c r="F83" s="13">
        <v>42664.510625000003</v>
      </c>
      <c r="G83" s="7">
        <v>1</v>
      </c>
      <c r="H83" s="13" t="s">
        <v>662</v>
      </c>
      <c r="I83" s="13">
        <v>42664.536180555559</v>
      </c>
      <c r="J83" s="7">
        <v>0</v>
      </c>
      <c r="K83" s="112" t="str">
        <f t="shared" si="19"/>
        <v>4009/4010</v>
      </c>
      <c r="L83" s="22" t="str">
        <f>VLOOKUP(A83,'Trips&amp;Operators'!$C$1:$E$10000,3,FALSE)</f>
        <v>SHOOK</v>
      </c>
      <c r="M83" s="6">
        <f t="shared" si="20"/>
        <v>2.5555555555911269E-2</v>
      </c>
      <c r="N83" s="7">
        <f t="shared" si="21"/>
        <v>36.800000000512227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11:11:39-0600',mode:absolute,to:'2016-10-21 13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 t="shared" si="25"/>
        <v>N</v>
      </c>
      <c r="X83" s="171">
        <f t="shared" si="26"/>
        <v>1</v>
      </c>
      <c r="Y83" s="67">
        <f t="shared" si="27"/>
        <v>4.5100000000000001E-2</v>
      </c>
      <c r="Z83" s="67">
        <f t="shared" si="28"/>
        <v>23.334599999999998</v>
      </c>
      <c r="AA83" s="67">
        <f t="shared" si="29"/>
        <v>23.289499999999997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0169-21</v>
      </c>
      <c r="AE83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83" s="88" t="str">
        <f t="shared" si="32"/>
        <v>"C:\Program Files (x86)\AstroGrep\AstroGrep.exe" /spath="%USERPROFILE%\AppData\Local\Temp\OnboardLogs" /stypes="app*4009*20161021*" /stext=" 18:.+((SYSTEM_STATE.+slice.+state.+changed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169-21 --locoid 4009 --swversion DE.1.0.7.0 --startMP 204:451 --initTime 2016-10-21T12:11:39 --startdatetime 2016-10-21T12:15:18 --delay 1 --endMP 204:233346 --enddatetime 2016-10-21T12:52:06 --enforcementcount 0 &gt;&gt;C:\Users\stu\Documents\GitHub\eaglep3-reporting\EC\2016-10-21-refined-times.txt</v>
      </c>
      <c r="AI8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{"issue":{"subject":"","project_id":79,"tracker_id":40,"status_id":1,"priority_id":2,"assigned_to_id":23,"start_date":"2016-10-21","description":"","custom_fields":[{"id":1,"name":"Subdivision","value":"EC"},{"id":4,"name":"Milepost","value":"23.3346"},{"id":17,"name":"Train ID","value":"169-21"},{"id":16,"name":"Locomotive ID","value":"4009"},{"id":130,"name":"Impact","value":""},{"id":150,"name":"Time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526</v>
      </c>
      <c r="B84" s="7">
        <v>4010</v>
      </c>
      <c r="C84" s="22" t="s">
        <v>99</v>
      </c>
      <c r="D84" s="22" t="s">
        <v>663</v>
      </c>
      <c r="E84" s="13">
        <v>42664.543807870374</v>
      </c>
      <c r="F84" s="13">
        <v>42664.54954861111</v>
      </c>
      <c r="G84" s="7">
        <v>1</v>
      </c>
      <c r="H84" s="13" t="s">
        <v>226</v>
      </c>
      <c r="I84" s="13">
        <v>42664.581759259258</v>
      </c>
      <c r="J84" s="7">
        <v>0</v>
      </c>
      <c r="K84" s="112" t="str">
        <f t="shared" si="19"/>
        <v>4009/4010</v>
      </c>
      <c r="L84" s="22" t="str">
        <f>VLOOKUP(A84,'Trips&amp;Operators'!$C$1:$E$10000,3,FALSE)</f>
        <v>SHOOK</v>
      </c>
      <c r="M84" s="6">
        <f t="shared" si="20"/>
        <v>3.2210648147156462E-2</v>
      </c>
      <c r="N84" s="7">
        <f t="shared" si="21"/>
        <v>46.383333331905305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12:03:05-0600',mode:absolute,to:'2016-10-21 14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 t="shared" si="25"/>
        <v>N</v>
      </c>
      <c r="X84" s="171">
        <f t="shared" si="26"/>
        <v>1</v>
      </c>
      <c r="Y84" s="67">
        <f t="shared" si="27"/>
        <v>23.302800000000001</v>
      </c>
      <c r="Z84" s="67">
        <f t="shared" si="28"/>
        <v>1.43E-2</v>
      </c>
      <c r="AA84" s="67">
        <f t="shared" si="29"/>
        <v>23.288500000000003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0170-21</v>
      </c>
      <c r="AE84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84" s="88" t="str">
        <f t="shared" si="32"/>
        <v>"C:\Program Files (x86)\AstroGrep\AstroGrep.exe" /spath="%USERPROFILE%\AppData\Local\Temp\OnboardLogs" /stypes="app*4010*20161021*" /stext=" 19:.+((SYSTEM_STATE.+slice.+state.+changed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170-21 --locoid 4010 --swversion DE.1.0.7.0 --startMP 204:233028 --initTime 2016-10-21T13:03:05 --startdatetime 2016-10-21T13:11:21 --delay 1 --endMP 204:143 --enddatetime 2016-10-21T13:57:44 --enforcementcount 0 &gt;&gt;C:\Users\stu\Documents\GitHub\eaglep3-reporting\EC\2016-10-21-refined-times.txt</v>
      </c>
      <c r="AI8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ID","value":"170-21"},{"id":16,"name":"Locomotive ID","value":"4010"},{"id":130,"name":"Impact","value":""},{"id":150,"name":"Time of Event (Mountain Time)","value":"13:57:44"},{"id":151,"name":"Denver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416</v>
      </c>
      <c r="B85" s="7">
        <v>4016</v>
      </c>
      <c r="C85" s="22" t="s">
        <v>99</v>
      </c>
      <c r="D85" s="22" t="s">
        <v>664</v>
      </c>
      <c r="E85" s="13">
        <v>42664.51829861111</v>
      </c>
      <c r="F85" s="13">
        <v>42664.521018518521</v>
      </c>
      <c r="G85" s="7">
        <v>1</v>
      </c>
      <c r="H85" s="13" t="s">
        <v>665</v>
      </c>
      <c r="I85" s="13">
        <v>42664.54859953704</v>
      </c>
      <c r="J85" s="7">
        <v>0</v>
      </c>
      <c r="K85" s="112" t="str">
        <f t="shared" si="19"/>
        <v>4015/4016</v>
      </c>
      <c r="L85" s="22" t="str">
        <f>VLOOKUP(A85,'Trips&amp;Operators'!$C$1:$E$10000,3,FALSE)</f>
        <v>STORY</v>
      </c>
      <c r="M85" s="6">
        <f t="shared" si="20"/>
        <v>2.7581018519413192E-2</v>
      </c>
      <c r="N85" s="7">
        <f t="shared" si="21"/>
        <v>39.716666667954996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11:26:21-0600',mode:absolute,to:'2016-10-21 14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 t="shared" si="25"/>
        <v>N</v>
      </c>
      <c r="X85" s="171">
        <f t="shared" si="26"/>
        <v>1</v>
      </c>
      <c r="Y85" s="67">
        <f t="shared" si="27"/>
        <v>4.7800000000000002E-2</v>
      </c>
      <c r="Z85" s="67">
        <f t="shared" si="28"/>
        <v>23.334099999999999</v>
      </c>
      <c r="AA85" s="67">
        <f t="shared" si="29"/>
        <v>23.286300000000001</v>
      </c>
      <c r="AB85" s="64" t="str">
        <f>VLOOKUP(A85,Enforcements!$C$7:$K$21,8,0)</f>
        <v>Speed (6)</v>
      </c>
      <c r="AC85" s="60" t="str">
        <f>VLOOKUP(A85,Enforcements!$C$7:$E$21,3,0)</f>
        <v>PERMANENT SPEED RESTRICTION</v>
      </c>
      <c r="AD85" s="61" t="str">
        <f t="shared" si="30"/>
        <v>0171-21</v>
      </c>
      <c r="AE85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85" s="88" t="str">
        <f t="shared" si="32"/>
        <v>"C:\Program Files (x86)\AstroGrep\AstroGrep.exe" /spath="%USERPROFILE%\AppData\Local\Temp\OnboardLogs" /stypes="app*4016*20161021*"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171-21 --locoid 4016 --swversion DE.1.0.7.0 --startMP 204:478 --initTime 2016-10-21T12:26:21 --startdatetime 2016-10-21T12:30:16 --delay 1 --endMP 204:233341 --enddatetime 2016-10-21T13:09:59 --enforcementcount 0 &gt;&gt;C:\Users\stu\Documents\GitHub\eaglep3-reporting\EC\2016-10-21-refined-times.txt</v>
      </c>
      <c r="AI8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{"issue":{"subject":"","project_id":79,"tracker_id":40,"status_id":1,"priority_id":2,"assigned_to_id":23,"start_date":"2016-10-21","description":"","custom_fields":[{"id":1,"name":"Subdivision","value":"EC"},{"id":4,"name":"Milepost","value":"23.3341"},{"id":17,"name":"Train ID","value":"171-21"},{"id":16,"name":"Locomotive ID","value":"4016"},{"id":130,"name":"Impact","value":""},{"id":150,"name":"Time of Event (Mountain Time)","value":"13:09:59"},{"id":151,"name":"Denver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528</v>
      </c>
      <c r="B86" s="7">
        <v>4015</v>
      </c>
      <c r="C86" s="22" t="s">
        <v>99</v>
      </c>
      <c r="D86" s="22" t="s">
        <v>666</v>
      </c>
      <c r="E86" s="13">
        <v>42664.557002314818</v>
      </c>
      <c r="F86" s="13">
        <v>42664.56009259259</v>
      </c>
      <c r="G86" s="7">
        <v>1</v>
      </c>
      <c r="H86" s="13" t="s">
        <v>177</v>
      </c>
      <c r="I86" s="13">
        <v>42664.589606481481</v>
      </c>
      <c r="J86" s="7">
        <v>0</v>
      </c>
      <c r="K86" s="112" t="str">
        <f t="shared" si="19"/>
        <v>4015/4016</v>
      </c>
      <c r="L86" s="22" t="str">
        <f>VLOOKUP(A86,'Trips&amp;Operators'!$C$1:$E$10000,3,FALSE)</f>
        <v>STORY</v>
      </c>
      <c r="M86" s="6">
        <f t="shared" si="20"/>
        <v>2.9513888890505768E-2</v>
      </c>
      <c r="N86" s="7">
        <f t="shared" si="21"/>
        <v>42.500000002328306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12:22:05-0600',mode:absolute,to:'2016-10-21 15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 t="shared" si="25"/>
        <v>N</v>
      </c>
      <c r="X86" s="171">
        <f t="shared" si="26"/>
        <v>1</v>
      </c>
      <c r="Y86" s="67">
        <f t="shared" si="27"/>
        <v>23.300899999999999</v>
      </c>
      <c r="Z86" s="67">
        <f t="shared" si="28"/>
        <v>1.52E-2</v>
      </c>
      <c r="AA86" s="67">
        <f t="shared" si="29"/>
        <v>23.285699999999999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0172-21</v>
      </c>
      <c r="AE86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86" s="88" t="str">
        <f t="shared" si="32"/>
        <v>"C:\Program Files (x86)\AstroGrep\AstroGrep.exe" /spath="%USERPROFILE%\AppData\Local\Temp\OnboardLogs" /stypes="app*4015*20161021*"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172-21 --locoid 4015 --swversion DE.1.0.7.0 --startMP 204:233009 --initTime 2016-10-21T13:22:05 --startdatetime 2016-10-21T13:26:32 --delay 1 --endMP 204:152 --enddatetime 2016-10-21T14:09:02 --enforcementcount 0 &gt;&gt;C:\Users\stu\Documents\GitHub\eaglep3-reporting\EC\2016-10-21-refined-times.txt</v>
      </c>
      <c r="AI8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ID","value":"172-21"},{"id":16,"name":"Locomotive ID","value":"4015"},{"id":130,"name":"Impact","value":""},{"id":150,"name":"Time of Event (Mountain Time)","value":"14:09:02"},{"id":151,"name":"Denver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797</v>
      </c>
      <c r="B87" s="7">
        <v>4041</v>
      </c>
      <c r="C87" s="22" t="s">
        <v>99</v>
      </c>
      <c r="D87" s="22" t="s">
        <v>666</v>
      </c>
      <c r="E87" s="13">
        <v>42664.557002314818</v>
      </c>
      <c r="F87" s="13"/>
      <c r="G87" s="7">
        <v>1</v>
      </c>
      <c r="H87" s="13" t="s">
        <v>177</v>
      </c>
      <c r="I87" s="13"/>
      <c r="J87" s="7">
        <v>0</v>
      </c>
      <c r="K87" s="112" t="str">
        <f t="shared" ref="K87" si="36">IF(ISEVEN(B87),(B87-1)&amp;"/"&amp;B87,B87&amp;"/"&amp;(B87+1))</f>
        <v>4041/4042</v>
      </c>
      <c r="L87" s="22" t="e">
        <f>VLOOKUP(A87,'Trips&amp;Operators'!$C$1:$E$10000,3,FALSE)</f>
        <v>#N/A</v>
      </c>
      <c r="M87" s="6">
        <f t="shared" ref="M87" si="37">I87-F87</f>
        <v>0</v>
      </c>
      <c r="N87" s="7"/>
      <c r="O87" s="7"/>
      <c r="P87" s="7">
        <v>1</v>
      </c>
      <c r="Q87" s="23"/>
      <c r="R87" s="23" t="s">
        <v>804</v>
      </c>
      <c r="S87" s="35">
        <f t="shared" ref="S87" si="38">SUM(U87:U87)/IF(AG87="EC",12,1)</f>
        <v>0</v>
      </c>
      <c r="T87" s="50" t="str">
        <f t="shared" ref="T87" si="39">IF(ISEVEN(LEFT(AD87,4)),"Southbound","NorthBound")</f>
        <v>NorthBound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98" t="str">
        <f t="shared" ref="V87" si="40"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https://search-rtdc-monitor-bjffxe2xuh6vdkpspy63sjmuny.us-east-1.es.amazonaws.com/_plugin/kibana/#/discover/Steve-Slow-Train-Analysis-(2080s-and-2083s)?_g=(refreshInterval:(display:Off,section:0,value:0),time:(from:'2016-10-21 12:22:05-0600',mode:absolute,to:'1900-01-00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7" s="52" t="str">
        <f t="shared" ref="W87" si="41">IF(AA87&lt;IF(AG87="EC",23,5.65),"Y","N")</f>
        <v>N</v>
      </c>
      <c r="X87" s="171">
        <f t="shared" si="26"/>
        <v>1</v>
      </c>
      <c r="Y87" s="67">
        <f t="shared" ref="Y87" si="42">RIGHT(D87,LEN(D87)-4)/10000</f>
        <v>23.300899999999999</v>
      </c>
      <c r="Z87" s="67">
        <f t="shared" ref="Z87" si="43">RIGHT(H87,LEN(H87)-4)/10000</f>
        <v>1.52E-2</v>
      </c>
      <c r="AA87" s="67">
        <f t="shared" ref="AA87" si="44">ABS(Z87-Y87)</f>
        <v>23.285699999999999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ref="AD87" si="45">IF(LEN(A87)=6,"0"&amp;A87,A87)</f>
        <v>0173-21</v>
      </c>
      <c r="AE87" s="91" t="str">
        <f t="shared" ref="AE87" si="46"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s3://rtdc.mdm.uploadarchive.raw/RTDC4041/ "%USERPROFILE%\AppData\Local\Temp\OnboardLogs"\RTDC4041\1900-01-00 --exclude "*" --recursive --include "*19000100*" &amp; "%USERPROFILE%\Documents\GitHub\mrs-test-scripts\Headless Mode &amp; Sideloading\WalkAndUnGZ.bat" "%USERPROFILE%\AppData\Local\Temp\OnboardLogs"\RTDC4041\1900-01-00 &amp; aws s3 cp s3://rtdc.mdm.uploadarchive.raw/RTDC4041/ "%USERPROFILE%\AppData\Local\Temp\OnboardLogs"\RTDC4041\1900-01-01 --exclude "*" --recursive --include "*19000101*" &amp; "%USERPROFILE%\Documents\GitHub\mrs-test-scripts\Headless Mode &amp; Sideloading\WalkAndUnGZ.bat" "%USERPROFILE%\AppData\Local\Temp\OnboardLogs"\RTDC4041\1900-01-01</v>
      </c>
      <c r="AF87" s="88" t="str">
        <f t="shared" ref="AF87" si="47"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/stypes="app*4041*19000100*" /stext=" 06:.+((SYSTEM_STATE.+slice.+state.+changed )|(ment ac)|(system.+state.+changed )|(\[timeout)|(PRM\|1\|D)|(kpr)|(kdp)|(\|lc)|(penalty))" /e /r /s</v>
      </c>
      <c r="AG87" s="1" t="str">
        <f t="shared" ref="AG87" si="48">IFERROR(IF(VALUE(LEFT(AD87,2))&lt;=2,"EC",IF(OR(VALUE(LEFT(AD87,2))=8,VALUE(LEFT(AD87,2))=18),"NW","Other")),"Other")</f>
        <v>EC</v>
      </c>
      <c r="AH87" s="92" t="str">
        <f t="shared" ref="AH87" si="49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173-21 --locoid 4041 --swversion DE.1.0.7.0 --startMP 204:233009 --initTime 2016-10-21T13:22:05 --startdatetime 1900-01-00T00:00:00 --delay 1 --endMP 204:152 --enddatetime 1900-01-00T00:00:00 --enforcementcount 0 &gt;&gt;C:\Users\stu\Documents\GitHub\eaglep3-reporting\EC\2016-10-21-refined-times.txt</v>
      </c>
      <c r="AI87" s="122" t="str">
        <f t="shared" ref="AI87" si="50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{"issue":{"subject":"Wi-MAX outage prevented init","project_id":79,"tracker_id":40,"status_id":1,"priority_id":2,"assigned_to_id":23,"start_date":"1900-01-00","description":"","custom_fields":[{"id":1,"name":"Subdivision","value":"EC"},{"id":4,"name":"Milepost","value":"0.0152"},{"id":17,"name":"Train ID","value":"173-21"},{"id":16,"name":"Locomotive ID","value":"4041"},{"id":130,"name":"Impact","value":""},{"id":150,"name":"Time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</row>
    <row r="88" spans="1:91" s="1" customFormat="1" x14ac:dyDescent="0.25">
      <c r="A88" s="37" t="s">
        <v>530</v>
      </c>
      <c r="B88" s="7">
        <v>4041</v>
      </c>
      <c r="C88" s="22" t="s">
        <v>99</v>
      </c>
      <c r="D88" s="22" t="s">
        <v>257</v>
      </c>
      <c r="E88" s="13">
        <v>42664.566805555558</v>
      </c>
      <c r="F88" s="13">
        <v>42664.570335648146</v>
      </c>
      <c r="G88" s="7">
        <v>1</v>
      </c>
      <c r="H88" s="13" t="s">
        <v>224</v>
      </c>
      <c r="I88" s="13">
        <v>42664.599768518521</v>
      </c>
      <c r="J88" s="7">
        <v>0</v>
      </c>
      <c r="K88" s="112" t="str">
        <f t="shared" si="19"/>
        <v>4041/4042</v>
      </c>
      <c r="L88" s="22" t="str">
        <f>VLOOKUP(A88,'Trips&amp;Operators'!$C$1:$E$10000,3,FALSE)</f>
        <v>STEWART</v>
      </c>
      <c r="M88" s="6">
        <f t="shared" si="20"/>
        <v>2.9432870374876074E-2</v>
      </c>
      <c r="N88" s="7">
        <f t="shared" si="21"/>
        <v>42.383333339821547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12:36:12-0600',mode:absolute,to:'2016-10-21 15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25"/>
        <v>N</v>
      </c>
      <c r="X88" s="171">
        <f t="shared" si="26"/>
        <v>1</v>
      </c>
      <c r="Y88" s="67">
        <f t="shared" si="27"/>
        <v>23.297699999999999</v>
      </c>
      <c r="Z88" s="67">
        <f t="shared" si="28"/>
        <v>1.49E-2</v>
      </c>
      <c r="AA88" s="67">
        <f t="shared" si="29"/>
        <v>23.282799999999998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0174-21</v>
      </c>
      <c r="AE88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88" s="88" t="str">
        <f t="shared" si="32"/>
        <v>"C:\Program Files (x86)\AstroGrep\AstroGrep.exe" /spath="%USERPROFILE%\AppData\Local\Temp\OnboardLogs" /stypes="app*4041*20161021*"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174-21 --locoid 4041 --swversion DE.1.0.7.0 --startMP 204:232977 --initTime 2016-10-21T13:36:12 --startdatetime 2016-10-21T13:41:17 --delay 1 --endMP 204:149 --enddatetime 2016-10-21T14:23:40 --enforcementcount 0 &gt;&gt;C:\Users\stu\Documents\GitHub\eaglep3-reporting\EC\2016-10-21-refined-times.txt</v>
      </c>
      <c r="AI8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ID","value":"174-21"},{"id":16,"name":"Locomotive ID","value":"4041"},{"id":130,"name":"Impact","value":""},{"id":150,"name":"Time of Event (Mountain Time)","value":"14:23:40"},{"id":151,"name":"Denver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525</v>
      </c>
      <c r="B89" s="7">
        <v>4027</v>
      </c>
      <c r="C89" s="22" t="s">
        <v>99</v>
      </c>
      <c r="D89" s="22" t="s">
        <v>228</v>
      </c>
      <c r="E89" s="13">
        <v>42664.538518518515</v>
      </c>
      <c r="F89" s="13">
        <v>42664.541828703703</v>
      </c>
      <c r="G89" s="7">
        <v>1</v>
      </c>
      <c r="H89" s="13" t="s">
        <v>238</v>
      </c>
      <c r="I89" s="13">
        <v>42664.569328703707</v>
      </c>
      <c r="J89" s="7">
        <v>0</v>
      </c>
      <c r="K89" s="112" t="str">
        <f t="shared" si="19"/>
        <v>4027/4028</v>
      </c>
      <c r="L89" s="22" t="str">
        <f>VLOOKUP(A89,'Trips&amp;Operators'!$C$1:$E$10000,3,FALSE)</f>
        <v>CLARK</v>
      </c>
      <c r="M89" s="6">
        <f t="shared" si="20"/>
        <v>2.7500000003783498E-2</v>
      </c>
      <c r="N89" s="7">
        <f t="shared" si="21"/>
        <v>39.600000005448237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11:55:28-0600',mode:absolute,to:'2016-10-21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9" s="52" t="str">
        <f t="shared" si="25"/>
        <v>N</v>
      </c>
      <c r="X89" s="171">
        <f t="shared" si="26"/>
        <v>1</v>
      </c>
      <c r="Y89" s="67">
        <f t="shared" si="27"/>
        <v>4.4699999999999997E-2</v>
      </c>
      <c r="Z89" s="67">
        <f t="shared" si="28"/>
        <v>23.329899999999999</v>
      </c>
      <c r="AA89" s="67">
        <f t="shared" si="29"/>
        <v>23.2852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0175-21</v>
      </c>
      <c r="AE89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89" s="88" t="str">
        <f t="shared" si="32"/>
        <v>"C:\Program Files (x86)\AstroGrep\AstroGrep.exe" /spath="%USERPROFILE%\AppData\Local\Temp\OnboardLogs" /stypes="app*4027*20161021*" /stext=" 19:.+((SYSTEM_STATE.+slice.+state.+changed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175-21 --locoid 4027 --swversion DE.1.0.7.0 --startMP 204:447 --initTime 2016-10-21T12:55:28 --startdatetime 2016-10-21T13:00:14 --delay 1 --endMP 204:233299 --enddatetime 2016-10-21T13:39:50 --enforcementcount 0 &gt;&gt;C:\Users\stu\Documents\GitHub\eaglep3-reporting\EC\2016-10-21-refined-times.txt</v>
      </c>
      <c r="AI8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{"issue":{"subject":"","project_id":79,"tracker_id":40,"status_id":1,"priority_id":2,"assigned_to_id":23,"start_date":"2016-10-21","description":"","custom_fields":[{"id":1,"name":"Subdivision","value":"EC"},{"id":4,"name":"Milepost","value":"23.3299"},{"id":17,"name":"Train ID","value":"175-21"},{"id":16,"name":"Locomotive ID","value":"4027"},{"id":130,"name":"Impact","value":""},{"id":150,"name":"Time of Event (Mountain Time)","value":"13:39:50"},{"id":151,"name":"Denver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4028</v>
      </c>
      <c r="C90" s="22" t="s">
        <v>99</v>
      </c>
      <c r="D90" s="22" t="s">
        <v>260</v>
      </c>
      <c r="E90" s="13">
        <v>42664.575624999998</v>
      </c>
      <c r="F90" s="13">
        <v>42664.580937500003</v>
      </c>
      <c r="G90" s="7">
        <v>1</v>
      </c>
      <c r="H90" s="13" t="s">
        <v>226</v>
      </c>
      <c r="I90" s="13">
        <v>42664.611388888887</v>
      </c>
      <c r="J90" s="7">
        <v>0</v>
      </c>
      <c r="K90" s="112" t="str">
        <f t="shared" si="19"/>
        <v>4027/4028</v>
      </c>
      <c r="L90" s="22" t="str">
        <f>VLOOKUP(A90,'Trips&amp;Operators'!$C$1:$E$10000,3,FALSE)</f>
        <v>CLARK</v>
      </c>
      <c r="M90" s="6">
        <f t="shared" si="20"/>
        <v>3.0451388884102926E-2</v>
      </c>
      <c r="N90" s="7">
        <f t="shared" si="21"/>
        <v>43.849999993108213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12:48:54-0600',mode:absolute,to:'2016-10-21 15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0" s="52" t="str">
        <f t="shared" si="25"/>
        <v>N</v>
      </c>
      <c r="X90" s="171">
        <f t="shared" si="26"/>
        <v>1</v>
      </c>
      <c r="Y90" s="67">
        <f t="shared" si="27"/>
        <v>23.299399999999999</v>
      </c>
      <c r="Z90" s="67">
        <f t="shared" si="28"/>
        <v>1.43E-2</v>
      </c>
      <c r="AA90" s="67">
        <f t="shared" si="29"/>
        <v>23.2851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0176-21</v>
      </c>
      <c r="AE90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90" s="88" t="str">
        <f t="shared" si="32"/>
        <v>"C:\Program Files (x86)\AstroGrep\AstroGrep.exe" /spath="%USERPROFILE%\AppData\Local\Temp\OnboardLogs" /stypes="app*4028*20161021*"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176-21 --locoid 4028 --swversion DE.1.0.7.0 --startMP 204:232994 --initTime 2016-10-21T13:48:54 --startdatetime 2016-10-21T13:56:33 --delay 1 --endMP 204:143 --enddatetime 2016-10-21T14:40:24 --enforcementcount 0 &gt;&gt;C:\Users\stu\Documents\GitHub\eaglep3-reporting\EC\2016-10-21-refined-times.txt</v>
      </c>
      <c r="AI9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ID","value":"176-21"},{"id":16,"name":"Locomotive ID","value":"4028"},{"id":130,"name":"Impact","value":""},{"id":150,"name":"Time of Event (Mountain Time)","value":"14:40:24"},{"id":151,"name":"Denver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417</v>
      </c>
      <c r="B91" s="7">
        <v>4053</v>
      </c>
      <c r="C91" s="22" t="s">
        <v>99</v>
      </c>
      <c r="D91" s="22" t="s">
        <v>229</v>
      </c>
      <c r="E91" s="13">
        <v>42664.549317129633</v>
      </c>
      <c r="F91" s="13">
        <v>42664.552303240744</v>
      </c>
      <c r="G91" s="7">
        <v>1</v>
      </c>
      <c r="H91" s="13" t="s">
        <v>654</v>
      </c>
      <c r="I91" s="13">
        <v>42664.579548611109</v>
      </c>
      <c r="J91" s="7">
        <v>0</v>
      </c>
      <c r="K91" s="112" t="str">
        <f t="shared" si="19"/>
        <v>4053/4054</v>
      </c>
      <c r="L91" s="22" t="str">
        <f>VLOOKUP(A91,'Trips&amp;Operators'!$C$1:$E$10000,3,FALSE)</f>
        <v>BROWN</v>
      </c>
      <c r="M91" s="6">
        <f t="shared" si="20"/>
        <v>2.7245370365562849E-2</v>
      </c>
      <c r="N91" s="7">
        <f t="shared" si="21"/>
        <v>39.233333326410502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12:11:01-0600',mode:absolute,to:'2016-10-21 14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1" s="52" t="str">
        <f t="shared" si="25"/>
        <v>N</v>
      </c>
      <c r="X91" s="171">
        <f t="shared" si="26"/>
        <v>1</v>
      </c>
      <c r="Y91" s="67">
        <f t="shared" si="27"/>
        <v>4.53E-2</v>
      </c>
      <c r="Z91" s="67">
        <f t="shared" si="28"/>
        <v>23.329799999999999</v>
      </c>
      <c r="AA91" s="67">
        <f t="shared" si="29"/>
        <v>23.284499999999998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0177-21</v>
      </c>
      <c r="AE91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91" s="88" t="str">
        <f t="shared" si="32"/>
        <v>"C:\Program Files (x86)\AstroGrep\AstroGrep.exe" /spath="%USERPROFILE%\AppData\Local\Temp\OnboardLogs" /stypes="app*4053*20161021*" /stext=" 19:.+((SYSTEM_STATE.+slice.+state.+changed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177-21 --locoid 4053 --swversion DE.1.0.7.0 --startMP 204:453 --initTime 2016-10-21T13:11:01 --startdatetime 2016-10-21T13:15:19 --delay 1 --endMP 204:233298 --enddatetime 2016-10-21T13:54:33 --enforcementcount 0 &gt;&gt;C:\Users\stu\Documents\GitHub\eaglep3-reporting\EC\2016-10-21-refined-times.txt</v>
      </c>
      <c r="AI9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ID","value":"177-21"},{"id":16,"name":"Locomotive ID","value":"4053"},{"id":130,"name":"Impact","value":""},{"id":150,"name":"Time of Event (Mountain Time)","value":"13:54:33"},{"id":151,"name":"Denver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534</v>
      </c>
      <c r="B92" s="7">
        <v>4037</v>
      </c>
      <c r="C92" s="22" t="s">
        <v>99</v>
      </c>
      <c r="D92" s="22" t="s">
        <v>667</v>
      </c>
      <c r="E92" s="13">
        <v>42664.591886574075</v>
      </c>
      <c r="F92" s="13">
        <v>42664.593599537038</v>
      </c>
      <c r="G92" s="7">
        <v>1</v>
      </c>
      <c r="H92" s="13" t="s">
        <v>371</v>
      </c>
      <c r="I92" s="13">
        <v>42664.622511574074</v>
      </c>
      <c r="J92" s="7">
        <v>0</v>
      </c>
      <c r="K92" s="112" t="str">
        <f t="shared" si="19"/>
        <v>4037/4038</v>
      </c>
      <c r="L92" s="22" t="str">
        <f>VLOOKUP(A92,'Trips&amp;Operators'!$C$1:$E$10000,3,FALSE)</f>
        <v>BROWN</v>
      </c>
      <c r="M92" s="6">
        <f t="shared" si="20"/>
        <v>2.8912037036207039E-2</v>
      </c>
      <c r="N92" s="7">
        <f t="shared" si="21"/>
        <v>41.633333332138136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13:12:19-0600',mode:absolute,to:'2016-10-21 15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2" s="52" t="str">
        <f t="shared" si="25"/>
        <v>N</v>
      </c>
      <c r="X92" s="171">
        <f t="shared" si="26"/>
        <v>1</v>
      </c>
      <c r="Y92" s="67">
        <f t="shared" si="27"/>
        <v>23.298200000000001</v>
      </c>
      <c r="Z92" s="67">
        <f t="shared" si="28"/>
        <v>0.11940000000000001</v>
      </c>
      <c r="AA92" s="67">
        <f t="shared" si="29"/>
        <v>23.178800000000003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0178-21</v>
      </c>
      <c r="AE92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92" s="88" t="str">
        <f t="shared" si="32"/>
        <v>"C:\Program Files (x86)\AstroGrep\AstroGrep.exe" /spath="%USERPROFILE%\AppData\Local\Temp\OnboardLogs" /stypes="app*4037*20161021*" /stext=" 20:.+((SYSTEM_STATE.+slice.+state.+changed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178-21 --locoid 4037 --swversion DE.1.0.7.0 --startMP 204:232982 --initTime 2016-10-21T14:12:19 --startdatetime 2016-10-21T14:14:47 --delay 1 --endMP 204:1194 --enddatetime 2016-10-21T14:56:25 --enforcementcount 0 &gt;&gt;C:\Users\stu\Documents\GitHub\eaglep3-reporting\EC\2016-10-21-refined-times.txt</v>
      </c>
      <c r="AI9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{"issue":{"subject":"","project_id":79,"tracker_id":40,"status_id":1,"priority_id":2,"assigned_to_id":23,"start_date":"2016-10-21","description":"","custom_fields":[{"id":1,"name":"Subdivision","value":"EC"},{"id":4,"name":"Milepost","value":"0.1194"},{"id":17,"name":"Train ID","value":"178-21"},{"id":16,"name":"Locomotive ID","value":"4037"},{"id":130,"name":"Impact","value":""},{"id":150,"name":"Time of Event (Mountain Time)","value":"14:56:25"},{"id":151,"name":"Denver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529</v>
      </c>
      <c r="B93" s="7">
        <v>4038</v>
      </c>
      <c r="C93" s="22" t="s">
        <v>99</v>
      </c>
      <c r="D93" s="22" t="s">
        <v>242</v>
      </c>
      <c r="E93" s="13">
        <v>42664.559027777781</v>
      </c>
      <c r="F93" s="13">
        <v>42664.562754629631</v>
      </c>
      <c r="G93" s="7">
        <v>1</v>
      </c>
      <c r="H93" s="13" t="s">
        <v>647</v>
      </c>
      <c r="I93" s="13">
        <v>42664.588182870371</v>
      </c>
      <c r="J93" s="7">
        <v>0</v>
      </c>
      <c r="K93" s="112" t="str">
        <f t="shared" si="19"/>
        <v>4037/4038</v>
      </c>
      <c r="L93" s="22" t="str">
        <f>VLOOKUP(A93,'Trips&amp;Operators'!$C$1:$E$10000,3,FALSE)</f>
        <v>MOSES</v>
      </c>
      <c r="M93" s="6">
        <f t="shared" si="20"/>
        <v>2.5428240740438923E-2</v>
      </c>
      <c r="N93" s="7">
        <f t="shared" si="21"/>
        <v>36.616666666232049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12:25:00-0600',mode:absolute,to:'2016-10-21 15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3" s="52" t="str">
        <f t="shared" si="25"/>
        <v>N</v>
      </c>
      <c r="X93" s="171">
        <f t="shared" si="26"/>
        <v>1</v>
      </c>
      <c r="Y93" s="67">
        <f t="shared" si="27"/>
        <v>4.5100000000000001E-2</v>
      </c>
      <c r="Z93" s="67">
        <f t="shared" si="28"/>
        <v>23.3322</v>
      </c>
      <c r="AA93" s="67">
        <f t="shared" si="29"/>
        <v>23.287099999999999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0179-21</v>
      </c>
      <c r="AE93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93" s="88" t="str">
        <f t="shared" si="32"/>
        <v>"C:\Program Files (x86)\AstroGrep\AstroGrep.exe" /spath="%USERPROFILE%\AppData\Local\Temp\OnboardLogs" /stypes="app*4038*20161021*"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179-21 --locoid 4038 --swversion DE.1.0.7.0 --startMP 204:451 --initTime 2016-10-21T13:25:00 --startdatetime 2016-10-21T13:30:22 --delay 1 --endMP 204:233322 --enddatetime 2016-10-21T14:06:59 --enforcementcount 0 &gt;&gt;C:\Users\stu\Documents\GitHub\eaglep3-reporting\EC\2016-10-21-refined-times.txt</v>
      </c>
      <c r="AI9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{"issue":{"subject":"","project_id":79,"tracker_id":40,"status_id":1,"priority_id":2,"assigned_to_id":23,"start_date":"2016-10-21","description":"","custom_fields":[{"id":1,"name":"Subdivision","value":"EC"},{"id":4,"name":"Milepost","value":"23.3322"},{"id":17,"name":"Train ID","value":"179-21"},{"id":16,"name":"Locomotive ID","value":"4038"},{"id":130,"name":"Impact","value":""},{"id":150,"name":"Time of Event (Mountain Time)","value":"14:06:59"},{"id":151,"name":"Denver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420</v>
      </c>
      <c r="B94" s="7">
        <v>4013</v>
      </c>
      <c r="C94" s="22" t="s">
        <v>99</v>
      </c>
      <c r="D94" s="22" t="s">
        <v>668</v>
      </c>
      <c r="E94" s="13">
        <v>42664.606736111113</v>
      </c>
      <c r="F94" s="13">
        <v>42664.608506944445</v>
      </c>
      <c r="G94" s="7">
        <v>1</v>
      </c>
      <c r="H94" s="13" t="s">
        <v>669</v>
      </c>
      <c r="I94" s="13">
        <v>42664.636504629627</v>
      </c>
      <c r="J94" s="7">
        <v>0</v>
      </c>
      <c r="K94" s="112" t="str">
        <f t="shared" si="19"/>
        <v>4013/4014</v>
      </c>
      <c r="L94" s="22" t="str">
        <f>VLOOKUP(A94,'Trips&amp;Operators'!$C$1:$E$10000,3,FALSE)</f>
        <v>ADANE</v>
      </c>
      <c r="M94" s="6">
        <f t="shared" si="20"/>
        <v>2.7997685181617271E-2</v>
      </c>
      <c r="N94" s="7">
        <f t="shared" si="21"/>
        <v>40.31666666152887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13:33:42-0600',mode:absolute,to:'2016-10-21 16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4" s="52" t="str">
        <f t="shared" si="25"/>
        <v>N</v>
      </c>
      <c r="X94" s="171">
        <f t="shared" si="26"/>
        <v>1</v>
      </c>
      <c r="Y94" s="67">
        <f t="shared" si="27"/>
        <v>23.265999999999998</v>
      </c>
      <c r="Z94" s="67">
        <f t="shared" si="28"/>
        <v>2.2499999999999999E-2</v>
      </c>
      <c r="AA94" s="67">
        <f t="shared" si="29"/>
        <v>23.243499999999997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0180-21</v>
      </c>
      <c r="AE94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94" s="88" t="str">
        <f t="shared" si="32"/>
        <v>"C:\Program Files (x86)\AstroGrep\AstroGrep.exe" /spath="%USERPROFILE%\AppData\Local\Temp\OnboardLogs" /stypes="app*4013*20161021*"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180-21 --locoid 4013 --swversion DE.1.0.7.0 --startMP 204:232660 --initTime 2016-10-21T14:33:42 --startdatetime 2016-10-21T14:36:15 --delay 1 --endMP 204:225 --enddatetime 2016-10-21T15:16:34 --enforcementcount 0 &gt;&gt;C:\Users\stu\Documents\GitHub\eaglep3-reporting\EC\2016-10-21-refined-times.txt</v>
      </c>
      <c r="AI9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{"issue":{"subject":"","project_id":79,"tracker_id":40,"status_id":1,"priority_id":2,"assigned_to_id":23,"start_date":"2016-10-21","description":"","custom_fields":[{"id":1,"name":"Subdivision","value":"EC"},{"id":4,"name":"Milepost","value":"0.0225"},{"id":17,"name":"Train ID","value":"180-21"},{"id":16,"name":"Locomotive ID","value":"4013"},{"id":130,"name":"Impact","value":""},{"id":150,"name":"Time of Event (Mountain Time)","value":"15:16:34"},{"id":151,"name":"Denver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532</v>
      </c>
      <c r="B95" s="7">
        <v>4014</v>
      </c>
      <c r="C95" s="22" t="s">
        <v>99</v>
      </c>
      <c r="D95" s="22" t="s">
        <v>229</v>
      </c>
      <c r="E95" s="13">
        <v>42664.569907407407</v>
      </c>
      <c r="F95" s="13">
        <v>42664.573298611111</v>
      </c>
      <c r="G95" s="7">
        <v>1</v>
      </c>
      <c r="H95" s="13" t="s">
        <v>638</v>
      </c>
      <c r="I95" s="13">
        <v>42664.600335648145</v>
      </c>
      <c r="J95" s="7">
        <v>0</v>
      </c>
      <c r="K95" s="112" t="str">
        <f t="shared" si="19"/>
        <v>4013/4014</v>
      </c>
      <c r="L95" s="22" t="str">
        <f>VLOOKUP(A95,'Trips&amp;Operators'!$C$1:$E$10000,3,FALSE)</f>
        <v>ADANE</v>
      </c>
      <c r="M95" s="6">
        <f t="shared" si="20"/>
        <v>2.7037037034460809E-2</v>
      </c>
      <c r="N95" s="7">
        <f t="shared" si="21"/>
        <v>38.933333329623565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12:40:40-0600',mode:absolute,to:'2016-10-21 15:24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5" s="52" t="str">
        <f t="shared" si="25"/>
        <v>N</v>
      </c>
      <c r="X95" s="171">
        <f t="shared" si="26"/>
        <v>1</v>
      </c>
      <c r="Y95" s="67">
        <f t="shared" si="27"/>
        <v>4.53E-2</v>
      </c>
      <c r="Z95" s="67">
        <f t="shared" si="28"/>
        <v>23.2959</v>
      </c>
      <c r="AA95" s="67">
        <f t="shared" si="29"/>
        <v>23.250599999999999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0181-21</v>
      </c>
      <c r="AE95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95" s="88" t="str">
        <f t="shared" si="32"/>
        <v>"C:\Program Files (x86)\AstroGrep\AstroGrep.exe" /spath="%USERPROFILE%\AppData\Local\Temp\OnboardLogs" /stypes="app*4014*20161021*"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181-21 --locoid 4014 --swversion DE.1.0.7.0 --startMP 204:453 --initTime 2016-10-21T13:40:40 --startdatetime 2016-10-21T13:45:33 --delay 1 --endMP 204:232959 --enddatetime 2016-10-21T14:24:29 --enforcementcount 0 &gt;&gt;C:\Users\stu\Documents\GitHub\eaglep3-reporting\EC\2016-10-21-refined-times.txt</v>
      </c>
      <c r="AI9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{"issue":{"subject":"","project_id":79,"tracker_id":40,"status_id":1,"priority_id":2,"assigned_to_id":23,"start_date":"2016-10-21","description":"","custom_fields":[{"id":1,"name":"Subdivision","value":"EC"},{"id":4,"name":"Milepost","value":"23.2959"},{"id":17,"name":"Train ID","value":"181-21"},{"id":16,"name":"Locomotive ID","value":"4014"},{"id":130,"name":"Impact","value":""},{"id":150,"name":"Time of Event (Mountain Time)","value":"14:24:29"},{"id":151,"name":"Denver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798</v>
      </c>
      <c r="B96" s="7"/>
      <c r="C96" s="22"/>
      <c r="D96" s="22"/>
      <c r="E96" s="13"/>
      <c r="F96" s="13"/>
      <c r="G96" s="7"/>
      <c r="H96" s="13"/>
      <c r="I96" s="13"/>
      <c r="J96" s="7">
        <v>0</v>
      </c>
      <c r="K96" s="112" t="str">
        <f t="shared" ref="K96:K97" si="51">IF(ISEVEN(B96),(B96-1)&amp;"/"&amp;B96,B96&amp;"/"&amp;(B96+1))</f>
        <v>-1/</v>
      </c>
      <c r="L96" s="22" t="e">
        <f>VLOOKUP(A96,'Trips&amp;Operators'!$C$1:$E$10000,3,FALSE)</f>
        <v>#N/A</v>
      </c>
      <c r="M96" s="6">
        <f t="shared" ref="M96:M97" si="52">I96-F96</f>
        <v>0</v>
      </c>
      <c r="N96" s="7"/>
      <c r="O96" s="7"/>
      <c r="P96" s="7">
        <v>1</v>
      </c>
      <c r="Q96" s="23"/>
      <c r="R96" s="23" t="s">
        <v>800</v>
      </c>
      <c r="S96" s="35">
        <f t="shared" ref="S96:S97" si="53">SUM(U96:U96)/IF(AG96="EC",12,1)</f>
        <v>0</v>
      </c>
      <c r="T96" s="50" t="str">
        <f t="shared" ref="T96:T97" si="54">IF(ISEVEN(LEFT(AD96,4)),"Southbound","NorthBound")</f>
        <v>Southbound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98" t="e">
        <f t="shared" ref="V96:V97" si="55"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#VALUE!</v>
      </c>
      <c r="W96" s="52" t="e">
        <f t="shared" ref="W96:W97" si="56">IF(AA96&lt;IF(AG96="EC",23,5.65),"Y","N")</f>
        <v>#VALUE!</v>
      </c>
      <c r="X96" s="171">
        <f t="shared" si="26"/>
        <v>1</v>
      </c>
      <c r="Y96" s="67" t="e">
        <f t="shared" ref="Y96:Y97" si="57">RIGHT(D96,LEN(D96)-4)/10000</f>
        <v>#VALUE!</v>
      </c>
      <c r="Z96" s="67" t="e">
        <f t="shared" ref="Z96:Z97" si="58">RIGHT(H96,LEN(H96)-4)/10000</f>
        <v>#VALUE!</v>
      </c>
      <c r="AA96" s="67" t="e">
        <f t="shared" ref="AA96:AA97" si="59">ABS(Z96-Y96)</f>
        <v>#VALUE!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ref="AD96:AD97" si="60">IF(LEN(A96)=6,"0"&amp;A96,A96)</f>
        <v>0182-21</v>
      </c>
      <c r="AE96" s="91" t="str">
        <f t="shared" ref="AE96:AE97" si="61"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96" s="88" t="str">
        <f t="shared" ref="AF96:AF97" si="62"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96" s="1" t="str">
        <f t="shared" ref="AG96:AG97" si="63">IFERROR(IF(VALUE(LEFT(AD96,2))&lt;=2,"EC",IF(OR(VALUE(LEFT(AD96,2))=8,VALUE(LEFT(AD96,2))=18),"NW","Other")),"Other")</f>
        <v>EC</v>
      </c>
      <c r="AH96" s="92" t="str">
        <f t="shared" ref="AH96:AH97" si="64"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182-21 --locoid  --swversion  --startMP  --initTime 1900-01-00T00:00:00 --startdatetime 1900-01-00T00:00:00 --delay  --endMP  --enddatetime 1900-01-00T00:00:00 --enforcementcount 0 &gt;&gt;C:\Users\stu\Documents\GitHub\eaglep3-reporting\EC\2016-10-21-refined-times.txt</v>
      </c>
      <c r="AI96" s="122" t="e">
        <f t="shared" ref="AI96:AI97" si="65"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-X POST -H ""Content-Type: application/json"" -H ""X-Redmine-API-Key: "&amp;redm_api_key&amp;""" "&amp;redm_url&amp;" --data @-"</f>
        <v>#VALUE!</v>
      </c>
      <c r="AJ96" s="53"/>
      <c r="AK96" s="53"/>
      <c r="AL96" s="53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</row>
    <row r="97" spans="1:91" s="1" customFormat="1" x14ac:dyDescent="0.25">
      <c r="A97" s="37" t="s">
        <v>799</v>
      </c>
      <c r="B97" s="7"/>
      <c r="C97" s="22"/>
      <c r="D97" s="22"/>
      <c r="E97" s="13"/>
      <c r="F97" s="13"/>
      <c r="G97" s="7"/>
      <c r="H97" s="13"/>
      <c r="I97" s="13"/>
      <c r="J97" s="7">
        <v>0</v>
      </c>
      <c r="K97" s="112" t="str">
        <f t="shared" si="51"/>
        <v>-1/</v>
      </c>
      <c r="L97" s="22" t="e">
        <f>VLOOKUP(A97,'Trips&amp;Operators'!$C$1:$E$10000,3,FALSE)</f>
        <v>#N/A</v>
      </c>
      <c r="M97" s="6">
        <f t="shared" si="52"/>
        <v>0</v>
      </c>
      <c r="N97" s="7"/>
      <c r="O97" s="7"/>
      <c r="P97" s="7">
        <v>1</v>
      </c>
      <c r="Q97" s="23"/>
      <c r="R97" s="23" t="s">
        <v>800</v>
      </c>
      <c r="S97" s="35">
        <f t="shared" si="53"/>
        <v>0</v>
      </c>
      <c r="T97" s="50" t="str">
        <f t="shared" si="54"/>
        <v>NorthBound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98" t="e">
        <f t="shared" si="55"/>
        <v>#VALUE!</v>
      </c>
      <c r="W97" s="52" t="e">
        <f t="shared" si="56"/>
        <v>#VALUE!</v>
      </c>
      <c r="X97" s="171">
        <f t="shared" si="26"/>
        <v>1</v>
      </c>
      <c r="Y97" s="67" t="e">
        <f t="shared" si="57"/>
        <v>#VALUE!</v>
      </c>
      <c r="Z97" s="67" t="e">
        <f t="shared" si="58"/>
        <v>#VALUE!</v>
      </c>
      <c r="AA97" s="67" t="e">
        <f t="shared" si="59"/>
        <v>#VALUE!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60"/>
        <v>0183-21</v>
      </c>
      <c r="AE97" s="91" t="str">
        <f t="shared" si="6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97" s="88" t="str">
        <f t="shared" si="62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97" s="1" t="str">
        <f t="shared" si="63"/>
        <v>EC</v>
      </c>
      <c r="AH97" s="92" t="str">
        <f t="shared" si="64"/>
        <v>"%USERPROFILE%\Documents\GitHub\eaglep3\Utilities\RefineRTDCRunTimes.py" --tripid 183-21 --locoid  --swversion  --startMP  --initTime 1900-01-00T00:00:00 --startdatetime 1900-01-00T00:00:00 --delay  --endMP  --enddatetime 1900-01-00T00:00:00 --enforcementcount 0 &gt;&gt;C:\Users\stu\Documents\GitHub\eaglep3-reporting\EC\2016-10-21-refined-times.txt</v>
      </c>
      <c r="AI97" s="122" t="e">
        <f t="shared" si="65"/>
        <v>#VALUE!</v>
      </c>
      <c r="AJ97" s="53"/>
      <c r="AK97" s="53"/>
      <c r="AL97" s="53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</row>
    <row r="98" spans="1:91" s="1" customFormat="1" x14ac:dyDescent="0.25">
      <c r="A98" s="37" t="s">
        <v>541</v>
      </c>
      <c r="B98" s="7">
        <v>4015</v>
      </c>
      <c r="C98" s="22" t="s">
        <v>99</v>
      </c>
      <c r="D98" s="22" t="s">
        <v>670</v>
      </c>
      <c r="E98" s="13">
        <v>42664.625023148146</v>
      </c>
      <c r="F98" s="13">
        <v>42664.626203703701</v>
      </c>
      <c r="G98" s="7">
        <v>1</v>
      </c>
      <c r="H98" s="13" t="s">
        <v>356</v>
      </c>
      <c r="I98" s="13">
        <v>42664.654513888891</v>
      </c>
      <c r="J98" s="7">
        <v>0</v>
      </c>
      <c r="K98" s="112" t="str">
        <f t="shared" si="19"/>
        <v>4015/4016</v>
      </c>
      <c r="L98" s="22" t="str">
        <f>VLOOKUP(A98,'Trips&amp;Operators'!$C$1:$E$10000,3,FALSE)</f>
        <v>STORY</v>
      </c>
      <c r="M98" s="6">
        <f t="shared" si="20"/>
        <v>2.8310185189184267E-2</v>
      </c>
      <c r="N98" s="7">
        <f t="shared" si="21"/>
        <v>40.766666672425345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14:00:02-0600',mode:absolute,to:'2016-10-21 16:42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8" s="52" t="str">
        <f t="shared" si="25"/>
        <v>N</v>
      </c>
      <c r="X98" s="171">
        <f t="shared" si="26"/>
        <v>1</v>
      </c>
      <c r="Y98" s="67">
        <f t="shared" si="27"/>
        <v>23.289400000000001</v>
      </c>
      <c r="Z98" s="67">
        <f t="shared" si="28"/>
        <v>1.6299999999999999E-2</v>
      </c>
      <c r="AA98" s="67">
        <f t="shared" si="29"/>
        <v>23.273099999999999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0184-21</v>
      </c>
      <c r="AE98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98" s="88" t="str">
        <f t="shared" si="32"/>
        <v>"C:\Program Files (x86)\AstroGrep\AstroGrep.exe" /spath="%USERPROFILE%\AppData\Local\Temp\OnboardLogs" /stypes="app*4015*20161021*"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184-21 --locoid 4015 --swversion DE.1.0.7.0 --startMP 204:232894 --initTime 2016-10-21T15:00:02 --startdatetime 2016-10-21T15:01:44 --delay 1 --endMP 204:163 --enddatetime 2016-10-21T15:42:30 --enforcementcount 0 &gt;&gt;C:\Users\stu\Documents\GitHub\eaglep3-reporting\EC\2016-10-21-refined-times.txt</v>
      </c>
      <c r="AI9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ID","value":"184-21"},{"id":16,"name":"Locomotive ID","value":"4015"},{"id":130,"name":"Impact","value":""},{"id":150,"name":"Time of Event (Mountain Time)","value":"15:42:30"},{"id":151,"name":"Denver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535</v>
      </c>
      <c r="B99" s="7">
        <v>4016</v>
      </c>
      <c r="C99" s="22" t="s">
        <v>99</v>
      </c>
      <c r="D99" s="22" t="s">
        <v>355</v>
      </c>
      <c r="E99" s="13">
        <v>42664.590949074074</v>
      </c>
      <c r="F99" s="13">
        <v>42664.626203703701</v>
      </c>
      <c r="G99" s="7">
        <v>1</v>
      </c>
      <c r="H99" s="13" t="s">
        <v>671</v>
      </c>
      <c r="I99" s="13">
        <v>42664.654513888891</v>
      </c>
      <c r="J99" s="7">
        <v>0</v>
      </c>
      <c r="K99" s="112" t="str">
        <f t="shared" si="19"/>
        <v>4015/4016</v>
      </c>
      <c r="L99" s="22" t="str">
        <f>VLOOKUP(A99,'Trips&amp;Operators'!$C$1:$E$10000,3,FALSE)</f>
        <v>STORY</v>
      </c>
      <c r="M99" s="6">
        <f t="shared" si="20"/>
        <v>2.8310185189184267E-2</v>
      </c>
      <c r="N99" s="7">
        <f t="shared" si="21"/>
        <v>40.766666672425345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13:10:58-0600',mode:absolute,to:'2016-10-21 16:42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 t="shared" si="25"/>
        <v>N</v>
      </c>
      <c r="X99" s="171">
        <f t="shared" si="26"/>
        <v>1</v>
      </c>
      <c r="Y99" s="67">
        <f t="shared" si="27"/>
        <v>4.6699999999999998E-2</v>
      </c>
      <c r="Z99" s="67">
        <f t="shared" si="28"/>
        <v>23.320399999999999</v>
      </c>
      <c r="AA99" s="67">
        <f t="shared" si="29"/>
        <v>23.273699999999998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0185-21</v>
      </c>
      <c r="AE99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99" s="88" t="str">
        <f t="shared" si="32"/>
        <v>"C:\Program Files (x86)\AstroGrep\AstroGrep.exe" /spath="%USERPROFILE%\AppData\Local\Temp\OnboardLogs" /stypes="app*4016*20161021*" /stext=" 21:.+((SYSTEM_STATE.+slice.+state.+changed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185-21 --locoid 4016 --swversion DE.1.0.7.0 --startMP 204:467 --initTime 2016-10-21T14:10:58 --startdatetime 2016-10-21T15:01:44 --delay 1 --endMP 204:233204 --enddatetime 2016-10-21T15:42:30 --enforcementcount 0 &gt;&gt;C:\Users\stu\Documents\GitHub\eaglep3-reporting\EC\2016-10-21-refined-times.txt</v>
      </c>
      <c r="AI9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{"issue":{"subject":"","project_id":79,"tracker_id":40,"status_id":1,"priority_id":2,"assigned_to_id":23,"start_date":"2016-10-21","description":"","custom_fields":[{"id":1,"name":"Subdivision","value":"EC"},{"id":4,"name":"Milepost","value":"23.3204"},{"id":17,"name":"Train ID","value":"185-21"},{"id":16,"name":"Locomotive ID","value":"4016"},{"id":130,"name":"Impact","value":""},{"id":150,"name":"Time of Event (Mountain Time)","value":"15:42:30"},{"id":151,"name":"Denver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801</v>
      </c>
      <c r="B100" s="7"/>
      <c r="C100" s="22" t="s">
        <v>99</v>
      </c>
      <c r="D100" s="22" t="s">
        <v>355</v>
      </c>
      <c r="E100" s="13">
        <v>42664.590949074074</v>
      </c>
      <c r="F100" s="13"/>
      <c r="G100" s="7">
        <v>1</v>
      </c>
      <c r="H100" s="13" t="s">
        <v>671</v>
      </c>
      <c r="I100" s="13"/>
      <c r="J100" s="7">
        <v>0</v>
      </c>
      <c r="K100" s="112" t="str">
        <f t="shared" ref="K100" si="66">IF(ISEVEN(B100),(B100-1)&amp;"/"&amp;B100,B100&amp;"/"&amp;(B100+1))</f>
        <v>-1/</v>
      </c>
      <c r="L100" s="22" t="e">
        <f>VLOOKUP(A100,'Trips&amp;Operators'!$C$1:$E$10000,3,FALSE)</f>
        <v>#N/A</v>
      </c>
      <c r="M100" s="6">
        <f t="shared" ref="M100" si="67">I100-F100</f>
        <v>0</v>
      </c>
      <c r="N100" s="7"/>
      <c r="O100" s="7"/>
      <c r="P100" s="7">
        <v>1</v>
      </c>
      <c r="Q100" s="23"/>
      <c r="R100" s="23" t="s">
        <v>800</v>
      </c>
      <c r="S100" s="35">
        <f t="shared" ref="S100" si="68">SUM(U100:U100)/IF(AG100="EC",12,1)</f>
        <v>0</v>
      </c>
      <c r="T100" s="50" t="str">
        <f t="shared" ref="T100" si="69">IF(ISEVEN(LEFT(AD100,4)),"Southbound","NorthBound")</f>
        <v>Southbound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98" t="str">
        <f t="shared" ref="V100" si="70"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https://search-rtdc-monitor-bjffxe2xuh6vdkpspy63sjmuny.us-east-1.es.amazonaws.com/_plugin/kibana/#/discover/Steve-Slow-Train-Analysis-(2080s-and-2083s)?_g=(refreshInterval:(display:Off,section:0,value:0),time:(from:'2016-10-21 13:10:58-0600',mode:absolute,to:'1900-01-00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00" s="52" t="str">
        <f t="shared" ref="W100" si="71">IF(AA100&lt;IF(AG100="EC",23,5.65),"Y","N")</f>
        <v>N</v>
      </c>
      <c r="X100" s="171">
        <f t="shared" si="26"/>
        <v>1</v>
      </c>
      <c r="Y100" s="67">
        <f t="shared" ref="Y100" si="72">RIGHT(D100,LEN(D100)-4)/10000</f>
        <v>4.6699999999999998E-2</v>
      </c>
      <c r="Z100" s="67">
        <f t="shared" ref="Z100" si="73">RIGHT(H100,LEN(H100)-4)/10000</f>
        <v>23.320399999999999</v>
      </c>
      <c r="AA100" s="67">
        <f t="shared" ref="AA100" si="74">ABS(Z100-Y100)</f>
        <v>23.273699999999998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ref="AD100" si="75">IF(LEN(A100)=6,"0"&amp;A100,A100)</f>
        <v>0186-21</v>
      </c>
      <c r="AE100" s="91" t="str">
        <f t="shared" ref="AE100" si="76"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00" s="88" t="str">
        <f t="shared" ref="AF100" si="77"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00" s="1" t="str">
        <f t="shared" ref="AG100" si="78">IFERROR(IF(VALUE(LEFT(AD100,2))&lt;=2,"EC",IF(OR(VALUE(LEFT(AD100,2))=8,VALUE(LEFT(AD100,2))=18),"NW","Other")),"Other")</f>
        <v>EC</v>
      </c>
      <c r="AH100" s="92" t="str">
        <f t="shared" ref="AH100" si="79"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186-21 --locoid  --swversion DE.1.0.7.0 --startMP 204:467 --initTime 2016-10-21T14:10:58 --startdatetime 1900-01-00T00:00:00 --delay 1 --endMP 204:233204 --enddatetime 1900-01-00T00:00:00 --enforcementcount 0 &gt;&gt;C:\Users\stu\Documents\GitHub\eaglep3-reporting\EC\2016-10-21-refined-times.txt</v>
      </c>
      <c r="AI100" s="122" t="str">
        <f t="shared" ref="AI100" si="80"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init","project_id":79,"tracker_id":40,"status_id":1,"priority_id":2,"assigned_to_id":23,"start_date":"1900-01-00","description":"","custom_fields":[{"id":1,"name":"Subdivision","value":"EC"},{"id":4,"name":"Milepost","value":"23.3204"},{"id":17,"name":"Train ID","value":"186-21"},{"id":16,"name":"Locomotive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</row>
    <row r="101" spans="1:91" s="1" customFormat="1" x14ac:dyDescent="0.25">
      <c r="A101" s="37" t="s">
        <v>536</v>
      </c>
      <c r="B101" s="7">
        <v>4042</v>
      </c>
      <c r="C101" s="22" t="s">
        <v>99</v>
      </c>
      <c r="D101" s="22" t="s">
        <v>355</v>
      </c>
      <c r="E101" s="13">
        <v>42664.590949074074</v>
      </c>
      <c r="F101" s="13">
        <v>42664.601979166669</v>
      </c>
      <c r="G101" s="7">
        <v>1</v>
      </c>
      <c r="H101" s="13" t="s">
        <v>671</v>
      </c>
      <c r="I101" s="13">
        <v>42664.603414351855</v>
      </c>
      <c r="J101" s="7">
        <v>0</v>
      </c>
      <c r="K101" s="112" t="str">
        <f t="shared" ref="K101" si="81">IF(ISEVEN(B101),(B101-1)&amp;"/"&amp;B101,B101&amp;"/"&amp;(B101+1))</f>
        <v>4041/4042</v>
      </c>
      <c r="L101" s="22" t="str">
        <f>VLOOKUP(A101,'Trips&amp;Operators'!$C$1:$E$10000,3,FALSE)</f>
        <v>STEWART</v>
      </c>
      <c r="M101" s="6">
        <f t="shared" ref="M101" si="82">I101-F101</f>
        <v>1.4351851859828457E-3</v>
      </c>
      <c r="N101" s="7"/>
      <c r="O101" s="7"/>
      <c r="P101" s="7">
        <f t="shared" si="21"/>
        <v>2.0666666678152978</v>
      </c>
      <c r="Q101" s="23"/>
      <c r="R101" s="23" t="s">
        <v>796</v>
      </c>
      <c r="S101" s="35">
        <f t="shared" ref="S101" si="83">SUM(U101:U101)/IF(AG101="EC",12,1)</f>
        <v>1</v>
      </c>
      <c r="T101" s="50" t="str">
        <f t="shared" ref="T101" si="84">IF(ISEVEN(LEFT(AD101,4)),"Southbound","NorthBound")</f>
        <v>NorthBound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ref="V101" si="85"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https://search-rtdc-monitor-bjffxe2xuh6vdkpspy63sjmuny.us-east-1.es.amazonaws.com/_plugin/kibana/#/discover/Steve-Slow-Train-Analysis-(2080s-and-2083s)?_g=(refreshInterval:(display:Off,section:0,value:0),time:(from:'2016-10-21 13:10:58-0600',mode:absolute,to:'2016-10-21 15:28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ref="W101" si="86">IF(AA101&lt;IF(AG101="EC",23,5.65),"Y","N")</f>
        <v>N</v>
      </c>
      <c r="X101" s="171">
        <f t="shared" si="26"/>
        <v>1</v>
      </c>
      <c r="Y101" s="67">
        <f t="shared" ref="Y101" si="87">RIGHT(D101,LEN(D101)-4)/10000</f>
        <v>4.6699999999999998E-2</v>
      </c>
      <c r="Z101" s="67">
        <f t="shared" ref="Z101" si="88">RIGHT(H101,LEN(H101)-4)/10000</f>
        <v>23.320399999999999</v>
      </c>
      <c r="AA101" s="67">
        <f t="shared" ref="AA101" si="89">ABS(Z101-Y101)</f>
        <v>23.273699999999998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ref="AD101" si="90">IF(LEN(A101)=6,"0"&amp;A101,A101)</f>
        <v>0187-21</v>
      </c>
      <c r="AE101" s="91" t="str">
        <f t="shared" ref="AE101" si="91"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01" s="88" t="str">
        <f t="shared" ref="AF101" si="92"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/stypes="app*4042*20161021*" /stext=" 20:.+((SYSTEM_STATE.+slice.+state.+changed )|(ment ac)|(system.+state.+changed )|(\[timeout)|(PRM\|1\|D)|(kpr)|(kdp)|(\|lc)|(penalty))" /e /r /s</v>
      </c>
      <c r="AG101" s="1" t="str">
        <f t="shared" ref="AG101" si="93">IFERROR(IF(VALUE(LEFT(AD101,2))&lt;=2,"EC",IF(OR(VALUE(LEFT(AD101,2))=8,VALUE(LEFT(AD101,2))=18),"NW","Other")),"Other")</f>
        <v>EC</v>
      </c>
      <c r="AH101" s="92" t="str">
        <f t="shared" ref="AH101" si="94"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187-21 --locoid 4042 --swversion DE.1.0.7.0 --startMP 204:467 --initTime 2016-10-21T14:10:58 --startdatetime 2016-10-21T14:26:51 --delay 1 --endMP 204:233204 --enddatetime 2016-10-21T14:28:55 --enforcementcount 0 &gt;&gt;C:\Users\stu\Documents\GitHub\eaglep3-reporting\EC\2016-10-21-refined-times.txt</v>
      </c>
      <c r="AI101" s="122" t="str">
        <f t="shared" ref="AI101" si="95"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-X POST -H ""Content-Type: application/json"" -H ""X-Redmine-API-Key: "&amp;redm_api_key&amp;""" "&amp;redm_url&amp;" --data @-"</f>
        <v>echo {"issue":{"subject":"Departure test buttons not available","project_id":79,"tracker_id":40,"status_id":1,"priority_id":2,"assigned_to_id":23,"start_date":"2016-10-21","description":"SYS :2016/10/21 20:27:55.909:SYSTEM_STATE:system state changed [sysINITIALIZING]-&gt;[sysCUT_OUT] [departure test failure] - from the looks of it, the user canceled the departure test because the Depart Test button wasn't available","custom_fields":[{"id":1,"name":"Subdivision","value":"EC"},{"id":4,"name":"Milepost","value":"23.3204"},{"id":17,"name":"Train ID","value":"187-21"},{"id":16,"name":"Locomotive ID","value":"4042"},{"id":130,"name":"Impact","value":"Initialization Problem"},{"id":150,"name":"Time of Event (Mountain Time)","value":"14:28:55"},{"id":151,"name":"Denver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01" s="53" t="s">
        <v>803</v>
      </c>
      <c r="AK101" s="53" t="s">
        <v>134</v>
      </c>
      <c r="AL101" s="53" t="s">
        <v>179</v>
      </c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</row>
    <row r="102" spans="1:91" s="21" customFormat="1" x14ac:dyDescent="0.25">
      <c r="A102" s="37" t="s">
        <v>545</v>
      </c>
      <c r="B102" s="7">
        <v>4028</v>
      </c>
      <c r="C102" s="22" t="s">
        <v>99</v>
      </c>
      <c r="D102" s="22" t="s">
        <v>370</v>
      </c>
      <c r="E102" s="13">
        <v>42664.648113425923</v>
      </c>
      <c r="F102" s="13">
        <v>42664.649895833332</v>
      </c>
      <c r="G102" s="7">
        <v>1</v>
      </c>
      <c r="H102" s="13" t="s">
        <v>220</v>
      </c>
      <c r="I102" s="13">
        <v>42664.677685185183</v>
      </c>
      <c r="J102" s="7">
        <v>0</v>
      </c>
      <c r="K102" s="112" t="str">
        <f t="shared" si="19"/>
        <v>4027/4028</v>
      </c>
      <c r="L102" s="22" t="str">
        <f>VLOOKUP(A102,'Trips&amp;Operators'!$C$1:$E$10000,3,FALSE)</f>
        <v>CLARK</v>
      </c>
      <c r="M102" s="6">
        <f t="shared" si="20"/>
        <v>2.7789351850515231E-2</v>
      </c>
      <c r="N102" s="7">
        <f t="shared" si="21"/>
        <v>40.016666664741933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14:33:17-0600',mode:absolute,to:'2016-10-21 17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2" s="52" t="str">
        <f t="shared" si="25"/>
        <v>N</v>
      </c>
      <c r="X102" s="171">
        <f t="shared" ref="X102" si="96">VALUE(LEFT(AD102,4))-VALUE(LEFT(AD101,4))</f>
        <v>1</v>
      </c>
      <c r="Y102" s="67">
        <f t="shared" si="27"/>
        <v>23.3002</v>
      </c>
      <c r="Z102" s="67">
        <f t="shared" si="28"/>
        <v>1.61E-2</v>
      </c>
      <c r="AA102" s="67">
        <f t="shared" si="29"/>
        <v>23.284099999999999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0188-21</v>
      </c>
      <c r="AE102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02" s="88" t="str">
        <f t="shared" si="32"/>
        <v>"C:\Program Files (x86)\AstroGrep\AstroGrep.exe" /spath="%USERPROFILE%\AppData\Local\Temp\OnboardLogs" /stypes="app*4028*20161021*"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188-21 --locoid 4028 --swversion DE.1.0.7.0 --startMP 204:233002 --initTime 2016-10-21T15:33:17 --startdatetime 2016-10-21T15:35:51 --delay 1 --endMP 204:161 --enddatetime 2016-10-21T16:15:52 --enforcementcount 0 &gt;&gt;C:\Users\stu\Documents\GitHub\eaglep3-reporting\EC\2016-10-21-refined-times.txt</v>
      </c>
      <c r="AI10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{"issue":{"subject":"","project_id":79,"tracker_id":40,"status_id":1,"priority_id":2,"assigned_to_id":23,"start_date":"2016-10-21","description":"","custom_fields":[{"id":1,"name":"Subdivision","value":"EC"},{"id":4,"name":"Milepost","value":"0.0161"},{"id":17,"name":"Train ID","value":"188-21"},{"id":16,"name":"Locomotive ID","value":"4028"},{"id":130,"name":"Impact","value":""},{"id":150,"name":"Time of Event (Mountain Time)","value":"16:15:52"},{"id":151,"name":"Denver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537</v>
      </c>
      <c r="B103" s="7">
        <v>4027</v>
      </c>
      <c r="C103" s="22" t="s">
        <v>99</v>
      </c>
      <c r="D103" s="22" t="s">
        <v>320</v>
      </c>
      <c r="E103" s="13">
        <v>42664.612581018519</v>
      </c>
      <c r="F103" s="13">
        <v>42664.61478009259</v>
      </c>
      <c r="G103" s="7">
        <v>1</v>
      </c>
      <c r="H103" s="13" t="s">
        <v>183</v>
      </c>
      <c r="I103" s="13">
        <v>42664.644074074073</v>
      </c>
      <c r="J103" s="7">
        <v>0</v>
      </c>
      <c r="K103" s="112" t="str">
        <f t="shared" si="19"/>
        <v>4027/4028</v>
      </c>
      <c r="L103" s="22" t="str">
        <f>VLOOKUP(A103,'Trips&amp;Operators'!$C$1:$E$10000,3,FALSE)</f>
        <v>CLARK</v>
      </c>
      <c r="M103" s="6">
        <f t="shared" si="20"/>
        <v>2.9293981482624076E-2</v>
      </c>
      <c r="N103" s="7">
        <f t="shared" si="21"/>
        <v>42.18333333497867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13:42:07-0600',mode:absolute,to:'2016-10-21 16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3" s="52" t="str">
        <f t="shared" si="25"/>
        <v>N</v>
      </c>
      <c r="X103" s="171">
        <f t="shared" si="26"/>
        <v>1</v>
      </c>
      <c r="Y103" s="67">
        <f t="shared" si="27"/>
        <v>4.6199999999999998E-2</v>
      </c>
      <c r="Z103" s="67">
        <f t="shared" si="28"/>
        <v>23.331199999999999</v>
      </c>
      <c r="AA103" s="67">
        <f t="shared" si="29"/>
        <v>23.285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0189-21</v>
      </c>
      <c r="AE103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03" s="88" t="str">
        <f t="shared" si="32"/>
        <v>"C:\Program Files (x86)\AstroGrep\AstroGrep.exe" /spath="%USERPROFILE%\AppData\Local\Temp\OnboardLogs" /stypes="app*4027*20161021*"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189-21 --locoid 4027 --swversion DE.1.0.7.0 --startMP 204:462 --initTime 2016-10-21T14:42:07 --startdatetime 2016-10-21T14:45:17 --delay 1 --endMP 204:233312 --enddatetime 2016-10-21T15:27:28 --enforcementcount 0 &gt;&gt;C:\Users\stu\Documents\GitHub\eaglep3-reporting\EC\2016-10-21-refined-times.txt</v>
      </c>
      <c r="AI10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ID","value":"189-21"},{"id":16,"name":"Locomotive ID","value":"4027"},{"id":130,"name":"Impact","value":""},{"id":150,"name":"Time of Event (Mountain Time)","value":"15:27:28"},{"id":151,"name":"Denver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802</v>
      </c>
      <c r="B104" s="7"/>
      <c r="C104" s="22" t="s">
        <v>99</v>
      </c>
      <c r="D104" s="22" t="s">
        <v>320</v>
      </c>
      <c r="E104" s="13">
        <v>42664.612581018519</v>
      </c>
      <c r="F104" s="13"/>
      <c r="G104" s="7">
        <v>1</v>
      </c>
      <c r="H104" s="13" t="s">
        <v>183</v>
      </c>
      <c r="I104" s="13"/>
      <c r="J104" s="7">
        <v>0</v>
      </c>
      <c r="K104" s="112" t="str">
        <f t="shared" ref="K104" si="97">IF(ISEVEN(B104),(B104-1)&amp;"/"&amp;B104,B104&amp;"/"&amp;(B104+1))</f>
        <v>-1/</v>
      </c>
      <c r="L104" s="22" t="e">
        <f>VLOOKUP(A104,'Trips&amp;Operators'!$C$1:$E$10000,3,FALSE)</f>
        <v>#N/A</v>
      </c>
      <c r="M104" s="6">
        <f t="shared" ref="M104" si="98">I104-F104</f>
        <v>0</v>
      </c>
      <c r="N104" s="7"/>
      <c r="O104" s="7"/>
      <c r="P104" s="7">
        <v>1</v>
      </c>
      <c r="Q104" s="23"/>
      <c r="R104" s="23" t="s">
        <v>800</v>
      </c>
      <c r="S104" s="35">
        <f t="shared" ref="S104" si="99">SUM(U104:U104)/IF(AG104="EC",12,1)</f>
        <v>0</v>
      </c>
      <c r="T104" s="50" t="str">
        <f t="shared" ref="T104" si="100">IF(ISEVEN(LEFT(AD104,4)),"Southbound","NorthBound")</f>
        <v>Southbound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98" t="str">
        <f t="shared" ref="V104" si="101"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https://search-rtdc-monitor-bjffxe2xuh6vdkpspy63sjmuny.us-east-1.es.amazonaws.com/_plugin/kibana/#/discover/Steve-Slow-Train-Analysis-(2080s-and-2083s)?_g=(refreshInterval:(display:Off,section:0,value:0),time:(from:'2016-10-21 13:42:07-0600',mode:absolute,to:'1900-01-00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04" s="52" t="str">
        <f t="shared" ref="W104" si="102">IF(AA104&lt;IF(AG104="EC",23,5.65),"Y","N")</f>
        <v>N</v>
      </c>
      <c r="X104" s="171">
        <f t="shared" ref="X104:X105" si="103">VALUE(LEFT(AD104,4))-VALUE(LEFT(AD103,4))</f>
        <v>1</v>
      </c>
      <c r="Y104" s="67">
        <f t="shared" ref="Y104" si="104">RIGHT(D104,LEN(D104)-4)/10000</f>
        <v>4.6199999999999998E-2</v>
      </c>
      <c r="Z104" s="67">
        <f t="shared" ref="Z104" si="105">RIGHT(H104,LEN(H104)-4)/10000</f>
        <v>23.331199999999999</v>
      </c>
      <c r="AA104" s="67">
        <f t="shared" ref="AA104" si="106">ABS(Z104-Y104)</f>
        <v>23.285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ref="AD104" si="107">IF(LEN(A104)=6,"0"&amp;A104,A104)</f>
        <v>0190-21</v>
      </c>
      <c r="AE104" s="91" t="str">
        <f t="shared" ref="AE104" si="108"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04" s="88" t="str">
        <f t="shared" ref="AF104" si="109"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04" s="1" t="str">
        <f t="shared" ref="AG104" si="110">IFERROR(IF(VALUE(LEFT(AD104,2))&lt;=2,"EC",IF(OR(VALUE(LEFT(AD104,2))=8,VALUE(LEFT(AD104,2))=18),"NW","Other")),"Other")</f>
        <v>EC</v>
      </c>
      <c r="AH104" s="92" t="str">
        <f t="shared" ref="AH104" si="111"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"&amp;J104&amp;IF(outputrefinedruntimes," &gt;&gt;"&amp;RefinedRTDCRunTimesOutputFile,"")</f>
        <v>"%USERPROFILE%\Documents\GitHub\eaglep3\Utilities\RefineRTDCRunTimes.py" --tripid 190-21 --locoid  --swversion DE.1.0.7.0 --startMP 204:462 --initTime 2016-10-21T14:42:07 --startdatetime 1900-01-00T00:00:00 --delay 1 --endMP 204:233312 --enddatetime 1900-01-00T00:00:00 --enforcementcount 0 &gt;&gt;C:\Users\stu\Documents\GitHub\eaglep3-reporting\EC\2016-10-21-refined-times.txt</v>
      </c>
      <c r="AI104" s="122" t="str">
        <f t="shared" ref="AI104" si="112">"echo {""issue"":{""subject"":"""&amp;R104&amp;""",""project_id"":79,""tracker_id"":40,""status_id"":"&amp;redmine_status&amp;",""priority_id"":"&amp;redmine_priority&amp;",""assigned_to_id"":"&amp;redmine_assignee&amp;",""start_date"":"""&amp;TEXT(I104,"YYYY-mm-dd")&amp;""",""description"":"""&amp;AJ104&amp;""",""custom_fields"":[{""id"":1,""name"":""Subdivision"",""value"":"""&amp;AG104&amp;"""},{""id"":4,""name"":""Milepost"",""value"":"""&amp;Z104&amp;"""},{""id"":17,""name"":""Train ID"",""value"":"""&amp;A104&amp;"""},{""id"":16,""name"":""Locomotive ID"",""value"":"""&amp;B104&amp;"""},{""id"":130,""name"":""Impact"",""value"":"""&amp;AK104&amp;"""},{""id"":150,""name"":""Time of Event (Mountain Time)"",""value"":"""&amp;TEXT(I104,"hh:mm:ss")&amp;"""},{""id"":151,""name"":""Denver Issue ID"",""value"":"""&amp;"""},{""id"":178,""name"":""Operational Impact"",""value"":"""&amp;redmine_op_impact&amp;"""},{""id"":179,""name"":""Denver Segment Assigned"",""value"":"""&amp;AL104&amp;"""}]}}"&amp;"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init","project_id":79,"tracker_id":40,"status_id":1,"priority_id":2,"assigned_to_id":23,"start_date":"1900-01-00","description":"","custom_fields":[{"id":1,"name":"Subdivision","value":"EC"},{"id":4,"name":"Milepost","value":"23.3312"},{"id":17,"name":"Train ID","value":"190-21"},{"id":16,"name":"Locomotive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539</v>
      </c>
      <c r="B105" s="7">
        <v>4018</v>
      </c>
      <c r="C105" s="22" t="s">
        <v>99</v>
      </c>
      <c r="D105" s="22" t="s">
        <v>232</v>
      </c>
      <c r="E105" s="13">
        <v>42664.621886574074</v>
      </c>
      <c r="F105" s="13">
        <v>42664.625173611108</v>
      </c>
      <c r="G105" s="7">
        <v>1</v>
      </c>
      <c r="H105" s="13" t="s">
        <v>287</v>
      </c>
      <c r="I105" s="13">
        <v>42664.652673611112</v>
      </c>
      <c r="J105" s="7">
        <v>0</v>
      </c>
      <c r="K105" s="112" t="str">
        <f t="shared" si="19"/>
        <v>4017/4018</v>
      </c>
      <c r="L105" s="22" t="str">
        <f>VLOOKUP(A105,'Trips&amp;Operators'!$C$1:$E$10000,3,FALSE)</f>
        <v>HAITHCOX</v>
      </c>
      <c r="M105" s="6">
        <f t="shared" si="20"/>
        <v>2.7500000003783498E-2</v>
      </c>
      <c r="N105" s="7">
        <f t="shared" si="21"/>
        <v>39.600000005448237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13:55:31-0600',mode:absolute,to:'2016-10-21 16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5" s="52" t="str">
        <f t="shared" si="25"/>
        <v>N</v>
      </c>
      <c r="X105" s="171">
        <f t="shared" si="103"/>
        <v>1</v>
      </c>
      <c r="Y105" s="67">
        <f t="shared" si="27"/>
        <v>4.5499999999999999E-2</v>
      </c>
      <c r="Z105" s="67">
        <f t="shared" si="28"/>
        <v>23.331099999999999</v>
      </c>
      <c r="AA105" s="67">
        <f t="shared" si="29"/>
        <v>23.285599999999999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0191-21</v>
      </c>
      <c r="AE105" s="91" t="str">
        <f t="shared" si="31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105" s="88" t="str">
        <f t="shared" si="32"/>
        <v>"C:\Program Files (x86)\AstroGrep\AstroGrep.exe" /spath="%USERPROFILE%\AppData\Local\Temp\OnboardLogs" /stypes="app*4018*20161021*" /stext=" 21:.+((SYSTEM_STATE.+slice.+state.+changed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191-21 --locoid 4018 --swversion DE.1.0.7.0 --startMP 204:455 --initTime 2016-10-21T14:55:31 --startdatetime 2016-10-21T15:00:15 --delay 1 --endMP 204:233311 --enddatetime 2016-10-21T15:39:51 --enforcementcount 0 &gt;&gt;C:\Users\stu\Documents\GitHub\eaglep3-reporting\EC\2016-10-21-refined-times.txt</v>
      </c>
      <c r="AI10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ID","value":"191-21"},{"id":16,"name":"Locomotive ID","value":"4018"},{"id":130,"name":"Impact","value":""},{"id":150,"name":"Time of Event (Mountain Time)","value":"15:39:51"},{"id":151,"name":"Denver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549</v>
      </c>
      <c r="B106" s="7">
        <v>4017</v>
      </c>
      <c r="C106" s="22" t="s">
        <v>99</v>
      </c>
      <c r="D106" s="22" t="s">
        <v>644</v>
      </c>
      <c r="E106" s="13">
        <v>42664.658877314818</v>
      </c>
      <c r="F106" s="13">
        <v>42664.664212962962</v>
      </c>
      <c r="G106" s="7">
        <v>1</v>
      </c>
      <c r="H106" s="13" t="s">
        <v>672</v>
      </c>
      <c r="I106" s="13">
        <v>42664.700231481482</v>
      </c>
      <c r="J106" s="7">
        <v>0</v>
      </c>
      <c r="K106" s="112" t="str">
        <f t="shared" si="19"/>
        <v>4017/4018</v>
      </c>
      <c r="L106" s="22" t="str">
        <f>VLOOKUP(A106,'Trips&amp;Operators'!$C$1:$E$10000,3,FALSE)</f>
        <v>HAITHCOX</v>
      </c>
      <c r="M106" s="6">
        <f t="shared" si="20"/>
        <v>3.6018518519995268E-2</v>
      </c>
      <c r="N106" s="7">
        <f t="shared" si="21"/>
        <v>51.866666668793187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14:48:47-0600',mode:absolute,to:'2016-10-21 17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6" s="52" t="str">
        <f t="shared" si="25"/>
        <v>N</v>
      </c>
      <c r="X106" s="171">
        <f t="shared" si="26"/>
        <v>1</v>
      </c>
      <c r="Y106" s="67">
        <f t="shared" si="27"/>
        <v>23.3001</v>
      </c>
      <c r="Z106" s="67">
        <f t="shared" si="28"/>
        <v>0.1177</v>
      </c>
      <c r="AA106" s="67">
        <f t="shared" si="29"/>
        <v>23.182400000000001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0192-21</v>
      </c>
      <c r="AE106" s="91" t="str">
        <f t="shared" si="31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106" s="88" t="str">
        <f t="shared" si="32"/>
        <v>"C:\Program Files (x86)\AstroGrep\AstroGrep.exe" /spath="%USERPROFILE%\AppData\Local\Temp\OnboardLogs" /stypes="app*4017*20161021*"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192-21 --locoid 4017 --swversion DE.1.0.7.0 --startMP 204:233001 --initTime 2016-10-21T15:48:47 --startdatetime 2016-10-21T15:56:28 --delay 1 --endMP 204:1177 --enddatetime 2016-10-21T16:48:20 --enforcementcount 0 &gt;&gt;C:\Users\stu\Documents\GitHub\eaglep3-reporting\EC\2016-10-21-refined-times.txt</v>
      </c>
      <c r="AI10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{"issue":{"subject":"","project_id":79,"tracker_id":40,"status_id":1,"priority_id":2,"assigned_to_id":23,"start_date":"2016-10-21","description":"","custom_fields":[{"id":1,"name":"Subdivision","value":"EC"},{"id":4,"name":"Milepost","value":"0.1177"},{"id":17,"name":"Train ID","value":"192-21"},{"id":16,"name":"Locomotive ID","value":"4017"},{"id":130,"name":"Impact","value":""},{"id":150,"name":"Time of Event (Mountain Time)","value":"16:48:20"},{"id":151,"name":"Denver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544</v>
      </c>
      <c r="B107" s="7">
        <v>4053</v>
      </c>
      <c r="C107" s="22" t="s">
        <v>99</v>
      </c>
      <c r="D107" s="22" t="s">
        <v>673</v>
      </c>
      <c r="E107" s="13">
        <v>42664.646018518521</v>
      </c>
      <c r="F107" s="13">
        <v>42664.647488425922</v>
      </c>
      <c r="G107" s="7">
        <v>1</v>
      </c>
      <c r="H107" s="13" t="s">
        <v>259</v>
      </c>
      <c r="I107" s="13">
        <v>42664.674293981479</v>
      </c>
      <c r="J107" s="7">
        <v>0</v>
      </c>
      <c r="K107" s="112" t="str">
        <f t="shared" si="19"/>
        <v>4053/4054</v>
      </c>
      <c r="L107" s="22" t="str">
        <f>VLOOKUP(A107,'Trips&amp;Operators'!$C$1:$E$10000,3,FALSE)</f>
        <v>MOSES</v>
      </c>
      <c r="M107" s="6">
        <f t="shared" si="20"/>
        <v>2.6805555557075422E-2</v>
      </c>
      <c r="N107" s="7">
        <f t="shared" si="21"/>
        <v>38.600000002188608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14:30:16-0600',mode:absolute,to:'2016-10-21 17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7" s="52" t="str">
        <f t="shared" si="25"/>
        <v>N</v>
      </c>
      <c r="X107" s="171">
        <f t="shared" si="26"/>
        <v>1</v>
      </c>
      <c r="Y107" s="67">
        <f t="shared" si="27"/>
        <v>8.5400000000000004E-2</v>
      </c>
      <c r="Z107" s="67">
        <f t="shared" si="28"/>
        <v>23.330100000000002</v>
      </c>
      <c r="AA107" s="67">
        <f t="shared" si="29"/>
        <v>23.244700000000002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0193-21</v>
      </c>
      <c r="AE107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107" s="88" t="str">
        <f t="shared" si="32"/>
        <v>"C:\Program Files (x86)\AstroGrep\AstroGrep.exe" /spath="%USERPROFILE%\AppData\Local\Temp\OnboardLogs" /stypes="app*4053*20161021*" /stext=" 22:.+((SYSTEM_STATE.+slice.+state.+changed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193-21 --locoid 4053 --swversion DE.1.0.7.0 --startMP 204:854 --initTime 2016-10-21T15:30:16 --startdatetime 2016-10-21T15:32:23 --delay 1 --endMP 204:233301 --enddatetime 2016-10-21T16:10:59 --enforcementcount 0 &gt;&gt;C:\Users\stu\Documents\GitHub\eaglep3-reporting\EC\2016-10-21-refined-times.txt</v>
      </c>
      <c r="AI10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ID","value":"193-21"},{"id":16,"name":"Locomotive ID","value":"4053"},{"id":130,"name":"Impact","value":""},{"id":150,"name":"Time of Event (Mountain Time)","value":"16:10:59"},{"id":151,"name":"Denver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552</v>
      </c>
      <c r="B108" s="7">
        <v>4054</v>
      </c>
      <c r="C108" s="22" t="s">
        <v>99</v>
      </c>
      <c r="D108" s="22" t="s">
        <v>257</v>
      </c>
      <c r="E108" s="13">
        <v>42664.678287037037</v>
      </c>
      <c r="F108" s="13">
        <v>42664.680127314816</v>
      </c>
      <c r="G108" s="7">
        <v>1</v>
      </c>
      <c r="H108" s="13" t="s">
        <v>227</v>
      </c>
      <c r="I108" s="13">
        <v>42664.706030092595</v>
      </c>
      <c r="J108" s="7">
        <v>0</v>
      </c>
      <c r="K108" s="112" t="str">
        <f t="shared" si="19"/>
        <v>4053/4054</v>
      </c>
      <c r="L108" s="22" t="str">
        <f>VLOOKUP(A108,'Trips&amp;Operators'!$C$1:$E$10000,3,FALSE)</f>
        <v>MOSES</v>
      </c>
      <c r="M108" s="6">
        <f t="shared" si="20"/>
        <v>2.5902777779265307E-2</v>
      </c>
      <c r="N108" s="7">
        <f t="shared" si="21"/>
        <v>37.300000002142042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15:16:44-0600',mode:absolute,to:'2016-10-21 17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8" s="52" t="str">
        <f t="shared" si="25"/>
        <v>N</v>
      </c>
      <c r="X108" s="171">
        <f t="shared" si="26"/>
        <v>1</v>
      </c>
      <c r="Y108" s="67">
        <f t="shared" si="27"/>
        <v>23.297699999999999</v>
      </c>
      <c r="Z108" s="67">
        <f t="shared" si="28"/>
        <v>1.4999999999999999E-2</v>
      </c>
      <c r="AA108" s="67">
        <f t="shared" si="29"/>
        <v>23.282699999999998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0194-21</v>
      </c>
      <c r="AE108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08" s="88" t="str">
        <f t="shared" si="32"/>
        <v>"C:\Program Files (x86)\AstroGrep\AstroGrep.exe" /spath="%USERPROFILE%\AppData\Local\Temp\OnboardLogs" /stypes="app*4054*20161021*" /stext=" 22:.+((SYSTEM_STATE.+slice.+state.+changed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194-21 --locoid 4054 --swversion DE.1.0.7.0 --startMP 204:232977 --initTime 2016-10-21T16:16:44 --startdatetime 2016-10-21T16:19:23 --delay 1 --endMP 204:150 --enddatetime 2016-10-21T16:56:41 --enforcementcount 0 &gt;&gt;C:\Users\stu\Documents\GitHub\eaglep3-reporting\EC\2016-10-21-refined-times.txt</v>
      </c>
      <c r="AI10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{"issue":{"subject":"","project_id":79,"tracker_id":40,"status_id":1,"priority_id":2,"assigned_to_id":23,"start_date":"2016-10-21","description":"","custom_fields":[{"id":1,"name":"Subdivision","value":"EC"},{"id":4,"name":"Milepost","value":"0.015"},{"id":17,"name":"Train ID","value":"194-21"},{"id":16,"name":"Locomotive ID","value":"4054"},{"id":130,"name":"Impact","value":""},{"id":150,"name":"Time of Event (Mountain Time)","value":"16:56:41"},{"id":151,"name":"Denver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422</v>
      </c>
      <c r="B109" s="7">
        <v>4014</v>
      </c>
      <c r="C109" s="22" t="s">
        <v>99</v>
      </c>
      <c r="D109" s="22" t="s">
        <v>674</v>
      </c>
      <c r="E109" s="13">
        <v>42664.641435185185</v>
      </c>
      <c r="F109" s="13">
        <v>42664.649814814817</v>
      </c>
      <c r="G109" s="7">
        <v>1</v>
      </c>
      <c r="H109" s="13" t="s">
        <v>276</v>
      </c>
      <c r="I109" s="13">
        <v>42664.680775462963</v>
      </c>
      <c r="J109" s="7">
        <v>0</v>
      </c>
      <c r="K109" s="112" t="str">
        <f t="shared" si="19"/>
        <v>4013/4014</v>
      </c>
      <c r="L109" s="22" t="str">
        <f>VLOOKUP(A109,'Trips&amp;Operators'!$C$1:$E$10000,3,FALSE)</f>
        <v>ADANE</v>
      </c>
      <c r="M109" s="6">
        <f t="shared" si="20"/>
        <v>3.0960648145992309E-2</v>
      </c>
      <c r="N109" s="7">
        <f t="shared" si="21"/>
        <v>44.583333330228925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14:23:40-0600',mode:absolute,to:'2016-10-21 17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9" s="52" t="str">
        <f t="shared" si="25"/>
        <v>N</v>
      </c>
      <c r="X109" s="171">
        <f t="shared" si="26"/>
        <v>1</v>
      </c>
      <c r="Y109" s="67">
        <f t="shared" si="27"/>
        <v>5.1999999999999998E-2</v>
      </c>
      <c r="Z109" s="67">
        <f t="shared" si="28"/>
        <v>23.330400000000001</v>
      </c>
      <c r="AA109" s="67">
        <f t="shared" si="29"/>
        <v>23.278400000000001</v>
      </c>
      <c r="AB109" s="64" t="str">
        <f>VLOOKUP(A109,Enforcements!$C$7:$K$21,8,0)</f>
        <v>Bulletin (2)</v>
      </c>
      <c r="AC109" s="60" t="str">
        <f>VLOOKUP(A109,Enforcements!$C$7:$E$21,3,0)</f>
        <v>GRADE CROSSING</v>
      </c>
      <c r="AD109" s="61" t="str">
        <f t="shared" si="30"/>
        <v>0195-21</v>
      </c>
      <c r="AE109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09" s="88" t="str">
        <f t="shared" si="32"/>
        <v>"C:\Program Files (x86)\AstroGrep\AstroGrep.exe" /spath="%USERPROFILE%\AppData\Local\Temp\OnboardLogs" /stypes="app*4014*20161021*" /stext=" 22:.+((SYSTEM_STATE.+slice.+state.+changed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195-21 --locoid 4014 --swversion DE.1.0.7.0 --startMP 204:520 --initTime 2016-10-21T15:23:40 --startdatetime 2016-10-21T15:35:44 --delay 1 --endMP 204:233304 --enddatetime 2016-10-21T16:20:19 --enforcementcount 0 &gt;&gt;C:\Users\stu\Documents\GitHub\eaglep3-reporting\EC\2016-10-21-refined-times.txt</v>
      </c>
      <c r="AI10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{"issue":{"subject":"","project_id":79,"tracker_id":40,"status_id":1,"priority_id":2,"assigned_to_id":23,"start_date":"2016-10-21","description":"","custom_fields":[{"id":1,"name":"Subdivision","value":"EC"},{"id":4,"name":"Milepost","value":"23.3304"},{"id":17,"name":"Train ID","value":"195-21"},{"id":16,"name":"Locomotive ID","value":"4014"},{"id":130,"name":"Impact","value":""},{"id":150,"name":"Time of Event (Mountain Time)","value":"16:20:19"},{"id":151,"name":"Denver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424</v>
      </c>
      <c r="B110" s="7">
        <v>4013</v>
      </c>
      <c r="C110" s="22" t="s">
        <v>99</v>
      </c>
      <c r="D110" s="22" t="s">
        <v>262</v>
      </c>
      <c r="E110" s="13">
        <v>42664.683206018519</v>
      </c>
      <c r="F110" s="13">
        <v>42664.685266203705</v>
      </c>
      <c r="G110" s="7">
        <v>1</v>
      </c>
      <c r="H110" s="13" t="s">
        <v>239</v>
      </c>
      <c r="I110" s="13">
        <v>42664.714409722219</v>
      </c>
      <c r="J110" s="7">
        <v>0</v>
      </c>
      <c r="K110" s="112" t="str">
        <f t="shared" si="19"/>
        <v>4013/4014</v>
      </c>
      <c r="L110" s="22" t="str">
        <f>VLOOKUP(A110,'Trips&amp;Operators'!$C$1:$E$10000,3,FALSE)</f>
        <v>ADANE</v>
      </c>
      <c r="M110" s="6">
        <f t="shared" si="20"/>
        <v>2.9143518513592426E-2</v>
      </c>
      <c r="N110" s="7">
        <f t="shared" si="21"/>
        <v>41.966666659573093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15:23:49-0600',mode:absolute,to:'2016-10-21 18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0" s="52" t="str">
        <f t="shared" si="25"/>
        <v>N</v>
      </c>
      <c r="X110" s="171">
        <f t="shared" si="26"/>
        <v>1</v>
      </c>
      <c r="Y110" s="67">
        <f t="shared" si="27"/>
        <v>23.299099999999999</v>
      </c>
      <c r="Z110" s="67">
        <f t="shared" si="28"/>
        <v>1.6E-2</v>
      </c>
      <c r="AA110" s="67">
        <f t="shared" si="29"/>
        <v>23.283100000000001</v>
      </c>
      <c r="AB110" s="64" t="str">
        <f>VLOOKUP(A110,Enforcements!$C$7:$K$21,8,0)</f>
        <v>Speed (6)</v>
      </c>
      <c r="AC110" s="60" t="str">
        <f>VLOOKUP(A110,Enforcements!$C$7:$E$21,3,0)</f>
        <v>PERMANENT SPEED RESTRICTION</v>
      </c>
      <c r="AD110" s="61" t="str">
        <f t="shared" si="30"/>
        <v>0196-21</v>
      </c>
      <c r="AE110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10" s="88" t="str">
        <f t="shared" si="32"/>
        <v>"C:\Program Files (x86)\AstroGrep\AstroGrep.exe" /spath="%USERPROFILE%\AppData\Local\Temp\OnboardLogs" /stypes="app*4013*20161021*"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196-21 --locoid 4013 --swversion DE.1.0.7.0 --startMP 204:232991 --initTime 2016-10-21T16:23:49 --startdatetime 2016-10-21T16:26:47 --delay 1 --endMP 204:160 --enddatetime 2016-10-21T17:08:45 --enforcementcount 0 &gt;&gt;C:\Users\stu\Documents\GitHub\eaglep3-reporting\EC\2016-10-21-refined-times.txt</v>
      </c>
      <c r="AI11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ID","value":"196-21"},{"id":16,"name":"Locomotive ID","value":"4013"},{"id":130,"name":"Impact","value":""},{"id":150,"name":"Time of Event (Mountain Time)","value":"17:08:45"},{"id":151,"name":"Denver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548</v>
      </c>
      <c r="B111" s="7">
        <v>4038</v>
      </c>
      <c r="C111" s="22" t="s">
        <v>99</v>
      </c>
      <c r="D111" s="22" t="s">
        <v>355</v>
      </c>
      <c r="E111" s="13">
        <v>42664.650706018518</v>
      </c>
      <c r="F111" s="13">
        <v>42664.656469907408</v>
      </c>
      <c r="G111" s="7">
        <v>2</v>
      </c>
      <c r="H111" s="13" t="s">
        <v>675</v>
      </c>
      <c r="I111" s="13">
        <v>42664.68409722222</v>
      </c>
      <c r="J111" s="7">
        <v>0</v>
      </c>
      <c r="K111" s="112" t="str">
        <f t="shared" si="19"/>
        <v>4037/4038</v>
      </c>
      <c r="L111" s="22" t="str">
        <f>VLOOKUP(A111,'Trips&amp;Operators'!$C$1:$E$10000,3,FALSE)</f>
        <v>SHOOK</v>
      </c>
      <c r="M111" s="6">
        <f t="shared" si="20"/>
        <v>2.7627314811979886E-2</v>
      </c>
      <c r="N111" s="7">
        <f t="shared" si="21"/>
        <v>39.783333329251036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14:37:01-0600',mode:absolute,to:'2016-10-21 17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1" s="52" t="str">
        <f t="shared" si="25"/>
        <v>N</v>
      </c>
      <c r="X111" s="171">
        <f t="shared" si="26"/>
        <v>1</v>
      </c>
      <c r="Y111" s="67">
        <f t="shared" si="27"/>
        <v>4.6699999999999998E-2</v>
      </c>
      <c r="Z111" s="67">
        <f t="shared" si="28"/>
        <v>23.3368</v>
      </c>
      <c r="AA111" s="67">
        <f t="shared" si="29"/>
        <v>23.290099999999999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0197-21</v>
      </c>
      <c r="AE111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111" s="88" t="str">
        <f t="shared" si="32"/>
        <v>"C:\Program Files (x86)\AstroGrep\AstroGrep.exe" /spath="%USERPROFILE%\AppData\Local\Temp\OnboardLogs" /stypes="app*4038*20161021*" /stext=" 22:.+((SYSTEM_STATE.+slice.+state.+changed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197-21 --locoid 4038 --swversion DE.1.0.7.0 --startMP 204:467 --initTime 2016-10-21T15:37:01 --startdatetime 2016-10-21T15:45:19 --delay 2 --endMP 204:233368 --enddatetime 2016-10-21T16:25:06 --enforcementcount 0 &gt;&gt;C:\Users\stu\Documents\GitHub\eaglep3-reporting\EC\2016-10-21-refined-times.txt</v>
      </c>
      <c r="AI11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{"issue":{"subject":"","project_id":79,"tracker_id":40,"status_id":1,"priority_id":2,"assigned_to_id":23,"start_date":"2016-10-21","description":"","custom_fields":[{"id":1,"name":"Subdivision","value":"EC"},{"id":4,"name":"Milepost","value":"23.3368"},{"id":17,"name":"Train ID","value":"197-21"},{"id":16,"name":"Locomotive ID","value":"4038"},{"id":130,"name":"Impact","value":""},{"id":150,"name":"Time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s="21" customFormat="1" x14ac:dyDescent="0.25">
      <c r="A112" s="37" t="s">
        <v>555</v>
      </c>
      <c r="B112" s="7">
        <v>4037</v>
      </c>
      <c r="C112" s="22" t="s">
        <v>99</v>
      </c>
      <c r="D112" s="22" t="s">
        <v>364</v>
      </c>
      <c r="E112" s="13">
        <v>42664.690335648149</v>
      </c>
      <c r="F112" s="13">
        <v>42664.695370370369</v>
      </c>
      <c r="G112" s="7">
        <v>1</v>
      </c>
      <c r="H112" s="13" t="s">
        <v>222</v>
      </c>
      <c r="I112" s="13">
        <v>42664.722916666666</v>
      </c>
      <c r="J112" s="7">
        <v>0</v>
      </c>
      <c r="K112" s="112" t="str">
        <f t="shared" si="19"/>
        <v>4037/4038</v>
      </c>
      <c r="L112" s="22" t="str">
        <f>VLOOKUP(A112,'Trips&amp;Operators'!$C$1:$E$10000,3,FALSE)</f>
        <v>SHOOK</v>
      </c>
      <c r="M112" s="6">
        <f t="shared" si="20"/>
        <v>2.7546296296350192E-2</v>
      </c>
      <c r="N112" s="7">
        <f t="shared" si="21"/>
        <v>39.666666666744277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15:34:05-0600',mode:absolute,to:'2016-10-21 18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2" s="52" t="str">
        <f t="shared" si="25"/>
        <v>N</v>
      </c>
      <c r="X112" s="171">
        <f t="shared" si="26"/>
        <v>1</v>
      </c>
      <c r="Y112" s="67">
        <f t="shared" si="27"/>
        <v>23.304200000000002</v>
      </c>
      <c r="Z112" s="67">
        <f t="shared" si="28"/>
        <v>1.4500000000000001E-2</v>
      </c>
      <c r="AA112" s="67">
        <f t="shared" si="29"/>
        <v>23.2897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0"/>
        <v>0198-21</v>
      </c>
      <c r="AE112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112" s="88" t="str">
        <f t="shared" si="32"/>
        <v>"C:\Program Files (x86)\AstroGrep\AstroGrep.exe" /spath="%USERPROFILE%\AppData\Local\Temp\OnboardLogs" /stypes="app*4037*20161021*"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198-21 --locoid 4037 --swversion DE.1.0.7.0 --startMP 204:233042 --initTime 2016-10-21T16:34:05 --startdatetime 2016-10-21T16:41:20 --delay 1 --endMP 204:145 --enddatetime 2016-10-21T17:21:00 --enforcementcount 0 &gt;&gt;C:\Users\stu\Documents\GitHub\eaglep3-reporting\EC\2016-10-21-refined-times.txt</v>
      </c>
      <c r="AI11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ID","value":"198-21"},{"id":16,"name":"Locomotive ID","value":"4037"},{"id":130,"name":"Impact","value":""},{"id":150,"name":"Time of Event (Mountain Time)","value":"17:21:00"},{"id":151,"name":"Denver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7" t="s">
        <v>423</v>
      </c>
      <c r="B113" s="7">
        <v>4016</v>
      </c>
      <c r="C113" s="22" t="s">
        <v>99</v>
      </c>
      <c r="D113" s="22" t="s">
        <v>657</v>
      </c>
      <c r="E113" s="13">
        <v>42664.658738425926</v>
      </c>
      <c r="F113" s="13">
        <v>42664.66715277778</v>
      </c>
      <c r="G113" s="7">
        <v>2</v>
      </c>
      <c r="H113" s="13" t="s">
        <v>676</v>
      </c>
      <c r="I113" s="13">
        <v>42664.69394675926</v>
      </c>
      <c r="J113" s="7">
        <v>0</v>
      </c>
      <c r="K113" s="112" t="str">
        <f t="shared" si="19"/>
        <v>4015/4016</v>
      </c>
      <c r="L113" s="22" t="str">
        <f>VLOOKUP(A113,'Trips&amp;Operators'!$C$1:$E$10000,3,FALSE)</f>
        <v>STORY</v>
      </c>
      <c r="M113" s="6">
        <f t="shared" si="20"/>
        <v>2.679398148029577E-2</v>
      </c>
      <c r="N113" s="7">
        <f t="shared" si="21"/>
        <v>38.583333331625909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14:48:35-0600',mode:absolute,to:'2016-10-21 17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3" s="52" t="str">
        <f t="shared" si="25"/>
        <v>N</v>
      </c>
      <c r="X113" s="171">
        <f t="shared" si="26"/>
        <v>1</v>
      </c>
      <c r="Y113" s="67">
        <f t="shared" si="27"/>
        <v>4.7300000000000002E-2</v>
      </c>
      <c r="Z113" s="67">
        <f t="shared" si="28"/>
        <v>23.326599999999999</v>
      </c>
      <c r="AA113" s="67">
        <f t="shared" si="29"/>
        <v>23.279299999999999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0199-21</v>
      </c>
      <c r="AE113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13" s="88" t="str">
        <f t="shared" si="32"/>
        <v>"C:\Program Files (x86)\AstroGrep\AstroGrep.exe" /spath="%USERPROFILE%\AppData\Local\Temp\OnboardLogs" /stypes="app*4016*20161021*" /stext=" 22:.+((SYSTEM_STATE.+slice.+state.+changed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199-21 --locoid 4016 --swversion DE.1.0.7.0 --startMP 204:473 --initTime 2016-10-21T15:48:35 --startdatetime 2016-10-21T16:00:42 --delay 2 --endMP 204:233266 --enddatetime 2016-10-21T16:39:17 --enforcementcount 0 &gt;&gt;C:\Users\stu\Documents\GitHub\eaglep3-reporting\EC\2016-10-21-refined-times.txt</v>
      </c>
      <c r="AI11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{"issue":{"subject":"","project_id":79,"tracker_id":40,"status_id":1,"priority_id":2,"assigned_to_id":23,"start_date":"2016-10-21","description":"","custom_fields":[{"id":1,"name":"Subdivision","value":"EC"},{"id":4,"name":"Milepost","value":"23.3266"},{"id":17,"name":"Train ID","value":"199-21"},{"id":16,"name":"Locomotive ID","value":"4016"},{"id":130,"name":"Impact","value":""},{"id":150,"name":"Time of Event (Mountain Time)","value":"16:39:17"},{"id":151,"name":"Denver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x14ac:dyDescent="0.25">
      <c r="A114" s="37" t="s">
        <v>558</v>
      </c>
      <c r="B114" s="7">
        <v>4015</v>
      </c>
      <c r="C114" s="22" t="s">
        <v>99</v>
      </c>
      <c r="D114" s="22" t="s">
        <v>677</v>
      </c>
      <c r="E114" s="13">
        <v>42664.698831018519</v>
      </c>
      <c r="F114" s="13">
        <v>42664.70579861111</v>
      </c>
      <c r="G114" s="7">
        <v>1</v>
      </c>
      <c r="H114" s="13" t="s">
        <v>221</v>
      </c>
      <c r="I114" s="13">
        <v>42664.735532407409</v>
      </c>
      <c r="J114" s="7">
        <v>0</v>
      </c>
      <c r="K114" s="112" t="str">
        <f t="shared" si="19"/>
        <v>4015/4016</v>
      </c>
      <c r="L114" s="22" t="str">
        <f>VLOOKUP(A114,'Trips&amp;Operators'!$C$1:$E$10000,3,FALSE)</f>
        <v>STORY</v>
      </c>
      <c r="M114" s="6">
        <f t="shared" si="20"/>
        <v>2.973379629838746E-2</v>
      </c>
      <c r="N114" s="7">
        <f t="shared" si="21"/>
        <v>42.816666669677943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15:46:19-0600',mode:absolute,to:'2016-10-21 18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4" s="52" t="str">
        <f t="shared" si="25"/>
        <v>N</v>
      </c>
      <c r="X114" s="171">
        <f t="shared" si="26"/>
        <v>1</v>
      </c>
      <c r="Y114" s="67">
        <f t="shared" si="27"/>
        <v>23.293600000000001</v>
      </c>
      <c r="Z114" s="67">
        <f t="shared" si="28"/>
        <v>1.54E-2</v>
      </c>
      <c r="AA114" s="67">
        <f t="shared" si="29"/>
        <v>23.278200000000002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0200-21</v>
      </c>
      <c r="AE114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14" s="88" t="str">
        <f t="shared" si="32"/>
        <v>"C:\Program Files (x86)\AstroGrep\AstroGrep.exe" /spath="%USERPROFILE%\AppData\Local\Temp\OnboardLogs" /stypes="app*4015*20161021*" /stext=" 23:.+((SYSTEM_STATE.+slice.+state.+changed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200-21 --locoid 4015 --swversion DE.1.0.7.0 --startMP 204:232936 --initTime 2016-10-21T16:46:19 --startdatetime 2016-10-21T16:56:21 --delay 1 --endMP 204:154 --enddatetime 2016-10-21T17:39:10 --enforcementcount 0 &gt;&gt;C:\Users\stu\Documents\GitHub\eaglep3-reporting\EC\2016-10-21-refined-times.txt</v>
      </c>
      <c r="AI11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ID","value":"200-21"},{"id":16,"name":"Locomotive ID","value":"4015"},{"id":130,"name":"Impact","value":""},{"id":150,"name":"Time of Event (Mountain Time)","value":"17:39:10"},{"id":151,"name":"Denver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551</v>
      </c>
      <c r="B115" s="7">
        <v>4042</v>
      </c>
      <c r="C115" s="22" t="s">
        <v>99</v>
      </c>
      <c r="D115" s="22" t="s">
        <v>237</v>
      </c>
      <c r="E115" s="13">
        <v>42664.672384259262</v>
      </c>
      <c r="F115" s="13">
        <v>42664.67728009259</v>
      </c>
      <c r="G115" s="7">
        <v>0</v>
      </c>
      <c r="H115" s="13" t="s">
        <v>678</v>
      </c>
      <c r="I115" s="13">
        <v>42664.703263888892</v>
      </c>
      <c r="J115" s="7">
        <v>0</v>
      </c>
      <c r="K115" s="112" t="str">
        <f t="shared" si="19"/>
        <v>4041/4042</v>
      </c>
      <c r="L115" s="22" t="str">
        <f>VLOOKUP(A115,'Trips&amp;Operators'!$C$1:$E$10000,3,FALSE)</f>
        <v>STEWART</v>
      </c>
      <c r="M115" s="6">
        <f t="shared" si="20"/>
        <v>2.5983796302170958E-2</v>
      </c>
      <c r="N115" s="7">
        <f t="shared" si="21"/>
        <v>37.41666667512618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15:08:14-0600',mode:absolute,to:'2016-10-21 17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 t="shared" si="25"/>
        <v>N</v>
      </c>
      <c r="X115" s="171">
        <f t="shared" si="26"/>
        <v>1</v>
      </c>
      <c r="Y115" s="67">
        <f t="shared" si="27"/>
        <v>4.4600000000000001E-2</v>
      </c>
      <c r="Z115" s="67">
        <f t="shared" si="28"/>
        <v>23.3324</v>
      </c>
      <c r="AA115" s="67">
        <f t="shared" si="29"/>
        <v>23.287800000000001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0201-21</v>
      </c>
      <c r="AE115" s="91" t="str">
        <f t="shared" si="31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15" s="88" t="str">
        <f t="shared" si="32"/>
        <v>"C:\Program Files (x86)\AstroGrep\AstroGrep.exe" /spath="%USERPROFILE%\AppData\Local\Temp\OnboardLogs" /stypes="app*4042*20161021*" /stext=" 22:.+((SYSTEM_STATE.+slice.+state.+changed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201-21 --locoid 4042 --swversion DE.1.0.7.0 --startMP 204:446 --initTime 2016-10-21T16:08:14 --startdatetime 2016-10-21T16:15:17 --delay 0 --endMP 204:233324 --enddatetime 2016-10-21T16:52:42 --enforcementcount 0 &gt;&gt;C:\Users\stu\Documents\GitHub\eaglep3-reporting\EC\2016-10-21-refined-times.txt</v>
      </c>
      <c r="AI11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{"issue":{"subject":"","project_id":79,"tracker_id":40,"status_id":1,"priority_id":2,"assigned_to_id":23,"start_date":"2016-10-21","description":"","custom_fields":[{"id":1,"name":"Subdivision","value":"EC"},{"id":4,"name":"Milepost","value":"23.3324"},{"id":17,"name":"Train ID","value":"201-21"},{"id":16,"name":"Locomotive ID","value":"4042"},{"id":130,"name":"Impact","value":""},{"id":150,"name":"Time of Event (Mountain Time)","value":"16:52:42"},{"id":151,"name":"Denver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560</v>
      </c>
      <c r="B116" s="7">
        <v>4041</v>
      </c>
      <c r="C116" s="22" t="s">
        <v>99</v>
      </c>
      <c r="D116" s="22" t="s">
        <v>288</v>
      </c>
      <c r="E116" s="13">
        <v>42664.708356481482</v>
      </c>
      <c r="F116" s="13">
        <v>42664.716481481482</v>
      </c>
      <c r="G116" s="7">
        <v>1</v>
      </c>
      <c r="H116" s="13" t="s">
        <v>177</v>
      </c>
      <c r="I116" s="13">
        <v>42664.746064814812</v>
      </c>
      <c r="J116" s="7">
        <v>0</v>
      </c>
      <c r="K116" s="112" t="str">
        <f t="shared" si="19"/>
        <v>4041/4042</v>
      </c>
      <c r="L116" s="22" t="str">
        <f>VLOOKUP(A116,'Trips&amp;Operators'!$C$1:$E$10000,3,FALSE)</f>
        <v>STEWART</v>
      </c>
      <c r="M116" s="6">
        <f t="shared" si="20"/>
        <v>2.958333332935581E-2</v>
      </c>
      <c r="N116" s="7">
        <f t="shared" si="21"/>
        <v>42.599999994272366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16:00:02-0600',mode:absolute,to:'2016-10-21 18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 t="shared" si="25"/>
        <v>N</v>
      </c>
      <c r="X116" s="171">
        <f t="shared" si="26"/>
        <v>1</v>
      </c>
      <c r="Y116" s="67">
        <f t="shared" si="27"/>
        <v>23.2986</v>
      </c>
      <c r="Z116" s="67">
        <f t="shared" si="28"/>
        <v>1.52E-2</v>
      </c>
      <c r="AA116" s="67">
        <f t="shared" si="29"/>
        <v>23.2834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0202-21</v>
      </c>
      <c r="AE116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16" s="88" t="str">
        <f t="shared" si="32"/>
        <v>"C:\Program Files (x86)\AstroGrep\AstroGrep.exe" /spath="%USERPROFILE%\AppData\Local\Temp\OnboardLogs" /stypes="app*4041*20161021*" /stext=" 23:.+((SYSTEM_STATE.+slice.+state.+changed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202-21 --locoid 4041 --swversion DE.1.0.7.0 --startMP 204:232986 --initTime 2016-10-21T17:00:02 --startdatetime 2016-10-21T17:11:44 --delay 1 --endMP 204:152 --enddatetime 2016-10-21T17:54:20 --enforcementcount 0 &gt;&gt;C:\Users\stu\Documents\GitHub\eaglep3-reporting\EC\2016-10-21-refined-times.txt</v>
      </c>
      <c r="AI11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ID","value":"202-21"},{"id":16,"name":"Locomotive ID","value":"4041"},{"id":130,"name":"Impact","value":""},{"id":150,"name":"Time of Event (Mountain Time)","value":"17:54:20"},{"id":151,"name":"Denver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554</v>
      </c>
      <c r="B117" s="7">
        <v>4027</v>
      </c>
      <c r="C117" s="22" t="s">
        <v>99</v>
      </c>
      <c r="D117" s="22" t="s">
        <v>679</v>
      </c>
      <c r="E117" s="13">
        <v>42664.684236111112</v>
      </c>
      <c r="F117" s="13">
        <v>42664.687650462962</v>
      </c>
      <c r="G117" s="7">
        <v>1</v>
      </c>
      <c r="H117" s="13" t="s">
        <v>676</v>
      </c>
      <c r="I117" s="13">
        <v>42664.714270833334</v>
      </c>
      <c r="J117" s="7">
        <v>0</v>
      </c>
      <c r="K117" s="112" t="str">
        <f t="shared" si="19"/>
        <v>4027/4028</v>
      </c>
      <c r="L117" s="22" t="str">
        <f>VLOOKUP(A117,'Trips&amp;Operators'!$C$1:$E$10000,3,FALSE)</f>
        <v>CLARK</v>
      </c>
      <c r="M117" s="6">
        <f t="shared" si="20"/>
        <v>2.662037037225673E-2</v>
      </c>
      <c r="N117" s="7">
        <f t="shared" si="21"/>
        <v>38.333333336049691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15:25:18-0600',mode:absolute,to:'2016-10-21 18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7" s="52" t="str">
        <f t="shared" si="25"/>
        <v>N</v>
      </c>
      <c r="X117" s="171">
        <f t="shared" si="26"/>
        <v>1</v>
      </c>
      <c r="Y117" s="67">
        <f t="shared" si="27"/>
        <v>4.2900000000000001E-2</v>
      </c>
      <c r="Z117" s="67">
        <f t="shared" si="28"/>
        <v>23.326599999999999</v>
      </c>
      <c r="AA117" s="67">
        <f t="shared" si="29"/>
        <v>23.2837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0203-21</v>
      </c>
      <c r="AE117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17" s="88" t="str">
        <f t="shared" si="32"/>
        <v>"C:\Program Files (x86)\AstroGrep\AstroGrep.exe" /spath="%USERPROFILE%\AppData\Local\Temp\OnboardLogs" /stypes="app*4027*20161021*" /stext=" 23:.+((SYSTEM_STATE.+slice.+state.+changed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203-21 --locoid 4027 --swversion DE.1.0.7.0 --startMP 204:429 --initTime 2016-10-21T16:25:18 --startdatetime 2016-10-21T16:30:13 --delay 1 --endMP 204:233266 --enddatetime 2016-10-21T17:08:33 --enforcementcount 0 &gt;&gt;C:\Users\stu\Documents\GitHub\eaglep3-reporting\EC\2016-10-21-refined-times.txt</v>
      </c>
      <c r="AI11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{"issue":{"subject":"","project_id":79,"tracker_id":40,"status_id":1,"priority_id":2,"assigned_to_id":23,"start_date":"2016-10-21","description":"","custom_fields":[{"id":1,"name":"Subdivision","value":"EC"},{"id":4,"name":"Milepost","value":"23.3266"},{"id":17,"name":"Train ID","value":"203-21"},{"id":16,"name":"Locomotive ID","value":"4027"},{"id":130,"name":"Impact","value":""},{"id":150,"name":"Time of Event (Mountain Time)","value":"17:08:33"},{"id":151,"name":"Denver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563</v>
      </c>
      <c r="B118" s="7">
        <v>4028</v>
      </c>
      <c r="C118" s="22" t="s">
        <v>99</v>
      </c>
      <c r="D118" s="22" t="s">
        <v>680</v>
      </c>
      <c r="E118" s="13">
        <v>42664.722997685189</v>
      </c>
      <c r="F118" s="13">
        <v>42664.726770833331</v>
      </c>
      <c r="G118" s="7">
        <v>1</v>
      </c>
      <c r="H118" s="13" t="s">
        <v>224</v>
      </c>
      <c r="I118" s="13">
        <v>42664.756793981483</v>
      </c>
      <c r="J118" s="7">
        <v>0</v>
      </c>
      <c r="K118" s="112" t="str">
        <f t="shared" si="19"/>
        <v>4027/4028</v>
      </c>
      <c r="L118" s="22" t="str">
        <f>VLOOKUP(A118,'Trips&amp;Operators'!$C$1:$E$10000,3,FALSE)</f>
        <v>CLARK</v>
      </c>
      <c r="M118" s="6">
        <f t="shared" si="20"/>
        <v>3.0023148152395152E-2</v>
      </c>
      <c r="N118" s="7">
        <f t="shared" si="21"/>
        <v>43.233333339449018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16:21:07-0600',mode:absolute,to:'2016-10-21 19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8" s="52" t="str">
        <f t="shared" si="25"/>
        <v>N</v>
      </c>
      <c r="X118" s="171">
        <f t="shared" si="26"/>
        <v>1</v>
      </c>
      <c r="Y118" s="67">
        <f t="shared" si="27"/>
        <v>23.294499999999999</v>
      </c>
      <c r="Z118" s="67">
        <f t="shared" si="28"/>
        <v>1.49E-2</v>
      </c>
      <c r="AA118" s="67">
        <f t="shared" si="29"/>
        <v>23.279599999999999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0204-21</v>
      </c>
      <c r="AE118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18" s="88" t="str">
        <f t="shared" si="32"/>
        <v>"C:\Program Files (x86)\AstroGrep\AstroGrep.exe" /spath="%USERPROFILE%\AppData\Local\Temp\OnboardLogs" /stypes="app*4028*20161022*"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204-21 --locoid 4028 --swversion DE.1.0.7.0 --startMP 204:232945 --initTime 2016-10-21T17:21:07 --startdatetime 2016-10-21T17:26:33 --delay 1 --endMP 204:149 --enddatetime 2016-10-21T18:09:47 --enforcementcount 0 &gt;&gt;C:\Users\stu\Documents\GitHub\eaglep3-reporting\EC\2016-10-21-refined-times.txt</v>
      </c>
      <c r="AI11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ID","value":"204-21"},{"id":16,"name":"Locomotive ID","value":"4028"},{"id":130,"name":"Impact","value":""},{"id":150,"name":"Time of Event (Mountain Time)","value":"18:09:47"},{"id":151,"name":"Denver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557</v>
      </c>
      <c r="B119" s="7">
        <v>4009</v>
      </c>
      <c r="C119" s="22" t="s">
        <v>99</v>
      </c>
      <c r="D119" s="22" t="s">
        <v>231</v>
      </c>
      <c r="E119" s="13">
        <v>42664.698055555556</v>
      </c>
      <c r="F119" s="13">
        <v>42664.700532407405</v>
      </c>
      <c r="G119" s="7">
        <v>1</v>
      </c>
      <c r="H119" s="13" t="s">
        <v>358</v>
      </c>
      <c r="I119" s="13">
        <v>42664.726712962962</v>
      </c>
      <c r="J119" s="7">
        <v>0</v>
      </c>
      <c r="K119" s="112" t="str">
        <f t="shared" si="19"/>
        <v>4009/4010</v>
      </c>
      <c r="L119" s="22" t="str">
        <f>VLOOKUP(A119,'Trips&amp;Operators'!$C$1:$E$10000,3,FALSE)</f>
        <v>YOUNG</v>
      </c>
      <c r="M119" s="6">
        <f t="shared" si="20"/>
        <v>2.6180555556493346E-2</v>
      </c>
      <c r="N119" s="7">
        <f t="shared" si="21"/>
        <v>37.700000001350418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15:45:12-0600',mode:absolute,to:'2016-10-21 18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9" s="52" t="str">
        <f t="shared" si="25"/>
        <v>N</v>
      </c>
      <c r="X119" s="171">
        <f t="shared" si="26"/>
        <v>1</v>
      </c>
      <c r="Y119" s="67">
        <f t="shared" si="27"/>
        <v>4.6399999999999997E-2</v>
      </c>
      <c r="Z119" s="67">
        <f t="shared" si="28"/>
        <v>23.328399999999998</v>
      </c>
      <c r="AA119" s="67">
        <f t="shared" si="29"/>
        <v>23.282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0205-21</v>
      </c>
      <c r="AE119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19" s="88" t="str">
        <f t="shared" si="32"/>
        <v>"C:\Program Files (x86)\AstroGrep\AstroGrep.exe" /spath="%USERPROFILE%\AppData\Local\Temp\OnboardLogs" /stypes="app*4009*20161021*" /stext=" 23:.+((SYSTEM_STATE.+slice.+state.+changed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205-21 --locoid 4009 --swversion DE.1.0.7.0 --startMP 204:464 --initTime 2016-10-21T16:45:12 --startdatetime 2016-10-21T16:48:46 --delay 1 --endMP 204:233284 --enddatetime 2016-10-21T17:26:28 --enforcementcount 0 &gt;&gt;C:\Users\stu\Documents\GitHub\eaglep3-reporting\EC\2016-10-21-refined-times.txt</v>
      </c>
      <c r="AI11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{"issue":{"subject":"","project_id":79,"tracker_id":40,"status_id":1,"priority_id":2,"assigned_to_id":23,"start_date":"2016-10-21","description":"","custom_fields":[{"id":1,"name":"Subdivision","value":"EC"},{"id":4,"name":"Milepost","value":"23.3284"},{"id":17,"name":"Train ID","value":"205-21"},{"id":16,"name":"Locomotive ID","value":"4009"},{"id":130,"name":"Impact","value":""},{"id":150,"name":"Time of Event (Mountain Time)","value":"17:26:28"},{"id":151,"name":"Denver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566</v>
      </c>
      <c r="B120" s="7">
        <v>4010</v>
      </c>
      <c r="C120" s="22" t="s">
        <v>99</v>
      </c>
      <c r="D120" s="22" t="s">
        <v>359</v>
      </c>
      <c r="E120" s="13">
        <v>42664.729097222225</v>
      </c>
      <c r="F120" s="13">
        <v>42664.737326388888</v>
      </c>
      <c r="G120" s="7">
        <v>1</v>
      </c>
      <c r="H120" s="13" t="s">
        <v>681</v>
      </c>
      <c r="I120" s="13">
        <v>42664.76363425926</v>
      </c>
      <c r="J120" s="7">
        <v>0</v>
      </c>
      <c r="K120" s="112" t="str">
        <f t="shared" si="19"/>
        <v>4009/4010</v>
      </c>
      <c r="L120" s="22" t="str">
        <f>VLOOKUP(A120,'Trips&amp;Operators'!$C$1:$E$10000,3,FALSE)</f>
        <v>YOUNG</v>
      </c>
      <c r="M120" s="6">
        <f t="shared" si="20"/>
        <v>2.6307870371965691E-2</v>
      </c>
      <c r="N120" s="7">
        <f t="shared" si="21"/>
        <v>37.883333335630596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16:29:54-0600',mode:absolute,to:'2016-10-21 19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0" s="52" t="str">
        <f t="shared" si="25"/>
        <v>N</v>
      </c>
      <c r="X120" s="171">
        <f t="shared" si="26"/>
        <v>1</v>
      </c>
      <c r="Y120" s="67">
        <f t="shared" si="27"/>
        <v>23.297999999999998</v>
      </c>
      <c r="Z120" s="67">
        <f t="shared" si="28"/>
        <v>1.32E-2</v>
      </c>
      <c r="AA120" s="67">
        <f t="shared" si="29"/>
        <v>23.284799999999997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0206-21</v>
      </c>
      <c r="AE120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20" s="88" t="str">
        <f t="shared" si="32"/>
        <v>"C:\Program Files (x86)\AstroGrep\AstroGrep.exe" /spath="%USERPROFILE%\AppData\Local\Temp\OnboardLogs" /stypes="app*4010*20161022*"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206-21 --locoid 4010 --swversion DE.1.0.7.0 --startMP 204:232980 --initTime 2016-10-21T17:29:54 --startdatetime 2016-10-21T17:41:45 --delay 1 --endMP 204:132 --enddatetime 2016-10-21T18:19:38 --enforcementcount 0 &gt;&gt;C:\Users\stu\Documents\GitHub\eaglep3-reporting\EC\2016-10-21-refined-times.txt</v>
      </c>
      <c r="AI12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{"issue":{"subject":"","project_id":79,"tracker_id":40,"status_id":1,"priority_id":2,"assigned_to_id":23,"start_date":"2016-10-21","description":"","custom_fields":[{"id":1,"name":"Subdivision","value":"EC"},{"id":4,"name":"Milepost","value":"0.0132"},{"id":17,"name":"Train ID","value":"206-21"},{"id":16,"name":"Locomotive ID","value":"4010"},{"id":130,"name":"Impact","value":""},{"id":150,"name":"Time of Event (Mountain Time)","value":"18:19:38"},{"id":151,"name":"Denver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559</v>
      </c>
      <c r="B121" s="7">
        <v>4053</v>
      </c>
      <c r="C121" s="22" t="s">
        <v>99</v>
      </c>
      <c r="D121" s="22" t="s">
        <v>320</v>
      </c>
      <c r="E121" s="13">
        <v>42664.70826388889</v>
      </c>
      <c r="F121" s="13">
        <v>42664.710081018522</v>
      </c>
      <c r="G121" s="7">
        <v>1</v>
      </c>
      <c r="H121" s="13" t="s">
        <v>634</v>
      </c>
      <c r="I121" s="13">
        <v>42664.735081018516</v>
      </c>
      <c r="J121" s="7">
        <v>0</v>
      </c>
      <c r="K121" s="112" t="str">
        <f t="shared" si="19"/>
        <v>4053/4054</v>
      </c>
      <c r="L121" s="22" t="str">
        <f>VLOOKUP(A121,'Trips&amp;Operators'!$C$1:$E$10000,3,FALSE)</f>
        <v>MOSES</v>
      </c>
      <c r="M121" s="6">
        <f t="shared" si="20"/>
        <v>2.4999999994179234E-2</v>
      </c>
      <c r="N121" s="7">
        <f t="shared" si="21"/>
        <v>35.999999991618097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15:59:54-0600',mode:absolute,to:'2016-10-21 18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1" s="52" t="str">
        <f t="shared" si="25"/>
        <v>N</v>
      </c>
      <c r="X121" s="171">
        <f t="shared" si="26"/>
        <v>1</v>
      </c>
      <c r="Y121" s="67">
        <f t="shared" si="27"/>
        <v>4.6199999999999998E-2</v>
      </c>
      <c r="Z121" s="67">
        <f t="shared" si="28"/>
        <v>23.328900000000001</v>
      </c>
      <c r="AA121" s="67">
        <f t="shared" si="29"/>
        <v>23.282700000000002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0207-21</v>
      </c>
      <c r="AE121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121" s="88" t="str">
        <f t="shared" si="32"/>
        <v>"C:\Program Files (x86)\AstroGrep\AstroGrep.exe" /spath="%USERPROFILE%\AppData\Local\Temp\OnboardLogs" /stypes="app*4053*20161021*" /stext=" 23:.+((SYSTEM_STATE.+slice.+state.+changed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207-21 --locoid 4053 --swversion DE.1.0.7.0 --startMP 204:462 --initTime 2016-10-21T16:59:54 --startdatetime 2016-10-21T17:02:31 --delay 1 --endMP 204:233289 --enddatetime 2016-10-21T17:38:31 --enforcementcount 0 &gt;&gt;C:\Users\stu\Documents\GitHub\eaglep3-reporting\EC\2016-10-21-refined-times.txt</v>
      </c>
      <c r="AI12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ID","value":"207-21"},{"id":16,"name":"Locomotive ID","value":"4053"},{"id":130,"name":"Impact","value":""},{"id":150,"name":"Time of Event (Mountain Time)","value":"17:38:31"},{"id":151,"name":"Denver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431</v>
      </c>
      <c r="B122" s="7">
        <v>4054</v>
      </c>
      <c r="C122" s="22" t="s">
        <v>99</v>
      </c>
      <c r="D122" s="22" t="s">
        <v>284</v>
      </c>
      <c r="E122" s="13">
        <v>42664.743796296294</v>
      </c>
      <c r="F122" s="13">
        <v>42664.747476851851</v>
      </c>
      <c r="G122" s="7">
        <v>1</v>
      </c>
      <c r="H122" s="13" t="s">
        <v>682</v>
      </c>
      <c r="I122" s="13">
        <v>42664.776331018518</v>
      </c>
      <c r="J122" s="7">
        <v>0</v>
      </c>
      <c r="K122" s="112" t="str">
        <f t="shared" si="19"/>
        <v>4053/4054</v>
      </c>
      <c r="L122" s="22" t="str">
        <f>VLOOKUP(A122,'Trips&amp;Operators'!$C$1:$E$10000,3,FALSE)</f>
        <v>MOSES</v>
      </c>
      <c r="M122" s="6">
        <f t="shared" si="20"/>
        <v>2.8854166666860692E-2</v>
      </c>
      <c r="N122" s="7">
        <f t="shared" si="21"/>
        <v>41.550000000279397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2" s="52" t="str">
        <f t="shared" si="25"/>
        <v>N</v>
      </c>
      <c r="X122" s="171">
        <f t="shared" si="26"/>
        <v>1</v>
      </c>
      <c r="Y122" s="67">
        <f t="shared" si="27"/>
        <v>23.298300000000001</v>
      </c>
      <c r="Z122" s="67">
        <f t="shared" si="28"/>
        <v>9.4500000000000001E-2</v>
      </c>
      <c r="AA122" s="67">
        <f t="shared" si="29"/>
        <v>23.203800000000001</v>
      </c>
      <c r="AB122" s="64" t="str">
        <f>VLOOKUP(A122,Enforcements!$C$7:$K$21,8,0)</f>
        <v>Bulletin (2)</v>
      </c>
      <c r="AC122" s="60" t="str">
        <f>VLOOKUP(A122,Enforcements!$C$7:$E$21,3,0)</f>
        <v>GRADE CROSSING</v>
      </c>
      <c r="AD122" s="61" t="str">
        <f t="shared" si="30"/>
        <v>0208-21</v>
      </c>
      <c r="AE122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22" s="88" t="str">
        <f t="shared" si="32"/>
        <v>"C:\Program Files (x86)\AstroGrep\AstroGrep.exe" /spath="%USERPROFILE%\AppData\Local\Temp\OnboardLogs" /stypes="app*4054*20161022*" /stext=" 00:.+((SYSTEM_STATE.+slice.+state.+changed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208-21 --locoid 4054 --swversion DE.1.0.7.0 --startMP 204:232983 --initTime 2016-10-21T17:51:04 --startdatetime 2016-10-21T17:56:22 --delay 1 --endMP 204:945 --enddatetime 2016-10-21T18:37:55 --enforcementcount 0 &gt;&gt;C:\Users\stu\Documents\GitHub\eaglep3-reporting\EC\2016-10-21-refined-times.txt</v>
      </c>
      <c r="AI12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{"issue":{"subject":"","project_id":79,"tracker_id":40,"status_id":1,"priority_id":2,"assigned_to_id":23,"start_date":"2016-10-21","description":"","custom_fields":[{"id":1,"name":"Subdivision","value":"EC"},{"id":4,"name":"Milepost","value":"0.0945"},{"id":17,"name":"Train ID","value":"208-21"},{"id":16,"name":"Locomotive ID","value":"4054"},{"id":130,"name":"Impact","value":""},{"id":150,"name":"Time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x14ac:dyDescent="0.25">
      <c r="A123" s="37" t="s">
        <v>561</v>
      </c>
      <c r="B123" s="7">
        <v>4014</v>
      </c>
      <c r="C123" s="22" t="s">
        <v>99</v>
      </c>
      <c r="D123" s="22" t="s">
        <v>285</v>
      </c>
      <c r="E123" s="13">
        <v>42664.716909722221</v>
      </c>
      <c r="F123" s="13">
        <v>42664.719097222223</v>
      </c>
      <c r="G123" s="7">
        <v>1</v>
      </c>
      <c r="H123" s="13" t="s">
        <v>259</v>
      </c>
      <c r="I123" s="13">
        <v>42664.744074074071</v>
      </c>
      <c r="J123" s="7">
        <v>0</v>
      </c>
      <c r="K123" s="112" t="str">
        <f t="shared" si="19"/>
        <v>4013/4014</v>
      </c>
      <c r="L123" s="22" t="str">
        <f>VLOOKUP(A123,'Trips&amp;Operators'!$C$1:$E$10000,3,FALSE)</f>
        <v>ADANE</v>
      </c>
      <c r="M123" s="6">
        <f t="shared" si="20"/>
        <v>2.4976851847895887E-2</v>
      </c>
      <c r="N123" s="7">
        <f t="shared" si="21"/>
        <v>35.966666660970077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16:12:21-0600',mode:absolute,to:'2016-10-21 18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3" s="52" t="str">
        <f t="shared" si="25"/>
        <v>N</v>
      </c>
      <c r="X123" s="171">
        <f t="shared" si="26"/>
        <v>1</v>
      </c>
      <c r="Y123" s="67">
        <f t="shared" si="27"/>
        <v>4.4900000000000002E-2</v>
      </c>
      <c r="Z123" s="67">
        <f t="shared" si="28"/>
        <v>23.330100000000002</v>
      </c>
      <c r="AA123" s="67">
        <f t="shared" si="29"/>
        <v>23.285200000000003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0209-21</v>
      </c>
      <c r="AE123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23" s="88" t="str">
        <f t="shared" si="32"/>
        <v>"C:\Program Files (x86)\AstroGrep\AstroGrep.exe" /spath="%USERPROFILE%\AppData\Local\Temp\OnboardLogs" /stypes="app*4014*20161021*" /stext=" 23:.+((SYSTEM_STATE.+slice.+state.+changed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209-21 --locoid 4014 --swversion DE.1.0.7.0 --startMP 204:449 --initTime 2016-10-21T17:12:21 --startdatetime 2016-10-21T17:15:30 --delay 1 --endMP 204:233301 --enddatetime 2016-10-21T17:51:28 --enforcementcount 0 &gt;&gt;C:\Users\stu\Documents\GitHub\eaglep3-reporting\EC\2016-10-21-refined-times.txt</v>
      </c>
      <c r="AI12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ID","value":"209-21"},{"id":16,"name":"Locomotive ID","value":"4014"},{"id":130,"name":"Impact","value":""},{"id":150,"name":"Time of Event (Mountain Time)","value":"17:51:28"},{"id":151,"name":"Denver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</row>
    <row r="124" spans="1:91" s="21" customFormat="1" x14ac:dyDescent="0.25">
      <c r="A124" s="37" t="s">
        <v>569</v>
      </c>
      <c r="B124" s="7">
        <v>4013</v>
      </c>
      <c r="C124" s="22" t="s">
        <v>99</v>
      </c>
      <c r="D124" s="22" t="s">
        <v>683</v>
      </c>
      <c r="E124" s="13">
        <v>42664.753692129627</v>
      </c>
      <c r="F124" s="13">
        <v>42664.757951388892</v>
      </c>
      <c r="G124" s="7">
        <v>1</v>
      </c>
      <c r="H124" s="13" t="s">
        <v>239</v>
      </c>
      <c r="I124" s="13">
        <v>42664.788090277776</v>
      </c>
      <c r="J124" s="7">
        <v>0</v>
      </c>
      <c r="K124" s="112" t="str">
        <f t="shared" si="19"/>
        <v>4013/4014</v>
      </c>
      <c r="L124" s="22" t="str">
        <f>VLOOKUP(A124,'Trips&amp;Operators'!$C$1:$E$10000,3,FALSE)</f>
        <v>ADANE</v>
      </c>
      <c r="M124" s="6">
        <f t="shared" si="20"/>
        <v>3.0138888883811887E-2</v>
      </c>
      <c r="N124" s="7">
        <f t="shared" si="21"/>
        <v>43.399999992689118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17:05:19-0600',mode:absolute,to:'2016-10-21 19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4" s="52" t="str">
        <f t="shared" si="25"/>
        <v>N</v>
      </c>
      <c r="X124" s="171">
        <f t="shared" si="26"/>
        <v>1</v>
      </c>
      <c r="Y124" s="67">
        <f t="shared" si="27"/>
        <v>23.296299999999999</v>
      </c>
      <c r="Z124" s="67">
        <f t="shared" si="28"/>
        <v>1.6E-2</v>
      </c>
      <c r="AA124" s="67">
        <f t="shared" si="29"/>
        <v>23.2803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0210-21</v>
      </c>
      <c r="AE124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24" s="88" t="str">
        <f t="shared" si="32"/>
        <v>"C:\Program Files (x86)\AstroGrep\AstroGrep.exe" /spath="%USERPROFILE%\AppData\Local\Temp\OnboardLogs" /stypes="app*4013*20161022*" /stext=" 00:.+((SYSTEM_STATE.+slice.+state.+changed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210-21 --locoid 4013 --swversion DE.1.0.7.0 --startMP 204:232963 --initTime 2016-10-21T18:05:19 --startdatetime 2016-10-21T18:11:27 --delay 1 --endMP 204:160 --enddatetime 2016-10-21T18:54:51 --enforcementcount 0 &gt;&gt;C:\Users\stu\Documents\GitHub\eaglep3-reporting\EC\2016-10-21-refined-times.txt</v>
      </c>
      <c r="AI12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ID","value":"210-21"},{"id":16,"name":"Locomotive ID","value":"4013"},{"id":130,"name":"Impact","value":""},{"id":150,"name":"Time of Event (Mountain Time)","value":"18:54:51"},{"id":151,"name":"Denver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564</v>
      </c>
      <c r="B125" s="7">
        <v>4038</v>
      </c>
      <c r="C125" s="22" t="s">
        <v>99</v>
      </c>
      <c r="D125" s="22" t="s">
        <v>229</v>
      </c>
      <c r="E125" s="13">
        <v>42664.724895833337</v>
      </c>
      <c r="F125" s="13">
        <v>42664.729351851849</v>
      </c>
      <c r="G125" s="7">
        <v>1</v>
      </c>
      <c r="H125" s="13" t="s">
        <v>684</v>
      </c>
      <c r="I125" s="13">
        <v>42664.754953703705</v>
      </c>
      <c r="J125" s="7">
        <v>0</v>
      </c>
      <c r="K125" s="112" t="str">
        <f t="shared" si="19"/>
        <v>4037/4038</v>
      </c>
      <c r="L125" s="22" t="str">
        <f>VLOOKUP(A125,'Trips&amp;Operators'!$C$1:$E$10000,3,FALSE)</f>
        <v>SHOOK</v>
      </c>
      <c r="M125" s="6">
        <f t="shared" si="20"/>
        <v>2.5601851855753921E-2</v>
      </c>
      <c r="N125" s="7">
        <f t="shared" si="21"/>
        <v>36.866666672285646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16:23:51-0600',mode:absolute,to:'2016-10-21 19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5" s="52" t="str">
        <f t="shared" si="25"/>
        <v>N</v>
      </c>
      <c r="X125" s="171">
        <f t="shared" si="26"/>
        <v>1</v>
      </c>
      <c r="Y125" s="67">
        <f t="shared" si="27"/>
        <v>4.53E-2</v>
      </c>
      <c r="Z125" s="67">
        <f t="shared" si="28"/>
        <v>23.336400000000001</v>
      </c>
      <c r="AA125" s="67">
        <f t="shared" si="29"/>
        <v>23.2911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0211-21</v>
      </c>
      <c r="AE125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125" s="88" t="str">
        <f t="shared" si="32"/>
        <v>"C:\Program Files (x86)\AstroGrep\AstroGrep.exe" /spath="%USERPROFILE%\AppData\Local\Temp\OnboardLogs" /stypes="app*4038*20161022*" /stext=" 00:.+((SYSTEM_STATE.+slice.+state.+changed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211-21 --locoid 4038 --swversion DE.1.0.7.0 --startMP 204:453 --initTime 2016-10-21T17:23:51 --startdatetime 2016-10-21T17:30:16 --delay 1 --endMP 204:233364 --enddatetime 2016-10-21T18:07:08 --enforcementcount 0 &gt;&gt;C:\Users\stu\Documents\GitHub\eaglep3-reporting\EC\2016-10-21-refined-times.txt</v>
      </c>
      <c r="AI12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{"issue":{"subject":"","project_id":79,"tracker_id":40,"status_id":1,"priority_id":2,"assigned_to_id":23,"start_date":"2016-10-21","description":"","custom_fields":[{"id":1,"name":"Subdivision","value":"EC"},{"id":4,"name":"Milepost","value":"23.3364"},{"id":17,"name":"Train ID","value":"211-21"},{"id":16,"name":"Locomotive ID","value":"4038"},{"id":130,"name":"Impact","value":""},{"id":150,"name":"Time of Event (Mountain Time)","value":"18:07:08"},{"id":151,"name":"Denver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572</v>
      </c>
      <c r="B126" s="7">
        <v>4037</v>
      </c>
      <c r="C126" s="22" t="s">
        <v>99</v>
      </c>
      <c r="D126" s="22" t="s">
        <v>685</v>
      </c>
      <c r="E126" s="13">
        <v>42664.762569444443</v>
      </c>
      <c r="F126" s="13">
        <v>42664.768252314818</v>
      </c>
      <c r="G126" s="7">
        <v>1</v>
      </c>
      <c r="H126" s="13" t="s">
        <v>686</v>
      </c>
      <c r="I126" s="13">
        <v>42664.795844907407</v>
      </c>
      <c r="J126" s="7">
        <v>0</v>
      </c>
      <c r="K126" s="112" t="str">
        <f t="shared" si="19"/>
        <v>4037/4038</v>
      </c>
      <c r="L126" s="22" t="str">
        <f>VLOOKUP(A126,'Trips&amp;Operators'!$C$1:$E$10000,3,FALSE)</f>
        <v>SHOOK</v>
      </c>
      <c r="M126" s="6">
        <f t="shared" si="20"/>
        <v>2.7592592588916887E-2</v>
      </c>
      <c r="N126" s="7">
        <f t="shared" si="21"/>
        <v>39.733333328040317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17:18:06-0600',mode:absolute,to:'2016-10-21 20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6" s="52" t="str">
        <f t="shared" si="25"/>
        <v>N</v>
      </c>
      <c r="X126" s="171">
        <f t="shared" si="26"/>
        <v>1</v>
      </c>
      <c r="Y126" s="67">
        <f t="shared" si="27"/>
        <v>23.305700000000002</v>
      </c>
      <c r="Z126" s="67">
        <f t="shared" si="28"/>
        <v>9.2100000000000001E-2</v>
      </c>
      <c r="AA126" s="67">
        <f t="shared" si="29"/>
        <v>23.213600000000003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0212-21</v>
      </c>
      <c r="AE126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126" s="88" t="str">
        <f t="shared" si="32"/>
        <v>"C:\Program Files (x86)\AstroGrep\AstroGrep.exe" /spath="%USERPROFILE%\AppData\Local\Temp\OnboardLogs" /stypes="app*4037*20161022*"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212-21 --locoid 4037 --swversion DE.1.0.7.0 --startMP 204:233057 --initTime 2016-10-21T18:18:06 --startdatetime 2016-10-21T18:26:17 --delay 1 --endMP 204:921 --enddatetime 2016-10-21T19:06:01 --enforcementcount 0 &gt;&gt;C:\Users\stu\Documents\GitHub\eaglep3-reporting\EC\2016-10-21-refined-times.txt</v>
      </c>
      <c r="AI12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{"issue":{"subject":"","project_id":79,"tracker_id":40,"status_id":1,"priority_id":2,"assigned_to_id":23,"start_date":"2016-10-21","description":"","custom_fields":[{"id":1,"name":"Subdivision","value":"EC"},{"id":4,"name":"Milepost","value":"0.0921"},{"id":17,"name":"Train ID","value":"212-21"},{"id":16,"name":"Locomotive ID","value":"4037"},{"id":130,"name":"Impact","value":""},{"id":150,"name":"Time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567</v>
      </c>
      <c r="B127" s="7">
        <v>4016</v>
      </c>
      <c r="C127" s="22" t="s">
        <v>99</v>
      </c>
      <c r="D127" s="22" t="s">
        <v>266</v>
      </c>
      <c r="E127" s="13">
        <v>42664.736909722225</v>
      </c>
      <c r="F127" s="13">
        <v>42664.739849537036</v>
      </c>
      <c r="G127" s="7">
        <v>3</v>
      </c>
      <c r="H127" s="13" t="s">
        <v>687</v>
      </c>
      <c r="I127" s="13">
        <v>42664.764074074075</v>
      </c>
      <c r="J127" s="7">
        <v>0</v>
      </c>
      <c r="K127" s="112" t="str">
        <f t="shared" si="19"/>
        <v>4015/4016</v>
      </c>
      <c r="L127" s="22" t="str">
        <f>VLOOKUP(A127,'Trips&amp;Operators'!$C$1:$E$10000,3,FALSE)</f>
        <v>YANAI</v>
      </c>
      <c r="M127" s="6">
        <f t="shared" si="20"/>
        <v>2.4224537039117422E-2</v>
      </c>
      <c r="N127" s="7">
        <f t="shared" si="21"/>
        <v>34.883333336329088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16:41:09-0600',mode:absolute,to:'2016-10-21 19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7" s="52" t="str">
        <f t="shared" si="25"/>
        <v>N</v>
      </c>
      <c r="X127" s="171">
        <f t="shared" si="26"/>
        <v>1</v>
      </c>
      <c r="Y127" s="67">
        <f t="shared" si="27"/>
        <v>4.4400000000000002E-2</v>
      </c>
      <c r="Z127" s="67">
        <f t="shared" si="28"/>
        <v>23.328800000000001</v>
      </c>
      <c r="AA127" s="67">
        <f t="shared" si="29"/>
        <v>23.284400000000002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0213-21</v>
      </c>
      <c r="AE127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27" s="88" t="str">
        <f t="shared" si="32"/>
        <v>"C:\Program Files (x86)\AstroGrep\AstroGrep.exe" /spath="%USERPROFILE%\AppData\Local\Temp\OnboardLogs" /stypes="app*4016*20161022*" /stext=" 00:.+((SYSTEM_STATE.+slice.+state.+changed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213-21 --locoid 4016 --swversion DE.1.0.7.0 --startMP 204:444 --initTime 2016-10-21T17:41:09 --startdatetime 2016-10-21T17:45:23 --delay 3 --endMP 204:233288 --enddatetime 2016-10-21T18:20:16 --enforcementcount 0 &gt;&gt;C:\Users\stu\Documents\GitHub\eaglep3-reporting\EC\2016-10-21-refined-times.txt</v>
      </c>
      <c r="AI12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{"issue":{"subject":"","project_id":79,"tracker_id":40,"status_id":1,"priority_id":2,"assigned_to_id":23,"start_date":"2016-10-21","description":"","custom_fields":[{"id":1,"name":"Subdivision","value":"EC"},{"id":4,"name":"Milepost","value":"23.3288"},{"id":17,"name":"Train ID","value":"213-21"},{"id":16,"name":"Locomotive ID","value":"4016"},{"id":130,"name":"Impact","value":""},{"id":150,"name":"Time of Event (Mountain Time)","value":"18:20:16"},{"id":151,"name":"Denver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573</v>
      </c>
      <c r="B128" s="7">
        <v>4015</v>
      </c>
      <c r="C128" s="22" t="s">
        <v>99</v>
      </c>
      <c r="D128" s="22" t="s">
        <v>257</v>
      </c>
      <c r="E128" s="13">
        <v>42664.765300925923</v>
      </c>
      <c r="F128" s="13">
        <v>42664.778715277775</v>
      </c>
      <c r="G128" s="7">
        <v>1</v>
      </c>
      <c r="H128" s="13" t="s">
        <v>177</v>
      </c>
      <c r="I128" s="13">
        <v>42664.804618055554</v>
      </c>
      <c r="J128" s="7">
        <v>0</v>
      </c>
      <c r="K128" s="112" t="str">
        <f t="shared" si="19"/>
        <v>4015/4016</v>
      </c>
      <c r="L128" s="22" t="str">
        <f>VLOOKUP(A128,'Trips&amp;Operators'!$C$1:$E$10000,3,FALSE)</f>
        <v>YANAI</v>
      </c>
      <c r="M128" s="6">
        <f t="shared" si="20"/>
        <v>2.5902777779265307E-2</v>
      </c>
      <c r="N128" s="7">
        <f t="shared" si="21"/>
        <v>37.300000002142042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17:22:02-0600',mode:absolute,to:'2016-10-21 20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8" s="52" t="str">
        <f t="shared" si="25"/>
        <v>N</v>
      </c>
      <c r="X128" s="171">
        <f t="shared" si="26"/>
        <v>1</v>
      </c>
      <c r="Y128" s="67">
        <f t="shared" si="27"/>
        <v>23.297699999999999</v>
      </c>
      <c r="Z128" s="67">
        <f t="shared" si="28"/>
        <v>1.52E-2</v>
      </c>
      <c r="AA128" s="67">
        <f t="shared" si="29"/>
        <v>23.282499999999999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0214-21</v>
      </c>
      <c r="AE128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28" s="88" t="str">
        <f t="shared" si="32"/>
        <v>"C:\Program Files (x86)\AstroGrep\AstroGrep.exe" /spath="%USERPROFILE%\AppData\Local\Temp\OnboardLogs" /stypes="app*4015*20161022*" /stext=" 01:.+((SYSTEM_STATE.+slice.+state.+changed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214-21 --locoid 4015 --swversion DE.1.0.7.0 --startMP 204:232977 --initTime 2016-10-21T18:22:02 --startdatetime 2016-10-21T18:41:21 --delay 1 --endMP 204:152 --enddatetime 2016-10-21T19:18:39 --enforcementcount 0 &gt;&gt;C:\Users\stu\Documents\GitHub\eaglep3-reporting\EC\2016-10-21-refined-times.txt</v>
      </c>
      <c r="AI12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ID","value":"214-21"},{"id":16,"name":"Locomotive ID","value":"4015"},{"id":130,"name":"Impact","value":""},{"id":150,"name":"Time of Event (Mountain Time)","value":"19:18:39"},{"id":151,"name":"Denver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568</v>
      </c>
      <c r="B129" s="7">
        <v>4042</v>
      </c>
      <c r="C129" s="22" t="s">
        <v>99</v>
      </c>
      <c r="D129" s="22" t="s">
        <v>320</v>
      </c>
      <c r="E129" s="13">
        <v>42664.748900462961</v>
      </c>
      <c r="F129" s="13">
        <v>42664.750648148147</v>
      </c>
      <c r="G129" s="7">
        <v>2</v>
      </c>
      <c r="H129" s="13" t="s">
        <v>688</v>
      </c>
      <c r="I129" s="13">
        <v>42664.775694444441</v>
      </c>
      <c r="J129" s="7">
        <v>0</v>
      </c>
      <c r="K129" s="112" t="str">
        <f t="shared" si="19"/>
        <v>4041/4042</v>
      </c>
      <c r="L129" s="22" t="str">
        <f>VLOOKUP(A129,'Trips&amp;Operators'!$C$1:$E$10000,3,FALSE)</f>
        <v>STORY</v>
      </c>
      <c r="M129" s="6">
        <f t="shared" si="20"/>
        <v>2.5046296294021886E-2</v>
      </c>
      <c r="N129" s="7">
        <f t="shared" si="21"/>
        <v>36.066666663391516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16:58:25-0600',mode:absolute,to:'2016-10-21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25"/>
        <v>N</v>
      </c>
      <c r="X129" s="171">
        <f t="shared" si="26"/>
        <v>1</v>
      </c>
      <c r="Y129" s="67">
        <f t="shared" si="27"/>
        <v>4.6199999999999998E-2</v>
      </c>
      <c r="Z129" s="67">
        <f t="shared" si="28"/>
        <v>23.3323</v>
      </c>
      <c r="AA129" s="67">
        <f t="shared" si="29"/>
        <v>23.286100000000001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0"/>
        <v>0215-21</v>
      </c>
      <c r="AE129" s="91" t="str">
        <f t="shared" si="31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29" s="88" t="str">
        <f t="shared" si="32"/>
        <v>"C:\Program Files (x86)\AstroGrep\AstroGrep.exe" /spath="%USERPROFILE%\AppData\Local\Temp\OnboardLogs" /stypes="app*4042*20161022*" /stext=" 00:.+((SYSTEM_STATE.+slice.+state.+changed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215-21 --locoid 4042 --swversion DE.1.0.7.0 --startMP 204:462 --initTime 2016-10-21T17:58:25 --startdatetime 2016-10-21T18:00:56 --delay 2 --endMP 204:233323 --enddatetime 2016-10-21T18:37:00 --enforcementcount 0 &gt;&gt;C:\Users\stu\Documents\GitHub\eaglep3-reporting\EC\2016-10-21-refined-times.txt</v>
      </c>
      <c r="AI12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{"issue":{"subject":"","project_id":79,"tracker_id":40,"status_id":1,"priority_id":2,"assigned_to_id":23,"start_date":"2016-10-21","description":"","custom_fields":[{"id":1,"name":"Subdivision","value":"EC"},{"id":4,"name":"Milepost","value":"23.3323"},{"id":17,"name":"Train ID","value":"215-21"},{"id":16,"name":"Locomotive ID","value":"4042"},{"id":130,"name":"Impact","value":""},{"id":150,"name":"Time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433</v>
      </c>
      <c r="B130" s="7">
        <v>4041</v>
      </c>
      <c r="C130" s="22" t="s">
        <v>99</v>
      </c>
      <c r="D130" s="22" t="s">
        <v>262</v>
      </c>
      <c r="E130" s="13">
        <v>42664.782858796294</v>
      </c>
      <c r="F130" s="13">
        <v>42664.7890625</v>
      </c>
      <c r="G130" s="7">
        <v>3</v>
      </c>
      <c r="H130" s="13" t="s">
        <v>689</v>
      </c>
      <c r="I130" s="13">
        <v>42664.817118055558</v>
      </c>
      <c r="J130" s="7">
        <v>0</v>
      </c>
      <c r="K130" s="112" t="str">
        <f t="shared" si="19"/>
        <v>4041/4042</v>
      </c>
      <c r="L130" s="22" t="str">
        <f>VLOOKUP(A130,'Trips&amp;Operators'!$C$1:$E$10000,3,FALSE)</f>
        <v>STORY</v>
      </c>
      <c r="M130" s="6">
        <f t="shared" si="20"/>
        <v>2.8055555558239575E-2</v>
      </c>
      <c r="N130" s="7">
        <f t="shared" si="21"/>
        <v>40.400000003864989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17:47:19-0600',mode:absolute,to:'2016-10-21 20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25"/>
        <v>N</v>
      </c>
      <c r="X130" s="171">
        <f t="shared" si="26"/>
        <v>1</v>
      </c>
      <c r="Y130" s="67">
        <f t="shared" si="27"/>
        <v>23.299099999999999</v>
      </c>
      <c r="Z130" s="67">
        <f t="shared" si="28"/>
        <v>9.7799999999999998E-2</v>
      </c>
      <c r="AA130" s="67">
        <f t="shared" si="29"/>
        <v>23.2013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0216-21</v>
      </c>
      <c r="AE130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30" s="88" t="str">
        <f t="shared" si="32"/>
        <v>"C:\Program Files (x86)\AstroGrep\AstroGrep.exe" /spath="%USERPROFILE%\AppData\Local\Temp\OnboardLogs" /stypes="app*4041*20161022*" /stext=" 01:.+((SYSTEM_STATE.+slice.+state.+changed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216-21 --locoid 4041 --swversion DE.1.0.7.0 --startMP 204:232991 --initTime 2016-10-21T18:47:19 --startdatetime 2016-10-21T18:56:15 --delay 3 --endMP 204:978 --enddatetime 2016-10-21T19:36:39 --enforcementcount 0 &gt;&gt;C:\Users\stu\Documents\GitHub\eaglep3-reporting\EC\2016-10-21-refined-times.txt</v>
      </c>
      <c r="AI13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{"issue":{"subject":"","project_id":79,"tracker_id":40,"status_id":1,"priority_id":2,"assigned_to_id":23,"start_date":"2016-10-21","description":"","custom_fields":[{"id":1,"name":"Subdivision","value":"EC"},{"id":4,"name":"Milepost","value":"0.0978"},{"id":17,"name":"Train ID","value":"216-21"},{"id":16,"name":"Locomotive ID","value":"4041"},{"id":130,"name":"Impact","value":""},{"id":150,"name":"Time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571</v>
      </c>
      <c r="B131" s="7">
        <v>4027</v>
      </c>
      <c r="C131" s="22" t="s">
        <v>99</v>
      </c>
      <c r="D131" s="22" t="s">
        <v>237</v>
      </c>
      <c r="E131" s="13">
        <v>42664.759687500002</v>
      </c>
      <c r="F131" s="13">
        <v>42664.761018518519</v>
      </c>
      <c r="G131" s="7">
        <v>1</v>
      </c>
      <c r="H131" s="13" t="s">
        <v>259</v>
      </c>
      <c r="I131" s="13">
        <v>42664.785949074074</v>
      </c>
      <c r="J131" s="7">
        <v>0</v>
      </c>
      <c r="K131" s="112" t="str">
        <f t="shared" si="19"/>
        <v>4027/4028</v>
      </c>
      <c r="L131" s="22" t="str">
        <f>VLOOKUP(A131,'Trips&amp;Operators'!$C$1:$E$10000,3,FALSE)</f>
        <v>CHANDLER</v>
      </c>
      <c r="M131" s="6">
        <f t="shared" si="20"/>
        <v>2.4930555555329192E-2</v>
      </c>
      <c r="N131" s="7">
        <f t="shared" si="21"/>
        <v>35.899999999674037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17:13:57-0600',mode:absolute,to:'2016-10-21 19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1" s="52" t="str">
        <f t="shared" si="25"/>
        <v>N</v>
      </c>
      <c r="X131" s="171">
        <f t="shared" si="26"/>
        <v>1</v>
      </c>
      <c r="Y131" s="67">
        <f t="shared" si="27"/>
        <v>4.4600000000000001E-2</v>
      </c>
      <c r="Z131" s="67">
        <f t="shared" si="28"/>
        <v>23.330100000000002</v>
      </c>
      <c r="AA131" s="67">
        <f t="shared" si="29"/>
        <v>23.285500000000003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0217-21</v>
      </c>
      <c r="AE131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31" s="88" t="str">
        <f t="shared" si="32"/>
        <v>"C:\Program Files (x86)\AstroGrep\AstroGrep.exe" /spath="%USERPROFILE%\AppData\Local\Temp\OnboardLogs" /stypes="app*4027*20161022*" /stext=" 00:.+((SYSTEM_STATE.+slice.+state.+changed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217-21 --locoid 4027 --swversion DE.1.0.7.0 --startMP 204:446 --initTime 2016-10-21T18:13:57 --startdatetime 2016-10-21T18:15:52 --delay 1 --endMP 204:233301 --enddatetime 2016-10-21T18:51:46 --enforcementcount 0 &gt;&gt;C:\Users\stu\Documents\GitHub\eaglep3-reporting\EC\2016-10-21-refined-times.txt</v>
      </c>
      <c r="AI13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ID","value":"217-21"},{"id":16,"name":"Locomotive ID","value":"4027"},{"id":130,"name":"Impact","value":""},{"id":150,"name":"Time of Event (Mountain Time)","value":"18:51:46"},{"id":151,"name":"Denver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580</v>
      </c>
      <c r="B132" s="7">
        <v>4028</v>
      </c>
      <c r="C132" s="22" t="s">
        <v>99</v>
      </c>
      <c r="D132" s="22" t="s">
        <v>690</v>
      </c>
      <c r="E132" s="13">
        <v>42664.7971412037</v>
      </c>
      <c r="F132" s="13">
        <v>42664.799745370372</v>
      </c>
      <c r="G132" s="7">
        <v>1</v>
      </c>
      <c r="H132" s="13" t="s">
        <v>177</v>
      </c>
      <c r="I132" s="13">
        <v>42664.828472222223</v>
      </c>
      <c r="J132" s="7">
        <v>0</v>
      </c>
      <c r="K132" s="112" t="str">
        <f t="shared" si="19"/>
        <v>4027/4028</v>
      </c>
      <c r="L132" s="22" t="str">
        <f>VLOOKUP(A132,'Trips&amp;Operators'!$C$1:$E$10000,3,FALSE)</f>
        <v>CHANDLER</v>
      </c>
      <c r="M132" s="6">
        <f t="shared" si="20"/>
        <v>2.8726851851388346E-2</v>
      </c>
      <c r="N132" s="7">
        <f t="shared" si="21"/>
        <v>41.366666665999219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18:07:53-0600',mode:absolute,to:'2016-10-21 20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2" s="52" t="str">
        <f t="shared" si="25"/>
        <v>N</v>
      </c>
      <c r="X132" s="171">
        <f t="shared" si="26"/>
        <v>1</v>
      </c>
      <c r="Y132" s="67">
        <f t="shared" si="27"/>
        <v>23.296900000000001</v>
      </c>
      <c r="Z132" s="67">
        <f t="shared" si="28"/>
        <v>1.52E-2</v>
      </c>
      <c r="AA132" s="67">
        <f t="shared" si="29"/>
        <v>23.281700000000001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0218-21</v>
      </c>
      <c r="AE132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32" s="88" t="str">
        <f t="shared" si="32"/>
        <v>"C:\Program Files (x86)\AstroGrep\AstroGrep.exe" /spath="%USERPROFILE%\AppData\Local\Temp\OnboardLogs" /stypes="app*4028*20161022*" /stext=" 01:.+((SYSTEM_STATE.+slice.+state.+changed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218-21 --locoid 4028 --swversion DE.1.0.7.0 --startMP 204:232969 --initTime 2016-10-21T19:07:53 --startdatetime 2016-10-21T19:11:38 --delay 1 --endMP 204:152 --enddatetime 2016-10-21T19:53:00 --enforcementcount 0 &gt;&gt;C:\Users\stu\Documents\GitHub\eaglep3-reporting\EC\2016-10-21-refined-times.txt</v>
      </c>
      <c r="AI13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ID","value":"218-21"},{"id":16,"name":"Locomotive ID","value":"4028"},{"id":130,"name":"Impact","value":""},{"id":150,"name":"Time of Event (Mountain Time)","value":"19:53:00"},{"id":151,"name":"Denver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574</v>
      </c>
      <c r="B133" s="7">
        <v>4009</v>
      </c>
      <c r="C133" s="22" t="s">
        <v>99</v>
      </c>
      <c r="D133" s="22" t="s">
        <v>235</v>
      </c>
      <c r="E133" s="13">
        <v>42664.766631944447</v>
      </c>
      <c r="F133" s="13">
        <v>42664.771203703705</v>
      </c>
      <c r="G133" s="7">
        <v>1</v>
      </c>
      <c r="H133" s="13" t="s">
        <v>195</v>
      </c>
      <c r="I133" s="13">
        <v>42664.797256944446</v>
      </c>
      <c r="J133" s="7">
        <v>0</v>
      </c>
      <c r="K133" s="112" t="str">
        <f t="shared" si="19"/>
        <v>4009/4010</v>
      </c>
      <c r="L133" s="22" t="str">
        <f>VLOOKUP(A133,'Trips&amp;Operators'!$C$1:$E$10000,3,FALSE)</f>
        <v>STURGEON</v>
      </c>
      <c r="M133" s="6">
        <f t="shared" si="20"/>
        <v>2.6053240741021E-2</v>
      </c>
      <c r="N133" s="7">
        <f t="shared" si="21"/>
        <v>37.51666666707024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17:23:57-0600',mode:absolute,to:'2016-10-21 20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3" s="52" t="str">
        <f t="shared" si="25"/>
        <v>N</v>
      </c>
      <c r="X133" s="171">
        <f t="shared" si="26"/>
        <v>1</v>
      </c>
      <c r="Y133" s="67">
        <f t="shared" si="27"/>
        <v>4.6600000000000003E-2</v>
      </c>
      <c r="Z133" s="67">
        <f t="shared" si="28"/>
        <v>23.329699999999999</v>
      </c>
      <c r="AA133" s="67">
        <f t="shared" si="29"/>
        <v>23.283099999999997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0219-21</v>
      </c>
      <c r="AE133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33" s="88" t="str">
        <f t="shared" si="32"/>
        <v>"C:\Program Files (x86)\AstroGrep\AstroGrep.exe" /spath="%USERPROFILE%\AppData\Local\Temp\OnboardLogs" /stypes="app*4009*20161022*" /stext=" 01:.+((SYSTEM_STATE.+slice.+state.+changed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219-21 --locoid 4009 --swversion DE.1.0.7.0 --startMP 204:466 --initTime 2016-10-21T18:23:57 --startdatetime 2016-10-21T18:30:32 --delay 1 --endMP 204:233297 --enddatetime 2016-10-21T19:08:03 --enforcementcount 0 &gt;&gt;C:\Users\stu\Documents\GitHub\eaglep3-reporting\EC\2016-10-21-refined-times.txt</v>
      </c>
      <c r="AI13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{"issue":{"subject":"","project_id":79,"tracker_id":40,"status_id":1,"priority_id":2,"assigned_to_id":23,"start_date":"2016-10-21","description":"","custom_fields":[{"id":1,"name":"Subdivision","value":"EC"},{"id":4,"name":"Milepost","value":"23.3297"},{"id":17,"name":"Train ID","value":"219-21"},{"id":16,"name":"Locomotive ID","value":"4009"},{"id":130,"name":"Impact","value":""},{"id":150,"name":"Time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582</v>
      </c>
      <c r="B134" s="7">
        <v>4010</v>
      </c>
      <c r="C134" s="22" t="s">
        <v>99</v>
      </c>
      <c r="D134" s="22" t="s">
        <v>274</v>
      </c>
      <c r="E134" s="13">
        <v>42664.802604166667</v>
      </c>
      <c r="F134" s="13">
        <v>42664.809953703705</v>
      </c>
      <c r="G134" s="7">
        <v>1</v>
      </c>
      <c r="H134" s="13" t="s">
        <v>356</v>
      </c>
      <c r="I134" s="13">
        <v>42664.841134259259</v>
      </c>
      <c r="J134" s="7">
        <v>0</v>
      </c>
      <c r="K134" s="112" t="str">
        <f t="shared" si="19"/>
        <v>4009/4010</v>
      </c>
      <c r="L134" s="22" t="str">
        <f>VLOOKUP(A134,'Trips&amp;Operators'!$C$1:$E$10000,3,FALSE)</f>
        <v>STURGEON</v>
      </c>
      <c r="M134" s="6">
        <f t="shared" si="20"/>
        <v>3.1180555553874001E-2</v>
      </c>
      <c r="N134" s="7">
        <f t="shared" si="21"/>
        <v>44.899999997578561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18:15:45-0600',mode:absolute,to:'2016-10-21 21:11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4" s="52" t="str">
        <f t="shared" si="25"/>
        <v>N</v>
      </c>
      <c r="X134" s="171">
        <f t="shared" si="26"/>
        <v>1</v>
      </c>
      <c r="Y134" s="67">
        <f t="shared" si="27"/>
        <v>23.298100000000002</v>
      </c>
      <c r="Z134" s="67">
        <f t="shared" si="28"/>
        <v>1.6299999999999999E-2</v>
      </c>
      <c r="AA134" s="67">
        <f t="shared" si="29"/>
        <v>23.2818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0220-21</v>
      </c>
      <c r="AE134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34" s="88" t="str">
        <f t="shared" si="32"/>
        <v>"C:\Program Files (x86)\AstroGrep\AstroGrep.exe" /spath="%USERPROFILE%\AppData\Local\Temp\OnboardLogs" /stypes="app*4010*20161022*"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220-21 --locoid 4010 --swversion DE.1.0.7.0 --startMP 204:232981 --initTime 2016-10-21T19:15:45 --startdatetime 2016-10-21T19:26:20 --delay 1 --endMP 204:163 --enddatetime 2016-10-21T20:11:14 --enforcementcount 0 &gt;&gt;C:\Users\stu\Documents\GitHub\eaglep3-reporting\EC\2016-10-21-refined-times.txt</v>
      </c>
      <c r="AI13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ID","value":"220-21"},{"id":16,"name":"Locomotive ID","value":"4010"},{"id":130,"name":"Impact","value":""},{"id":150,"name":"Time of Event (Mountain Time)","value":"20:11:14"},{"id":151,"name":"Denver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578</v>
      </c>
      <c r="B135" s="7">
        <v>4014</v>
      </c>
      <c r="C135" s="22" t="s">
        <v>99</v>
      </c>
      <c r="D135" s="22" t="s">
        <v>223</v>
      </c>
      <c r="E135" s="13">
        <v>42664.789953703701</v>
      </c>
      <c r="F135" s="13">
        <v>42664.794687499998</v>
      </c>
      <c r="G135" s="7">
        <v>2</v>
      </c>
      <c r="H135" s="13" t="s">
        <v>353</v>
      </c>
      <c r="I135" s="13">
        <v>42664.820520833331</v>
      </c>
      <c r="J135" s="7">
        <v>0</v>
      </c>
      <c r="K135" s="112" t="str">
        <f t="shared" si="19"/>
        <v>4013/4014</v>
      </c>
      <c r="L135" s="22" t="str">
        <f>VLOOKUP(A135,'Trips&amp;Operators'!$C$1:$E$10000,3,FALSE)</f>
        <v>YOUNG</v>
      </c>
      <c r="M135" s="6">
        <f t="shared" si="20"/>
        <v>2.5833333333139308E-2</v>
      </c>
      <c r="N135" s="7">
        <f t="shared" si="21"/>
        <v>37.199999999720603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17:57:32-0600',mode:absolute,to:'2016-10-21 20:41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5" s="52" t="str">
        <f t="shared" si="25"/>
        <v>N</v>
      </c>
      <c r="X135" s="171">
        <f t="shared" si="26"/>
        <v>1</v>
      </c>
      <c r="Y135" s="67">
        <f t="shared" si="27"/>
        <v>4.58E-2</v>
      </c>
      <c r="Z135" s="67">
        <f t="shared" si="28"/>
        <v>23.331600000000002</v>
      </c>
      <c r="AA135" s="67">
        <f t="shared" si="29"/>
        <v>23.285800000000002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0221-21</v>
      </c>
      <c r="AE135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35" s="88" t="str">
        <f t="shared" si="32"/>
        <v>"C:\Program Files (x86)\AstroGrep\AstroGrep.exe" /spath="%USERPROFILE%\AppData\Local\Temp\OnboardLogs" /stypes="app*4014*20161022*" /stext=" 01:.+((SYSTEM_STATE.+slice.+state.+changed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221-21 --locoid 4014 --swversion DE.1.0.7.0 --startMP 204:458 --initTime 2016-10-21T18:57:32 --startdatetime 2016-10-21T19:04:21 --delay 2 --endMP 204:233316 --enddatetime 2016-10-21T19:41:33 --enforcementcount 0 &gt;&gt;C:\Users\stu\Documents\GitHub\eaglep3-reporting\EC\2016-10-21-refined-times.txt</v>
      </c>
      <c r="AI13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{"issue":{"subject":"","project_id":79,"tracker_id":40,"status_id":1,"priority_id":2,"assigned_to_id":23,"start_date":"2016-10-21","description":"","custom_fields":[{"id":1,"name":"Subdivision","value":"EC"},{"id":4,"name":"Milepost","value":"23.3316"},{"id":17,"name":"Train ID","value":"221-21"},{"id":16,"name":"Locomotive ID","value":"4014"},{"id":130,"name":"Impact","value":""},{"id":150,"name":"Time of Event (Mountain Time)","value":"19:41:33"},{"id":151,"name":"Denver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587</v>
      </c>
      <c r="B136" s="7">
        <v>4013</v>
      </c>
      <c r="C136" s="22" t="s">
        <v>99</v>
      </c>
      <c r="D136" s="22" t="s">
        <v>318</v>
      </c>
      <c r="E136" s="13">
        <v>42664.827002314814</v>
      </c>
      <c r="F136" s="13">
        <v>42664.914571759262</v>
      </c>
      <c r="G136" s="7">
        <v>1</v>
      </c>
      <c r="H136" s="13" t="s">
        <v>224</v>
      </c>
      <c r="I136" s="13">
        <v>42664.944166666668</v>
      </c>
      <c r="J136" s="7">
        <v>0</v>
      </c>
      <c r="K136" s="112" t="str">
        <f t="shared" si="19"/>
        <v>4013/4014</v>
      </c>
      <c r="L136" s="22" t="str">
        <f>VLOOKUP(A136,'Trips&amp;Operators'!$C$1:$E$10000,3,FALSE)</f>
        <v>YOUNG</v>
      </c>
      <c r="M136" s="6">
        <f t="shared" si="20"/>
        <v>2.9594907406135462E-2</v>
      </c>
      <c r="N136" s="7">
        <f t="shared" si="21"/>
        <v>42.616666664835066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18:50:53-0600',mode:absolute,to:'2016-10-21 23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6" s="52" t="str">
        <f t="shared" si="25"/>
        <v>N</v>
      </c>
      <c r="X136" s="171">
        <f t="shared" si="26"/>
        <v>1</v>
      </c>
      <c r="Y136" s="67">
        <f t="shared" si="27"/>
        <v>23.298400000000001</v>
      </c>
      <c r="Z136" s="67">
        <f t="shared" si="28"/>
        <v>1.49E-2</v>
      </c>
      <c r="AA136" s="67">
        <f t="shared" si="29"/>
        <v>23.2835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0222-21</v>
      </c>
      <c r="AE136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36" s="88" t="str">
        <f t="shared" si="32"/>
        <v>"C:\Program Files (x86)\AstroGrep\AstroGrep.exe" /spath="%USERPROFILE%\AppData\Local\Temp\OnboardLogs" /stypes="app*4013*20161022*" /stext=" 04:.+((SYSTEM_STATE.+slice.+state.+changed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222-21 --locoid 4013 --swversion DE.1.0.7.0 --startMP 204:232984 --initTime 2016-10-21T19:50:53 --startdatetime 2016-10-21T21:56:59 --delay 1 --endMP 204:149 --enddatetime 2016-10-21T22:39:36 --enforcementcount 0 &gt;&gt;C:\Users\stu\Documents\GitHub\eaglep3-reporting\EC\2016-10-21-refined-times.txt</v>
      </c>
      <c r="AI13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ID","value":"222-21"},{"id":16,"name":"Locomotive ID","value":"4013"},{"id":130,"name":"Impact","value":""},{"id":150,"name":"Time of Event (Mountain Time)","value":"22:39:36"},{"id":151,"name":"Denver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584</v>
      </c>
      <c r="B137" s="7">
        <v>4016</v>
      </c>
      <c r="C137" s="22" t="s">
        <v>99</v>
      </c>
      <c r="D137" s="22" t="s">
        <v>658</v>
      </c>
      <c r="E137" s="13">
        <v>42664.806192129632</v>
      </c>
      <c r="F137" s="13">
        <v>42664.812719907408</v>
      </c>
      <c r="G137" s="7">
        <v>1</v>
      </c>
      <c r="H137" s="13" t="s">
        <v>691</v>
      </c>
      <c r="I137" s="13">
        <v>42664.837592592594</v>
      </c>
      <c r="J137" s="7">
        <v>0</v>
      </c>
      <c r="K137" s="112" t="str">
        <f t="shared" si="19"/>
        <v>4015/4016</v>
      </c>
      <c r="L137" s="22" t="str">
        <f>VLOOKUP(A137,'Trips&amp;Operators'!$C$1:$E$10000,3,FALSE)</f>
        <v>YANAI</v>
      </c>
      <c r="M137" s="6">
        <f t="shared" si="20"/>
        <v>2.4872685185982846E-2</v>
      </c>
      <c r="N137" s="7">
        <f t="shared" si="21"/>
        <v>35.816666667815298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18:20:55-0600',mode:absolute,to:'2016-10-21 21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25"/>
        <v>N</v>
      </c>
      <c r="X137" s="171">
        <f t="shared" si="26"/>
        <v>1</v>
      </c>
      <c r="Y137" s="67">
        <f t="shared" si="27"/>
        <v>4.4200000000000003E-2</v>
      </c>
      <c r="Z137" s="67">
        <f t="shared" si="28"/>
        <v>23.334399999999999</v>
      </c>
      <c r="AA137" s="67">
        <f t="shared" si="29"/>
        <v>23.290199999999999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0223-21</v>
      </c>
      <c r="AE137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37" s="88" t="str">
        <f t="shared" si="32"/>
        <v>"C:\Program Files (x86)\AstroGrep\AstroGrep.exe" /spath="%USERPROFILE%\AppData\Local\Temp\OnboardLogs" /stypes="app*4016*20161022*" /stext=" 02:.+((SYSTEM_STATE.+slice.+state.+changed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223-21 --locoid 4016 --swversion DE.1.0.7.0 --startMP 204:442 --initTime 2016-10-21T19:20:55 --startdatetime 2016-10-21T19:30:19 --delay 1 --endMP 204:233344 --enddatetime 2016-10-21T20:06:08 --enforcementcount 0 &gt;&gt;C:\Users\stu\Documents\GitHub\eaglep3-reporting\EC\2016-10-21-refined-times.txt</v>
      </c>
      <c r="AI13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{"issue":{"subject":"","project_id":79,"tracker_id":40,"status_id":1,"priority_id":2,"assigned_to_id":23,"start_date":"2016-10-21","description":"","custom_fields":[{"id":1,"name":"Subdivision","value":"EC"},{"id":4,"name":"Milepost","value":"23.3344"},{"id":17,"name":"Train ID","value":"223-21"},{"id":16,"name":"Locomotive ID","value":"4016"},{"id":130,"name":"Impact","value":""},{"id":150,"name":"Time of Event (Mountain Time)","value":"20:06:08"},{"id":151,"name":"Denver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589</v>
      </c>
      <c r="B138" s="7">
        <v>4015</v>
      </c>
      <c r="C138" s="22" t="s">
        <v>99</v>
      </c>
      <c r="D138" s="22" t="s">
        <v>352</v>
      </c>
      <c r="E138" s="13">
        <v>42664.844189814816</v>
      </c>
      <c r="F138" s="13">
        <v>42664.851574074077</v>
      </c>
      <c r="G138" s="7">
        <v>1</v>
      </c>
      <c r="H138" s="13" t="s">
        <v>692</v>
      </c>
      <c r="I138" s="13">
        <v>42664.879259259258</v>
      </c>
      <c r="J138" s="7">
        <v>0</v>
      </c>
      <c r="K138" s="112" t="str">
        <f t="shared" si="19"/>
        <v>4015/4016</v>
      </c>
      <c r="L138" s="22" t="str">
        <f>VLOOKUP(A138,'Trips&amp;Operators'!$C$1:$E$10000,3,FALSE)</f>
        <v>YANAI</v>
      </c>
      <c r="M138" s="6">
        <f t="shared" si="20"/>
        <v>2.7685185181326233E-2</v>
      </c>
      <c r="N138" s="7">
        <f t="shared" si="21"/>
        <v>39.866666661109775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19:15:38-0600',mode:absolute,to:'2016-10-21 22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25"/>
        <v>N</v>
      </c>
      <c r="X138" s="171">
        <f t="shared" si="26"/>
        <v>1</v>
      </c>
      <c r="Y138" s="67">
        <f t="shared" si="27"/>
        <v>23.300599999999999</v>
      </c>
      <c r="Z138" s="67">
        <f t="shared" si="28"/>
        <v>1.7000000000000001E-2</v>
      </c>
      <c r="AA138" s="67">
        <f t="shared" si="29"/>
        <v>23.2836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0224-21</v>
      </c>
      <c r="AE138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38" s="88" t="str">
        <f t="shared" si="32"/>
        <v>"C:\Program Files (x86)\AstroGrep\AstroGrep.exe" /spath="%USERPROFILE%\AppData\Local\Temp\OnboardLogs" /stypes="app*4015*20161022*" /stext=" 03:.+((SYSTEM_STATE.+slice.+state.+changed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224-21 --locoid 4015 --swversion DE.1.0.7.0 --startMP 204:233006 --initTime 2016-10-21T20:15:38 --startdatetime 2016-10-21T20:26:16 --delay 1 --endMP 204:170 --enddatetime 2016-10-21T21:06:08 --enforcementcount 0 &gt;&gt;C:\Users\stu\Documents\GitHub\eaglep3-reporting\EC\2016-10-21-refined-times.txt</v>
      </c>
      <c r="AI13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{"issue":{"subject":"","project_id":79,"tracker_id":40,"status_id":1,"priority_id":2,"assigned_to_id":23,"start_date":"2016-10-21","description":"","custom_fields":[{"id":1,"name":"Subdivision","value":"EC"},{"id":4,"name":"Milepost","value":"0.017"},{"id":17,"name":"Train ID","value":"224-21"},{"id":16,"name":"Locomotive ID","value":"4015"},{"id":130,"name":"Impact","value":""},{"id":150,"name":"Time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588</v>
      </c>
      <c r="B139" s="7">
        <v>4027</v>
      </c>
      <c r="C139" s="22" t="s">
        <v>99</v>
      </c>
      <c r="D139" s="22" t="s">
        <v>373</v>
      </c>
      <c r="E139" s="13">
        <v>42664.83116898148</v>
      </c>
      <c r="F139" s="13">
        <v>42664.833634259259</v>
      </c>
      <c r="G139" s="7">
        <v>1</v>
      </c>
      <c r="H139" s="13" t="s">
        <v>693</v>
      </c>
      <c r="I139" s="13">
        <v>42664.858912037038</v>
      </c>
      <c r="J139" s="7">
        <v>0</v>
      </c>
      <c r="K139" s="112" t="str">
        <f t="shared" si="19"/>
        <v>4027/4028</v>
      </c>
      <c r="L139" s="22" t="str">
        <f>VLOOKUP(A139,'Trips&amp;Operators'!$C$1:$E$10000,3,FALSE)</f>
        <v>CHANDLER</v>
      </c>
      <c r="M139" s="6">
        <f t="shared" si="20"/>
        <v>2.527777777868323E-2</v>
      </c>
      <c r="N139" s="7">
        <f t="shared" si="21"/>
        <v>36.400000001303852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18:56:53-0600',mode:absolute,to:'2016-10-21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9" s="52" t="str">
        <f t="shared" si="25"/>
        <v>N</v>
      </c>
      <c r="X139" s="171">
        <f t="shared" si="26"/>
        <v>1</v>
      </c>
      <c r="Y139" s="67">
        <f t="shared" si="27"/>
        <v>4.3299999999999998E-2</v>
      </c>
      <c r="Z139" s="67">
        <f t="shared" si="28"/>
        <v>23.328600000000002</v>
      </c>
      <c r="AA139" s="67">
        <f t="shared" si="29"/>
        <v>23.285300000000003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0225-21</v>
      </c>
      <c r="AE139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39" s="88" t="str">
        <f t="shared" si="32"/>
        <v>"C:\Program Files (x86)\AstroGrep\AstroGrep.exe" /spath="%USERPROFILE%\AppData\Local\Temp\OnboardLogs" /stypes="app*4027*20161022*" /stext=" 02:.+((SYSTEM_STATE.+slice.+state.+changed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225-21 --locoid 4027 --swversion DE.1.0.7.0 --startMP 204:433 --initTime 2016-10-21T19:56:53 --startdatetime 2016-10-21T20:00:26 --delay 1 --endMP 204:233286 --enddatetime 2016-10-21T20:36:50 --enforcementcount 0 &gt;&gt;C:\Users\stu\Documents\GitHub\eaglep3-reporting\EC\2016-10-21-refined-times.txt</v>
      </c>
      <c r="AI13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{"issue":{"subject":"","project_id":79,"tracker_id":40,"status_id":1,"priority_id":2,"assigned_to_id":23,"start_date":"2016-10-21","description":"","custom_fields":[{"id":1,"name":"Subdivision","value":"EC"},{"id":4,"name":"Milepost","value":"23.3286"},{"id":17,"name":"Train ID","value":"225-21"},{"id":16,"name":"Locomotive ID","value":"4027"},{"id":130,"name":"Impact","value":""},{"id":150,"name":"Time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594</v>
      </c>
      <c r="B140" s="7">
        <v>4028</v>
      </c>
      <c r="C140" s="22" t="s">
        <v>99</v>
      </c>
      <c r="D140" s="22" t="s">
        <v>690</v>
      </c>
      <c r="E140" s="13">
        <v>42664.871631944443</v>
      </c>
      <c r="F140" s="13">
        <v>42664.872754629629</v>
      </c>
      <c r="G140" s="7">
        <v>1</v>
      </c>
      <c r="H140" s="13" t="s">
        <v>176</v>
      </c>
      <c r="I140" s="13">
        <v>42664.90084490741</v>
      </c>
      <c r="J140" s="7">
        <v>0</v>
      </c>
      <c r="K140" s="112" t="str">
        <f t="shared" si="19"/>
        <v>4027/4028</v>
      </c>
      <c r="L140" s="22" t="str">
        <f>VLOOKUP(A140,'Trips&amp;Operators'!$C$1:$E$10000,3,FALSE)</f>
        <v>CHANDLER</v>
      </c>
      <c r="M140" s="6">
        <f t="shared" si="20"/>
        <v>2.8090277781302575E-2</v>
      </c>
      <c r="N140" s="7">
        <f t="shared" si="21"/>
        <v>40.450000005075708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19:55:09-0600',mode:absolute,to:'2016-10-21 22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0" s="52" t="str">
        <f t="shared" si="25"/>
        <v>N</v>
      </c>
      <c r="X140" s="171">
        <f t="shared" si="26"/>
        <v>1</v>
      </c>
      <c r="Y140" s="67">
        <f t="shared" si="27"/>
        <v>23.296900000000001</v>
      </c>
      <c r="Z140" s="67">
        <f t="shared" si="28"/>
        <v>1.47E-2</v>
      </c>
      <c r="AA140" s="67">
        <f t="shared" si="29"/>
        <v>23.2822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0"/>
        <v>0226-21</v>
      </c>
      <c r="AE140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40" s="88" t="str">
        <f t="shared" si="32"/>
        <v>"C:\Program Files (x86)\AstroGrep\AstroGrep.exe" /spath="%USERPROFILE%\AppData\Local\Temp\OnboardLogs" /stypes="app*4028*20161022*" /stext=" 03:.+((SYSTEM_STATE.+slice.+state.+changed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226-21 --locoid 4028 --swversion DE.1.0.7.0 --startMP 204:232969 --initTime 2016-10-21T20:55:09 --startdatetime 2016-10-21T20:56:46 --delay 1 --endMP 204:147 --enddatetime 2016-10-21T21:37:13 --enforcementcount 0 &gt;&gt;C:\Users\stu\Documents\GitHub\eaglep3-reporting\EC\2016-10-21-refined-times.txt</v>
      </c>
      <c r="AI14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ID","value":"226-21"},{"id":16,"name":"Locomotive ID","value":"4028"},{"id":130,"name":"Impact","value":""},{"id":150,"name":"Time of Event (Mountain Time)","value":"21:37:13"},{"id":151,"name":"Denver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592</v>
      </c>
      <c r="B141" s="7">
        <v>4009</v>
      </c>
      <c r="C141" s="22" t="s">
        <v>99</v>
      </c>
      <c r="D141" s="22" t="s">
        <v>263</v>
      </c>
      <c r="E141" s="13">
        <v>42664.850185185183</v>
      </c>
      <c r="F141" s="13">
        <v>42664.854687500003</v>
      </c>
      <c r="G141" s="7">
        <v>6</v>
      </c>
      <c r="H141" s="13" t="s">
        <v>236</v>
      </c>
      <c r="I141" s="13">
        <v>42664.881261574075</v>
      </c>
      <c r="J141" s="7">
        <v>0</v>
      </c>
      <c r="K141" s="112" t="str">
        <f t="shared" si="19"/>
        <v>4009/4010</v>
      </c>
      <c r="L141" s="22" t="str">
        <f>VLOOKUP(A141,'Trips&amp;Operators'!$C$1:$E$10000,3,FALSE)</f>
        <v>STURGEON</v>
      </c>
      <c r="M141" s="6">
        <f t="shared" si="20"/>
        <v>2.6574074072414078E-2</v>
      </c>
      <c r="N141" s="7">
        <f t="shared" si="21"/>
        <v>38.266666664276272</v>
      </c>
      <c r="O141" s="7"/>
      <c r="P141" s="7"/>
      <c r="Q141" s="23"/>
      <c r="R141" s="23"/>
      <c r="S141" s="35">
        <f t="shared" si="22"/>
        <v>1</v>
      </c>
      <c r="T141" s="50" t="str">
        <f t="shared" si="23"/>
        <v>NorthBound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19:24:16-0600',mode:absolute,to:'2016-10-21 22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1" s="52" t="str">
        <f t="shared" si="25"/>
        <v>N</v>
      </c>
      <c r="X141" s="171">
        <f t="shared" si="26"/>
        <v>1</v>
      </c>
      <c r="Y141" s="67">
        <f t="shared" si="27"/>
        <v>4.7100000000000003E-2</v>
      </c>
      <c r="Z141" s="67">
        <f t="shared" si="28"/>
        <v>23.329499999999999</v>
      </c>
      <c r="AA141" s="67">
        <f t="shared" si="29"/>
        <v>23.282399999999999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30"/>
        <v>0227-21</v>
      </c>
      <c r="AE141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41" s="88" t="str">
        <f t="shared" si="32"/>
        <v>"C:\Program Files (x86)\AstroGrep\AstroGrep.exe" /spath="%USERPROFILE%\AppData\Local\Temp\OnboardLogs" /stypes="app*4009*20161022*" /stext=" 03:.+((SYSTEM_STATE.+slice.+state.+changed )|(ment ac)|(system.+state.+changed )|(\[timeout)|(PRM\|1\|D)|(kpr)|(kdp)|(\|lc)|(penalty))" /e /r /s</v>
      </c>
      <c r="AG141" s="1" t="str">
        <f t="shared" si="33"/>
        <v>EC</v>
      </c>
      <c r="AH141" s="92" t="str">
        <f t="shared" si="34"/>
        <v>"%USERPROFILE%\Documents\GitHub\eaglep3\Utilities\RefineRTDCRunTimes.py" --tripid 227-21 --locoid 4009 --swversion DE.1.0.7.0 --startMP 204:471 --initTime 2016-10-21T20:24:16 --startdatetime 2016-10-21T20:30:45 --delay 6 --endMP 204:233295 --enddatetime 2016-10-21T21:09:01 --enforcementcount 0 &gt;&gt;C:\Users\stu\Documents\GitHub\eaglep3-reporting\EC\2016-10-21-refined-times.txt</v>
      </c>
      <c r="AI14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{"issue":{"subject":"","project_id":79,"tracker_id":40,"status_id":1,"priority_id":2,"assigned_to_id":23,"start_date":"2016-10-21","description":"","custom_fields":[{"id":1,"name":"Subdivision","value":"EC"},{"id":4,"name":"Milepost","value":"23.3295"},{"id":17,"name":"Train ID","value":"227-21"},{"id":16,"name":"Locomotive ID","value":"4009"},{"id":130,"name":"Impact","value":""},{"id":150,"name":"Time of Event (Mountain Time)","value":"21:09:01"},{"id":151,"name":"Denver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598</v>
      </c>
      <c r="B142" s="7">
        <v>4010</v>
      </c>
      <c r="C142" s="22" t="s">
        <v>99</v>
      </c>
      <c r="D142" s="22" t="s">
        <v>284</v>
      </c>
      <c r="E142" s="13">
        <v>42664.885439814818</v>
      </c>
      <c r="F142" s="13">
        <v>42664.893425925926</v>
      </c>
      <c r="G142" s="7">
        <v>1</v>
      </c>
      <c r="H142" s="13" t="s">
        <v>286</v>
      </c>
      <c r="I142" s="13">
        <v>42664.921851851854</v>
      </c>
      <c r="J142" s="7">
        <v>0</v>
      </c>
      <c r="K142" s="112" t="str">
        <f t="shared" si="19"/>
        <v>4009/4010</v>
      </c>
      <c r="L142" s="22" t="str">
        <f>VLOOKUP(A142,'Trips&amp;Operators'!$C$1:$E$10000,3,FALSE)</f>
        <v>STURGEON</v>
      </c>
      <c r="M142" s="6">
        <f t="shared" si="20"/>
        <v>2.842592592787696E-2</v>
      </c>
      <c r="N142" s="7">
        <f t="shared" si="21"/>
        <v>40.933333336142823</v>
      </c>
      <c r="O142" s="7"/>
      <c r="P142" s="7"/>
      <c r="Q142" s="23"/>
      <c r="R142" s="23"/>
      <c r="S142" s="35">
        <f t="shared" si="22"/>
        <v>1</v>
      </c>
      <c r="T142" s="50" t="str">
        <f t="shared" si="23"/>
        <v>Southbound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20:15:02-0600',mode:absolute,to:'2016-10-21 23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2" s="52" t="str">
        <f t="shared" si="25"/>
        <v>N</v>
      </c>
      <c r="X142" s="171">
        <f t="shared" si="26"/>
        <v>1</v>
      </c>
      <c r="Y142" s="67">
        <f t="shared" si="27"/>
        <v>23.298300000000001</v>
      </c>
      <c r="Z142" s="67">
        <f t="shared" si="28"/>
        <v>1.5800000000000002E-2</v>
      </c>
      <c r="AA142" s="67">
        <f t="shared" si="29"/>
        <v>23.282500000000002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30"/>
        <v>0228-21</v>
      </c>
      <c r="AE142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42" s="88" t="str">
        <f t="shared" si="32"/>
        <v>"C:\Program Files (x86)\AstroGrep\AstroGrep.exe" /spath="%USERPROFILE%\AppData\Local\Temp\OnboardLogs" /stypes="app*4010*20161022*" /stext=" 04:.+((SYSTEM_STATE.+slice.+state.+changed )|(ment ac)|(system.+state.+changed )|(\[timeout)|(PRM\|1\|D)|(kpr)|(kdp)|(\|lc)|(penalty))" /e /r /s</v>
      </c>
      <c r="AG142" s="1" t="str">
        <f t="shared" si="33"/>
        <v>EC</v>
      </c>
      <c r="AH142" s="92" t="str">
        <f t="shared" si="34"/>
        <v>"%USERPROFILE%\Documents\GitHub\eaglep3\Utilities\RefineRTDCRunTimes.py" --tripid 228-21 --locoid 4010 --swversion DE.1.0.7.0 --startMP 204:232983 --initTime 2016-10-21T21:15:02 --startdatetime 2016-10-21T21:26:32 --delay 1 --endMP 204:158 --enddatetime 2016-10-21T22:07:28 --enforcementcount 0 &gt;&gt;C:\Users\stu\Documents\GitHub\eaglep3-reporting\EC\2016-10-21-refined-times.txt</v>
      </c>
      <c r="AI14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ID","value":"228-21"},{"id":16,"name":"Locomotive ID","value":"4010"},{"id":130,"name":"Impact","value":""},{"id":150,"name":"Time of Event (Mountain Time)","value":"22:07:28"},{"id":151,"name":"Denver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434</v>
      </c>
      <c r="B143" s="7">
        <v>4014</v>
      </c>
      <c r="C143" s="22" t="s">
        <v>99</v>
      </c>
      <c r="D143" s="22" t="s">
        <v>285</v>
      </c>
      <c r="E143" s="13">
        <v>42664.865520833337</v>
      </c>
      <c r="F143" s="13">
        <v>42664.875532407408</v>
      </c>
      <c r="G143" s="7">
        <v>1</v>
      </c>
      <c r="H143" s="13" t="s">
        <v>634</v>
      </c>
      <c r="I143" s="13">
        <v>42664.90148148148</v>
      </c>
      <c r="J143" s="7">
        <v>0</v>
      </c>
      <c r="K143" s="112" t="str">
        <f t="shared" si="19"/>
        <v>4013/4014</v>
      </c>
      <c r="L143" s="22" t="str">
        <f>VLOOKUP(A143,'Trips&amp;Operators'!$C$1:$E$10000,3,FALSE)</f>
        <v>PUGH</v>
      </c>
      <c r="M143" s="6">
        <f t="shared" si="20"/>
        <v>2.5949074071832001E-2</v>
      </c>
      <c r="N143" s="7">
        <f t="shared" si="21"/>
        <v>37.366666663438082</v>
      </c>
      <c r="O143" s="7"/>
      <c r="P143" s="7"/>
      <c r="Q143" s="23"/>
      <c r="R143" s="23"/>
      <c r="S143" s="35">
        <f t="shared" si="22"/>
        <v>1</v>
      </c>
      <c r="T143" s="50" t="str">
        <f t="shared" si="23"/>
        <v>NorthBound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19:46:21-0600',mode:absolute,to:'2016-10-21 22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3" s="52" t="str">
        <f t="shared" si="25"/>
        <v>N</v>
      </c>
      <c r="X143" s="171">
        <f t="shared" si="26"/>
        <v>1</v>
      </c>
      <c r="Y143" s="67">
        <f t="shared" si="27"/>
        <v>4.4900000000000002E-2</v>
      </c>
      <c r="Z143" s="67">
        <f t="shared" si="28"/>
        <v>23.328900000000001</v>
      </c>
      <c r="AA143" s="67">
        <f t="shared" si="29"/>
        <v>23.284000000000002</v>
      </c>
      <c r="AB143" s="64" t="str">
        <f>VLOOKUP(A143,Enforcements!$C$7:$K$21,8,0)</f>
        <v>Speed (6)</v>
      </c>
      <c r="AC143" s="60" t="str">
        <f>VLOOKUP(A143,Enforcements!$C$7:$E$21,3,0)</f>
        <v>PERMANENT SPEED RESTRICTION</v>
      </c>
      <c r="AD143" s="61" t="str">
        <f t="shared" si="30"/>
        <v>0229-21</v>
      </c>
      <c r="AE143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43" s="88" t="str">
        <f t="shared" si="32"/>
        <v>"C:\Program Files (x86)\AstroGrep\AstroGrep.exe" /spath="%USERPROFILE%\AppData\Local\Temp\OnboardLogs" /stypes="app*4014*20161022*" /stext=" 03:.+((SYSTEM_STATE.+slice.+state.+changed )|(ment ac)|(system.+state.+changed )|(\[timeout)|(PRM\|1\|D)|(kpr)|(kdp)|(\|lc)|(penalty))" /e /r /s</v>
      </c>
      <c r="AG143" s="1" t="str">
        <f t="shared" si="33"/>
        <v>EC</v>
      </c>
      <c r="AH143" s="92" t="str">
        <f t="shared" si="34"/>
        <v>"%USERPROFILE%\Documents\GitHub\eaglep3\Utilities\RefineRTDCRunTimes.py" --tripid 229-21 --locoid 4014 --swversion DE.1.0.7.0 --startMP 204:449 --initTime 2016-10-21T20:46:21 --startdatetime 2016-10-21T21:00:46 --delay 1 --endMP 204:233289 --enddatetime 2016-10-21T21:38:08 --enforcementcount 0 &gt;&gt;C:\Users\stu\Documents\GitHub\eaglep3-reporting\EC\2016-10-21-refined-times.txt</v>
      </c>
      <c r="AI14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ID","value":"229-21"},{"id":16,"name":"Locomotive ID","value":"4014"},{"id":130,"name":"Impact","value":""},{"id":150,"name":"Time of Event (Mountain Time)","value":"21:38:08"},{"id":151,"name":"Denver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600</v>
      </c>
      <c r="B144" s="7">
        <v>4013</v>
      </c>
      <c r="C144" s="22" t="s">
        <v>99</v>
      </c>
      <c r="D144" s="22" t="s">
        <v>667</v>
      </c>
      <c r="E144" s="13">
        <v>42664.907349537039</v>
      </c>
      <c r="F144" s="13">
        <v>42664.914571759262</v>
      </c>
      <c r="G144" s="7">
        <v>1</v>
      </c>
      <c r="H144" s="13" t="s">
        <v>226</v>
      </c>
      <c r="I144" s="13">
        <v>42664.944166666668</v>
      </c>
      <c r="J144" s="7">
        <v>0</v>
      </c>
      <c r="K144" s="112" t="str">
        <f t="shared" si="19"/>
        <v>4013/4014</v>
      </c>
      <c r="L144" s="22" t="str">
        <f>VLOOKUP(A144,'Trips&amp;Operators'!$C$1:$E$10000,3,FALSE)</f>
        <v>PUGH</v>
      </c>
      <c r="M144" s="6">
        <f t="shared" si="20"/>
        <v>2.9594907406135462E-2</v>
      </c>
      <c r="N144" s="7">
        <f t="shared" si="21"/>
        <v>42.616666664835066</v>
      </c>
      <c r="O144" s="7"/>
      <c r="P144" s="7"/>
      <c r="Q144" s="23"/>
      <c r="R144" s="23"/>
      <c r="S144" s="35">
        <f t="shared" si="22"/>
        <v>1</v>
      </c>
      <c r="T144" s="50" t="str">
        <f t="shared" si="23"/>
        <v>Southbound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20:46:35-0600',mode:absolute,to:'2016-10-21 23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4" s="52" t="str">
        <f t="shared" si="25"/>
        <v>N</v>
      </c>
      <c r="X144" s="171">
        <f t="shared" si="26"/>
        <v>1</v>
      </c>
      <c r="Y144" s="67">
        <f t="shared" si="27"/>
        <v>23.298200000000001</v>
      </c>
      <c r="Z144" s="67">
        <f t="shared" si="28"/>
        <v>1.43E-2</v>
      </c>
      <c r="AA144" s="67">
        <f t="shared" si="29"/>
        <v>23.283900000000003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30"/>
        <v>0230-21</v>
      </c>
      <c r="AE144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44" s="88" t="str">
        <f t="shared" si="32"/>
        <v>"C:\Program Files (x86)\AstroGrep\AstroGrep.exe" /spath="%USERPROFILE%\AppData\Local\Temp\OnboardLogs" /stypes="app*4013*20161022*" /stext=" 04:.+((SYSTEM_STATE.+slice.+state.+changed )|(ment ac)|(system.+state.+changed )|(\[timeout)|(PRM\|1\|D)|(kpr)|(kdp)|(\|lc)|(penalty))" /e /r /s</v>
      </c>
      <c r="AG144" s="1" t="str">
        <f t="shared" si="33"/>
        <v>EC</v>
      </c>
      <c r="AH144" s="92" t="str">
        <f t="shared" si="34"/>
        <v>"%USERPROFILE%\Documents\GitHub\eaglep3\Utilities\RefineRTDCRunTimes.py" --tripid 230-21 --locoid 4013 --swversion DE.1.0.7.0 --startMP 204:232982 --initTime 2016-10-21T21:46:35 --startdatetime 2016-10-21T21:56:59 --delay 1 --endMP 204:143 --enddatetime 2016-10-21T22:39:36 --enforcementcount 0 &gt;&gt;C:\Users\stu\Documents\GitHub\eaglep3-reporting\EC\2016-10-21-refined-times.txt</v>
      </c>
      <c r="AI14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ID","value":"230-21"},{"id":16,"name":"Locomotive ID","value":"4013"},{"id":130,"name":"Impact","value":""},{"id":150,"name":"Time of Event (Mountain Time)","value":"22:39:36"},{"id":151,"name":"Denver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597</v>
      </c>
      <c r="B145" s="7">
        <v>4016</v>
      </c>
      <c r="C145" s="22" t="s">
        <v>99</v>
      </c>
      <c r="D145" s="22" t="s">
        <v>235</v>
      </c>
      <c r="E145" s="13">
        <v>42664.882384259261</v>
      </c>
      <c r="F145" s="13">
        <v>42664.89607638889</v>
      </c>
      <c r="G145" s="7">
        <v>1</v>
      </c>
      <c r="H145" s="13" t="s">
        <v>654</v>
      </c>
      <c r="I145" s="13">
        <v>42664.920624999999</v>
      </c>
      <c r="J145" s="7">
        <v>0</v>
      </c>
      <c r="K145" s="112" t="str">
        <f t="shared" ref="K145:K205" si="113">IF(ISEVEN(B145),(B145-1)&amp;"/"&amp;B145,B145&amp;"/"&amp;(B145+1))</f>
        <v>4015/4016</v>
      </c>
      <c r="L145" s="22" t="str">
        <f>VLOOKUP(A145,'Trips&amp;Operators'!$C$1:$E$10000,3,FALSE)</f>
        <v>YANAI</v>
      </c>
      <c r="M145" s="6">
        <f t="shared" ref="M145:M205" si="114">I145-F145</f>
        <v>2.4548611108912155E-2</v>
      </c>
      <c r="N145" s="7">
        <f t="shared" ref="N145:N205" si="115">24*60*SUM($M145:$M145)</f>
        <v>35.349999996833503</v>
      </c>
      <c r="O145" s="7"/>
      <c r="P145" s="7"/>
      <c r="Q145" s="23"/>
      <c r="R145" s="23"/>
      <c r="S145" s="35">
        <f t="shared" ref="S145:S205" si="116">SUM(U145:U145)/IF(AG145="EC",12,1)</f>
        <v>1</v>
      </c>
      <c r="T145" s="50" t="str">
        <f t="shared" ref="T145:T205" si="117">IF(ISEVEN(LEFT(AD145,4)),"Southbound","NorthBound")</f>
        <v>NorthBound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ref="V145:V205" si="118"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https://search-rtdc-monitor-bjffxe2xuh6vdkpspy63sjmuny.us-east-1.es.amazonaws.com/_plugin/kibana/#/discover/Steve-Slow-Train-Analysis-(2080s-and-2083s)?_g=(refreshInterval:(display:Off,section:0,value:0),time:(from:'2016-10-21 20:10:38-0600',mode:absolute,to:'2016-10-21 23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ref="W145:W205" si="119">IF(AA145&lt;IF(AG145="EC",23,5.65),"Y","N")</f>
        <v>N</v>
      </c>
      <c r="X145" s="171">
        <f t="shared" ref="X145:X205" si="120">VALUE(LEFT(AD145,4))-VALUE(LEFT(AD144,4))</f>
        <v>1</v>
      </c>
      <c r="Y145" s="67">
        <f t="shared" ref="Y145:Y205" si="121">RIGHT(D145,LEN(D145)-4)/10000</f>
        <v>4.6600000000000003E-2</v>
      </c>
      <c r="Z145" s="67">
        <f t="shared" ref="Z145:Z205" si="122">RIGHT(H145,LEN(H145)-4)/10000</f>
        <v>23.329799999999999</v>
      </c>
      <c r="AA145" s="67">
        <f t="shared" ref="AA145:AA205" si="123">ABS(Z145-Y145)</f>
        <v>23.283199999999997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ref="AD145:AD205" si="124">IF(LEN(A145)=6,"0"&amp;A145,A145)</f>
        <v>0231-21</v>
      </c>
      <c r="AE145" s="91" t="str">
        <f t="shared" ref="AE145:AE205" si="125"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45" s="88" t="str">
        <f t="shared" ref="AF145:AF205" si="126"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/stypes="app*4016*20161022*" /stext=" 04:.+((SYSTEM_STATE.+slice.+state.+changed )|(ment ac)|(system.+state.+changed )|(\[timeout)|(PRM\|1\|D)|(kpr)|(kdp)|(\|lc)|(penalty))" /e /r /s</v>
      </c>
      <c r="AG145" s="1" t="str">
        <f t="shared" ref="AG145:AG205" si="127">IFERROR(IF(VALUE(LEFT(AD145,2))&lt;=2,"EC",IF(OR(VALUE(LEFT(AD145,2))=8,VALUE(LEFT(AD145,2))=18),"NW","Other")),"Other")</f>
        <v>EC</v>
      </c>
      <c r="AH145" s="92" t="str">
        <f t="shared" si="34"/>
        <v>"%USERPROFILE%\Documents\GitHub\eaglep3\Utilities\RefineRTDCRunTimes.py" --tripid 231-21 --locoid 4016 --swversion DE.1.0.7.0 --startMP 204:466 --initTime 2016-10-21T21:10:38 --startdatetime 2016-10-21T21:30:21 --delay 1 --endMP 204:233298 --enddatetime 2016-10-21T22:05:42 --enforcementcount 0 &gt;&gt;C:\Users\stu\Documents\GitHub\eaglep3-reporting\EC\2016-10-21-refined-times.txt</v>
      </c>
      <c r="AI14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ID","value":"231-21"},{"id":16,"name":"Locomotive ID","value":"4016"},{"id":130,"name":"Impact","value":""},{"id":150,"name":"Time of Event (Mountain Time)","value":"22:05:42"},{"id":151,"name":"Denver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603</v>
      </c>
      <c r="B146" s="7">
        <v>4015</v>
      </c>
      <c r="C146" s="22" t="s">
        <v>99</v>
      </c>
      <c r="D146" s="22" t="s">
        <v>284</v>
      </c>
      <c r="E146" s="13">
        <v>42664.927106481482</v>
      </c>
      <c r="F146" s="13">
        <v>42664.935011574074</v>
      </c>
      <c r="G146" s="7">
        <v>1</v>
      </c>
      <c r="H146" s="13" t="s">
        <v>226</v>
      </c>
      <c r="I146" s="13">
        <v>42664.962337962963</v>
      </c>
      <c r="J146" s="7">
        <v>0</v>
      </c>
      <c r="K146" s="112" t="str">
        <f t="shared" si="113"/>
        <v>4015/4016</v>
      </c>
      <c r="L146" s="22" t="str">
        <f>VLOOKUP(A146,'Trips&amp;Operators'!$C$1:$E$10000,3,FALSE)</f>
        <v>YANAI</v>
      </c>
      <c r="M146" s="6">
        <f t="shared" si="114"/>
        <v>2.73263888884685E-2</v>
      </c>
      <c r="N146" s="7">
        <f t="shared" si="115"/>
        <v>39.34999999939464</v>
      </c>
      <c r="O146" s="7"/>
      <c r="P146" s="7"/>
      <c r="Q146" s="23"/>
      <c r="R146" s="23"/>
      <c r="S146" s="35">
        <f t="shared" si="116"/>
        <v>1</v>
      </c>
      <c r="T146" s="50" t="str">
        <f t="shared" si="117"/>
        <v>Southbound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21:15:02-0600',mode:absolute,to:'2016-10-22 00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119"/>
        <v>N</v>
      </c>
      <c r="X146" s="171">
        <f t="shared" si="120"/>
        <v>1</v>
      </c>
      <c r="Y146" s="67">
        <f t="shared" si="121"/>
        <v>23.298300000000001</v>
      </c>
      <c r="Z146" s="67">
        <f t="shared" si="122"/>
        <v>1.43E-2</v>
      </c>
      <c r="AA146" s="67">
        <f t="shared" si="123"/>
        <v>23.284000000000002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124"/>
        <v>0232-21</v>
      </c>
      <c r="AE146" s="91" t="str">
        <f t="shared" si="125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46" s="88" t="str">
        <f t="shared" si="126"/>
        <v>"C:\Program Files (x86)\AstroGrep\AstroGrep.exe" /spath="%USERPROFILE%\AppData\Local\Temp\OnboardLogs" /stypes="app*4015*20161022*" /stext=" 05:.+((SYSTEM_STATE.+slice.+state.+changed )|(ment ac)|(system.+state.+changed )|(\[timeout)|(PRM\|1\|D)|(kpr)|(kdp)|(\|lc)|(penalty))" /e /r /s</v>
      </c>
      <c r="AG146" s="1" t="str">
        <f t="shared" si="127"/>
        <v>EC</v>
      </c>
      <c r="AH146" s="92" t="str">
        <f t="shared" ref="AH146:AH206" si="128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232-21 --locoid 4015 --swversion DE.1.0.7.0 --startMP 204:232983 --initTime 2016-10-21T22:15:02 --startdatetime 2016-10-21T22:26:25 --delay 1 --endMP 204:143 --enddatetime 2016-10-21T23:05:46 --enforcementcount 0 &gt;&gt;C:\Users\stu\Documents\GitHub\eaglep3-reporting\EC\2016-10-21-refined-times.txt</v>
      </c>
      <c r="AI146" s="122" t="str">
        <f t="shared" ref="AI146:AI206" si="129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ID","value":"232-21"},{"id":16,"name":"Locomotive ID","value":"4015"},{"id":130,"name":"Impact","value":""},{"id":150,"name":"Time of Event (Mountain Time)","value":"23:05:46"},{"id":151,"name":"Denver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601</v>
      </c>
      <c r="B147" s="7">
        <v>4027</v>
      </c>
      <c r="C147" s="22" t="s">
        <v>99</v>
      </c>
      <c r="D147" s="22" t="s">
        <v>658</v>
      </c>
      <c r="E147" s="13">
        <v>42664.915590277778</v>
      </c>
      <c r="F147" s="13">
        <v>42664.917013888888</v>
      </c>
      <c r="G147" s="7">
        <v>1</v>
      </c>
      <c r="H147" s="13" t="s">
        <v>694</v>
      </c>
      <c r="I147" s="13">
        <v>42664.942673611113</v>
      </c>
      <c r="J147" s="7">
        <v>0</v>
      </c>
      <c r="K147" s="112" t="str">
        <f t="shared" si="113"/>
        <v>4027/4028</v>
      </c>
      <c r="L147" s="22" t="str">
        <f>VLOOKUP(A147,'Trips&amp;Operators'!$C$1:$E$10000,3,FALSE)</f>
        <v>CHANDLER</v>
      </c>
      <c r="M147" s="6">
        <f t="shared" si="114"/>
        <v>2.5659722225100268E-2</v>
      </c>
      <c r="N147" s="7">
        <f t="shared" si="115"/>
        <v>36.950000004144385</v>
      </c>
      <c r="O147" s="7"/>
      <c r="P147" s="7"/>
      <c r="Q147" s="23"/>
      <c r="R147" s="23"/>
      <c r="S147" s="35">
        <f t="shared" si="116"/>
        <v>1</v>
      </c>
      <c r="T147" s="50" t="str">
        <f t="shared" si="117"/>
        <v>NorthBound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20:58:27-0600',mode:absolute,to:'2016-10-21 23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7" s="52" t="str">
        <f t="shared" si="119"/>
        <v>N</v>
      </c>
      <c r="X147" s="171">
        <f t="shared" si="120"/>
        <v>1</v>
      </c>
      <c r="Y147" s="67">
        <f t="shared" si="121"/>
        <v>4.4200000000000003E-2</v>
      </c>
      <c r="Z147" s="67">
        <f t="shared" si="122"/>
        <v>23.3306</v>
      </c>
      <c r="AA147" s="67">
        <f t="shared" si="123"/>
        <v>23.2864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124"/>
        <v>0233-21</v>
      </c>
      <c r="AE147" s="91" t="str">
        <f t="shared" si="125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47" s="88" t="str">
        <f t="shared" si="126"/>
        <v>"C:\Program Files (x86)\AstroGrep\AstroGrep.exe" /spath="%USERPROFILE%\AppData\Local\Temp\OnboardLogs" /stypes="app*4027*20161022*" /stext=" 04:.+((SYSTEM_STATE.+slice.+state.+changed )|(ment ac)|(system.+state.+changed )|(\[timeout)|(PRM\|1\|D)|(kpr)|(kdp)|(\|lc)|(penalty))" /e /r /s</v>
      </c>
      <c r="AG147" s="1" t="str">
        <f t="shared" si="127"/>
        <v>EC</v>
      </c>
      <c r="AH147" s="92" t="str">
        <f t="shared" si="128"/>
        <v>"%USERPROFILE%\Documents\GitHub\eaglep3\Utilities\RefineRTDCRunTimes.py" --tripid 233-21 --locoid 4027 --swversion DE.1.0.7.0 --startMP 204:442 --initTime 2016-10-21T21:58:27 --startdatetime 2016-10-21T22:00:30 --delay 1 --endMP 204:233306 --enddatetime 2016-10-21T22:37:27 --enforcementcount 0 &gt;&gt;C:\Users\stu\Documents\GitHub\eaglep3-reporting\EC\2016-10-21-refined-times.txt</v>
      </c>
      <c r="AI147" s="122" t="str">
        <f t="shared" si="129"/>
        <v>echo {"issue":{"subject":"","project_id":79,"tracker_id":40,"status_id":1,"priority_id":2,"assigned_to_id":23,"start_date":"2016-10-21","description":"","custom_fields":[{"id":1,"name":"Subdivision","value":"EC"},{"id":4,"name":"Milepost","value":"23.3306"},{"id":17,"name":"Train ID","value":"233-21"},{"id":16,"name":"Locomotive ID","value":"4027"},{"id":130,"name":"Impact","value":""},{"id":150,"name":"Time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435</v>
      </c>
      <c r="B148" s="7">
        <v>4028</v>
      </c>
      <c r="C148" s="22" t="s">
        <v>99</v>
      </c>
      <c r="D148" s="22" t="s">
        <v>331</v>
      </c>
      <c r="E148" s="13">
        <v>42664.953877314816</v>
      </c>
      <c r="F148" s="13">
        <v>42664.955879629626</v>
      </c>
      <c r="G148" s="7">
        <v>1</v>
      </c>
      <c r="H148" s="13" t="s">
        <v>268</v>
      </c>
      <c r="I148" s="13">
        <v>42664.98605324074</v>
      </c>
      <c r="J148" s="7">
        <v>0</v>
      </c>
      <c r="K148" s="112" t="str">
        <f t="shared" si="113"/>
        <v>4027/4028</v>
      </c>
      <c r="L148" s="22" t="str">
        <f>VLOOKUP(A148,'Trips&amp;Operators'!$C$1:$E$10000,3,FALSE)</f>
        <v>CHANDLER</v>
      </c>
      <c r="M148" s="6">
        <f t="shared" si="114"/>
        <v>3.0173611114150845E-2</v>
      </c>
      <c r="N148" s="7">
        <f t="shared" si="115"/>
        <v>43.450000004377216</v>
      </c>
      <c r="O148" s="7"/>
      <c r="P148" s="7"/>
      <c r="Q148" s="23"/>
      <c r="R148" s="23"/>
      <c r="S148" s="35">
        <f t="shared" si="116"/>
        <v>1</v>
      </c>
      <c r="T148" s="50" t="str">
        <f t="shared" si="117"/>
        <v>Southbound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21:53:35-0600',mode:absolute,to:'2016-10-22 00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8" s="52" t="str">
        <f t="shared" si="119"/>
        <v>N</v>
      </c>
      <c r="X148" s="171">
        <f t="shared" si="120"/>
        <v>1</v>
      </c>
      <c r="Y148" s="67">
        <f t="shared" si="121"/>
        <v>23.299299999999999</v>
      </c>
      <c r="Z148" s="67">
        <f t="shared" si="122"/>
        <v>1.5599999999999999E-2</v>
      </c>
      <c r="AA148" s="67">
        <f t="shared" si="123"/>
        <v>23.2837</v>
      </c>
      <c r="AB148" s="64" t="str">
        <f>VLOOKUP(A148,Enforcements!$C$7:$K$21,8,0)</f>
        <v>Bulletin (2)</v>
      </c>
      <c r="AC148" s="60" t="str">
        <f>VLOOKUP(A148,Enforcements!$C$7:$E$21,3,0)</f>
        <v>GRADE CROSSING</v>
      </c>
      <c r="AD148" s="61" t="str">
        <f t="shared" si="124"/>
        <v>0234-21</v>
      </c>
      <c r="AE148" s="91" t="str">
        <f t="shared" si="125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48" s="88" t="str">
        <f t="shared" si="126"/>
        <v>"C:\Program Files (x86)\AstroGrep\AstroGrep.exe" /spath="%USERPROFILE%\AppData\Local\Temp\OnboardLogs" /stypes="app*4028*20161022*" /stext=" 05:.+((SYSTEM_STATE.+slice.+state.+changed )|(ment ac)|(system.+state.+changed )|(\[timeout)|(PRM\|1\|D)|(kpr)|(kdp)|(\|lc)|(penalty))" /e /r /s</v>
      </c>
      <c r="AG148" s="1" t="str">
        <f t="shared" si="127"/>
        <v>EC</v>
      </c>
      <c r="AH148" s="92" t="str">
        <f t="shared" si="128"/>
        <v>"%USERPROFILE%\Documents\GitHub\eaglep3\Utilities\RefineRTDCRunTimes.py" --tripid 234-21 --locoid 4028 --swversion DE.1.0.7.0 --startMP 204:232993 --initTime 2016-10-21T22:53:35 --startdatetime 2016-10-21T22:56:28 --delay 1 --endMP 204:156 --enddatetime 2016-10-21T23:39:55 --enforcementcount 0 &gt;&gt;C:\Users\stu\Documents\GitHub\eaglep3-reporting\EC\2016-10-21-refined-times.txt</v>
      </c>
      <c r="AI148" s="122" t="str">
        <f t="shared" si="129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ID","value":"234-21"},{"id":16,"name":"Locomotive ID","value":"4028"},{"id":130,"name":"Impact","value":""},{"id":150,"name":"Time of Event (Mountain Time)","value":"23:39:55"},{"id":151,"name":"Denver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604</v>
      </c>
      <c r="B149" s="7">
        <v>4009</v>
      </c>
      <c r="C149" s="22" t="s">
        <v>99</v>
      </c>
      <c r="D149" s="22" t="s">
        <v>657</v>
      </c>
      <c r="E149" s="13">
        <v>42664.930543981478</v>
      </c>
      <c r="F149" s="13">
        <v>42664.937800925924</v>
      </c>
      <c r="G149" s="7">
        <v>2</v>
      </c>
      <c r="H149" s="13" t="s">
        <v>225</v>
      </c>
      <c r="I149" s="13">
        <v>42664.964224537034</v>
      </c>
      <c r="J149" s="7">
        <v>0</v>
      </c>
      <c r="K149" s="112" t="str">
        <f t="shared" si="113"/>
        <v>4009/4010</v>
      </c>
      <c r="L149" s="22" t="str">
        <f>VLOOKUP(A149,'Trips&amp;Operators'!$C$1:$E$10000,3,FALSE)</f>
        <v>STURGEON</v>
      </c>
      <c r="M149" s="6">
        <f t="shared" si="114"/>
        <v>2.6423611110658385E-2</v>
      </c>
      <c r="N149" s="7">
        <f t="shared" si="115"/>
        <v>38.049999999348074</v>
      </c>
      <c r="O149" s="7"/>
      <c r="P149" s="7"/>
      <c r="Q149" s="23"/>
      <c r="R149" s="23"/>
      <c r="S149" s="35">
        <f t="shared" si="116"/>
        <v>1</v>
      </c>
      <c r="T149" s="50" t="str">
        <f t="shared" si="117"/>
        <v>NorthBound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21:19:59-0600',mode:absolute,to:'2016-10-22 00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9" s="52" t="str">
        <f t="shared" si="119"/>
        <v>N</v>
      </c>
      <c r="X149" s="171">
        <f t="shared" si="120"/>
        <v>1</v>
      </c>
      <c r="Y149" s="67">
        <f t="shared" si="121"/>
        <v>4.7300000000000002E-2</v>
      </c>
      <c r="Z149" s="67">
        <f t="shared" si="122"/>
        <v>23.3293</v>
      </c>
      <c r="AA149" s="67">
        <f t="shared" si="123"/>
        <v>23.282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124"/>
        <v>0235-21</v>
      </c>
      <c r="AE149" s="91" t="str">
        <f t="shared" si="125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49" s="88" t="str">
        <f t="shared" si="126"/>
        <v>"C:\Program Files (x86)\AstroGrep\AstroGrep.exe" /spath="%USERPROFILE%\AppData\Local\Temp\OnboardLogs" /stypes="app*4009*20161022*" /stext=" 05:.+((SYSTEM_STATE.+slice.+state.+changed )|(ment ac)|(system.+state.+changed )|(\[timeout)|(PRM\|1\|D)|(kpr)|(kdp)|(\|lc)|(penalty))" /e /r /s</v>
      </c>
      <c r="AG149" s="1" t="str">
        <f t="shared" si="127"/>
        <v>EC</v>
      </c>
      <c r="AH149" s="92" t="str">
        <f t="shared" si="128"/>
        <v>"%USERPROFILE%\Documents\GitHub\eaglep3\Utilities\RefineRTDCRunTimes.py" --tripid 235-21 --locoid 4009 --swversion DE.1.0.7.0 --startMP 204:473 --initTime 2016-10-21T22:19:59 --startdatetime 2016-10-21T22:30:26 --delay 2 --endMP 204:233293 --enddatetime 2016-10-21T23:08:29 --enforcementcount 0 &gt;&gt;C:\Users\stu\Documents\GitHub\eaglep3-reporting\EC\2016-10-21-refined-times.txt</v>
      </c>
      <c r="AI149" s="122" t="str">
        <f t="shared" si="129"/>
        <v>echo {"issue":{"subject":"","project_id":79,"tracker_id":40,"status_id":1,"priority_id":2,"assigned_to_id":23,"start_date":"2016-10-21","description":"","custom_fields":[{"id":1,"name":"Subdivision","value":"EC"},{"id":4,"name":"Milepost","value":"23.3293"},{"id":17,"name":"Train ID","value":"235-21"},{"id":16,"name":"Locomotive ID","value":"4009"},{"id":130,"name":"Impact","value":""},{"id":150,"name":"Time of Event (Mountain Time)","value":"23:08:29"},{"id":151,"name":"Denver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608</v>
      </c>
      <c r="B150" s="7">
        <v>4010</v>
      </c>
      <c r="C150" s="22" t="s">
        <v>99</v>
      </c>
      <c r="D150" s="22" t="s">
        <v>695</v>
      </c>
      <c r="E150" s="13">
        <v>42664.966296296298</v>
      </c>
      <c r="F150" s="13">
        <v>42664.976620370369</v>
      </c>
      <c r="G150" s="7">
        <v>1</v>
      </c>
      <c r="H150" s="13" t="s">
        <v>286</v>
      </c>
      <c r="I150" s="13">
        <v>42665.005833333336</v>
      </c>
      <c r="J150" s="7">
        <v>0</v>
      </c>
      <c r="K150" s="112" t="str">
        <f t="shared" si="113"/>
        <v>4009/4010</v>
      </c>
      <c r="L150" s="22" t="str">
        <f>VLOOKUP(A150,'Trips&amp;Operators'!$C$1:$E$10000,3,FALSE)</f>
        <v>STURGEON</v>
      </c>
      <c r="M150" s="6">
        <f t="shared" si="114"/>
        <v>2.9212962966994382E-2</v>
      </c>
      <c r="N150" s="7">
        <f t="shared" si="115"/>
        <v>42.066666672471911</v>
      </c>
      <c r="O150" s="7"/>
      <c r="P150" s="7"/>
      <c r="Q150" s="23"/>
      <c r="R150" s="23"/>
      <c r="S150" s="35">
        <f t="shared" si="116"/>
        <v>1</v>
      </c>
      <c r="T150" s="50" t="str">
        <f t="shared" si="117"/>
        <v>Southbound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22:11:28-0600',mode:absolute,to:'2016-10-22 01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0" s="52" t="str">
        <f t="shared" si="119"/>
        <v>N</v>
      </c>
      <c r="X150" s="171">
        <f t="shared" si="120"/>
        <v>1</v>
      </c>
      <c r="Y150" s="67">
        <f t="shared" si="121"/>
        <v>23.296199999999999</v>
      </c>
      <c r="Z150" s="67">
        <f t="shared" si="122"/>
        <v>1.5800000000000002E-2</v>
      </c>
      <c r="AA150" s="67">
        <f t="shared" si="123"/>
        <v>23.2804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124"/>
        <v>0236-21</v>
      </c>
      <c r="AE150" s="91" t="str">
        <f t="shared" si="125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50" s="88" t="str">
        <f t="shared" si="126"/>
        <v>"C:\Program Files (x86)\AstroGrep\AstroGrep.exe" /spath="%USERPROFILE%\AppData\Local\Temp\OnboardLogs" /stypes="app*4010*20161022*" /stext=" 06:.+((SYSTEM_STATE.+slice.+state.+changed )|(ment ac)|(system.+state.+changed )|(\[timeout)|(PRM\|1\|D)|(kpr)|(kdp)|(\|lc)|(penalty))" /e /r /s</v>
      </c>
      <c r="AG150" s="1" t="str">
        <f t="shared" si="127"/>
        <v>EC</v>
      </c>
      <c r="AH150" s="92" t="str">
        <f t="shared" si="128"/>
        <v>"%USERPROFILE%\Documents\GitHub\eaglep3\Utilities\RefineRTDCRunTimes.py" --tripid 236-21 --locoid 4010 --swversion DE.1.0.7.0 --startMP 204:232962 --initTime 2016-10-21T23:11:28 --startdatetime 2016-10-21T23:26:20 --delay 1 --endMP 204:158 --enddatetime 2016-10-22T00:08:24 --enforcementcount 0 &gt;&gt;C:\Users\stu\Documents\GitHub\eaglep3-reporting\EC\2016-10-21-refined-times.txt</v>
      </c>
      <c r="AI150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{"issue":{"subject":"","project_id":79,"tracker_id":40,"status_id":1,"priority_id":2,"assigned_to_id":23,"start_date":"2016-10-22","description":"","custom_fields":[{"id":1,"name":"Subdivision","value":"EC"},{"id":4,"name":"Milepost","value":"0.0158"},{"id":17,"name":"Train ID","value":"236-21"},{"id":16,"name":"Locomotive ID","value":"4010"},{"id":130,"name":"Impact","value":""},{"id":150,"name":"Time of Event (Mountain Time)","value":"00:08:24"},{"id":151,"name":"Denver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606</v>
      </c>
      <c r="B151" s="7">
        <v>4014</v>
      </c>
      <c r="C151" s="22" t="s">
        <v>99</v>
      </c>
      <c r="D151" s="22" t="s">
        <v>240</v>
      </c>
      <c r="E151" s="13">
        <v>42664.94809027778</v>
      </c>
      <c r="F151" s="13">
        <v>42664.958645833336</v>
      </c>
      <c r="G151" s="7">
        <v>6</v>
      </c>
      <c r="H151" s="13" t="s">
        <v>361</v>
      </c>
      <c r="I151" s="13">
        <v>42664.985011574077</v>
      </c>
      <c r="J151" s="7">
        <v>0</v>
      </c>
      <c r="K151" s="112" t="str">
        <f t="shared" si="113"/>
        <v>4013/4014</v>
      </c>
      <c r="L151" s="22" t="str">
        <f>VLOOKUP(A151,'Trips&amp;Operators'!$C$1:$E$10000,3,FALSE)</f>
        <v>MATTHEWS</v>
      </c>
      <c r="M151" s="6">
        <f t="shared" si="114"/>
        <v>2.6365740741312038E-2</v>
      </c>
      <c r="N151" s="7">
        <f t="shared" si="115"/>
        <v>37.966666667489335</v>
      </c>
      <c r="O151" s="7"/>
      <c r="P151" s="7"/>
      <c r="Q151" s="23"/>
      <c r="R151" s="23"/>
      <c r="S151" s="35">
        <f t="shared" si="116"/>
        <v>1</v>
      </c>
      <c r="T151" s="50" t="str">
        <f t="shared" si="117"/>
        <v>NorthBound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21:45:15-0600',mode:absolute,to:'2016-10-22 00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1" s="52" t="str">
        <f t="shared" si="119"/>
        <v>N</v>
      </c>
      <c r="X151" s="171">
        <f t="shared" si="120"/>
        <v>1</v>
      </c>
      <c r="Y151" s="67">
        <f t="shared" si="121"/>
        <v>4.5999999999999999E-2</v>
      </c>
      <c r="Z151" s="67">
        <f t="shared" si="122"/>
        <v>23.333600000000001</v>
      </c>
      <c r="AA151" s="67">
        <f t="shared" si="123"/>
        <v>23.287600000000001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124"/>
        <v>0237-21</v>
      </c>
      <c r="AE151" s="91" t="str">
        <f t="shared" si="125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51" s="88" t="str">
        <f t="shared" si="126"/>
        <v>"C:\Program Files (x86)\AstroGrep\AstroGrep.exe" /spath="%USERPROFILE%\AppData\Local\Temp\OnboardLogs" /stypes="app*4014*20161022*" /stext=" 05:.+((SYSTEM_STATE.+slice.+state.+changed )|(ment ac)|(system.+state.+changed )|(\[timeout)|(PRM\|1\|D)|(kpr)|(kdp)|(\|lc)|(penalty))" /e /r /s</v>
      </c>
      <c r="AG151" s="1" t="str">
        <f t="shared" si="127"/>
        <v>EC</v>
      </c>
      <c r="AH151" s="92" t="str">
        <f t="shared" si="128"/>
        <v>"%USERPROFILE%\Documents\GitHub\eaglep3\Utilities\RefineRTDCRunTimes.py" --tripid 237-21 --locoid 4014 --swversion DE.1.0.7.0 --startMP 204:460 --initTime 2016-10-21T22:45:15 --startdatetime 2016-10-21T23:00:27 --delay 6 --endMP 204:233336 --enddatetime 2016-10-21T23:38:25 --enforcementcount 0 &gt;&gt;C:\Users\stu\Documents\GitHub\eaglep3-reporting\EC\2016-10-21-refined-times.txt</v>
      </c>
      <c r="AI151" s="122" t="str">
        <f t="shared" si="129"/>
        <v>echo {"issue":{"subject":"","project_id":79,"tracker_id":40,"status_id":1,"priority_id":2,"assigned_to_id":23,"start_date":"2016-10-21","description":"","custom_fields":[{"id":1,"name":"Subdivision","value":"EC"},{"id":4,"name":"Milepost","value":"23.3336"},{"id":17,"name":"Train ID","value":"237-21"},{"id":16,"name":"Locomotive ID","value":"4014"},{"id":130,"name":"Impact","value":""},{"id":150,"name":"Time of Event (Mountain Time)","value":"23:38:25"},{"id":151,"name":"Denver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609</v>
      </c>
      <c r="B152" s="7">
        <v>4013</v>
      </c>
      <c r="C152" s="22" t="s">
        <v>99</v>
      </c>
      <c r="D152" s="22" t="s">
        <v>330</v>
      </c>
      <c r="E152" s="13">
        <v>42664.990335648145</v>
      </c>
      <c r="F152" s="13">
        <v>42664.997615740744</v>
      </c>
      <c r="G152" s="7">
        <v>1</v>
      </c>
      <c r="H152" s="13" t="s">
        <v>220</v>
      </c>
      <c r="I152" s="13">
        <v>42665.024710648147</v>
      </c>
      <c r="J152" s="7">
        <v>0</v>
      </c>
      <c r="K152" s="112" t="str">
        <f t="shared" si="113"/>
        <v>4013/4014</v>
      </c>
      <c r="L152" s="22" t="str">
        <f>VLOOKUP(A152,'Trips&amp;Operators'!$C$1:$E$10000,3,FALSE)</f>
        <v>MATTHEWS</v>
      </c>
      <c r="M152" s="6">
        <f t="shared" si="114"/>
        <v>2.7094907403807156E-2</v>
      </c>
      <c r="N152" s="7">
        <f t="shared" si="115"/>
        <v>39.016666661482304</v>
      </c>
      <c r="O152" s="7"/>
      <c r="P152" s="7"/>
      <c r="Q152" s="23"/>
      <c r="R152" s="23"/>
      <c r="S152" s="35">
        <f t="shared" si="116"/>
        <v>1</v>
      </c>
      <c r="T152" s="50" t="str">
        <f t="shared" si="117"/>
        <v>Southbound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22:46:05-0600',mode:absolute,to:'2016-10-22 01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2" s="52" t="str">
        <f t="shared" si="119"/>
        <v>N</v>
      </c>
      <c r="X152" s="171">
        <f t="shared" si="120"/>
        <v>1</v>
      </c>
      <c r="Y152" s="67">
        <f t="shared" si="121"/>
        <v>23.2989</v>
      </c>
      <c r="Z152" s="67">
        <f t="shared" si="122"/>
        <v>1.61E-2</v>
      </c>
      <c r="AA152" s="67">
        <f t="shared" si="123"/>
        <v>23.282799999999998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124"/>
        <v>0238-21</v>
      </c>
      <c r="AE152" s="91" t="str">
        <f t="shared" si="125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52" s="88" t="str">
        <f t="shared" si="126"/>
        <v>"C:\Program Files (x86)\AstroGrep\AstroGrep.exe" /spath="%USERPROFILE%\AppData\Local\Temp\OnboardLogs" /stypes="app*4013*20161022*" /stext=" 06:.+((SYSTEM_STATE.+slice.+state.+changed )|(ment ac)|(system.+state.+changed )|(\[timeout)|(PRM\|1\|D)|(kpr)|(kdp)|(\|lc)|(penalty))" /e /r /s</v>
      </c>
      <c r="AG152" s="1" t="str">
        <f t="shared" si="127"/>
        <v>EC</v>
      </c>
      <c r="AH152" s="92" t="str">
        <f t="shared" si="128"/>
        <v>"%USERPROFILE%\Documents\GitHub\eaglep3\Utilities\RefineRTDCRunTimes.py" --tripid 238-21 --locoid 4013 --swversion DE.1.0.7.0 --startMP 204:232989 --initTime 2016-10-21T23:46:05 --startdatetime 2016-10-21T23:56:34 --delay 1 --endMP 204:161 --enddatetime 2016-10-22T00:35:35 --enforcementcount 0 &gt;&gt;C:\Users\stu\Documents\GitHub\eaglep3-reporting\EC\2016-10-21-refined-times.txt</v>
      </c>
      <c r="AI152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{"issue":{"subject":"","project_id":79,"tracker_id":40,"status_id":1,"priority_id":2,"assigned_to_id":23,"start_date":"2016-10-22","description":"","custom_fields":[{"id":1,"name":"Subdivision","value":"EC"},{"id":4,"name":"Milepost","value":"0.0161"},{"id":17,"name":"Train ID","value":"238-21"},{"id":16,"name":"Locomotive ID","value":"4013"},{"id":130,"name":"Impact","value":""},{"id":150,"name":"Time of Event (Mountain Time)","value":"00:35:35"},{"id":151,"name":"Denver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607</v>
      </c>
      <c r="B153" s="7">
        <v>4016</v>
      </c>
      <c r="C153" s="22" t="s">
        <v>99</v>
      </c>
      <c r="D153" s="22" t="s">
        <v>237</v>
      </c>
      <c r="E153" s="13">
        <v>42664.963865740741</v>
      </c>
      <c r="F153" s="13">
        <v>42664.97934027778</v>
      </c>
      <c r="G153" s="7">
        <v>0</v>
      </c>
      <c r="H153" s="13" t="s">
        <v>276</v>
      </c>
      <c r="I153" s="13">
        <v>42665.003900462965</v>
      </c>
      <c r="J153" s="7">
        <v>0</v>
      </c>
      <c r="K153" s="112" t="str">
        <f t="shared" si="113"/>
        <v>4015/4016</v>
      </c>
      <c r="L153" s="22" t="str">
        <f>VLOOKUP(A153,'Trips&amp;Operators'!$C$1:$E$10000,3,FALSE)</f>
        <v>YANAI</v>
      </c>
      <c r="M153" s="6">
        <f t="shared" si="114"/>
        <v>2.4560185185691807E-2</v>
      </c>
      <c r="N153" s="7">
        <f t="shared" si="115"/>
        <v>35.366666667396203</v>
      </c>
      <c r="O153" s="7"/>
      <c r="P153" s="7"/>
      <c r="Q153" s="23"/>
      <c r="R153" s="23"/>
      <c r="S153" s="35">
        <f t="shared" si="116"/>
        <v>1</v>
      </c>
      <c r="T153" s="50" t="str">
        <f t="shared" si="117"/>
        <v>NorthBound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22:07:58-0600',mode:absolute,to:'2016-10-22 01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119"/>
        <v>N</v>
      </c>
      <c r="X153" s="171">
        <f t="shared" si="120"/>
        <v>1</v>
      </c>
      <c r="Y153" s="67">
        <f t="shared" si="121"/>
        <v>4.4600000000000001E-2</v>
      </c>
      <c r="Z153" s="67">
        <f t="shared" si="122"/>
        <v>23.330400000000001</v>
      </c>
      <c r="AA153" s="67">
        <f t="shared" si="123"/>
        <v>23.285800000000002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124"/>
        <v>0239-21</v>
      </c>
      <c r="AE153" s="91" t="str">
        <f t="shared" si="125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53" s="88" t="str">
        <f t="shared" si="126"/>
        <v>"C:\Program Files (x86)\AstroGrep\AstroGrep.exe" /spath="%USERPROFILE%\AppData\Local\Temp\OnboardLogs" /stypes="app*4016*20161022*" /stext=" 06:.+((SYSTEM_STATE.+slice.+state.+changed )|(ment ac)|(system.+state.+changed )|(\[timeout)|(PRM\|1\|D)|(kpr)|(kdp)|(\|lc)|(penalty))" /e /r /s</v>
      </c>
      <c r="AG153" s="1" t="str">
        <f t="shared" si="127"/>
        <v>EC</v>
      </c>
      <c r="AH153" s="92" t="str">
        <f t="shared" si="128"/>
        <v>"%USERPROFILE%\Documents\GitHub\eaglep3\Utilities\RefineRTDCRunTimes.py" --tripid 239-21 --locoid 4016 --swversion DE.1.0.7.0 --startMP 204:446 --initTime 2016-10-21T23:07:58 --startdatetime 2016-10-21T23:30:15 --delay 0 --endMP 204:233304 --enddatetime 2016-10-22T00:05:37 --enforcementcount 0 &gt;&gt;C:\Users\stu\Documents\GitHub\eaglep3-reporting\EC\2016-10-21-refined-times.txt</v>
      </c>
      <c r="AI153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{"issue":{"subject":"","project_id":79,"tracker_id":40,"status_id":1,"priority_id":2,"assigned_to_id":23,"start_date":"2016-10-22","description":"","custom_fields":[{"id":1,"name":"Subdivision","value":"EC"},{"id":4,"name":"Milepost","value":"23.3304"},{"id":17,"name":"Train ID","value":"239-21"},{"id":16,"name":"Locomotive ID","value":"4016"},{"id":130,"name":"Impact","value":""},{"id":150,"name":"Time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610</v>
      </c>
      <c r="B154" s="7">
        <v>4015</v>
      </c>
      <c r="C154" s="22" t="s">
        <v>99</v>
      </c>
      <c r="D154" s="22" t="s">
        <v>631</v>
      </c>
      <c r="E154" s="13">
        <v>42665.009386574071</v>
      </c>
      <c r="F154" s="13">
        <v>42665.018414351849</v>
      </c>
      <c r="G154" s="7">
        <v>1</v>
      </c>
      <c r="H154" s="13" t="s">
        <v>222</v>
      </c>
      <c r="I154" s="13">
        <v>42665.044236111113</v>
      </c>
      <c r="J154" s="7">
        <v>0</v>
      </c>
      <c r="K154" s="112" t="str">
        <f t="shared" si="113"/>
        <v>4015/4016</v>
      </c>
      <c r="L154" s="22" t="str">
        <f>VLOOKUP(A154,'Trips&amp;Operators'!$C$1:$E$10000,3,FALSE)</f>
        <v>YANAI</v>
      </c>
      <c r="M154" s="6">
        <f t="shared" si="114"/>
        <v>2.5821759263635613E-2</v>
      </c>
      <c r="N154" s="7">
        <f t="shared" si="115"/>
        <v>37.183333339635283</v>
      </c>
      <c r="O154" s="7"/>
      <c r="P154" s="7"/>
      <c r="Q154" s="23"/>
      <c r="R154" s="23"/>
      <c r="S154" s="35">
        <f t="shared" si="116"/>
        <v>1</v>
      </c>
      <c r="T154" s="50" t="str">
        <f t="shared" si="117"/>
        <v>Southbound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23:13:31-0600',mode:absolute,to:'2016-10-22 02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 t="shared" si="119"/>
        <v>N</v>
      </c>
      <c r="X154" s="171">
        <f t="shared" si="120"/>
        <v>1</v>
      </c>
      <c r="Y154" s="67">
        <f t="shared" si="121"/>
        <v>23.298500000000001</v>
      </c>
      <c r="Z154" s="67">
        <f t="shared" si="122"/>
        <v>1.4500000000000001E-2</v>
      </c>
      <c r="AA154" s="67">
        <f t="shared" si="123"/>
        <v>23.283999999999999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124"/>
        <v>0240-21</v>
      </c>
      <c r="AE154" s="91" t="str">
        <f t="shared" si="125"/>
        <v>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 &amp; 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</v>
      </c>
      <c r="AF154" s="88" t="str">
        <f t="shared" si="126"/>
        <v>"C:\Program Files (x86)\AstroGrep\AstroGrep.exe" /spath="%USERPROFILE%\AppData\Local\Temp\OnboardLogs" /stypes="app*4015*20161022*" /stext=" 07:.+((SYSTEM_STATE.+slice.+state.+changed )|(ment ac)|(system.+state.+changed )|(\[timeout)|(PRM\|1\|D)|(kpr)|(kdp)|(\|lc)|(penalty))" /e /r /s</v>
      </c>
      <c r="AG154" s="1" t="str">
        <f t="shared" si="127"/>
        <v>EC</v>
      </c>
      <c r="AH154" s="92" t="str">
        <f t="shared" si="128"/>
        <v>"%USERPROFILE%\Documents\GitHub\eaglep3\Utilities\RefineRTDCRunTimes.py" --tripid 240-21 --locoid 4015 --swversion DE.1.0.7.0 --startMP 204:232985 --initTime 2016-10-22T00:13:31 --startdatetime 2016-10-22T00:26:31 --delay 1 --endMP 204:145 --enddatetime 2016-10-22T01:03:42 --enforcementcount 0 &gt;&gt;C:\Users\stu\Documents\GitHub\eaglep3-reporting\EC\2016-10-21-refined-times.txt</v>
      </c>
      <c r="AI154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{"issue":{"subject":"","project_id":79,"tracker_id":40,"status_id":1,"priority_id":2,"assigned_to_id":23,"start_date":"2016-10-22","description":"","custom_fields":[{"id":1,"name":"Subdivision","value":"EC"},{"id":4,"name":"Milepost","value":"0.0145"},{"id":17,"name":"Train ID","value":"240-21"},{"id":16,"name":"Locomotive ID","value":"4015"},{"id":130,"name":"Impact","value":""},{"id":150,"name":"Time of Event (Mountain Time)","value":"01:03:42"},{"id":151,"name":"Denver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437</v>
      </c>
      <c r="B155" s="7">
        <v>4027</v>
      </c>
      <c r="C155" s="22" t="s">
        <v>99</v>
      </c>
      <c r="D155" s="22" t="s">
        <v>223</v>
      </c>
      <c r="E155" s="13">
        <v>42664.999421296299</v>
      </c>
      <c r="F155" s="13">
        <v>42665.000625000001</v>
      </c>
      <c r="G155" s="7">
        <v>1</v>
      </c>
      <c r="H155" s="13" t="s">
        <v>696</v>
      </c>
      <c r="I155" s="13">
        <v>42665.026643518519</v>
      </c>
      <c r="J155" s="7">
        <v>0</v>
      </c>
      <c r="K155" s="112" t="str">
        <f t="shared" si="113"/>
        <v>4027/4028</v>
      </c>
      <c r="L155" s="22" t="str">
        <f>VLOOKUP(A155,'Trips&amp;Operators'!$C$1:$E$10000,3,FALSE)</f>
        <v>CHANDLER</v>
      </c>
      <c r="M155" s="6">
        <f t="shared" si="114"/>
        <v>2.6018518517958E-2</v>
      </c>
      <c r="N155" s="7">
        <f t="shared" si="115"/>
        <v>37.46666666585952</v>
      </c>
      <c r="O155" s="7"/>
      <c r="P155" s="7"/>
      <c r="Q155" s="23"/>
      <c r="R155" s="23"/>
      <c r="S155" s="35">
        <f t="shared" si="116"/>
        <v>1</v>
      </c>
      <c r="T155" s="50" t="str">
        <f t="shared" si="117"/>
        <v>NorthBound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22:59:10-0600',mode:absolute,to:'2016-10-22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5" s="52" t="str">
        <f t="shared" si="119"/>
        <v>N</v>
      </c>
      <c r="X155" s="171">
        <f t="shared" si="120"/>
        <v>1</v>
      </c>
      <c r="Y155" s="67">
        <f t="shared" si="121"/>
        <v>4.58E-2</v>
      </c>
      <c r="Z155" s="67">
        <f t="shared" si="122"/>
        <v>23.328700000000001</v>
      </c>
      <c r="AA155" s="67">
        <f t="shared" si="123"/>
        <v>23.282900000000001</v>
      </c>
      <c r="AB155" s="64" t="str">
        <f>VLOOKUP(A155,Enforcements!$C$7:$K$21,8,0)</f>
        <v>Speed (6)</v>
      </c>
      <c r="AC155" s="60" t="str">
        <f>VLOOKUP(A155,Enforcements!$C$7:$E$21,3,0)</f>
        <v>PERMANENT SPEED RESTRICTION</v>
      </c>
      <c r="AD155" s="61" t="str">
        <f t="shared" si="124"/>
        <v>0241-21</v>
      </c>
      <c r="AE155" s="91" t="str">
        <f t="shared" si="125"/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AF155" s="88" t="str">
        <f t="shared" si="126"/>
        <v>"C:\Program Files (x86)\AstroGrep\AstroGrep.exe" /spath="%USERPROFILE%\AppData\Local\Temp\OnboardLogs" /stypes="app*4027*20161022*" /stext=" 06:.+((SYSTEM_STATE.+slice.+state.+changed )|(ment ac)|(system.+state.+changed )|(\[timeout)|(PRM\|1\|D)|(kpr)|(kdp)|(\|lc)|(penalty))" /e /r /s</v>
      </c>
      <c r="AG155" s="1" t="str">
        <f t="shared" si="127"/>
        <v>EC</v>
      </c>
      <c r="AH155" s="92" t="str">
        <f t="shared" si="128"/>
        <v>"%USERPROFILE%\Documents\GitHub\eaglep3\Utilities\RefineRTDCRunTimes.py" --tripid 241-21 --locoid 4027 --swversion DE.1.0.7.0 --startMP 204:458 --initTime 2016-10-21T23:59:10 --startdatetime 2016-10-22T00:00:54 --delay 1 --endMP 204:233287 --enddatetime 2016-10-22T00:38:22 --enforcementcount 0 &gt;&gt;C:\Users\stu\Documents\GitHub\eaglep3-reporting\EC\2016-10-21-refined-times.txt</v>
      </c>
      <c r="AI155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{"issue":{"subject":"","project_id":79,"tracker_id":40,"status_id":1,"priority_id":2,"assigned_to_id":23,"start_date":"2016-10-22","description":"","custom_fields":[{"id":1,"name":"Subdivision","value":"EC"},{"id":4,"name":"Milepost","value":"23.3287"},{"id":17,"name":"Train ID","value":"241-21"},{"id":16,"name":"Locomotive ID","value":"4027"},{"id":130,"name":"Impact","value":""},{"id":150,"name":"Time of Event (Mountain Time)","value":"00:38:22"},{"id":151,"name":"Denver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612</v>
      </c>
      <c r="B156" s="7">
        <v>4028</v>
      </c>
      <c r="C156" s="22" t="s">
        <v>99</v>
      </c>
      <c r="D156" s="22" t="s">
        <v>642</v>
      </c>
      <c r="E156" s="13">
        <v>42665.036874999998</v>
      </c>
      <c r="F156" s="13">
        <v>42665.039224537039</v>
      </c>
      <c r="G156" s="7">
        <v>1</v>
      </c>
      <c r="H156" s="13" t="s">
        <v>227</v>
      </c>
      <c r="I156" s="13">
        <v>42665.066458333335</v>
      </c>
      <c r="J156" s="7">
        <v>0</v>
      </c>
      <c r="K156" s="112" t="str">
        <f t="shared" si="113"/>
        <v>4027/4028</v>
      </c>
      <c r="L156" s="22" t="str">
        <f>VLOOKUP(A156,'Trips&amp;Operators'!$C$1:$E$10000,3,FALSE)</f>
        <v>CHANDLER</v>
      </c>
      <c r="M156" s="6">
        <f t="shared" si="114"/>
        <v>2.7233796296059154E-2</v>
      </c>
      <c r="N156" s="7">
        <f t="shared" si="115"/>
        <v>39.216666666325182</v>
      </c>
      <c r="O156" s="7"/>
      <c r="P156" s="7"/>
      <c r="Q156" s="23"/>
      <c r="R156" s="23"/>
      <c r="S156" s="35">
        <f t="shared" si="116"/>
        <v>1</v>
      </c>
      <c r="T156" s="50" t="str">
        <f t="shared" si="117"/>
        <v>Southbound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23:53:06-0600',mode:absolute,to:'2016-10-22 02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6" s="52" t="str">
        <f t="shared" si="119"/>
        <v>N</v>
      </c>
      <c r="X156" s="171">
        <f t="shared" si="120"/>
        <v>1</v>
      </c>
      <c r="Y156" s="67">
        <f t="shared" si="121"/>
        <v>23.297599999999999</v>
      </c>
      <c r="Z156" s="67">
        <f t="shared" si="122"/>
        <v>1.4999999999999999E-2</v>
      </c>
      <c r="AA156" s="67">
        <f t="shared" si="123"/>
        <v>23.282599999999999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124"/>
        <v>0242-21</v>
      </c>
      <c r="AE156" s="91" t="str">
        <f t="shared" si="125"/>
        <v>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 &amp; 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</v>
      </c>
      <c r="AF156" s="88" t="str">
        <f t="shared" si="126"/>
        <v>"C:\Program Files (x86)\AstroGrep\AstroGrep.exe" /spath="%USERPROFILE%\AppData\Local\Temp\OnboardLogs" /stypes="app*4028*20161022*" /stext=" 07:.+((SYSTEM_STATE.+slice.+state.+changed )|(ment ac)|(system.+state.+changed )|(\[timeout)|(PRM\|1\|D)|(kpr)|(kdp)|(\|lc)|(penalty))" /e /r /s</v>
      </c>
      <c r="AG156" s="1" t="str">
        <f t="shared" si="127"/>
        <v>EC</v>
      </c>
      <c r="AH156" s="92" t="str">
        <f t="shared" si="128"/>
        <v>"%USERPROFILE%\Documents\GitHub\eaglep3\Utilities\RefineRTDCRunTimes.py" --tripid 242-21 --locoid 4028 --swversion DE.1.0.7.0 --startMP 204:232976 --initTime 2016-10-22T00:53:06 --startdatetime 2016-10-22T00:56:29 --delay 1 --endMP 204:150 --enddatetime 2016-10-22T01:35:42 --enforcementcount 0 &gt;&gt;C:\Users\stu\Documents\GitHub\eaglep3-reporting\EC\2016-10-21-refined-times.txt</v>
      </c>
      <c r="AI156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ID","value":"242-21"},{"id":16,"name":"Locomotive ID","value":"4028"},{"id":130,"name":"Impact","value":""},{"id":150,"name":"Time of Event (Mountain Time)","value":"01:35:42"},{"id":151,"name":"Denver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611</v>
      </c>
      <c r="B157" s="7">
        <v>4009</v>
      </c>
      <c r="C157" s="22" t="s">
        <v>99</v>
      </c>
      <c r="D157" s="22" t="s">
        <v>357</v>
      </c>
      <c r="E157" s="13">
        <v>42665.013611111113</v>
      </c>
      <c r="F157" s="13">
        <v>42665.021099537036</v>
      </c>
      <c r="G157" s="7">
        <v>5</v>
      </c>
      <c r="H157" s="13" t="s">
        <v>654</v>
      </c>
      <c r="I157" s="13">
        <v>42665.04755787037</v>
      </c>
      <c r="J157" s="7">
        <v>0</v>
      </c>
      <c r="K157" s="112" t="str">
        <f t="shared" si="113"/>
        <v>4009/4010</v>
      </c>
      <c r="L157" s="22" t="str">
        <f>VLOOKUP(A157,'Trips&amp;Operators'!$C$1:$E$10000,3,FALSE)</f>
        <v>STURGEON</v>
      </c>
      <c r="M157" s="6">
        <f t="shared" si="114"/>
        <v>2.6458333333721384E-2</v>
      </c>
      <c r="N157" s="7">
        <f t="shared" si="115"/>
        <v>38.100000000558794</v>
      </c>
      <c r="O157" s="7"/>
      <c r="P157" s="7"/>
      <c r="Q157" s="23"/>
      <c r="R157" s="23"/>
      <c r="S157" s="35">
        <f t="shared" si="116"/>
        <v>1</v>
      </c>
      <c r="T157" s="50" t="str">
        <f t="shared" si="117"/>
        <v>NorthBound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23:19:36-0600',mode:absolute,to:'2016-10-22 02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 t="shared" si="119"/>
        <v>N</v>
      </c>
      <c r="X157" s="171">
        <f t="shared" si="120"/>
        <v>1</v>
      </c>
      <c r="Y157" s="67">
        <f t="shared" si="121"/>
        <v>4.8800000000000003E-2</v>
      </c>
      <c r="Z157" s="67">
        <f t="shared" si="122"/>
        <v>23.329799999999999</v>
      </c>
      <c r="AA157" s="67">
        <f t="shared" si="123"/>
        <v>23.280999999999999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124"/>
        <v>0243-21</v>
      </c>
      <c r="AE157" s="91" t="str">
        <f t="shared" si="125"/>
        <v>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 &amp; 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</v>
      </c>
      <c r="AF157" s="88" t="str">
        <f t="shared" si="126"/>
        <v>"C:\Program Files (x86)\AstroGrep\AstroGrep.exe" /spath="%USERPROFILE%\AppData\Local\Temp\OnboardLogs" /stypes="app*4009*20161022*" /stext=" 07:.+((SYSTEM_STATE.+slice.+state.+changed )|(ment ac)|(system.+state.+changed )|(\[timeout)|(PRM\|1\|D)|(kpr)|(kdp)|(\|lc)|(penalty))" /e /r /s</v>
      </c>
      <c r="AG157" s="1" t="str">
        <f t="shared" si="127"/>
        <v>EC</v>
      </c>
      <c r="AH157" s="92" t="str">
        <f t="shared" si="128"/>
        <v>"%USERPROFILE%\Documents\GitHub\eaglep3\Utilities\RefineRTDCRunTimes.py" --tripid 243-21 --locoid 4009 --swversion DE.1.0.7.0 --startMP 204:488 --initTime 2016-10-22T00:19:36 --startdatetime 2016-10-22T00:30:23 --delay 5 --endMP 204:233298 --enddatetime 2016-10-22T01:08:29 --enforcementcount 0 &gt;&gt;C:\Users\stu\Documents\GitHub\eaglep3-reporting\EC\2016-10-21-refined-times.txt</v>
      </c>
      <c r="AI157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{"issue":{"subject":"","project_id":79,"tracker_id":40,"status_id":1,"priority_id":2,"assigned_to_id":23,"start_date":"2016-10-22","description":"","custom_fields":[{"id":1,"name":"Subdivision","value":"EC"},{"id":4,"name":"Milepost","value":"23.3298"},{"id":17,"name":"Train ID","value":"243-21"},{"id":16,"name":"Locomotive ID","value":"4009"},{"id":130,"name":"Impact","value":""},{"id":150,"name":"Time of Event (Mountain Time)","value":"01:08:29"},{"id":151,"name":"Denver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615</v>
      </c>
      <c r="B158" s="7">
        <v>4010</v>
      </c>
      <c r="C158" s="22" t="s">
        <v>99</v>
      </c>
      <c r="D158" s="22" t="s">
        <v>363</v>
      </c>
      <c r="E158" s="13">
        <v>42665.05296296296</v>
      </c>
      <c r="F158" s="13">
        <v>42665.059930555559</v>
      </c>
      <c r="G158" s="7">
        <v>2</v>
      </c>
      <c r="H158" s="13" t="s">
        <v>335</v>
      </c>
      <c r="I158" s="13">
        <v>42665.088912037034</v>
      </c>
      <c r="J158" s="7">
        <v>0</v>
      </c>
      <c r="K158" s="112" t="str">
        <f t="shared" si="113"/>
        <v>4009/4010</v>
      </c>
      <c r="L158" s="22" t="str">
        <f>VLOOKUP(A158,'Trips&amp;Operators'!$C$1:$E$10000,3,FALSE)</f>
        <v>STURGEON</v>
      </c>
      <c r="M158" s="6">
        <f t="shared" si="114"/>
        <v>2.898148147505708E-2</v>
      </c>
      <c r="N158" s="7">
        <f t="shared" si="115"/>
        <v>41.733333324082196</v>
      </c>
      <c r="O158" s="7"/>
      <c r="P158" s="7"/>
      <c r="Q158" s="23"/>
      <c r="R158" s="23"/>
      <c r="S158" s="35">
        <f t="shared" si="116"/>
        <v>1</v>
      </c>
      <c r="T158" s="50" t="str">
        <f t="shared" si="117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https://search-rtdc-monitor-bjffxe2xuh6vdkpspy63sjmuny.us-east-1.es.amazonaws.com/_plugin/kibana/#/discover/Steve-Slow-Train-Analysis-(2080s-and-2083s)?_g=(refreshInterval:(display:Off,section:0,value:0),time:(from:'2016-10-22 00:16:16-0600',mode:absolute,to:'2016-10-22 03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8" s="52" t="str">
        <f t="shared" si="119"/>
        <v>N</v>
      </c>
      <c r="X158" s="171">
        <f t="shared" si="120"/>
        <v>1</v>
      </c>
      <c r="Y158" s="67">
        <f t="shared" si="121"/>
        <v>23.296600000000002</v>
      </c>
      <c r="Z158" s="67">
        <f t="shared" si="122"/>
        <v>1.6899999999999998E-2</v>
      </c>
      <c r="AA158" s="67">
        <f t="shared" si="123"/>
        <v>23.279700000000002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124"/>
        <v>0244-21</v>
      </c>
      <c r="AE158" s="91" t="str">
        <f t="shared" si="125"/>
        <v>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 &amp; 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</v>
      </c>
      <c r="AF158" s="88" t="str">
        <f t="shared" si="126"/>
        <v>"C:\Program Files (x86)\AstroGrep\AstroGrep.exe" /spath="%USERPROFILE%\AppData\Local\Temp\OnboardLogs" /stypes="app*4010*20161022*" /stext=" 08:.+((SYSTEM_STATE.+slice.+state.+changed )|(ment ac)|(system.+state.+changed )|(\[timeout)|(PRM\|1\|D)|(kpr)|(kdp)|(\|lc)|(penalty))" /e /r /s</v>
      </c>
      <c r="AG158" s="1" t="str">
        <f t="shared" si="127"/>
        <v>EC</v>
      </c>
      <c r="AH158" s="92" t="str">
        <f t="shared" si="128"/>
        <v>"%USERPROFILE%\Documents\GitHub\eaglep3\Utilities\RefineRTDCRunTimes.py" --tripid 244-21 --locoid 4010 --swversion DE.1.0.7.0 --startMP 204:232966 --initTime 2016-10-22T01:16:16 --startdatetime 2016-10-22T01:26:18 --delay 2 --endMP 204:169 --enddatetime 2016-10-22T02:08:02 --enforcementcount 0 &gt;&gt;C:\Users\stu\Documents\GitHub\eaglep3-reporting\EC\2016-10-21-refined-times.txt</v>
      </c>
      <c r="AI158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{"issue":{"subject":"","project_id":79,"tracker_id":40,"status_id":1,"priority_id":2,"assigned_to_id":23,"start_date":"2016-10-22","description":"","custom_fields":[{"id":1,"name":"Subdivision","value":"EC"},{"id":4,"name":"Milepost","value":"0.0169"},{"id":17,"name":"Train ID","value":"244-21"},{"id":16,"name":"Locomotive ID","value":"4010"},{"id":130,"name":"Impact","value":""},{"id":150,"name":"Time of Event (Mountain Time)","value":"02:08:02"},{"id":151,"name":"Denver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613</v>
      </c>
      <c r="B159" s="7">
        <v>4014</v>
      </c>
      <c r="C159" s="22" t="s">
        <v>99</v>
      </c>
      <c r="D159" s="22" t="s">
        <v>231</v>
      </c>
      <c r="E159" s="13">
        <v>42665.034351851849</v>
      </c>
      <c r="F159" s="13">
        <v>42665.041956018518</v>
      </c>
      <c r="G159" s="7">
        <v>6</v>
      </c>
      <c r="H159" s="13" t="s">
        <v>628</v>
      </c>
      <c r="I159" s="13">
        <v>42665.067662037036</v>
      </c>
      <c r="J159" s="7">
        <v>0</v>
      </c>
      <c r="K159" s="112" t="str">
        <f t="shared" si="113"/>
        <v>4013/4014</v>
      </c>
      <c r="L159" s="22" t="str">
        <f>VLOOKUP(A159,'Trips&amp;Operators'!$C$1:$E$10000,3,FALSE)</f>
        <v>MATTHEWS</v>
      </c>
      <c r="M159" s="6">
        <f t="shared" si="114"/>
        <v>2.5706018517666962E-2</v>
      </c>
      <c r="N159" s="7">
        <f t="shared" si="115"/>
        <v>37.016666665440425</v>
      </c>
      <c r="O159" s="7"/>
      <c r="P159" s="7"/>
      <c r="Q159" s="23"/>
      <c r="R159" s="23"/>
      <c r="S159" s="35">
        <f t="shared" si="116"/>
        <v>1</v>
      </c>
      <c r="T159" s="50" t="str">
        <f t="shared" si="117"/>
        <v>NorthBound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23:49:28-0600',mode:absolute,to:'2016-10-22 02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9" s="52" t="str">
        <f t="shared" si="119"/>
        <v>N</v>
      </c>
      <c r="X159" s="171">
        <f t="shared" si="120"/>
        <v>1</v>
      </c>
      <c r="Y159" s="67">
        <f t="shared" si="121"/>
        <v>4.6399999999999997E-2</v>
      </c>
      <c r="Z159" s="67">
        <f t="shared" si="122"/>
        <v>23.3291</v>
      </c>
      <c r="AA159" s="67">
        <f t="shared" si="123"/>
        <v>23.282700000000002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124"/>
        <v>0245-21</v>
      </c>
      <c r="AE159" s="91" t="str">
        <f t="shared" si="125"/>
        <v>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 &amp; aws s3 cp s3://rtdc.mdm.uploadarchive.raw/RTDC4014/ "%USERPROFILE%\AppData\Local\Temp\OnboardLogs"\RTDC4014\2016-10-23 --exclude "*" --recursive --include "*20161023*" &amp; "%USERPROFILE%\Documents\GitHub\mrs-test-scripts\Headless Mode &amp; Sideloading\WalkAndUnGZ.bat" "%USERPROFILE%\AppData\Local\Temp\OnboardLogs"\RTDC4014\2016-10-23</v>
      </c>
      <c r="AF159" s="88" t="str">
        <f t="shared" si="126"/>
        <v>"C:\Program Files (x86)\AstroGrep\AstroGrep.exe" /spath="%USERPROFILE%\AppData\Local\Temp\OnboardLogs" /stypes="app*4014*20161022*" /stext=" 07:.+((SYSTEM_STATE.+slice.+state.+changed )|(ment ac)|(system.+state.+changed )|(\[timeout)|(PRM\|1\|D)|(kpr)|(kdp)|(\|lc)|(penalty))" /e /r /s</v>
      </c>
      <c r="AG159" s="1" t="str">
        <f t="shared" si="127"/>
        <v>EC</v>
      </c>
      <c r="AH159" s="92" t="str">
        <f t="shared" si="128"/>
        <v>"%USERPROFILE%\Documents\GitHub\eaglep3\Utilities\RefineRTDCRunTimes.py" --tripid 245-21 --locoid 4014 --swversion DE.1.0.7.0 --startMP 204:464 --initTime 2016-10-22T00:49:28 --startdatetime 2016-10-22T01:00:25 --delay 6 --endMP 204:233291 --enddatetime 2016-10-22T01:37:26 --enforcementcount 0 &gt;&gt;C:\Users\stu\Documents\GitHub\eaglep3-reporting\EC\2016-10-21-refined-times.txt</v>
      </c>
      <c r="AI159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{"issue":{"subject":"","project_id":79,"tracker_id":40,"status_id":1,"priority_id":2,"assigned_to_id":23,"start_date":"2016-10-22","description":"","custom_fields":[{"id":1,"name":"Subdivision","value":"EC"},{"id":4,"name":"Milepost","value":"23.3291"},{"id":17,"name":"Train ID","value":"245-21"},{"id":16,"name":"Locomotive ID","value":"4014"},{"id":130,"name":"Impact","value":""},{"id":150,"name":"Time of Event (Mountain Time)","value":"01:37:26"},{"id":151,"name":"Denver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617</v>
      </c>
      <c r="B160" s="7">
        <v>4013</v>
      </c>
      <c r="C160" s="22" t="s">
        <v>99</v>
      </c>
      <c r="D160" s="22" t="s">
        <v>328</v>
      </c>
      <c r="E160" s="13">
        <v>42665.072754629633</v>
      </c>
      <c r="F160" s="13">
        <v>42665.08079861111</v>
      </c>
      <c r="G160" s="7">
        <v>1</v>
      </c>
      <c r="H160" s="13" t="s">
        <v>697</v>
      </c>
      <c r="I160" s="13">
        <v>42665.107974537037</v>
      </c>
      <c r="J160" s="7">
        <v>0</v>
      </c>
      <c r="K160" s="112" t="str">
        <f t="shared" si="113"/>
        <v>4013/4014</v>
      </c>
      <c r="L160" s="22" t="str">
        <f>VLOOKUP(A160,'Trips&amp;Operators'!$C$1:$E$10000,3,FALSE)</f>
        <v>MATTHEWS</v>
      </c>
      <c r="M160" s="6">
        <f t="shared" si="114"/>
        <v>2.7175925926712807E-2</v>
      </c>
      <c r="N160" s="7">
        <f t="shared" si="115"/>
        <v>39.133333334466442</v>
      </c>
      <c r="O160" s="7"/>
      <c r="P160" s="7"/>
      <c r="Q160" s="23"/>
      <c r="R160" s="23"/>
      <c r="S160" s="35">
        <f t="shared" si="116"/>
        <v>1</v>
      </c>
      <c r="T160" s="50" t="str">
        <f t="shared" si="117"/>
        <v>Southbound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https://search-rtdc-monitor-bjffxe2xuh6vdkpspy63sjmuny.us-east-1.es.amazonaws.com/_plugin/kibana/#/discover/Steve-Slow-Train-Analysis-(2080s-and-2083s)?_g=(refreshInterval:(display:Off,section:0,value:0),time:(from:'2016-10-22 00:44:46-0600',mode:absolute,to:'2016-10-22 03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0" s="52" t="str">
        <f t="shared" si="119"/>
        <v>N</v>
      </c>
      <c r="X160" s="171">
        <f t="shared" si="120"/>
        <v>1</v>
      </c>
      <c r="Y160" s="67">
        <f t="shared" si="121"/>
        <v>23.2973</v>
      </c>
      <c r="Z160" s="67">
        <f t="shared" si="122"/>
        <v>0.1203</v>
      </c>
      <c r="AA160" s="67">
        <f t="shared" si="123"/>
        <v>23.177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124"/>
        <v>0246-21</v>
      </c>
      <c r="AE160" s="91" t="str">
        <f t="shared" si="125"/>
        <v>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 &amp; aws s3 cp s3://rtdc.mdm.uploadarchive.raw/RTDC4013/ "%USERPROFILE%\AppData\Local\Temp\OnboardLogs"\RTDC4013\2016-10-23 --exclude "*" --recursive --include "*20161023*" &amp; "%USERPROFILE%\Documents\GitHub\mrs-test-scripts\Headless Mode &amp; Sideloading\WalkAndUnGZ.bat" "%USERPROFILE%\AppData\Local\Temp\OnboardLogs"\RTDC4013\2016-10-23</v>
      </c>
      <c r="AF160" s="88" t="str">
        <f t="shared" si="126"/>
        <v>"C:\Program Files (x86)\AstroGrep\AstroGrep.exe" /spath="%USERPROFILE%\AppData\Local\Temp\OnboardLogs" /stypes="app*4013*20161022*" /stext=" 08:.+((SYSTEM_STATE.+slice.+state.+changed )|(ment ac)|(system.+state.+changed )|(\[timeout)|(PRM\|1\|D)|(kpr)|(kdp)|(\|lc)|(penalty))" /e /r /s</v>
      </c>
      <c r="AG160" s="1" t="str">
        <f t="shared" si="127"/>
        <v>EC</v>
      </c>
      <c r="AH160" s="92" t="str">
        <f t="shared" si="128"/>
        <v>"%USERPROFILE%\Documents\GitHub\eaglep3\Utilities\RefineRTDCRunTimes.py" --tripid 246-21 --locoid 4013 --swversion DE.1.0.7.0 --startMP 204:232973 --initTime 2016-10-22T01:44:46 --startdatetime 2016-10-22T01:56:21 --delay 1 --endMP 204:1203 --enddatetime 2016-10-22T02:35:29 --enforcementcount 0 &gt;&gt;C:\Users\stu\Documents\GitHub\eaglep3-reporting\EC\2016-10-21-refined-times.txt</v>
      </c>
      <c r="AI160" s="122" t="str">
        <f t="shared" si="129"/>
        <v>echo {"issue":{"subject":"","project_id":79,"tracker_id":40,"status_id":1,"priority_id":2,"assigned_to_id":23,"start_date":"2016-10-22","description":"","custom_fields":[{"id":1,"name":"Subdivision","value":"EC"},{"id":4,"name":"Milepost","value":"0.1203"},{"id":17,"name":"Train ID","value":"246-21"},{"id":16,"name":"Locomotive ID","value":"4013"},{"id":130,"name":"Impact","value":""},{"id":150,"name":"Time of Event (Mountain Time)","value":"02:35:29"},{"id":151,"name":"Denver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396</v>
      </c>
      <c r="B161" s="7">
        <v>4045</v>
      </c>
      <c r="C161" s="22" t="s">
        <v>99</v>
      </c>
      <c r="D161" s="22" t="s">
        <v>722</v>
      </c>
      <c r="E161" s="13">
        <v>42664.212719907409</v>
      </c>
      <c r="F161" s="13">
        <v>42664.214479166665</v>
      </c>
      <c r="G161" s="7">
        <v>1</v>
      </c>
      <c r="H161" s="13" t="s">
        <v>723</v>
      </c>
      <c r="I161" s="13">
        <v>42664.227152777778</v>
      </c>
      <c r="J161" s="7">
        <v>0</v>
      </c>
      <c r="K161" s="112" t="str">
        <f t="shared" si="113"/>
        <v>4045/4046</v>
      </c>
      <c r="L161" s="22" t="str">
        <f>VLOOKUP(A161,'Trips&amp;Operators'!$C$1:$E$10000,3,FALSE)</f>
        <v>STRICKLAND</v>
      </c>
      <c r="M161" s="6">
        <f t="shared" si="114"/>
        <v>1.2673611112404615E-2</v>
      </c>
      <c r="N161" s="7">
        <f t="shared" si="115"/>
        <v>18.250000001862645</v>
      </c>
      <c r="O161" s="7"/>
      <c r="P161" s="7"/>
      <c r="Q161" s="23"/>
      <c r="R161" s="23"/>
      <c r="S161" s="35">
        <f t="shared" si="116"/>
        <v>1</v>
      </c>
      <c r="T161" s="50" t="str">
        <f t="shared" si="117"/>
        <v>Southbound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04:06:19-0600',mode:absolute,to:'2016-10-21 06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1" s="52" t="str">
        <f t="shared" si="119"/>
        <v>N</v>
      </c>
      <c r="X161" s="171">
        <f t="shared" si="120"/>
        <v>554</v>
      </c>
      <c r="Y161" s="67">
        <f t="shared" si="121"/>
        <v>5.8644999999999996</v>
      </c>
      <c r="Z161" s="67">
        <f t="shared" si="122"/>
        <v>7.3599999999999999E-2</v>
      </c>
      <c r="AA161" s="67">
        <f t="shared" si="123"/>
        <v>5.7908999999999997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124"/>
        <v>0800-21</v>
      </c>
      <c r="AE161" s="91" t="str">
        <f t="shared" si="125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1" s="88" t="str">
        <f t="shared" si="126"/>
        <v>"C:\Program Files (x86)\AstroGrep\AstroGrep.exe" /spath="%USERPROFILE%\AppData\Local\Temp\OnboardLogs" /stypes="app*4045*20161021*" /stext=" 11:.+((SYSTEM_STATE.+slice.+state.+changed )|(ment ac)|(system.+state.+changed )|(\[timeout)|(PRM\|1\|D)|(kpr)|(kdp)|(\|lc)|(penalty))" /e /r /s</v>
      </c>
      <c r="AG161" s="1" t="str">
        <f t="shared" si="127"/>
        <v>NW</v>
      </c>
      <c r="AH161" s="92" t="str">
        <f t="shared" si="128"/>
        <v>"%USERPROFILE%\Documents\GitHub\eaglep3\Utilities\RefineRTDCRunTimes.py" --tripid 800-21 --locoid 4045 --swversion DE.1.0.7.0 --startMP 300:58645 --initTime 2016-10-21T05:06:19 --startdatetime 2016-10-21T05:08:51 --delay 1 --endMP 204:736 --enddatetime 2016-10-21T05:27:06 --enforcementcount 0 &gt;&gt;C:\Users\stu\Documents\GitHub\eaglep3-reporting\EC\2016-10-21-refined-times.txt</v>
      </c>
      <c r="AI161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{"issue":{"subject":"","project_id":79,"tracker_id":40,"status_id":1,"priority_id":2,"assigned_to_id":23,"start_date":"2016-10-21","description":"","custom_fields":[{"id":1,"name":"Subdivision","value":"NW"},{"id":4,"name":"Milepost","value":"0.0736"},{"id":17,"name":"Train ID","value":"800-21"},{"id":16,"name":"Locomotive ID","value":"4045"},{"id":130,"name":"Impact","value":""},{"id":150,"name":"Time of Event (Mountain Time)","value":"05:27:06"},{"id":151,"name":"Denver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457</v>
      </c>
      <c r="B162" s="7">
        <v>4046</v>
      </c>
      <c r="C162" s="22" t="s">
        <v>99</v>
      </c>
      <c r="D162" s="22" t="s">
        <v>724</v>
      </c>
      <c r="E162" s="13">
        <v>42664.23364583333</v>
      </c>
      <c r="F162" s="13">
        <v>42664.243981481479</v>
      </c>
      <c r="G162" s="7">
        <v>1</v>
      </c>
      <c r="H162" s="13" t="s">
        <v>376</v>
      </c>
      <c r="I162" s="13">
        <v>42664.254351851851</v>
      </c>
      <c r="J162" s="7">
        <v>0</v>
      </c>
      <c r="K162" s="112" t="str">
        <f t="shared" si="113"/>
        <v>4045/4046</v>
      </c>
      <c r="L162" s="22" t="str">
        <f>VLOOKUP(A162,'Trips&amp;Operators'!$C$1:$E$10000,3,FALSE)</f>
        <v>STRICKLAND</v>
      </c>
      <c r="M162" s="6">
        <f t="shared" si="114"/>
        <v>1.0370370371674653E-2</v>
      </c>
      <c r="N162" s="7">
        <f t="shared" si="115"/>
        <v>14.933333335211501</v>
      </c>
      <c r="O162" s="7"/>
      <c r="P162" s="7"/>
      <c r="Q162" s="23"/>
      <c r="R162" s="23"/>
      <c r="S162" s="35">
        <f t="shared" si="116"/>
        <v>1</v>
      </c>
      <c r="T162" s="50" t="str">
        <f t="shared" si="117"/>
        <v>NorthBound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04:36:27-0600',mode:absolute,to:'2016-10-21 07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2" s="52" t="str">
        <f t="shared" si="119"/>
        <v>N</v>
      </c>
      <c r="X162" s="171">
        <f t="shared" si="120"/>
        <v>1</v>
      </c>
      <c r="Y162" s="67">
        <f t="shared" si="121"/>
        <v>0.10580000000000001</v>
      </c>
      <c r="Z162" s="67">
        <f t="shared" si="122"/>
        <v>5.8936999999999999</v>
      </c>
      <c r="AA162" s="67">
        <f t="shared" si="123"/>
        <v>5.7878999999999996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124"/>
        <v>0801-21</v>
      </c>
      <c r="AE162" s="91" t="str">
        <f t="shared" si="125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62" s="88" t="str">
        <f t="shared" si="126"/>
        <v>"C:\Program Files (x86)\AstroGrep\AstroGrep.exe" /spath="%USERPROFILE%\AppData\Local\Temp\OnboardLogs" /stypes="app*4046*20161021*" /stext=" 12:.+((SYSTEM_STATE.+slice.+state.+changed )|(ment ac)|(system.+state.+changed )|(\[timeout)|(PRM\|1\|D)|(kpr)|(kdp)|(\|lc)|(penalty))" /e /r /s</v>
      </c>
      <c r="AG162" s="1" t="str">
        <f t="shared" si="127"/>
        <v>NW</v>
      </c>
      <c r="AH162" s="92" t="str">
        <f t="shared" si="128"/>
        <v>"%USERPROFILE%\Documents\GitHub\eaglep3\Utilities\RefineRTDCRunTimes.py" --tripid 801-21 --locoid 4046 --swversion DE.1.0.7.0 --startMP 204:1058 --initTime 2016-10-21T05:36:27 --startdatetime 2016-10-21T05:51:20 --delay 1 --endMP 300:58937 --enddatetime 2016-10-21T06:06:16 --enforcementcount 0 &gt;&gt;C:\Users\stu\Documents\GitHub\eaglep3-reporting\EC\2016-10-21-refined-times.txt</v>
      </c>
      <c r="AI162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{"issue":{"subject":"","project_id":79,"tracker_id":40,"status_id":1,"priority_id":2,"assigned_to_id":23,"start_date":"2016-10-21","description":"","custom_fields":[{"id":1,"name":"Subdivision","value":"NW"},{"id":4,"name":"Milepost","value":"5.8937"},{"id":17,"name":"Train ID","value":"801-21"},{"id":16,"name":"Locomotive ID","value":"4046"},{"id":130,"name":"Impact","value":""},{"id":150,"name":"Time of Event (Mountain Time)","value":"06:06:16"},{"id":151,"name":"Denver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462</v>
      </c>
      <c r="B163" s="7">
        <v>4045</v>
      </c>
      <c r="C163" s="22" t="s">
        <v>99</v>
      </c>
      <c r="D163" s="22" t="s">
        <v>337</v>
      </c>
      <c r="E163" s="13">
        <v>42664.255347222221</v>
      </c>
      <c r="F163" s="13">
        <v>42664.256840277776</v>
      </c>
      <c r="G163" s="7">
        <v>1</v>
      </c>
      <c r="H163" s="13" t="s">
        <v>725</v>
      </c>
      <c r="I163" s="13">
        <v>42664.269594907404</v>
      </c>
      <c r="J163" s="7">
        <v>0</v>
      </c>
      <c r="K163" s="112" t="str">
        <f t="shared" si="113"/>
        <v>4045/4046</v>
      </c>
      <c r="L163" s="22" t="str">
        <f>VLOOKUP(A163,'Trips&amp;Operators'!$C$1:$E$10000,3,FALSE)</f>
        <v>STRICKLAND</v>
      </c>
      <c r="M163" s="6">
        <f t="shared" si="114"/>
        <v>1.2754629628034309E-2</v>
      </c>
      <c r="N163" s="7">
        <f t="shared" si="115"/>
        <v>18.366666664369404</v>
      </c>
      <c r="O163" s="7"/>
      <c r="P163" s="7"/>
      <c r="Q163" s="23"/>
      <c r="R163" s="23"/>
      <c r="S163" s="35">
        <f t="shared" si="116"/>
        <v>1</v>
      </c>
      <c r="T163" s="50" t="str">
        <f t="shared" si="117"/>
        <v>Southbound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05:07:42-0600',mode:absolute,to:'2016-10-21 07:28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3" s="52" t="str">
        <f t="shared" si="119"/>
        <v>N</v>
      </c>
      <c r="X163" s="171">
        <f t="shared" si="120"/>
        <v>1</v>
      </c>
      <c r="Y163" s="67">
        <f t="shared" si="121"/>
        <v>5.8616999999999999</v>
      </c>
      <c r="Z163" s="67">
        <f t="shared" si="122"/>
        <v>7.4099999999999999E-2</v>
      </c>
      <c r="AA163" s="67">
        <f t="shared" si="123"/>
        <v>5.7876000000000003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124"/>
        <v>0802-21</v>
      </c>
      <c r="AE163" s="91" t="str">
        <f t="shared" si="125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3" s="88" t="str">
        <f t="shared" si="126"/>
        <v>"C:\Program Files (x86)\AstroGrep\AstroGrep.exe" /spath="%USERPROFILE%\AppData\Local\Temp\OnboardLogs" /stypes="app*4045*20161021*" /stext=" 12:.+((SYSTEM_STATE.+slice.+state.+changed )|(ment ac)|(system.+state.+changed )|(\[timeout)|(PRM\|1\|D)|(kpr)|(kdp)|(\|lc)|(penalty))" /e /r /s</v>
      </c>
      <c r="AG163" s="1" t="str">
        <f t="shared" si="127"/>
        <v>NW</v>
      </c>
      <c r="AH163" s="92" t="str">
        <f t="shared" si="128"/>
        <v>"%USERPROFILE%\Documents\GitHub\eaglep3\Utilities\RefineRTDCRunTimes.py" --tripid 802-21 --locoid 4045 --swversion DE.1.0.7.0 --startMP 300:58617 --initTime 2016-10-21T06:07:42 --startdatetime 2016-10-21T06:09:51 --delay 1 --endMP 204:741 --enddatetime 2016-10-21T06:28:13 --enforcementcount 0 &gt;&gt;C:\Users\stu\Documents\GitHub\eaglep3-reporting\EC\2016-10-21-refined-times.txt</v>
      </c>
      <c r="AI163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{"issue":{"subject":"","project_id":79,"tracker_id":40,"status_id":1,"priority_id":2,"assigned_to_id":23,"start_date":"2016-10-21","description":"","custom_fields":[{"id":1,"name":"Subdivision","value":"NW"},{"id":4,"name":"Milepost","value":"0.0741"},{"id":17,"name":"Train ID","value":"802-21"},{"id":16,"name":"Locomotive ID","value":"4045"},{"id":130,"name":"Impact","value":""},{"id":150,"name":"Time of Event (Mountain Time)","value":"06:28:13"},{"id":151,"name":"Denver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464</v>
      </c>
      <c r="B164" s="7">
        <v>4025</v>
      </c>
      <c r="C164" s="22" t="s">
        <v>99</v>
      </c>
      <c r="D164" s="22" t="s">
        <v>391</v>
      </c>
      <c r="E164" s="13">
        <v>42664.260810185187</v>
      </c>
      <c r="F164" s="13">
        <v>42664.264849537038</v>
      </c>
      <c r="G164" s="7">
        <v>1</v>
      </c>
      <c r="H164" s="13" t="s">
        <v>726</v>
      </c>
      <c r="I164" s="13">
        <v>42664.273981481485</v>
      </c>
      <c r="J164" s="7">
        <v>0</v>
      </c>
      <c r="K164" s="112" t="str">
        <f t="shared" si="113"/>
        <v>4025/4026</v>
      </c>
      <c r="L164" s="22" t="str">
        <f>VLOOKUP(A164,'Trips&amp;Operators'!$C$1:$E$10000,3,FALSE)</f>
        <v>YORK</v>
      </c>
      <c r="M164" s="6">
        <f t="shared" si="114"/>
        <v>9.1319444472901523E-3</v>
      </c>
      <c r="N164" s="7">
        <f t="shared" si="115"/>
        <v>13.150000004097819</v>
      </c>
      <c r="O164" s="7"/>
      <c r="P164" s="7"/>
      <c r="Q164" s="23"/>
      <c r="R164" s="23"/>
      <c r="S164" s="35">
        <f t="shared" si="116"/>
        <v>1</v>
      </c>
      <c r="T164" s="50" t="str">
        <f t="shared" si="117"/>
        <v>NorthBound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05:15:34-0600',mode:absolute,to:'2016-10-21 07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4" s="52" t="str">
        <f t="shared" si="119"/>
        <v>N</v>
      </c>
      <c r="X164" s="171">
        <f t="shared" si="120"/>
        <v>1</v>
      </c>
      <c r="Y164" s="67">
        <f t="shared" si="121"/>
        <v>0.1032</v>
      </c>
      <c r="Z164" s="67">
        <f t="shared" si="122"/>
        <v>5.8920000000000003</v>
      </c>
      <c r="AA164" s="67">
        <f t="shared" si="123"/>
        <v>5.7888000000000002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124"/>
        <v>0803-21</v>
      </c>
      <c r="AE164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64" s="88" t="str">
        <f t="shared" si="126"/>
        <v>"C:\Program Files (x86)\AstroGrep\AstroGrep.exe" /spath="%USERPROFILE%\AppData\Local\Temp\OnboardLogs" /stypes="app*4025*20161021*" /stext=" 12:.+((SYSTEM_STATE.+slice.+state.+changed )|(ment ac)|(system.+state.+changed )|(\[timeout)|(PRM\|1\|D)|(kpr)|(kdp)|(\|lc)|(penalty))" /e /r /s</v>
      </c>
      <c r="AG164" s="1" t="str">
        <f t="shared" si="127"/>
        <v>NW</v>
      </c>
      <c r="AH164" s="92" t="str">
        <f t="shared" si="128"/>
        <v>"%USERPROFILE%\Documents\GitHub\eaglep3\Utilities\RefineRTDCRunTimes.py" --tripid 803-21 --locoid 4025 --swversion DE.1.0.7.0 --startMP 204:1032 --initTime 2016-10-21T06:15:34 --startdatetime 2016-10-21T06:21:23 --delay 1 --endMP 300:58920 --enddatetime 2016-10-21T06:34:32 --enforcementcount 0 &gt;&gt;C:\Users\stu\Documents\GitHub\eaglep3-reporting\EC\2016-10-21-refined-times.txt</v>
      </c>
      <c r="AI164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{"issue":{"subject":"","project_id":79,"tracker_id":40,"status_id":1,"priority_id":2,"assigned_to_id":23,"start_date":"2016-10-21","description":"","custom_fields":[{"id":1,"name":"Subdivision","value":"NW"},{"id":4,"name":"Milepost","value":"5.892"},{"id":17,"name":"Train ID","value":"803-21"},{"id":16,"name":"Locomotive ID","value":"4025"},{"id":130,"name":"Impact","value":""},{"id":150,"name":"Time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467</v>
      </c>
      <c r="B165" s="7">
        <v>4026</v>
      </c>
      <c r="C165" s="22" t="s">
        <v>99</v>
      </c>
      <c r="D165" s="22" t="s">
        <v>727</v>
      </c>
      <c r="E165" s="13">
        <v>42664.275995370372</v>
      </c>
      <c r="F165" s="13">
        <v>42664.278634259259</v>
      </c>
      <c r="G165" s="7">
        <v>1</v>
      </c>
      <c r="H165" s="13" t="s">
        <v>635</v>
      </c>
      <c r="I165" s="13">
        <v>42664.290717592594</v>
      </c>
      <c r="J165" s="7">
        <v>0</v>
      </c>
      <c r="K165" s="112" t="str">
        <f t="shared" si="113"/>
        <v>4025/4026</v>
      </c>
      <c r="L165" s="22" t="str">
        <f>VLOOKUP(A165,'Trips&amp;Operators'!$C$1:$E$10000,3,FALSE)</f>
        <v>YORK</v>
      </c>
      <c r="M165" s="6">
        <f t="shared" si="114"/>
        <v>1.2083333334885538E-2</v>
      </c>
      <c r="N165" s="7">
        <f t="shared" si="115"/>
        <v>17.400000002235174</v>
      </c>
      <c r="O165" s="7"/>
      <c r="P165" s="7"/>
      <c r="Q165" s="23"/>
      <c r="R165" s="23"/>
      <c r="S165" s="35">
        <f t="shared" si="116"/>
        <v>1</v>
      </c>
      <c r="T165" s="50" t="str">
        <f t="shared" si="117"/>
        <v>Southbound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05:37:26-0600',mode:absolute,to:'2016-10-21 07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5" s="52" t="str">
        <f t="shared" si="119"/>
        <v>N</v>
      </c>
      <c r="X165" s="171">
        <f t="shared" si="120"/>
        <v>1</v>
      </c>
      <c r="Y165" s="67">
        <f t="shared" si="121"/>
        <v>5.8601999999999999</v>
      </c>
      <c r="Z165" s="67">
        <f t="shared" si="122"/>
        <v>7.4999999999999997E-2</v>
      </c>
      <c r="AA165" s="67">
        <f t="shared" si="123"/>
        <v>5.7851999999999997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124"/>
        <v>0804-21</v>
      </c>
      <c r="AE165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65" s="88" t="str">
        <f t="shared" si="126"/>
        <v>"C:\Program Files (x86)\AstroGrep\AstroGrep.exe" /spath="%USERPROFILE%\AppData\Local\Temp\OnboardLogs" /stypes="app*4026*20161021*" /stext=" 12:.+((SYSTEM_STATE.+slice.+state.+changed )|(ment ac)|(system.+state.+changed )|(\[timeout)|(PRM\|1\|D)|(kpr)|(kdp)|(\|lc)|(penalty))" /e /r /s</v>
      </c>
      <c r="AG165" s="1" t="str">
        <f t="shared" si="127"/>
        <v>NW</v>
      </c>
      <c r="AH165" s="92" t="str">
        <f t="shared" si="128"/>
        <v>"%USERPROFILE%\Documents\GitHub\eaglep3\Utilities\RefineRTDCRunTimes.py" --tripid 804-21 --locoid 4026 --swversion DE.1.0.7.0 --startMP 300:58602 --initTime 2016-10-21T06:37:26 --startdatetime 2016-10-21T06:41:14 --delay 1 --endMP 204:750 --enddatetime 2016-10-21T06:58:38 --enforcementcount 0 &gt;&gt;C:\Users\stu\Documents\GitHub\eaglep3-reporting\EC\2016-10-21-refined-times.txt</v>
      </c>
      <c r="AI165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{"issue":{"subject":"","project_id":79,"tracker_id":40,"status_id":1,"priority_id":2,"assigned_to_id":23,"start_date":"2016-10-21","description":"","custom_fields":[{"id":1,"name":"Subdivision","value":"NW"},{"id":4,"name":"Milepost","value":"0.075"},{"id":17,"name":"Train ID","value":"804-21"},{"id":16,"name":"Locomotive ID","value":"4026"},{"id":130,"name":"Impact","value":""},{"id":150,"name":"Time of Event (Mountain Time)","value":"06:58:38"},{"id":151,"name":"Denver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469</v>
      </c>
      <c r="B166" s="7">
        <v>4046</v>
      </c>
      <c r="C166" s="22" t="s">
        <v>99</v>
      </c>
      <c r="D166" s="22" t="s">
        <v>391</v>
      </c>
      <c r="E166" s="13">
        <v>42664.281666666669</v>
      </c>
      <c r="F166" s="13">
        <v>42664.28565972222</v>
      </c>
      <c r="G166" s="7">
        <v>1</v>
      </c>
      <c r="H166" s="13" t="s">
        <v>728</v>
      </c>
      <c r="I166" s="13">
        <v>42664.295902777776</v>
      </c>
      <c r="J166" s="7">
        <v>0</v>
      </c>
      <c r="K166" s="112" t="str">
        <f t="shared" si="113"/>
        <v>4045/4046</v>
      </c>
      <c r="L166" s="22" t="str">
        <f>VLOOKUP(A166,'Trips&amp;Operators'!$C$1:$E$10000,3,FALSE)</f>
        <v>STRICKLAND</v>
      </c>
      <c r="M166" s="6">
        <f t="shared" si="114"/>
        <v>1.0243055556202307E-2</v>
      </c>
      <c r="N166" s="7">
        <f t="shared" si="115"/>
        <v>14.750000000931323</v>
      </c>
      <c r="O166" s="7"/>
      <c r="P166" s="7"/>
      <c r="Q166" s="23"/>
      <c r="R166" s="23"/>
      <c r="S166" s="35">
        <f t="shared" si="116"/>
        <v>1</v>
      </c>
      <c r="T166" s="50" t="str">
        <f t="shared" si="117"/>
        <v>NorthBound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05:45:36-0600',mode:absolute,to:'2016-10-21 08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6" s="52" t="str">
        <f t="shared" si="119"/>
        <v>N</v>
      </c>
      <c r="X166" s="171">
        <f t="shared" si="120"/>
        <v>1</v>
      </c>
      <c r="Y166" s="67">
        <f t="shared" si="121"/>
        <v>0.1032</v>
      </c>
      <c r="Z166" s="67">
        <f t="shared" si="122"/>
        <v>5.8940999999999999</v>
      </c>
      <c r="AA166" s="67">
        <f t="shared" si="123"/>
        <v>5.7908999999999997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124"/>
        <v>0805-21</v>
      </c>
      <c r="AE166" s="91" t="str">
        <f t="shared" si="125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66" s="88" t="str">
        <f t="shared" si="126"/>
        <v>"C:\Program Files (x86)\AstroGrep\AstroGrep.exe" /spath="%USERPROFILE%\AppData\Local\Temp\OnboardLogs" /stypes="app*4046*20161021*" /stext=" 13:.+((SYSTEM_STATE.+slice.+state.+changed )|(ment ac)|(system.+state.+changed )|(\[timeout)|(PRM\|1\|D)|(kpr)|(kdp)|(\|lc)|(penalty))" /e /r /s</v>
      </c>
      <c r="AG166" s="1" t="str">
        <f t="shared" si="127"/>
        <v>NW</v>
      </c>
      <c r="AH166" s="92" t="str">
        <f t="shared" si="128"/>
        <v>"%USERPROFILE%\Documents\GitHub\eaglep3\Utilities\RefineRTDCRunTimes.py" --tripid 805-21 --locoid 4046 --swversion DE.1.0.7.0 --startMP 204:1032 --initTime 2016-10-21T06:45:36 --startdatetime 2016-10-21T06:51:21 --delay 1 --endMP 300:58941 --enddatetime 2016-10-21T07:06:06 --enforcementcount 0 &gt;&gt;C:\Users\stu\Documents\GitHub\eaglep3-reporting\EC\2016-10-21-refined-times.txt</v>
      </c>
      <c r="AI166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{"issue":{"subject":"","project_id":79,"tracker_id":40,"status_id":1,"priority_id":2,"assigned_to_id":23,"start_date":"2016-10-21","description":"","custom_fields":[{"id":1,"name":"Subdivision","value":"NW"},{"id":4,"name":"Milepost","value":"5.8941"},{"id":17,"name":"Train ID","value":"805-21"},{"id":16,"name":"Locomotive ID","value":"4046"},{"id":130,"name":"Impact","value":""},{"id":150,"name":"Time of Event (Mountain Time)","value":"07:06:06"},{"id":151,"name":"Denver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473</v>
      </c>
      <c r="B167" s="7">
        <v>4045</v>
      </c>
      <c r="C167" s="22" t="s">
        <v>99</v>
      </c>
      <c r="D167" s="22" t="s">
        <v>375</v>
      </c>
      <c r="E167" s="13">
        <v>42664.297175925924</v>
      </c>
      <c r="F167" s="13">
        <v>42664.298506944448</v>
      </c>
      <c r="G167" s="7">
        <v>1</v>
      </c>
      <c r="H167" s="13" t="s">
        <v>729</v>
      </c>
      <c r="I167" s="13">
        <v>42664.309837962966</v>
      </c>
      <c r="J167" s="7">
        <v>0</v>
      </c>
      <c r="K167" s="112" t="str">
        <f t="shared" si="113"/>
        <v>4045/4046</v>
      </c>
      <c r="L167" s="22" t="str">
        <f>VLOOKUP(A167,'Trips&amp;Operators'!$C$1:$E$10000,3,FALSE)</f>
        <v>STRICKLAND</v>
      </c>
      <c r="M167" s="6">
        <f t="shared" si="114"/>
        <v>1.1331018518831115E-2</v>
      </c>
      <c r="N167" s="7">
        <f t="shared" si="115"/>
        <v>16.316666667116806</v>
      </c>
      <c r="O167" s="7"/>
      <c r="P167" s="7"/>
      <c r="Q167" s="23"/>
      <c r="R167" s="23"/>
      <c r="S167" s="35">
        <f t="shared" si="116"/>
        <v>1</v>
      </c>
      <c r="T167" s="50" t="str">
        <f t="shared" si="117"/>
        <v>Southbound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06:07:56-0600',mode:absolute,to:'2016-10-21 08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7" s="52" t="str">
        <f t="shared" si="119"/>
        <v>N</v>
      </c>
      <c r="X167" s="171">
        <f t="shared" si="120"/>
        <v>1</v>
      </c>
      <c r="Y167" s="67">
        <f t="shared" si="121"/>
        <v>5.8624000000000001</v>
      </c>
      <c r="Z167" s="67">
        <f t="shared" si="122"/>
        <v>6.9900000000000004E-2</v>
      </c>
      <c r="AA167" s="67">
        <f t="shared" si="123"/>
        <v>5.7925000000000004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124"/>
        <v>0806-21</v>
      </c>
      <c r="AE167" s="91" t="str">
        <f t="shared" si="125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7" s="88" t="str">
        <f t="shared" si="126"/>
        <v>"C:\Program Files (x86)\AstroGrep\AstroGrep.exe" /spath="%USERPROFILE%\AppData\Local\Temp\OnboardLogs" /stypes="app*4045*20161021*" /stext=" 13:.+((SYSTEM_STATE.+slice.+state.+changed )|(ment ac)|(system.+state.+changed )|(\[timeout)|(PRM\|1\|D)|(kpr)|(kdp)|(\|lc)|(penalty))" /e /r /s</v>
      </c>
      <c r="AG167" s="1" t="str">
        <f t="shared" si="127"/>
        <v>NW</v>
      </c>
      <c r="AH167" s="92" t="str">
        <f t="shared" si="128"/>
        <v>"%USERPROFILE%\Documents\GitHub\eaglep3\Utilities\RefineRTDCRunTimes.py" --tripid 806-21 --locoid 4045 --swversion DE.1.0.7.0 --startMP 300:58624 --initTime 2016-10-21T07:07:56 --startdatetime 2016-10-21T07:09:51 --delay 1 --endMP 204:699 --enddatetime 2016-10-21T07:26:10 --enforcementcount 0 &gt;&gt;C:\Users\stu\Documents\GitHub\eaglep3-reporting\EC\2016-10-21-refined-times.txt</v>
      </c>
      <c r="AI167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{"issue":{"subject":"","project_id":79,"tracker_id":40,"status_id":1,"priority_id":2,"assigned_to_id":23,"start_date":"2016-10-21","description":"","custom_fields":[{"id":1,"name":"Subdivision","value":"NW"},{"id":4,"name":"Milepost","value":"0.0699"},{"id":17,"name":"Train ID","value":"806-21"},{"id":16,"name":"Locomotive ID","value":"4045"},{"id":130,"name":"Impact","value":""},{"id":150,"name":"Time of Event (Mountain Time)","value":"07:26:10"},{"id":151,"name":"Denver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476</v>
      </c>
      <c r="B168" s="7">
        <v>4025</v>
      </c>
      <c r="C168" s="22" t="s">
        <v>99</v>
      </c>
      <c r="D168" s="22" t="s">
        <v>730</v>
      </c>
      <c r="E168" s="13">
        <v>42664.30537037037</v>
      </c>
      <c r="F168" s="13">
        <v>42664.30672453704</v>
      </c>
      <c r="G168" s="7">
        <v>1</v>
      </c>
      <c r="H168" s="13" t="s">
        <v>379</v>
      </c>
      <c r="I168" s="13">
        <v>42664.315879629627</v>
      </c>
      <c r="J168" s="7">
        <v>0</v>
      </c>
      <c r="K168" s="112" t="str">
        <f t="shared" si="113"/>
        <v>4025/4026</v>
      </c>
      <c r="L168" s="22" t="str">
        <f>VLOOKUP(A168,'Trips&amp;Operators'!$C$1:$E$10000,3,FALSE)</f>
        <v>YORK</v>
      </c>
      <c r="M168" s="6">
        <f t="shared" si="114"/>
        <v>9.1550925862975419E-3</v>
      </c>
      <c r="N168" s="7">
        <f t="shared" si="115"/>
        <v>13.18333332426846</v>
      </c>
      <c r="O168" s="7"/>
      <c r="P168" s="7"/>
      <c r="Q168" s="23"/>
      <c r="R168" s="23"/>
      <c r="S168" s="35">
        <f t="shared" si="116"/>
        <v>1</v>
      </c>
      <c r="T168" s="50" t="str">
        <f t="shared" si="117"/>
        <v>NorthBound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06:19:44-0600',mode:absolute,to:'2016-10-21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8" s="52" t="str">
        <f t="shared" si="119"/>
        <v>N</v>
      </c>
      <c r="X168" s="171">
        <f t="shared" si="120"/>
        <v>1</v>
      </c>
      <c r="Y168" s="67">
        <f t="shared" si="121"/>
        <v>0.10299999999999999</v>
      </c>
      <c r="Z168" s="67">
        <f t="shared" si="122"/>
        <v>5.8924000000000003</v>
      </c>
      <c r="AA168" s="67">
        <f t="shared" si="123"/>
        <v>5.7894000000000005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124"/>
        <v>0807-21</v>
      </c>
      <c r="AE168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68" s="88" t="str">
        <f t="shared" si="126"/>
        <v>"C:\Program Files (x86)\AstroGrep\AstroGrep.exe" /spath="%USERPROFILE%\AppData\Local\Temp\OnboardLogs" /stypes="app*4025*20161021*" /stext=" 13:.+((SYSTEM_STATE.+slice.+state.+changed )|(ment ac)|(system.+state.+changed )|(\[timeout)|(PRM\|1\|D)|(kpr)|(kdp)|(\|lc)|(penalty))" /e /r /s</v>
      </c>
      <c r="AG168" s="1" t="str">
        <f t="shared" si="127"/>
        <v>NW</v>
      </c>
      <c r="AH168" s="92" t="str">
        <f t="shared" si="128"/>
        <v>"%USERPROFILE%\Documents\GitHub\eaglep3\Utilities\RefineRTDCRunTimes.py" --tripid 807-21 --locoid 4025 --swversion DE.1.0.7.0 --startMP 204:1030 --initTime 2016-10-21T07:19:44 --startdatetime 2016-10-21T07:21:41 --delay 1 --endMP 300:58924 --enddatetime 2016-10-21T07:34:52 --enforcementcount 0 &gt;&gt;C:\Users\stu\Documents\GitHub\eaglep3-reporting\EC\2016-10-21-refined-times.txt</v>
      </c>
      <c r="AI168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ID","value":"807-21"},{"id":16,"name":"Locomotive ID","value":"4025"},{"id":130,"name":"Impact","value":""},{"id":150,"name":"Time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401</v>
      </c>
      <c r="B169" s="7">
        <v>4026</v>
      </c>
      <c r="C169" s="22" t="s">
        <v>99</v>
      </c>
      <c r="D169" s="22" t="s">
        <v>372</v>
      </c>
      <c r="E169" s="13">
        <v>42664.317384259259</v>
      </c>
      <c r="F169" s="13">
        <v>42664.319201388891</v>
      </c>
      <c r="G169" s="7">
        <v>1</v>
      </c>
      <c r="H169" s="13" t="s">
        <v>731</v>
      </c>
      <c r="I169" s="13">
        <v>42664.330601851849</v>
      </c>
      <c r="J169" s="7">
        <v>0</v>
      </c>
      <c r="K169" s="112" t="str">
        <f t="shared" si="113"/>
        <v>4025/4026</v>
      </c>
      <c r="L169" s="22" t="str">
        <f>VLOOKUP(A169,'Trips&amp;Operators'!$C$1:$E$10000,3,FALSE)</f>
        <v>YORK</v>
      </c>
      <c r="M169" s="6">
        <f t="shared" si="114"/>
        <v>1.1400462957681157E-2</v>
      </c>
      <c r="N169" s="7">
        <f t="shared" si="115"/>
        <v>16.416666659060866</v>
      </c>
      <c r="O169" s="7"/>
      <c r="P169" s="7"/>
      <c r="Q169" s="23"/>
      <c r="R169" s="23"/>
      <c r="S169" s="35">
        <f t="shared" si="116"/>
        <v>1</v>
      </c>
      <c r="T169" s="50" t="str">
        <f t="shared" si="117"/>
        <v>Southbound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06:37:02-0600',mode:absolute,to:'2016-10-21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9" s="52" t="str">
        <f t="shared" si="119"/>
        <v>N</v>
      </c>
      <c r="X169" s="171">
        <f t="shared" si="120"/>
        <v>1</v>
      </c>
      <c r="Y169" s="67">
        <f t="shared" si="121"/>
        <v>5.8611000000000004</v>
      </c>
      <c r="Z169" s="67">
        <f t="shared" si="122"/>
        <v>8.5699999999999998E-2</v>
      </c>
      <c r="AA169" s="67">
        <f t="shared" si="123"/>
        <v>5.7754000000000003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124"/>
        <v>0808-21</v>
      </c>
      <c r="AE169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69" s="88" t="str">
        <f t="shared" si="126"/>
        <v>"C:\Program Files (x86)\AstroGrep\AstroGrep.exe" /spath="%USERPROFILE%\AppData\Local\Temp\OnboardLogs" /stypes="app*4026*20161021*" /stext=" 13:.+((SYSTEM_STATE.+slice.+state.+changed )|(ment ac)|(system.+state.+changed )|(\[timeout)|(PRM\|1\|D)|(kpr)|(kdp)|(\|lc)|(penalty))" /e /r /s</v>
      </c>
      <c r="AG169" s="1" t="str">
        <f t="shared" si="127"/>
        <v>NW</v>
      </c>
      <c r="AH169" s="92" t="str">
        <f t="shared" si="128"/>
        <v>"%USERPROFILE%\Documents\GitHub\eaglep3\Utilities\RefineRTDCRunTimes.py" --tripid 808-21 --locoid 4026 --swversion DE.1.0.7.0 --startMP 300:58611 --initTime 2016-10-21T07:37:02 --startdatetime 2016-10-21T07:39:39 --delay 1 --endMP 204:857 --enddatetime 2016-10-21T07:56:04 --enforcementcount 0 &gt;&gt;C:\Users\stu\Documents\GitHub\eaglep3-reporting\EC\2016-10-21-refined-times.txt</v>
      </c>
      <c r="AI169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{"issue":{"subject":"","project_id":79,"tracker_id":40,"status_id":1,"priority_id":2,"assigned_to_id":23,"start_date":"2016-10-21","description":"","custom_fields":[{"id":1,"name":"Subdivision","value":"NW"},{"id":4,"name":"Milepost","value":"0.0857"},{"id":17,"name":"Train ID","value":"808-21"},{"id":16,"name":"Locomotive ID","value":"4026"},{"id":130,"name":"Impact","value":""},{"id":150,"name":"Time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479</v>
      </c>
      <c r="B170" s="7">
        <v>4046</v>
      </c>
      <c r="C170" s="22" t="s">
        <v>99</v>
      </c>
      <c r="D170" s="22" t="s">
        <v>732</v>
      </c>
      <c r="E170" s="13">
        <v>42664.322835648149</v>
      </c>
      <c r="F170" s="13">
        <v>42664.328032407408</v>
      </c>
      <c r="G170" s="7">
        <v>2</v>
      </c>
      <c r="H170" s="13" t="s">
        <v>376</v>
      </c>
      <c r="I170" s="13">
        <v>42664.337337962963</v>
      </c>
      <c r="J170" s="7">
        <v>0</v>
      </c>
      <c r="K170" s="112" t="str">
        <f t="shared" si="113"/>
        <v>4045/4046</v>
      </c>
      <c r="L170" s="22" t="str">
        <f>VLOOKUP(A170,'Trips&amp;Operators'!$C$1:$E$10000,3,FALSE)</f>
        <v>STRICKLAND</v>
      </c>
      <c r="M170" s="6">
        <f t="shared" si="114"/>
        <v>9.3055555553291924E-3</v>
      </c>
      <c r="N170" s="7">
        <f t="shared" si="115"/>
        <v>13.399999999674037</v>
      </c>
      <c r="O170" s="7"/>
      <c r="P170" s="7"/>
      <c r="Q170" s="23"/>
      <c r="R170" s="23"/>
      <c r="S170" s="35">
        <f t="shared" si="116"/>
        <v>1</v>
      </c>
      <c r="T170" s="50" t="str">
        <f t="shared" si="117"/>
        <v>NorthBound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06:44:53-0600',mode:absolute,to:'2016-10-21 09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0" s="52" t="str">
        <f t="shared" si="119"/>
        <v>N</v>
      </c>
      <c r="X170" s="171">
        <f t="shared" si="120"/>
        <v>1</v>
      </c>
      <c r="Y170" s="67">
        <f t="shared" si="121"/>
        <v>0.1004</v>
      </c>
      <c r="Z170" s="67">
        <f t="shared" si="122"/>
        <v>5.8936999999999999</v>
      </c>
      <c r="AA170" s="67">
        <f t="shared" si="123"/>
        <v>5.7933000000000003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124"/>
        <v>0809-21</v>
      </c>
      <c r="AE170" s="91" t="str">
        <f t="shared" si="125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70" s="88" t="str">
        <f t="shared" si="126"/>
        <v>"C:\Program Files (x86)\AstroGrep\AstroGrep.exe" /spath="%USERPROFILE%\AppData\Local\Temp\OnboardLogs" /stypes="app*4046*20161021*" /stext=" 14:.+((SYSTEM_STATE.+slice.+state.+changed )|(ment ac)|(system.+state.+changed )|(\[timeout)|(PRM\|1\|D)|(kpr)|(kdp)|(\|lc)|(penalty))" /e /r /s</v>
      </c>
      <c r="AG170" s="1" t="str">
        <f t="shared" si="127"/>
        <v>NW</v>
      </c>
      <c r="AH170" s="92" t="str">
        <f t="shared" si="128"/>
        <v>"%USERPROFILE%\Documents\GitHub\eaglep3\Utilities\RefineRTDCRunTimes.py" --tripid 809-21 --locoid 4046 --swversion DE.1.0.7.0 --startMP 204:1004 --initTime 2016-10-21T07:44:53 --startdatetime 2016-10-21T07:52:22 --delay 2 --endMP 300:58937 --enddatetime 2016-10-21T08:05:46 --enforcementcount 0 &gt;&gt;C:\Users\stu\Documents\GitHub\eaglep3-reporting\EC\2016-10-21-refined-times.txt</v>
      </c>
      <c r="AI170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{"issue":{"subject":"","project_id":79,"tracker_id":40,"status_id":1,"priority_id":2,"assigned_to_id":23,"start_date":"2016-10-21","description":"","custom_fields":[{"id":1,"name":"Subdivision","value":"NW"},{"id":4,"name":"Milepost","value":"5.8937"},{"id":17,"name":"Train ID","value":"809-21"},{"id":16,"name":"Locomotive ID","value":"4046"},{"id":130,"name":"Impact","value":""},{"id":150,"name":"Time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482</v>
      </c>
      <c r="B171" s="7">
        <v>4045</v>
      </c>
      <c r="C171" s="22" t="s">
        <v>99</v>
      </c>
      <c r="D171" s="22" t="s">
        <v>733</v>
      </c>
      <c r="E171" s="13">
        <v>42664.33834490741</v>
      </c>
      <c r="F171" s="13">
        <v>42664.339733796296</v>
      </c>
      <c r="G171" s="7">
        <v>1</v>
      </c>
      <c r="H171" s="13" t="s">
        <v>723</v>
      </c>
      <c r="I171" s="13">
        <v>42664.351319444446</v>
      </c>
      <c r="J171" s="7">
        <v>0</v>
      </c>
      <c r="K171" s="112" t="str">
        <f t="shared" si="113"/>
        <v>4045/4046</v>
      </c>
      <c r="L171" s="22" t="str">
        <f>VLOOKUP(A171,'Trips&amp;Operators'!$C$1:$E$10000,3,FALSE)</f>
        <v>STRICKLAND</v>
      </c>
      <c r="M171" s="6">
        <f t="shared" si="114"/>
        <v>1.1585648149775807E-2</v>
      </c>
      <c r="N171" s="7">
        <f t="shared" si="115"/>
        <v>16.683333335677162</v>
      </c>
      <c r="O171" s="7"/>
      <c r="P171" s="7"/>
      <c r="Q171" s="23"/>
      <c r="R171" s="23"/>
      <c r="S171" s="35">
        <f t="shared" si="116"/>
        <v>1</v>
      </c>
      <c r="T171" s="50" t="str">
        <f t="shared" si="117"/>
        <v>Southbound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07:07:13-0600',mode:absolute,to:'2016-10-21 09:25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1" s="52" t="str">
        <f t="shared" si="119"/>
        <v>N</v>
      </c>
      <c r="X171" s="171">
        <f t="shared" si="120"/>
        <v>1</v>
      </c>
      <c r="Y171" s="67">
        <f t="shared" si="121"/>
        <v>5.8620999999999999</v>
      </c>
      <c r="Z171" s="67">
        <f t="shared" si="122"/>
        <v>7.3599999999999999E-2</v>
      </c>
      <c r="AA171" s="67">
        <f t="shared" si="123"/>
        <v>5.7885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124"/>
        <v>0810-21</v>
      </c>
      <c r="AE171" s="91" t="str">
        <f t="shared" si="125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71" s="88" t="str">
        <f t="shared" si="126"/>
        <v>"C:\Program Files (x86)\AstroGrep\AstroGrep.exe" /spath="%USERPROFILE%\AppData\Local\Temp\OnboardLogs" /stypes="app*4045*20161021*" /stext=" 14:.+((SYSTEM_STATE.+slice.+state.+changed )|(ment ac)|(system.+state.+changed )|(\[timeout)|(PRM\|1\|D)|(kpr)|(kdp)|(\|lc)|(penalty))" /e /r /s</v>
      </c>
      <c r="AG171" s="1" t="str">
        <f t="shared" si="127"/>
        <v>NW</v>
      </c>
      <c r="AH171" s="92" t="str">
        <f t="shared" si="128"/>
        <v>"%USERPROFILE%\Documents\GitHub\eaglep3\Utilities\RefineRTDCRunTimes.py" --tripid 810-21 --locoid 4045 --swversion DE.1.0.7.0 --startMP 300:58621 --initTime 2016-10-21T08:07:13 --startdatetime 2016-10-21T08:09:13 --delay 1 --endMP 204:736 --enddatetime 2016-10-21T08:25:54 --enforcementcount 0 &gt;&gt;C:\Users\stu\Documents\GitHub\eaglep3-reporting\EC\2016-10-21-refined-times.txt</v>
      </c>
      <c r="AI171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{"issue":{"subject":"","project_id":79,"tracker_id":40,"status_id":1,"priority_id":2,"assigned_to_id":23,"start_date":"2016-10-21","description":"","custom_fields":[{"id":1,"name":"Subdivision","value":"NW"},{"id":4,"name":"Milepost","value":"0.0736"},{"id":17,"name":"Train ID","value":"810-21"},{"id":16,"name":"Locomotive ID","value":"4045"},{"id":130,"name":"Impact","value":""},{"id":150,"name":"Time of Event (Mountain Time)","value":"08:25:54"},{"id":151,"name":"Denver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484</v>
      </c>
      <c r="B172" s="7">
        <v>4025</v>
      </c>
      <c r="C172" s="22" t="s">
        <v>99</v>
      </c>
      <c r="D172" s="22" t="s">
        <v>734</v>
      </c>
      <c r="E172" s="13">
        <v>42664.346006944441</v>
      </c>
      <c r="F172" s="13">
        <v>42664.348124999997</v>
      </c>
      <c r="G172" s="7">
        <v>1</v>
      </c>
      <c r="H172" s="13" t="s">
        <v>380</v>
      </c>
      <c r="I172" s="13">
        <v>42664.35733796296</v>
      </c>
      <c r="J172" s="7">
        <v>0</v>
      </c>
      <c r="K172" s="112" t="str">
        <f t="shared" si="113"/>
        <v>4025/4026</v>
      </c>
      <c r="L172" s="22" t="str">
        <f>VLOOKUP(A172,'Trips&amp;Operators'!$C$1:$E$10000,3,FALSE)</f>
        <v>YORK</v>
      </c>
      <c r="M172" s="6">
        <f t="shared" si="114"/>
        <v>9.2129629629198462E-3</v>
      </c>
      <c r="N172" s="7">
        <f t="shared" si="115"/>
        <v>13.266666666604578</v>
      </c>
      <c r="O172" s="7"/>
      <c r="P172" s="7"/>
      <c r="Q172" s="23"/>
      <c r="R172" s="23"/>
      <c r="S172" s="35">
        <f t="shared" si="116"/>
        <v>1</v>
      </c>
      <c r="T172" s="50" t="str">
        <f t="shared" si="117"/>
        <v>NorthBound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07:18:15-0600',mode:absolute,to:'2016-10-21 09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2" s="52" t="str">
        <f t="shared" si="119"/>
        <v>N</v>
      </c>
      <c r="X172" s="171">
        <f t="shared" si="120"/>
        <v>1</v>
      </c>
      <c r="Y172" s="67">
        <f t="shared" si="121"/>
        <v>0.1153</v>
      </c>
      <c r="Z172" s="67">
        <f t="shared" si="122"/>
        <v>5.8910999999999998</v>
      </c>
      <c r="AA172" s="67">
        <f t="shared" si="123"/>
        <v>5.7757999999999994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124"/>
        <v>0811-21</v>
      </c>
      <c r="AE172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2" s="88" t="str">
        <f t="shared" si="126"/>
        <v>"C:\Program Files (x86)\AstroGrep\AstroGrep.exe" /spath="%USERPROFILE%\AppData\Local\Temp\OnboardLogs" /stypes="app*4025*20161021*" /stext=" 14:.+((SYSTEM_STATE.+slice.+state.+changed )|(ment ac)|(system.+state.+changed )|(\[timeout)|(PRM\|1\|D)|(kpr)|(kdp)|(\|lc)|(penalty))" /e /r /s</v>
      </c>
      <c r="AG172" s="1" t="str">
        <f t="shared" si="127"/>
        <v>NW</v>
      </c>
      <c r="AH172" s="92" t="str">
        <f t="shared" si="128"/>
        <v>"%USERPROFILE%\Documents\GitHub\eaglep3\Utilities\RefineRTDCRunTimes.py" --tripid 811-21 --locoid 4025 --swversion DE.1.0.7.0 --startMP 204:1153 --initTime 2016-10-21T08:18:15 --startdatetime 2016-10-21T08:21:18 --delay 1 --endMP 300:58911 --enddatetime 2016-10-21T08:34:34 --enforcementcount 0 &gt;&gt;C:\Users\stu\Documents\GitHub\eaglep3-reporting\EC\2016-10-21-refined-times.txt</v>
      </c>
      <c r="AI172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{"issue":{"subject":"","project_id":79,"tracker_id":40,"status_id":1,"priority_id":2,"assigned_to_id":23,"start_date":"2016-10-21","description":"","custom_fields":[{"id":1,"name":"Subdivision","value":"NW"},{"id":4,"name":"Milepost","value":"5.8911"},{"id":17,"name":"Train ID","value":"811-21"},{"id":16,"name":"Locomotive ID","value":"4025"},{"id":130,"name":"Impact","value":""},{"id":150,"name":"Time of Event (Mountain Time)","value":"08:34:34"},{"id":151,"name":"Denver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488</v>
      </c>
      <c r="B173" s="7">
        <v>4026</v>
      </c>
      <c r="C173" s="22" t="s">
        <v>99</v>
      </c>
      <c r="D173" s="22" t="s">
        <v>321</v>
      </c>
      <c r="E173" s="13">
        <v>42664.360092592593</v>
      </c>
      <c r="F173" s="13">
        <v>42664.361898148149</v>
      </c>
      <c r="G173" s="7">
        <v>1</v>
      </c>
      <c r="H173" s="13" t="s">
        <v>735</v>
      </c>
      <c r="I173" s="13">
        <v>42664.373310185183</v>
      </c>
      <c r="J173" s="7">
        <v>0</v>
      </c>
      <c r="K173" s="112" t="str">
        <f t="shared" si="113"/>
        <v>4025/4026</v>
      </c>
      <c r="L173" s="22" t="str">
        <f>VLOOKUP(A173,'Trips&amp;Operators'!$C$1:$E$10000,3,FALSE)</f>
        <v>YORK</v>
      </c>
      <c r="M173" s="6">
        <f t="shared" si="114"/>
        <v>1.1412037034460809E-2</v>
      </c>
      <c r="N173" s="7">
        <f t="shared" si="115"/>
        <v>16.433333329623565</v>
      </c>
      <c r="O173" s="7"/>
      <c r="P173" s="7"/>
      <c r="Q173" s="23"/>
      <c r="R173" s="23"/>
      <c r="S173" s="35">
        <f t="shared" si="116"/>
        <v>1</v>
      </c>
      <c r="T173" s="50" t="str">
        <f t="shared" si="117"/>
        <v>Southbound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07:38:32-0600',mode:absolute,to:'2016-10-21 09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3" s="52" t="str">
        <f t="shared" si="119"/>
        <v>N</v>
      </c>
      <c r="X173" s="171">
        <f t="shared" si="120"/>
        <v>1</v>
      </c>
      <c r="Y173" s="67">
        <f t="shared" si="121"/>
        <v>5.8604000000000003</v>
      </c>
      <c r="Z173" s="67">
        <f t="shared" si="122"/>
        <v>7.1999999999999995E-2</v>
      </c>
      <c r="AA173" s="67">
        <f t="shared" si="123"/>
        <v>5.7884000000000002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124"/>
        <v>0812-21</v>
      </c>
      <c r="AE173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3" s="88" t="str">
        <f t="shared" si="126"/>
        <v>"C:\Program Files (x86)\AstroGrep\AstroGrep.exe" /spath="%USERPROFILE%\AppData\Local\Temp\OnboardLogs" /stypes="app*4026*20161021*" /stext=" 14:.+((SYSTEM_STATE.+slice.+state.+changed )|(ment ac)|(system.+state.+changed )|(\[timeout)|(PRM\|1\|D)|(kpr)|(kdp)|(\|lc)|(penalty))" /e /r /s</v>
      </c>
      <c r="AG173" s="1" t="str">
        <f t="shared" si="127"/>
        <v>NW</v>
      </c>
      <c r="AH173" s="92" t="str">
        <f t="shared" si="128"/>
        <v>"%USERPROFILE%\Documents\GitHub\eaglep3\Utilities\RefineRTDCRunTimes.py" --tripid 812-21 --locoid 4026 --swversion DE.1.0.7.0 --startMP 300:58604 --initTime 2016-10-21T08:38:32 --startdatetime 2016-10-21T08:41:08 --delay 1 --endMP 204:720 --enddatetime 2016-10-21T08:57:34 --enforcementcount 0 &gt;&gt;C:\Users\stu\Documents\GitHub\eaglep3-reporting\EC\2016-10-21-refined-times.txt</v>
      </c>
      <c r="AI173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{"issue":{"subject":"","project_id":79,"tracker_id":40,"status_id":1,"priority_id":2,"assigned_to_id":23,"start_date":"2016-10-21","description":"","custom_fields":[{"id":1,"name":"Subdivision","value":"NW"},{"id":4,"name":"Milepost","value":"0.072"},{"id":17,"name":"Train ID","value":"812-21"},{"id":16,"name":"Locomotive ID","value":"4026"},{"id":130,"name":"Impact","value":""},{"id":150,"name":"Time of Event (Mountain Time)","value":"08:57:34"},{"id":151,"name":"Denver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493</v>
      </c>
      <c r="B174" s="7">
        <v>4025</v>
      </c>
      <c r="C174" s="22" t="s">
        <v>99</v>
      </c>
      <c r="D174" s="22" t="s">
        <v>736</v>
      </c>
      <c r="E174" s="13">
        <v>42664.38789351852</v>
      </c>
      <c r="F174" s="13">
        <v>42664.390173611115</v>
      </c>
      <c r="G174" s="7">
        <v>1</v>
      </c>
      <c r="H174" s="13" t="s">
        <v>737</v>
      </c>
      <c r="I174" s="13">
        <v>42664.398981481485</v>
      </c>
      <c r="J174" s="7">
        <v>0</v>
      </c>
      <c r="K174" s="112" t="str">
        <f t="shared" si="113"/>
        <v>4025/4026</v>
      </c>
      <c r="L174" s="22" t="str">
        <f>VLOOKUP(A174,'Trips&amp;Operators'!$C$1:$E$10000,3,FALSE)</f>
        <v>YORK</v>
      </c>
      <c r="M174" s="6">
        <f t="shared" si="114"/>
        <v>8.8078703702194616E-3</v>
      </c>
      <c r="N174" s="7">
        <f t="shared" si="115"/>
        <v>12.683333333116025</v>
      </c>
      <c r="O174" s="7"/>
      <c r="P174" s="7"/>
      <c r="Q174" s="23"/>
      <c r="R174" s="23"/>
      <c r="S174" s="35">
        <f t="shared" si="116"/>
        <v>1</v>
      </c>
      <c r="T174" s="50" t="str">
        <f t="shared" si="117"/>
        <v>NorthBound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08:18:34-0600',mode:absolute,to:'2016-10-21 10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4" s="52" t="str">
        <f t="shared" si="119"/>
        <v>N</v>
      </c>
      <c r="X174" s="171">
        <f t="shared" si="120"/>
        <v>1</v>
      </c>
      <c r="Y174" s="67">
        <f t="shared" si="121"/>
        <v>0.10249999999999999</v>
      </c>
      <c r="Z174" s="67">
        <f t="shared" si="122"/>
        <v>5.8921999999999999</v>
      </c>
      <c r="AA174" s="67">
        <f t="shared" si="123"/>
        <v>5.7896999999999998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124"/>
        <v>0813-21</v>
      </c>
      <c r="AE174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4" s="88" t="str">
        <f t="shared" si="126"/>
        <v>"C:\Program Files (x86)\AstroGrep\AstroGrep.exe" /spath="%USERPROFILE%\AppData\Local\Temp\OnboardLogs" /stypes="app*4025*20161021*" /stext=" 15:.+((SYSTEM_STATE.+slice.+state.+changed )|(ment ac)|(system.+state.+changed )|(\[timeout)|(PRM\|1\|D)|(kpr)|(kdp)|(\|lc)|(penalty))" /e /r /s</v>
      </c>
      <c r="AG174" s="1" t="str">
        <f t="shared" si="127"/>
        <v>NW</v>
      </c>
      <c r="AH174" s="92" t="str">
        <f t="shared" si="128"/>
        <v>"%USERPROFILE%\Documents\GitHub\eaglep3\Utilities\RefineRTDCRunTimes.py" --tripid 813-21 --locoid 4025 --swversion DE.1.0.7.0 --startMP 204:1025 --initTime 2016-10-21T09:18:34 --startdatetime 2016-10-21T09:21:51 --delay 1 --endMP 300:58922 --enddatetime 2016-10-21T09:34:32 --enforcementcount 0 &gt;&gt;C:\Users\stu\Documents\GitHub\eaglep3-reporting\EC\2016-10-21-refined-times.txt</v>
      </c>
      <c r="AI174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ID","value":"813-21"},{"id":16,"name":"Locomotive ID","value":"4025"},{"id":130,"name":"Impact","value":""},{"id":150,"name":"Time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497</v>
      </c>
      <c r="B175" s="7">
        <v>4026</v>
      </c>
      <c r="C175" s="22" t="s">
        <v>99</v>
      </c>
      <c r="D175" s="22" t="s">
        <v>385</v>
      </c>
      <c r="E175" s="13">
        <v>42664.400717592594</v>
      </c>
      <c r="F175" s="13">
        <v>42664.402685185189</v>
      </c>
      <c r="G175" s="7">
        <v>1</v>
      </c>
      <c r="H175" s="13" t="s">
        <v>725</v>
      </c>
      <c r="I175" s="13">
        <v>42664.412488425929</v>
      </c>
      <c r="J175" s="7">
        <v>0</v>
      </c>
      <c r="K175" s="112" t="str">
        <f t="shared" si="113"/>
        <v>4025/4026</v>
      </c>
      <c r="L175" s="22" t="str">
        <f>VLOOKUP(A175,'Trips&amp;Operators'!$C$1:$E$10000,3,FALSE)</f>
        <v>YORK</v>
      </c>
      <c r="M175" s="6">
        <f t="shared" si="114"/>
        <v>9.8032407404389232E-3</v>
      </c>
      <c r="N175" s="7">
        <f t="shared" si="115"/>
        <v>14.116666666232049</v>
      </c>
      <c r="O175" s="7"/>
      <c r="P175" s="7"/>
      <c r="Q175" s="23"/>
      <c r="R175" s="23"/>
      <c r="S175" s="35">
        <f t="shared" si="116"/>
        <v>1</v>
      </c>
      <c r="T175" s="50" t="str">
        <f t="shared" si="117"/>
        <v>Southbound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08:37:02-0600',mode:absolute,to:'2016-10-21 10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5" s="52" t="str">
        <f t="shared" si="119"/>
        <v>N</v>
      </c>
      <c r="X175" s="171">
        <f t="shared" si="120"/>
        <v>1</v>
      </c>
      <c r="Y175" s="67">
        <f t="shared" si="121"/>
        <v>5.8605999999999998</v>
      </c>
      <c r="Z175" s="67">
        <f t="shared" si="122"/>
        <v>7.4099999999999999E-2</v>
      </c>
      <c r="AA175" s="67">
        <f t="shared" si="123"/>
        <v>5.7865000000000002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124"/>
        <v>0814-21</v>
      </c>
      <c r="AE175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5" s="88" t="str">
        <f t="shared" si="126"/>
        <v>"C:\Program Files (x86)\AstroGrep\AstroGrep.exe" /spath="%USERPROFILE%\AppData\Local\Temp\OnboardLogs" /stypes="app*4026*20161021*" /stext=" 15:.+((SYSTEM_STATE.+slice.+state.+changed )|(ment ac)|(system.+state.+changed )|(\[timeout)|(PRM\|1\|D)|(kpr)|(kdp)|(\|lc)|(penalty))" /e /r /s</v>
      </c>
      <c r="AG175" s="1" t="str">
        <f t="shared" si="127"/>
        <v>NW</v>
      </c>
      <c r="AH175" s="92" t="str">
        <f t="shared" si="128"/>
        <v>"%USERPROFILE%\Documents\GitHub\eaglep3\Utilities\RefineRTDCRunTimes.py" --tripid 814-21 --locoid 4026 --swversion DE.1.0.7.0 --startMP 300:58606 --initTime 2016-10-21T09:37:02 --startdatetime 2016-10-21T09:39:52 --delay 1 --endMP 204:741 --enddatetime 2016-10-21T09:53:59 --enforcementcount 0 &gt;&gt;C:\Users\stu\Documents\GitHub\eaglep3-reporting\EC\2016-10-21-refined-times.txt</v>
      </c>
      <c r="AI175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{"issue":{"subject":"","project_id":79,"tracker_id":40,"status_id":1,"priority_id":2,"assigned_to_id":23,"start_date":"2016-10-21","description":"","custom_fields":[{"id":1,"name":"Subdivision","value":"NW"},{"id":4,"name":"Milepost","value":"0.0741"},{"id":17,"name":"Train ID","value":"814-21"},{"id":16,"name":"Locomotive ID","value":"4026"},{"id":130,"name":"Impact","value":""},{"id":150,"name":"Time of Event (Mountain Time)","value":"09:53:59"},{"id":151,"name":"Denver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410</v>
      </c>
      <c r="B176" s="7">
        <v>4025</v>
      </c>
      <c r="C176" s="22" t="s">
        <v>99</v>
      </c>
      <c r="D176" s="22" t="s">
        <v>738</v>
      </c>
      <c r="E176" s="13">
        <v>42664.427974537037</v>
      </c>
      <c r="F176" s="13">
        <v>42664.437060185184</v>
      </c>
      <c r="G176" s="7">
        <v>1</v>
      </c>
      <c r="H176" s="13" t="s">
        <v>739</v>
      </c>
      <c r="I176" s="13">
        <v>42664.437210648146</v>
      </c>
      <c r="J176" s="7">
        <v>0</v>
      </c>
      <c r="K176" s="112" t="str">
        <f t="shared" si="113"/>
        <v>4025/4026</v>
      </c>
      <c r="L176" s="22" t="str">
        <f>VLOOKUP(A176,'Trips&amp;Operators'!$C$1:$E$10000,3,FALSE)</f>
        <v>YORK</v>
      </c>
      <c r="M176" s="6">
        <f t="shared" si="114"/>
        <v>1.5046296175569296E-4</v>
      </c>
      <c r="N176" s="7"/>
      <c r="O176" s="7"/>
      <c r="P176" s="7">
        <v>1</v>
      </c>
      <c r="Q176" s="23"/>
      <c r="R176" s="23" t="s">
        <v>786</v>
      </c>
      <c r="S176" s="35">
        <f t="shared" si="116"/>
        <v>0</v>
      </c>
      <c r="T176" s="50" t="str">
        <f t="shared" si="117"/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09:16:17-0600',mode:absolute,to:'2016-10-21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6" s="52" t="str">
        <f t="shared" si="119"/>
        <v>Y</v>
      </c>
      <c r="X176" s="171">
        <f t="shared" si="120"/>
        <v>1</v>
      </c>
      <c r="Y176" s="67">
        <f t="shared" si="121"/>
        <v>0.1021</v>
      </c>
      <c r="Z176" s="67">
        <f t="shared" si="122"/>
        <v>0.1447</v>
      </c>
      <c r="AA176" s="67">
        <f t="shared" si="123"/>
        <v>4.2599999999999999E-2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124"/>
        <v>0815-21</v>
      </c>
      <c r="AE176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6" s="88" t="str">
        <f t="shared" si="126"/>
        <v>"C:\Program Files (x86)\AstroGrep\AstroGrep.exe" /spath="%USERPROFILE%\AppData\Local\Temp\OnboardLogs" /stypes="app*4025*20161021*" /stext=" 16:.+((SYSTEM_STATE.+slice.+state.+changed )|(ment ac)|(system.+state.+changed )|(\[timeout)|(PRM\|1\|D)|(kpr)|(kdp)|(\|lc)|(penalty))" /e /r /s</v>
      </c>
      <c r="AG176" s="1" t="str">
        <f t="shared" si="127"/>
        <v>NW</v>
      </c>
      <c r="AH176" s="92" t="str">
        <f t="shared" si="128"/>
        <v>"%USERPROFILE%\Documents\GitHub\eaglep3\Utilities\RefineRTDCRunTimes.py" --tripid 815-21 --locoid 4025 --swversion DE.1.0.7.0 --startMP 204:1021 --initTime 2016-10-21T10:16:17 --startdatetime 2016-10-21T10:29:22 --delay 1 --endMP 204:1447 --enddatetime 2016-10-21T10:29:35 --enforcementcount 0 &gt;&gt;C:\Users\stu\Documents\GitHub\eaglep3-reporting\EC\2016-10-21-refined-times.txt</v>
      </c>
      <c r="AI176" s="122" t="str">
        <f t="shared" si="129"/>
        <v>echo {"issue":{"subject":"Went active too close to signal","project_id":79,"tracker_id":40,"status_id":1,"priority_id":2,"assigned_to_id":23,"start_date":"2016-10-21","description":"","custom_fields":[{"id":1,"name":"Subdivision","value":"NW"},{"id":4,"name":"Milepost","value":"0.1447"},{"id":17,"name":"Train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410</v>
      </c>
      <c r="B177" s="7">
        <v>4025</v>
      </c>
      <c r="C177" s="22" t="s">
        <v>99</v>
      </c>
      <c r="D177" s="22" t="s">
        <v>740</v>
      </c>
      <c r="E177" s="13">
        <v>42664.436145833337</v>
      </c>
      <c r="F177" s="13">
        <v>42664.437060185184</v>
      </c>
      <c r="G177" s="7">
        <v>0</v>
      </c>
      <c r="H177" s="13" t="s">
        <v>741</v>
      </c>
      <c r="I177" s="13">
        <v>42664.437210648146</v>
      </c>
      <c r="J177" s="7">
        <v>0</v>
      </c>
      <c r="K177" s="112" t="str">
        <f t="shared" si="113"/>
        <v>4025/4026</v>
      </c>
      <c r="L177" s="22" t="str">
        <f>VLOOKUP(A177,'Trips&amp;Operators'!$C$1:$E$10000,3,FALSE)</f>
        <v>YORK</v>
      </c>
      <c r="M177" s="6">
        <f t="shared" si="114"/>
        <v>1.5046296175569296E-4</v>
      </c>
      <c r="N177" s="7"/>
      <c r="O177" s="7"/>
      <c r="P177" s="7"/>
      <c r="Q177" s="23"/>
      <c r="R177" s="23"/>
      <c r="S177" s="35"/>
      <c r="T177" s="50" t="str">
        <f t="shared" si="117"/>
        <v>NorthBound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09:28:03-0600',mode:absolute,to:'2016-10-21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7" s="52" t="str">
        <f t="shared" si="119"/>
        <v>Y</v>
      </c>
      <c r="X177" s="171">
        <f t="shared" si="120"/>
        <v>0</v>
      </c>
      <c r="Y177" s="67">
        <f t="shared" si="121"/>
        <v>1.3527</v>
      </c>
      <c r="Z177" s="67">
        <f t="shared" si="122"/>
        <v>1.3751</v>
      </c>
      <c r="AA177" s="67">
        <f t="shared" si="123"/>
        <v>2.2399999999999975E-2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124"/>
        <v>0815-21</v>
      </c>
      <c r="AE177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7" s="88" t="str">
        <f t="shared" si="126"/>
        <v>"C:\Program Files (x86)\AstroGrep\AstroGrep.exe" /spath="%USERPROFILE%\AppData\Local\Temp\OnboardLogs" /stypes="app*4025*20161021*" /stext=" 16:.+((SYSTEM_STATE.+slice.+state.+changed )|(ment ac)|(system.+state.+changed )|(\[timeout)|(PRM\|1\|D)|(kpr)|(kdp)|(\|lc)|(penalty))" /e /r /s</v>
      </c>
      <c r="AG177" s="1" t="str">
        <f t="shared" si="127"/>
        <v>NW</v>
      </c>
      <c r="AH177" s="92" t="str">
        <f t="shared" si="128"/>
        <v>"%USERPROFILE%\Documents\GitHub\eaglep3\Utilities\RefineRTDCRunTimes.py" --tripid 815-21 --locoid 4025 --swversion DE.1.0.7.0 --startMP 300:13527 --initTime 2016-10-21T10:28:03 --startdatetime 2016-10-21T10:29:22 --delay 0 --endMP 300:13751 --enddatetime 2016-10-21T10:29:35 --enforcementcount 0 &gt;&gt;C:\Users\stu\Documents\GitHub\eaglep3-reporting\EC\2016-10-21-refined-times.txt</v>
      </c>
      <c r="AI177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{"issue":{"subject":"","project_id":79,"tracker_id":40,"status_id":1,"priority_id":2,"assigned_to_id":23,"start_date":"2016-10-21","description":"","custom_fields":[{"id":1,"name":"Subdivision","value":"NW"},{"id":4,"name":"Milepost","value":"1.3751"},{"id":17,"name":"Train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505</v>
      </c>
      <c r="B178" s="7">
        <v>4026</v>
      </c>
      <c r="C178" s="22" t="s">
        <v>99</v>
      </c>
      <c r="D178" s="22" t="s">
        <v>727</v>
      </c>
      <c r="E178" s="13">
        <v>42664.445543981485</v>
      </c>
      <c r="F178" s="13">
        <v>42664.446736111109</v>
      </c>
      <c r="G178" s="7">
        <v>0</v>
      </c>
      <c r="H178" s="13" t="s">
        <v>742</v>
      </c>
      <c r="I178" s="13">
        <v>42664.455497685187</v>
      </c>
      <c r="J178" s="7">
        <v>0</v>
      </c>
      <c r="K178" s="112" t="str">
        <f t="shared" si="113"/>
        <v>4025/4026</v>
      </c>
      <c r="L178" s="22" t="str">
        <f>VLOOKUP(A178,'Trips&amp;Operators'!$C$1:$E$10000,3,FALSE)</f>
        <v>YORK</v>
      </c>
      <c r="M178" s="6">
        <f t="shared" si="114"/>
        <v>8.7615740776527673E-3</v>
      </c>
      <c r="N178" s="7">
        <f t="shared" si="115"/>
        <v>12.616666671819985</v>
      </c>
      <c r="O178" s="7"/>
      <c r="P178" s="7"/>
      <c r="Q178" s="23"/>
      <c r="R178" s="23"/>
      <c r="S178" s="35">
        <f t="shared" si="116"/>
        <v>1</v>
      </c>
      <c r="T178" s="50" t="str">
        <f t="shared" si="117"/>
        <v>Southbound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09:41:35-0600',mode:absolute,to:'2016-10-21 11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8" s="52" t="str">
        <f t="shared" si="119"/>
        <v>N</v>
      </c>
      <c r="X178" s="171">
        <f t="shared" si="120"/>
        <v>1</v>
      </c>
      <c r="Y178" s="67">
        <f t="shared" si="121"/>
        <v>5.8601999999999999</v>
      </c>
      <c r="Z178" s="67">
        <f t="shared" si="122"/>
        <v>7.3099999999999998E-2</v>
      </c>
      <c r="AA178" s="67">
        <f t="shared" si="123"/>
        <v>5.7870999999999997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124"/>
        <v>0816-21</v>
      </c>
      <c r="AE178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8" s="88" t="str">
        <f t="shared" si="126"/>
        <v>"C:\Program Files (x86)\AstroGrep\AstroGrep.exe" /spath="%USERPROFILE%\AppData\Local\Temp\OnboardLogs" /stypes="app*4026*20161021*" /stext=" 16:.+((SYSTEM_STATE.+slice.+state.+changed )|(ment ac)|(system.+state.+changed )|(\[timeout)|(PRM\|1\|D)|(kpr)|(kdp)|(\|lc)|(penalty))" /e /r /s</v>
      </c>
      <c r="AG178" s="1" t="str">
        <f t="shared" si="127"/>
        <v>NW</v>
      </c>
      <c r="AH178" s="92" t="str">
        <f t="shared" si="128"/>
        <v>"%USERPROFILE%\Documents\GitHub\eaglep3\Utilities\RefineRTDCRunTimes.py" --tripid 816-21 --locoid 4026 --swversion DE.1.0.7.0 --startMP 300:58602 --initTime 2016-10-21T10:41:35 --startdatetime 2016-10-21T10:43:18 --delay 0 --endMP 204:731 --enddatetime 2016-10-21T10:55:55 --enforcementcount 0 &gt;&gt;C:\Users\stu\Documents\GitHub\eaglep3-reporting\EC\2016-10-21-refined-times.txt</v>
      </c>
      <c r="AI178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{"issue":{"subject":"","project_id":79,"tracker_id":40,"status_id":1,"priority_id":2,"assigned_to_id":23,"start_date":"2016-10-21","description":"","custom_fields":[{"id":1,"name":"Subdivision","value":"NW"},{"id":4,"name":"Milepost","value":"0.0731"},{"id":17,"name":"Train ID","value":"816-21"},{"id":16,"name":"Locomotive ID","value":"4026"},{"id":130,"name":"Impact","value":""},{"id":150,"name":"Time of Event (Mountain Time)","value":"10:55:55"},{"id":151,"name":"Denver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514</v>
      </c>
      <c r="B179" s="7">
        <v>4025</v>
      </c>
      <c r="C179" s="22" t="s">
        <v>99</v>
      </c>
      <c r="D179" s="22" t="s">
        <v>743</v>
      </c>
      <c r="E179" s="13">
        <v>42664.471388888887</v>
      </c>
      <c r="F179" s="13">
        <v>42664.47314814815</v>
      </c>
      <c r="G179" s="7">
        <v>1</v>
      </c>
      <c r="H179" s="13" t="s">
        <v>737</v>
      </c>
      <c r="I179" s="13">
        <v>42664.482546296298</v>
      </c>
      <c r="J179" s="7">
        <v>0</v>
      </c>
      <c r="K179" s="112" t="str">
        <f t="shared" si="113"/>
        <v>4025/4026</v>
      </c>
      <c r="L179" s="22" t="str">
        <f>VLOOKUP(A179,'Trips&amp;Operators'!$C$1:$E$10000,3,FALSE)</f>
        <v>YORK</v>
      </c>
      <c r="M179" s="6">
        <f t="shared" si="114"/>
        <v>9.3981481477385387E-3</v>
      </c>
      <c r="N179" s="7">
        <f t="shared" si="115"/>
        <v>13.533333332743496</v>
      </c>
      <c r="O179" s="7"/>
      <c r="P179" s="7"/>
      <c r="Q179" s="23"/>
      <c r="R179" s="23"/>
      <c r="S179" s="35">
        <f t="shared" si="116"/>
        <v>1</v>
      </c>
      <c r="T179" s="50" t="str">
        <f t="shared" si="117"/>
        <v>NorthBound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10:18:48-0600',mode:absolute,to:'2016-10-21 12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9" s="52" t="str">
        <f t="shared" si="119"/>
        <v>N</v>
      </c>
      <c r="X179" s="171">
        <f t="shared" si="120"/>
        <v>1</v>
      </c>
      <c r="Y179" s="67">
        <f t="shared" si="121"/>
        <v>0.1042</v>
      </c>
      <c r="Z179" s="67">
        <f t="shared" si="122"/>
        <v>5.8921999999999999</v>
      </c>
      <c r="AA179" s="67">
        <f t="shared" si="123"/>
        <v>5.7880000000000003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24"/>
        <v>0817-21</v>
      </c>
      <c r="AE179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9" s="88" t="str">
        <f t="shared" si="126"/>
        <v>"C:\Program Files (x86)\AstroGrep\AstroGrep.exe" /spath="%USERPROFILE%\AppData\Local\Temp\OnboardLogs" /stypes="app*4025*20161021*" /stext=" 17:.+((SYSTEM_STATE.+slice.+state.+changed )|(ment ac)|(system.+state.+changed )|(\[timeout)|(PRM\|1\|D)|(kpr)|(kdp)|(\|lc)|(penalty))" /e /r /s</v>
      </c>
      <c r="AG179" s="1" t="str">
        <f t="shared" si="127"/>
        <v>NW</v>
      </c>
      <c r="AH179" s="92" t="str">
        <f t="shared" si="128"/>
        <v>"%USERPROFILE%\Documents\GitHub\eaglep3\Utilities\RefineRTDCRunTimes.py" --tripid 817-21 --locoid 4025 --swversion DE.1.0.7.0 --startMP 204:1042 --initTime 2016-10-21T11:18:48 --startdatetime 2016-10-21T11:21:20 --delay 1 --endMP 300:58922 --enddatetime 2016-10-21T11:34:52 --enforcementcount 0 &gt;&gt;C:\Users\stu\Documents\GitHub\eaglep3-reporting\EC\2016-10-21-refined-times.txt</v>
      </c>
      <c r="AI179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ID","value":"817-21"},{"id":16,"name":"Locomotive ID","value":"4025"},{"id":130,"name":"Impact","value":""},{"id":150,"name":"Time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412</v>
      </c>
      <c r="B180" s="7">
        <v>4026</v>
      </c>
      <c r="C180" s="22" t="s">
        <v>99</v>
      </c>
      <c r="D180" s="22" t="s">
        <v>321</v>
      </c>
      <c r="E180" s="13">
        <v>42664.483935185184</v>
      </c>
      <c r="F180" s="13">
        <v>42664.488379629627</v>
      </c>
      <c r="G180" s="7">
        <v>1</v>
      </c>
      <c r="H180" s="13" t="s">
        <v>620</v>
      </c>
      <c r="I180" s="13">
        <v>42664.501863425925</v>
      </c>
      <c r="J180" s="7">
        <v>0</v>
      </c>
      <c r="K180" s="112" t="str">
        <f t="shared" si="113"/>
        <v>4025/4026</v>
      </c>
      <c r="L180" s="22" t="str">
        <f>VLOOKUP(A180,'Trips&amp;Operators'!$C$1:$E$10000,3,FALSE)</f>
        <v>YORK</v>
      </c>
      <c r="M180" s="6">
        <f t="shared" si="114"/>
        <v>1.3483796297805384E-2</v>
      </c>
      <c r="N180" s="7">
        <f t="shared" si="115"/>
        <v>19.416666668839753</v>
      </c>
      <c r="O180" s="7"/>
      <c r="P180" s="7"/>
      <c r="Q180" s="23"/>
      <c r="R180" s="23"/>
      <c r="S180" s="35">
        <f t="shared" si="116"/>
        <v>1</v>
      </c>
      <c r="T180" s="50" t="str">
        <f t="shared" si="117"/>
        <v>Southbound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10:36:52-0600',mode:absolute,to:'2016-10-21 13:02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0" s="52" t="str">
        <f t="shared" si="119"/>
        <v>N</v>
      </c>
      <c r="X180" s="171">
        <f t="shared" si="120"/>
        <v>1</v>
      </c>
      <c r="Y180" s="67">
        <f t="shared" si="121"/>
        <v>5.8604000000000003</v>
      </c>
      <c r="Z180" s="67">
        <f t="shared" si="122"/>
        <v>7.4300000000000005E-2</v>
      </c>
      <c r="AA180" s="67">
        <f t="shared" si="123"/>
        <v>5.7861000000000002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24"/>
        <v>0818-21</v>
      </c>
      <c r="AE180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0" s="88" t="str">
        <f t="shared" si="126"/>
        <v>"C:\Program Files (x86)\AstroGrep\AstroGrep.exe" /spath="%USERPROFILE%\AppData\Local\Temp\OnboardLogs" /stypes="app*4026*20161021*" /stext=" 18:.+((SYSTEM_STATE.+slice.+state.+changed )|(ment ac)|(system.+state.+changed )|(\[timeout)|(PRM\|1\|D)|(kpr)|(kdp)|(\|lc)|(penalty))" /e /r /s</v>
      </c>
      <c r="AG180" s="1" t="str">
        <f t="shared" si="127"/>
        <v>NW</v>
      </c>
      <c r="AH180" s="92" t="str">
        <f t="shared" si="128"/>
        <v>"%USERPROFILE%\Documents\GitHub\eaglep3\Utilities\RefineRTDCRunTimes.py" --tripid 818-21 --locoid 4026 --swversion DE.1.0.7.0 --startMP 300:58604 --initTime 2016-10-21T11:36:52 --startdatetime 2016-10-21T11:43:16 --delay 1 --endMP 204:743 --enddatetime 2016-10-21T12:02:41 --enforcementcount 0 &gt;&gt;C:\Users\stu\Documents\GitHub\eaglep3-reporting\EC\2016-10-21-refined-times.txt</v>
      </c>
      <c r="AI180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{"issue":{"subject":"","project_id":79,"tracker_id":40,"status_id":1,"priority_id":2,"assigned_to_id":23,"start_date":"2016-10-21","description":"","custom_fields":[{"id":1,"name":"Subdivision","value":"NW"},{"id":4,"name":"Milepost","value":"0.0743"},{"id":17,"name":"Train ID","value":"818-21"},{"id":16,"name":"Locomotive ID","value":"4026"},{"id":130,"name":"Impact","value":""},{"id":150,"name":"Time of Event (Mountain Time)","value":"12:02:41"},{"id":151,"name":"Denver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522</v>
      </c>
      <c r="B181" s="7">
        <v>4025</v>
      </c>
      <c r="C181" s="22" t="s">
        <v>99</v>
      </c>
      <c r="D181" s="22" t="s">
        <v>736</v>
      </c>
      <c r="E181" s="13">
        <v>42664.513240740744</v>
      </c>
      <c r="F181" s="13">
        <v>42664.514965277776</v>
      </c>
      <c r="G181" s="7">
        <v>1</v>
      </c>
      <c r="H181" s="13" t="s">
        <v>380</v>
      </c>
      <c r="I181" s="13">
        <v>42664.524340277778</v>
      </c>
      <c r="J181" s="7">
        <v>0</v>
      </c>
      <c r="K181" s="112" t="str">
        <f t="shared" si="113"/>
        <v>4025/4026</v>
      </c>
      <c r="L181" s="22" t="str">
        <f>VLOOKUP(A181,'Trips&amp;Operators'!$C$1:$E$10000,3,FALSE)</f>
        <v>YORK</v>
      </c>
      <c r="M181" s="6">
        <f t="shared" si="114"/>
        <v>9.3750000014551915E-3</v>
      </c>
      <c r="N181" s="7">
        <f t="shared" si="115"/>
        <v>13.500000002095476</v>
      </c>
      <c r="O181" s="7"/>
      <c r="P181" s="7"/>
      <c r="Q181" s="23"/>
      <c r="R181" s="23"/>
      <c r="S181" s="35">
        <f t="shared" si="116"/>
        <v>1</v>
      </c>
      <c r="T181" s="50" t="str">
        <f t="shared" si="117"/>
        <v>NorthBound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11:19:04-0600',mode:absolute,to:'2016-10-21 13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1" s="52" t="str">
        <f t="shared" si="119"/>
        <v>N</v>
      </c>
      <c r="X181" s="171">
        <f t="shared" si="120"/>
        <v>1</v>
      </c>
      <c r="Y181" s="67">
        <f t="shared" si="121"/>
        <v>0.10249999999999999</v>
      </c>
      <c r="Z181" s="67">
        <f t="shared" si="122"/>
        <v>5.8910999999999998</v>
      </c>
      <c r="AA181" s="67">
        <f t="shared" si="123"/>
        <v>5.7885999999999997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24"/>
        <v>0819-21</v>
      </c>
      <c r="AE181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1" s="88" t="str">
        <f t="shared" si="126"/>
        <v>"C:\Program Files (x86)\AstroGrep\AstroGrep.exe" /spath="%USERPROFILE%\AppData\Local\Temp\OnboardLogs" /stypes="app*4025*20161021*" /stext=" 18:.+((SYSTEM_STATE.+slice.+state.+changed )|(ment ac)|(system.+state.+changed )|(\[timeout)|(PRM\|1\|D)|(kpr)|(kdp)|(\|lc)|(penalty))" /e /r /s</v>
      </c>
      <c r="AG181" s="1" t="str">
        <f t="shared" si="127"/>
        <v>NW</v>
      </c>
      <c r="AH181" s="92" t="str">
        <f t="shared" si="128"/>
        <v>"%USERPROFILE%\Documents\GitHub\eaglep3\Utilities\RefineRTDCRunTimes.py" --tripid 819-21 --locoid 4025 --swversion DE.1.0.7.0 --startMP 204:1025 --initTime 2016-10-21T12:19:04 --startdatetime 2016-10-21T12:21:33 --delay 1 --endMP 300:58911 --enddatetime 2016-10-21T12:35:03 --enforcementcount 0 &gt;&gt;C:\Users\stu\Documents\GitHub\eaglep3-reporting\EC\2016-10-21-refined-times.txt</v>
      </c>
      <c r="AI181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{"issue":{"subject":"","project_id":79,"tracker_id":40,"status_id":1,"priority_id":2,"assigned_to_id":23,"start_date":"2016-10-21","description":"","custom_fields":[{"id":1,"name":"Subdivision","value":"NW"},{"id":4,"name":"Milepost","value":"5.8911"},{"id":17,"name":"Train ID","value":"819-21"},{"id":16,"name":"Locomotive ID","value":"4025"},{"id":130,"name":"Impact","value":""},{"id":150,"name":"Time of Event (Mountain Time)","value":"12:35:03"},{"id":151,"name":"Denver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414</v>
      </c>
      <c r="B182" s="7">
        <v>4026</v>
      </c>
      <c r="C182" s="22" t="s">
        <v>99</v>
      </c>
      <c r="D182" s="22" t="s">
        <v>744</v>
      </c>
      <c r="E182" s="13">
        <v>42664.525543981479</v>
      </c>
      <c r="F182" s="13">
        <v>42664.526944444442</v>
      </c>
      <c r="G182" s="7">
        <v>1</v>
      </c>
      <c r="H182" s="13" t="s">
        <v>745</v>
      </c>
      <c r="I182" s="13">
        <v>42664.537546296298</v>
      </c>
      <c r="J182" s="7">
        <v>0</v>
      </c>
      <c r="K182" s="112" t="str">
        <f t="shared" si="113"/>
        <v>4025/4026</v>
      </c>
      <c r="L182" s="22" t="str">
        <f>VLOOKUP(A182,'Trips&amp;Operators'!$C$1:$E$10000,3,FALSE)</f>
        <v>YORK</v>
      </c>
      <c r="M182" s="6">
        <f t="shared" si="114"/>
        <v>1.0601851856335998E-2</v>
      </c>
      <c r="N182" s="7">
        <f t="shared" si="115"/>
        <v>15.266666673123837</v>
      </c>
      <c r="O182" s="7"/>
      <c r="P182" s="7"/>
      <c r="Q182" s="23"/>
      <c r="R182" s="23"/>
      <c r="S182" s="35">
        <f t="shared" si="116"/>
        <v>1</v>
      </c>
      <c r="T182" s="50" t="str">
        <f t="shared" si="117"/>
        <v>Southbound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11:36:47-0600',mode:absolute,to:'2016-10-21 13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2" s="52" t="str">
        <f t="shared" si="119"/>
        <v>N</v>
      </c>
      <c r="X182" s="171">
        <f t="shared" si="120"/>
        <v>1</v>
      </c>
      <c r="Y182" s="67">
        <f t="shared" si="121"/>
        <v>5.8597999999999999</v>
      </c>
      <c r="Z182" s="67">
        <f t="shared" si="122"/>
        <v>7.6600000000000001E-2</v>
      </c>
      <c r="AA182" s="67">
        <f t="shared" si="123"/>
        <v>5.7831999999999999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24"/>
        <v>0820-21</v>
      </c>
      <c r="AE182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2" s="88" t="str">
        <f t="shared" si="126"/>
        <v>"C:\Program Files (x86)\AstroGrep\AstroGrep.exe" /spath="%USERPROFILE%\AppData\Local\Temp\OnboardLogs" /stypes="app*4026*20161021*" /stext=" 18:.+((SYSTEM_STATE.+slice.+state.+changed )|(ment ac)|(system.+state.+changed )|(\[timeout)|(PRM\|1\|D)|(kpr)|(kdp)|(\|lc)|(penalty))" /e /r /s</v>
      </c>
      <c r="AG182" s="1" t="str">
        <f t="shared" si="127"/>
        <v>NW</v>
      </c>
      <c r="AH182" s="92" t="str">
        <f t="shared" si="128"/>
        <v>"%USERPROFILE%\Documents\GitHub\eaglep3\Utilities\RefineRTDCRunTimes.py" --tripid 820-21 --locoid 4026 --swversion DE.1.0.7.0 --startMP 300:58598 --initTime 2016-10-21T12:36:47 --startdatetime 2016-10-21T12:38:48 --delay 1 --endMP 204:766 --enddatetime 2016-10-21T12:54:04 --enforcementcount 0 &gt;&gt;C:\Users\stu\Documents\GitHub\eaglep3-reporting\EC\2016-10-21-refined-times.txt</v>
      </c>
      <c r="AI182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{"issue":{"subject":"","project_id":79,"tracker_id":40,"status_id":1,"priority_id":2,"assigned_to_id":23,"start_date":"2016-10-21","description":"","custom_fields":[{"id":1,"name":"Subdivision","value":"NW"},{"id":4,"name":"Milepost","value":"0.0766"},{"id":17,"name":"Train ID","value":"820-21"},{"id":16,"name":"Locomotive ID","value":"4026"},{"id":130,"name":"Impact","value":""},{"id":150,"name":"Time of Event (Mountain Time)","value":"12:54:04"},{"id":151,"name":"Denver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527</v>
      </c>
      <c r="B183" s="7">
        <v>4025</v>
      </c>
      <c r="C183" s="22" t="s">
        <v>99</v>
      </c>
      <c r="D183" s="22" t="s">
        <v>746</v>
      </c>
      <c r="E183" s="13">
        <v>42664.543796296297</v>
      </c>
      <c r="F183" s="13">
        <v>42664.556574074071</v>
      </c>
      <c r="G183" s="7">
        <v>2</v>
      </c>
      <c r="H183" s="13" t="s">
        <v>383</v>
      </c>
      <c r="I183" s="13">
        <v>42664.566828703704</v>
      </c>
      <c r="J183" s="7">
        <v>0</v>
      </c>
      <c r="K183" s="112" t="str">
        <f t="shared" si="113"/>
        <v>4025/4026</v>
      </c>
      <c r="L183" s="22" t="str">
        <f>VLOOKUP(A183,'Trips&amp;Operators'!$C$1:$E$10000,3,FALSE)</f>
        <v>HELVIE</v>
      </c>
      <c r="M183" s="6">
        <f t="shared" si="114"/>
        <v>1.025462963298196E-2</v>
      </c>
      <c r="N183" s="7">
        <f t="shared" si="115"/>
        <v>14.766666671494022</v>
      </c>
      <c r="O183" s="7"/>
      <c r="P183" s="7"/>
      <c r="Q183" s="23"/>
      <c r="R183" s="23"/>
      <c r="S183" s="35">
        <f t="shared" si="116"/>
        <v>1</v>
      </c>
      <c r="T183" s="50" t="str">
        <f t="shared" si="117"/>
        <v>NorthBound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12:03:04-0600',mode:absolute,to:'2016-10-21 14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3" s="52" t="str">
        <f t="shared" si="119"/>
        <v>N</v>
      </c>
      <c r="X183" s="171">
        <f t="shared" si="120"/>
        <v>1</v>
      </c>
      <c r="Y183" s="67">
        <f t="shared" si="121"/>
        <v>0.1072</v>
      </c>
      <c r="Z183" s="67">
        <f t="shared" si="122"/>
        <v>5.8930999999999996</v>
      </c>
      <c r="AA183" s="67">
        <f t="shared" si="123"/>
        <v>5.7858999999999998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24"/>
        <v>0821-21</v>
      </c>
      <c r="AE183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3" s="88" t="str">
        <f t="shared" si="126"/>
        <v>"C:\Program Files (x86)\AstroGrep\AstroGrep.exe" /spath="%USERPROFILE%\AppData\Local\Temp\OnboardLogs" /stypes="app*4025*20161021*" /stext=" 19:.+((SYSTEM_STATE.+slice.+state.+changed )|(ment ac)|(system.+state.+changed )|(\[timeout)|(PRM\|1\|D)|(kpr)|(kdp)|(\|lc)|(penalty))" /e /r /s</v>
      </c>
      <c r="AG183" s="1" t="str">
        <f t="shared" si="127"/>
        <v>NW</v>
      </c>
      <c r="AH183" s="92" t="str">
        <f t="shared" si="128"/>
        <v>"%USERPROFILE%\Documents\GitHub\eaglep3\Utilities\RefineRTDCRunTimes.py" --tripid 821-21 --locoid 4025 --swversion DE.1.0.7.0 --startMP 204:1072 --initTime 2016-10-21T13:03:04 --startdatetime 2016-10-21T13:21:28 --delay 2 --endMP 300:58931 --enddatetime 2016-10-21T13:36:14 --enforcementcount 0 &gt;&gt;C:\Users\stu\Documents\GitHub\eaglep3-reporting\EC\2016-10-21-refined-times.txt</v>
      </c>
      <c r="AI183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ID","value":"821-21"},{"id":16,"name":"Locomotive ID","value":"4025"},{"id":130,"name":"Impact","value":""},{"id":150,"name":"Time of Event (Mountain Time)","value":"13:36:14"},{"id":151,"name":"Denver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531</v>
      </c>
      <c r="B184" s="7">
        <v>4026</v>
      </c>
      <c r="C184" s="22" t="s">
        <v>99</v>
      </c>
      <c r="D184" s="22" t="s">
        <v>747</v>
      </c>
      <c r="E184" s="13">
        <v>42664.568495370368</v>
      </c>
      <c r="F184" s="13">
        <v>42664.572384259256</v>
      </c>
      <c r="G184" s="7">
        <v>4</v>
      </c>
      <c r="H184" s="13" t="s">
        <v>620</v>
      </c>
      <c r="I184" s="13">
        <v>42664.582858796297</v>
      </c>
      <c r="J184" s="7">
        <v>0</v>
      </c>
      <c r="K184" s="112" t="str">
        <f t="shared" si="113"/>
        <v>4025/4026</v>
      </c>
      <c r="L184" s="22" t="str">
        <f>VLOOKUP(A184,'Trips&amp;Operators'!$C$1:$E$10000,3,FALSE)</f>
        <v>HELVIE</v>
      </c>
      <c r="M184" s="6">
        <f t="shared" si="114"/>
        <v>1.0474537040863652E-2</v>
      </c>
      <c r="N184" s="7">
        <f t="shared" si="115"/>
        <v>15.083333338843659</v>
      </c>
      <c r="O184" s="7"/>
      <c r="P184" s="7"/>
      <c r="Q184" s="23"/>
      <c r="R184" s="23"/>
      <c r="S184" s="35">
        <f t="shared" si="116"/>
        <v>1</v>
      </c>
      <c r="T184" s="50" t="str">
        <f t="shared" si="117"/>
        <v>Southbound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12:38:38-0600',mode:absolute,to:'2016-10-21 14:59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4" s="52" t="str">
        <f t="shared" si="119"/>
        <v>N</v>
      </c>
      <c r="X184" s="171">
        <f t="shared" si="120"/>
        <v>1</v>
      </c>
      <c r="Y184" s="67">
        <f t="shared" si="121"/>
        <v>5.7339000000000002</v>
      </c>
      <c r="Z184" s="67">
        <f t="shared" si="122"/>
        <v>7.4300000000000005E-2</v>
      </c>
      <c r="AA184" s="67">
        <f t="shared" si="123"/>
        <v>5.6596000000000002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24"/>
        <v>0822-21</v>
      </c>
      <c r="AE184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4" s="88" t="str">
        <f t="shared" si="126"/>
        <v>"C:\Program Files (x86)\AstroGrep\AstroGrep.exe" /spath="%USERPROFILE%\AppData\Local\Temp\OnboardLogs" /stypes="app*4026*20161021*" /stext=" 19:.+((SYSTEM_STATE.+slice.+state.+changed )|(ment ac)|(system.+state.+changed )|(\[timeout)|(PRM\|1\|D)|(kpr)|(kdp)|(\|lc)|(penalty))" /e /r /s</v>
      </c>
      <c r="AG184" s="1" t="str">
        <f t="shared" si="127"/>
        <v>NW</v>
      </c>
      <c r="AH184" s="92" t="str">
        <f t="shared" si="128"/>
        <v>"%USERPROFILE%\Documents\GitHub\eaglep3\Utilities\RefineRTDCRunTimes.py" --tripid 822-21 --locoid 4026 --swversion DE.1.0.7.0 --startMP 300:57339 --initTime 2016-10-21T13:38:38 --startdatetime 2016-10-21T13:44:14 --delay 4 --endMP 204:743 --enddatetime 2016-10-21T13:59:19 --enforcementcount 0 &gt;&gt;C:\Users\stu\Documents\GitHub\eaglep3-reporting\EC\2016-10-21-refined-times.txt</v>
      </c>
      <c r="AI184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{"issue":{"subject":"","project_id":79,"tracker_id":40,"status_id":1,"priority_id":2,"assigned_to_id":23,"start_date":"2016-10-21","description":"","custom_fields":[{"id":1,"name":"Subdivision","value":"NW"},{"id":4,"name":"Milepost","value":"0.0743"},{"id":17,"name":"Train ID","value":"822-21"},{"id":16,"name":"Locomotive ID","value":"4026"},{"id":130,"name":"Impact","value":""},{"id":150,"name":"Time of Event (Mountain Time)","value":"13:59:19"},{"id":151,"name":"Denver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418</v>
      </c>
      <c r="B185" s="7">
        <v>4025</v>
      </c>
      <c r="C185" s="22" t="s">
        <v>99</v>
      </c>
      <c r="D185" s="22" t="s">
        <v>381</v>
      </c>
      <c r="E185" s="13">
        <v>42664.594224537039</v>
      </c>
      <c r="F185" s="13">
        <v>42664.598229166666</v>
      </c>
      <c r="G185" s="7">
        <v>1</v>
      </c>
      <c r="H185" s="13" t="s">
        <v>389</v>
      </c>
      <c r="I185" s="13">
        <v>42664.608043981483</v>
      </c>
      <c r="J185" s="7">
        <v>0</v>
      </c>
      <c r="K185" s="112" t="str">
        <f t="shared" si="113"/>
        <v>4025/4026</v>
      </c>
      <c r="L185" s="22" t="str">
        <f>VLOOKUP(A185,'Trips&amp;Operators'!$C$1:$E$10000,3,FALSE)</f>
        <v>HELVIE</v>
      </c>
      <c r="M185" s="6">
        <f t="shared" si="114"/>
        <v>9.8148148172185756E-3</v>
      </c>
      <c r="N185" s="7">
        <f t="shared" si="115"/>
        <v>14.133333336794749</v>
      </c>
      <c r="O185" s="7"/>
      <c r="P185" s="7"/>
      <c r="Q185" s="23"/>
      <c r="R185" s="23"/>
      <c r="S185" s="35">
        <f t="shared" si="116"/>
        <v>1</v>
      </c>
      <c r="T185" s="50" t="str">
        <f t="shared" si="117"/>
        <v>NorthBound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13:15:41-0600',mode:absolute,to:'2016-10-21 15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5" s="52" t="str">
        <f t="shared" si="119"/>
        <v>N</v>
      </c>
      <c r="X185" s="171">
        <f t="shared" si="120"/>
        <v>1</v>
      </c>
      <c r="Y185" s="67">
        <f t="shared" si="121"/>
        <v>0.10349999999999999</v>
      </c>
      <c r="Z185" s="67">
        <f t="shared" si="122"/>
        <v>5.8925999999999998</v>
      </c>
      <c r="AA185" s="67">
        <f t="shared" si="123"/>
        <v>5.7890999999999995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24"/>
        <v>0823-21</v>
      </c>
      <c r="AE185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5" s="88" t="str">
        <f t="shared" si="126"/>
        <v>"C:\Program Files (x86)\AstroGrep\AstroGrep.exe" /spath="%USERPROFILE%\AppData\Local\Temp\OnboardLogs" /stypes="app*4025*20161021*" /stext=" 20:.+((SYSTEM_STATE.+slice.+state.+changed )|(ment ac)|(system.+state.+changed )|(\[timeout)|(PRM\|1\|D)|(kpr)|(kdp)|(\|lc)|(penalty))" /e /r /s</v>
      </c>
      <c r="AG185" s="1" t="str">
        <f t="shared" si="127"/>
        <v>NW</v>
      </c>
      <c r="AH185" s="92" t="str">
        <f t="shared" si="128"/>
        <v>"%USERPROFILE%\Documents\GitHub\eaglep3\Utilities\RefineRTDCRunTimes.py" --tripid 823-21 --locoid 4025 --swversion DE.1.0.7.0 --startMP 204:1035 --initTime 2016-10-21T14:15:41 --startdatetime 2016-10-21T14:21:27 --delay 1 --endMP 300:58926 --enddatetime 2016-10-21T14:35:35 --enforcementcount 0 &gt;&gt;C:\Users\stu\Documents\GitHub\eaglep3-reporting\EC\2016-10-21-refined-times.txt</v>
      </c>
      <c r="AI185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ID","value":"823-21"},{"id":16,"name":"Locomotive ID","value":"4025"},{"id":130,"name":"Impact","value":""},{"id":150,"name":"Time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419</v>
      </c>
      <c r="B186" s="7">
        <v>4026</v>
      </c>
      <c r="C186" s="22" t="s">
        <v>99</v>
      </c>
      <c r="D186" s="22" t="s">
        <v>384</v>
      </c>
      <c r="E186" s="13">
        <v>42664.609884259262</v>
      </c>
      <c r="F186" s="13">
        <v>42664.611909722225</v>
      </c>
      <c r="G186" s="7">
        <v>2</v>
      </c>
      <c r="H186" s="13" t="s">
        <v>748</v>
      </c>
      <c r="I186" s="13">
        <v>42664.622442129628</v>
      </c>
      <c r="J186" s="7">
        <v>0</v>
      </c>
      <c r="K186" s="112" t="str">
        <f t="shared" si="113"/>
        <v>4025/4026</v>
      </c>
      <c r="L186" s="22" t="str">
        <f>VLOOKUP(A186,'Trips&amp;Operators'!$C$1:$E$10000,3,FALSE)</f>
        <v>HELVIE</v>
      </c>
      <c r="M186" s="6">
        <f t="shared" si="114"/>
        <v>1.0532407402934041E-2</v>
      </c>
      <c r="N186" s="7">
        <f t="shared" si="115"/>
        <v>15.166666660225019</v>
      </c>
      <c r="O186" s="7"/>
      <c r="P186" s="7"/>
      <c r="Q186" s="23"/>
      <c r="R186" s="23"/>
      <c r="S186" s="35">
        <f t="shared" si="116"/>
        <v>1</v>
      </c>
      <c r="T186" s="50" t="str">
        <f t="shared" si="117"/>
        <v>Southbound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13:38:14-0600',mode:absolute,to:'2016-10-21 15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6" s="52" t="str">
        <f t="shared" si="119"/>
        <v>N</v>
      </c>
      <c r="X186" s="171">
        <f t="shared" si="120"/>
        <v>1</v>
      </c>
      <c r="Y186" s="67">
        <f t="shared" si="121"/>
        <v>5.8608000000000002</v>
      </c>
      <c r="Z186" s="67">
        <f t="shared" si="122"/>
        <v>7.5899999999999995E-2</v>
      </c>
      <c r="AA186" s="67">
        <f t="shared" si="123"/>
        <v>5.7849000000000004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24"/>
        <v>0824-21</v>
      </c>
      <c r="AE186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6" s="88" t="str">
        <f t="shared" si="126"/>
        <v>"C:\Program Files (x86)\AstroGrep\AstroGrep.exe" /spath="%USERPROFILE%\AppData\Local\Temp\OnboardLogs" /stypes="app*4026*20161021*" /stext=" 20:.+((SYSTEM_STATE.+slice.+state.+changed )|(ment ac)|(system.+state.+changed )|(\[timeout)|(PRM\|1\|D)|(kpr)|(kdp)|(\|lc)|(penalty))" /e /r /s</v>
      </c>
      <c r="AG186" s="1" t="str">
        <f t="shared" si="127"/>
        <v>NW</v>
      </c>
      <c r="AH186" s="92" t="str">
        <f t="shared" si="128"/>
        <v>"%USERPROFILE%\Documents\GitHub\eaglep3\Utilities\RefineRTDCRunTimes.py" --tripid 824-21 --locoid 4026 --swversion DE.1.0.7.0 --startMP 300:58608 --initTime 2016-10-21T14:38:14 --startdatetime 2016-10-21T14:41:09 --delay 2 --endMP 204:759 --enddatetime 2016-10-21T14:56:19 --enforcementcount 0 &gt;&gt;C:\Users\stu\Documents\GitHub\eaglep3-reporting\EC\2016-10-21-refined-times.txt</v>
      </c>
      <c r="AI186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{"issue":{"subject":"","project_id":79,"tracker_id":40,"status_id":1,"priority_id":2,"assigned_to_id":23,"start_date":"2016-10-21","description":"","custom_fields":[{"id":1,"name":"Subdivision","value":"NW"},{"id":4,"name":"Milepost","value":"0.0759"},{"id":17,"name":"Train ID","value":"824-21"},{"id":16,"name":"Locomotive ID","value":"4026"},{"id":130,"name":"Impact","value":""},{"id":150,"name":"Time of Event (Mountain Time)","value":"14:56:19"},{"id":151,"name":"Denver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421</v>
      </c>
      <c r="B187" s="7">
        <v>4025</v>
      </c>
      <c r="C187" s="22" t="s">
        <v>99</v>
      </c>
      <c r="D187" s="22" t="s">
        <v>749</v>
      </c>
      <c r="E187" s="13">
        <v>42664.636504629627</v>
      </c>
      <c r="F187" s="13">
        <v>42664.639768518522</v>
      </c>
      <c r="G187" s="7">
        <v>1</v>
      </c>
      <c r="H187" s="13" t="s">
        <v>389</v>
      </c>
      <c r="I187" s="13">
        <v>42664.648888888885</v>
      </c>
      <c r="J187" s="7">
        <v>0</v>
      </c>
      <c r="K187" s="112" t="str">
        <f t="shared" si="113"/>
        <v>4025/4026</v>
      </c>
      <c r="L187" s="22" t="str">
        <f>VLOOKUP(A187,'Trips&amp;Operators'!$C$1:$E$10000,3,FALSE)</f>
        <v>HELVIE</v>
      </c>
      <c r="M187" s="6">
        <f t="shared" si="114"/>
        <v>9.1203703632345423E-3</v>
      </c>
      <c r="N187" s="7">
        <f t="shared" si="115"/>
        <v>13.133333323057741</v>
      </c>
      <c r="O187" s="7"/>
      <c r="P187" s="7"/>
      <c r="Q187" s="23"/>
      <c r="R187" s="23"/>
      <c r="S187" s="35">
        <f t="shared" si="116"/>
        <v>1</v>
      </c>
      <c r="T187" s="50" t="str">
        <f t="shared" si="117"/>
        <v>NorthBound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14:16:34-0600',mode:absolute,to:'2016-10-21 16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7" s="52" t="str">
        <f t="shared" si="119"/>
        <v>N</v>
      </c>
      <c r="X187" s="171">
        <f t="shared" si="120"/>
        <v>1</v>
      </c>
      <c r="Y187" s="67">
        <f t="shared" si="121"/>
        <v>0.1053</v>
      </c>
      <c r="Z187" s="67">
        <f t="shared" si="122"/>
        <v>5.8925999999999998</v>
      </c>
      <c r="AA187" s="67">
        <f t="shared" si="123"/>
        <v>5.7873000000000001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24"/>
        <v>0825-21</v>
      </c>
      <c r="AE187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7" s="88" t="str">
        <f t="shared" si="126"/>
        <v>"C:\Program Files (x86)\AstroGrep\AstroGrep.exe" /spath="%USERPROFILE%\AppData\Local\Temp\OnboardLogs" /stypes="app*4025*20161021*" /stext=" 21:.+((SYSTEM_STATE.+slice.+state.+changed )|(ment ac)|(system.+state.+changed )|(\[timeout)|(PRM\|1\|D)|(kpr)|(kdp)|(\|lc)|(penalty))" /e /r /s</v>
      </c>
      <c r="AG187" s="1" t="str">
        <f t="shared" si="127"/>
        <v>NW</v>
      </c>
      <c r="AH187" s="92" t="str">
        <f t="shared" si="128"/>
        <v>"%USERPROFILE%\Documents\GitHub\eaglep3\Utilities\RefineRTDCRunTimes.py" --tripid 825-21 --locoid 4025 --swversion DE.1.0.7.0 --startMP 204:1053 --initTime 2016-10-21T15:16:34 --startdatetime 2016-10-21T15:21:16 --delay 1 --endMP 300:58926 --enddatetime 2016-10-21T15:34:24 --enforcementcount 0 &gt;&gt;C:\Users\stu\Documents\GitHub\eaglep3-reporting\EC\2016-10-21-refined-times.txt</v>
      </c>
      <c r="AI187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ID","value":"825-21"},{"id":16,"name":"Locomotive ID","value":"4025"},{"id":130,"name":"Impact","value":""},{"id":150,"name":"Time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547</v>
      </c>
      <c r="B188" s="7">
        <v>4026</v>
      </c>
      <c r="C188" s="22" t="s">
        <v>99</v>
      </c>
      <c r="D188" s="22" t="s">
        <v>733</v>
      </c>
      <c r="E188" s="13">
        <v>42664.650289351855</v>
      </c>
      <c r="F188" s="13">
        <v>42664.65253472222</v>
      </c>
      <c r="G188" s="7">
        <v>1</v>
      </c>
      <c r="H188" s="13" t="s">
        <v>635</v>
      </c>
      <c r="I188" s="13">
        <v>42664.663310185184</v>
      </c>
      <c r="J188" s="7">
        <v>0</v>
      </c>
      <c r="K188" s="112" t="str">
        <f t="shared" si="113"/>
        <v>4025/4026</v>
      </c>
      <c r="L188" s="22" t="str">
        <f>VLOOKUP(A188,'Trips&amp;Operators'!$C$1:$E$10000,3,FALSE)</f>
        <v>HELVIE</v>
      </c>
      <c r="M188" s="6">
        <f t="shared" si="114"/>
        <v>1.0775462964375038E-2</v>
      </c>
      <c r="N188" s="7">
        <f t="shared" si="115"/>
        <v>15.516666668700054</v>
      </c>
      <c r="O188" s="7"/>
      <c r="P188" s="7"/>
      <c r="Q188" s="23"/>
      <c r="R188" s="23"/>
      <c r="S188" s="35">
        <f t="shared" si="116"/>
        <v>1</v>
      </c>
      <c r="T188" s="50" t="str">
        <f t="shared" si="117"/>
        <v>Southbound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14:36:25-0600',mode:absolute,to:'2016-10-21 16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8" s="52" t="str">
        <f t="shared" si="119"/>
        <v>N</v>
      </c>
      <c r="X188" s="171">
        <f t="shared" si="120"/>
        <v>1</v>
      </c>
      <c r="Y188" s="67">
        <f t="shared" si="121"/>
        <v>5.8620999999999999</v>
      </c>
      <c r="Z188" s="67">
        <f t="shared" si="122"/>
        <v>7.4999999999999997E-2</v>
      </c>
      <c r="AA188" s="67">
        <f t="shared" si="123"/>
        <v>5.7870999999999997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24"/>
        <v>0826-21</v>
      </c>
      <c r="AE188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8" s="88" t="str">
        <f t="shared" si="126"/>
        <v>"C:\Program Files (x86)\AstroGrep\AstroGrep.exe" /spath="%USERPROFILE%\AppData\Local\Temp\OnboardLogs" /stypes="app*4026*20161021*" /stext=" 21:.+((SYSTEM_STATE.+slice.+state.+changed )|(ment ac)|(system.+state.+changed )|(\[timeout)|(PRM\|1\|D)|(kpr)|(kdp)|(\|lc)|(penalty))" /e /r /s</v>
      </c>
      <c r="AG188" s="1" t="str">
        <f t="shared" si="127"/>
        <v>NW</v>
      </c>
      <c r="AH188" s="92" t="str">
        <f t="shared" si="128"/>
        <v>"%USERPROFILE%\Documents\GitHub\eaglep3\Utilities\RefineRTDCRunTimes.py" --tripid 826-21 --locoid 4026 --swversion DE.1.0.7.0 --startMP 300:58621 --initTime 2016-10-21T15:36:25 --startdatetime 2016-10-21T15:39:39 --delay 1 --endMP 204:750 --enddatetime 2016-10-21T15:55:10 --enforcementcount 0 &gt;&gt;C:\Users\stu\Documents\GitHub\eaglep3-reporting\EC\2016-10-21-refined-times.txt</v>
      </c>
      <c r="AI188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{"issue":{"subject":"","project_id":79,"tracker_id":40,"status_id":1,"priority_id":2,"assigned_to_id":23,"start_date":"2016-10-21","description":"","custom_fields":[{"id":1,"name":"Subdivision","value":"NW"},{"id":4,"name":"Milepost","value":"0.075"},{"id":17,"name":"Train ID","value":"826-21"},{"id":16,"name":"Locomotive ID","value":"4026"},{"id":130,"name":"Impact","value":""},{"id":150,"name":"Time of Event (Mountain Time)","value":"15:55:10"},{"id":151,"name":"Denver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546</v>
      </c>
      <c r="B189" s="7">
        <v>4046</v>
      </c>
      <c r="C189" s="22" t="s">
        <v>99</v>
      </c>
      <c r="D189" s="22" t="s">
        <v>750</v>
      </c>
      <c r="E189" s="13">
        <v>42664.649201388886</v>
      </c>
      <c r="F189" s="13">
        <v>42664.660590277781</v>
      </c>
      <c r="G189" s="7">
        <v>1</v>
      </c>
      <c r="H189" s="13" t="s">
        <v>389</v>
      </c>
      <c r="I189" s="13">
        <v>42664.669710648152</v>
      </c>
      <c r="J189" s="7">
        <v>0</v>
      </c>
      <c r="K189" s="112" t="str">
        <f t="shared" si="113"/>
        <v>4045/4046</v>
      </c>
      <c r="L189" s="22" t="str">
        <f>VLOOKUP(A189,'Trips&amp;Operators'!$C$1:$E$10000,3,FALSE)</f>
        <v>NEWELL</v>
      </c>
      <c r="M189" s="6">
        <f t="shared" si="114"/>
        <v>9.1203703705104999E-3</v>
      </c>
      <c r="N189" s="7">
        <f t="shared" si="115"/>
        <v>13.13333333353512</v>
      </c>
      <c r="O189" s="7"/>
      <c r="P189" s="7"/>
      <c r="Q189" s="23"/>
      <c r="R189" s="23"/>
      <c r="S189" s="35">
        <f t="shared" si="116"/>
        <v>1</v>
      </c>
      <c r="T189" s="50" t="str">
        <f t="shared" si="117"/>
        <v>NorthBound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14:34:51-0600',mode:absolute,to:'2016-10-21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9" s="52" t="str">
        <f t="shared" si="119"/>
        <v>N</v>
      </c>
      <c r="X189" s="171">
        <f t="shared" si="120"/>
        <v>1</v>
      </c>
      <c r="Y189" s="67">
        <f t="shared" si="121"/>
        <v>9.4399999999999998E-2</v>
      </c>
      <c r="Z189" s="67">
        <f t="shared" si="122"/>
        <v>5.8925999999999998</v>
      </c>
      <c r="AA189" s="67">
        <f t="shared" si="123"/>
        <v>5.7981999999999996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24"/>
        <v>0827-21</v>
      </c>
      <c r="AE189" s="91" t="str">
        <f t="shared" si="125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89" s="88" t="str">
        <f t="shared" si="126"/>
        <v>"C:\Program Files (x86)\AstroGrep\AstroGrep.exe" /spath="%USERPROFILE%\AppData\Local\Temp\OnboardLogs" /stypes="app*4046*20161021*" /stext=" 22:.+((SYSTEM_STATE.+slice.+state.+changed )|(ment ac)|(system.+state.+changed )|(\[timeout)|(PRM\|1\|D)|(kpr)|(kdp)|(\|lc)|(penalty))" /e /r /s</v>
      </c>
      <c r="AG189" s="1" t="str">
        <f t="shared" si="127"/>
        <v>NW</v>
      </c>
      <c r="AH189" s="92" t="str">
        <f t="shared" si="128"/>
        <v>"%USERPROFILE%\Documents\GitHub\eaglep3\Utilities\RefineRTDCRunTimes.py" --tripid 827-21 --locoid 4046 --swversion DE.1.0.7.0 --startMP 204:944 --initTime 2016-10-21T15:34:51 --startdatetime 2016-10-21T15:51:15 --delay 1 --endMP 300:58926 --enddatetime 2016-10-21T16:04:23 --enforcementcount 0 &gt;&gt;C:\Users\stu\Documents\GitHub\eaglep3-reporting\EC\2016-10-21-refined-times.txt</v>
      </c>
      <c r="AI189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ID","value":"827-21"},{"id":16,"name":"Locomotive ID","value":"4046"},{"id":130,"name":"Impact","value":""},{"id":150,"name":"Time of Event (Mountain Time)","value":"16:04:23"},{"id":151,"name":"Denver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550</v>
      </c>
      <c r="B190" s="7">
        <v>4045</v>
      </c>
      <c r="C190" s="22" t="s">
        <v>99</v>
      </c>
      <c r="D190" s="22" t="s">
        <v>384</v>
      </c>
      <c r="E190" s="13">
        <v>42664.670567129629</v>
      </c>
      <c r="F190" s="13">
        <v>42664.671759259261</v>
      </c>
      <c r="G190" s="7">
        <v>1</v>
      </c>
      <c r="H190" s="13" t="s">
        <v>751</v>
      </c>
      <c r="I190" s="13">
        <v>42664.68440972222</v>
      </c>
      <c r="J190" s="7">
        <v>0</v>
      </c>
      <c r="K190" s="112" t="str">
        <f t="shared" si="113"/>
        <v>4045/4046</v>
      </c>
      <c r="L190" s="22" t="str">
        <f>VLOOKUP(A190,'Trips&amp;Operators'!$C$1:$E$10000,3,FALSE)</f>
        <v>NEWELL</v>
      </c>
      <c r="M190" s="6">
        <f t="shared" si="114"/>
        <v>1.265046295884531E-2</v>
      </c>
      <c r="N190" s="7">
        <f t="shared" si="115"/>
        <v>18.216666660737246</v>
      </c>
      <c r="O190" s="7"/>
      <c r="P190" s="7"/>
      <c r="Q190" s="23"/>
      <c r="R190" s="23"/>
      <c r="S190" s="35">
        <f t="shared" si="116"/>
        <v>1</v>
      </c>
      <c r="T190" s="50" t="str">
        <f t="shared" si="117"/>
        <v>Southbound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15:05:37-0600',mode:absolute,to:'2016-10-21 17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0" s="52" t="str">
        <f t="shared" si="119"/>
        <v>N</v>
      </c>
      <c r="X190" s="171">
        <f t="shared" si="120"/>
        <v>1</v>
      </c>
      <c r="Y190" s="67">
        <f t="shared" si="121"/>
        <v>5.8608000000000002</v>
      </c>
      <c r="Z190" s="67">
        <f t="shared" si="122"/>
        <v>6.3299999999999995E-2</v>
      </c>
      <c r="AA190" s="67">
        <f t="shared" si="123"/>
        <v>5.7975000000000003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124"/>
        <v>0828-21</v>
      </c>
      <c r="AE190" s="91" t="str">
        <f t="shared" si="125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90" s="88" t="str">
        <f t="shared" si="126"/>
        <v>"C:\Program Files (x86)\AstroGrep\AstroGrep.exe" /spath="%USERPROFILE%\AppData\Local\Temp\OnboardLogs" /stypes="app*4045*20161021*" /stext=" 22:.+((SYSTEM_STATE.+slice.+state.+changed )|(ment ac)|(system.+state.+changed )|(\[timeout)|(PRM\|1\|D)|(kpr)|(kdp)|(\|lc)|(penalty))" /e /r /s</v>
      </c>
      <c r="AG190" s="1" t="str">
        <f t="shared" si="127"/>
        <v>NW</v>
      </c>
      <c r="AH190" s="92" t="str">
        <f t="shared" si="128"/>
        <v>"%USERPROFILE%\Documents\GitHub\eaglep3\Utilities\RefineRTDCRunTimes.py" --tripid 828-21 --locoid 4045 --swversion DE.1.0.7.0 --startMP 300:58608 --initTime 2016-10-21T16:05:37 --startdatetime 2016-10-21T16:07:20 --delay 1 --endMP 204:633 --enddatetime 2016-10-21T16:25:33 --enforcementcount 0 &gt;&gt;C:\Users\stu\Documents\GitHub\eaglep3-reporting\EC\2016-10-21-refined-times.txt</v>
      </c>
      <c r="AI190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{"issue":{"subject":"","project_id":79,"tracker_id":40,"status_id":1,"priority_id":2,"assigned_to_id":23,"start_date":"2016-10-21","description":"","custom_fields":[{"id":1,"name":"Subdivision","value":"NW"},{"id":4,"name":"Milepost","value":"0.0633"},{"id":17,"name":"Train ID","value":"828-21"},{"id":16,"name":"Locomotive ID","value":"4045"},{"id":130,"name":"Impact","value":""},{"id":150,"name":"Time of Event (Mountain Time)","value":"16:25:33"},{"id":151,"name":"Denver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553</v>
      </c>
      <c r="B191" s="7">
        <v>4025</v>
      </c>
      <c r="C191" s="22" t="s">
        <v>99</v>
      </c>
      <c r="D191" s="22" t="s">
        <v>382</v>
      </c>
      <c r="E191" s="13">
        <v>42664.678344907406</v>
      </c>
      <c r="F191" s="13">
        <v>42664.681400462963</v>
      </c>
      <c r="G191" s="7">
        <v>2</v>
      </c>
      <c r="H191" s="13" t="s">
        <v>737</v>
      </c>
      <c r="I191" s="13">
        <v>42664.690995370373</v>
      </c>
      <c r="J191" s="7">
        <v>0</v>
      </c>
      <c r="K191" s="112" t="str">
        <f t="shared" si="113"/>
        <v>4025/4026</v>
      </c>
      <c r="L191" s="22" t="str">
        <f>VLOOKUP(A191,'Trips&amp;Operators'!$C$1:$E$10000,3,FALSE)</f>
        <v>HELVIE</v>
      </c>
      <c r="M191" s="6">
        <f t="shared" si="114"/>
        <v>9.5949074093368836E-3</v>
      </c>
      <c r="N191" s="7">
        <f t="shared" si="115"/>
        <v>13.816666669445112</v>
      </c>
      <c r="O191" s="7"/>
      <c r="P191" s="7"/>
      <c r="Q191" s="23"/>
      <c r="R191" s="23"/>
      <c r="S191" s="35">
        <f t="shared" si="116"/>
        <v>1</v>
      </c>
      <c r="T191" s="50" t="str">
        <f t="shared" si="117"/>
        <v>NorthBound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15:16:49-0600',mode:absolute,to:'2016-10-21 17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1" s="52" t="str">
        <f t="shared" si="119"/>
        <v>N</v>
      </c>
      <c r="X191" s="171">
        <f t="shared" si="120"/>
        <v>1</v>
      </c>
      <c r="Y191" s="67">
        <f t="shared" si="121"/>
        <v>0.10340000000000001</v>
      </c>
      <c r="Z191" s="67">
        <f t="shared" si="122"/>
        <v>5.8921999999999999</v>
      </c>
      <c r="AA191" s="67">
        <f t="shared" si="123"/>
        <v>5.7888000000000002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24"/>
        <v>0829-21</v>
      </c>
      <c r="AE191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91" s="88" t="str">
        <f t="shared" si="126"/>
        <v>"C:\Program Files (x86)\AstroGrep\AstroGrep.exe" /spath="%USERPROFILE%\AppData\Local\Temp\OnboardLogs" /stypes="app*4025*20161021*" /stext=" 22:.+((SYSTEM_STATE.+slice.+state.+changed )|(ment ac)|(system.+state.+changed )|(\[timeout)|(PRM\|1\|D)|(kpr)|(kdp)|(\|lc)|(penalty))" /e /r /s</v>
      </c>
      <c r="AG191" s="1" t="str">
        <f t="shared" si="127"/>
        <v>NW</v>
      </c>
      <c r="AH191" s="92" t="str">
        <f t="shared" si="128"/>
        <v>"%USERPROFILE%\Documents\GitHub\eaglep3\Utilities\RefineRTDCRunTimes.py" --tripid 829-21 --locoid 4025 --swversion DE.1.0.7.0 --startMP 204:1034 --initTime 2016-10-21T16:16:49 --startdatetime 2016-10-21T16:21:13 --delay 2 --endMP 300:58922 --enddatetime 2016-10-21T16:35:02 --enforcementcount 0 &gt;&gt;C:\Users\stu\Documents\GitHub\eaglep3-reporting\EC\2016-10-21-refined-times.txt</v>
      </c>
      <c r="AI191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ID","value":"829-21"},{"id":16,"name":"Locomotive ID","value":"4025"},{"id":130,"name":"Impact","value":""},{"id":150,"name":"Time of Event (Mountain Time)","value":"16:35:02"},{"id":151,"name":"Denver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556</v>
      </c>
      <c r="B192" s="7">
        <v>4026</v>
      </c>
      <c r="C192" s="22" t="s">
        <v>99</v>
      </c>
      <c r="D192" s="22" t="s">
        <v>337</v>
      </c>
      <c r="E192" s="13">
        <v>42664.692488425928</v>
      </c>
      <c r="F192" s="13">
        <v>42664.69425925926</v>
      </c>
      <c r="G192" s="7">
        <v>1</v>
      </c>
      <c r="H192" s="13" t="s">
        <v>390</v>
      </c>
      <c r="I192" s="13">
        <v>42664.70517361111</v>
      </c>
      <c r="J192" s="7">
        <v>0</v>
      </c>
      <c r="K192" s="112" t="str">
        <f t="shared" si="113"/>
        <v>4025/4026</v>
      </c>
      <c r="L192" s="22" t="str">
        <f>VLOOKUP(A192,'Trips&amp;Operators'!$C$1:$E$10000,3,FALSE)</f>
        <v>HELVIE</v>
      </c>
      <c r="M192" s="6">
        <f t="shared" si="114"/>
        <v>1.0914351849351078E-2</v>
      </c>
      <c r="N192" s="7">
        <f t="shared" si="115"/>
        <v>15.716666663065553</v>
      </c>
      <c r="O192" s="7"/>
      <c r="P192" s="7"/>
      <c r="Q192" s="23"/>
      <c r="R192" s="23"/>
      <c r="S192" s="35">
        <f t="shared" si="116"/>
        <v>1</v>
      </c>
      <c r="T192" s="50" t="str">
        <f t="shared" si="117"/>
        <v>Southbound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15:37:11-0600',mode:absolute,to:'2016-10-21 17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2" s="52" t="str">
        <f t="shared" si="119"/>
        <v>N</v>
      </c>
      <c r="X192" s="171">
        <f t="shared" si="120"/>
        <v>1</v>
      </c>
      <c r="Y192" s="67">
        <f t="shared" si="121"/>
        <v>5.8616999999999999</v>
      </c>
      <c r="Z192" s="67">
        <f t="shared" si="122"/>
        <v>7.5399999999999995E-2</v>
      </c>
      <c r="AA192" s="67">
        <f t="shared" si="123"/>
        <v>5.7862999999999998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24"/>
        <v>0830-21</v>
      </c>
      <c r="AE192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2" s="88" t="str">
        <f t="shared" si="126"/>
        <v>"C:\Program Files (x86)\AstroGrep\AstroGrep.exe" /spath="%USERPROFILE%\AppData\Local\Temp\OnboardLogs" /stypes="app*4026*20161021*" /stext=" 22:.+((SYSTEM_STATE.+slice.+state.+changed )|(ment ac)|(system.+state.+changed )|(\[timeout)|(PRM\|1\|D)|(kpr)|(kdp)|(\|lc)|(penalty))" /e /r /s</v>
      </c>
      <c r="AG192" s="1" t="str">
        <f t="shared" si="127"/>
        <v>NW</v>
      </c>
      <c r="AH192" s="92" t="str">
        <f t="shared" si="128"/>
        <v>"%USERPROFILE%\Documents\GitHub\eaglep3\Utilities\RefineRTDCRunTimes.py" --tripid 830-21 --locoid 4026 --swversion DE.1.0.7.0 --startMP 300:58617 --initTime 2016-10-21T16:37:11 --startdatetime 2016-10-21T16:39:44 --delay 1 --endMP 204:754 --enddatetime 2016-10-21T16:55:27 --enforcementcount 0 &gt;&gt;C:\Users\stu\Documents\GitHub\eaglep3-reporting\EC\2016-10-21-refined-times.txt</v>
      </c>
      <c r="AI192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{"issue":{"subject":"","project_id":79,"tracker_id":40,"status_id":1,"priority_id":2,"assigned_to_id":23,"start_date":"2016-10-21","description":"","custom_fields":[{"id":1,"name":"Subdivision","value":"NW"},{"id":4,"name":"Milepost","value":"0.0754"},{"id":17,"name":"Train ID","value":"830-21"},{"id":16,"name":"Locomotive ID","value":"4026"},{"id":130,"name":"Impact","value":""},{"id":150,"name":"Time of Event (Mountain Time)","value":"16:55:27"},{"id":151,"name":"Denver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425</v>
      </c>
      <c r="B193" s="7">
        <v>4046</v>
      </c>
      <c r="C193" s="22" t="s">
        <v>99</v>
      </c>
      <c r="D193" s="22" t="s">
        <v>386</v>
      </c>
      <c r="E193" s="13">
        <v>42664.68922453704</v>
      </c>
      <c r="F193" s="13">
        <v>42664.702268518522</v>
      </c>
      <c r="G193" s="7">
        <v>1</v>
      </c>
      <c r="H193" s="13" t="s">
        <v>383</v>
      </c>
      <c r="I193" s="13">
        <v>42664.712268518517</v>
      </c>
      <c r="J193" s="7">
        <v>0</v>
      </c>
      <c r="K193" s="112" t="str">
        <f t="shared" si="113"/>
        <v>4045/4046</v>
      </c>
      <c r="L193" s="22" t="str">
        <f>VLOOKUP(A193,'Trips&amp;Operators'!$C$1:$E$10000,3,FALSE)</f>
        <v>NEWELL</v>
      </c>
      <c r="M193" s="6">
        <f t="shared" si="114"/>
        <v>9.9999999947613105E-3</v>
      </c>
      <c r="N193" s="7">
        <f t="shared" si="115"/>
        <v>14.399999992456287</v>
      </c>
      <c r="O193" s="7"/>
      <c r="P193" s="7"/>
      <c r="Q193" s="23"/>
      <c r="R193" s="23"/>
      <c r="S193" s="35">
        <f t="shared" si="116"/>
        <v>1</v>
      </c>
      <c r="T193" s="50" t="str">
        <f t="shared" si="117"/>
        <v>NorthBound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15:32:29-0600',mode:absolute,to:'2016-10-21 18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3" s="52" t="str">
        <f t="shared" si="119"/>
        <v>N</v>
      </c>
      <c r="X193" s="171">
        <f t="shared" si="120"/>
        <v>1</v>
      </c>
      <c r="Y193" s="67">
        <f t="shared" si="121"/>
        <v>9.4299999999999995E-2</v>
      </c>
      <c r="Z193" s="67">
        <f t="shared" si="122"/>
        <v>5.8930999999999996</v>
      </c>
      <c r="AA193" s="67">
        <f t="shared" si="123"/>
        <v>5.7988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24"/>
        <v>0831-21</v>
      </c>
      <c r="AE193" s="91" t="str">
        <f t="shared" si="125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93" s="88" t="str">
        <f t="shared" si="126"/>
        <v>"C:\Program Files (x86)\AstroGrep\AstroGrep.exe" /spath="%USERPROFILE%\AppData\Local\Temp\OnboardLogs" /stypes="app*4046*20161021*" /stext=" 23:.+((SYSTEM_STATE.+slice.+state.+changed )|(ment ac)|(system.+state.+changed )|(\[timeout)|(PRM\|1\|D)|(kpr)|(kdp)|(\|lc)|(penalty))" /e /r /s</v>
      </c>
      <c r="AG193" s="1" t="str">
        <f t="shared" si="127"/>
        <v>NW</v>
      </c>
      <c r="AH193" s="92" t="str">
        <f t="shared" si="128"/>
        <v>"%USERPROFILE%\Documents\GitHub\eaglep3\Utilities\RefineRTDCRunTimes.py" --tripid 831-21 --locoid 4046 --swversion DE.1.0.7.0 --startMP 204:943 --initTime 2016-10-21T16:32:29 --startdatetime 2016-10-21T16:51:16 --delay 1 --endMP 300:58931 --enddatetime 2016-10-21T17:05:40 --enforcementcount 0 &gt;&gt;C:\Users\stu\Documents\GitHub\eaglep3-reporting\EC\2016-10-21-refined-times.txt</v>
      </c>
      <c r="AI193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ID","value":"831-21"},{"id":16,"name":"Locomotive ID","value":"4046"},{"id":130,"name":"Impact","value":""},{"id":150,"name":"Time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427</v>
      </c>
      <c r="B194" s="7">
        <v>4045</v>
      </c>
      <c r="C194" s="22" t="s">
        <v>99</v>
      </c>
      <c r="D194" s="22" t="s">
        <v>372</v>
      </c>
      <c r="E194" s="13">
        <v>42664.713321759256</v>
      </c>
      <c r="F194" s="13">
        <v>42664.715462962966</v>
      </c>
      <c r="G194" s="7">
        <v>1</v>
      </c>
      <c r="H194" s="13" t="s">
        <v>377</v>
      </c>
      <c r="I194" s="13">
        <v>42664.726840277777</v>
      </c>
      <c r="J194" s="7">
        <v>0</v>
      </c>
      <c r="K194" s="112" t="str">
        <f t="shared" si="113"/>
        <v>4045/4046</v>
      </c>
      <c r="L194" s="22" t="str">
        <f>VLOOKUP(A194,'Trips&amp;Operators'!$C$1:$E$10000,3,FALSE)</f>
        <v>NEWELL</v>
      </c>
      <c r="M194" s="6">
        <f t="shared" si="114"/>
        <v>1.137731481139781E-2</v>
      </c>
      <c r="N194" s="7">
        <f t="shared" si="115"/>
        <v>16.383333328412846</v>
      </c>
      <c r="O194" s="7"/>
      <c r="P194" s="7"/>
      <c r="Q194" s="23"/>
      <c r="R194" s="23"/>
      <c r="S194" s="35">
        <f t="shared" si="116"/>
        <v>1</v>
      </c>
      <c r="T194" s="50" t="str">
        <f t="shared" si="117"/>
        <v>Southbound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16:07:11-0600',mode:absolute,to:'2016-10-21 18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4" s="52" t="str">
        <f t="shared" si="119"/>
        <v>N</v>
      </c>
      <c r="X194" s="171">
        <f t="shared" si="120"/>
        <v>1</v>
      </c>
      <c r="Y194" s="67">
        <f t="shared" si="121"/>
        <v>5.8611000000000004</v>
      </c>
      <c r="Z194" s="67">
        <f t="shared" si="122"/>
        <v>7.0499999999999993E-2</v>
      </c>
      <c r="AA194" s="67">
        <f t="shared" si="123"/>
        <v>5.7906000000000004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24"/>
        <v>0832-21</v>
      </c>
      <c r="AE194" s="91" t="str">
        <f t="shared" si="125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94" s="88" t="str">
        <f t="shared" si="126"/>
        <v>"C:\Program Files (x86)\AstroGrep\AstroGrep.exe" /spath="%USERPROFILE%\AppData\Local\Temp\OnboardLogs" /stypes="app*4045*20161021*" /stext=" 23:.+((SYSTEM_STATE.+slice.+state.+changed )|(ment ac)|(system.+state.+changed )|(\[timeout)|(PRM\|1\|D)|(kpr)|(kdp)|(\|lc)|(penalty))" /e /r /s</v>
      </c>
      <c r="AG194" s="1" t="str">
        <f t="shared" si="127"/>
        <v>NW</v>
      </c>
      <c r="AH194" s="92" t="str">
        <f t="shared" si="128"/>
        <v>"%USERPROFILE%\Documents\GitHub\eaglep3\Utilities\RefineRTDCRunTimes.py" --tripid 832-21 --locoid 4045 --swversion DE.1.0.7.0 --startMP 300:58611 --initTime 2016-10-21T17:07:11 --startdatetime 2016-10-21T17:10:16 --delay 1 --endMP 204:705 --enddatetime 2016-10-21T17:26:39 --enforcementcount 0 &gt;&gt;C:\Users\stu\Documents\GitHub\eaglep3-reporting\EC\2016-10-21-refined-times.txt</v>
      </c>
      <c r="AI194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{"issue":{"subject":"","project_id":79,"tracker_id":40,"status_id":1,"priority_id":2,"assigned_to_id":23,"start_date":"2016-10-21","description":"","custom_fields":[{"id":1,"name":"Subdivision","value":"NW"},{"id":4,"name":"Milepost","value":"0.0705"},{"id":17,"name":"Train ID","value":"832-21"},{"id":16,"name":"Locomotive ID","value":"4045"},{"id":130,"name":"Impact","value":""},{"id":150,"name":"Time of Event (Mountain Time)","value":"17:26:39"},{"id":151,"name":"Denver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562</v>
      </c>
      <c r="B195" s="7">
        <v>4025</v>
      </c>
      <c r="C195" s="22" t="s">
        <v>99</v>
      </c>
      <c r="D195" s="22" t="s">
        <v>752</v>
      </c>
      <c r="E195" s="13">
        <v>42664.717372685183</v>
      </c>
      <c r="F195" s="13">
        <v>42664.723460648151</v>
      </c>
      <c r="G195" s="7">
        <v>1</v>
      </c>
      <c r="H195" s="13" t="s">
        <v>379</v>
      </c>
      <c r="I195" s="13">
        <v>42664.733402777776</v>
      </c>
      <c r="J195" s="7">
        <v>0</v>
      </c>
      <c r="K195" s="112" t="str">
        <f t="shared" si="113"/>
        <v>4025/4026</v>
      </c>
      <c r="L195" s="22" t="str">
        <f>VLOOKUP(A195,'Trips&amp;Operators'!$C$1:$E$10000,3,FALSE)</f>
        <v>HELVIE</v>
      </c>
      <c r="M195" s="6">
        <f t="shared" si="114"/>
        <v>9.9421296254149638E-3</v>
      </c>
      <c r="N195" s="7">
        <f t="shared" si="115"/>
        <v>14.316666660597548</v>
      </c>
      <c r="O195" s="7"/>
      <c r="P195" s="7"/>
      <c r="Q195" s="23"/>
      <c r="R195" s="23"/>
      <c r="S195" s="35">
        <f t="shared" si="116"/>
        <v>1</v>
      </c>
      <c r="T195" s="50" t="str">
        <f t="shared" si="117"/>
        <v>NorthBound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16:13:01-0600',mode:absolute,to:'2016-10-21 18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5" s="52" t="str">
        <f t="shared" si="119"/>
        <v>N</v>
      </c>
      <c r="X195" s="171">
        <f t="shared" si="120"/>
        <v>1</v>
      </c>
      <c r="Y195" s="67">
        <f t="shared" si="121"/>
        <v>0.1046</v>
      </c>
      <c r="Z195" s="67">
        <f t="shared" si="122"/>
        <v>5.8924000000000003</v>
      </c>
      <c r="AA195" s="67">
        <f t="shared" si="123"/>
        <v>5.7878000000000007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24"/>
        <v>0833-21</v>
      </c>
      <c r="AE195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95" s="88" t="str">
        <f t="shared" si="126"/>
        <v>"C:\Program Files (x86)\AstroGrep\AstroGrep.exe" /spath="%USERPROFILE%\AppData\Local\Temp\OnboardLogs" /stypes="app*4025*20161021*" /stext=" 23:.+((SYSTEM_STATE.+slice.+state.+changed )|(ment ac)|(system.+state.+changed )|(\[timeout)|(PRM\|1\|D)|(kpr)|(kdp)|(\|lc)|(penalty))" /e /r /s</v>
      </c>
      <c r="AG195" s="1" t="str">
        <f t="shared" si="127"/>
        <v>NW</v>
      </c>
      <c r="AH195" s="92" t="str">
        <f t="shared" si="128"/>
        <v>"%USERPROFILE%\Documents\GitHub\eaglep3\Utilities\RefineRTDCRunTimes.py" --tripid 833-21 --locoid 4025 --swversion DE.1.0.7.0 --startMP 204:1046 --initTime 2016-10-21T17:13:01 --startdatetime 2016-10-21T17:21:47 --delay 1 --endMP 300:58924 --enddatetime 2016-10-21T17:36:06 --enforcementcount 0 &gt;&gt;C:\Users\stu\Documents\GitHub\eaglep3-reporting\EC\2016-10-21-refined-times.txt</v>
      </c>
      <c r="AI195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ID","value":"833-21"},{"id":16,"name":"Locomotive ID","value":"4025"},{"id":130,"name":"Impact","value":""},{"id":150,"name":"Time of Event (Mountain Time)","value":"17:36:06"},{"id":151,"name":"Denver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428</v>
      </c>
      <c r="B196" s="7">
        <v>4026</v>
      </c>
      <c r="C196" s="22" t="s">
        <v>99</v>
      </c>
      <c r="D196" s="22" t="s">
        <v>753</v>
      </c>
      <c r="E196" s="13">
        <v>42664.743692129632</v>
      </c>
      <c r="F196" s="13">
        <v>42664.744699074072</v>
      </c>
      <c r="G196" s="7">
        <v>1</v>
      </c>
      <c r="H196" s="13" t="s">
        <v>754</v>
      </c>
      <c r="I196" s="13">
        <v>42664.751145833332</v>
      </c>
      <c r="J196" s="7">
        <v>1</v>
      </c>
      <c r="K196" s="112" t="str">
        <f t="shared" si="113"/>
        <v>4025/4026</v>
      </c>
      <c r="L196" s="22" t="str">
        <f>VLOOKUP(A196,'Trips&amp;Operators'!$C$1:$E$10000,3,FALSE)</f>
        <v>HELVIE</v>
      </c>
      <c r="M196" s="6">
        <f t="shared" si="114"/>
        <v>6.4467592601431534E-3</v>
      </c>
      <c r="N196" s="7"/>
      <c r="O196" s="7"/>
      <c r="P196" s="7">
        <f>24*60*SUM($M196:$M197)</f>
        <v>19.449999999487773</v>
      </c>
      <c r="Q196" s="23"/>
      <c r="R196" s="23" t="s">
        <v>787</v>
      </c>
      <c r="S196" s="35">
        <f t="shared" si="116"/>
        <v>1</v>
      </c>
      <c r="T196" s="50" t="str">
        <f t="shared" si="117"/>
        <v>Southbound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6" s="52" t="str">
        <f t="shared" si="119"/>
        <v>Y</v>
      </c>
      <c r="X196" s="171">
        <f t="shared" si="120"/>
        <v>1</v>
      </c>
      <c r="Y196" s="67">
        <f t="shared" si="121"/>
        <v>2.6514000000000002</v>
      </c>
      <c r="Z196" s="67">
        <f t="shared" si="122"/>
        <v>0.45100000000000001</v>
      </c>
      <c r="AA196" s="67">
        <f t="shared" si="123"/>
        <v>2.2004000000000001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24"/>
        <v>0834-21</v>
      </c>
      <c r="AE196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6" s="88" t="str">
        <f t="shared" si="126"/>
        <v>"C:\Program Files (x86)\AstroGrep\AstroGrep.exe" /spath="%USERPROFILE%\AppData\Local\Temp\OnboardLogs" /stypes="app*4026*20161022*" /stext=" 00:.+((SYSTEM_STATE.+slice.+state.+changed )|(ment ac)|(system.+state.+changed )|(\[timeout)|(PRM\|1\|D)|(kpr)|(kdp)|(\|lc)|(penalty))" /e /r /s</v>
      </c>
      <c r="AG196" s="1" t="str">
        <f t="shared" si="127"/>
        <v>NW</v>
      </c>
      <c r="AH196" s="92" t="str">
        <f t="shared" si="128"/>
        <v>"%USERPROFILE%\Documents\GitHub\eaglep3\Utilities\RefineRTDCRunTimes.py" --tripid 834-21 --locoid 4026 --swversion DE.1.0.7.0 --startMP 300:26514 --initTime 2016-10-21T17:50:55 --startdatetime 2016-10-21T17:52:22 --delay 1 --endMP 204:4510 --enddatetime 2016-10-21T18:01:39 --enforcementcount 1 &gt;&gt;C:\Users\stu\Documents\GitHub\eaglep3-reporting\EC\2016-10-21-refined-times.txt</v>
      </c>
      <c r="AI196" s="122" t="str">
        <f t="shared" si="129"/>
        <v>echo {"issue":{"subject":"Premature downgrade at CRMFN 2S","project_id":79,"tracker_id":40,"status_id":1,"priority_id":2,"assigned_to_id":23,"start_date":"2016-10-21","description":"","custom_fields":[{"id":1,"name":"Subdivision","value":"NW"},{"id":4,"name":"Milepost","value":"0.451"},{"id":17,"name":"Train ID","value":"834-21"},{"id":16,"name":"Locomotive ID","value":"4026"},{"id":130,"name":"Impact","value":""},{"id":150,"name":"Time of Event (Mountain Time)","value":"18:01:39"},{"id":151,"name":"Denver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428</v>
      </c>
      <c r="B197" s="7">
        <v>4026</v>
      </c>
      <c r="C197" s="22" t="s">
        <v>99</v>
      </c>
      <c r="D197" s="22" t="s">
        <v>294</v>
      </c>
      <c r="E197" s="13">
        <v>42664.734814814816</v>
      </c>
      <c r="F197" s="13">
        <v>42664.735937500001</v>
      </c>
      <c r="G197" s="7">
        <v>1</v>
      </c>
      <c r="H197" s="13" t="s">
        <v>755</v>
      </c>
      <c r="I197" s="13">
        <v>42664.742997685185</v>
      </c>
      <c r="J197" s="7">
        <v>1</v>
      </c>
      <c r="K197" s="112" t="str">
        <f t="shared" si="113"/>
        <v>4025/4026</v>
      </c>
      <c r="L197" s="22" t="str">
        <f>VLOOKUP(A197,'Trips&amp;Operators'!$C$1:$E$10000,3,FALSE)</f>
        <v>HELVIE</v>
      </c>
      <c r="M197" s="6">
        <f t="shared" si="114"/>
        <v>7.0601851839455776E-3</v>
      </c>
      <c r="N197" s="7"/>
      <c r="O197" s="7"/>
      <c r="P197" s="7"/>
      <c r="Q197" s="23"/>
      <c r="R197" s="23"/>
      <c r="S197" s="35"/>
      <c r="T197" s="50" t="str">
        <f t="shared" si="117"/>
        <v>Southbound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16:38:08-0600',mode:absolute,to:'2016-10-21 18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7" s="52" t="str">
        <f t="shared" si="119"/>
        <v>Y</v>
      </c>
      <c r="X197" s="171">
        <f t="shared" si="120"/>
        <v>0</v>
      </c>
      <c r="Y197" s="67">
        <f t="shared" si="121"/>
        <v>5.8613</v>
      </c>
      <c r="Z197" s="67">
        <f t="shared" si="122"/>
        <v>2.7336</v>
      </c>
      <c r="AA197" s="67">
        <f t="shared" si="123"/>
        <v>3.1276999999999999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24"/>
        <v>0834-21</v>
      </c>
      <c r="AE197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7" s="88" t="str">
        <f t="shared" si="126"/>
        <v>"C:\Program Files (x86)\AstroGrep\AstroGrep.exe" /spath="%USERPROFILE%\AppData\Local\Temp\OnboardLogs" /stypes="app*4026*20161021*" /stext=" 23:.+((SYSTEM_STATE.+slice.+state.+changed )|(ment ac)|(system.+state.+changed )|(\[timeout)|(PRM\|1\|D)|(kpr)|(kdp)|(\|lc)|(penalty))" /e /r /s</v>
      </c>
      <c r="AG197" s="1" t="str">
        <f t="shared" si="127"/>
        <v>NW</v>
      </c>
      <c r="AH197" s="92" t="str">
        <f t="shared" si="128"/>
        <v>"%USERPROFILE%\Documents\GitHub\eaglep3\Utilities\RefineRTDCRunTimes.py" --tripid 834-21 --locoid 4026 --swversion DE.1.0.7.0 --startMP 300:58613 --initTime 2016-10-21T17:38:08 --startdatetime 2016-10-21T17:39:45 --delay 1 --endMP 300:27336 --enddatetime 2016-10-21T17:49:55 --enforcementcount 1 &gt;&gt;C:\Users\stu\Documents\GitHub\eaglep3-reporting\EC\2016-10-21-refined-times.txt</v>
      </c>
      <c r="AI197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{"issue":{"subject":"","project_id":79,"tracker_id":40,"status_id":1,"priority_id":2,"assigned_to_id":23,"start_date":"2016-10-21","description":"","custom_fields":[{"id":1,"name":"Subdivision","value":"NW"},{"id":4,"name":"Milepost","value":"2.7336"},{"id":17,"name":"Train ID","value":"834-21"},{"id":16,"name":"Locomotive ID","value":"4026"},{"id":130,"name":"Impact","value":""},{"id":150,"name":"Time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565</v>
      </c>
      <c r="B198" s="7">
        <v>4046</v>
      </c>
      <c r="C198" s="22" t="s">
        <v>99</v>
      </c>
      <c r="D198" s="22" t="s">
        <v>756</v>
      </c>
      <c r="E198" s="13">
        <v>42664.728194444448</v>
      </c>
      <c r="F198" s="13">
        <v>42664.743935185186</v>
      </c>
      <c r="G198" s="7">
        <v>1</v>
      </c>
      <c r="H198" s="13" t="s">
        <v>757</v>
      </c>
      <c r="I198" s="13">
        <v>42664.754756944443</v>
      </c>
      <c r="J198" s="7">
        <v>0</v>
      </c>
      <c r="K198" s="112" t="str">
        <f t="shared" si="113"/>
        <v>4045/4046</v>
      </c>
      <c r="L198" s="22" t="str">
        <f>VLOOKUP(A198,'Trips&amp;Operators'!$C$1:$E$10000,3,FALSE)</f>
        <v>NEWELL</v>
      </c>
      <c r="M198" s="6">
        <f t="shared" si="114"/>
        <v>1.0821759256941732E-2</v>
      </c>
      <c r="N198" s="7">
        <f t="shared" si="115"/>
        <v>15.583333329996094</v>
      </c>
      <c r="O198" s="7"/>
      <c r="P198" s="7"/>
      <c r="Q198" s="23"/>
      <c r="R198" s="23"/>
      <c r="S198" s="35">
        <f t="shared" si="116"/>
        <v>1</v>
      </c>
      <c r="T198" s="50" t="str">
        <f t="shared" si="117"/>
        <v>NorthBound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16:28:36-0600',mode:absolute,to:'2016-10-21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8" s="52" t="str">
        <f t="shared" si="119"/>
        <v>N</v>
      </c>
      <c r="X198" s="171">
        <f t="shared" si="120"/>
        <v>1</v>
      </c>
      <c r="Y198" s="67">
        <f t="shared" si="121"/>
        <v>9.9199999999999997E-2</v>
      </c>
      <c r="Z198" s="67">
        <f t="shared" si="122"/>
        <v>5.8916000000000004</v>
      </c>
      <c r="AA198" s="67">
        <f t="shared" si="123"/>
        <v>5.7924000000000007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124"/>
        <v>0835-21</v>
      </c>
      <c r="AE198" s="91" t="str">
        <f t="shared" si="125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98" s="88" t="str">
        <f t="shared" si="126"/>
        <v>"C:\Program Files (x86)\AstroGrep\AstroGrep.exe" /spath="%USERPROFILE%\AppData\Local\Temp\OnboardLogs" /stypes="app*4046*20161022*" /stext=" 00:.+((SYSTEM_STATE.+slice.+state.+changed )|(ment ac)|(system.+state.+changed )|(\[timeout)|(PRM\|1\|D)|(kpr)|(kdp)|(\|lc)|(penalty))" /e /r /s</v>
      </c>
      <c r="AG198" s="1" t="str">
        <f t="shared" si="127"/>
        <v>NW</v>
      </c>
      <c r="AH198" s="92" t="str">
        <f t="shared" si="128"/>
        <v>"%USERPROFILE%\Documents\GitHub\eaglep3\Utilities\RefineRTDCRunTimes.py" --tripid 835-21 --locoid 4046 --swversion DE.1.0.7.0 --startMP 204:992 --initTime 2016-10-21T17:28:36 --startdatetime 2016-10-21T17:51:16 --delay 1 --endMP 300:58916 --enddatetime 2016-10-21T18:06:51 --enforcementcount 0 &gt;&gt;C:\Users\stu\Documents\GitHub\eaglep3-reporting\EC\2016-10-21-refined-times.txt</v>
      </c>
      <c r="AI198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{"issue":{"subject":"","project_id":79,"tracker_id":40,"status_id":1,"priority_id":2,"assigned_to_id":23,"start_date":"2016-10-21","description":"","custom_fields":[{"id":1,"name":"Subdivision","value":"NW"},{"id":4,"name":"Milepost","value":"5.8916"},{"id":17,"name":"Train ID","value":"835-21"},{"id":16,"name":"Locomotive ID","value":"4046"},{"id":130,"name":"Impact","value":""},{"id":150,"name":"Time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570</v>
      </c>
      <c r="B199" s="7">
        <v>4045</v>
      </c>
      <c r="C199" s="22" t="s">
        <v>99</v>
      </c>
      <c r="D199" s="22" t="s">
        <v>321</v>
      </c>
      <c r="E199" s="13">
        <v>42664.755740740744</v>
      </c>
      <c r="F199" s="13">
        <v>42664.757210648146</v>
      </c>
      <c r="G199" s="7">
        <v>1</v>
      </c>
      <c r="H199" s="13" t="s">
        <v>758</v>
      </c>
      <c r="I199" s="13">
        <v>42664.768761574072</v>
      </c>
      <c r="J199" s="7">
        <v>0</v>
      </c>
      <c r="K199" s="112" t="str">
        <f t="shared" si="113"/>
        <v>4045/4046</v>
      </c>
      <c r="L199" s="22" t="str">
        <f>VLOOKUP(A199,'Trips&amp;Operators'!$C$1:$E$10000,3,FALSE)</f>
        <v>NEWELL</v>
      </c>
      <c r="M199" s="6">
        <f t="shared" si="114"/>
        <v>1.1550925926712807E-2</v>
      </c>
      <c r="N199" s="7">
        <f t="shared" si="115"/>
        <v>16.633333334466442</v>
      </c>
      <c r="O199" s="7"/>
      <c r="P199" s="7"/>
      <c r="Q199" s="23"/>
      <c r="R199" s="23"/>
      <c r="S199" s="35">
        <f t="shared" si="116"/>
        <v>1</v>
      </c>
      <c r="T199" s="50" t="str">
        <f t="shared" si="117"/>
        <v>Southbound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17:08:16-0600',mode:absolute,to:'2016-10-21 19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9" s="52" t="str">
        <f t="shared" si="119"/>
        <v>N</v>
      </c>
      <c r="X199" s="171">
        <f t="shared" si="120"/>
        <v>1</v>
      </c>
      <c r="Y199" s="67">
        <f t="shared" si="121"/>
        <v>5.8604000000000003</v>
      </c>
      <c r="Z199" s="67">
        <f t="shared" si="122"/>
        <v>7.6100000000000001E-2</v>
      </c>
      <c r="AA199" s="67">
        <f t="shared" si="123"/>
        <v>5.7843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24"/>
        <v>0836-21</v>
      </c>
      <c r="AE199" s="91" t="str">
        <f t="shared" si="125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99" s="88" t="str">
        <f t="shared" si="126"/>
        <v>"C:\Program Files (x86)\AstroGrep\AstroGrep.exe" /spath="%USERPROFILE%\AppData\Local\Temp\OnboardLogs" /stypes="app*4045*20161022*" /stext=" 00:.+((SYSTEM_STATE.+slice.+state.+changed )|(ment ac)|(system.+state.+changed )|(\[timeout)|(PRM\|1\|D)|(kpr)|(kdp)|(\|lc)|(penalty))" /e /r /s</v>
      </c>
      <c r="AG199" s="1" t="str">
        <f t="shared" si="127"/>
        <v>NW</v>
      </c>
      <c r="AH199" s="92" t="str">
        <f t="shared" si="128"/>
        <v>"%USERPROFILE%\Documents\GitHub\eaglep3\Utilities\RefineRTDCRunTimes.py" --tripid 836-21 --locoid 4045 --swversion DE.1.0.7.0 --startMP 300:58604 --initTime 2016-10-21T18:08:16 --startdatetime 2016-10-21T18:10:23 --delay 1 --endMP 204:761 --enddatetime 2016-10-21T18:27:01 --enforcementcount 0 &gt;&gt;C:\Users\stu\Documents\GitHub\eaglep3-reporting\EC\2016-10-21-refined-times.txt</v>
      </c>
      <c r="AI199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{"issue":{"subject":"","project_id":79,"tracker_id":40,"status_id":1,"priority_id":2,"assigned_to_id":23,"start_date":"2016-10-21","description":"","custom_fields":[{"id":1,"name":"Subdivision","value":"NW"},{"id":4,"name":"Milepost","value":"0.0761"},{"id":17,"name":"Train ID","value":"836-21"},{"id":16,"name":"Locomotive ID","value":"4045"},{"id":130,"name":"Impact","value":""},{"id":150,"name":"Time of Event (Mountain Time)","value":"18:27:01"},{"id":151,"name":"Denver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432</v>
      </c>
      <c r="B200" s="7">
        <v>4025</v>
      </c>
      <c r="C200" s="22" t="s">
        <v>99</v>
      </c>
      <c r="D200" s="22" t="s">
        <v>387</v>
      </c>
      <c r="E200" s="13">
        <v>42664.759756944448</v>
      </c>
      <c r="F200" s="13">
        <v>42664.764918981484</v>
      </c>
      <c r="G200" s="7">
        <v>1</v>
      </c>
      <c r="H200" s="13" t="s">
        <v>378</v>
      </c>
      <c r="I200" s="13">
        <v>42664.775057870371</v>
      </c>
      <c r="J200" s="7">
        <v>0</v>
      </c>
      <c r="K200" s="112" t="str">
        <f t="shared" si="113"/>
        <v>4025/4026</v>
      </c>
      <c r="L200" s="22" t="str">
        <f>VLOOKUP(A200,'Trips&amp;Operators'!$C$1:$E$10000,3,FALSE)</f>
        <v>HELVIE</v>
      </c>
      <c r="M200" s="6">
        <f t="shared" si="114"/>
        <v>1.0138888887013309E-2</v>
      </c>
      <c r="N200" s="7">
        <f t="shared" si="115"/>
        <v>14.599999997299165</v>
      </c>
      <c r="O200" s="7"/>
      <c r="P200" s="7"/>
      <c r="Q200" s="23"/>
      <c r="R200" s="23"/>
      <c r="S200" s="35">
        <f t="shared" si="116"/>
        <v>1</v>
      </c>
      <c r="T200" s="50" t="str">
        <f t="shared" si="117"/>
        <v>NorthBound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17:14:03-0600',mode:absolute,to:'2016-10-21 19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0" s="52" t="str">
        <f t="shared" si="119"/>
        <v>N</v>
      </c>
      <c r="X200" s="171">
        <f t="shared" si="120"/>
        <v>1</v>
      </c>
      <c r="Y200" s="67">
        <f t="shared" si="121"/>
        <v>0.1065</v>
      </c>
      <c r="Z200" s="67">
        <f t="shared" si="122"/>
        <v>5.8929</v>
      </c>
      <c r="AA200" s="67">
        <f t="shared" si="123"/>
        <v>5.7864000000000004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24"/>
        <v>0837-21</v>
      </c>
      <c r="AE200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0" s="88" t="str">
        <f t="shared" si="126"/>
        <v>"C:\Program Files (x86)\AstroGrep\AstroGrep.exe" /spath="%USERPROFILE%\AppData\Local\Temp\OnboardLogs" /stypes="app*4025*20161022*" /stext=" 00:.+((SYSTEM_STATE.+slice.+state.+changed )|(ment ac)|(system.+state.+changed )|(\[timeout)|(PRM\|1\|D)|(kpr)|(kdp)|(\|lc)|(penalty))" /e /r /s</v>
      </c>
      <c r="AG200" s="1" t="str">
        <f t="shared" si="127"/>
        <v>NW</v>
      </c>
      <c r="AH200" s="92" t="str">
        <f t="shared" si="128"/>
        <v>"%USERPROFILE%\Documents\GitHub\eaglep3\Utilities\RefineRTDCRunTimes.py" --tripid 837-21 --locoid 4025 --swversion DE.1.0.7.0 --startMP 204:1065 --initTime 2016-10-21T18:14:03 --startdatetime 2016-10-21T18:21:29 --delay 1 --endMP 300:58929 --enddatetime 2016-10-21T18:36:05 --enforcementcount 0 &gt;&gt;C:\Users\stu\Documents\GitHub\eaglep3-reporting\EC\2016-10-21-refined-times.txt</v>
      </c>
      <c r="AI200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{"issue":{"subject":"","project_id":79,"tracker_id":40,"status_id":1,"priority_id":2,"assigned_to_id":23,"start_date":"2016-10-21","description":"","custom_fields":[{"id":1,"name":"Subdivision","value":"NW"},{"id":4,"name":"Milepost","value":"5.8929"},{"id":17,"name":"Train ID","value":"837-21"},{"id":16,"name":"Locomotive ID","value":"4025"},{"id":130,"name":"Impact","value":""},{"id":150,"name":"Time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576</v>
      </c>
      <c r="B201" s="7">
        <v>4026</v>
      </c>
      <c r="C201" s="22" t="s">
        <v>99</v>
      </c>
      <c r="D201" s="22" t="s">
        <v>727</v>
      </c>
      <c r="E201" s="13">
        <v>42664.777268518519</v>
      </c>
      <c r="F201" s="13">
        <v>42664.779027777775</v>
      </c>
      <c r="G201" s="7">
        <v>1</v>
      </c>
      <c r="H201" s="13" t="s">
        <v>759</v>
      </c>
      <c r="I201" s="13">
        <v>42664.790277777778</v>
      </c>
      <c r="J201" s="7">
        <v>0</v>
      </c>
      <c r="K201" s="112" t="str">
        <f t="shared" si="113"/>
        <v>4025/4026</v>
      </c>
      <c r="L201" s="22" t="str">
        <f>VLOOKUP(A201,'Trips&amp;Operators'!$C$1:$E$10000,3,FALSE)</f>
        <v>HELVIE</v>
      </c>
      <c r="M201" s="6">
        <f t="shared" si="114"/>
        <v>1.1250000003201421E-2</v>
      </c>
      <c r="N201" s="7">
        <f t="shared" si="115"/>
        <v>16.200000004610047</v>
      </c>
      <c r="O201" s="7"/>
      <c r="P201" s="7"/>
      <c r="Q201" s="23"/>
      <c r="R201" s="23"/>
      <c r="S201" s="35">
        <f t="shared" si="116"/>
        <v>1</v>
      </c>
      <c r="T201" s="50" t="str">
        <f t="shared" si="117"/>
        <v>Southbound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17:39:16-0600',mode:absolute,to:'2016-10-21 19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1" s="52" t="str">
        <f t="shared" si="119"/>
        <v>N</v>
      </c>
      <c r="X201" s="171">
        <f t="shared" si="120"/>
        <v>1</v>
      </c>
      <c r="Y201" s="67">
        <f t="shared" si="121"/>
        <v>5.8601999999999999</v>
      </c>
      <c r="Z201" s="67">
        <f t="shared" si="122"/>
        <v>7.8299999999999995E-2</v>
      </c>
      <c r="AA201" s="67">
        <f t="shared" si="123"/>
        <v>5.7819000000000003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24"/>
        <v>0838-21</v>
      </c>
      <c r="AE201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1" s="88" t="str">
        <f t="shared" si="126"/>
        <v>"C:\Program Files (x86)\AstroGrep\AstroGrep.exe" /spath="%USERPROFILE%\AppData\Local\Temp\OnboardLogs" /stypes="app*4026*20161022*" /stext=" 00:.+((SYSTEM_STATE.+slice.+state.+changed )|(ment ac)|(system.+state.+changed )|(\[timeout)|(PRM\|1\|D)|(kpr)|(kdp)|(\|lc)|(penalty))" /e /r /s</v>
      </c>
      <c r="AG201" s="1" t="str">
        <f t="shared" si="127"/>
        <v>NW</v>
      </c>
      <c r="AH201" s="92" t="str">
        <f t="shared" si="128"/>
        <v>"%USERPROFILE%\Documents\GitHub\eaglep3\Utilities\RefineRTDCRunTimes.py" --tripid 838-21 --locoid 4026 --swversion DE.1.0.7.0 --startMP 300:58602 --initTime 2016-10-21T18:39:16 --startdatetime 2016-10-21T18:41:48 --delay 1 --endMP 204:783 --enddatetime 2016-10-21T18:58:00 --enforcementcount 0 &gt;&gt;C:\Users\stu\Documents\GitHub\eaglep3-reporting\EC\2016-10-21-refined-times.txt</v>
      </c>
      <c r="AI201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{"issue":{"subject":"","project_id":79,"tracker_id":40,"status_id":1,"priority_id":2,"assigned_to_id":23,"start_date":"2016-10-21","description":"","custom_fields":[{"id":1,"name":"Subdivision","value":"NW"},{"id":4,"name":"Milepost","value":"0.0783"},{"id":17,"name":"Train ID","value":"838-21"},{"id":16,"name":"Locomotive ID","value":"4026"},{"id":130,"name":"Impact","value":""},{"id":150,"name":"Time of Event (Mountain Time)","value":"18:58:00"},{"id":151,"name":"Denver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575</v>
      </c>
      <c r="B202" s="7">
        <v>4046</v>
      </c>
      <c r="C202" s="22" t="s">
        <v>99</v>
      </c>
      <c r="D202" s="22" t="s">
        <v>381</v>
      </c>
      <c r="E202" s="13">
        <v>42664.770162037035</v>
      </c>
      <c r="F202" s="13">
        <v>42664.785624999997</v>
      </c>
      <c r="G202" s="7">
        <v>1</v>
      </c>
      <c r="H202" s="13" t="s">
        <v>379</v>
      </c>
      <c r="I202" s="13">
        <v>42664.795567129629</v>
      </c>
      <c r="J202" s="7">
        <v>0</v>
      </c>
      <c r="K202" s="112" t="str">
        <f t="shared" si="113"/>
        <v>4045/4046</v>
      </c>
      <c r="L202" s="22" t="str">
        <f>VLOOKUP(A202,'Trips&amp;Operators'!$C$1:$E$10000,3,FALSE)</f>
        <v>NEWELL</v>
      </c>
      <c r="M202" s="6">
        <f t="shared" si="114"/>
        <v>9.9421296326909214E-3</v>
      </c>
      <c r="N202" s="7">
        <f t="shared" si="115"/>
        <v>14.316666671074927</v>
      </c>
      <c r="O202" s="7"/>
      <c r="P202" s="7"/>
      <c r="Q202" s="23"/>
      <c r="R202" s="23"/>
      <c r="S202" s="35">
        <f t="shared" si="116"/>
        <v>1</v>
      </c>
      <c r="T202" s="50" t="str">
        <f t="shared" si="117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17:29:02-0600',mode:absolute,to:'2016-10-21 20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2" s="52" t="str">
        <f t="shared" si="119"/>
        <v>N</v>
      </c>
      <c r="X202" s="171">
        <f t="shared" si="120"/>
        <v>1</v>
      </c>
      <c r="Y202" s="67">
        <f t="shared" si="121"/>
        <v>0.10349999999999999</v>
      </c>
      <c r="Z202" s="67">
        <f t="shared" si="122"/>
        <v>5.8924000000000003</v>
      </c>
      <c r="AA202" s="67">
        <f t="shared" si="123"/>
        <v>5.7888999999999999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24"/>
        <v>0839-21</v>
      </c>
      <c r="AE202" s="91" t="str">
        <f t="shared" si="125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202" s="88" t="str">
        <f t="shared" si="126"/>
        <v>"C:\Program Files (x86)\AstroGrep\AstroGrep.exe" /spath="%USERPROFILE%\AppData\Local\Temp\OnboardLogs" /stypes="app*4046*20161022*" /stext=" 01:.+((SYSTEM_STATE.+slice.+state.+changed )|(ment ac)|(system.+state.+changed )|(\[timeout)|(PRM\|1\|D)|(kpr)|(kdp)|(\|lc)|(penalty))" /e /r /s</v>
      </c>
      <c r="AG202" s="1" t="str">
        <f t="shared" si="127"/>
        <v>NW</v>
      </c>
      <c r="AH202" s="92" t="str">
        <f t="shared" si="128"/>
        <v>"%USERPROFILE%\Documents\GitHub\eaglep3\Utilities\RefineRTDCRunTimes.py" --tripid 839-21 --locoid 4046 --swversion DE.1.0.7.0 --startMP 204:1035 --initTime 2016-10-21T18:29:02 --startdatetime 2016-10-21T18:51:18 --delay 1 --endMP 300:58924 --enddatetime 2016-10-21T19:05:37 --enforcementcount 0 &gt;&gt;C:\Users\stu\Documents\GitHub\eaglep3-reporting\EC\2016-10-21-refined-times.txt</v>
      </c>
      <c r="AI202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ID","value":"839-21"},{"id":16,"name":"Locomotive ID","value":"4046"},{"id":130,"name":"Impact","value":""},{"id":150,"name":"Time of Event (Mountain Time)","value":"19:05:37"},{"id":151,"name":"Denver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585</v>
      </c>
      <c r="B203" s="7">
        <v>4026</v>
      </c>
      <c r="C203" s="22" t="s">
        <v>99</v>
      </c>
      <c r="D203" s="22" t="s">
        <v>277</v>
      </c>
      <c r="E203" s="13">
        <v>42664.816412037035</v>
      </c>
      <c r="F203" s="13">
        <v>42664.81759259259</v>
      </c>
      <c r="G203" s="7">
        <v>1</v>
      </c>
      <c r="H203" s="13" t="s">
        <v>760</v>
      </c>
      <c r="I203" s="13">
        <v>42664.830659722225</v>
      </c>
      <c r="J203" s="7">
        <v>0</v>
      </c>
      <c r="K203" s="112" t="str">
        <f t="shared" si="113"/>
        <v>4025/4026</v>
      </c>
      <c r="L203" s="22" t="str">
        <f>VLOOKUP(A203,'Trips&amp;Operators'!$C$1:$E$10000,3,FALSE)</f>
        <v>HELVIE</v>
      </c>
      <c r="M203" s="6">
        <f t="shared" si="114"/>
        <v>1.3067129635601304E-2</v>
      </c>
      <c r="N203" s="7">
        <f t="shared" si="115"/>
        <v>18.816666675265878</v>
      </c>
      <c r="O203" s="7"/>
      <c r="P203" s="7"/>
      <c r="Q203" s="23"/>
      <c r="R203" s="23"/>
      <c r="S203" s="35">
        <f t="shared" si="116"/>
        <v>1</v>
      </c>
      <c r="T203" s="50" t="str">
        <f t="shared" si="117"/>
        <v>Southbound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18:35:38-0600',mode:absolute,to:'2016-10-21 20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3" s="52" t="str">
        <f t="shared" si="119"/>
        <v>N</v>
      </c>
      <c r="X203" s="171">
        <f t="shared" si="120"/>
        <v>1</v>
      </c>
      <c r="Y203" s="67">
        <f t="shared" si="121"/>
        <v>5.8615000000000004</v>
      </c>
      <c r="Z203" s="67">
        <f t="shared" si="122"/>
        <v>7.4499999999999997E-2</v>
      </c>
      <c r="AA203" s="67">
        <f t="shared" si="123"/>
        <v>5.7870000000000008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124"/>
        <v>0840-21</v>
      </c>
      <c r="AE203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3" s="88" t="str">
        <f t="shared" si="126"/>
        <v>"C:\Program Files (x86)\AstroGrep\AstroGrep.exe" /spath="%USERPROFILE%\AppData\Local\Temp\OnboardLogs" /stypes="app*4026*20161022*" /stext=" 01:.+((SYSTEM_STATE.+slice.+state.+changed )|(ment ac)|(system.+state.+changed )|(\[timeout)|(PRM\|1\|D)|(kpr)|(kdp)|(\|lc)|(penalty))" /e /r /s</v>
      </c>
      <c r="AG203" s="1" t="str">
        <f t="shared" si="127"/>
        <v>NW</v>
      </c>
      <c r="AH203" s="92" t="str">
        <f t="shared" si="128"/>
        <v>"%USERPROFILE%\Documents\GitHub\eaglep3\Utilities\RefineRTDCRunTimes.py" --tripid 840-21 --locoid 4026 --swversion DE.1.0.7.0 --startMP 300:58615 --initTime 2016-10-21T19:35:38 --startdatetime 2016-10-21T19:37:20 --delay 1 --endMP 204:745 --enddatetime 2016-10-21T19:56:09 --enforcementcount 0 &gt;&gt;C:\Users\stu\Documents\GitHub\eaglep3-reporting\EC\2016-10-21-refined-times.txt</v>
      </c>
      <c r="AI203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{"issue":{"subject":"","project_id":79,"tracker_id":40,"status_id":1,"priority_id":2,"assigned_to_id":23,"start_date":"2016-10-21","description":"","custom_fields":[{"id":1,"name":"Subdivision","value":"NW"},{"id":4,"name":"Milepost","value":"0.0745"},{"id":17,"name":"Train ID","value":"840-21"},{"id":16,"name":"Locomotive ID","value":"4026"},{"id":130,"name":"Impact","value":""},{"id":150,"name":"Time of Event (Mountain Time)","value":"19:56:09"},{"id":151,"name":"Denver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583</v>
      </c>
      <c r="B204" s="7">
        <v>4025</v>
      </c>
      <c r="C204" s="22" t="s">
        <v>99</v>
      </c>
      <c r="D204" s="22" t="s">
        <v>761</v>
      </c>
      <c r="E204" s="13">
        <v>42664.80369212963</v>
      </c>
      <c r="F204" s="13">
        <v>42664.806481481479</v>
      </c>
      <c r="G204" s="7">
        <v>1</v>
      </c>
      <c r="H204" s="13" t="s">
        <v>383</v>
      </c>
      <c r="I204" s="13">
        <v>42664.815509259257</v>
      </c>
      <c r="J204" s="7">
        <v>0</v>
      </c>
      <c r="K204" s="112" t="str">
        <f t="shared" si="113"/>
        <v>4025/4026</v>
      </c>
      <c r="L204" s="22" t="str">
        <f>VLOOKUP(A204,'Trips&amp;Operators'!$C$1:$E$10000,3,FALSE)</f>
        <v>HELVIE</v>
      </c>
      <c r="M204" s="6">
        <f t="shared" si="114"/>
        <v>9.0277777781011537E-3</v>
      </c>
      <c r="N204" s="7">
        <f t="shared" si="115"/>
        <v>13.000000000465661</v>
      </c>
      <c r="O204" s="7"/>
      <c r="P204" s="7"/>
      <c r="Q204" s="23"/>
      <c r="R204" s="23"/>
      <c r="S204" s="35">
        <f t="shared" si="116"/>
        <v>1</v>
      </c>
      <c r="T204" s="50" t="str">
        <f t="shared" si="117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18:17:19-0600',mode:absolute,to:'2016-10-21 20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2" t="str">
        <f t="shared" si="119"/>
        <v>N</v>
      </c>
      <c r="X204" s="171">
        <f t="shared" si="120"/>
        <v>1</v>
      </c>
      <c r="Y204" s="67">
        <f t="shared" si="121"/>
        <v>0.1062</v>
      </c>
      <c r="Z204" s="67">
        <f t="shared" si="122"/>
        <v>5.8930999999999996</v>
      </c>
      <c r="AA204" s="67">
        <f t="shared" si="123"/>
        <v>5.7868999999999993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24"/>
        <v>0841-21</v>
      </c>
      <c r="AE204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4" s="88" t="str">
        <f t="shared" si="126"/>
        <v>"C:\Program Files (x86)\AstroGrep\AstroGrep.exe" /spath="%USERPROFILE%\AppData\Local\Temp\OnboardLogs" /stypes="app*4025*20161022*" /stext=" 01:.+((SYSTEM_STATE.+slice.+state.+changed )|(ment ac)|(system.+state.+changed )|(\[timeout)|(PRM\|1\|D)|(kpr)|(kdp)|(\|lc)|(penalty))" /e /r /s</v>
      </c>
      <c r="AG204" s="1" t="str">
        <f t="shared" si="127"/>
        <v>NW</v>
      </c>
      <c r="AH204" s="92" t="str">
        <f t="shared" si="128"/>
        <v>"%USERPROFILE%\Documents\GitHub\eaglep3\Utilities\RefineRTDCRunTimes.py" --tripid 841-21 --locoid 4025 --swversion DE.1.0.7.0 --startMP 204:1062 --initTime 2016-10-21T19:17:19 --startdatetime 2016-10-21T19:21:20 --delay 1 --endMP 300:58931 --enddatetime 2016-10-21T19:34:20 --enforcementcount 0 &gt;&gt;C:\Users\stu\Documents\GitHub\eaglep3-reporting\EC\2016-10-21-refined-times.txt</v>
      </c>
      <c r="AI204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ID","value":"841-21"},{"id":16,"name":"Locomotive ID","value":"4025"},{"id":130,"name":"Impact","value":""},{"id":150,"name":"Time of Event (Mountain Time)","value":"19:34:20"},{"id":151,"name":"Denver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590</v>
      </c>
      <c r="B205" s="7">
        <v>4026</v>
      </c>
      <c r="C205" s="22" t="s">
        <v>99</v>
      </c>
      <c r="D205" s="22" t="s">
        <v>374</v>
      </c>
      <c r="E205" s="13">
        <v>42664.858553240738</v>
      </c>
      <c r="F205" s="13">
        <v>42664.860173611109</v>
      </c>
      <c r="G205" s="7">
        <v>0</v>
      </c>
      <c r="H205" s="13" t="s">
        <v>762</v>
      </c>
      <c r="I205" s="13">
        <v>42664.871203703704</v>
      </c>
      <c r="J205" s="7">
        <v>0</v>
      </c>
      <c r="K205" s="112" t="str">
        <f t="shared" si="113"/>
        <v>4025/4026</v>
      </c>
      <c r="L205" s="22" t="str">
        <f>VLOOKUP(A205,'Trips&amp;Operators'!$C$1:$E$10000,3,FALSE)</f>
        <v>HELVIE</v>
      </c>
      <c r="M205" s="6">
        <f t="shared" si="114"/>
        <v>1.1030092595319729E-2</v>
      </c>
      <c r="N205" s="7">
        <f t="shared" si="115"/>
        <v>15.88333333726041</v>
      </c>
      <c r="O205" s="7"/>
      <c r="P205" s="7"/>
      <c r="Q205" s="23"/>
      <c r="R205" s="23"/>
      <c r="S205" s="35">
        <f t="shared" si="116"/>
        <v>1</v>
      </c>
      <c r="T205" s="50" t="str">
        <f t="shared" si="117"/>
        <v>Southbound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19:36:19-0600',mode:absolute,to:'2016-10-21 21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5" s="52" t="str">
        <f t="shared" si="119"/>
        <v>N</v>
      </c>
      <c r="X205" s="171">
        <f t="shared" si="120"/>
        <v>1</v>
      </c>
      <c r="Y205" s="67">
        <f t="shared" si="121"/>
        <v>5.8609</v>
      </c>
      <c r="Z205" s="67">
        <f t="shared" si="122"/>
        <v>7.4800000000000005E-2</v>
      </c>
      <c r="AA205" s="67">
        <f t="shared" si="123"/>
        <v>5.7861000000000002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124"/>
        <v>0842-21</v>
      </c>
      <c r="AE205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5" s="88" t="str">
        <f t="shared" si="126"/>
        <v>"C:\Program Files (x86)\AstroGrep\AstroGrep.exe" /spath="%USERPROFILE%\AppData\Local\Temp\OnboardLogs" /stypes="app*4026*20161022*" /stext=" 02:.+((SYSTEM_STATE.+slice.+state.+changed )|(ment ac)|(system.+state.+changed )|(\[timeout)|(PRM\|1\|D)|(kpr)|(kdp)|(\|lc)|(penalty))" /e /r /s</v>
      </c>
      <c r="AG205" s="1" t="str">
        <f t="shared" si="127"/>
        <v>NW</v>
      </c>
      <c r="AH205" s="92" t="str">
        <f t="shared" si="128"/>
        <v>"%USERPROFILE%\Documents\GitHub\eaglep3\Utilities\RefineRTDCRunTimes.py" --tripid 842-21 --locoid 4026 --swversion DE.1.0.7.0 --startMP 300:58609 --initTime 2016-10-21T20:36:19 --startdatetime 2016-10-21T20:38:39 --delay 0 --endMP 204:748 --enddatetime 2016-10-21T20:54:32 --enforcementcount 0 &gt;&gt;C:\Users\stu\Documents\GitHub\eaglep3-reporting\EC\2016-10-21-refined-times.txt</v>
      </c>
      <c r="AI205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{"issue":{"subject":"","project_id":79,"tracker_id":40,"status_id":1,"priority_id":2,"assigned_to_id":23,"start_date":"2016-10-21","description":"","custom_fields":[{"id":1,"name":"Subdivision","value":"NW"},{"id":4,"name":"Milepost","value":"0.0748"},{"id":17,"name":"Train ID","value":"842-21"},{"id":16,"name":"Locomotive ID","value":"4026"},{"id":130,"name":"Impact","value":""},{"id":150,"name":"Time of Event (Mountain Time)","value":"20:54:32"},{"id":151,"name":"Denver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591</v>
      </c>
      <c r="B206" s="7">
        <v>4025</v>
      </c>
      <c r="C206" s="22" t="s">
        <v>99</v>
      </c>
      <c r="D206" s="22" t="s">
        <v>763</v>
      </c>
      <c r="E206" s="13">
        <v>42664.846215277779</v>
      </c>
      <c r="F206" s="13">
        <v>42664.848067129627</v>
      </c>
      <c r="G206" s="7">
        <v>1</v>
      </c>
      <c r="H206" s="13" t="s">
        <v>383</v>
      </c>
      <c r="I206" s="13">
        <v>42664.857708333337</v>
      </c>
      <c r="J206" s="7">
        <v>0</v>
      </c>
      <c r="K206" s="112" t="str">
        <f t="shared" ref="K206:K232" si="130">IF(ISEVEN(B206),(B206-1)&amp;"/"&amp;B206,B206&amp;"/"&amp;(B206+1))</f>
        <v>4025/4026</v>
      </c>
      <c r="L206" s="22" t="str">
        <f>VLOOKUP(A206,'Trips&amp;Operators'!$C$1:$E$10000,3,FALSE)</f>
        <v>HELVIE</v>
      </c>
      <c r="M206" s="6">
        <f t="shared" ref="M206:M232" si="131">I206-F206</f>
        <v>9.6412037091795355E-3</v>
      </c>
      <c r="N206" s="7">
        <f t="shared" ref="N206:N232" si="132">24*60*SUM($M206:$M206)</f>
        <v>13.883333341218531</v>
      </c>
      <c r="O206" s="7"/>
      <c r="P206" s="7"/>
      <c r="Q206" s="23"/>
      <c r="R206" s="23"/>
      <c r="S206" s="35">
        <f t="shared" ref="S206:S232" si="133">SUM(U206:U206)/IF(AG206="EC",12,1)</f>
        <v>1</v>
      </c>
      <c r="T206" s="50" t="str">
        <f t="shared" ref="T206:T232" si="134">IF(ISEVEN(LEFT(AD206,4)),"Southbound","NorthBound")</f>
        <v>NorthBound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ref="V206:V232" si="135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https://search-rtdc-monitor-bjffxe2xuh6vdkpspy63sjmuny.us-east-1.es.amazonaws.com/_plugin/kibana/#/discover/Steve-Slow-Train-Analysis-(2080s-and-2083s)?_g=(refreshInterval:(display:Off,section:0,value:0),time:(from:'2016-10-21 19:18:33-0600',mode:absolute,to:'2016-10-21 21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6" s="52" t="str">
        <f t="shared" ref="W206:W232" si="136">IF(AA206&lt;IF(AG206="EC",23,5.65),"Y","N")</f>
        <v>N</v>
      </c>
      <c r="X206" s="171">
        <f t="shared" ref="X206:X232" si="137">VALUE(LEFT(AD206,4))-VALUE(LEFT(AD205,4))</f>
        <v>1</v>
      </c>
      <c r="Y206" s="67">
        <f t="shared" ref="Y206:Y232" si="138">RIGHT(D206,LEN(D206)-4)/10000</f>
        <v>0.1037</v>
      </c>
      <c r="Z206" s="67">
        <f t="shared" ref="Z206:Z232" si="139">RIGHT(H206,LEN(H206)-4)/10000</f>
        <v>5.8930999999999996</v>
      </c>
      <c r="AA206" s="67">
        <f t="shared" ref="AA206:AA232" si="140">ABS(Z206-Y206)</f>
        <v>5.7893999999999997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ref="AD206:AD232" si="141">IF(LEN(A206)=6,"0"&amp;A206,A206)</f>
        <v>0843-21</v>
      </c>
      <c r="AE206" s="91" t="str">
        <f t="shared" ref="AE206:AE232" si="142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6" s="88" t="str">
        <f t="shared" ref="AF206:AF232" si="143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/stypes="app*4025*20161022*" /stext=" 02:.+((SYSTEM_STATE.+slice.+state.+changed )|(ment ac)|(system.+state.+changed )|(\[timeout)|(PRM\|1\|D)|(kpr)|(kdp)|(\|lc)|(penalty))" /e /r /s</v>
      </c>
      <c r="AG206" s="1" t="str">
        <f t="shared" ref="AG206:AG232" si="144">IFERROR(IF(VALUE(LEFT(AD206,2))&lt;=2,"EC",IF(OR(VALUE(LEFT(AD206,2))=8,VALUE(LEFT(AD206,2))=18),"NW","Other")),"Other")</f>
        <v>NW</v>
      </c>
      <c r="AH206" s="92" t="str">
        <f t="shared" si="128"/>
        <v>"%USERPROFILE%\Documents\GitHub\eaglep3\Utilities\RefineRTDCRunTimes.py" --tripid 843-21 --locoid 4025 --swversion DE.1.0.7.0 --startMP 204:1037 --initTime 2016-10-21T20:18:33 --startdatetime 2016-10-21T20:21:13 --delay 1 --endMP 300:58931 --enddatetime 2016-10-21T20:35:06 --enforcementcount 0 &gt;&gt;C:\Users\stu\Documents\GitHub\eaglep3-reporting\EC\2016-10-21-refined-times.txt</v>
      </c>
      <c r="AI206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ID","value":"843-21"},{"id":16,"name":"Locomotive ID","value":"4025"},{"id":130,"name":"Impact","value":""},{"id":150,"name":"Time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599</v>
      </c>
      <c r="B207" s="7">
        <v>4026</v>
      </c>
      <c r="C207" s="22" t="s">
        <v>99</v>
      </c>
      <c r="D207" s="22" t="s">
        <v>384</v>
      </c>
      <c r="E207" s="13">
        <v>42664.901030092595</v>
      </c>
      <c r="F207" s="13">
        <v>42664.902789351851</v>
      </c>
      <c r="G207" s="7">
        <v>1</v>
      </c>
      <c r="H207" s="13" t="s">
        <v>388</v>
      </c>
      <c r="I207" s="13">
        <v>42664.914247685185</v>
      </c>
      <c r="J207" s="7">
        <v>0</v>
      </c>
      <c r="K207" s="112" t="str">
        <f t="shared" si="130"/>
        <v>4025/4026</v>
      </c>
      <c r="L207" s="22" t="str">
        <f>VLOOKUP(A207,'Trips&amp;Operators'!$C$1:$E$10000,3,FALSE)</f>
        <v>NEWELL</v>
      </c>
      <c r="M207" s="6">
        <f t="shared" si="131"/>
        <v>1.1458333334303461E-2</v>
      </c>
      <c r="N207" s="7">
        <f t="shared" si="132"/>
        <v>16.500000001396984</v>
      </c>
      <c r="O207" s="7"/>
      <c r="P207" s="7"/>
      <c r="Q207" s="23"/>
      <c r="R207" s="23"/>
      <c r="S207" s="35">
        <f t="shared" si="133"/>
        <v>1</v>
      </c>
      <c r="T207" s="50" t="str">
        <f t="shared" si="134"/>
        <v>Southbound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20:37:29-0600',mode:absolute,to:'2016-10-21 22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7" s="52" t="str">
        <f t="shared" si="136"/>
        <v>N</v>
      </c>
      <c r="X207" s="171">
        <f t="shared" si="137"/>
        <v>1</v>
      </c>
      <c r="Y207" s="67">
        <f t="shared" si="138"/>
        <v>5.8608000000000002</v>
      </c>
      <c r="Z207" s="67">
        <f t="shared" si="139"/>
        <v>7.4700000000000003E-2</v>
      </c>
      <c r="AA207" s="67">
        <f t="shared" si="140"/>
        <v>5.7861000000000002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41"/>
        <v>0844-21</v>
      </c>
      <c r="AE207" s="91" t="str">
        <f t="shared" si="142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7" s="88" t="str">
        <f t="shared" si="143"/>
        <v>"C:\Program Files (x86)\AstroGrep\AstroGrep.exe" /spath="%USERPROFILE%\AppData\Local\Temp\OnboardLogs" /stypes="app*4026*20161022*" /stext=" 03:.+((SYSTEM_STATE.+slice.+state.+changed )|(ment ac)|(system.+state.+changed )|(\[timeout)|(PRM\|1\|D)|(kpr)|(kdp)|(\|lc)|(penalty))" /e /r /s</v>
      </c>
      <c r="AG207" s="1" t="str">
        <f t="shared" si="144"/>
        <v>NW</v>
      </c>
      <c r="AH207" s="92" t="str">
        <f t="shared" ref="AH207:AH232" si="145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844-21 --locoid 4026 --swversion DE.1.0.7.0 --startMP 300:58608 --initTime 2016-10-21T21:37:29 --startdatetime 2016-10-21T21:40:01 --delay 1 --endMP 204:747 --enddatetime 2016-10-21T21:56:31 --enforcementcount 0 &gt;&gt;C:\Users\stu\Documents\GitHub\eaglep3-reporting\EC\2016-10-21-refined-times.txt</v>
      </c>
      <c r="AI207" s="122" t="str">
        <f t="shared" ref="AI207:AI232" si="146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{"issue":{"subject":"","project_id":79,"tracker_id":40,"status_id":1,"priority_id":2,"assigned_to_id":23,"start_date":"2016-10-21","description":"","custom_fields":[{"id":1,"name":"Subdivision","value":"NW"},{"id":4,"name":"Milepost","value":"0.0747"},{"id":17,"name":"Train ID","value":"844-21"},{"id":16,"name":"Locomotive ID","value":"4026"},{"id":130,"name":"Impact","value":""},{"id":150,"name":"Time of Event (Mountain Time)","value":"21:56:31"},{"id":151,"name":"Denver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596</v>
      </c>
      <c r="B208" s="7">
        <v>4025</v>
      </c>
      <c r="C208" s="22" t="s">
        <v>99</v>
      </c>
      <c r="D208" s="22" t="s">
        <v>764</v>
      </c>
      <c r="E208" s="13">
        <v>42664.879386574074</v>
      </c>
      <c r="F208" s="13">
        <v>42664.889768518522</v>
      </c>
      <c r="G208" s="7">
        <v>2</v>
      </c>
      <c r="H208" s="13" t="s">
        <v>295</v>
      </c>
      <c r="I208" s="13">
        <v>42664.900069444448</v>
      </c>
      <c r="J208" s="7">
        <v>0</v>
      </c>
      <c r="K208" s="112" t="str">
        <f t="shared" si="130"/>
        <v>4025/4026</v>
      </c>
      <c r="L208" s="22" t="str">
        <f>VLOOKUP(A208,'Trips&amp;Operators'!$C$1:$E$10000,3,FALSE)</f>
        <v>NEWELL</v>
      </c>
      <c r="M208" s="6">
        <f t="shared" si="131"/>
        <v>1.0300925925548654E-2</v>
      </c>
      <c r="N208" s="7">
        <f t="shared" si="132"/>
        <v>14.833333332790062</v>
      </c>
      <c r="O208" s="7"/>
      <c r="P208" s="7"/>
      <c r="Q208" s="23"/>
      <c r="R208" s="23"/>
      <c r="S208" s="35">
        <f t="shared" si="133"/>
        <v>1</v>
      </c>
      <c r="T208" s="50" t="str">
        <f t="shared" si="134"/>
        <v>NorthBound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20:06:19-0600',mode:absolute,to:'2016-10-21 22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8" s="52" t="str">
        <f t="shared" si="136"/>
        <v>N</v>
      </c>
      <c r="X208" s="171">
        <f t="shared" si="137"/>
        <v>1</v>
      </c>
      <c r="Y208" s="67">
        <f t="shared" si="138"/>
        <v>0.10440000000000001</v>
      </c>
      <c r="Z208" s="67">
        <f t="shared" si="139"/>
        <v>5.8928000000000003</v>
      </c>
      <c r="AA208" s="67">
        <f t="shared" si="140"/>
        <v>5.7884000000000002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41"/>
        <v>0845-21</v>
      </c>
      <c r="AE208" s="91" t="str">
        <f t="shared" si="142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8" s="88" t="str">
        <f t="shared" si="143"/>
        <v>"C:\Program Files (x86)\AstroGrep\AstroGrep.exe" /spath="%USERPROFILE%\AppData\Local\Temp\OnboardLogs" /stypes="app*4025*20161022*" /stext=" 03:.+((SYSTEM_STATE.+slice.+state.+changed )|(ment ac)|(system.+state.+changed )|(\[timeout)|(PRM\|1\|D)|(kpr)|(kdp)|(\|lc)|(penalty))" /e /r /s</v>
      </c>
      <c r="AG208" s="1" t="str">
        <f t="shared" si="144"/>
        <v>NW</v>
      </c>
      <c r="AH208" s="92" t="str">
        <f t="shared" si="145"/>
        <v>"%USERPROFILE%\Documents\GitHub\eaglep3\Utilities\RefineRTDCRunTimes.py" --tripid 845-21 --locoid 4025 --swversion DE.1.0.7.0 --startMP 204:1044 --initTime 2016-10-21T21:06:19 --startdatetime 2016-10-21T21:21:16 --delay 2 --endMP 300:58928 --enddatetime 2016-10-21T21:36:06 --enforcementcount 0 &gt;&gt;C:\Users\stu\Documents\GitHub\eaglep3-reporting\EC\2016-10-21-refined-times.txt</v>
      </c>
      <c r="AI208" s="122" t="str">
        <f t="shared" si="146"/>
        <v>echo {"issue":{"subject":"","project_id":79,"tracker_id":40,"status_id":1,"priority_id":2,"assigned_to_id":23,"start_date":"2016-10-21","description":"","custom_fields":[{"id":1,"name":"Subdivision","value":"NW"},{"id":4,"name":"Milepost","value":"5.8928"},{"id":17,"name":"Train ID","value":"845-21"},{"id":16,"name":"Locomotive ID","value":"4025"},{"id":130,"name":"Impact","value":""},{"id":150,"name":"Time of Event (Mountain Time)","value":"21:36:06"},{"id":151,"name":"Denver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602</v>
      </c>
      <c r="B209" s="7">
        <v>4025</v>
      </c>
      <c r="C209" s="22" t="s">
        <v>99</v>
      </c>
      <c r="D209" s="22" t="s">
        <v>763</v>
      </c>
      <c r="E209" s="13">
        <v>42664.915393518517</v>
      </c>
      <c r="F209" s="13">
        <v>42664.931400462963</v>
      </c>
      <c r="G209" s="7">
        <v>1</v>
      </c>
      <c r="H209" s="13" t="s">
        <v>295</v>
      </c>
      <c r="I209" s="13">
        <v>42664.940243055556</v>
      </c>
      <c r="J209" s="7">
        <v>0</v>
      </c>
      <c r="K209" s="112" t="str">
        <f t="shared" si="130"/>
        <v>4025/4026</v>
      </c>
      <c r="L209" s="22" t="str">
        <f>VLOOKUP(A209,'Trips&amp;Operators'!$C$1:$E$10000,3,FALSE)</f>
        <v>NEWELL</v>
      </c>
      <c r="M209" s="6">
        <f t="shared" si="131"/>
        <v>8.8425925932824612E-3</v>
      </c>
      <c r="N209" s="7">
        <f t="shared" si="132"/>
        <v>12.733333334326744</v>
      </c>
      <c r="O209" s="7"/>
      <c r="P209" s="7"/>
      <c r="Q209" s="23"/>
      <c r="R209" s="23"/>
      <c r="S209" s="35">
        <f t="shared" si="133"/>
        <v>1</v>
      </c>
      <c r="T209" s="50" t="str">
        <f t="shared" si="134"/>
        <v>NorthBound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20:58:10-0600',mode:absolute,to:'2016-10-21 23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9" s="52" t="str">
        <f t="shared" si="136"/>
        <v>N</v>
      </c>
      <c r="X209" s="171">
        <f t="shared" si="137"/>
        <v>2</v>
      </c>
      <c r="Y209" s="67">
        <f t="shared" si="138"/>
        <v>0.1037</v>
      </c>
      <c r="Z209" s="67">
        <f t="shared" si="139"/>
        <v>5.8928000000000003</v>
      </c>
      <c r="AA209" s="67">
        <f t="shared" si="140"/>
        <v>5.7891000000000004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41"/>
        <v>0847-21</v>
      </c>
      <c r="AE209" s="91" t="str">
        <f t="shared" si="142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9" s="88" t="str">
        <f t="shared" si="143"/>
        <v>"C:\Program Files (x86)\AstroGrep\AstroGrep.exe" /spath="%USERPROFILE%\AppData\Local\Temp\OnboardLogs" /stypes="app*4025*20161022*" /stext=" 04:.+((SYSTEM_STATE.+slice.+state.+changed )|(ment ac)|(system.+state.+changed )|(\[timeout)|(PRM\|1\|D)|(kpr)|(kdp)|(\|lc)|(penalty))" /e /r /s</v>
      </c>
      <c r="AG209" s="1" t="str">
        <f t="shared" si="144"/>
        <v>NW</v>
      </c>
      <c r="AH209" s="92" t="str">
        <f t="shared" si="145"/>
        <v>"%USERPROFILE%\Documents\GitHub\eaglep3\Utilities\RefineRTDCRunTimes.py" --tripid 847-21 --locoid 4025 --swversion DE.1.0.7.0 --startMP 204:1037 --initTime 2016-10-21T21:58:10 --startdatetime 2016-10-21T22:21:13 --delay 1 --endMP 300:58928 --enddatetime 2016-10-21T22:33:57 --enforcementcount 0 &gt;&gt;C:\Users\stu\Documents\GitHub\eaglep3-reporting\EC\2016-10-21-refined-times.txt</v>
      </c>
      <c r="AI209" s="122" t="str">
        <f t="shared" si="146"/>
        <v>echo {"issue":{"subject":"","project_id":79,"tracker_id":40,"status_id":1,"priority_id":2,"assigned_to_id":23,"start_date":"2016-10-21","description":"","custom_fields":[{"id":1,"name":"Subdivision","value":"NW"},{"id":4,"name":"Milepost","value":"5.8928"},{"id":17,"name":"Train ID","value":"847-21"},{"id":16,"name":"Locomotive ID","value":"4025"},{"id":130,"name":"Impact","value":""},{"id":150,"name":"Time of Event (Mountain Time)","value":"22:33:57"},{"id":151,"name":"Denver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7" t="s">
        <v>577</v>
      </c>
      <c r="B210" s="7">
        <v>4053</v>
      </c>
      <c r="C210" s="22" t="s">
        <v>99</v>
      </c>
      <c r="D210" s="22" t="s">
        <v>698</v>
      </c>
      <c r="E210" s="13">
        <v>42664.778252314813</v>
      </c>
      <c r="F210" s="13">
        <v>25568.708333333332</v>
      </c>
      <c r="G210" s="7">
        <v>1</v>
      </c>
      <c r="H210" s="13" t="s">
        <v>699</v>
      </c>
      <c r="I210" s="13">
        <v>25568.708333333332</v>
      </c>
      <c r="J210" s="7">
        <v>0</v>
      </c>
      <c r="K210" s="112" t="str">
        <f t="shared" si="130"/>
        <v>4053/4054</v>
      </c>
      <c r="L210" s="22" t="str">
        <f>VLOOKUP(A210,'Trips&amp;Operators'!$C$1:$E$10000,3,FALSE)</f>
        <v>MOSES</v>
      </c>
      <c r="M210" s="6">
        <f t="shared" si="131"/>
        <v>0</v>
      </c>
      <c r="N210" s="7">
        <f t="shared" si="132"/>
        <v>0</v>
      </c>
      <c r="O210" s="7"/>
      <c r="P210" s="7"/>
      <c r="Q210" s="23"/>
      <c r="R210" s="23"/>
      <c r="S210" s="35">
        <f t="shared" si="133"/>
        <v>1</v>
      </c>
      <c r="T210" s="50" t="str">
        <f t="shared" si="134"/>
        <v>NorthBound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17:40:41-0600',mode:absolute,to:'1969-12-31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0" s="52" t="str">
        <f t="shared" si="136"/>
        <v>Y</v>
      </c>
      <c r="X210" s="171">
        <f t="shared" si="137"/>
        <v>-544</v>
      </c>
      <c r="Y210" s="67">
        <f t="shared" si="138"/>
        <v>0.12529999999999999</v>
      </c>
      <c r="Z210" s="67">
        <f t="shared" si="139"/>
        <v>2.3302</v>
      </c>
      <c r="AA210" s="67">
        <f t="shared" si="140"/>
        <v>2.2048999999999999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41"/>
        <v>0303-21</v>
      </c>
      <c r="AE210" s="91" t="str">
        <f t="shared" si="142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0" s="88" t="str">
        <f t="shared" si="143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10" s="1" t="str">
        <f t="shared" si="144"/>
        <v>Other</v>
      </c>
      <c r="AH210" s="92" t="str">
        <f t="shared" si="145"/>
        <v>"%USERPROFILE%\Documents\GitHub\eaglep3\Utilities\RefineRTDCRunTimes.py" --tripid 303-21 --locoid 4053 --swversion DE.1.0.7.0 --startMP 204:1253 --initTime 2016-10-21T18:40:41 --startdatetime 1969-12-31T17:00:00 --delay 1 --endMP 300:23302 --enddatetime 1969-12-31T17:00:00 --enforcementcount 0 &gt;&gt;C:\Users\stu\Documents\GitHub\eaglep3-reporting\EC\2016-10-21-refined-times.txt</v>
      </c>
      <c r="AI210" s="122" t="str">
        <f t="shared" si="146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ID","value":"303-21"},{"id":16,"name":"Locomotive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s="21" customFormat="1" x14ac:dyDescent="0.25">
      <c r="A211" s="37" t="s">
        <v>393</v>
      </c>
      <c r="B211" s="7">
        <v>4041</v>
      </c>
      <c r="C211" s="22" t="s">
        <v>99</v>
      </c>
      <c r="D211" s="22" t="s">
        <v>700</v>
      </c>
      <c r="E211" s="13">
        <v>42664.14402777778</v>
      </c>
      <c r="F211" s="13">
        <v>42664.145405092589</v>
      </c>
      <c r="G211" s="7">
        <v>1</v>
      </c>
      <c r="H211" s="13" t="s">
        <v>360</v>
      </c>
      <c r="I211" s="13">
        <v>42664.151817129627</v>
      </c>
      <c r="J211" s="7">
        <v>0</v>
      </c>
      <c r="K211" s="112" t="str">
        <f t="shared" si="130"/>
        <v>4041/4042</v>
      </c>
      <c r="L211" s="22" t="str">
        <f>VLOOKUP(A211,'Trips&amp;Operators'!$C$1:$E$10000,3,FALSE)</f>
        <v>DAVIS</v>
      </c>
      <c r="M211" s="6">
        <f t="shared" si="131"/>
        <v>6.4120370370801538E-3</v>
      </c>
      <c r="N211" s="7">
        <f t="shared" si="132"/>
        <v>9.2333333333954215</v>
      </c>
      <c r="O211" s="7"/>
      <c r="P211" s="7"/>
      <c r="Q211" s="23"/>
      <c r="R211" s="23"/>
      <c r="S211" s="35">
        <f t="shared" si="133"/>
        <v>1</v>
      </c>
      <c r="T211" s="50" t="str">
        <f t="shared" si="134"/>
        <v>Southbound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1" s="52" t="str">
        <f t="shared" si="136"/>
        <v>Y</v>
      </c>
      <c r="X211" s="171">
        <f t="shared" si="137"/>
        <v>1</v>
      </c>
      <c r="Y211" s="67">
        <f t="shared" si="138"/>
        <v>2.3247</v>
      </c>
      <c r="Z211" s="67">
        <f t="shared" si="139"/>
        <v>1.3599999999999999E-2</v>
      </c>
      <c r="AA211" s="67">
        <f t="shared" si="140"/>
        <v>2.3111000000000002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141"/>
        <v>0304-21</v>
      </c>
      <c r="AE211" s="91" t="str">
        <f t="shared" si="14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211" s="88" t="str">
        <f t="shared" si="143"/>
        <v>"C:\Program Files (x86)\AstroGrep\AstroGrep.exe" /spath="%USERPROFILE%\AppData\Local\Temp\OnboardLogs" /stypes="app*4041*20161021*" /stext=" 09:.+((SYSTEM_STATE.+slice.+state.+changed )|(ment ac)|(system.+state.+changed )|(\[timeout)|(PRM\|1\|D)|(kpr)|(kdp)|(\|lc)|(penalty))" /e /r /s</v>
      </c>
      <c r="AG211" s="1" t="str">
        <f t="shared" si="144"/>
        <v>Other</v>
      </c>
      <c r="AH211" s="92" t="str">
        <f t="shared" si="145"/>
        <v>"%USERPROFILE%\Documents\GitHub\eaglep3\Utilities\RefineRTDCRunTimes.py" --tripid 304-21 --locoid 4041 --swversion DE.1.0.7.0 --startMP 300:23247 --initTime 2016-10-21T03:27:24 --startdatetime 2016-10-21T03:29:23 --delay 1 --endMP 204:136 --enddatetime 2016-10-21T03:38:37 --enforcementcount 0 &gt;&gt;C:\Users\stu\Documents\GitHub\eaglep3-reporting\EC\2016-10-21-refined-times.txt</v>
      </c>
      <c r="AI211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{"issue":{"subject":"","project_id":79,"tracker_id":40,"status_id":1,"priority_id":2,"assigned_to_id":23,"start_date":"2016-10-21","description":"","custom_fields":[{"id":1,"name":"Subdivision","value":"Other"},{"id":4,"name":"Milepost","value":"0.0136"},{"id":17,"name":"Train ID","value":"304-21"},{"id":16,"name":"Locomotive ID","value":"4041"},{"id":130,"name":"Impact","value":""},{"id":150,"name":"Time of Event (Mountain Time)","value":"03:38:37"},{"id":151,"name":"Denver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581</v>
      </c>
      <c r="B212" s="7">
        <v>4038</v>
      </c>
      <c r="C212" s="22" t="s">
        <v>99</v>
      </c>
      <c r="D212" s="22" t="s">
        <v>701</v>
      </c>
      <c r="E212" s="13">
        <v>42664.798078703701</v>
      </c>
      <c r="F212" s="13">
        <v>25568.708333333332</v>
      </c>
      <c r="G212" s="7">
        <v>1</v>
      </c>
      <c r="H212" s="13" t="s">
        <v>702</v>
      </c>
      <c r="I212" s="13">
        <v>25568.708333333332</v>
      </c>
      <c r="J212" s="7">
        <v>0</v>
      </c>
      <c r="K212" s="112" t="str">
        <f t="shared" si="130"/>
        <v>4037/4038</v>
      </c>
      <c r="L212" s="22" t="str">
        <f>VLOOKUP(A212,'Trips&amp;Operators'!$C$1:$E$10000,3,FALSE)</f>
        <v>SHOOK</v>
      </c>
      <c r="M212" s="6">
        <f t="shared" si="131"/>
        <v>0</v>
      </c>
      <c r="N212" s="7">
        <f t="shared" si="132"/>
        <v>0</v>
      </c>
      <c r="O212" s="7"/>
      <c r="P212" s="7"/>
      <c r="Q212" s="23"/>
      <c r="R212" s="23"/>
      <c r="S212" s="35">
        <f t="shared" si="133"/>
        <v>1</v>
      </c>
      <c r="T212" s="50" t="str">
        <f t="shared" si="134"/>
        <v>NorthBound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18:09:14-0600',mode:absolute,to:'1969-12-31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2" s="52" t="str">
        <f t="shared" si="136"/>
        <v>Y</v>
      </c>
      <c r="X212" s="171">
        <f t="shared" si="137"/>
        <v>1</v>
      </c>
      <c r="Y212" s="67">
        <f t="shared" si="138"/>
        <v>0.1236</v>
      </c>
      <c r="Z212" s="67">
        <f t="shared" si="139"/>
        <v>2.3315999999999999</v>
      </c>
      <c r="AA212" s="67">
        <f t="shared" si="140"/>
        <v>2.2079999999999997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141"/>
        <v>0305-21</v>
      </c>
      <c r="AE212" s="91" t="str">
        <f t="shared" si="142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2" s="88" t="str">
        <f t="shared" si="143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2" s="1" t="str">
        <f t="shared" si="144"/>
        <v>Other</v>
      </c>
      <c r="AH212" s="92" t="str">
        <f t="shared" si="145"/>
        <v>"%USERPROFILE%\Documents\GitHub\eaglep3\Utilities\RefineRTDCRunTimes.py" --tripid 305-21 --locoid 4038 --swversion DE.1.0.7.0 --startMP 204:1236 --initTime 2016-10-21T19:09:14 --startdatetime 1969-12-31T17:00:00 --delay 1 --endMP 300:23316 --enddatetime 1969-12-31T17:00:00 --enforcementcount 0 &gt;&gt;C:\Users\stu\Documents\GitHub\eaglep3-reporting\EC\2016-10-21-refined-times.txt</v>
      </c>
      <c r="AI212" s="122" t="str">
        <f t="shared" si="146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ID","value":"305-21"},{"id":16,"name":"Locomotive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441</v>
      </c>
      <c r="B213" s="7">
        <v>4054</v>
      </c>
      <c r="C213" s="22" t="s">
        <v>99</v>
      </c>
      <c r="D213" s="22" t="s">
        <v>703</v>
      </c>
      <c r="E213" s="13">
        <v>42664.16747685185</v>
      </c>
      <c r="F213" s="13">
        <v>42664.168715277781</v>
      </c>
      <c r="G213" s="7">
        <v>1</v>
      </c>
      <c r="H213" s="13" t="s">
        <v>268</v>
      </c>
      <c r="I213" s="13">
        <v>42664.17359953704</v>
      </c>
      <c r="J213" s="7">
        <v>0</v>
      </c>
      <c r="K213" s="112" t="str">
        <f t="shared" si="130"/>
        <v>4053/4054</v>
      </c>
      <c r="L213" s="22" t="str">
        <f>VLOOKUP(A213,'Trips&amp;Operators'!$C$1:$E$10000,3,FALSE)</f>
        <v>MALAVE</v>
      </c>
      <c r="M213" s="6">
        <f t="shared" si="131"/>
        <v>4.8842592586879618E-3</v>
      </c>
      <c r="N213" s="7">
        <f t="shared" si="132"/>
        <v>7.0333333325106651</v>
      </c>
      <c r="O213" s="7"/>
      <c r="P213" s="7"/>
      <c r="Q213" s="23"/>
      <c r="R213" s="23"/>
      <c r="S213" s="35">
        <f t="shared" si="133"/>
        <v>1</v>
      </c>
      <c r="T213" s="50" t="str">
        <f t="shared" si="134"/>
        <v>Southbound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03:01:10-0600',mode:absolute,to:'2016-10-21 05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3" s="52" t="str">
        <f t="shared" si="136"/>
        <v>Y</v>
      </c>
      <c r="X213" s="171">
        <f t="shared" si="137"/>
        <v>1</v>
      </c>
      <c r="Y213" s="67">
        <f t="shared" si="138"/>
        <v>1.44</v>
      </c>
      <c r="Z213" s="67">
        <f t="shared" si="139"/>
        <v>1.5599999999999999E-2</v>
      </c>
      <c r="AA213" s="67">
        <f t="shared" si="140"/>
        <v>1.4243999999999999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141"/>
        <v>0306-21</v>
      </c>
      <c r="AE213" s="91" t="str">
        <f t="shared" si="142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213" s="88" t="str">
        <f t="shared" si="143"/>
        <v>"C:\Program Files (x86)\AstroGrep\AstroGrep.exe" /spath="%USERPROFILE%\AppData\Local\Temp\OnboardLogs" /stypes="app*4054*20161021*" /stext=" 10:.+((SYSTEM_STATE.+slice.+state.+changed )|(ment ac)|(system.+state.+changed )|(\[timeout)|(PRM\|1\|D)|(kpr)|(kdp)|(\|lc)|(penalty))" /e /r /s</v>
      </c>
      <c r="AG213" s="1" t="str">
        <f t="shared" si="144"/>
        <v>Other</v>
      </c>
      <c r="AH213" s="92" t="str">
        <f t="shared" si="145"/>
        <v>"%USERPROFILE%\Documents\GitHub\eaglep3\Utilities\RefineRTDCRunTimes.py" --tripid 306-21 --locoid 4054 --swversion DE.1.0.7.0 --startMP 300:14400 --initTime 2016-10-21T04:01:10 --startdatetime 2016-10-21T04:02:57 --delay 1 --endMP 204:156 --enddatetime 2016-10-21T04:09:59 --enforcementcount 0 &gt;&gt;C:\Users\stu\Documents\GitHub\eaglep3-reporting\EC\2016-10-21-refined-times.txt</v>
      </c>
      <c r="AI213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{"issue":{"subject":"","project_id":79,"tracker_id":40,"status_id":1,"priority_id":2,"assigned_to_id":23,"start_date":"2016-10-21","description":"","custom_fields":[{"id":1,"name":"Subdivision","value":"Other"},{"id":4,"name":"Milepost","value":"0.0156"},{"id":17,"name":"Train ID","value":"306-21"},{"id":16,"name":"Locomotive ID","value":"4054"},{"id":130,"name":"Impact","value":""},{"id":150,"name":"Time of Event (Mountain Time)","value":"04:09:59"},{"id":151,"name":"Denver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586</v>
      </c>
      <c r="B214" s="7">
        <v>4042</v>
      </c>
      <c r="C214" s="22" t="s">
        <v>99</v>
      </c>
      <c r="D214" s="22" t="s">
        <v>704</v>
      </c>
      <c r="E214" s="13">
        <v>42664.819050925929</v>
      </c>
      <c r="F214" s="13">
        <v>25568.708333333332</v>
      </c>
      <c r="G214" s="7">
        <v>1</v>
      </c>
      <c r="H214" s="13" t="s">
        <v>293</v>
      </c>
      <c r="I214" s="13">
        <v>25568.708333333332</v>
      </c>
      <c r="J214" s="7">
        <v>0</v>
      </c>
      <c r="K214" s="112" t="str">
        <f t="shared" si="130"/>
        <v>4041/4042</v>
      </c>
      <c r="L214" s="22" t="str">
        <f>VLOOKUP(A214,'Trips&amp;Operators'!$C$1:$E$10000,3,FALSE)</f>
        <v>STORY</v>
      </c>
      <c r="M214" s="6">
        <f t="shared" si="131"/>
        <v>0</v>
      </c>
      <c r="N214" s="7">
        <f t="shared" si="132"/>
        <v>0</v>
      </c>
      <c r="O214" s="7"/>
      <c r="P214" s="7"/>
      <c r="Q214" s="23"/>
      <c r="R214" s="23"/>
      <c r="S214" s="35">
        <f t="shared" si="133"/>
        <v>1</v>
      </c>
      <c r="T214" s="50" t="str">
        <f t="shared" si="134"/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18:39:26-0600',mode:absolute,to:'1969-12-31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4" s="52" t="str">
        <f t="shared" si="136"/>
        <v>Y</v>
      </c>
      <c r="X214" s="171">
        <f t="shared" si="137"/>
        <v>1</v>
      </c>
      <c r="Y214" s="67">
        <f t="shared" si="138"/>
        <v>0.12920000000000001</v>
      </c>
      <c r="Z214" s="67">
        <f t="shared" si="139"/>
        <v>2.3304</v>
      </c>
      <c r="AA214" s="67">
        <f t="shared" si="140"/>
        <v>2.2012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141"/>
        <v>0307-21</v>
      </c>
      <c r="AE214" s="91" t="str">
        <f t="shared" si="142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4" s="88" t="str">
        <f t="shared" si="143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4" s="1" t="str">
        <f t="shared" si="144"/>
        <v>Other</v>
      </c>
      <c r="AH214" s="92" t="str">
        <f t="shared" si="145"/>
        <v>"%USERPROFILE%\Documents\GitHub\eaglep3\Utilities\RefineRTDCRunTimes.py" --tripid 307-21 --locoid 4042 --swversion DE.1.0.7.0 --startMP 204:1292 --initTime 2016-10-21T19:39:26 --startdatetime 1969-12-31T17:00:00 --delay 1 --endMP 300:23304 --enddatetime 1969-12-31T17:00:00 --enforcementcount 0 &gt;&gt;C:\Users\stu\Documents\GitHub\eaglep3-reporting\EC\2016-10-21-refined-times.txt</v>
      </c>
      <c r="AI214" s="122" t="str">
        <f t="shared" si="146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ID","value":"307-21"},{"id":16,"name":"Locomotive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614</v>
      </c>
      <c r="B215" s="7">
        <v>4016</v>
      </c>
      <c r="C215" s="22" t="s">
        <v>99</v>
      </c>
      <c r="D215" s="22" t="s">
        <v>237</v>
      </c>
      <c r="E215" s="13">
        <v>42665.045763888891</v>
      </c>
      <c r="F215" s="13">
        <v>25568.708333333332</v>
      </c>
      <c r="G215" s="7">
        <v>1</v>
      </c>
      <c r="H215" s="13" t="s">
        <v>705</v>
      </c>
      <c r="I215" s="13">
        <v>25568.708333333332</v>
      </c>
      <c r="J215" s="7">
        <v>0</v>
      </c>
      <c r="K215" s="112" t="str">
        <f t="shared" si="130"/>
        <v>4015/4016</v>
      </c>
      <c r="L215" s="22" t="str">
        <f>VLOOKUP(A215,'Trips&amp;Operators'!$C$1:$E$10000,3,FALSE)</f>
        <v>YANAI</v>
      </c>
      <c r="M215" s="6">
        <f t="shared" si="131"/>
        <v>0</v>
      </c>
      <c r="N215" s="7">
        <f t="shared" si="132"/>
        <v>0</v>
      </c>
      <c r="O215" s="7"/>
      <c r="P215" s="7"/>
      <c r="Q215" s="23"/>
      <c r="R215" s="23"/>
      <c r="S215" s="35">
        <f t="shared" si="133"/>
        <v>1</v>
      </c>
      <c r="T215" s="50" t="str">
        <f t="shared" si="134"/>
        <v>NorthBound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https://search-rtdc-monitor-bjffxe2xuh6vdkpspy63sjmuny.us-east-1.es.amazonaws.com/_plugin/kibana/#/discover/Steve-Slow-Train-Analysis-(2080s-and-2083s)?_g=(refreshInterval:(display:Off,section:0,value:0),time:(from:'2016-10-22 00:05:54-0600',mode:absolute,to:'1969-12-31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5" s="52" t="str">
        <f t="shared" si="136"/>
        <v>Y</v>
      </c>
      <c r="X215" s="171">
        <f t="shared" si="137"/>
        <v>2</v>
      </c>
      <c r="Y215" s="67">
        <f t="shared" si="138"/>
        <v>4.4600000000000001E-2</v>
      </c>
      <c r="Z215" s="67">
        <f t="shared" si="139"/>
        <v>2.3085</v>
      </c>
      <c r="AA215" s="67">
        <f t="shared" si="140"/>
        <v>2.2639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141"/>
        <v>0309-21</v>
      </c>
      <c r="AE215" s="91" t="str">
        <f t="shared" si="142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5" s="88" t="str">
        <f t="shared" si="143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5" s="1" t="str">
        <f t="shared" si="144"/>
        <v>Other</v>
      </c>
      <c r="AH215" s="92" t="str">
        <f t="shared" si="145"/>
        <v>"%USERPROFILE%\Documents\GitHub\eaglep3\Utilities\RefineRTDCRunTimes.py" --tripid 309-21 --locoid 4016 --swversion DE.1.0.7.0 --startMP 204:446 --initTime 2016-10-22T01:05:54 --startdatetime 1969-12-31T17:00:00 --delay 1 --endMP 300:23085 --enddatetime 1969-12-31T17:00:00 --enforcementcount 0 &gt;&gt;C:\Users\stu\Documents\GitHub\eaglep3-reporting\EC\2016-10-21-refined-times.txt</v>
      </c>
      <c r="AI215" s="122" t="str">
        <f t="shared" si="146"/>
        <v>echo {"issue":{"subject":"","project_id":79,"tracker_id":40,"status_id":1,"priority_id":2,"assigned_to_id":23,"start_date":"1969-12-31","description":"","custom_fields":[{"id":1,"name":"Subdivision","value":"Other"},{"id":4,"name":"Milepost","value":"2.3085"},{"id":17,"name":"Train ID","value":"309-21"},{"id":16,"name":"Locomotive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445</v>
      </c>
      <c r="B216" s="7">
        <v>4037</v>
      </c>
      <c r="C216" s="22" t="s">
        <v>99</v>
      </c>
      <c r="D216" s="22" t="s">
        <v>706</v>
      </c>
      <c r="E216" s="13">
        <v>42664.181168981479</v>
      </c>
      <c r="F216" s="13">
        <v>42664.182974537034</v>
      </c>
      <c r="G216" s="7">
        <v>2</v>
      </c>
      <c r="H216" s="13" t="s">
        <v>273</v>
      </c>
      <c r="I216" s="13">
        <v>42664.19091435185</v>
      </c>
      <c r="J216" s="7">
        <v>0</v>
      </c>
      <c r="K216" s="112" t="str">
        <f t="shared" si="130"/>
        <v>4037/4038</v>
      </c>
      <c r="L216" s="22" t="str">
        <f>VLOOKUP(A216,'Trips&amp;Operators'!$C$1:$E$10000,3,FALSE)</f>
        <v>GEBRETEKLE</v>
      </c>
      <c r="M216" s="6">
        <f t="shared" si="131"/>
        <v>7.9398148154723458E-3</v>
      </c>
      <c r="N216" s="7">
        <f t="shared" si="132"/>
        <v>11.433333334280178</v>
      </c>
      <c r="O216" s="7"/>
      <c r="P216" s="7"/>
      <c r="Q216" s="23"/>
      <c r="R216" s="23"/>
      <c r="S216" s="35">
        <f t="shared" si="133"/>
        <v>1</v>
      </c>
      <c r="T216" s="50" t="str">
        <f t="shared" si="134"/>
        <v>Southbound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03:20:53-0600',mode:absolute,to:'2016-10-21 05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6" s="52" t="str">
        <f t="shared" si="136"/>
        <v>Y</v>
      </c>
      <c r="X216" s="171">
        <f t="shared" si="137"/>
        <v>1</v>
      </c>
      <c r="Y216" s="67">
        <f t="shared" si="138"/>
        <v>2.3673000000000002</v>
      </c>
      <c r="Z216" s="67">
        <f t="shared" si="139"/>
        <v>1.3899999999999999E-2</v>
      </c>
      <c r="AA216" s="67">
        <f t="shared" si="140"/>
        <v>2.3534000000000002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141"/>
        <v>0310-21</v>
      </c>
      <c r="AE216" s="91" t="str">
        <f t="shared" si="14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216" s="88" t="str">
        <f t="shared" si="143"/>
        <v>"C:\Program Files (x86)\AstroGrep\AstroGrep.exe" /spath="%USERPROFILE%\AppData\Local\Temp\OnboardLogs" /stypes="app*4037*20161021*" /stext=" 10:.+((SYSTEM_STATE.+slice.+state.+changed )|(ment ac)|(system.+state.+changed )|(\[timeout)|(PRM\|1\|D)|(kpr)|(kdp)|(\|lc)|(penalty))" /e /r /s</v>
      </c>
      <c r="AG216" s="1" t="str">
        <f t="shared" si="144"/>
        <v>Other</v>
      </c>
      <c r="AH216" s="92" t="str">
        <f t="shared" si="145"/>
        <v>"%USERPROFILE%\Documents\GitHub\eaglep3\Utilities\RefineRTDCRunTimes.py" --tripid 310-21 --locoid 4037 --swversion DE.1.0.7.0 --startMP 300:23673 --initTime 2016-10-21T04:20:53 --startdatetime 2016-10-21T04:23:29 --delay 2 --endMP 204:139 --enddatetime 2016-10-21T04:34:55 --enforcementcount 0 &gt;&gt;C:\Users\stu\Documents\GitHub\eaglep3-reporting\EC\2016-10-21-refined-times.txt</v>
      </c>
      <c r="AI216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{"issue":{"subject":"","project_id":79,"tracker_id":40,"status_id":1,"priority_id":2,"assigned_to_id":23,"start_date":"2016-10-21","description":"","custom_fields":[{"id":1,"name":"Subdivision","value":"Other"},{"id":4,"name":"Milepost","value":"0.0139"},{"id":17,"name":"Train ID","value":"310-21"},{"id":16,"name":"Locomotive ID","value":"4037"},{"id":130,"name":"Impact","value":""},{"id":150,"name":"Time of Event (Mountain Time)","value":"04:34:55"},{"id":151,"name":"Denver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s="21" customFormat="1" x14ac:dyDescent="0.25">
      <c r="A217" s="37" t="s">
        <v>616</v>
      </c>
      <c r="B217" s="7">
        <v>4027</v>
      </c>
      <c r="C217" s="22" t="s">
        <v>99</v>
      </c>
      <c r="D217" s="22" t="s">
        <v>332</v>
      </c>
      <c r="E217" s="13">
        <v>42665.068703703706</v>
      </c>
      <c r="F217" s="13">
        <v>42665.070289351854</v>
      </c>
      <c r="G217" s="7">
        <v>1</v>
      </c>
      <c r="H217" s="13" t="s">
        <v>707</v>
      </c>
      <c r="I217" s="13">
        <v>42665.07508101852</v>
      </c>
      <c r="J217" s="7">
        <v>0</v>
      </c>
      <c r="K217" s="112" t="str">
        <f t="shared" si="130"/>
        <v>4027/4028</v>
      </c>
      <c r="L217" s="22" t="str">
        <f>VLOOKUP(A217,'Trips&amp;Operators'!$C$1:$E$10000,3,FALSE)</f>
        <v>CHANDLER</v>
      </c>
      <c r="M217" s="6">
        <f t="shared" si="131"/>
        <v>4.7916666662786156E-3</v>
      </c>
      <c r="N217" s="7">
        <f t="shared" si="132"/>
        <v>6.8999999994412065</v>
      </c>
      <c r="O217" s="7"/>
      <c r="P217" s="7"/>
      <c r="Q217" s="23"/>
      <c r="R217" s="23"/>
      <c r="S217" s="35">
        <f t="shared" si="133"/>
        <v>1</v>
      </c>
      <c r="T217" s="50" t="str">
        <f t="shared" si="134"/>
        <v>NorthBound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https://search-rtdc-monitor-bjffxe2xuh6vdkpspy63sjmuny.us-east-1.es.amazonaws.com/_plugin/kibana/#/discover/Steve-Slow-Train-Analysis-(2080s-and-2083s)?_g=(refreshInterval:(display:Off,section:0,value:0),time:(from:'2016-10-22 00:38:56-0600',mode:absolute,to:'2016-10-22 02:48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7" s="52" t="str">
        <f t="shared" si="136"/>
        <v>Y</v>
      </c>
      <c r="X217" s="171">
        <f t="shared" si="137"/>
        <v>1</v>
      </c>
      <c r="Y217" s="67">
        <f t="shared" si="138"/>
        <v>4.3999999999999997E-2</v>
      </c>
      <c r="Z217" s="67">
        <f t="shared" si="139"/>
        <v>2.2265000000000001</v>
      </c>
      <c r="AA217" s="67">
        <f t="shared" si="140"/>
        <v>2.1825000000000001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141"/>
        <v>0311-21</v>
      </c>
      <c r="AE217" s="91" t="str">
        <f t="shared" si="142"/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AF217" s="88" t="str">
        <f t="shared" si="143"/>
        <v>"C:\Program Files (x86)\AstroGrep\AstroGrep.exe" /spath="%USERPROFILE%\AppData\Local\Temp\OnboardLogs" /stypes="app*4027*20161022*" /stext=" 07:.+((SYSTEM_STATE.+slice.+state.+changed )|(ment ac)|(system.+state.+changed )|(\[timeout)|(PRM\|1\|D)|(kpr)|(kdp)|(\|lc)|(penalty))" /e /r /s</v>
      </c>
      <c r="AG217" s="1" t="str">
        <f t="shared" si="144"/>
        <v>Other</v>
      </c>
      <c r="AH217" s="92" t="str">
        <f t="shared" si="145"/>
        <v>"%USERPROFILE%\Documents\GitHub\eaglep3\Utilities\RefineRTDCRunTimes.py" --tripid 311-21 --locoid 4027 --swversion DE.1.0.7.0 --startMP 204:440 --initTime 2016-10-22T01:38:56 --startdatetime 2016-10-22T01:41:13 --delay 1 --endMP 300:22265 --enddatetime 2016-10-22T01:48:07 --enforcementcount 0 &gt;&gt;C:\Users\stu\Documents\GitHub\eaglep3-reporting\EC\2016-10-21-refined-times.txt</v>
      </c>
      <c r="AI217" s="122" t="str">
        <f t="shared" si="146"/>
        <v>echo {"issue":{"subject":"","project_id":79,"tracker_id":40,"status_id":1,"priority_id":2,"assigned_to_id":23,"start_date":"2016-10-22","description":"","custom_fields":[{"id":1,"name":"Subdivision","value":"Other"},{"id":4,"name":"Milepost","value":"2.2265"},{"id":17,"name":"Train ID","value":"311-21"},{"id":16,"name":"Locomotive ID","value":"4027"},{"id":130,"name":"Impact","value":""},{"id":150,"name":"Time of Event (Mountain Time)","value":"01:48:07"},{"id":151,"name":"Denver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618</v>
      </c>
      <c r="B218" s="7">
        <v>4009</v>
      </c>
      <c r="C218" s="22" t="s">
        <v>99</v>
      </c>
      <c r="D218" s="22" t="s">
        <v>365</v>
      </c>
      <c r="E218" s="13">
        <v>42665.091261574074</v>
      </c>
      <c r="F218" s="13">
        <v>42665.093819444446</v>
      </c>
      <c r="G218" s="7">
        <v>1</v>
      </c>
      <c r="H218" s="13" t="s">
        <v>293</v>
      </c>
      <c r="I218" s="13">
        <v>42665.100451388891</v>
      </c>
      <c r="J218" s="7">
        <v>0</v>
      </c>
      <c r="K218" s="112" t="str">
        <f t="shared" si="130"/>
        <v>4009/4010</v>
      </c>
      <c r="L218" s="22" t="str">
        <f>VLOOKUP(A218,'Trips&amp;Operators'!$C$1:$E$10000,3,FALSE)</f>
        <v>STURGEON</v>
      </c>
      <c r="M218" s="6">
        <f t="shared" si="131"/>
        <v>6.6319444449618459E-3</v>
      </c>
      <c r="N218" s="7">
        <f t="shared" si="132"/>
        <v>9.5500000007450581</v>
      </c>
      <c r="O218" s="7"/>
      <c r="P218" s="7"/>
      <c r="Q218" s="23"/>
      <c r="R218" s="23"/>
      <c r="S218" s="35">
        <f t="shared" si="133"/>
        <v>1</v>
      </c>
      <c r="T218" s="50" t="str">
        <f t="shared" si="134"/>
        <v>NorthBound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https://search-rtdc-monitor-bjffxe2xuh6vdkpspy63sjmuny.us-east-1.es.amazonaws.com/_plugin/kibana/#/discover/Steve-Slow-Train-Analysis-(2080s-and-2083s)?_g=(refreshInterval:(display:Off,section:0,value:0),time:(from:'2016-10-22 01:11:25-0600',mode:absolute,to:'2016-10-22 03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8" s="52" t="str">
        <f t="shared" si="136"/>
        <v>Y</v>
      </c>
      <c r="X218" s="171">
        <f t="shared" si="137"/>
        <v>2</v>
      </c>
      <c r="Y218" s="67">
        <f t="shared" si="138"/>
        <v>4.82E-2</v>
      </c>
      <c r="Z218" s="67">
        <f t="shared" si="139"/>
        <v>2.3304</v>
      </c>
      <c r="AA218" s="67">
        <f t="shared" si="140"/>
        <v>2.2822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141"/>
        <v>0313-21</v>
      </c>
      <c r="AE218" s="91" t="str">
        <f t="shared" si="142"/>
        <v>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 &amp; 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</v>
      </c>
      <c r="AF218" s="88" t="str">
        <f t="shared" si="143"/>
        <v>"C:\Program Files (x86)\AstroGrep\AstroGrep.exe" /spath="%USERPROFILE%\AppData\Local\Temp\OnboardLogs" /stypes="app*4009*20161022*" /stext=" 08:.+((SYSTEM_STATE.+slice.+state.+changed )|(ment ac)|(system.+state.+changed )|(\[timeout)|(PRM\|1\|D)|(kpr)|(kdp)|(\|lc)|(penalty))" /e /r /s</v>
      </c>
      <c r="AG218" s="1" t="str">
        <f t="shared" si="144"/>
        <v>Other</v>
      </c>
      <c r="AH218" s="92" t="str">
        <f t="shared" si="145"/>
        <v>"%USERPROFILE%\Documents\GitHub\eaglep3\Utilities\RefineRTDCRunTimes.py" --tripid 313-21 --locoid 4009 --swversion DE.1.0.7.0 --startMP 204:482 --initTime 2016-10-22T02:11:25 --startdatetime 2016-10-22T02:15:06 --delay 1 --endMP 300:23304 --enddatetime 2016-10-22T02:24:39 --enforcementcount 0 &gt;&gt;C:\Users\stu\Documents\GitHub\eaglep3-reporting\EC\2016-10-21-refined-times.txt</v>
      </c>
      <c r="AI218" s="122" t="str">
        <f t="shared" si="146"/>
        <v>echo {"issue":{"subject":"","project_id":79,"tracker_id":40,"status_id":1,"priority_id":2,"assigned_to_id":23,"start_date":"2016-10-22","description":"","custom_fields":[{"id":1,"name":"Subdivision","value":"Other"},{"id":4,"name":"Milepost","value":"2.3304"},{"id":17,"name":"Train ID","value":"313-21"},{"id":16,"name":"Locomotive ID","value":"4009"},{"id":130,"name":"Impact","value":""},{"id":150,"name":"Time of Event (Mountain Time)","value":"02:24:39"},{"id":151,"name":"Denver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 s="37" t="s">
        <v>394</v>
      </c>
      <c r="B219" s="7">
        <v>4046</v>
      </c>
      <c r="C219" s="22" t="s">
        <v>99</v>
      </c>
      <c r="D219" s="22" t="s">
        <v>765</v>
      </c>
      <c r="E219" s="13">
        <v>42664.203564814816</v>
      </c>
      <c r="F219" s="13">
        <v>42664.205810185187</v>
      </c>
      <c r="G219" s="7">
        <v>2</v>
      </c>
      <c r="H219" s="13" t="s">
        <v>766</v>
      </c>
      <c r="I219" s="13">
        <v>42664.210960648146</v>
      </c>
      <c r="J219" s="7">
        <v>0</v>
      </c>
      <c r="K219" s="112" t="str">
        <f t="shared" si="130"/>
        <v>4045/4046</v>
      </c>
      <c r="L219" s="22" t="str">
        <f>VLOOKUP(A219,'Trips&amp;Operators'!$C$1:$E$10000,3,FALSE)</f>
        <v>STRICKLAND</v>
      </c>
      <c r="M219" s="6">
        <f t="shared" si="131"/>
        <v>5.1504629591363482E-3</v>
      </c>
      <c r="N219" s="7">
        <f t="shared" si="132"/>
        <v>7.4166666611563414</v>
      </c>
      <c r="O219" s="7"/>
      <c r="P219" s="7"/>
      <c r="Q219" s="23"/>
      <c r="R219" s="23"/>
      <c r="S219" s="35">
        <f t="shared" si="133"/>
        <v>0</v>
      </c>
      <c r="T219" s="50" t="str">
        <f t="shared" si="134"/>
        <v>NorthBound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03:53:08-0600',mode:absolute,to:'2016-10-21 06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9" s="52" t="str">
        <f t="shared" si="136"/>
        <v>Y</v>
      </c>
      <c r="X219" s="171">
        <f t="shared" si="137"/>
        <v>588</v>
      </c>
      <c r="Y219" s="67">
        <f t="shared" si="138"/>
        <v>3.0527000000000002</v>
      </c>
      <c r="Z219" s="67">
        <f t="shared" si="139"/>
        <v>5.8958000000000004</v>
      </c>
      <c r="AA219" s="67">
        <f t="shared" si="140"/>
        <v>2.8431000000000002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141"/>
        <v>0901-21</v>
      </c>
      <c r="AE219" s="91" t="str">
        <f t="shared" si="142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219" s="88" t="str">
        <f t="shared" si="143"/>
        <v>"C:\Program Files (x86)\AstroGrep\AstroGrep.exe" /spath="%USERPROFILE%\AppData\Local\Temp\OnboardLogs" /stypes="app*4046*20161021*" /stext=" 11:.+((SYSTEM_STATE.+slice.+state.+changed )|(ment ac)|(system.+state.+changed )|(\[timeout)|(PRM\|1\|D)|(kpr)|(kdp)|(\|lc)|(penalty))" /e /r /s</v>
      </c>
      <c r="AG219" s="1" t="str">
        <f t="shared" si="144"/>
        <v>Other</v>
      </c>
      <c r="AH219" s="92" t="str">
        <f t="shared" si="145"/>
        <v>"%USERPROFILE%\Documents\GitHub\eaglep3\Utilities\RefineRTDCRunTimes.py" --tripid 901-21 --locoid 4046 --swversion DE.1.0.7.0 --startMP 300:30527 --initTime 2016-10-21T04:53:08 --startdatetime 2016-10-21T04:56:22 --delay 2 --endMP 300:58958 --enddatetime 2016-10-21T05:03:47 --enforcementcount 0 &gt;&gt;C:\Users\stu\Documents\GitHub\eaglep3-reporting\EC\2016-10-21-refined-times.txt</v>
      </c>
      <c r="AI219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{"issue":{"subject":"","project_id":79,"tracker_id":40,"status_id":1,"priority_id":2,"assigned_to_id":23,"start_date":"2016-10-21","description":"","custom_fields":[{"id":1,"name":"Subdivision","value":"Other"},{"id":4,"name":"Milepost","value":"5.8958"},{"id":17,"name":"Train ID","value":"901-21"},{"id":16,"name":"Locomotive ID","value":"4046"},{"id":130,"name":"Impact","value":""},{"id":150,"name":"Time of Event (Mountain Time)","value":"05:03:47"},{"id":151,"name":"Denver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460</v>
      </c>
      <c r="B220" s="7">
        <v>4026</v>
      </c>
      <c r="C220" s="22" t="s">
        <v>99</v>
      </c>
      <c r="D220" s="22" t="s">
        <v>767</v>
      </c>
      <c r="E220" s="13">
        <v>42664.250138888892</v>
      </c>
      <c r="F220" s="13">
        <v>42664.251493055555</v>
      </c>
      <c r="G220" s="7">
        <v>1</v>
      </c>
      <c r="H220" s="13" t="s">
        <v>620</v>
      </c>
      <c r="I220" s="13">
        <v>42664.256747685184</v>
      </c>
      <c r="J220" s="7">
        <v>0</v>
      </c>
      <c r="K220" s="112" t="str">
        <f t="shared" si="130"/>
        <v>4025/4026</v>
      </c>
      <c r="L220" s="22" t="str">
        <f>VLOOKUP(A220,'Trips&amp;Operators'!$C$1:$E$10000,3,FALSE)</f>
        <v>YORK</v>
      </c>
      <c r="M220" s="6">
        <f t="shared" si="131"/>
        <v>5.2546296283253469E-3</v>
      </c>
      <c r="N220" s="7">
        <f t="shared" si="132"/>
        <v>7.5666666647884995</v>
      </c>
      <c r="O220" s="7"/>
      <c r="P220" s="7"/>
      <c r="Q220" s="23"/>
      <c r="R220" s="23"/>
      <c r="S220" s="35">
        <f t="shared" si="133"/>
        <v>1</v>
      </c>
      <c r="T220" s="50" t="str">
        <f t="shared" si="134"/>
        <v>Southbound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05:00:12-0600',mode:absolute,to:'2016-10-21 07:09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0" s="52" t="str">
        <f t="shared" si="136"/>
        <v>Y</v>
      </c>
      <c r="X220" s="171">
        <f t="shared" si="137"/>
        <v>1</v>
      </c>
      <c r="Y220" s="67">
        <f t="shared" si="138"/>
        <v>2.2713000000000001</v>
      </c>
      <c r="Z220" s="67">
        <f t="shared" si="139"/>
        <v>7.4300000000000005E-2</v>
      </c>
      <c r="AA220" s="67">
        <f t="shared" si="140"/>
        <v>2.1970000000000001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141"/>
        <v>0902-21</v>
      </c>
      <c r="AE220" s="91" t="str">
        <f t="shared" si="142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20" s="88" t="str">
        <f t="shared" si="143"/>
        <v>"C:\Program Files (x86)\AstroGrep\AstroGrep.exe" /spath="%USERPROFILE%\AppData\Local\Temp\OnboardLogs" /stypes="app*4026*20161021*" /stext=" 12:.+((SYSTEM_STATE.+slice.+state.+changed )|(ment ac)|(system.+state.+changed )|(\[timeout)|(PRM\|1\|D)|(kpr)|(kdp)|(\|lc)|(penalty))" /e /r /s</v>
      </c>
      <c r="AG220" s="1" t="str">
        <f t="shared" si="144"/>
        <v>Other</v>
      </c>
      <c r="AH220" s="92" t="str">
        <f t="shared" si="145"/>
        <v>"%USERPROFILE%\Documents\GitHub\eaglep3\Utilities\RefineRTDCRunTimes.py" --tripid 902-21 --locoid 4026 --swversion DE.1.0.7.0 --startMP 300:22713 --initTime 2016-10-21T06:00:12 --startdatetime 2016-10-21T06:02:09 --delay 1 --endMP 204:743 --enddatetime 2016-10-21T06:09:43 --enforcementcount 0 &gt;&gt;C:\Users\stu\Documents\GitHub\eaglep3-reporting\EC\2016-10-21-refined-times.txt</v>
      </c>
      <c r="AI220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{"issue":{"subject":"","project_id":79,"tracker_id":40,"status_id":1,"priority_id":2,"assigned_to_id":23,"start_date":"2016-10-21","description":"","custom_fields":[{"id":1,"name":"Subdivision","value":"Other"},{"id":4,"name":"Milepost","value":"0.0743"},{"id":17,"name":"Train ID","value":"902-21"},{"id":16,"name":"Locomotive ID","value":"4026"},{"id":130,"name":"Impact","value":""},{"id":150,"name":"Time of Event (Mountain Time)","value":"06:09:43"},{"id":151,"name":"Denver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7" t="s">
        <v>486</v>
      </c>
      <c r="B221" s="7">
        <v>4046</v>
      </c>
      <c r="C221" s="22" t="s">
        <v>99</v>
      </c>
      <c r="D221" s="22" t="s">
        <v>736</v>
      </c>
      <c r="E221" s="13">
        <v>42664.353333333333</v>
      </c>
      <c r="F221" s="13">
        <v>25568.708333333332</v>
      </c>
      <c r="G221" s="7">
        <v>1</v>
      </c>
      <c r="H221" s="13" t="s">
        <v>768</v>
      </c>
      <c r="I221" s="13">
        <v>25568.708333333332</v>
      </c>
      <c r="J221" s="7">
        <v>0</v>
      </c>
      <c r="K221" s="112" t="str">
        <f t="shared" si="130"/>
        <v>4045/4046</v>
      </c>
      <c r="L221" s="22" t="str">
        <f>VLOOKUP(A221,'Trips&amp;Operators'!$C$1:$E$10000,3,FALSE)</f>
        <v>STRICKLAND</v>
      </c>
      <c r="M221" s="6">
        <f t="shared" si="131"/>
        <v>0</v>
      </c>
      <c r="N221" s="7">
        <f t="shared" si="132"/>
        <v>0</v>
      </c>
      <c r="O221" s="7"/>
      <c r="P221" s="7"/>
      <c r="Q221" s="23"/>
      <c r="R221" s="23"/>
      <c r="S221" s="35">
        <f t="shared" si="133"/>
        <v>1</v>
      </c>
      <c r="T221" s="50" t="str">
        <f t="shared" si="134"/>
        <v>NorthBound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07:28:48-0600',mode:absolute,to:'1969-12-31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1" s="52" t="str">
        <f t="shared" si="136"/>
        <v>Y</v>
      </c>
      <c r="X221" s="171">
        <f t="shared" si="137"/>
        <v>1</v>
      </c>
      <c r="Y221" s="67">
        <f t="shared" si="138"/>
        <v>0.10249999999999999</v>
      </c>
      <c r="Z221" s="67">
        <f t="shared" si="139"/>
        <v>2.4253999999999998</v>
      </c>
      <c r="AA221" s="67">
        <f t="shared" si="140"/>
        <v>2.3228999999999997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141"/>
        <v>0903-21</v>
      </c>
      <c r="AE221" s="91" t="str">
        <f t="shared" si="142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1" s="88" t="str">
        <f t="shared" si="143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1" s="1" t="str">
        <f t="shared" si="144"/>
        <v>Other</v>
      </c>
      <c r="AH221" s="92" t="str">
        <f t="shared" si="145"/>
        <v>"%USERPROFILE%\Documents\GitHub\eaglep3\Utilities\RefineRTDCRunTimes.py" --tripid 903-21 --locoid 4046 --swversion DE.1.0.7.0 --startMP 204:1025 --initTime 2016-10-21T08:28:48 --startdatetime 1969-12-31T17:00:00 --delay 1 --endMP 300:24254 --enddatetime 1969-12-31T17:00:00 --enforcementcount 0 &gt;&gt;C:\Users\stu\Documents\GitHub\eaglep3-reporting\EC\2016-10-21-refined-times.txt</v>
      </c>
      <c r="AI221" s="122" t="str">
        <f t="shared" si="146"/>
        <v>echo {"issue":{"subject":"","project_id":79,"tracker_id":40,"status_id":1,"priority_id":2,"assigned_to_id":23,"start_date":"1969-12-31","description":"","custom_fields":[{"id":1,"name":"Subdivision","value":"Other"},{"id":4,"name":"Milepost","value":"2.4254"},{"id":17,"name":"Train ID","value":"903-21"},{"id":16,"name":"Locomotive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s="21" customFormat="1" x14ac:dyDescent="0.25">
      <c r="A222" s="37" t="s">
        <v>543</v>
      </c>
      <c r="B222" s="7">
        <v>4045</v>
      </c>
      <c r="C222" s="22" t="s">
        <v>99</v>
      </c>
      <c r="D222" s="22" t="s">
        <v>769</v>
      </c>
      <c r="E222" s="13">
        <v>42664.640185185184</v>
      </c>
      <c r="F222" s="13">
        <v>42664.642326388886</v>
      </c>
      <c r="G222" s="7">
        <v>3</v>
      </c>
      <c r="H222" s="13" t="s">
        <v>770</v>
      </c>
      <c r="I222" s="13">
        <v>42664.647604166668</v>
      </c>
      <c r="J222" s="7">
        <v>0</v>
      </c>
      <c r="K222" s="112" t="str">
        <f t="shared" si="130"/>
        <v>4045/4046</v>
      </c>
      <c r="L222" s="22" t="str">
        <f>VLOOKUP(A222,'Trips&amp;Operators'!$C$1:$E$10000,3,FALSE)</f>
        <v>NEWELL</v>
      </c>
      <c r="M222" s="6">
        <f t="shared" si="131"/>
        <v>5.2777777818846516E-3</v>
      </c>
      <c r="N222" s="7">
        <f t="shared" si="132"/>
        <v>7.6000000059138983</v>
      </c>
      <c r="O222" s="7"/>
      <c r="P222" s="7"/>
      <c r="Q222" s="23"/>
      <c r="R222" s="23"/>
      <c r="S222" s="35">
        <f t="shared" si="133"/>
        <v>1</v>
      </c>
      <c r="T222" s="50" t="str">
        <f t="shared" si="134"/>
        <v>Southbound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14:21:52-0600',mode:absolute,to:'2016-10-21 16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2" s="52" t="str">
        <f t="shared" si="136"/>
        <v>Y</v>
      </c>
      <c r="X222" s="171">
        <f t="shared" si="137"/>
        <v>1</v>
      </c>
      <c r="Y222" s="67">
        <f t="shared" si="138"/>
        <v>2.3368000000000002</v>
      </c>
      <c r="Z222" s="67">
        <f t="shared" si="139"/>
        <v>6.7500000000000004E-2</v>
      </c>
      <c r="AA222" s="67">
        <f t="shared" si="140"/>
        <v>2.2693000000000003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141"/>
        <v>0904-21</v>
      </c>
      <c r="AE222" s="91" t="str">
        <f t="shared" si="142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222" s="88" t="str">
        <f t="shared" si="143"/>
        <v>"C:\Program Files (x86)\AstroGrep\AstroGrep.exe" /spath="%USERPROFILE%\AppData\Local\Temp\OnboardLogs" /stypes="app*4045*20161021*" /stext=" 21:.+((SYSTEM_STATE.+slice.+state.+changed )|(ment ac)|(system.+state.+changed )|(\[timeout)|(PRM\|1\|D)|(kpr)|(kdp)|(\|lc)|(penalty))" /e /r /s</v>
      </c>
      <c r="AG222" s="1" t="str">
        <f t="shared" si="144"/>
        <v>Other</v>
      </c>
      <c r="AH222" s="92" t="str">
        <f t="shared" si="145"/>
        <v>"%USERPROFILE%\Documents\GitHub\eaglep3\Utilities\RefineRTDCRunTimes.py" --tripid 904-21 --locoid 4045 --swversion DE.1.0.7.0 --startMP 300:23368 --initTime 2016-10-21T15:21:52 --startdatetime 2016-10-21T15:24:57 --delay 3 --endMP 204:675 --enddatetime 2016-10-21T15:32:33 --enforcementcount 0 &gt;&gt;C:\Users\stu\Documents\GitHub\eaglep3-reporting\EC\2016-10-21-refined-times.txt</v>
      </c>
      <c r="AI222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{"issue":{"subject":"","project_id":79,"tracker_id":40,"status_id":1,"priority_id":2,"assigned_to_id":23,"start_date":"2016-10-21","description":"","custom_fields":[{"id":1,"name":"Subdivision","value":"Other"},{"id":4,"name":"Milepost","value":"0.0675"},{"id":17,"name":"Train ID","value":"904-21"},{"id":16,"name":"Locomotive ID","value":"4045"},{"id":130,"name":"Impact","value":""},{"id":150,"name":"Time of Event (Mountain Time)","value":"15:32:33"},{"id":151,"name":"Denver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579</v>
      </c>
      <c r="B223" s="7">
        <v>4045</v>
      </c>
      <c r="C223" s="22" t="s">
        <v>99</v>
      </c>
      <c r="D223" s="22" t="s">
        <v>277</v>
      </c>
      <c r="E223" s="13">
        <v>42664.7966087963</v>
      </c>
      <c r="F223" s="13">
        <v>25568.708333333332</v>
      </c>
      <c r="G223" s="7">
        <v>1</v>
      </c>
      <c r="H223" s="13" t="s">
        <v>771</v>
      </c>
      <c r="I223" s="13">
        <v>25568.708333333332</v>
      </c>
      <c r="J223" s="7">
        <v>0</v>
      </c>
      <c r="K223" s="112" t="str">
        <f t="shared" si="130"/>
        <v>4045/4046</v>
      </c>
      <c r="L223" s="22" t="str">
        <f>VLOOKUP(A223,'Trips&amp;Operators'!$C$1:$E$10000,3,FALSE)</f>
        <v>NEWELL</v>
      </c>
      <c r="M223" s="6">
        <f t="shared" si="131"/>
        <v>0</v>
      </c>
      <c r="N223" s="7">
        <f t="shared" si="132"/>
        <v>0</v>
      </c>
      <c r="O223" s="7"/>
      <c r="P223" s="7"/>
      <c r="Q223" s="23"/>
      <c r="R223" s="23"/>
      <c r="S223" s="35">
        <f t="shared" si="133"/>
        <v>0</v>
      </c>
      <c r="T223" s="50" t="str">
        <f t="shared" si="134"/>
        <v>Southbound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18:07:07-0600',mode:absolute,to:'1969-12-31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3" s="52" t="str">
        <f t="shared" si="136"/>
        <v>Y</v>
      </c>
      <c r="X223" s="171">
        <f t="shared" si="137"/>
        <v>2</v>
      </c>
      <c r="Y223" s="67">
        <f t="shared" si="138"/>
        <v>5.8615000000000004</v>
      </c>
      <c r="Z223" s="67">
        <f t="shared" si="139"/>
        <v>2.8797000000000001</v>
      </c>
      <c r="AA223" s="67">
        <f t="shared" si="140"/>
        <v>2.9818000000000002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141"/>
        <v>0906-21</v>
      </c>
      <c r="AE223" s="91" t="str">
        <f t="shared" si="142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23" s="88" t="str">
        <f t="shared" si="143"/>
        <v>"C:\Program Files (x86)\AstroGrep\AstroGrep.exe" /spath="%USERPROFILE%\AppData\Local\Temp\OnboardLogs" /stypes="app*4045*19691231*" /stext=" 23:.+((SYSTEM_STATE.+slice.+state.+changed )|(ment ac)|(system.+state.+changed )|(\[timeout)|(PRM\|1\|D)|(kpr)|(kdp)|(\|lc)|(penalty))" /e /r /s</v>
      </c>
      <c r="AG223" s="1" t="str">
        <f t="shared" si="144"/>
        <v>Other</v>
      </c>
      <c r="AH223" s="92" t="str">
        <f t="shared" si="145"/>
        <v>"%USERPROFILE%\Documents\GitHub\eaglep3\Utilities\RefineRTDCRunTimes.py" --tripid 906-21 --locoid 4045 --swversion DE.1.0.7.0 --startMP 300:58615 --initTime 2016-10-21T19:07:07 --startdatetime 1969-12-31T17:00:00 --delay 1 --endMP 300:28797 --enddatetime 1969-12-31T17:00:00 --enforcementcount 0 &gt;&gt;C:\Users\stu\Documents\GitHub\eaglep3-reporting\EC\2016-10-21-refined-times.txt</v>
      </c>
      <c r="AI223" s="122" t="str">
        <f t="shared" si="146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ID","value":"906-21"},{"id":16,"name":"Locomotive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 s="37" t="s">
        <v>605</v>
      </c>
      <c r="B224" s="7">
        <v>4026</v>
      </c>
      <c r="C224" s="22" t="s">
        <v>99</v>
      </c>
      <c r="D224" s="22" t="s">
        <v>294</v>
      </c>
      <c r="E224" s="13">
        <v>42664.941250000003</v>
      </c>
      <c r="F224" s="13">
        <v>42664.942673611113</v>
      </c>
      <c r="G224" s="7">
        <v>1</v>
      </c>
      <c r="H224" s="13" t="s">
        <v>772</v>
      </c>
      <c r="I224" s="13">
        <v>42664.947129629632</v>
      </c>
      <c r="J224" s="7">
        <v>0</v>
      </c>
      <c r="K224" s="112" t="str">
        <f t="shared" si="130"/>
        <v>4025/4026</v>
      </c>
      <c r="L224" s="22" t="str">
        <f>VLOOKUP(A224,'Trips&amp;Operators'!$C$1:$E$10000,3,FALSE)</f>
        <v>NEWELL</v>
      </c>
      <c r="M224" s="6">
        <f t="shared" si="131"/>
        <v>4.4560185197042301E-3</v>
      </c>
      <c r="N224" s="7">
        <f t="shared" si="132"/>
        <v>6.4166666683740914</v>
      </c>
      <c r="O224" s="7"/>
      <c r="P224" s="7"/>
      <c r="Q224" s="23"/>
      <c r="R224" s="23"/>
      <c r="S224" s="35">
        <f t="shared" si="133"/>
        <v>0</v>
      </c>
      <c r="T224" s="50" t="str">
        <f t="shared" si="134"/>
        <v>Southbound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21:35:24-0600',mode:absolute,to:'2016-10-21 23:43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4" s="52" t="str">
        <f t="shared" si="136"/>
        <v>Y</v>
      </c>
      <c r="X224" s="171">
        <f t="shared" si="137"/>
        <v>2</v>
      </c>
      <c r="Y224" s="67">
        <f t="shared" si="138"/>
        <v>5.8613</v>
      </c>
      <c r="Z224" s="67">
        <f t="shared" si="139"/>
        <v>2.1663999999999999</v>
      </c>
      <c r="AA224" s="67">
        <f t="shared" si="140"/>
        <v>3.6949000000000001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141"/>
        <v>0908-21</v>
      </c>
      <c r="AE224" s="91" t="str">
        <f t="shared" si="142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24" s="88" t="str">
        <f t="shared" si="143"/>
        <v>"C:\Program Files (x86)\AstroGrep\AstroGrep.exe" /spath="%USERPROFILE%\AppData\Local\Temp\OnboardLogs" /stypes="app*4026*20161022*" /stext=" 04:.+((SYSTEM_STATE.+slice.+state.+changed )|(ment ac)|(system.+state.+changed )|(\[timeout)|(PRM\|1\|D)|(kpr)|(kdp)|(\|lc)|(penalty))" /e /r /s</v>
      </c>
      <c r="AG224" s="1" t="str">
        <f t="shared" si="144"/>
        <v>Other</v>
      </c>
      <c r="AH224" s="92" t="str">
        <f t="shared" si="145"/>
        <v>"%USERPROFILE%\Documents\GitHub\eaglep3\Utilities\RefineRTDCRunTimes.py" --tripid 908-21 --locoid 4026 --swversion DE.1.0.7.0 --startMP 300:58613 --initTime 2016-10-21T22:35:24 --startdatetime 2016-10-21T22:37:27 --delay 1 --endMP 300:21664 --enddatetime 2016-10-21T22:43:52 --enforcementcount 0 &gt;&gt;C:\Users\stu\Documents\GitHub\eaglep3-reporting\EC\2016-10-21-refined-times.txt</v>
      </c>
      <c r="AI224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{"issue":{"subject":"","project_id":79,"tracker_id":40,"status_id":1,"priority_id":2,"assigned_to_id":23,"start_date":"2016-10-21","description":"","custom_fields":[{"id":1,"name":"Subdivision","value":"Other"},{"id":4,"name":"Milepost","value":"2.1664"},{"id":17,"name":"Train ID","value":"908-21"},{"id":16,"name":"Locomotive ID","value":"4026"},{"id":130,"name":"Impact","value":""},{"id":150,"name":"Time of Event (Mountain Time)","value":"22:43:52"},{"id":151,"name":"Denver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 s="37" t="s">
        <v>510</v>
      </c>
      <c r="B225" s="7">
        <v>4043</v>
      </c>
      <c r="C225" s="22" t="s">
        <v>99</v>
      </c>
      <c r="D225" s="22" t="s">
        <v>708</v>
      </c>
      <c r="E225" s="13">
        <v>42664.461342592593</v>
      </c>
      <c r="F225" s="13">
        <v>42664.46292824074</v>
      </c>
      <c r="G225" s="7">
        <v>1</v>
      </c>
      <c r="H225" s="13" t="s">
        <v>709</v>
      </c>
      <c r="I225" s="13">
        <v>42664.468877314815</v>
      </c>
      <c r="J225" s="7">
        <v>0</v>
      </c>
      <c r="K225" s="112" t="str">
        <f t="shared" si="130"/>
        <v>4043/4044</v>
      </c>
      <c r="L225" s="22" t="str">
        <f>VLOOKUP(A225,'Trips&amp;Operators'!$C$1:$E$10000,3,FALSE)</f>
        <v>MOSES</v>
      </c>
      <c r="M225" s="6">
        <f t="shared" si="131"/>
        <v>5.9490740750334226E-3</v>
      </c>
      <c r="N225" s="7">
        <f t="shared" si="132"/>
        <v>8.5666666680481285</v>
      </c>
      <c r="O225" s="7"/>
      <c r="P225" s="7"/>
      <c r="Q225" s="23"/>
      <c r="R225" s="23"/>
      <c r="S225" s="35">
        <f t="shared" si="133"/>
        <v>0</v>
      </c>
      <c r="T225" s="50" t="e">
        <f t="shared" si="134"/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10:04:20-0600',mode:absolute,to:'2016-10-21 12:15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5" s="52" t="str">
        <f t="shared" si="136"/>
        <v>Y</v>
      </c>
      <c r="X225" s="171" t="e">
        <f t="shared" si="137"/>
        <v>#VALUE!</v>
      </c>
      <c r="Y225" s="67">
        <f t="shared" si="138"/>
        <v>2.2195</v>
      </c>
      <c r="Z225" s="67">
        <f t="shared" si="139"/>
        <v>8.9999999999999993E-3</v>
      </c>
      <c r="AA225" s="67">
        <f t="shared" si="140"/>
        <v>2.2105000000000001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141"/>
        <v>50-21</v>
      </c>
      <c r="AE225" s="91" t="str">
        <f t="shared" si="142"/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AF225" s="88" t="str">
        <f t="shared" si="143"/>
        <v>"C:\Program Files (x86)\AstroGrep\AstroGrep.exe" /spath="%USERPROFILE%\AppData\Local\Temp\OnboardLogs" /stypes="app*4043*20161021*" /stext=" 17:.+((SYSTEM_STATE.+slice.+state.+changed )|(ment ac)|(system.+state.+changed )|(\[timeout)|(PRM\|1\|D)|(kpr)|(kdp)|(\|lc)|(penalty))" /e /r /s</v>
      </c>
      <c r="AG225" s="1" t="str">
        <f t="shared" si="144"/>
        <v>Other</v>
      </c>
      <c r="AH225" s="92" t="str">
        <f t="shared" si="145"/>
        <v>"%USERPROFILE%\Documents\GitHub\eaglep3\Utilities\RefineRTDCRunTimes.py" --tripid 50-21 --locoid 4043 --swversion DE.1.0.7.0 --startMP 300:22195 --initTime 2016-10-21T11:04:20 --startdatetime 2016-10-21T11:06:37 --delay 1 --endMP 204:90 --enddatetime 2016-10-21T11:15:11 --enforcementcount 0 &gt;&gt;C:\Users\stu\Documents\GitHub\eaglep3-reporting\EC\2016-10-21-refined-times.txt</v>
      </c>
      <c r="AI225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{"issue":{"subject":"","project_id":79,"tracker_id":40,"status_id":1,"priority_id":2,"assigned_to_id":23,"start_date":"2016-10-21","description":"","custom_fields":[{"id":1,"name":"Subdivision","value":"Other"},{"id":4,"name":"Milepost","value":"0.009"},{"id":17,"name":"Train ID","value":"50-21"},{"id":16,"name":"Locomotive ID","value":"4043"},{"id":130,"name":"Impact","value":""},{"id":150,"name":"Time of Event (Mountain Time)","value":"11:15:11"},{"id":151,"name":"Denver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 s="37" t="s">
        <v>542</v>
      </c>
      <c r="B226" s="7">
        <v>4041</v>
      </c>
      <c r="C226" s="22" t="s">
        <v>99</v>
      </c>
      <c r="D226" s="22" t="s">
        <v>329</v>
      </c>
      <c r="E226" s="13">
        <v>42664.635671296295</v>
      </c>
      <c r="F226" s="13">
        <v>42664.63957175926</v>
      </c>
      <c r="G226" s="7">
        <v>1</v>
      </c>
      <c r="H226" s="13" t="s">
        <v>226</v>
      </c>
      <c r="I226" s="13">
        <v>42664.664953703701</v>
      </c>
      <c r="J226" s="7">
        <v>0</v>
      </c>
      <c r="K226" s="112" t="str">
        <f t="shared" si="130"/>
        <v>4041/4042</v>
      </c>
      <c r="L226" s="22" t="str">
        <f>VLOOKUP(A226,'Trips&amp;Operators'!$C$1:$E$10000,3,FALSE)</f>
        <v>STEWART</v>
      </c>
      <c r="M226" s="6">
        <f t="shared" si="131"/>
        <v>2.5381944440596271E-2</v>
      </c>
      <c r="N226" s="7">
        <f t="shared" si="132"/>
        <v>36.549999994458631</v>
      </c>
      <c r="O226" s="7"/>
      <c r="P226" s="7"/>
      <c r="Q226" s="23"/>
      <c r="R226" s="23"/>
      <c r="S226" s="35">
        <f t="shared" si="133"/>
        <v>0</v>
      </c>
      <c r="T226" s="50" t="e">
        <f t="shared" si="134"/>
        <v>#VALUE!</v>
      </c>
      <c r="U226" s="17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14:15:22-0600',mode:absolute,to:'2016-10-21 16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6" s="52" t="str">
        <f t="shared" si="136"/>
        <v>N</v>
      </c>
      <c r="X226" s="171" t="e">
        <f t="shared" si="137"/>
        <v>#VALUE!</v>
      </c>
      <c r="Y226" s="67">
        <f t="shared" si="138"/>
        <v>23.299600000000002</v>
      </c>
      <c r="Z226" s="67">
        <f t="shared" si="139"/>
        <v>1.43E-2</v>
      </c>
      <c r="AA226" s="67">
        <f t="shared" si="140"/>
        <v>23.285300000000003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141"/>
        <v>52-21</v>
      </c>
      <c r="AE226" s="91" t="str">
        <f t="shared" si="14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226" s="88" t="str">
        <f t="shared" si="143"/>
        <v>"C:\Program Files (x86)\AstroGrep\AstroGrep.exe" /spath="%USERPROFILE%\AppData\Local\Temp\OnboardLogs" /stypes="app*4041*20161021*" /stext=" 21:.+((SYSTEM_STATE.+slice.+state.+changed )|(ment ac)|(system.+state.+changed )|(\[timeout)|(PRM\|1\|D)|(kpr)|(kdp)|(\|lc)|(penalty))" /e /r /s</v>
      </c>
      <c r="AG226" s="1" t="str">
        <f t="shared" si="144"/>
        <v>Other</v>
      </c>
      <c r="AH226" s="92" t="str">
        <f t="shared" si="145"/>
        <v>"%USERPROFILE%\Documents\GitHub\eaglep3\Utilities\RefineRTDCRunTimes.py" --tripid 52-21 --locoid 4041 --swversion DE.1.0.7.0 --startMP 204:232996 --initTime 2016-10-21T15:15:22 --startdatetime 2016-10-21T15:20:59 --delay 1 --endMP 204:143 --enddatetime 2016-10-21T15:57:32 --enforcementcount 0 &gt;&gt;C:\Users\stu\Documents\GitHub\eaglep3-reporting\EC\2016-10-21-refined-times.txt</v>
      </c>
      <c r="AI226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{"issue":{"subject":"","project_id":79,"tracker_id":40,"status_id":1,"priority_id":2,"assigned_to_id":23,"start_date":"2016-10-21","description":"","custom_fields":[{"id":1,"name":"Subdivision","value":"Other"},{"id":4,"name":"Milepost","value":"0.0143"},{"id":17,"name":"Train ID","value":"52-21"},{"id":16,"name":"Locomotive ID","value":"4041"},{"id":130,"name":"Impact","value":""},{"id":150,"name":"Time of Event (Mountain Time)","value":"15:57:32"},{"id":151,"name":"Denver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 s="37" t="s">
        <v>430</v>
      </c>
      <c r="B227" s="7">
        <v>4043</v>
      </c>
      <c r="C227" s="22" t="s">
        <v>99</v>
      </c>
      <c r="D227" s="22" t="s">
        <v>710</v>
      </c>
      <c r="E227" s="13">
        <v>42664.739594907405</v>
      </c>
      <c r="F227" s="13">
        <v>42664.747511574074</v>
      </c>
      <c r="G227" s="7">
        <v>11</v>
      </c>
      <c r="H227" s="13" t="s">
        <v>711</v>
      </c>
      <c r="I227" s="13">
        <v>42664.755520833336</v>
      </c>
      <c r="J227" s="7">
        <v>0</v>
      </c>
      <c r="K227" s="112" t="str">
        <f t="shared" si="130"/>
        <v>4043/4044</v>
      </c>
      <c r="L227" s="22" t="str">
        <f>VLOOKUP(A227,'Trips&amp;Operators'!$C$1:$E$10000,3,FALSE)</f>
        <v>CHANDLER</v>
      </c>
      <c r="M227" s="6">
        <f t="shared" si="131"/>
        <v>8.0092592615983449E-3</v>
      </c>
      <c r="N227" s="7">
        <f t="shared" si="132"/>
        <v>11.533333336701617</v>
      </c>
      <c r="O227" s="7"/>
      <c r="P227" s="7"/>
      <c r="Q227" s="23"/>
      <c r="R227" s="23"/>
      <c r="S227" s="35">
        <f t="shared" si="133"/>
        <v>0</v>
      </c>
      <c r="T227" s="50" t="e">
        <f t="shared" si="134"/>
        <v>#VALUE!</v>
      </c>
      <c r="U227" s="17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16:45:01-0600',mode:absolute,to:'2016-10-21 19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7" s="52" t="str">
        <f t="shared" si="136"/>
        <v>Y</v>
      </c>
      <c r="X227" s="171" t="e">
        <f t="shared" si="137"/>
        <v>#VALUE!</v>
      </c>
      <c r="Y227" s="67">
        <f t="shared" si="138"/>
        <v>2.3576000000000001</v>
      </c>
      <c r="Z227" s="67">
        <f t="shared" si="139"/>
        <v>9.2999999999999992E-3</v>
      </c>
      <c r="AA227" s="67">
        <f t="shared" si="140"/>
        <v>2.3483000000000001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141"/>
        <v>54-21</v>
      </c>
      <c r="AE227" s="91" t="str">
        <f t="shared" si="142"/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AF227" s="88" t="str">
        <f t="shared" si="143"/>
        <v>"C:\Program Files (x86)\AstroGrep\AstroGrep.exe" /spath="%USERPROFILE%\AppData\Local\Temp\OnboardLogs" /stypes="app*4043*20161022*" /stext=" 00:.+((SYSTEM_STATE.+slice.+state.+changed )|(ment ac)|(system.+state.+changed )|(\[timeout)|(PRM\|1\|D)|(kpr)|(kdp)|(\|lc)|(penalty))" /e /r /s</v>
      </c>
      <c r="AG227" s="1" t="str">
        <f t="shared" si="144"/>
        <v>Other</v>
      </c>
      <c r="AH227" s="92" t="str">
        <f t="shared" si="145"/>
        <v>"%USERPROFILE%\Documents\GitHub\eaglep3\Utilities\RefineRTDCRunTimes.py" --tripid 54-21 --locoid 4043 --swversion DE.1.0.7.0 --startMP 300:23576 --initTime 2016-10-21T17:45:01 --startdatetime 2016-10-21T17:56:25 --delay 11 --endMP 204:93 --enddatetime 2016-10-21T18:07:57 --enforcementcount 0 &gt;&gt;C:\Users\stu\Documents\GitHub\eaglep3-reporting\EC\2016-10-21-refined-times.txt</v>
      </c>
      <c r="AI227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{"issue":{"subject":"","project_id":79,"tracker_id":40,"status_id":1,"priority_id":2,"assigned_to_id":23,"start_date":"2016-10-21","description":"","custom_fields":[{"id":1,"name":"Subdivision","value":"Other"},{"id":4,"name":"Milepost","value":"0.0093"},{"id":17,"name":"Train ID","value":"54-21"},{"id":16,"name":"Locomotive ID","value":"4043"},{"id":130,"name":"Impact","value":""},{"id":150,"name":"Time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1" customFormat="1" x14ac:dyDescent="0.25">
      <c r="A228" s="37" t="s">
        <v>518</v>
      </c>
      <c r="B228" s="7">
        <v>4044</v>
      </c>
      <c r="C228" s="22" t="s">
        <v>99</v>
      </c>
      <c r="D228" s="22" t="s">
        <v>712</v>
      </c>
      <c r="E228" s="13">
        <v>42664.488969907405</v>
      </c>
      <c r="F228" s="13">
        <v>25568.708333333332</v>
      </c>
      <c r="G228" s="7">
        <v>1</v>
      </c>
      <c r="H228" s="13" t="s">
        <v>713</v>
      </c>
      <c r="I228" s="13">
        <v>25568.708333333332</v>
      </c>
      <c r="J228" s="7">
        <v>0</v>
      </c>
      <c r="K228" s="112" t="str">
        <f t="shared" si="130"/>
        <v>4043/4044</v>
      </c>
      <c r="L228" s="22" t="str">
        <f>VLOOKUP(A228,'Trips&amp;Operators'!$C$1:$E$10000,3,FALSE)</f>
        <v>GRASTON</v>
      </c>
      <c r="M228" s="6">
        <f t="shared" si="131"/>
        <v>0</v>
      </c>
      <c r="N228" s="7">
        <f t="shared" si="132"/>
        <v>0</v>
      </c>
      <c r="O228" s="7"/>
      <c r="P228" s="7"/>
      <c r="Q228" s="23"/>
      <c r="R228" s="23"/>
      <c r="S228" s="35">
        <f t="shared" si="133"/>
        <v>0</v>
      </c>
      <c r="T228" s="50" t="e">
        <f t="shared" si="134"/>
        <v>#VALUE!</v>
      </c>
      <c r="U228" s="17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10:44:07-0600',mode:absolute,to:'1969-12-31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8" s="52" t="str">
        <f t="shared" si="136"/>
        <v>Y</v>
      </c>
      <c r="X228" s="171" t="e">
        <f t="shared" si="137"/>
        <v>#VALUE!</v>
      </c>
      <c r="Y228" s="67">
        <f t="shared" si="138"/>
        <v>3.85E-2</v>
      </c>
      <c r="Z228" s="67">
        <f t="shared" si="139"/>
        <v>2.4224000000000001</v>
      </c>
      <c r="AA228" s="67">
        <f t="shared" si="140"/>
        <v>2.3839000000000001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141"/>
        <v>55-21</v>
      </c>
      <c r="AE228" s="91" t="str">
        <f t="shared" si="142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8" s="88" t="str">
        <f t="shared" si="143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28" s="1" t="str">
        <f t="shared" si="144"/>
        <v>Other</v>
      </c>
      <c r="AH228" s="92" t="str">
        <f t="shared" si="145"/>
        <v>"%USERPROFILE%\Documents\GitHub\eaglep3\Utilities\RefineRTDCRunTimes.py" --tripid 55-21 --locoid 4044 --swversion DE.1.0.7.0 --startMP 204:385 --initTime 2016-10-21T11:44:07 --startdatetime 1969-12-31T17:00:00 --delay 1 --endMP 300:24224 --enddatetime 1969-12-31T17:00:00 --enforcementcount 0 &gt;&gt;C:\Users\stu\Documents\GitHub\eaglep3-reporting\EC\2016-10-21-refined-times.txt</v>
      </c>
      <c r="AI228" s="122" t="str">
        <f t="shared" si="146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ID","value":"55-21"},{"id":16,"name":"Locomotive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7" t="s">
        <v>429</v>
      </c>
      <c r="B229" s="7">
        <v>4039</v>
      </c>
      <c r="C229" s="22" t="s">
        <v>99</v>
      </c>
      <c r="D229" s="22" t="s">
        <v>714</v>
      </c>
      <c r="E229" s="13">
        <v>42664.735821759263</v>
      </c>
      <c r="F229" s="13">
        <v>42664.737303240741</v>
      </c>
      <c r="G229" s="7">
        <v>1</v>
      </c>
      <c r="H229" s="13" t="s">
        <v>715</v>
      </c>
      <c r="I229" s="13">
        <v>42664.742962962962</v>
      </c>
      <c r="J229" s="7">
        <v>0</v>
      </c>
      <c r="K229" s="112" t="str">
        <f t="shared" si="130"/>
        <v>4039/4040</v>
      </c>
      <c r="L229" s="22" t="str">
        <f>VLOOKUP(A229,'Trips&amp;Operators'!$C$1:$E$10000,3,FALSE)</f>
        <v>MATTHEWS</v>
      </c>
      <c r="M229" s="6">
        <f t="shared" si="131"/>
        <v>5.6597222210257314E-3</v>
      </c>
      <c r="N229" s="7">
        <f t="shared" si="132"/>
        <v>8.1499999982770532</v>
      </c>
      <c r="O229" s="7"/>
      <c r="P229" s="7"/>
      <c r="Q229" s="23"/>
      <c r="R229" s="23"/>
      <c r="S229" s="35">
        <f t="shared" si="133"/>
        <v>0</v>
      </c>
      <c r="T229" s="50" t="e">
        <f t="shared" si="134"/>
        <v>#VALUE!</v>
      </c>
      <c r="U229" s="17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16:39:35-0600',mode:absolute,to:'2016-10-21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9" s="52" t="str">
        <f t="shared" si="136"/>
        <v>Y</v>
      </c>
      <c r="X229" s="171" t="e">
        <f t="shared" si="137"/>
        <v>#VALUE!</v>
      </c>
      <c r="Y229" s="67">
        <f t="shared" si="138"/>
        <v>2.3193000000000001</v>
      </c>
      <c r="Z229" s="67">
        <f t="shared" si="139"/>
        <v>0.184</v>
      </c>
      <c r="AA229" s="67">
        <f t="shared" si="140"/>
        <v>2.1353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141"/>
        <v>56-21</v>
      </c>
      <c r="AE229" s="91" t="str">
        <f t="shared" si="142"/>
        <v>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 &amp; aws s3 cp s3://rtdc.mdm.uploadarchive.raw/RTDC4039/ "%USERPROFILE%\AppData\Local\Temp\OnboardLogs"\RTDC4039\2016-10-22 --exclude "*" --recursive --include "*20161022*" &amp; "%USERPROFILE%\Documents\GitHub\mrs-test-scripts\Headless Mode &amp; Sideloading\WalkAndUnGZ.bat" "%USERPROFILE%\AppData\Local\Temp\OnboardLogs"\RTDC4039\2016-10-22</v>
      </c>
      <c r="AF229" s="88" t="str">
        <f t="shared" si="143"/>
        <v>"C:\Program Files (x86)\AstroGrep\AstroGrep.exe" /spath="%USERPROFILE%\AppData\Local\Temp\OnboardLogs" /stypes="app*4039*20161021*" /stext=" 23:.+((SYSTEM_STATE.+slice.+state.+changed )|(ment ac)|(system.+state.+changed )|(\[timeout)|(PRM\|1\|D)|(kpr)|(kdp)|(\|lc)|(penalty))" /e /r /s</v>
      </c>
      <c r="AG229" s="1" t="str">
        <f t="shared" si="144"/>
        <v>Other</v>
      </c>
      <c r="AH229" s="92" t="str">
        <f t="shared" si="145"/>
        <v>"%USERPROFILE%\Documents\GitHub\eaglep3\Utilities\RefineRTDCRunTimes.py" --tripid 56-21 --locoid 4039 --swversion DE.1.0.7.0 --startMP 300:23193 --initTime 2016-10-21T17:39:35 --startdatetime 2016-10-21T17:41:43 --delay 1 --endMP 204:1840 --enddatetime 2016-10-21T17:49:52 --enforcementcount 0 &gt;&gt;C:\Users\stu\Documents\GitHub\eaglep3-reporting\EC\2016-10-21-refined-times.txt</v>
      </c>
      <c r="AI229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{"issue":{"subject":"","project_id":79,"tracker_id":40,"status_id":1,"priority_id":2,"assigned_to_id":23,"start_date":"2016-10-21","description":"","custom_fields":[{"id":1,"name":"Subdivision","value":"Other"},{"id":4,"name":"Milepost","value":"0.184"},{"id":17,"name":"Train ID","value":"56-21"},{"id":16,"name":"Locomotive ID","value":"4039"},{"id":130,"name":"Impact","value":""},{"id":150,"name":"Time of Event (Mountain Time)","value":"17:49:52"},{"id":151,"name":"Denver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91" x14ac:dyDescent="0.25">
      <c r="A230" s="37" t="s">
        <v>595</v>
      </c>
      <c r="B230" s="7">
        <v>4044</v>
      </c>
      <c r="C230" s="22" t="s">
        <v>99</v>
      </c>
      <c r="D230" s="22" t="s">
        <v>716</v>
      </c>
      <c r="E230" s="13">
        <v>42664.876851851855</v>
      </c>
      <c r="F230" s="13">
        <v>25568.708333333332</v>
      </c>
      <c r="G230" s="7">
        <v>3</v>
      </c>
      <c r="H230" s="13" t="s">
        <v>717</v>
      </c>
      <c r="I230" s="13">
        <v>25568.708333333332</v>
      </c>
      <c r="J230" s="7">
        <v>0</v>
      </c>
      <c r="K230" s="112" t="str">
        <f t="shared" si="130"/>
        <v>4043/4044</v>
      </c>
      <c r="L230" s="22" t="str">
        <f>VLOOKUP(A230,'Trips&amp;Operators'!$C$1:$E$10000,3,FALSE)</f>
        <v>PINCURA</v>
      </c>
      <c r="M230" s="6">
        <f t="shared" si="131"/>
        <v>0</v>
      </c>
      <c r="N230" s="7">
        <f t="shared" si="132"/>
        <v>0</v>
      </c>
      <c r="O230" s="7"/>
      <c r="P230" s="7"/>
      <c r="Q230" s="23"/>
      <c r="R230" s="23"/>
      <c r="S230" s="35">
        <f t="shared" si="133"/>
        <v>0</v>
      </c>
      <c r="T230" s="50" t="e">
        <f t="shared" si="134"/>
        <v>#VALUE!</v>
      </c>
      <c r="U230" s="17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20:02:40-0600',mode:absolute,to:'1969-12-31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0" s="52" t="str">
        <f t="shared" si="136"/>
        <v>Y</v>
      </c>
      <c r="X230" s="171" t="e">
        <f t="shared" si="137"/>
        <v>#VALUE!</v>
      </c>
      <c r="Y230" s="67">
        <f t="shared" si="138"/>
        <v>3.8800000000000001E-2</v>
      </c>
      <c r="Z230" s="67">
        <f t="shared" si="139"/>
        <v>2.3306</v>
      </c>
      <c r="AA230" s="67">
        <f t="shared" si="140"/>
        <v>2.2917999999999998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141"/>
        <v>63-21</v>
      </c>
      <c r="AE230" s="91" t="str">
        <f t="shared" si="142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30" s="88" t="str">
        <f t="shared" si="143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30" s="1" t="str">
        <f t="shared" si="144"/>
        <v>Other</v>
      </c>
      <c r="AH230" s="92" t="str">
        <f t="shared" si="145"/>
        <v>"%USERPROFILE%\Documents\GitHub\eaglep3\Utilities\RefineRTDCRunTimes.py" --tripid 63-21 --locoid 4044 --swversion DE.1.0.7.0 --startMP 204:388 --initTime 2016-10-21T21:02:40 --startdatetime 1969-12-31T17:00:00 --delay 3 --endMP 300:23306 --enddatetime 1969-12-31T17:00:00 --enforcementcount 0 &gt;&gt;C:\Users\stu\Documents\GitHub\eaglep3-reporting\EC\2016-10-21-refined-times.txt</v>
      </c>
      <c r="AI230" s="122" t="str">
        <f t="shared" si="146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ID","value":"63-21"},{"id":16,"name":"Locomotive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91" x14ac:dyDescent="0.25">
      <c r="A231" s="37" t="s">
        <v>538</v>
      </c>
      <c r="B231" s="7">
        <v>4010</v>
      </c>
      <c r="C231" s="22" t="s">
        <v>99</v>
      </c>
      <c r="D231" s="22" t="s">
        <v>718</v>
      </c>
      <c r="E231" s="13">
        <v>42664.617048611108</v>
      </c>
      <c r="F231" s="13">
        <v>42664.619108796294</v>
      </c>
      <c r="G231" s="7">
        <v>1</v>
      </c>
      <c r="H231" s="13" t="s">
        <v>719</v>
      </c>
      <c r="I231" s="13">
        <v>42664.646122685182</v>
      </c>
      <c r="J231" s="7">
        <v>0</v>
      </c>
      <c r="K231" s="112" t="str">
        <f t="shared" si="130"/>
        <v>4009/4010</v>
      </c>
      <c r="L231" s="22" t="str">
        <f>VLOOKUP(A231,'Trips&amp;Operators'!$C$1:$E$10000,3,FALSE)</f>
        <v>SHOOK</v>
      </c>
      <c r="M231" s="6">
        <f t="shared" si="131"/>
        <v>2.7013888888177462E-2</v>
      </c>
      <c r="N231" s="7">
        <f t="shared" si="132"/>
        <v>38.899999998975545</v>
      </c>
      <c r="O231" s="7"/>
      <c r="P231" s="7"/>
      <c r="Q231" s="23"/>
      <c r="R231" s="23"/>
      <c r="S231" s="35">
        <f t="shared" si="133"/>
        <v>0</v>
      </c>
      <c r="T231" s="50" t="e">
        <f t="shared" si="134"/>
        <v>#VALUE!</v>
      </c>
      <c r="U231" s="17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13:48:33-0600',mode:absolute,to:'2016-10-21 16:30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1" s="52" t="str">
        <f t="shared" si="136"/>
        <v>N</v>
      </c>
      <c r="X231" s="171" t="e">
        <f t="shared" si="137"/>
        <v>#VALUE!</v>
      </c>
      <c r="Y231" s="67">
        <f t="shared" si="138"/>
        <v>23.304600000000001</v>
      </c>
      <c r="Z231" s="67">
        <f t="shared" si="139"/>
        <v>0.1201</v>
      </c>
      <c r="AA231" s="67">
        <f t="shared" si="140"/>
        <v>23.1845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141"/>
        <v>66-21</v>
      </c>
      <c r="AE231" s="91" t="str">
        <f t="shared" si="14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231" s="88" t="str">
        <f t="shared" si="143"/>
        <v>"C:\Program Files (x86)\AstroGrep\AstroGrep.exe" /spath="%USERPROFILE%\AppData\Local\Temp\OnboardLogs" /stypes="app*4010*20161021*" /stext=" 21:.+((SYSTEM_STATE.+slice.+state.+changed )|(ment ac)|(system.+state.+changed )|(\[timeout)|(PRM\|1\|D)|(kpr)|(kdp)|(\|lc)|(penalty))" /e /r /s</v>
      </c>
      <c r="AG231" s="1" t="str">
        <f t="shared" si="144"/>
        <v>Other</v>
      </c>
      <c r="AH231" s="92" t="str">
        <f t="shared" si="145"/>
        <v>"%USERPROFILE%\Documents\GitHub\eaglep3\Utilities\RefineRTDCRunTimes.py" --tripid 66-21 --locoid 4010 --swversion DE.1.0.7.0 --startMP 204:233046 --initTime 2016-10-21T14:48:33 --startdatetime 2016-10-21T14:51:31 --delay 1 --endMP 204:1201 --enddatetime 2016-10-21T15:30:25 --enforcementcount 0 &gt;&gt;C:\Users\stu\Documents\GitHub\eaglep3-reporting\EC\2016-10-21-refined-times.txt</v>
      </c>
      <c r="AI231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{"issue":{"subject":"","project_id":79,"tracker_id":40,"status_id":1,"priority_id":2,"assigned_to_id":23,"start_date":"2016-10-21","description":"","custom_fields":[{"id":1,"name":"Subdivision","value":"Other"},{"id":4,"name":"Milepost","value":"0.1201"},{"id":17,"name":"Train ID","value":"66-21"},{"id":16,"name":"Locomotive ID","value":"4010"},{"id":130,"name":"Impact","value":""},{"id":150,"name":"Time of Event (Mountain Time)","value":"15:30:25"},{"id":151,"name":"Denver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91" x14ac:dyDescent="0.25">
      <c r="A232" s="37" t="s">
        <v>426</v>
      </c>
      <c r="B232" s="7">
        <v>4018</v>
      </c>
      <c r="C232" s="22" t="s">
        <v>99</v>
      </c>
      <c r="D232" s="22" t="s">
        <v>720</v>
      </c>
      <c r="E232" s="13">
        <v>42664.707407407404</v>
      </c>
      <c r="F232" s="13">
        <v>42664.711944444447</v>
      </c>
      <c r="G232" s="7">
        <v>1</v>
      </c>
      <c r="H232" s="13" t="s">
        <v>721</v>
      </c>
      <c r="I232" s="13">
        <v>42664.712094907409</v>
      </c>
      <c r="J232" s="7">
        <v>0</v>
      </c>
      <c r="K232" s="112" t="str">
        <f t="shared" si="130"/>
        <v>4017/4018</v>
      </c>
      <c r="L232" s="22" t="str">
        <f>VLOOKUP(A232,'Trips&amp;Operators'!$C$1:$E$10000,3,FALSE)</f>
        <v>HAITHCOX</v>
      </c>
      <c r="M232" s="6">
        <f t="shared" si="131"/>
        <v>1.5046296175569296E-4</v>
      </c>
      <c r="N232" s="7">
        <f t="shared" si="132"/>
        <v>0.21666666492819786</v>
      </c>
      <c r="O232" s="7"/>
      <c r="P232" s="7"/>
      <c r="Q232" s="23"/>
      <c r="R232" s="23"/>
      <c r="S232" s="35">
        <f t="shared" si="133"/>
        <v>0</v>
      </c>
      <c r="T232" s="50" t="e">
        <f t="shared" si="134"/>
        <v>#VALUE!</v>
      </c>
      <c r="U232" s="17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135"/>
        <v>https://search-rtdc-monitor-bjffxe2xuh6vdkpspy63sjmuny.us-east-1.es.amazonaws.com/_plugin/kibana/#/discover/Steve-Slow-Train-Analysis-(2080s-and-2083s)?_g=(refreshInterval:(display:Off,section:0,value:0),time:(from:'2016-10-21 15:58:40-0600',mode:absolute,to:'2016-10-21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2" s="52" t="str">
        <f t="shared" si="136"/>
        <v>Y</v>
      </c>
      <c r="X232" s="171" t="e">
        <f t="shared" si="137"/>
        <v>#VALUE!</v>
      </c>
      <c r="Y232" s="67">
        <f t="shared" si="138"/>
        <v>0.14960000000000001</v>
      </c>
      <c r="Z232" s="67">
        <f t="shared" si="139"/>
        <v>0.19259999999999999</v>
      </c>
      <c r="AA232" s="67">
        <f t="shared" si="140"/>
        <v>4.2999999999999983E-2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141"/>
        <v>71-21</v>
      </c>
      <c r="AE232" s="91" t="str">
        <f t="shared" si="14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232" s="88" t="str">
        <f t="shared" si="143"/>
        <v>"C:\Program Files (x86)\AstroGrep\AstroGrep.exe" /spath="%USERPROFILE%\AppData\Local\Temp\OnboardLogs" /stypes="app*4018*20161021*" /stext=" 23:.+((SYSTEM_STATE.+slice.+state.+changed )|(ment ac)|(system.+state.+changed )|(\[timeout)|(PRM\|1\|D)|(kpr)|(kdp)|(\|lc)|(penalty))" /e /r /s</v>
      </c>
      <c r="AG232" s="1" t="str">
        <f t="shared" si="144"/>
        <v>Other</v>
      </c>
      <c r="AH232" s="92" t="str">
        <f t="shared" si="145"/>
        <v>"%USERPROFILE%\Documents\GitHub\eaglep3\Utilities\RefineRTDCRunTimes.py" --tripid 71-21 --locoid 4018 --swversion DE.1.0.7.0 --startMP 204:1496 --initTime 2016-10-21T16:58:40 --startdatetime 2016-10-21T17:05:12 --delay 1 --endMP 204:1926 --enddatetime 2016-10-21T17:05:25 --enforcementcount 0 &gt;&gt;C:\Users\stu\Documents\GitHub\eaglep3-reporting\EC\2016-10-21-refined-times.txt</v>
      </c>
      <c r="AI232" s="122" t="str">
        <f t="shared" si="146"/>
        <v>echo {"issue":{"subject":"","project_id":79,"tracker_id":40,"status_id":1,"priority_id":2,"assigned_to_id":23,"start_date":"2016-10-21","description":"","custom_fields":[{"id":1,"name":"Subdivision","value":"Other"},{"id":4,"name":"Milepost","value":"0.1926"},{"id":17,"name":"Train ID","value":"71-21"},{"id":16,"name":"Locomotive ID","value":"4018"},{"id":130,"name":"Impact","value":""},{"id":150,"name":"Time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</row>
    <row r="281" spans="1:3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S281"/>
      <c r="U281"/>
      <c r="V281"/>
      <c r="W281"/>
      <c r="X281"/>
      <c r="Y281"/>
      <c r="Z281"/>
      <c r="AA281"/>
      <c r="AB281"/>
      <c r="AC281"/>
      <c r="AD281"/>
      <c r="AE281"/>
      <c r="AF281"/>
      <c r="AH281"/>
      <c r="AI281"/>
    </row>
  </sheetData>
  <autoFilter ref="A12:AG281">
    <sortState ref="A13:AG280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82:X1048576 W13:X232">
    <cfRule type="cellIs" dxfId="10" priority="344" operator="equal">
      <formula>"Y"</formula>
    </cfRule>
  </conditionalFormatting>
  <conditionalFormatting sqref="X282:X1048576 X13:X232">
    <cfRule type="cellIs" dxfId="9" priority="327" operator="greaterThan">
      <formula>1</formula>
    </cfRule>
  </conditionalFormatting>
  <conditionalFormatting sqref="X282:X1048576 X12:X232">
    <cfRule type="cellIs" dxfId="8" priority="324" operator="equal">
      <formula>0</formula>
    </cfRule>
  </conditionalFormatting>
  <conditionalFormatting sqref="A13:S232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Values'!$C$2:$C$14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50"/>
  <sheetViews>
    <sheetView topLeftCell="A2" workbookViewId="0">
      <selection activeCell="G9" sqref="G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COUNTIF($O$7:$O$352,"=Y")</f>
        <v>4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COUNTA($O$7:$O$352)-O2</f>
        <v>40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- 2016-10-21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42664.656041666669</v>
      </c>
      <c r="B7" s="31" t="s">
        <v>405</v>
      </c>
      <c r="C7" s="31" t="s">
        <v>422</v>
      </c>
      <c r="D7" s="31" t="s">
        <v>338</v>
      </c>
      <c r="E7" s="31" t="s">
        <v>155</v>
      </c>
      <c r="F7" s="47">
        <v>0</v>
      </c>
      <c r="G7" s="47">
        <v>268</v>
      </c>
      <c r="H7" s="47">
        <v>33227</v>
      </c>
      <c r="I7" s="47">
        <v>33563</v>
      </c>
      <c r="J7" s="31" t="s">
        <v>154</v>
      </c>
      <c r="K7" s="47">
        <v>33137</v>
      </c>
      <c r="L7" s="157" t="s">
        <v>50</v>
      </c>
      <c r="M7" s="158">
        <f t="shared" ref="M7:M50" si="0">CONVERT((I7-K7)/10000,"mi","ft")*IF(L7="Increasing Mileposts (1)",-1,1)</f>
        <v>-224.928</v>
      </c>
      <c r="N7" s="159" t="str">
        <f>VLOOKUP(C7,'Trips&amp;Operators'!$C$1:$E$99999,3,FALSE)</f>
        <v>ADANE</v>
      </c>
      <c r="O7" s="184" t="s">
        <v>243</v>
      </c>
      <c r="P7" s="160" t="s">
        <v>788</v>
      </c>
      <c r="Q7" s="31"/>
      <c r="R7" s="100" t="str">
        <f>VLOOKUP(C7,'Train Runs'!$A$13:$AE$10025,31,0)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7" s="103" t="str">
        <f>VLOOKUP(C7,'Train Runs'!$A$13:$AE$10025,22,0)</f>
        <v>https://search-rtdc-monitor-bjffxe2xuh6vdkpspy63sjmuny.us-east-1.es.amazonaws.com/_plugin/kibana/#/discover/Steve-Slow-Train-Analysis-(2080s-and-2083s)?_g=(refreshInterval:(display:Off,section:0,value:0),time:(from:'2016-10-21 14:23:40-0600',mode:absolute,to:'2016-10-21 17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7" s="105" t="str">
        <f t="shared" ref="T7:T5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/stypes="*4014*201610212*" /stext=" 21:.+((SYSTEM_STATE.+slice.+state.+changed )|(ment ac)|(system.+state.+changed )|(\[timeout)|(PRM\|1\|D)|(kpr)|(kdp)|(\|lc)|(penalty))" /e /r /s</v>
      </c>
      <c r="U7" s="9" t="str">
        <f t="shared" ref="U7:U50" si="2">MID(B7,13,4)</f>
        <v>4014</v>
      </c>
      <c r="V7" s="36">
        <f t="shared" ref="V7:V50" si="3">A7+6/24</f>
        <v>42664.906041666669</v>
      </c>
      <c r="W7" s="50" t="str">
        <f t="shared" ref="W7:W50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arrival","project_id":79,"tracker_id":40,"status_id":1,"priority_id":2,"assigned_to_id":23,"start_date":"2016-10-21","description":"","custom_fields":[{"id":1,"name":"Subdivision","value":"EC"},{"id":4,"name":"Milepost","value":"3.3137"},{"id":17,"name":"Train ID","value":"195-21"},{"id":16,"name":"Locomotive ID","value":"4014"},{"id":130,"name":"Impact","value":""},{"id":150,"name":"Time of Event (Mountain Time)","value":"15:44:42"},{"id":151,"name":"Denver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5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"%USERPROFILE%\AppData\Local\Temp\OnboardLogs"\RTDC4014\*4014*201610212* | grep -SE "((Enforcement Ac)|(PRM))" -</v>
      </c>
    </row>
    <row r="8" spans="1:29" s="1" customFormat="1" x14ac:dyDescent="0.25">
      <c r="A8" s="36">
        <v>42664.361921296295</v>
      </c>
      <c r="B8" s="31" t="s">
        <v>405</v>
      </c>
      <c r="C8" s="31" t="s">
        <v>406</v>
      </c>
      <c r="D8" s="31" t="s">
        <v>338</v>
      </c>
      <c r="E8" s="31" t="s">
        <v>155</v>
      </c>
      <c r="F8" s="47">
        <v>0</v>
      </c>
      <c r="G8" s="47">
        <v>266</v>
      </c>
      <c r="H8" s="47">
        <v>42869</v>
      </c>
      <c r="I8" s="47">
        <v>43111</v>
      </c>
      <c r="J8" s="31" t="s">
        <v>154</v>
      </c>
      <c r="K8" s="47">
        <v>42779</v>
      </c>
      <c r="L8" s="157" t="s">
        <v>50</v>
      </c>
      <c r="M8" s="158">
        <f t="shared" si="0"/>
        <v>-175.29599999999999</v>
      </c>
      <c r="N8" s="159" t="str">
        <f>VLOOKUP(C8,'Trips&amp;Operators'!$C$1:$E$99999,3,FALSE)</f>
        <v>SPECTOR</v>
      </c>
      <c r="O8" s="184" t="s">
        <v>243</v>
      </c>
      <c r="P8" s="160" t="s">
        <v>788</v>
      </c>
      <c r="Q8" s="31"/>
      <c r="R8" s="100" t="str">
        <f>VLOOKUP(C8,'Train Runs'!$A$13:$AE$10025,31,0)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8" s="103" t="str">
        <f>VLOOKUP(C8,'Train Runs'!$A$13:$AE$10025,22,0)</f>
        <v>https://search-rtdc-monitor-bjffxe2xuh6vdkpspy63sjmuny.us-east-1.es.amazonaws.com/_plugin/kibana/#/discover/Steve-Slow-Train-Analysis-(2080s-and-2083s)?_g=(refreshInterval:(display:Off,section:0,value:0),time:(from:'2016-10-21 07:24:05-0600',mode:absolute,to:'2016-10-21 10:10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8" s="105" t="str">
        <f t="shared" si="1"/>
        <v>"C:\Program Files (x86)\AstroGrep\AstroGrep.exe" /spath="%USERPROFILE%\AppData\Local\Temp\OnboardLogs" /stypes="*4014*201610211*" /stext=" 14:.+((SYSTEM_STATE.+slice.+state.+changed )|(ment ac)|(system.+state.+changed )|(\[timeout)|(PRM\|1\|D)|(kpr)|(kdp)|(\|lc)|(penalty))" /e /r /s</v>
      </c>
      <c r="U8" s="9" t="str">
        <f t="shared" si="2"/>
        <v>4014</v>
      </c>
      <c r="V8" s="36">
        <f t="shared" si="3"/>
        <v>42664.611921296295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arrival","project_id":79,"tracker_id":40,"status_id":1,"priority_id":2,"assigned_to_id":23,"start_date":"2016-10-21","description":"","custom_fields":[{"id":1,"name":"Subdivision","value":"EC"},{"id":4,"name":"Milepost","value":"4.2779"},{"id":17,"name":"Train ID","value":"139-21"},{"id":16,"name":"Locomotive ID","value":"4014"},{"id":130,"name":"Impact","value":""},{"id":150,"name":"Time of Event (Mountain Time)","value":"08:41:10"},{"id":151,"name":"Denver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"%USERPROFILE%\AppData\Local\Temp\OnboardLogs"\RTDC4014\*4014*201610211* | grep -SE "((Enforcement Ac)|(PRM))" -</v>
      </c>
    </row>
    <row r="9" spans="1:29" s="1" customFormat="1" x14ac:dyDescent="0.25">
      <c r="A9" s="36">
        <v>42664.350902777776</v>
      </c>
      <c r="B9" s="31" t="s">
        <v>193</v>
      </c>
      <c r="C9" s="31" t="s">
        <v>404</v>
      </c>
      <c r="D9" s="31" t="s">
        <v>49</v>
      </c>
      <c r="E9" s="31" t="s">
        <v>155</v>
      </c>
      <c r="F9" s="47">
        <v>0</v>
      </c>
      <c r="G9" s="47">
        <v>519</v>
      </c>
      <c r="H9" s="47">
        <v>44087</v>
      </c>
      <c r="I9" s="47">
        <v>42782</v>
      </c>
      <c r="J9" s="31" t="s">
        <v>154</v>
      </c>
      <c r="K9" s="47">
        <v>42961</v>
      </c>
      <c r="L9" s="157" t="s">
        <v>51</v>
      </c>
      <c r="M9" s="158">
        <f t="shared" si="0"/>
        <v>-94.512</v>
      </c>
      <c r="N9" s="159" t="str">
        <f>VLOOKUP(C9,'Trips&amp;Operators'!$C$1:$E$99999,3,FALSE)</f>
        <v>MAELZER</v>
      </c>
      <c r="O9" s="184" t="s">
        <v>243</v>
      </c>
      <c r="P9" s="160" t="s">
        <v>788</v>
      </c>
      <c r="Q9" s="31"/>
      <c r="R9" s="100" t="str">
        <f>VLOOKUP(C9,'Train Runs'!$A$13:$AE$10025,31,0)</f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S9" s="103" t="str">
        <f>VLOOKUP(C9,'Train Runs'!$A$13:$AE$10025,22,0)</f>
        <v>https://search-rtdc-monitor-bjffxe2xuh6vdkpspy63sjmuny.us-east-1.es.amazonaws.com/_plugin/kibana/#/discover/Steve-Slow-Train-Analysis-(2080s-and-2083s)?_g=(refreshInterval:(display:Off,section:0,value:0),time:(from:'2016-10-21 06:46:53-0600',mode:absolute,to:'2016-10-21 09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/stypes="*4010*201610211*" /stext=" 14:.+((SYSTEM_STATE.+slice.+state.+changed )|(ment ac)|(system.+state.+changed )|(\[timeout)|(PRM\|1\|D)|(kpr)|(kdp)|(\|lc)|(penalty))" /e /r /s</v>
      </c>
      <c r="U9" s="9" t="str">
        <f t="shared" si="2"/>
        <v>4010</v>
      </c>
      <c r="V9" s="36">
        <f t="shared" si="3"/>
        <v>42664.600902777776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arrival","project_id":79,"tracker_id":40,"status_id":1,"priority_id":2,"assigned_to_id":23,"start_date":"2016-10-21","description":"","custom_fields":[{"id":1,"name":"Subdivision","value":"EC"},{"id":4,"name":"Milepost","value":"4.2961"},{"id":17,"name":"Train ID","value":"128-21"},{"id":16,"name":"Locomotive ID","value":"4010"},{"id":130,"name":"Impact","value":""},{"id":150,"name":"Time of Event (Mountain Time)","value":"08:25:18"},{"id":151,"name":"Denver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"%USERPROFILE%\AppData\Local\Temp\OnboardLogs"\RTDC4010\*4010*201610211* | grep -SE "((Enforcement Ac)|(PRM))" -</v>
      </c>
    </row>
    <row r="10" spans="1:29" s="1" customFormat="1" x14ac:dyDescent="0.25">
      <c r="A10" s="36">
        <v>42664.75980324074</v>
      </c>
      <c r="B10" s="31" t="s">
        <v>278</v>
      </c>
      <c r="C10" s="31" t="s">
        <v>431</v>
      </c>
      <c r="D10" s="31" t="s">
        <v>49</v>
      </c>
      <c r="E10" s="31" t="s">
        <v>155</v>
      </c>
      <c r="F10" s="47">
        <v>0</v>
      </c>
      <c r="G10" s="47">
        <v>455</v>
      </c>
      <c r="H10" s="47">
        <v>104128</v>
      </c>
      <c r="I10" s="47">
        <v>102954</v>
      </c>
      <c r="J10" s="31" t="s">
        <v>154</v>
      </c>
      <c r="K10" s="47">
        <v>103800</v>
      </c>
      <c r="L10" s="157" t="s">
        <v>51</v>
      </c>
      <c r="M10" s="158">
        <f t="shared" si="0"/>
        <v>-446.68799999999999</v>
      </c>
      <c r="N10" s="159" t="str">
        <f>VLOOKUP(C10,'Trips&amp;Operators'!$C$1:$E$99999,3,FALSE)</f>
        <v>MOSES</v>
      </c>
      <c r="O10" s="184" t="s">
        <v>243</v>
      </c>
      <c r="P10" s="160" t="s">
        <v>788</v>
      </c>
      <c r="Q10" s="31"/>
      <c r="R10" s="100" t="str">
        <f>VLOOKUP(C10,'Train Runs'!$A$13:$AE$10025,31,0)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0" s="103" t="str">
        <f>VLOOKUP(C10,'Train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0" s="105" t="str">
        <f t="shared" si="1"/>
        <v>"C:\Program Files (x86)\AstroGrep\AstroGrep.exe" /spath="%USERPROFILE%\AppData\Local\Temp\OnboardLogs" /stypes="*4054*201610220*" /stext=" 00:.+((SYSTEM_STATE.+slice.+state.+changed )|(ment ac)|(system.+state.+changed )|(\[timeout)|(PRM\|1\|D)|(kpr)|(kdp)|(\|lc)|(penalty))" /e /r /s</v>
      </c>
      <c r="U10" s="9" t="str">
        <f t="shared" si="2"/>
        <v>4054</v>
      </c>
      <c r="V10" s="36">
        <f t="shared" si="3"/>
        <v>42665.00980324074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arrival","project_id":79,"tracker_id":40,"status_id":1,"priority_id":2,"assigned_to_id":23,"start_date":"2016-10-21","description":"","custom_fields":[{"id":1,"name":"Subdivision","value":"EC"},{"id":4,"name":"Milepost","value":"10.38"},{"id":17,"name":"Train ID","value":"208-21"},{"id":16,"name":"Locomotive ID","value":"4054"},{"id":130,"name":"Impact","value":""},{"id":150,"name":"Time of Event (Mountain Time)","value":"18:14:07"},{"id":151,"name":"Denver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"%USERPROFILE%\AppData\Local\Temp\OnboardLogs"\RTDC4054\*4054*201610220* | grep -SE "((Enforcement Ac)|(PRM))" -</v>
      </c>
    </row>
    <row r="11" spans="1:29" s="1" customFormat="1" x14ac:dyDescent="0.25">
      <c r="A11" s="36">
        <v>42664.968611111108</v>
      </c>
      <c r="B11" s="31" t="s">
        <v>251</v>
      </c>
      <c r="C11" s="31" t="s">
        <v>435</v>
      </c>
      <c r="D11" s="31" t="s">
        <v>98</v>
      </c>
      <c r="E11" s="31" t="s">
        <v>155</v>
      </c>
      <c r="F11" s="47">
        <v>0</v>
      </c>
      <c r="G11" s="47">
        <v>280</v>
      </c>
      <c r="H11" s="47">
        <v>109119</v>
      </c>
      <c r="I11" s="47">
        <v>108986</v>
      </c>
      <c r="J11" s="31" t="s">
        <v>154</v>
      </c>
      <c r="K11" s="47">
        <v>109135</v>
      </c>
      <c r="L11" s="157" t="s">
        <v>51</v>
      </c>
      <c r="M11" s="158">
        <f t="shared" si="0"/>
        <v>-78.671999999999997</v>
      </c>
      <c r="N11" s="159" t="str">
        <f>VLOOKUP(C11,'Trips&amp;Operators'!$C$1:$E$99999,3,FALSE)</f>
        <v>CHANDLER</v>
      </c>
      <c r="O11" s="184" t="s">
        <v>243</v>
      </c>
      <c r="P11" s="160" t="s">
        <v>788</v>
      </c>
      <c r="Q11" s="31"/>
      <c r="R11" s="100" t="str">
        <f>VLOOKUP(C11,'Train Runs'!$A$13:$AE$10025,31,0)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S11" s="103" t="str">
        <f>VLOOKUP(C11,'Train Runs'!$A$13:$AE$10025,22,0)</f>
        <v>https://search-rtdc-monitor-bjffxe2xuh6vdkpspy63sjmuny.us-east-1.es.amazonaws.com/_plugin/kibana/#/discover/Steve-Slow-Train-Analysis-(2080s-and-2083s)?_g=(refreshInterval:(display:Off,section:0,value:0),time:(from:'2016-10-21 21:53:35-0600',mode:absolute,to:'2016-10-22 00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1" s="105" t="str">
        <f t="shared" si="1"/>
        <v>"C:\Program Files (x86)\AstroGrep\AstroGrep.exe" /spath="%USERPROFILE%\AppData\Local\Temp\OnboardLogs" /stypes="*4028*201610220*" /stext=" 05:.+((SYSTEM_STATE.+slice.+state.+changed )|(ment ac)|(system.+state.+changed )|(\[timeout)|(PRM\|1\|D)|(kpr)|(kdp)|(\|lc)|(penalty))" /e /r /s</v>
      </c>
      <c r="U11" s="9" t="str">
        <f t="shared" si="2"/>
        <v>4028</v>
      </c>
      <c r="V11" s="36">
        <f t="shared" si="3"/>
        <v>42665.218611111108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arrival","project_id":79,"tracker_id":40,"status_id":1,"priority_id":2,"assigned_to_id":23,"start_date":"2016-10-21","description":"","custom_fields":[{"id":1,"name":"Subdivision","value":"EC"},{"id":4,"name":"Milepost","value":"10.9135"},{"id":17,"name":"Train ID","value":"234-21"},{"id":16,"name":"Locomotive ID","value":"4028"},{"id":130,"name":"Impact","value":""},{"id":150,"name":"Time of Event (Mountain Time)","value":"23:14:48"},{"id":151,"name":"Denver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"%USERPROFILE%\AppData\Local\Temp\OnboardLogs"\RTDC4028\*4028*201610220* | grep -SE "((Enforcement Ac)|(PRM))" -</v>
      </c>
    </row>
    <row r="12" spans="1:29" s="1" customFormat="1" x14ac:dyDescent="0.25">
      <c r="A12" s="36">
        <v>42664.448217592595</v>
      </c>
      <c r="B12" s="31" t="s">
        <v>251</v>
      </c>
      <c r="C12" s="31" t="s">
        <v>411</v>
      </c>
      <c r="D12" s="31" t="s">
        <v>49</v>
      </c>
      <c r="E12" s="31" t="s">
        <v>155</v>
      </c>
      <c r="F12" s="47">
        <v>350</v>
      </c>
      <c r="G12" s="47">
        <v>403</v>
      </c>
      <c r="H12" s="47">
        <v>109638</v>
      </c>
      <c r="I12" s="47">
        <v>108723</v>
      </c>
      <c r="J12" s="31" t="s">
        <v>154</v>
      </c>
      <c r="K12" s="47">
        <v>109135</v>
      </c>
      <c r="L12" s="157" t="s">
        <v>51</v>
      </c>
      <c r="M12" s="158">
        <f t="shared" si="0"/>
        <v>-217.536</v>
      </c>
      <c r="N12" s="159" t="str">
        <f>VLOOKUP(C12,'Trips&amp;Operators'!$C$1:$E$99999,3,FALSE)</f>
        <v>MALAVE</v>
      </c>
      <c r="O12" s="184" t="s">
        <v>243</v>
      </c>
      <c r="P12" s="160" t="s">
        <v>788</v>
      </c>
      <c r="Q12" s="31"/>
      <c r="R12" s="100" t="str">
        <f>VLOOKUP(C12,'Train Runs'!$A$13:$AE$10025,31,0)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S12" s="103" t="str">
        <f>VLOOKUP(C12,'Train Runs'!$A$13:$AE$10025,22,0)</f>
        <v>https://search-rtdc-monitor-bjffxe2xuh6vdkpspy63sjmuny.us-east-1.es.amazonaws.com/_plugin/kibana/#/discover/Steve-Slow-Train-Analysis-(2080s-and-2083s)?_g=(refreshInterval:(display:Off,section:0,value:0),time:(from:'2016-10-21 09:21:15-0600',mode:absolute,to:'2016-10-21 12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2" s="105" t="str">
        <f t="shared" si="1"/>
        <v>"C:\Program Files (x86)\AstroGrep\AstroGrep.exe" /spath="%USERPROFILE%\AppData\Local\Temp\OnboardLogs" /stypes="*4028*201610211*" /stext=" 16:.+((SYSTEM_STATE.+slice.+state.+changed )|(ment ac)|(system.+state.+changed )|(\[timeout)|(PRM\|1\|D)|(kpr)|(kdp)|(\|lc)|(penalty))" /e /r /s</v>
      </c>
      <c r="U12" s="9" t="str">
        <f t="shared" si="2"/>
        <v>4028</v>
      </c>
      <c r="V12" s="36">
        <f t="shared" si="3"/>
        <v>42664.698217592595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arrival","project_id":79,"tracker_id":40,"status_id":1,"priority_id":2,"assigned_to_id":23,"start_date":"2016-10-21","description":"","custom_fields":[{"id":1,"name":"Subdivision","value":"EC"},{"id":4,"name":"Milepost","value":"10.9135"},{"id":17,"name":"Train ID","value":"148-21"},{"id":16,"name":"Locomotive ID","value":"4028"},{"id":130,"name":"Impact","value":""},{"id":150,"name":"Time of Event (Mountain Time)","value":"10:45:26"},{"id":151,"name":"Denver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"%USERPROFILE%\AppData\Local\Temp\OnboardLogs"\RTDC4028\*4028*201610211* | grep -SE "((Enforcement Ac)|(PRM))" -</v>
      </c>
    </row>
    <row r="13" spans="1:29" s="1" customFormat="1" x14ac:dyDescent="0.25">
      <c r="A13" s="36">
        <v>42664.543275462966</v>
      </c>
      <c r="B13" s="31" t="s">
        <v>278</v>
      </c>
      <c r="C13" s="31" t="s">
        <v>415</v>
      </c>
      <c r="D13" s="31" t="s">
        <v>49</v>
      </c>
      <c r="E13" s="31" t="s">
        <v>244</v>
      </c>
      <c r="F13" s="47">
        <v>450</v>
      </c>
      <c r="G13" s="47">
        <v>502</v>
      </c>
      <c r="H13" s="47">
        <v>17181</v>
      </c>
      <c r="I13" s="47">
        <v>13836</v>
      </c>
      <c r="J13" s="31" t="s">
        <v>245</v>
      </c>
      <c r="K13" s="47">
        <v>15167</v>
      </c>
      <c r="L13" s="157" t="s">
        <v>51</v>
      </c>
      <c r="M13" s="158">
        <f t="shared" si="0"/>
        <v>-702.76800000000003</v>
      </c>
      <c r="N13" s="159" t="str">
        <f>VLOOKUP(C13,'Trips&amp;Operators'!$C$1:$E$99999,3,FALSE)</f>
        <v>BROWN</v>
      </c>
      <c r="O13" s="184" t="s">
        <v>243</v>
      </c>
      <c r="P13" s="160"/>
      <c r="Q13" s="31"/>
      <c r="R13" s="100" t="str">
        <f>VLOOKUP(C13,'Train Runs'!$A$13:$AE$10025,31,0)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3" s="103" t="str">
        <f>VLOOKUP(C13,'Train Runs'!$A$13:$AE$10025,22,0)</f>
        <v>https://search-rtdc-monitor-bjffxe2xuh6vdkpspy63sjmuny.us-east-1.es.amazonaws.com/_plugin/kibana/#/discover/Steve-Slow-Train-Analysis-(2080s-and-2083s)?_g=(refreshInterval:(display:Off,section:0,value:0),time:(from:'2016-10-21 11:12:40-0600',mode:absolute,to:'2016-10-21 14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3" s="105" t="str">
        <f t="shared" si="1"/>
        <v>"C:\Program Files (x86)\AstroGrep\AstroGrep.exe" /spath="%USERPROFILE%\AppData\Local\Temp\OnboardLogs" /stypes="*4054*201610211*" /stext=" 19:.+((SYSTEM_STATE.+slice.+state.+changed )|(ment ac)|(system.+state.+changed )|(\[timeout)|(PRM\|1\|D)|(kpr)|(kdp)|(\|lc)|(penalty))" /e /r /s</v>
      </c>
      <c r="U13" s="9" t="str">
        <f t="shared" si="2"/>
        <v>4054</v>
      </c>
      <c r="V13" s="36">
        <f t="shared" si="3"/>
        <v>42664.793275462966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{"issue":{"subject":"","project_id":79,"tracker_id":40,"status_id":1,"priority_id":2,"assigned_to_id":23,"start_date":"2016-10-21","description":"","custom_fields":[{"id":1,"name":"Subdivision","value":"EC"},{"id":4,"name":"Milepost","value":"1.5167"},{"id":17,"name":"Train ID","value":"164-21"},{"id":16,"name":"Locomotive ID","value":"4054"},{"id":130,"name":"Impact","value":""},{"id":150,"name":"Time of Event (Mountain Time)","value":"13:02:19"},{"id":151,"name":"Denver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"%USERPROFILE%\AppData\Local\Temp\OnboardLogs"\RTDC4054\*4054*201610211* | grep -SE "((Enforcement Ac)|(PRM))" -</v>
      </c>
    </row>
    <row r="14" spans="1:29" s="1" customFormat="1" x14ac:dyDescent="0.25">
      <c r="A14" s="36">
        <v>42665.003182870372</v>
      </c>
      <c r="B14" s="31" t="s">
        <v>436</v>
      </c>
      <c r="C14" s="31" t="s">
        <v>437</v>
      </c>
      <c r="D14" s="31" t="s">
        <v>49</v>
      </c>
      <c r="E14" s="31" t="s">
        <v>244</v>
      </c>
      <c r="F14" s="47">
        <v>400</v>
      </c>
      <c r="G14" s="47">
        <v>494</v>
      </c>
      <c r="H14" s="47">
        <v>17165</v>
      </c>
      <c r="I14" s="47">
        <v>17841</v>
      </c>
      <c r="J14" s="31" t="s">
        <v>245</v>
      </c>
      <c r="K14" s="47">
        <v>17867</v>
      </c>
      <c r="L14" s="157" t="s">
        <v>50</v>
      </c>
      <c r="M14" s="158">
        <f t="shared" si="0"/>
        <v>13.728</v>
      </c>
      <c r="N14" s="159" t="str">
        <f>VLOOKUP(C14,'Trips&amp;Operators'!$C$1:$E$99999,3,FALSE)</f>
        <v>CHANDLER</v>
      </c>
      <c r="O14" s="184" t="s">
        <v>243</v>
      </c>
      <c r="P14" s="160"/>
      <c r="Q14" s="31"/>
      <c r="R14" s="100" t="str">
        <f>VLOOKUP(C14,'Train Runs'!$A$13:$AE$10025,31,0)</f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S14" s="103" t="str">
        <f>VLOOKUP(C14,'Train Runs'!$A$13:$AE$10025,22,0)</f>
        <v>https://search-rtdc-monitor-bjffxe2xuh6vdkpspy63sjmuny.us-east-1.es.amazonaws.com/_plugin/kibana/#/discover/Steve-Slow-Train-Analysis-(2080s-and-2083s)?_g=(refreshInterval:(display:Off,section:0,value:0),time:(from:'2016-10-21 22:59:10-0600',mode:absolute,to:'2016-10-22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4" s="105" t="str">
        <f t="shared" si="1"/>
        <v>"C:\Program Files (x86)\AstroGrep\AstroGrep.exe" /spath="%USERPROFILE%\AppData\Local\Temp\OnboardLogs" /stypes="*4027*201610220*" /stext=" 06:.+((SYSTEM_STATE.+slice.+state.+changed )|(ment ac)|(system.+state.+changed )|(\[timeout)|(PRM\|1\|D)|(kpr)|(kdp)|(\|lc)|(penalty))" /e /r /s</v>
      </c>
      <c r="U14" s="9" t="str">
        <f t="shared" si="2"/>
        <v>4027</v>
      </c>
      <c r="V14" s="36">
        <f t="shared" si="3"/>
        <v>42665.253182870372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{"issue":{"subject":"","project_id":79,"tracker_id":40,"status_id":1,"priority_id":2,"assigned_to_id":23,"start_date":"2016-10-22","description":"","custom_fields":[{"id":1,"name":"Subdivision","value":"EC"},{"id":4,"name":"Milepost","value":"1.7867"},{"id":17,"name":"Train ID","value":"241-21"},{"id":16,"name":"Locomotive ID","value":"4027"},{"id":130,"name":"Impact","value":""},{"id":150,"name":"Time of Event (Mountain Time)","value":"00:04:35"},{"id":151,"name":"Denver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"%USERPROFILE%\AppData\Local\Temp\OnboardLogs"\RTDC4027\*4027*201610220* | grep -SE "((Enforcement Ac)|(PRM))" -</v>
      </c>
    </row>
    <row r="15" spans="1:29" s="1" customFormat="1" x14ac:dyDescent="0.25">
      <c r="A15" s="36">
        <v>42664.238449074073</v>
      </c>
      <c r="B15" s="31" t="s">
        <v>278</v>
      </c>
      <c r="C15" s="31" t="s">
        <v>398</v>
      </c>
      <c r="D15" s="31" t="s">
        <v>49</v>
      </c>
      <c r="E15" s="31" t="s">
        <v>244</v>
      </c>
      <c r="F15" s="47">
        <v>300</v>
      </c>
      <c r="G15" s="47">
        <v>521</v>
      </c>
      <c r="H15" s="47">
        <v>24706</v>
      </c>
      <c r="I15" s="47">
        <v>22653</v>
      </c>
      <c r="J15" s="31" t="s">
        <v>245</v>
      </c>
      <c r="K15" s="47">
        <v>21848</v>
      </c>
      <c r="L15" s="157" t="s">
        <v>51</v>
      </c>
      <c r="M15" s="158">
        <f t="shared" si="0"/>
        <v>425.04</v>
      </c>
      <c r="N15" s="159" t="str">
        <f>VLOOKUP(C15,'Trips&amp;Operators'!$C$1:$E$99999,3,FALSE)</f>
        <v>MALAVE</v>
      </c>
      <c r="O15" s="184" t="s">
        <v>243</v>
      </c>
      <c r="P15" s="160"/>
      <c r="Q15" s="31"/>
      <c r="R15" s="100" t="str">
        <f>VLOOKUP(C15,'Train Runs'!$A$13:$AE$10025,31,0)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5" s="103" t="str">
        <f>VLOOKUP(C15,'Train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04:05:23-0600',mode:absolute,to:'2016-10-21 06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5" s="105" t="str">
        <f t="shared" si="1"/>
        <v>"C:\Program Files (x86)\AstroGrep\AstroGrep.exe" /spath="%USERPROFILE%\AppData\Local\Temp\OnboardLogs" /stypes="*4054*201610211*" /stext=" 11:.+((SYSTEM_STATE.+slice.+state.+changed )|(ment ac)|(system.+state.+changed )|(\[timeout)|(PRM\|1\|D)|(kpr)|(kdp)|(\|lc)|(penalty))" /e /r /s</v>
      </c>
      <c r="U15" s="9" t="str">
        <f t="shared" si="2"/>
        <v>4054</v>
      </c>
      <c r="V15" s="36">
        <f t="shared" si="3"/>
        <v>42664.488449074073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{"issue":{"subject":"","project_id":79,"tracker_id":40,"status_id":1,"priority_id":2,"assigned_to_id":23,"start_date":"2016-10-21","description":"","custom_fields":[{"id":1,"name":"Subdivision","value":"EC"},{"id":4,"name":"Milepost","value":"2.1848"},{"id":17,"name":"Train ID","value":"106-21"},{"id":16,"name":"Locomotive ID","value":"4054"},{"id":130,"name":"Impact","value":""},{"id":150,"name":"Time of Event (Mountain Time)","value":"05:43:22"},{"id":151,"name":"Denver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"%USERPROFILE%\AppData\Local\Temp\OnboardLogs"\RTDC4054\*4054*201610211* | grep -SE "((Enforcement Ac)|(PRM))" -</v>
      </c>
    </row>
    <row r="16" spans="1:29" s="1" customFormat="1" x14ac:dyDescent="0.25">
      <c r="A16" s="36">
        <v>42664.249293981484</v>
      </c>
      <c r="B16" s="31" t="s">
        <v>246</v>
      </c>
      <c r="C16" s="31" t="s">
        <v>397</v>
      </c>
      <c r="D16" s="31" t="s">
        <v>49</v>
      </c>
      <c r="E16" s="31" t="s">
        <v>244</v>
      </c>
      <c r="F16" s="47">
        <v>200</v>
      </c>
      <c r="G16" s="47">
        <v>310</v>
      </c>
      <c r="H16" s="47">
        <v>31529</v>
      </c>
      <c r="I16" s="47">
        <v>30861</v>
      </c>
      <c r="J16" s="31" t="s">
        <v>245</v>
      </c>
      <c r="K16" s="47">
        <v>30562</v>
      </c>
      <c r="L16" s="157" t="s">
        <v>51</v>
      </c>
      <c r="M16" s="158">
        <f t="shared" si="0"/>
        <v>157.87200000000001</v>
      </c>
      <c r="N16" s="159" t="str">
        <f>VLOOKUP(C16,'Trips&amp;Operators'!$C$1:$E$99999,3,FALSE)</f>
        <v>SANTIZO</v>
      </c>
      <c r="O16" s="184" t="s">
        <v>243</v>
      </c>
      <c r="P16" s="160"/>
      <c r="Q16" s="31"/>
      <c r="R16" s="100" t="str">
        <f>VLOOKUP(C16,'Train Runs'!$A$13:$AE$10025,31,0)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16" s="103" t="str">
        <f>VLOOKUP(C16,'Train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6" s="105" t="str">
        <f t="shared" si="1"/>
        <v>"C:\Program Files (x86)\AstroGrep\AstroGrep.exe" /spath="%USERPROFILE%\AppData\Local\Temp\OnboardLogs" /stypes="*4017*201610211*" /stext=" 11:.+((SYSTEM_STATE.+slice.+state.+changed )|(ment ac)|(system.+state.+changed )|(\[timeout)|(PRM\|1\|D)|(kpr)|(kdp)|(\|lc)|(penalty))" /e /r /s</v>
      </c>
      <c r="U16" s="9" t="str">
        <f t="shared" si="2"/>
        <v>4017</v>
      </c>
      <c r="V16" s="36">
        <f t="shared" si="3"/>
        <v>42664.499293981484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{"issue":{"subject":"","project_id":79,"tracker_id":40,"status_id":1,"priority_id":2,"assigned_to_id":23,"start_date":"2016-10-21","description":"","custom_fields":[{"id":1,"name":"Subdivision","value":"EC"},{"id":4,"name":"Milepost","value":"3.0562"},{"id":17,"name":"Train ID","value":"108-21"},{"id":16,"name":"Locomotive ID","value":"4017"},{"id":130,"name":"Impact","value":""},{"id":150,"name":"Time of Event (Mountain Time)","value":"05:58:59"},{"id":151,"name":"Denver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"%USERPROFILE%\AppData\Local\Temp\OnboardLogs"\RTDC4017\*4017*201610211* | grep -SE "((Enforcement Ac)|(PRM))" -</v>
      </c>
    </row>
    <row r="17" spans="1:30" s="1" customFormat="1" x14ac:dyDescent="0.25">
      <c r="A17" s="36">
        <v>42664.697835648149</v>
      </c>
      <c r="B17" s="31" t="s">
        <v>402</v>
      </c>
      <c r="C17" s="31" t="s">
        <v>424</v>
      </c>
      <c r="D17" s="31" t="s">
        <v>49</v>
      </c>
      <c r="E17" s="31" t="s">
        <v>244</v>
      </c>
      <c r="F17" s="47">
        <v>400</v>
      </c>
      <c r="G17" s="47">
        <v>572</v>
      </c>
      <c r="H17" s="47">
        <v>122480</v>
      </c>
      <c r="I17" s="47">
        <v>120617</v>
      </c>
      <c r="J17" s="31" t="s">
        <v>245</v>
      </c>
      <c r="K17" s="47">
        <v>119716</v>
      </c>
      <c r="L17" s="157" t="s">
        <v>51</v>
      </c>
      <c r="M17" s="158">
        <f t="shared" si="0"/>
        <v>475.72800000000001</v>
      </c>
      <c r="N17" s="159" t="str">
        <f>VLOOKUP(C17,'Trips&amp;Operators'!$C$1:$E$99999,3,FALSE)</f>
        <v>ADANE</v>
      </c>
      <c r="O17" s="184" t="s">
        <v>243</v>
      </c>
      <c r="P17" s="160"/>
      <c r="Q17" s="31"/>
      <c r="R17" s="100" t="str">
        <f>VLOOKUP(C17,'Train Runs'!$A$13:$AE$10025,31,0)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17" s="103" t="str">
        <f>VLOOKUP(C17,'Train Runs'!$A$13:$AE$10025,22,0)</f>
        <v>https://search-rtdc-monitor-bjffxe2xuh6vdkpspy63sjmuny.us-east-1.es.amazonaws.com/_plugin/kibana/#/discover/Steve-Slow-Train-Analysis-(2080s-and-2083s)?_g=(refreshInterval:(display:Off,section:0,value:0),time:(from:'2016-10-21 15:23:49-0600',mode:absolute,to:'2016-10-21 18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7" s="105" t="str">
        <f t="shared" si="1"/>
        <v>"C:\Program Files (x86)\AstroGrep\AstroGrep.exe" /spath="%USERPROFILE%\AppData\Local\Temp\OnboardLogs" /stypes="*4013*201610212*" /stext=" 22:.+((SYSTEM_STATE.+slice.+state.+changed )|(ment ac)|(system.+state.+changed )|(\[timeout)|(PRM\|1\|D)|(kpr)|(kdp)|(\|lc)|(penalty))" /e /r /s</v>
      </c>
      <c r="U17" s="9" t="str">
        <f t="shared" si="2"/>
        <v>4013</v>
      </c>
      <c r="V17" s="36">
        <f t="shared" si="3"/>
        <v>42664.947835648149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{"issue":{"subject":"","project_id":79,"tracker_id":40,"status_id":1,"priority_id":2,"assigned_to_id":23,"start_date":"2016-10-21","description":"","custom_fields":[{"id":1,"name":"Subdivision","value":"EC"},{"id":4,"name":"Milepost","value":"11.9716"},{"id":17,"name":"Train ID","value":"196-21"},{"id":16,"name":"Locomotive ID","value":"4013"},{"id":130,"name":"Impact","value":""},{"id":150,"name":"Time of Event (Mountain Time)","value":"16:44:53"},{"id":151,"name":"Denver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"%USERPROFILE%\AppData\Local\Temp\OnboardLogs"\RTDC4013\*4013*201610212* | grep -SE "((Enforcement Ac)|(PRM))" -</v>
      </c>
    </row>
    <row r="18" spans="1:30" s="1" customFormat="1" x14ac:dyDescent="0.25">
      <c r="A18" s="36">
        <v>42664.274861111109</v>
      </c>
      <c r="B18" s="31" t="s">
        <v>297</v>
      </c>
      <c r="C18" s="31" t="s">
        <v>399</v>
      </c>
      <c r="D18" s="31" t="s">
        <v>49</v>
      </c>
      <c r="E18" s="31" t="s">
        <v>244</v>
      </c>
      <c r="F18" s="47">
        <v>450</v>
      </c>
      <c r="G18" s="47">
        <v>564</v>
      </c>
      <c r="H18" s="47">
        <v>158684</v>
      </c>
      <c r="I18" s="47">
        <v>157249</v>
      </c>
      <c r="J18" s="31" t="s">
        <v>245</v>
      </c>
      <c r="K18" s="47">
        <v>156300</v>
      </c>
      <c r="L18" s="157" t="s">
        <v>51</v>
      </c>
      <c r="M18" s="158">
        <f t="shared" si="0"/>
        <v>501.072</v>
      </c>
      <c r="N18" s="159" t="str">
        <f>VLOOKUP(C18,'Trips&amp;Operators'!$C$1:$E$99999,3,FALSE)</f>
        <v>ROBINSON</v>
      </c>
      <c r="O18" s="184" t="s">
        <v>243</v>
      </c>
      <c r="P18" s="160"/>
      <c r="Q18" s="31"/>
      <c r="R18" s="100" t="str">
        <f>VLOOKUP(C18,'Train Runs'!$A$13:$AE$10025,31,0)</f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S18" s="103" t="str">
        <f>VLOOKUP(C18,'Train Runs'!$A$13:$AE$10025,22,0)</f>
        <v>https://search-rtdc-monitor-bjffxe2xuh6vdkpspy63sjmuny.us-east-1.es.amazonaws.com/_plugin/kibana/#/discover/Steve-Slow-Train-Analysis-(2080s-and-2083s)?_g=(refreshInterval:(display:Off,section:0,value:0),time:(from:'2016-10-21 05:12:45-0600',mode:absolute,to:'2016-10-21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8" s="105" t="str">
        <f t="shared" si="1"/>
        <v>"C:\Program Files (x86)\AstroGrep\AstroGrep.exe" /spath="%USERPROFILE%\AppData\Local\Temp\OnboardLogs" /stypes="*4015*201610211*" /stext=" 12:.+((SYSTEM_STATE.+slice.+state.+changed )|(ment ac)|(system.+state.+changed )|(\[timeout)|(PRM\|1\|D)|(kpr)|(kdp)|(\|lc)|(penalty))" /e /r /s</v>
      </c>
      <c r="U18" s="9" t="str">
        <f t="shared" si="2"/>
        <v>4015</v>
      </c>
      <c r="V18" s="36">
        <f t="shared" si="3"/>
        <v>42664.524861111109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{"issue":{"subject":"","project_id":79,"tracker_id":40,"status_id":1,"priority_id":2,"assigned_to_id":23,"start_date":"2016-10-21","description":"","custom_fields":[{"id":1,"name":"Subdivision","value":"EC"},{"id":4,"name":"Milepost","value":"15.63"},{"id":17,"name":"Train ID","value":"116-21"},{"id":16,"name":"Locomotive ID","value":"4015"},{"id":130,"name":"Impact","value":""},{"id":150,"name":"Time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"%USERPROFILE%\AppData\Local\Temp\OnboardLogs"\RTDC4015\*4015*201610211* | grep -SE "((Enforcement Ac)|(PRM))" -</v>
      </c>
    </row>
    <row r="19" spans="1:30" s="1" customFormat="1" x14ac:dyDescent="0.25">
      <c r="A19" s="36">
        <v>42664.546053240738</v>
      </c>
      <c r="B19" s="31" t="s">
        <v>296</v>
      </c>
      <c r="C19" s="31" t="s">
        <v>416</v>
      </c>
      <c r="D19" s="31" t="s">
        <v>49</v>
      </c>
      <c r="E19" s="31" t="s">
        <v>244</v>
      </c>
      <c r="F19" s="47">
        <v>550</v>
      </c>
      <c r="G19" s="47">
        <v>796</v>
      </c>
      <c r="H19" s="47">
        <v>217810</v>
      </c>
      <c r="I19" s="47">
        <v>222255</v>
      </c>
      <c r="J19" s="31" t="s">
        <v>245</v>
      </c>
      <c r="K19" s="47">
        <v>222090</v>
      </c>
      <c r="L19" s="157" t="s">
        <v>50</v>
      </c>
      <c r="M19" s="158">
        <f t="shared" si="0"/>
        <v>-87.12</v>
      </c>
      <c r="N19" s="159" t="str">
        <f>VLOOKUP(C19,'Trips&amp;Operators'!$C$1:$E$99999,3,FALSE)</f>
        <v>STORY</v>
      </c>
      <c r="O19" s="184" t="s">
        <v>243</v>
      </c>
      <c r="P19" s="160"/>
      <c r="Q19" s="31"/>
      <c r="R19" s="100" t="str">
        <f>VLOOKUP(C19,'Train Runs'!$A$13:$AE$10025,31,0)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S19" s="103" t="str">
        <f>VLOOKUP(C19,'Train Runs'!$A$13:$AE$10025,22,0)</f>
        <v>https://search-rtdc-monitor-bjffxe2xuh6vdkpspy63sjmuny.us-east-1.es.amazonaws.com/_plugin/kibana/#/discover/Steve-Slow-Train-Analysis-(2080s-and-2083s)?_g=(refreshInterval:(display:Off,section:0,value:0),time:(from:'2016-10-21 11:26:21-0600',mode:absolute,to:'2016-10-21 14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9" s="105" t="str">
        <f t="shared" si="1"/>
        <v>"C:\Program Files (x86)\AstroGrep\AstroGrep.exe" /spath="%USERPROFILE%\AppData\Local\Temp\OnboardLogs" /stypes="*4016*201610211*" /stext=" 19:.+((SYSTEM_STATE.+slice.+state.+changed )|(ment ac)|(system.+state.+changed )|(\[timeout)|(PRM\|1\|D)|(kpr)|(kdp)|(\|lc)|(penalty))" /e /r /s</v>
      </c>
      <c r="U19" s="9" t="str">
        <f t="shared" si="2"/>
        <v>4016</v>
      </c>
      <c r="V19" s="36">
        <f t="shared" si="3"/>
        <v>42664.796053240738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{"issue":{"subject":"","project_id":79,"tracker_id":40,"status_id":1,"priority_id":2,"assigned_to_id":23,"start_date":"2016-10-21","description":"","custom_fields":[{"id":1,"name":"Subdivision","value":"EC"},{"id":4,"name":"Milepost","value":"22.209"},{"id":17,"name":"Train ID","value":"171-21"},{"id":16,"name":"Locomotive ID","value":"4016"},{"id":130,"name":"Impact","value":""},{"id":150,"name":"Time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"%USERPROFILE%\AppData\Local\Temp\OnboardLogs"\RTDC4016\*4016*201610211* | grep -SE "((Enforcement Ac)|(PRM))" -</v>
      </c>
    </row>
    <row r="20" spans="1:30" x14ac:dyDescent="0.25">
      <c r="A20" s="36">
        <v>42664.899050925924</v>
      </c>
      <c r="B20" s="31" t="s">
        <v>405</v>
      </c>
      <c r="C20" s="31" t="s">
        <v>434</v>
      </c>
      <c r="D20" s="31" t="s">
        <v>49</v>
      </c>
      <c r="E20" s="31" t="s">
        <v>244</v>
      </c>
      <c r="F20" s="47">
        <v>350</v>
      </c>
      <c r="G20" s="47">
        <v>546</v>
      </c>
      <c r="H20" s="47">
        <v>222656</v>
      </c>
      <c r="I20" s="47">
        <v>224163</v>
      </c>
      <c r="J20" s="31" t="s">
        <v>245</v>
      </c>
      <c r="K20" s="47">
        <v>224578</v>
      </c>
      <c r="L20" s="157" t="s">
        <v>50</v>
      </c>
      <c r="M20" s="158">
        <f t="shared" si="0"/>
        <v>219.12</v>
      </c>
      <c r="N20" s="159" t="str">
        <f>VLOOKUP(C20,'Trips&amp;Operators'!$C$1:$E$99999,3,FALSE)</f>
        <v>PUGH</v>
      </c>
      <c r="O20" s="184" t="s">
        <v>243</v>
      </c>
      <c r="P20" s="160"/>
      <c r="Q20" s="31"/>
      <c r="R20" s="100" t="str">
        <f>VLOOKUP(C20,'Train Runs'!$A$13:$AE$10025,31,0)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20" s="103" t="str">
        <f>VLOOKUP(C20,'Train Runs'!$A$13:$AE$10025,22,0)</f>
        <v>https://search-rtdc-monitor-bjffxe2xuh6vdkpspy63sjmuny.us-east-1.es.amazonaws.com/_plugin/kibana/#/discover/Steve-Slow-Train-Analysis-(2080s-and-2083s)?_g=(refreshInterval:(display:Off,section:0,value:0),time:(from:'2016-10-21 19:46:21-0600',mode:absolute,to:'2016-10-21 22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5" t="str">
        <f t="shared" si="1"/>
        <v>"C:\Program Files (x86)\AstroGrep\AstroGrep.exe" /spath="%USERPROFILE%\AppData\Local\Temp\OnboardLogs" /stypes="*4014*201610220*" /stext=" 03:.+((SYSTEM_STATE.+slice.+state.+changed )|(ment ac)|(system.+state.+changed )|(\[timeout)|(PRM\|1\|D)|(kpr)|(kdp)|(\|lc)|(penalty))" /e /r /s</v>
      </c>
      <c r="U20" s="9" t="str">
        <f t="shared" si="2"/>
        <v>4014</v>
      </c>
      <c r="V20" s="36">
        <f t="shared" si="3"/>
        <v>42665.149050925924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{"issue":{"subject":"","project_id":79,"tracker_id":40,"status_id":1,"priority_id":2,"assigned_to_id":23,"start_date":"2016-10-21","description":"","custom_fields":[{"id":1,"name":"Subdivision","value":"EC"},{"id":4,"name":"Milepost","value":"22.4578"},{"id":17,"name":"Train ID","value":"229-21"},{"id":16,"name":"Locomotive ID","value":"4014"},{"id":130,"name":"Impact","value":""},{"id":150,"name":"Time of Event (Mountain Time)","value":"21:34:38"},{"id":151,"name":"Denver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"%USERPROFILE%\AppData\Local\Temp\OnboardLogs"\RTDC4014\*4014*201610220* | grep -SE "((Enforcement Ac)|(PRM))" -</v>
      </c>
      <c r="AD20" s="1"/>
    </row>
    <row r="21" spans="1:30" s="1" customFormat="1" x14ac:dyDescent="0.25">
      <c r="A21" s="36">
        <v>42664.229039351849</v>
      </c>
      <c r="B21" s="31" t="s">
        <v>246</v>
      </c>
      <c r="C21" s="31" t="s">
        <v>397</v>
      </c>
      <c r="D21" s="31" t="s">
        <v>98</v>
      </c>
      <c r="E21" s="31" t="s">
        <v>244</v>
      </c>
      <c r="F21" s="47">
        <v>350</v>
      </c>
      <c r="G21" s="47">
        <v>401</v>
      </c>
      <c r="H21" s="47">
        <v>225292</v>
      </c>
      <c r="I21" s="47">
        <v>223943</v>
      </c>
      <c r="J21" s="31" t="s">
        <v>245</v>
      </c>
      <c r="K21" s="47">
        <v>228668</v>
      </c>
      <c r="L21" s="157" t="s">
        <v>51</v>
      </c>
      <c r="M21" s="158">
        <f t="shared" si="0"/>
        <v>-2494.8000000000002</v>
      </c>
      <c r="N21" s="159" t="str">
        <f>VLOOKUP(C21,'Trips&amp;Operators'!$C$1:$E$99999,3,FALSE)</f>
        <v>SANTIZO</v>
      </c>
      <c r="O21" s="184" t="s">
        <v>243</v>
      </c>
      <c r="P21" s="160"/>
      <c r="Q21" s="31"/>
      <c r="R21" s="100" t="str">
        <f>VLOOKUP(C21,'Train Runs'!$A$13:$AE$10025,31,0)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1" s="103" t="str">
        <f>VLOOKUP(C21,'Train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5" t="str">
        <f t="shared" si="1"/>
        <v>"C:\Program Files (x86)\AstroGrep\AstroGrep.exe" /spath="%USERPROFILE%\AppData\Local\Temp\OnboardLogs" /stypes="*4017*201610211*" /stext=" 11:.+((SYSTEM_STATE.+slice.+state.+changed )|(ment ac)|(system.+state.+changed )|(\[timeout)|(PRM\|1\|D)|(kpr)|(kdp)|(\|lc)|(penalty))" /e /r /s</v>
      </c>
      <c r="U21" s="9" t="str">
        <f t="shared" si="2"/>
        <v>4017</v>
      </c>
      <c r="V21" s="36">
        <f t="shared" si="3"/>
        <v>42664.479039351849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{"issue":{"subject":"","project_id":79,"tracker_id":40,"status_id":1,"priority_id":2,"assigned_to_id":23,"start_date":"2016-10-21","description":"","custom_fields":[{"id":1,"name":"Subdivision","value":"EC"},{"id":4,"name":"Milepost","value":"22.8668"},{"id":17,"name":"Train ID","value":"108-21"},{"id":16,"name":"Locomotive ID","value":"4017"},{"id":130,"name":"Impact","value":""},{"id":150,"name":"Time of Event (Mountain Time)","value":"05:29:49"},{"id":151,"name":"Denver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"%USERPROFILE%\AppData\Local\Temp\OnboardLogs"\RTDC4017\*4017*201610211* | grep -SE "((Enforcement Ac)|(PRM))" -</v>
      </c>
    </row>
    <row r="22" spans="1:30" x14ac:dyDescent="0.25">
      <c r="A22" s="36">
        <v>42664.578148148146</v>
      </c>
      <c r="B22" s="31" t="s">
        <v>280</v>
      </c>
      <c r="C22" s="31" t="s">
        <v>417</v>
      </c>
      <c r="D22" s="31" t="s">
        <v>49</v>
      </c>
      <c r="E22" s="31" t="s">
        <v>244</v>
      </c>
      <c r="F22" s="47">
        <v>150</v>
      </c>
      <c r="G22" s="47">
        <v>271</v>
      </c>
      <c r="H22" s="47">
        <v>229465</v>
      </c>
      <c r="I22" s="47">
        <v>229938</v>
      </c>
      <c r="J22" s="31" t="s">
        <v>245</v>
      </c>
      <c r="K22" s="47">
        <v>230436</v>
      </c>
      <c r="L22" s="157" t="s">
        <v>50</v>
      </c>
      <c r="M22" s="158">
        <f t="shared" si="0"/>
        <v>262.94400000000002</v>
      </c>
      <c r="N22" s="159" t="str">
        <f>VLOOKUP(C22,'Trips&amp;Operators'!$C$1:$E$99999,3,FALSE)</f>
        <v>BROWN</v>
      </c>
      <c r="O22" s="184" t="s">
        <v>243</v>
      </c>
      <c r="P22" s="160"/>
      <c r="Q22" s="31"/>
      <c r="R22" s="100" t="str">
        <f>VLOOKUP(C22,'Train Runs'!$A$13:$AE$10025,31,0)</f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S22" s="103" t="str">
        <f>VLOOKUP(C22,'Train Runs'!$A$13:$AE$10025,22,0)</f>
        <v>https://search-rtdc-monitor-bjffxe2xuh6vdkpspy63sjmuny.us-east-1.es.amazonaws.com/_plugin/kibana/#/discover/Steve-Slow-Train-Analysis-(2080s-and-2083s)?_g=(refreshInterval:(display:Off,section:0,value:0),time:(from:'2016-10-21 12:11:01-0600',mode:absolute,to:'2016-10-21 14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2" s="105" t="str">
        <f t="shared" si="1"/>
        <v>"C:\Program Files (x86)\AstroGrep\AstroGrep.exe" /spath="%USERPROFILE%\AppData\Local\Temp\OnboardLogs" /stypes="*4053*201610211*" /stext=" 19:.+((SYSTEM_STATE.+slice.+state.+changed )|(ment ac)|(system.+state.+changed )|(\[timeout)|(PRM\|1\|D)|(kpr)|(kdp)|(\|lc)|(penalty))" /e /r /s</v>
      </c>
      <c r="U22" s="9" t="str">
        <f t="shared" si="2"/>
        <v>4053</v>
      </c>
      <c r="V22" s="36">
        <f t="shared" si="3"/>
        <v>42664.828148148146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{"issue":{"subject":"","project_id":79,"tracker_id":40,"status_id":1,"priority_id":2,"assigned_to_id":23,"start_date":"2016-10-21","description":"","custom_fields":[{"id":1,"name":"Subdivision","value":"EC"},{"id":4,"name":"Milepost","value":"23.0436"},{"id":17,"name":"Train ID","value":"177-21"},{"id":16,"name":"Locomotive ID","value":"4053"},{"id":130,"name":"Impact","value":""},{"id":150,"name":"Time of Event (Mountain Time)","value":"13:52:32"},{"id":151,"name":"Denver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"%USERPROFILE%\AppData\Local\Temp\OnboardLogs"\RTDC4053\*4053*201610211* | grep -SE "((Enforcement Ac)|(PRM))" -</v>
      </c>
      <c r="AD22" s="1"/>
    </row>
    <row r="23" spans="1:30" x14ac:dyDescent="0.25">
      <c r="A23" s="36">
        <v>42664.51971064815</v>
      </c>
      <c r="B23" s="31" t="s">
        <v>256</v>
      </c>
      <c r="C23" s="31" t="s">
        <v>413</v>
      </c>
      <c r="D23" s="31" t="s">
        <v>49</v>
      </c>
      <c r="E23" s="31" t="s">
        <v>247</v>
      </c>
      <c r="F23" s="47">
        <v>0</v>
      </c>
      <c r="G23" s="47">
        <v>322</v>
      </c>
      <c r="H23" s="47">
        <v>22366</v>
      </c>
      <c r="I23" s="47">
        <v>21557</v>
      </c>
      <c r="J23" s="31" t="s">
        <v>248</v>
      </c>
      <c r="K23" s="47">
        <v>20632</v>
      </c>
      <c r="L23" s="157" t="s">
        <v>51</v>
      </c>
      <c r="M23" s="158">
        <f t="shared" si="0"/>
        <v>488.4</v>
      </c>
      <c r="N23" s="159" t="str">
        <f>VLOOKUP(C23,'Trips&amp;Operators'!$C$1:$E$99999,3,FALSE)</f>
        <v>STEWART</v>
      </c>
      <c r="O23" s="184" t="s">
        <v>322</v>
      </c>
      <c r="P23" s="160" t="s">
        <v>785</v>
      </c>
      <c r="Q23" s="31"/>
      <c r="R23" s="100" t="str">
        <f>VLOOKUP(C23,'Train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23" s="103" t="str">
        <f>VLOOKUP(C23,'Train Runs'!$A$13:$AE$10025,22,0)</f>
        <v>https://search-rtdc-monitor-bjffxe2xuh6vdkpspy63sjmuny.us-east-1.es.amazonaws.com/_plugin/kibana/#/discover/Steve-Slow-Train-Analysis-(2080s-and-2083s)?_g=(refreshInterval:(display:Off,section:0,value:0),time:(from:'2016-10-21 10:52:04-0600',mode:absolute,to:'2016-10-21 13:28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/stypes="*4041*201610211*" /stext=" 18:.+((SYSTEM_STATE.+slice.+state.+changed )|(ment ac)|(system.+state.+changed )|(\[timeout)|(PRM\|1\|D)|(kpr)|(kdp)|(\|lc)|(penalty))" /e /r /s</v>
      </c>
      <c r="U23" s="9" t="str">
        <f t="shared" si="2"/>
        <v>4041</v>
      </c>
      <c r="V23" s="36">
        <f t="shared" si="3"/>
        <v>42664.76971064815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{"issue":{"subject":"Wi-MAX outage","project_id":79,"tracker_id":40,"status_id":1,"priority_id":2,"assigned_to_id":23,"start_date":"2016-10-21","description":"http://stevetu21.github.io/eaglep3/load_kml.html?kml=http://rtdc.gmaps-snips.s3.amazonaws.com/ac80d2cc-a0d2-4a9c-a7d4-7b6aea5e2835.kml","custom_fields":[{"id":1,"name":"Subdivision","value":"EC"},{"id":4,"name":"Milepost","value":"2.0632"},{"id":17,"name":"Train ID","value":"160-21"},{"id":16,"name":"Locomotive ID","value":"4041"},{"id":130,"name":"Impact","value":"Enforcement"},{"id":150,"name":"Time of Event (Mountain Time)","value":"12:28:23"},{"id":151,"name":"Denver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s="185" t="s">
        <v>789</v>
      </c>
      <c r="AA23" s="53" t="s">
        <v>126</v>
      </c>
      <c r="AB23" s="53" t="s">
        <v>139</v>
      </c>
      <c r="AC23" s="141" t="str">
        <f t="shared" si="7"/>
        <v>grep -hSE -A100 "Enforcement Action" "%USERPROFILE%\AppData\Local\Temp\OnboardLogs"\RTDC4041\*4041*201610211* | grep -SE "((Enforcement Ac)|(PRM))" -</v>
      </c>
      <c r="AD23" s="1"/>
    </row>
    <row r="24" spans="1:30" x14ac:dyDescent="0.25">
      <c r="A24" s="36">
        <v>42664.433807870373</v>
      </c>
      <c r="B24" s="31" t="s">
        <v>256</v>
      </c>
      <c r="C24" s="31" t="s">
        <v>408</v>
      </c>
      <c r="D24" s="31" t="s">
        <v>49</v>
      </c>
      <c r="E24" s="31" t="s">
        <v>247</v>
      </c>
      <c r="F24" s="47">
        <v>0</v>
      </c>
      <c r="G24" s="47">
        <v>451</v>
      </c>
      <c r="H24" s="47">
        <v>130412</v>
      </c>
      <c r="I24" s="47">
        <v>128997</v>
      </c>
      <c r="J24" s="31" t="s">
        <v>248</v>
      </c>
      <c r="K24" s="47">
        <v>127587</v>
      </c>
      <c r="L24" s="157" t="s">
        <v>51</v>
      </c>
      <c r="M24" s="158">
        <f t="shared" si="0"/>
        <v>744.48</v>
      </c>
      <c r="N24" s="159" t="str">
        <f>VLOOKUP(C24,'Trips&amp;Operators'!$C$1:$E$99999,3,FALSE)</f>
        <v>DAVIS</v>
      </c>
      <c r="O24" s="184" t="s">
        <v>243</v>
      </c>
      <c r="P24" s="160" t="s">
        <v>790</v>
      </c>
      <c r="Q24" s="31"/>
      <c r="R24" s="100" t="str">
        <f>VLOOKUP(C24,'Train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24" s="103" t="str">
        <f>VLOOKUP(C24,'Train Runs'!$A$13:$AE$10025,22,0)</f>
        <v>https://search-rtdc-monitor-bjffxe2xuh6vdkpspy63sjmuny.us-east-1.es.amazonaws.com/_plugin/kibana/#/discover/Steve-Slow-Train-Analysis-(2080s-and-2083s)?_g=(refreshInterval:(display:Off,section:0,value:0),time:(from:'2016-10-21 09:06:48-0600',mode:absolute,to:'2016-10-21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4" s="105" t="str">
        <f t="shared" si="1"/>
        <v>"C:\Program Files (x86)\AstroGrep\AstroGrep.exe" /spath="%USERPROFILE%\AppData\Local\Temp\OnboardLogs" /stypes="*4041*201610211*" /stext=" 16:.+((SYSTEM_STATE.+slice.+state.+changed )|(ment ac)|(system.+state.+changed )|(\[timeout)|(PRM\|1\|D)|(kpr)|(kdp)|(\|lc)|(penalty))" /e /r /s</v>
      </c>
      <c r="U24" s="9" t="str">
        <f t="shared" si="2"/>
        <v>4041</v>
      </c>
      <c r="V24" s="36">
        <f t="shared" si="3"/>
        <v>42664.683807870373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{"issue":{"subject":"40th 4S STOP, cleared afterward","project_id":79,"tracker_id":40,"status_id":1,"priority_id":2,"assigned_to_id":23,"start_date":"2016-10-21","description":"","custom_fields":[{"id":1,"name":"Subdivision","value":"EC"},{"id":4,"name":"Milepost","value":"12.7587"},{"id":17,"name":"Train ID","value":"146-21"},{"id":16,"name":"Locomotive ID","value":"4041"},{"id":130,"name":"Impact","value":""},{"id":150,"name":"Time of Event (Mountain Time)","value":"10:24:41"},{"id":151,"name":"Denver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"%USERPROFILE%\AppData\Local\Temp\OnboardLogs"\RTDC4041\*4041*201610211* | grep -SE "((Enforcement Ac)|(PRM))" -</v>
      </c>
      <c r="AD24" s="1"/>
    </row>
    <row r="25" spans="1:30" ht="15" customHeight="1" x14ac:dyDescent="0.25">
      <c r="A25" s="36">
        <v>42664.38449074074</v>
      </c>
      <c r="B25" s="31" t="s">
        <v>246</v>
      </c>
      <c r="C25" s="31" t="s">
        <v>407</v>
      </c>
      <c r="D25" s="31" t="s">
        <v>49</v>
      </c>
      <c r="E25" s="31" t="s">
        <v>247</v>
      </c>
      <c r="F25" s="47">
        <v>0</v>
      </c>
      <c r="G25" s="47">
        <v>97</v>
      </c>
      <c r="H25" s="47">
        <v>150020</v>
      </c>
      <c r="I25" s="47">
        <v>149874</v>
      </c>
      <c r="J25" s="31" t="s">
        <v>248</v>
      </c>
      <c r="K25" s="47">
        <v>149700</v>
      </c>
      <c r="L25" s="157" t="s">
        <v>51</v>
      </c>
      <c r="M25" s="158">
        <f t="shared" si="0"/>
        <v>91.872</v>
      </c>
      <c r="N25" s="159" t="str">
        <f>VLOOKUP(C25,'Trips&amp;Operators'!$C$1:$E$99999,3,FALSE)</f>
        <v>SANTIZO</v>
      </c>
      <c r="O25" s="184" t="s">
        <v>322</v>
      </c>
      <c r="P25" s="160" t="s">
        <v>784</v>
      </c>
      <c r="Q25" s="31"/>
      <c r="R25" s="100" t="str">
        <f>VLOOKUP(C25,'Train Runs'!$A$13:$AE$10025,31,0)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5" s="103" t="str">
        <f>VLOOKUP(C25,'Train Runs'!$A$13:$AE$10025,22,0)</f>
        <v>https://search-rtdc-monitor-bjffxe2xuh6vdkpspy63sjmuny.us-east-1.es.amazonaws.com/_plugin/kibana/#/discover/Steve-Slow-Train-Analysis-(2080s-and-2083s)?_g=(refreshInterval:(display:Off,section:0,value:0),time:(from:'2016-10-21 07:39:59-0600',mode:absolute,to:'2016-10-21 10:14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5" s="105" t="str">
        <f t="shared" si="1"/>
        <v>"C:\Program Files (x86)\AstroGrep\AstroGrep.exe" /spath="%USERPROFILE%\AppData\Local\Temp\OnboardLogs" /stypes="*4017*201610211*" /stext=" 15:.+((SYSTEM_STATE.+slice.+state.+changed )|(ment ac)|(system.+state.+changed )|(\[timeout)|(PRM\|1\|D)|(kpr)|(kdp)|(\|lc)|(penalty))" /e /r /s</v>
      </c>
      <c r="U25" s="9" t="str">
        <f t="shared" si="2"/>
        <v>4017</v>
      </c>
      <c r="V25" s="36">
        <f t="shared" si="3"/>
        <v>42664.63449074074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{"issue":{"subject":"CP 40th ELXS failure","project_id":79,"tracker_id":40,"status_id":1,"priority_id":2,"assigned_to_id":23,"start_date":"2016-10-21","description":"CP 40th failed around 201610-21 08:30, went to Standby unit","custom_fields":[{"id":1,"name":"Subdivision","value":"EC"},{"id":4,"name":"Milepost","value":"14.97"},{"id":17,"name":"Train ID","value":"136-21"},{"id":16,"name":"Locomotive ID","value":"4017"},{"id":130,"name":"Impact","value":"Enforcement"},{"id":150,"name":"Time of Event (Mountain Time)","value":"09:13:40"},{"id":151,"name":"Denver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5" s="53" t="s">
        <v>791</v>
      </c>
      <c r="AA25" s="53" t="s">
        <v>126</v>
      </c>
      <c r="AB25" s="53" t="s">
        <v>131</v>
      </c>
      <c r="AC25" s="141" t="str">
        <f t="shared" si="7"/>
        <v>grep -hSE -A100 "Enforcement Action" "%USERPROFILE%\AppData\Local\Temp\OnboardLogs"\RTDC4017\*4017*201610211* | grep -SE "((Enforcement Ac)|(PRM))" -</v>
      </c>
      <c r="AD25" s="1"/>
    </row>
    <row r="26" spans="1:30" x14ac:dyDescent="0.25">
      <c r="A26" s="36">
        <v>42664.685960648145</v>
      </c>
      <c r="B26" s="31" t="s">
        <v>296</v>
      </c>
      <c r="C26" s="31" t="s">
        <v>423</v>
      </c>
      <c r="D26" s="31" t="s">
        <v>49</v>
      </c>
      <c r="E26" s="31" t="s">
        <v>247</v>
      </c>
      <c r="F26" s="47">
        <v>0</v>
      </c>
      <c r="G26" s="47">
        <v>579</v>
      </c>
      <c r="H26" s="47">
        <v>149657</v>
      </c>
      <c r="I26" s="47">
        <v>152488</v>
      </c>
      <c r="J26" s="31" t="s">
        <v>248</v>
      </c>
      <c r="K26" s="47">
        <v>155600</v>
      </c>
      <c r="L26" s="157" t="s">
        <v>50</v>
      </c>
      <c r="M26" s="158">
        <f t="shared" si="0"/>
        <v>1643.136</v>
      </c>
      <c r="N26" s="159" t="str">
        <f>VLOOKUP(C26,'Trips&amp;Operators'!$C$1:$E$99999,3,FALSE)</f>
        <v>STORY</v>
      </c>
      <c r="O26" s="184" t="s">
        <v>243</v>
      </c>
      <c r="P26" s="160" t="s">
        <v>792</v>
      </c>
      <c r="Q26" s="31"/>
      <c r="R26" s="100" t="str">
        <f>VLOOKUP(C26,'Train Runs'!$A$13:$AE$10025,31,0)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S26" s="103" t="str">
        <f>VLOOKUP(C26,'Train Runs'!$A$13:$AE$10025,22,0)</f>
        <v>https://search-rtdc-monitor-bjffxe2xuh6vdkpspy63sjmuny.us-east-1.es.amazonaws.com/_plugin/kibana/#/discover/Steve-Slow-Train-Analysis-(2080s-and-2083s)?_g=(refreshInterval:(display:Off,section:0,value:0),time:(from:'2016-10-21 14:48:35-0600',mode:absolute,to:'2016-10-21 17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6" s="105" t="str">
        <f t="shared" si="1"/>
        <v>"C:\Program Files (x86)\AstroGrep\AstroGrep.exe" /spath="%USERPROFILE%\AppData\Local\Temp\OnboardLogs" /stypes="*4016*201610212*" /stext=" 22:.+((SYSTEM_STATE.+slice.+state.+changed )|(ment ac)|(system.+state.+changed )|(\[timeout)|(PRM\|1\|D)|(kpr)|(kdp)|(\|lc)|(penalty))" /e /r /s</v>
      </c>
      <c r="U26" s="9" t="str">
        <f t="shared" si="2"/>
        <v>4016</v>
      </c>
      <c r="V26" s="36">
        <f t="shared" si="3"/>
        <v>42664.935960648145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{"issue":{"subject":"61st 2N STOP, cleared afterward","project_id":79,"tracker_id":40,"status_id":1,"priority_id":2,"assigned_to_id":23,"start_date":"2016-10-21","description":"","custom_fields":[{"id":1,"name":"Subdivision","value":"EC"},{"id":4,"name":"Milepost","value":"15.56"},{"id":17,"name":"Train ID","value":"199-21"},{"id":16,"name":"Locomotive ID","value":"4016"},{"id":130,"name":"Impact","value":""},{"id":150,"name":"Time of Event (Mountain Time)","value":"16:27:47"},{"id":151,"name":"Denver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"%USERPROFILE%\AppData\Local\Temp\OnboardLogs"\RTDC4016\*4016*201610212* | grep -SE "((Enforcement Ac)|(PRM))" -</v>
      </c>
      <c r="AD26" s="1"/>
    </row>
    <row r="27" spans="1:30" x14ac:dyDescent="0.25">
      <c r="A27" s="36">
        <v>42664.255949074075</v>
      </c>
      <c r="B27" s="31" t="s">
        <v>246</v>
      </c>
      <c r="C27" s="31" t="s">
        <v>397</v>
      </c>
      <c r="D27" s="31" t="s">
        <v>49</v>
      </c>
      <c r="E27" s="31" t="s">
        <v>249</v>
      </c>
      <c r="F27" s="47">
        <v>0</v>
      </c>
      <c r="G27" s="47">
        <v>80</v>
      </c>
      <c r="H27" s="47">
        <v>245</v>
      </c>
      <c r="I27" s="47">
        <v>174</v>
      </c>
      <c r="J27" s="31" t="s">
        <v>250</v>
      </c>
      <c r="K27" s="47">
        <v>1</v>
      </c>
      <c r="L27" s="157" t="s">
        <v>51</v>
      </c>
      <c r="M27" s="158">
        <f t="shared" si="0"/>
        <v>91.343999999999994</v>
      </c>
      <c r="N27" s="159" t="str">
        <f>VLOOKUP(C27,'Trips&amp;Operators'!$C$1:$E$99999,3,FALSE)</f>
        <v>SANTIZO</v>
      </c>
      <c r="O27" s="184" t="s">
        <v>243</v>
      </c>
      <c r="P27" s="160"/>
      <c r="Q27" s="31"/>
      <c r="R27" s="100" t="str">
        <f>VLOOKUP(C27,'Train Runs'!$A$13:$AE$10025,31,0)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7" s="103" t="str">
        <f>VLOOKUP(C27,'Train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7" s="105" t="str">
        <f t="shared" si="1"/>
        <v>"C:\Program Files (x86)\AstroGrep\AstroGrep.exe" /spath="%USERPROFILE%\AppData\Local\Temp\OnboardLogs" /stypes="*4017*201610211*" /stext=" 12:.+((SYSTEM_STATE.+slice.+state.+changed )|(ment ac)|(system.+state.+changed )|(\[timeout)|(PRM\|1\|D)|(kpr)|(kdp)|(\|lc)|(penalty))" /e /r /s</v>
      </c>
      <c r="U27" s="9" t="str">
        <f t="shared" si="2"/>
        <v>4017</v>
      </c>
      <c r="V27" s="36">
        <f t="shared" si="3"/>
        <v>42664.505949074075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ID","value":"108-21"},{"id":16,"name":"Locomotive ID","value":"4017"},{"id":130,"name":"Impact","value":""},{"id":150,"name":"Time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"%USERPROFILE%\AppData\Local\Temp\OnboardLogs"\RTDC4017\*4017*201610211* | grep -SE "((Enforcement Ac)|(PRM))" -</v>
      </c>
      <c r="AD27" s="1"/>
    </row>
    <row r="28" spans="1:30" x14ac:dyDescent="0.25">
      <c r="A28" s="36">
        <v>42664.347685185188</v>
      </c>
      <c r="B28" s="31" t="s">
        <v>402</v>
      </c>
      <c r="C28" s="31" t="s">
        <v>403</v>
      </c>
      <c r="D28" s="31" t="s">
        <v>49</v>
      </c>
      <c r="E28" s="31" t="s">
        <v>249</v>
      </c>
      <c r="F28" s="47">
        <v>0</v>
      </c>
      <c r="G28" s="47">
        <v>48</v>
      </c>
      <c r="H28" s="47">
        <v>160</v>
      </c>
      <c r="I28" s="47">
        <v>119</v>
      </c>
      <c r="J28" s="31" t="s">
        <v>250</v>
      </c>
      <c r="K28" s="47">
        <v>1</v>
      </c>
      <c r="L28" s="157" t="s">
        <v>51</v>
      </c>
      <c r="M28" s="158">
        <f t="shared" si="0"/>
        <v>62.304000000000002</v>
      </c>
      <c r="N28" s="159" t="str">
        <f>VLOOKUP(C28,'Trips&amp;Operators'!$C$1:$E$99999,3,FALSE)</f>
        <v>SPECTOR</v>
      </c>
      <c r="O28" s="184" t="s">
        <v>243</v>
      </c>
      <c r="P28" s="160"/>
      <c r="Q28" s="31"/>
      <c r="R28" s="100" t="str">
        <f>VLOOKUP(C28,'Train Runs'!$A$13:$AE$10025,31,0)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28" s="103" t="str">
        <f>VLOOKUP(C28,'Train Runs'!$A$13:$AE$10025,22,0)</f>
        <v>https://search-rtdc-monitor-bjffxe2xuh6vdkpspy63sjmuny.us-east-1.es.amazonaws.com/_plugin/kibana/#/discover/Steve-Slow-Train-Analysis-(2080s-and-2083s)?_g=(refreshInterval:(display:Off,section:0,value:0),time:(from:'2016-10-21 06:33:39-0600',mode:absolute,to:'2016-10-21 09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8" s="105" t="str">
        <f t="shared" si="1"/>
        <v>"C:\Program Files (x86)\AstroGrep\AstroGrep.exe" /spath="%USERPROFILE%\AppData\Local\Temp\OnboardLogs" /stypes="*4013*201610211*" /stext=" 14:.+((SYSTEM_STATE.+slice.+state.+changed )|(ment ac)|(system.+state.+changed )|(\[timeout)|(PRM\|1\|D)|(kpr)|(kdp)|(\|lc)|(penalty))" /e /r /s</v>
      </c>
      <c r="U28" s="9" t="str">
        <f t="shared" si="2"/>
        <v>4013</v>
      </c>
      <c r="V28" s="36">
        <f t="shared" si="3"/>
        <v>42664.597685185188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ID","value":"126-21"},{"id":16,"name":"Locomotive ID","value":"4013"},{"id":130,"name":"Impact","value":""},{"id":150,"name":"Time of Event (Mountain Time)","value":"08:20:40"},{"id":151,"name":"Denver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"%USERPROFILE%\AppData\Local\Temp\OnboardLogs"\RTDC4013\*4013*201610211* | grep -SE "((Enforcement Ac)|(PRM))" -</v>
      </c>
      <c r="AD28" s="1"/>
    </row>
    <row r="29" spans="1:30" x14ac:dyDescent="0.25">
      <c r="A29" s="36">
        <v>42664.636504629627</v>
      </c>
      <c r="B29" s="31" t="s">
        <v>402</v>
      </c>
      <c r="C29" s="31" t="s">
        <v>420</v>
      </c>
      <c r="D29" s="31" t="s">
        <v>49</v>
      </c>
      <c r="E29" s="31" t="s">
        <v>249</v>
      </c>
      <c r="F29" s="47">
        <v>0</v>
      </c>
      <c r="G29" s="47">
        <v>70</v>
      </c>
      <c r="H29" s="47">
        <v>267</v>
      </c>
      <c r="I29" s="47">
        <v>196</v>
      </c>
      <c r="J29" s="31" t="s">
        <v>250</v>
      </c>
      <c r="K29" s="47">
        <v>1</v>
      </c>
      <c r="L29" s="157" t="s">
        <v>51</v>
      </c>
      <c r="M29" s="158">
        <f t="shared" si="0"/>
        <v>102.96</v>
      </c>
      <c r="N29" s="159" t="str">
        <f>VLOOKUP(C29,'Trips&amp;Operators'!$C$1:$E$99999,3,FALSE)</f>
        <v>ADANE</v>
      </c>
      <c r="O29" s="184" t="s">
        <v>243</v>
      </c>
      <c r="P29" s="160"/>
      <c r="Q29" s="31"/>
      <c r="R29" s="100" t="str">
        <f>VLOOKUP(C29,'Train Runs'!$A$13:$AE$10025,31,0)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29" s="103" t="str">
        <f>VLOOKUP(C29,'Train Runs'!$A$13:$AE$10025,22,0)</f>
        <v>https://search-rtdc-monitor-bjffxe2xuh6vdkpspy63sjmuny.us-east-1.es.amazonaws.com/_plugin/kibana/#/discover/Steve-Slow-Train-Analysis-(2080s-and-2083s)?_g=(refreshInterval:(display:Off,section:0,value:0),time:(from:'2016-10-21 13:33:42-0600',mode:absolute,to:'2016-10-21 16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5" t="str">
        <f t="shared" si="1"/>
        <v>"C:\Program Files (x86)\AstroGrep\AstroGrep.exe" /spath="%USERPROFILE%\AppData\Local\Temp\OnboardLogs" /stypes="*4013*201610212*" /stext=" 21:.+((SYSTEM_STATE.+slice.+state.+changed )|(ment ac)|(system.+state.+changed )|(\[timeout)|(PRM\|1\|D)|(kpr)|(kdp)|(\|lc)|(penalty))" /e /r /s</v>
      </c>
      <c r="U29" s="9" t="str">
        <f t="shared" si="2"/>
        <v>4013</v>
      </c>
      <c r="V29" s="36">
        <f t="shared" si="3"/>
        <v>42664.886504629627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ID","value":"180-21"},{"id":16,"name":"Locomotive ID","value":"4013"},{"id":130,"name":"Impact","value":""},{"id":150,"name":"Time of Event (Mountain Time)","value":"15:16:34"},{"id":151,"name":"Denver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"%USERPROFILE%\AppData\Local\Temp\OnboardLogs"\RTDC4013\*4013*201610212* | grep -SE "((Enforcement Ac)|(PRM))" -</v>
      </c>
      <c r="AD29" s="1"/>
    </row>
    <row r="30" spans="1:30" x14ac:dyDescent="0.25">
      <c r="A30" s="36">
        <v>42664.776331018518</v>
      </c>
      <c r="B30" s="31" t="s">
        <v>278</v>
      </c>
      <c r="C30" s="31" t="s">
        <v>431</v>
      </c>
      <c r="D30" s="31" t="s">
        <v>49</v>
      </c>
      <c r="E30" s="31" t="s">
        <v>249</v>
      </c>
      <c r="F30" s="47">
        <v>0</v>
      </c>
      <c r="G30" s="47">
        <v>41</v>
      </c>
      <c r="H30" s="47">
        <v>950</v>
      </c>
      <c r="I30" s="47">
        <v>911</v>
      </c>
      <c r="J30" s="31" t="s">
        <v>250</v>
      </c>
      <c r="K30" s="47">
        <v>826</v>
      </c>
      <c r="L30" s="157" t="s">
        <v>51</v>
      </c>
      <c r="M30" s="158">
        <f t="shared" si="0"/>
        <v>44.88</v>
      </c>
      <c r="N30" s="159" t="str">
        <f>VLOOKUP(C30,'Trips&amp;Operators'!$C$1:$E$99999,3,FALSE)</f>
        <v>MOSES</v>
      </c>
      <c r="O30" s="184" t="s">
        <v>243</v>
      </c>
      <c r="P30" s="160"/>
      <c r="Q30" s="31"/>
      <c r="R30" s="100" t="str">
        <f>VLOOKUP(C30,'Train Runs'!$A$13:$AE$10025,31,0)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30" s="103" t="str">
        <f>VLOOKUP(C30,'Train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0" s="105" t="str">
        <f t="shared" si="1"/>
        <v>"C:\Program Files (x86)\AstroGrep\AstroGrep.exe" /spath="%USERPROFILE%\AppData\Local\Temp\OnboardLogs" /stypes="*4054*201610220*" /stext=" 00:.+((SYSTEM_STATE.+slice.+state.+changed )|(ment ac)|(system.+state.+changed )|(\[timeout)|(PRM\|1\|D)|(kpr)|(kdp)|(\|lc)|(penalty))" /e /r /s</v>
      </c>
      <c r="U30" s="9" t="str">
        <f t="shared" si="2"/>
        <v>4054</v>
      </c>
      <c r="V30" s="36">
        <f t="shared" si="3"/>
        <v>42665.026331018518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{"issue":{"subject":"","project_id":79,"tracker_id":40,"status_id":1,"priority_id":2,"assigned_to_id":23,"start_date":"2016-10-21","description":"","custom_fields":[{"id":1,"name":"Subdivision","value":"EC"},{"id":4,"name":"Milepost","value":"0.0826"},{"id":17,"name":"Train ID","value":"208-21"},{"id":16,"name":"Locomotive ID","value":"4054"},{"id":130,"name":"Impact","value":""},{"id":150,"name":"Time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"%USERPROFILE%\AppData\Local\Temp\OnboardLogs"\RTDC4054\*4054*201610220* | grep -SE "((Enforcement Ac)|(PRM))" -</v>
      </c>
      <c r="AD30" s="1"/>
    </row>
    <row r="31" spans="1:30" ht="15" customHeight="1" x14ac:dyDescent="0.25">
      <c r="A31" s="36">
        <v>42664.817118055558</v>
      </c>
      <c r="B31" s="31" t="s">
        <v>256</v>
      </c>
      <c r="C31" s="31" t="s">
        <v>433</v>
      </c>
      <c r="D31" s="31" t="s">
        <v>49</v>
      </c>
      <c r="E31" s="31" t="s">
        <v>249</v>
      </c>
      <c r="F31" s="47">
        <v>0</v>
      </c>
      <c r="G31" s="47">
        <v>63</v>
      </c>
      <c r="H31" s="47">
        <v>1038</v>
      </c>
      <c r="I31" s="47">
        <v>947</v>
      </c>
      <c r="J31" s="31" t="s">
        <v>250</v>
      </c>
      <c r="K31" s="47">
        <v>826</v>
      </c>
      <c r="L31" s="157" t="s">
        <v>51</v>
      </c>
      <c r="M31" s="158">
        <f t="shared" si="0"/>
        <v>63.887999999999998</v>
      </c>
      <c r="N31" s="159" t="str">
        <f>VLOOKUP(C31,'Trips&amp;Operators'!$C$1:$E$99999,3,FALSE)</f>
        <v>STORY</v>
      </c>
      <c r="O31" s="184" t="s">
        <v>243</v>
      </c>
      <c r="P31" s="160"/>
      <c r="Q31" s="31"/>
      <c r="R31" s="100" t="str">
        <f>VLOOKUP(C31,'Train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31" s="103" t="str">
        <f>VLOOKUP(C31,'Train Runs'!$A$13:$AE$10025,22,0)</f>
        <v>https://search-rtdc-monitor-bjffxe2xuh6vdkpspy63sjmuny.us-east-1.es.amazonaws.com/_plugin/kibana/#/discover/Steve-Slow-Train-Analysis-(2080s-and-2083s)?_g=(refreshInterval:(display:Off,section:0,value:0),time:(from:'2016-10-21 17:47:19-0600',mode:absolute,to:'2016-10-21 20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1" s="105" t="str">
        <f t="shared" si="1"/>
        <v>"C:\Program Files (x86)\AstroGrep\AstroGrep.exe" /spath="%USERPROFILE%\AppData\Local\Temp\OnboardLogs" /stypes="*4041*201610220*" /stext=" 01:.+((SYSTEM_STATE.+slice.+state.+changed )|(ment ac)|(system.+state.+changed )|(\[timeout)|(PRM\|1\|D)|(kpr)|(kdp)|(\|lc)|(penalty))" /e /r /s</v>
      </c>
      <c r="U31" s="9" t="str">
        <f t="shared" si="2"/>
        <v>4041</v>
      </c>
      <c r="V31" s="36">
        <f t="shared" si="3"/>
        <v>42665.067118055558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{"issue":{"subject":"","project_id":79,"tracker_id":40,"status_id":1,"priority_id":2,"assigned_to_id":23,"start_date":"2016-10-21","description":"","custom_fields":[{"id":1,"name":"Subdivision","value":"EC"},{"id":4,"name":"Milepost","value":"0.0826"},{"id":17,"name":"Train ID","value":"216-21"},{"id":16,"name":"Locomotive ID","value":"4041"},{"id":130,"name":"Impact","value":""},{"id":150,"name":"Time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"%USERPROFILE%\AppData\Local\Temp\OnboardLogs"\RTDC4041\*4041*201610220* | grep -SE "((Enforcement Ac)|(PRM))" -</v>
      </c>
      <c r="AD31" s="1"/>
    </row>
    <row r="32" spans="1:30" x14ac:dyDescent="0.25">
      <c r="A32" s="36">
        <v>42664.497789351852</v>
      </c>
      <c r="B32" s="31" t="s">
        <v>400</v>
      </c>
      <c r="C32" s="31" t="s">
        <v>412</v>
      </c>
      <c r="D32" s="31" t="s">
        <v>49</v>
      </c>
      <c r="E32" s="31" t="s">
        <v>244</v>
      </c>
      <c r="F32" s="47">
        <v>150</v>
      </c>
      <c r="G32" s="47">
        <v>216</v>
      </c>
      <c r="H32" s="47">
        <v>16213</v>
      </c>
      <c r="I32" s="47">
        <v>15651</v>
      </c>
      <c r="J32" s="31" t="s">
        <v>245</v>
      </c>
      <c r="K32" s="47">
        <v>14977</v>
      </c>
      <c r="L32" s="157" t="s">
        <v>51</v>
      </c>
      <c r="M32" s="158">
        <f t="shared" si="0"/>
        <v>355.87200000000001</v>
      </c>
      <c r="N32" s="159" t="str">
        <f>VLOOKUP(C32,'Trips&amp;Operators'!$C$1:$E$99999,3,FALSE)</f>
        <v>YORK</v>
      </c>
      <c r="O32" s="184" t="s">
        <v>243</v>
      </c>
      <c r="P32" s="160"/>
      <c r="Q32" s="31"/>
      <c r="R32" s="100" t="str">
        <f>VLOOKUP(C32,'Train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2" s="103" t="str">
        <f>VLOOKUP(C32,'Train Runs'!$A$13:$AE$10025,22,0)</f>
        <v>https://search-rtdc-monitor-bjffxe2xuh6vdkpspy63sjmuny.us-east-1.es.amazonaws.com/_plugin/kibana/#/discover/Steve-Slow-Train-Analysis-(2080s-and-2083s)?_g=(refreshInterval:(display:Off,section:0,value:0),time:(from:'2016-10-21 10:36:52-0600',mode:absolute,to:'2016-10-21 13:02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2" s="105" t="str">
        <f t="shared" si="1"/>
        <v>"C:\Program Files (x86)\AstroGrep\AstroGrep.exe" /spath="%USERPROFILE%\AppData\Local\Temp\OnboardLogs" /stypes="*4026*201610211*" /stext=" 17:.+((SYSTEM_STATE.+slice.+state.+changed )|(ment ac)|(system.+state.+changed )|(\[timeout)|(PRM\|1\|D)|(kpr)|(kdp)|(\|lc)|(penalty))" /e /r /s</v>
      </c>
      <c r="U32" s="9" t="str">
        <f t="shared" si="2"/>
        <v>4026</v>
      </c>
      <c r="V32" s="36">
        <f t="shared" si="3"/>
        <v>42664.747789351852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{"issue":{"subject":"","project_id":79,"tracker_id":40,"status_id":1,"priority_id":2,"assigned_to_id":23,"start_date":"2016-10-21","description":"","custom_fields":[{"id":1,"name":"Subdivision","value":"NW"},{"id":4,"name":"Milepost","value":"1.4977"},{"id":17,"name":"Train ID","value":"818-21"},{"id":16,"name":"Locomotive ID","value":"4026"},{"id":130,"name":"Impact","value":""},{"id":150,"name":"Time of Event (Mountain Time)","value":"11:56:49"},{"id":151,"name":"Denver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"%USERPROFILE%\AppData\Local\Temp\OnboardLogs"\RTDC4026\*4026*201610211* | grep -SE "((Enforcement Ac)|(PRM))" -</v>
      </c>
      <c r="AD32" s="1"/>
    </row>
    <row r="33" spans="1:30" ht="15" customHeight="1" x14ac:dyDescent="0.25">
      <c r="A33" s="36">
        <v>42664.221261574072</v>
      </c>
      <c r="B33" s="31" t="s">
        <v>395</v>
      </c>
      <c r="C33" s="31" t="s">
        <v>396</v>
      </c>
      <c r="D33" s="31" t="s">
        <v>49</v>
      </c>
      <c r="E33" s="31" t="s">
        <v>244</v>
      </c>
      <c r="F33" s="47">
        <v>300</v>
      </c>
      <c r="G33" s="47">
        <v>376</v>
      </c>
      <c r="H33" s="47">
        <v>24684</v>
      </c>
      <c r="I33" s="47">
        <v>23639</v>
      </c>
      <c r="J33" s="31" t="s">
        <v>245</v>
      </c>
      <c r="K33" s="47">
        <v>23561</v>
      </c>
      <c r="L33" s="157" t="s">
        <v>51</v>
      </c>
      <c r="M33" s="158">
        <f t="shared" si="0"/>
        <v>41.183999999999997</v>
      </c>
      <c r="N33" s="159" t="str">
        <f>VLOOKUP(C33,'Trips&amp;Operators'!$C$1:$E$99999,3,FALSE)</f>
        <v>STRICKLAND</v>
      </c>
      <c r="O33" s="184" t="s">
        <v>243</v>
      </c>
      <c r="P33" s="160"/>
      <c r="Q33" s="31"/>
      <c r="R33" s="100" t="str">
        <f>VLOOKUP(C33,'Train Runs'!$A$13:$AE$10025,31,0)</f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S33" s="103" t="str">
        <f>VLOOKUP(C33,'Train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04:06:19-0600',mode:absolute,to:'2016-10-21 06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3" s="105" t="str">
        <f t="shared" si="1"/>
        <v>"C:\Program Files (x86)\AstroGrep\AstroGrep.exe" /spath="%USERPROFILE%\AppData\Local\Temp\OnboardLogs" /stypes="*4045*201610211*" /stext=" 11:.+((SYSTEM_STATE.+slice.+state.+changed )|(ment ac)|(system.+state.+changed )|(\[timeout)|(PRM\|1\|D)|(kpr)|(kdp)|(\|lc)|(penalty))" /e /r /s</v>
      </c>
      <c r="U33" s="9" t="str">
        <f t="shared" si="2"/>
        <v>4045</v>
      </c>
      <c r="V33" s="36">
        <f t="shared" si="3"/>
        <v>42664.471261574072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{"issue":{"subject":"","project_id":79,"tracker_id":40,"status_id":1,"priority_id":2,"assigned_to_id":23,"start_date":"2016-10-21","description":"","custom_fields":[{"id":1,"name":"Subdivision","value":"NW"},{"id":4,"name":"Milepost","value":"2.3561"},{"id":17,"name":"Train ID","value":"800-21"},{"id":16,"name":"Locomotive ID","value":"4045"},{"id":130,"name":"Impact","value":""},{"id":150,"name":"Time of Event (Mountain Time)","value":"05:18:37"},{"id":151,"name":"Denver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"%USERPROFILE%\AppData\Local\Temp\OnboardLogs"\RTDC4045\*4045*201610211* | grep -SE "((Enforcement Ac)|(PRM))" -</v>
      </c>
      <c r="AD33" s="1"/>
    </row>
    <row r="34" spans="1:30" x14ac:dyDescent="0.25">
      <c r="A34" s="36">
        <v>42664.647106481483</v>
      </c>
      <c r="B34" s="31" t="s">
        <v>409</v>
      </c>
      <c r="C34" s="31" t="s">
        <v>421</v>
      </c>
      <c r="D34" s="31" t="s">
        <v>49</v>
      </c>
      <c r="E34" s="31" t="s">
        <v>244</v>
      </c>
      <c r="F34" s="47">
        <v>150</v>
      </c>
      <c r="G34" s="47">
        <v>279</v>
      </c>
      <c r="H34" s="47">
        <v>56471</v>
      </c>
      <c r="I34" s="47">
        <v>56921</v>
      </c>
      <c r="J34" s="31" t="s">
        <v>245</v>
      </c>
      <c r="K34" s="47">
        <v>57008</v>
      </c>
      <c r="L34" s="157" t="s">
        <v>50</v>
      </c>
      <c r="M34" s="158">
        <f t="shared" si="0"/>
        <v>45.936</v>
      </c>
      <c r="N34" s="159" t="str">
        <f>VLOOKUP(C34,'Trips&amp;Operators'!$C$1:$E$99999,3,FALSE)</f>
        <v>HELVIE</v>
      </c>
      <c r="O34" s="184" t="s">
        <v>243</v>
      </c>
      <c r="P34" s="160"/>
      <c r="Q34" s="31"/>
      <c r="R34" s="100" t="str">
        <f>VLOOKUP(C34,'Train Runs'!$A$13:$AE$10025,31,0)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34" s="103" t="str">
        <f>VLOOKUP(C34,'Train Runs'!$A$13:$AE$10025,22,0)</f>
        <v>https://search-rtdc-monitor-bjffxe2xuh6vdkpspy63sjmuny.us-east-1.es.amazonaws.com/_plugin/kibana/#/discover/Steve-Slow-Train-Analysis-(2080s-and-2083s)?_g=(refreshInterval:(display:Off,section:0,value:0),time:(from:'2016-10-21 14:16:34-0600',mode:absolute,to:'2016-10-21 16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4" s="105" t="str">
        <f t="shared" si="1"/>
        <v>"C:\Program Files (x86)\AstroGrep\AstroGrep.exe" /spath="%USERPROFILE%\AppData\Local\Temp\OnboardLogs" /stypes="*4025*201610212*" /stext=" 21:.+((SYSTEM_STATE.+slice.+state.+changed )|(ment ac)|(system.+state.+changed )|(\[timeout)|(PRM\|1\|D)|(kpr)|(kdp)|(\|lc)|(penalty))" /e /r /s</v>
      </c>
      <c r="U34" s="9" t="str">
        <f t="shared" si="2"/>
        <v>4025</v>
      </c>
      <c r="V34" s="36">
        <f t="shared" si="3"/>
        <v>42664.897106481483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{"issue":{"subject":"","project_id":79,"tracker_id":40,"status_id":1,"priority_id":2,"assigned_to_id":23,"start_date":"2016-10-21","description":"","custom_fields":[{"id":1,"name":"Subdivision","value":"NW"},{"id":4,"name":"Milepost","value":"5.7008"},{"id":17,"name":"Train ID","value":"825-21"},{"id":16,"name":"Locomotive ID","value":"4025"},{"id":130,"name":"Impact","value":""},{"id":150,"name":"Time of Event (Mountain Time)","value":"15:31:50"},{"id":151,"name":"Denver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"%USERPROFILE%\AppData\Local\Temp\OnboardLogs"\RTDC4025\*4025*201610212* | grep -SE "((Enforcement Ac)|(PRM))" -</v>
      </c>
      <c r="AD34" s="1"/>
    </row>
    <row r="35" spans="1:30" x14ac:dyDescent="0.25">
      <c r="A35" s="36">
        <v>42664.710115740738</v>
      </c>
      <c r="B35" s="31" t="s">
        <v>198</v>
      </c>
      <c r="C35" s="31" t="s">
        <v>425</v>
      </c>
      <c r="D35" s="31" t="s">
        <v>49</v>
      </c>
      <c r="E35" s="31" t="s">
        <v>244</v>
      </c>
      <c r="F35" s="47">
        <v>150</v>
      </c>
      <c r="G35" s="47">
        <v>320</v>
      </c>
      <c r="H35" s="47">
        <v>56173</v>
      </c>
      <c r="I35" s="47">
        <v>56777</v>
      </c>
      <c r="J35" s="31" t="s">
        <v>245</v>
      </c>
      <c r="K35" s="47">
        <v>57008</v>
      </c>
      <c r="L35" s="157" t="s">
        <v>50</v>
      </c>
      <c r="M35" s="158">
        <f t="shared" si="0"/>
        <v>121.968</v>
      </c>
      <c r="N35" s="159" t="str">
        <f>VLOOKUP(C35,'Trips&amp;Operators'!$C$1:$E$99999,3,FALSE)</f>
        <v>NEWELL</v>
      </c>
      <c r="O35" s="184" t="s">
        <v>243</v>
      </c>
      <c r="P35" s="160"/>
      <c r="Q35" s="31"/>
      <c r="R35" s="100" t="str">
        <f>VLOOKUP(C35,'Train Runs'!$A$13:$AE$10025,31,0)</f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S35" s="103" t="str">
        <f>VLOOKUP(C35,'Train Runs'!$A$13:$AE$10025,22,0)</f>
        <v>https://search-rtdc-monitor-bjffxe2xuh6vdkpspy63sjmuny.us-east-1.es.amazonaws.com/_plugin/kibana/#/discover/Steve-Slow-Train-Analysis-(2080s-and-2083s)?_g=(refreshInterval:(display:Off,section:0,value:0),time:(from:'2016-10-21 15:32:29-0600',mode:absolute,to:'2016-10-21 18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5" s="105" t="str">
        <f t="shared" si="1"/>
        <v>"C:\Program Files (x86)\AstroGrep\AstroGrep.exe" /spath="%USERPROFILE%\AppData\Local\Temp\OnboardLogs" /stypes="*4046*201610212*" /stext=" 23:.+((SYSTEM_STATE.+slice.+state.+changed )|(ment ac)|(system.+state.+changed )|(\[timeout)|(PRM\|1\|D)|(kpr)|(kdp)|(\|lc)|(penalty))" /e /r /s</v>
      </c>
      <c r="U35" s="9" t="str">
        <f t="shared" si="2"/>
        <v>4046</v>
      </c>
      <c r="V35" s="36">
        <f t="shared" si="3"/>
        <v>42664.960115740738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{"issue":{"subject":"","project_id":79,"tracker_id":40,"status_id":1,"priority_id":2,"assigned_to_id":23,"start_date":"2016-10-21","description":"","custom_fields":[{"id":1,"name":"Subdivision","value":"NW"},{"id":4,"name":"Milepost","value":"5.7008"},{"id":17,"name":"Train ID","value":"831-21"},{"id":16,"name":"Locomotive ID","value":"4046"},{"id":130,"name":"Impact","value":""},{"id":150,"name":"Time of Event (Mountain Time)","value":"17:02:34"},{"id":151,"name":"Denver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"%USERPROFILE%\AppData\Local\Temp\OnboardLogs"\RTDC4046\*4046*201610212* | grep -SE "((Enforcement Ac)|(PRM))" -</v>
      </c>
      <c r="AD35" s="1"/>
    </row>
    <row r="36" spans="1:30" x14ac:dyDescent="0.25">
      <c r="A36" s="36">
        <v>42664.750509259262</v>
      </c>
      <c r="B36" s="31" t="s">
        <v>400</v>
      </c>
      <c r="C36" s="31" t="s">
        <v>428</v>
      </c>
      <c r="D36" s="31" t="s">
        <v>49</v>
      </c>
      <c r="E36" s="31" t="s">
        <v>247</v>
      </c>
      <c r="F36" s="47">
        <v>0</v>
      </c>
      <c r="G36" s="47">
        <v>109</v>
      </c>
      <c r="H36" s="47">
        <v>4823</v>
      </c>
      <c r="I36" s="47">
        <v>4664</v>
      </c>
      <c r="J36" s="31" t="s">
        <v>248</v>
      </c>
      <c r="K36" s="47">
        <v>4790</v>
      </c>
      <c r="L36" s="157" t="s">
        <v>51</v>
      </c>
      <c r="M36" s="158">
        <f t="shared" si="0"/>
        <v>-66.528000000000006</v>
      </c>
      <c r="N36" s="159" t="str">
        <f>VLOOKUP(C36,'Trips&amp;Operators'!$C$1:$E$99999,3,FALSE)</f>
        <v>HELVIE</v>
      </c>
      <c r="O36" s="184" t="s">
        <v>322</v>
      </c>
      <c r="P36" s="160" t="s">
        <v>795</v>
      </c>
      <c r="Q36" s="31"/>
      <c r="R36" s="100" t="str">
        <f>VLOOKUP(C36,'Train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6" s="103" t="str">
        <f>VLOOKUP(C36,'Train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6" s="105" t="str">
        <f t="shared" si="1"/>
        <v>"C:\Program Files (x86)\AstroGrep\AstroGrep.exe" /spath="%USERPROFILE%\AppData\Local\Temp\OnboardLogs" /stypes="*4026*201610220*" /stext=" 00:.+((SYSTEM_STATE.+slice.+state.+changed )|(ment ac)|(system.+state.+changed )|(\[timeout)|(PRM\|1\|D)|(kpr)|(kdp)|(\|lc)|(penalty))" /e /r /s</v>
      </c>
      <c r="U36" s="9" t="str">
        <f t="shared" si="2"/>
        <v>4026</v>
      </c>
      <c r="V36" s="36">
        <f t="shared" si="3"/>
        <v>42665.000509259262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{"issue":{"subject":"Premature downgrade at DUS Signal 28S","project_id":79,"tracker_id":40,"status_id":1,"priority_id":2,"assigned_to_id":23,"start_date":"2016-10-21","description":"At 18:00:34, DU0031WCPM1 (DUS GL) Signal 28S dropped from PROCEED CAB to STOP, seems like this was unexpected and led to an enforcement. Any oddities in this timeframe?","custom_fields":[{"id":1,"name":"Subdivision","value":"NW"},{"id":4,"name":"Milepost","value":"0.479"},{"id":17,"name":"Train ID","value":"834-21"},{"id":16,"name":"Locomotive ID","value":"4026"},{"id":130,"name":"Impact","value":"Enforcement"},{"id":150,"name":"Time of Event (Mountain Time)","value":"18:00:44"},{"id":151,"name":"Denver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6" s="53" t="s">
        <v>794</v>
      </c>
      <c r="AA36" s="53" t="s">
        <v>126</v>
      </c>
      <c r="AB36" s="53" t="s">
        <v>131</v>
      </c>
      <c r="AC36" s="141" t="str">
        <f t="shared" si="7"/>
        <v>grep -hSE -A100 "Enforcement Action" "%USERPROFILE%\AppData\Local\Temp\OnboardLogs"\RTDC4026\*4026*201610220* | grep -SE "((Enforcement Ac)|(PRM))" -</v>
      </c>
      <c r="AD36" s="1"/>
    </row>
    <row r="37" spans="1:30" ht="15" customHeight="1" x14ac:dyDescent="0.25">
      <c r="A37" s="36">
        <v>42664.437210648146</v>
      </c>
      <c r="B37" s="31" t="s">
        <v>409</v>
      </c>
      <c r="C37" s="31" t="s">
        <v>410</v>
      </c>
      <c r="D37" s="31" t="s">
        <v>98</v>
      </c>
      <c r="E37" s="31" t="s">
        <v>247</v>
      </c>
      <c r="F37" s="47">
        <v>0</v>
      </c>
      <c r="G37" s="47">
        <v>34</v>
      </c>
      <c r="H37" s="47">
        <v>13706</v>
      </c>
      <c r="I37" s="47">
        <v>13775</v>
      </c>
      <c r="J37" s="31" t="s">
        <v>248</v>
      </c>
      <c r="K37" s="47">
        <v>13677</v>
      </c>
      <c r="L37" s="157" t="s">
        <v>50</v>
      </c>
      <c r="M37" s="158">
        <f t="shared" si="0"/>
        <v>-51.744</v>
      </c>
      <c r="N37" s="159" t="str">
        <f>VLOOKUP(C37,'Trips&amp;Operators'!$C$1:$E$99999,3,FALSE)</f>
        <v>YORK</v>
      </c>
      <c r="O37" s="184" t="s">
        <v>243</v>
      </c>
      <c r="P37" s="160" t="s">
        <v>786</v>
      </c>
      <c r="Q37" s="31"/>
      <c r="R37" s="100" t="str">
        <f>VLOOKUP(C37,'Train Runs'!$A$13:$AE$10025,31,0)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37" s="103" t="str">
        <f>VLOOKUP(C37,'Train Runs'!$A$13:$AE$10025,22,0)</f>
        <v>https://search-rtdc-monitor-bjffxe2xuh6vdkpspy63sjmuny.us-east-1.es.amazonaws.com/_plugin/kibana/#/discover/Steve-Slow-Train-Analysis-(2080s-and-2083s)?_g=(refreshInterval:(display:Off,section:0,value:0),time:(from:'2016-10-21 09:16:17-0600',mode:absolute,to:'2016-10-21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7" s="105" t="str">
        <f t="shared" si="1"/>
        <v>"C:\Program Files (x86)\AstroGrep\AstroGrep.exe" /spath="%USERPROFILE%\AppData\Local\Temp\OnboardLogs" /stypes="*4025*201610211*" /stext=" 16:.+((SYSTEM_STATE.+slice.+state.+changed )|(ment ac)|(system.+state.+changed )|(\[timeout)|(PRM\|1\|D)|(kpr)|(kdp)|(\|lc)|(penalty))" /e /r /s</v>
      </c>
      <c r="U37" s="9" t="str">
        <f t="shared" si="2"/>
        <v>4025</v>
      </c>
      <c r="V37" s="36">
        <f t="shared" si="3"/>
        <v>42664.687210648146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{"issue":{"subject":"Went active too close to signal","project_id":79,"tracker_id":40,"status_id":1,"priority_id":2,"assigned_to_id":23,"start_date":"2016-10-21","description":"","custom_fields":[{"id":1,"name":"Subdivision","value":"NW"},{"id":4,"name":"Milepost","value":"1.3677"},{"id":17,"name":"Train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"%USERPROFILE%\AppData\Local\Temp\OnboardLogs"\RTDC4025\*4025*201610211* | grep -SE "((Enforcement Ac)|(PRM))" -</v>
      </c>
      <c r="AD37" s="1"/>
    </row>
    <row r="38" spans="1:30" x14ac:dyDescent="0.25">
      <c r="A38" s="36">
        <v>42664.741828703707</v>
      </c>
      <c r="B38" s="31" t="s">
        <v>400</v>
      </c>
      <c r="C38" s="31" t="s">
        <v>428</v>
      </c>
      <c r="D38" s="31" t="s">
        <v>98</v>
      </c>
      <c r="E38" s="31" t="s">
        <v>247</v>
      </c>
      <c r="F38" s="47">
        <v>0</v>
      </c>
      <c r="G38" s="47">
        <v>599</v>
      </c>
      <c r="H38" s="47">
        <v>30428</v>
      </c>
      <c r="I38" s="47">
        <v>27814</v>
      </c>
      <c r="J38" s="31" t="s">
        <v>248</v>
      </c>
      <c r="K38" s="47">
        <v>30521</v>
      </c>
      <c r="L38" s="157" t="s">
        <v>51</v>
      </c>
      <c r="M38" s="158">
        <f t="shared" si="0"/>
        <v>-1429.296</v>
      </c>
      <c r="N38" s="159" t="str">
        <f>VLOOKUP(C38,'Trips&amp;Operators'!$C$1:$E$99999,3,FALSE)</f>
        <v>HELVIE</v>
      </c>
      <c r="O38" s="184" t="s">
        <v>322</v>
      </c>
      <c r="P38" s="160" t="s">
        <v>787</v>
      </c>
      <c r="Q38" s="31"/>
      <c r="R38" s="100" t="str">
        <f>VLOOKUP(C38,'Train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8" s="103" t="str">
        <f>VLOOKUP(C38,'Train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8" s="105" t="str">
        <f t="shared" si="1"/>
        <v>"C:\Program Files (x86)\AstroGrep\AstroGrep.exe" /spath="%USERPROFILE%\AppData\Local\Temp\OnboardLogs" /stypes="*4026*201610212*" /stext=" 23:.+((SYSTEM_STATE.+slice.+state.+changed )|(ment ac)|(system.+state.+changed )|(\[timeout)|(PRM\|1\|D)|(kpr)|(kdp)|(\|lc)|(penalty))" /e /r /s</v>
      </c>
      <c r="U38" s="9" t="str">
        <f t="shared" si="2"/>
        <v>4026</v>
      </c>
      <c r="V38" s="36">
        <f t="shared" si="3"/>
        <v>42664.991828703707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{"issue":{"subject":"Premature downgrade at CRMFN 2S","project_id":79,"tracker_id":40,"status_id":1,"priority_id":2,"assigned_to_id":23,"start_date":"2016-10-21","description":"At 17:47:43, NW0301RH (CRMF NORTH) Signal 2S dropped from PROCEED CAB to STOP, seems like this was unexpected and led to an enforcement. Any oddities in this timeframe?","custom_fields":[{"id":1,"name":"Subdivision","value":"NW"},{"id":4,"name":"Milepost","value":"3.0521"},{"id":17,"name":"Train ID","value":"834-21"},{"id":16,"name":"Locomotive ID","value":"4026"},{"id":130,"name":"Impact","value":"Enforcement"},{"id":150,"name":"Time of Event (Mountain Time)","value":"17:48:14"},{"id":151,"name":"Denver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8" s="53" t="s">
        <v>793</v>
      </c>
      <c r="AA38" s="53" t="s">
        <v>126</v>
      </c>
      <c r="AB38" s="53" t="s">
        <v>131</v>
      </c>
      <c r="AC38" s="141" t="str">
        <f t="shared" si="7"/>
        <v>grep -hSE -A100 "Enforcement Action" "%USERPROFILE%\AppData\Local\Temp\OnboardLogs"\RTDC4026\*4026*201610212* | grep -SE "((Enforcement Ac)|(PRM))" -</v>
      </c>
      <c r="AD38" s="1"/>
    </row>
    <row r="39" spans="1:30" x14ac:dyDescent="0.25">
      <c r="A39" s="36">
        <v>42664.330613425926</v>
      </c>
      <c r="B39" s="31" t="s">
        <v>400</v>
      </c>
      <c r="C39" s="31" t="s">
        <v>401</v>
      </c>
      <c r="D39" s="31" t="s">
        <v>49</v>
      </c>
      <c r="E39" s="31" t="s">
        <v>249</v>
      </c>
      <c r="F39" s="47">
        <v>0</v>
      </c>
      <c r="G39" s="47">
        <v>98</v>
      </c>
      <c r="H39" s="47">
        <v>915</v>
      </c>
      <c r="I39" s="47">
        <v>827</v>
      </c>
      <c r="J39" s="31" t="s">
        <v>250</v>
      </c>
      <c r="K39" s="47">
        <v>575</v>
      </c>
      <c r="L39" s="157" t="s">
        <v>51</v>
      </c>
      <c r="M39" s="158">
        <f t="shared" si="0"/>
        <v>133.05600000000001</v>
      </c>
      <c r="N39" s="159" t="str">
        <f>VLOOKUP(C39,'Trips&amp;Operators'!$C$1:$E$99999,3,FALSE)</f>
        <v>YORK</v>
      </c>
      <c r="O39" s="184" t="s">
        <v>243</v>
      </c>
      <c r="P39" s="160"/>
      <c r="Q39" s="31"/>
      <c r="R39" s="100" t="str">
        <f>VLOOKUP(C39,'Train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9" s="103" t="str">
        <f>VLOOKUP(C39,'Train Runs'!$A$13:$AE$10025,22,0)</f>
        <v>https://search-rtdc-monitor-bjffxe2xuh6vdkpspy63sjmuny.us-east-1.es.amazonaws.com/_plugin/kibana/#/discover/Steve-Slow-Train-Analysis-(2080s-and-2083s)?_g=(refreshInterval:(display:Off,section:0,value:0),time:(from:'2016-10-21 06:37:02-0600',mode:absolute,to:'2016-10-21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9" s="105" t="str">
        <f t="shared" si="1"/>
        <v>"C:\Program Files (x86)\AstroGrep\AstroGrep.exe" /spath="%USERPROFILE%\AppData\Local\Temp\OnboardLogs" /stypes="*4026*201610211*" /stext=" 13:.+((SYSTEM_STATE.+slice.+state.+changed )|(ment ac)|(system.+state.+changed )|(\[timeout)|(PRM\|1\|D)|(kpr)|(kdp)|(\|lc)|(penalty))" /e /r /s</v>
      </c>
      <c r="U39" s="9" t="str">
        <f t="shared" si="2"/>
        <v>4026</v>
      </c>
      <c r="V39" s="36">
        <f t="shared" si="3"/>
        <v>42664.580613425926</v>
      </c>
      <c r="W39" s="50" t="str">
        <f t="shared" si="4"/>
        <v>NW</v>
      </c>
      <c r="X39" s="50" t="str">
        <f t="shared" ref="X39:X50" si="8">IF(AND(E39="TRACK WARRANT AUTHORITY",G39&lt;10),"OMIT","KEEP")</f>
        <v>KEEP</v>
      </c>
      <c r="Y39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ID","value":"808-21"},{"id":16,"name":"Locomotive ID","value":"4026"},{"id":130,"name":"Impact","value":""},{"id":150,"name":"Time of Event (Mountain Time)","value":"07:56:05"},{"id":151,"name":"Denver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"%USERPROFILE%\AppData\Local\Temp\OnboardLogs"\RTDC4026\*4026*201610211* | grep -SE "((Enforcement Ac)|(PRM))" -</v>
      </c>
      <c r="AD39" s="1"/>
    </row>
    <row r="40" spans="1:30" x14ac:dyDescent="0.25">
      <c r="A40" s="36">
        <v>42664.537546296298</v>
      </c>
      <c r="B40" s="31" t="s">
        <v>400</v>
      </c>
      <c r="C40" s="31" t="s">
        <v>414</v>
      </c>
      <c r="D40" s="31" t="s">
        <v>49</v>
      </c>
      <c r="E40" s="31" t="s">
        <v>249</v>
      </c>
      <c r="F40" s="47">
        <v>0</v>
      </c>
      <c r="G40" s="47">
        <v>140</v>
      </c>
      <c r="H40" s="47">
        <v>1291</v>
      </c>
      <c r="I40" s="47">
        <v>1114</v>
      </c>
      <c r="J40" s="31" t="s">
        <v>250</v>
      </c>
      <c r="K40" s="47">
        <v>575</v>
      </c>
      <c r="L40" s="157" t="s">
        <v>51</v>
      </c>
      <c r="M40" s="158">
        <f t="shared" si="0"/>
        <v>284.59199999999998</v>
      </c>
      <c r="N40" s="159" t="str">
        <f>VLOOKUP(C40,'Trips&amp;Operators'!$C$1:$E$99999,3,FALSE)</f>
        <v>YORK</v>
      </c>
      <c r="O40" s="184" t="s">
        <v>243</v>
      </c>
      <c r="P40" s="160"/>
      <c r="Q40" s="31"/>
      <c r="R40" s="100" t="str">
        <f>VLOOKUP(C40,'Train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40" s="103" t="str">
        <f>VLOOKUP(C40,'Train Runs'!$A$13:$AE$10025,22,0)</f>
        <v>https://search-rtdc-monitor-bjffxe2xuh6vdkpspy63sjmuny.us-east-1.es.amazonaws.com/_plugin/kibana/#/discover/Steve-Slow-Train-Analysis-(2080s-and-2083s)?_g=(refreshInterval:(display:Off,section:0,value:0),time:(from:'2016-10-21 11:36:47-0600',mode:absolute,to:'2016-10-21 13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0" s="105" t="str">
        <f t="shared" si="1"/>
        <v>"C:\Program Files (x86)\AstroGrep\AstroGrep.exe" /spath="%USERPROFILE%\AppData\Local\Temp\OnboardLogs" /stypes="*4026*201610211*" /stext=" 18:.+((SYSTEM_STATE.+slice.+state.+changed )|(ment ac)|(system.+state.+changed )|(\[timeout)|(PRM\|1\|D)|(kpr)|(kdp)|(\|lc)|(penalty))" /e /r /s</v>
      </c>
      <c r="U40" s="9" t="str">
        <f t="shared" si="2"/>
        <v>4026</v>
      </c>
      <c r="V40" s="36">
        <f t="shared" si="3"/>
        <v>42664.787546296298</v>
      </c>
      <c r="W40" s="50" t="str">
        <f t="shared" si="4"/>
        <v>NW</v>
      </c>
      <c r="X40" s="50" t="str">
        <f t="shared" si="8"/>
        <v>KEEP</v>
      </c>
      <c r="Y40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ID","value":"820-21"},{"id":16,"name":"Locomotive ID","value":"4026"},{"id":130,"name":"Impact","value":""},{"id":150,"name":"Time of Event (Mountain Time)","value":"12:54:04"},{"id":151,"name":"Denver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"%USERPROFILE%\AppData\Local\Temp\OnboardLogs"\RTDC4026\*4026*201610211* | grep -SE "((Enforcement Ac)|(PRM))" -</v>
      </c>
      <c r="AD40" s="1"/>
    </row>
    <row r="41" spans="1:30" x14ac:dyDescent="0.25">
      <c r="A41" s="36">
        <v>42664.622442129628</v>
      </c>
      <c r="B41" s="31" t="s">
        <v>400</v>
      </c>
      <c r="C41" s="31" t="s">
        <v>419</v>
      </c>
      <c r="D41" s="31" t="s">
        <v>49</v>
      </c>
      <c r="E41" s="31" t="s">
        <v>249</v>
      </c>
      <c r="F41" s="47">
        <v>0</v>
      </c>
      <c r="G41" s="47">
        <v>56</v>
      </c>
      <c r="H41" s="47">
        <v>789</v>
      </c>
      <c r="I41" s="47">
        <v>734</v>
      </c>
      <c r="J41" s="31" t="s">
        <v>250</v>
      </c>
      <c r="K41" s="47">
        <v>575</v>
      </c>
      <c r="L41" s="157" t="s">
        <v>51</v>
      </c>
      <c r="M41" s="158">
        <f t="shared" si="0"/>
        <v>83.951999999999998</v>
      </c>
      <c r="N41" s="159" t="str">
        <f>VLOOKUP(C41,'Trips&amp;Operators'!$C$1:$E$99999,3,FALSE)</f>
        <v>HELVIE</v>
      </c>
      <c r="O41" s="184" t="s">
        <v>243</v>
      </c>
      <c r="P41" s="160"/>
      <c r="Q41" s="31"/>
      <c r="R41" s="100" t="str">
        <f>VLOOKUP(C41,'Train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41" s="103" t="str">
        <f>VLOOKUP(C41,'Train Runs'!$A$13:$AE$10025,22,0)</f>
        <v>https://search-rtdc-monitor-bjffxe2xuh6vdkpspy63sjmuny.us-east-1.es.amazonaws.com/_plugin/kibana/#/discover/Steve-Slow-Train-Analysis-(2080s-and-2083s)?_g=(refreshInterval:(display:Off,section:0,value:0),time:(from:'2016-10-21 13:38:14-0600',mode:absolute,to:'2016-10-21 15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1" s="105" t="str">
        <f t="shared" si="1"/>
        <v>"C:\Program Files (x86)\AstroGrep\AstroGrep.exe" /spath="%USERPROFILE%\AppData\Local\Temp\OnboardLogs" /stypes="*4026*201610212*" /stext=" 20:.+((SYSTEM_STATE.+slice.+state.+changed )|(ment ac)|(system.+state.+changed )|(\[timeout)|(PRM\|1\|D)|(kpr)|(kdp)|(\|lc)|(penalty))" /e /r /s</v>
      </c>
      <c r="U41" s="9" t="str">
        <f t="shared" si="2"/>
        <v>4026</v>
      </c>
      <c r="V41" s="36">
        <f t="shared" si="3"/>
        <v>42664.872442129628</v>
      </c>
      <c r="W41" s="50" t="str">
        <f t="shared" si="4"/>
        <v>NW</v>
      </c>
      <c r="X41" s="50" t="str">
        <f t="shared" si="8"/>
        <v>KEEP</v>
      </c>
      <c r="Y41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ID","value":"824-21"},{"id":16,"name":"Locomotive ID","value":"4026"},{"id":130,"name":"Impact","value":""},{"id":150,"name":"Time of Event (Mountain Time)","value":"14:56:19"},{"id":151,"name":"Denver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"%USERPROFILE%\AppData\Local\Temp\OnboardLogs"\RTDC4026\*4026*201610212* | grep -SE "((Enforcement Ac)|(PRM))" -</v>
      </c>
      <c r="AD41" s="1"/>
    </row>
    <row r="42" spans="1:30" x14ac:dyDescent="0.25">
      <c r="A42" s="36">
        <v>42664.726851851854</v>
      </c>
      <c r="B42" s="31" t="s">
        <v>395</v>
      </c>
      <c r="C42" s="31" t="s">
        <v>427</v>
      </c>
      <c r="D42" s="31" t="s">
        <v>49</v>
      </c>
      <c r="E42" s="31" t="s">
        <v>249</v>
      </c>
      <c r="F42" s="47">
        <v>0</v>
      </c>
      <c r="G42" s="47">
        <v>26</v>
      </c>
      <c r="H42" s="47">
        <v>696</v>
      </c>
      <c r="I42" s="47">
        <v>675</v>
      </c>
      <c r="J42" s="31" t="s">
        <v>250</v>
      </c>
      <c r="K42" s="47">
        <v>575</v>
      </c>
      <c r="L42" s="157" t="s">
        <v>51</v>
      </c>
      <c r="M42" s="158">
        <f t="shared" si="0"/>
        <v>52.8</v>
      </c>
      <c r="N42" s="159" t="str">
        <f>VLOOKUP(C42,'Trips&amp;Operators'!$C$1:$E$99999,3,FALSE)</f>
        <v>NEWELL</v>
      </c>
      <c r="O42" s="184" t="s">
        <v>243</v>
      </c>
      <c r="P42" s="160"/>
      <c r="Q42" s="31"/>
      <c r="R42" s="100" t="str">
        <f>VLOOKUP(C42,'Train Runs'!$A$13:$AE$10025,31,0)</f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S42" s="103" t="str">
        <f>VLOOKUP(C42,'Train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16:07:11-0600',mode:absolute,to:'2016-10-21 18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 t="shared" si="1"/>
        <v>"C:\Program Files (x86)\AstroGrep\AstroGrep.exe" /spath="%USERPROFILE%\AppData\Local\Temp\OnboardLogs" /stypes="*4045*201610212*" /stext=" 23:.+((SYSTEM_STATE.+slice.+state.+changed )|(ment ac)|(system.+state.+changed )|(\[timeout)|(PRM\|1\|D)|(kpr)|(kdp)|(\|lc)|(penalty))" /e /r /s</v>
      </c>
      <c r="U42" s="9" t="str">
        <f t="shared" si="2"/>
        <v>4045</v>
      </c>
      <c r="V42" s="36">
        <f t="shared" si="3"/>
        <v>42664.976851851854</v>
      </c>
      <c r="W42" s="50" t="str">
        <f t="shared" si="4"/>
        <v>NW</v>
      </c>
      <c r="X42" s="50" t="str">
        <f t="shared" si="8"/>
        <v>KEEP</v>
      </c>
      <c r="Y42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ID","value":"832-21"},{"id":16,"name":"Locomotive ID","value":"4045"},{"id":130,"name":"Impact","value":""},{"id":150,"name":"Time of Event (Mountain Time)","value":"17:26:40"},{"id":151,"name":"Denver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"%USERPROFILE%\AppData\Local\Temp\OnboardLogs"\RTDC4045\*4045*201610212* | grep -SE "((Enforcement Ac)|(PRM))" -</v>
      </c>
      <c r="AD42" s="1"/>
    </row>
    <row r="43" spans="1:30" x14ac:dyDescent="0.25">
      <c r="A43" s="36">
        <v>42664.608043981483</v>
      </c>
      <c r="B43" s="31" t="s">
        <v>409</v>
      </c>
      <c r="C43" s="31" t="s">
        <v>418</v>
      </c>
      <c r="D43" s="31" t="s">
        <v>49</v>
      </c>
      <c r="E43" s="31" t="s">
        <v>249</v>
      </c>
      <c r="F43" s="47">
        <v>0</v>
      </c>
      <c r="G43" s="47">
        <v>62</v>
      </c>
      <c r="H43" s="47">
        <v>58867</v>
      </c>
      <c r="I43" s="47">
        <v>58909</v>
      </c>
      <c r="J43" s="31" t="s">
        <v>250</v>
      </c>
      <c r="K43" s="47">
        <v>59048</v>
      </c>
      <c r="L43" s="157" t="s">
        <v>50</v>
      </c>
      <c r="M43" s="158">
        <f t="shared" si="0"/>
        <v>73.391999999999996</v>
      </c>
      <c r="N43" s="159" t="str">
        <f>VLOOKUP(C43,'Trips&amp;Operators'!$C$1:$E$99999,3,FALSE)</f>
        <v>HELVIE</v>
      </c>
      <c r="O43" s="184" t="s">
        <v>243</v>
      </c>
      <c r="P43" s="160"/>
      <c r="Q43" s="31"/>
      <c r="R43" s="100" t="str">
        <f>VLOOKUP(C43,'Train Runs'!$A$13:$AE$10025,31,0)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43" s="103" t="str">
        <f>VLOOKUP(C43,'Train Runs'!$A$13:$AE$10025,22,0)</f>
        <v>https://search-rtdc-monitor-bjffxe2xuh6vdkpspy63sjmuny.us-east-1.es.amazonaws.com/_plugin/kibana/#/discover/Steve-Slow-Train-Analysis-(2080s-and-2083s)?_g=(refreshInterval:(display:Off,section:0,value:0),time:(from:'2016-10-21 13:15:41-0600',mode:absolute,to:'2016-10-21 15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3" s="105" t="str">
        <f t="shared" si="1"/>
        <v>"C:\Program Files (x86)\AstroGrep\AstroGrep.exe" /spath="%USERPROFILE%\AppData\Local\Temp\OnboardLogs" /stypes="*4025*201610212*" /stext=" 20:.+((SYSTEM_STATE.+slice.+state.+changed )|(ment ac)|(system.+state.+changed )|(\[timeout)|(PRM\|1\|D)|(kpr)|(kdp)|(\|lc)|(penalty))" /e /r /s</v>
      </c>
      <c r="U43" s="9" t="str">
        <f t="shared" si="2"/>
        <v>4025</v>
      </c>
      <c r="V43" s="36">
        <f t="shared" si="3"/>
        <v>42664.858043981483</v>
      </c>
      <c r="W43" s="50" t="str">
        <f t="shared" si="4"/>
        <v>NW</v>
      </c>
      <c r="X43" s="50" t="str">
        <f t="shared" si="8"/>
        <v>KEEP</v>
      </c>
      <c r="Y43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{"issue":{"subject":"","project_id":79,"tracker_id":40,"status_id":1,"priority_id":2,"assigned_to_id":23,"start_date":"2016-10-21","description":"","custom_fields":[{"id":1,"name":"Subdivision","value":"NW"},{"id":4,"name":"Milepost","value":"5.9048"},{"id":17,"name":"Train ID","value":"823-21"},{"id":16,"name":"Locomotive ID","value":"4025"},{"id":130,"name":"Impact","value":""},{"id":150,"name":"Time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"%USERPROFILE%\AppData\Local\Temp\OnboardLogs"\RTDC4025\*4025*201610212* | grep -SE "((Enforcement Ac)|(PRM))" -</v>
      </c>
      <c r="AD43" s="1"/>
    </row>
    <row r="44" spans="1:30" x14ac:dyDescent="0.25">
      <c r="A44" s="36">
        <v>42664.775219907409</v>
      </c>
      <c r="B44" s="31" t="s">
        <v>409</v>
      </c>
      <c r="C44" s="31" t="s">
        <v>432</v>
      </c>
      <c r="D44" s="31" t="s">
        <v>49</v>
      </c>
      <c r="E44" s="31" t="s">
        <v>249</v>
      </c>
      <c r="F44" s="47">
        <v>0</v>
      </c>
      <c r="G44" s="47">
        <v>52</v>
      </c>
      <c r="H44" s="47">
        <v>58839</v>
      </c>
      <c r="I44" s="47">
        <v>58879</v>
      </c>
      <c r="J44" s="31" t="s">
        <v>250</v>
      </c>
      <c r="K44" s="47">
        <v>59048</v>
      </c>
      <c r="L44" s="157" t="s">
        <v>50</v>
      </c>
      <c r="M44" s="158">
        <f t="shared" si="0"/>
        <v>89.231999999999985</v>
      </c>
      <c r="N44" s="159" t="str">
        <f>VLOOKUP(C44,'Trips&amp;Operators'!$C$1:$E$99999,3,FALSE)</f>
        <v>HELVIE</v>
      </c>
      <c r="O44" s="184" t="s">
        <v>243</v>
      </c>
      <c r="P44" s="160"/>
      <c r="Q44" s="31"/>
      <c r="R44" s="100" t="str">
        <f>VLOOKUP(C44,'Train Runs'!$A$13:$AE$10025,31,0)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44" s="103" t="str">
        <f>VLOOKUP(C44,'Train Runs'!$A$13:$AE$10025,22,0)</f>
        <v>https://search-rtdc-monitor-bjffxe2xuh6vdkpspy63sjmuny.us-east-1.es.amazonaws.com/_plugin/kibana/#/discover/Steve-Slow-Train-Analysis-(2080s-and-2083s)?_g=(refreshInterval:(display:Off,section:0,value:0),time:(from:'2016-10-21 17:14:03-0600',mode:absolute,to:'2016-10-21 19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4" s="105" t="str">
        <f t="shared" si="1"/>
        <v>"C:\Program Files (x86)\AstroGrep\AstroGrep.exe" /spath="%USERPROFILE%\AppData\Local\Temp\OnboardLogs" /stypes="*4025*201610220*" /stext=" 00:.+((SYSTEM_STATE.+slice.+state.+changed )|(ment ac)|(system.+state.+changed )|(\[timeout)|(PRM\|1\|D)|(kpr)|(kdp)|(\|lc)|(penalty))" /e /r /s</v>
      </c>
      <c r="U44" s="9" t="str">
        <f t="shared" si="2"/>
        <v>4025</v>
      </c>
      <c r="V44" s="36">
        <f t="shared" si="3"/>
        <v>42665.025219907409</v>
      </c>
      <c r="W44" s="50" t="str">
        <f t="shared" si="4"/>
        <v>NW</v>
      </c>
      <c r="X44" s="50" t="str">
        <f t="shared" si="8"/>
        <v>KEEP</v>
      </c>
      <c r="Y44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{"issue":{"subject":"","project_id":79,"tracker_id":40,"status_id":1,"priority_id":2,"assigned_to_id":23,"start_date":"2016-10-21","description":"","custom_fields":[{"id":1,"name":"Subdivision","value":"NW"},{"id":4,"name":"Milepost","value":"5.9048"},{"id":17,"name":"Train ID","value":"837-21"},{"id":16,"name":"Locomotive ID","value":"4025"},{"id":130,"name":"Impact","value":""},{"id":150,"name":"Time of Event (Mountain Time)","value":"18:36:19"},{"id":151,"name":"Denver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"%USERPROFILE%\AppData\Local\Temp\OnboardLogs"\RTDC4025\*4025*201610220* | grep -SE "((Enforcement Ac)|(PRM))" -</v>
      </c>
      <c r="AD44" s="1"/>
    </row>
    <row r="45" spans="1:30" x14ac:dyDescent="0.25">
      <c r="A45" s="36">
        <v>42664.712094907409</v>
      </c>
      <c r="B45" s="31" t="s">
        <v>188</v>
      </c>
      <c r="C45" s="31" t="s">
        <v>426</v>
      </c>
      <c r="D45" s="31" t="s">
        <v>98</v>
      </c>
      <c r="E45" s="31" t="s">
        <v>247</v>
      </c>
      <c r="F45" s="47">
        <v>0</v>
      </c>
      <c r="G45" s="47">
        <v>80</v>
      </c>
      <c r="H45" s="47">
        <v>1849</v>
      </c>
      <c r="I45" s="47">
        <v>1958</v>
      </c>
      <c r="J45" s="31" t="s">
        <v>248</v>
      </c>
      <c r="K45" s="47">
        <v>1692</v>
      </c>
      <c r="L45" s="157" t="s">
        <v>50</v>
      </c>
      <c r="M45" s="158">
        <f t="shared" si="0"/>
        <v>-140.44800000000001</v>
      </c>
      <c r="N45" s="159" t="str">
        <f>VLOOKUP(C45,'Trips&amp;Operators'!$C$1:$E$99999,3,FALSE)</f>
        <v>HAITHCOX</v>
      </c>
      <c r="O45" s="184" t="s">
        <v>243</v>
      </c>
      <c r="P45" s="160"/>
      <c r="Q45" s="31"/>
      <c r="R45" s="100" t="str">
        <f>VLOOKUP(C45,'Train Runs'!$A$13:$AE$10025,31,0)</f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S45" s="103" t="str">
        <f>VLOOKUP(C45,'Train Runs'!$A$13:$AE$10025,22,0)</f>
        <v>https://search-rtdc-monitor-bjffxe2xuh6vdkpspy63sjmuny.us-east-1.es.amazonaws.com/_plugin/kibana/#/discover/Steve-Slow-Train-Analysis-(2080s-and-2083s)?_g=(refreshInterval:(display:Off,section:0,value:0),time:(from:'2016-10-21 15:58:40-0600',mode:absolute,to:'2016-10-21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5" s="105" t="str">
        <f t="shared" si="1"/>
        <v>"C:\Program Files (x86)\AstroGrep\AstroGrep.exe" /spath="%USERPROFILE%\AppData\Local\Temp\OnboardLogs" /stypes="*4018*201610212*" /stext=" 23:.+((SYSTEM_STATE.+slice.+state.+changed )|(ment ac)|(system.+state.+changed )|(\[timeout)|(PRM\|1\|D)|(kpr)|(kdp)|(\|lc)|(penalty))" /e /r /s</v>
      </c>
      <c r="U45" s="9" t="str">
        <f t="shared" si="2"/>
        <v>4018</v>
      </c>
      <c r="V45" s="36">
        <f t="shared" si="3"/>
        <v>42664.962094907409</v>
      </c>
      <c r="W45" s="50" t="str">
        <f t="shared" si="4"/>
        <v>Other</v>
      </c>
      <c r="X45" s="50" t="str">
        <f t="shared" si="8"/>
        <v>KEEP</v>
      </c>
      <c r="Y45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{"issue":{"subject":"","project_id":79,"tracker_id":40,"status_id":1,"priority_id":2,"assigned_to_id":23,"start_date":"2016-10-21","description":"","custom_fields":[{"id":1,"name":"Subdivision","value":"Other"},{"id":4,"name":"Milepost","value":"0.1692"},{"id":17,"name":"Train ID","value":"71-21"},{"id":16,"name":"Locomotive ID","value":"4018"},{"id":130,"name":"Impact","value":""},{"id":150,"name":"Time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"%USERPROFILE%\AppData\Local\Temp\OnboardLogs"\RTDC4018\*4018*201610212* | grep -SE "((Enforcement Ac)|(PRM))" -</v>
      </c>
      <c r="AD45" s="1"/>
    </row>
    <row r="46" spans="1:30" x14ac:dyDescent="0.25">
      <c r="A46" s="36">
        <v>42664.151817129627</v>
      </c>
      <c r="B46" s="31" t="s">
        <v>256</v>
      </c>
      <c r="C46" s="31" t="s">
        <v>393</v>
      </c>
      <c r="D46" s="31" t="s">
        <v>49</v>
      </c>
      <c r="E46" s="31" t="s">
        <v>249</v>
      </c>
      <c r="F46" s="47">
        <v>0</v>
      </c>
      <c r="G46" s="47">
        <v>63</v>
      </c>
      <c r="H46" s="47">
        <v>263</v>
      </c>
      <c r="I46" s="47">
        <v>211</v>
      </c>
      <c r="J46" s="31" t="s">
        <v>250</v>
      </c>
      <c r="K46" s="47">
        <v>1</v>
      </c>
      <c r="L46" s="157" t="s">
        <v>51</v>
      </c>
      <c r="M46" s="158">
        <f t="shared" si="0"/>
        <v>110.88</v>
      </c>
      <c r="N46" s="159" t="str">
        <f>VLOOKUP(C46,'Trips&amp;Operators'!$C$1:$E$99999,3,FALSE)</f>
        <v>DAVIS</v>
      </c>
      <c r="O46" s="184" t="s">
        <v>243</v>
      </c>
      <c r="P46" s="160"/>
      <c r="Q46" s="31"/>
      <c r="R46" s="100" t="str">
        <f>VLOOKUP(C46,'Train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46" s="103" t="str">
        <f>VLOOKUP(C46,'Train Runs'!$A$13:$AE$10025,22,0)</f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6" s="105" t="str">
        <f t="shared" si="1"/>
        <v>"C:\Program Files (x86)\AstroGrep\AstroGrep.exe" /spath="%USERPROFILE%\AppData\Local\Temp\OnboardLogs" /stypes="*4041*201610210*" /stext=" 09:.+((SYSTEM_STATE.+slice.+state.+changed )|(ment ac)|(system.+state.+changed )|(\[timeout)|(PRM\|1\|D)|(kpr)|(kdp)|(\|lc)|(penalty))" /e /r /s</v>
      </c>
      <c r="U46" s="9" t="str">
        <f t="shared" si="2"/>
        <v>4041</v>
      </c>
      <c r="V46" s="36">
        <f t="shared" si="3"/>
        <v>42664.401817129627</v>
      </c>
      <c r="W46" s="50" t="str">
        <f t="shared" si="4"/>
        <v>Other</v>
      </c>
      <c r="X46" s="50" t="str">
        <f t="shared" si="8"/>
        <v>KEEP</v>
      </c>
      <c r="Y46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ID","value":"304-21"},{"id":16,"name":"Locomotive ID","value":"4041"},{"id":130,"name":"Impact","value":""},{"id":150,"name":"Time of Event (Mountain Time)","value":"03:38:37"},{"id":151,"name":"Denver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7"/>
        <v>grep -hSE -A100 "Enforcement Action" "%USERPROFILE%\AppData\Local\Temp\OnboardLogs"\RTDC4041\*4041*201610210* | grep -SE "((Enforcement Ac)|(PRM))" -</v>
      </c>
      <c r="AD46" s="1"/>
    </row>
    <row r="47" spans="1:30" x14ac:dyDescent="0.25">
      <c r="A47" s="36">
        <v>42664.152233796296</v>
      </c>
      <c r="B47" s="31" t="s">
        <v>256</v>
      </c>
      <c r="C47" s="31" t="s">
        <v>393</v>
      </c>
      <c r="D47" s="31" t="s">
        <v>49</v>
      </c>
      <c r="E47" s="31" t="s">
        <v>249</v>
      </c>
      <c r="F47" s="47">
        <v>0</v>
      </c>
      <c r="G47" s="47">
        <v>35</v>
      </c>
      <c r="H47" s="47">
        <v>130</v>
      </c>
      <c r="I47" s="47">
        <v>109</v>
      </c>
      <c r="J47" s="31" t="s">
        <v>250</v>
      </c>
      <c r="K47" s="47">
        <v>1</v>
      </c>
      <c r="L47" s="157" t="s">
        <v>51</v>
      </c>
      <c r="M47" s="158">
        <f t="shared" si="0"/>
        <v>57.024000000000001</v>
      </c>
      <c r="N47" s="159" t="str">
        <f>VLOOKUP(C47,'Trips&amp;Operators'!$C$1:$E$99999,3,FALSE)</f>
        <v>DAVIS</v>
      </c>
      <c r="O47" s="184" t="s">
        <v>243</v>
      </c>
      <c r="P47" s="160"/>
      <c r="Q47" s="31"/>
      <c r="R47" s="100" t="str">
        <f>VLOOKUP(C47,'Train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47" s="103" t="str">
        <f>VLOOKUP(C47,'Train Runs'!$A$13:$AE$10025,22,0)</f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7" s="105" t="str">
        <f t="shared" si="1"/>
        <v>"C:\Program Files (x86)\AstroGrep\AstroGrep.exe" /spath="%USERPROFILE%\AppData\Local\Temp\OnboardLogs" /stypes="*4041*201610210*" /stext=" 09:.+((SYSTEM_STATE.+slice.+state.+changed )|(ment ac)|(system.+state.+changed )|(\[timeout)|(PRM\|1\|D)|(kpr)|(kdp)|(\|lc)|(penalty))" /e /r /s</v>
      </c>
      <c r="U47" s="9" t="str">
        <f t="shared" si="2"/>
        <v>4041</v>
      </c>
      <c r="V47" s="36">
        <f t="shared" si="3"/>
        <v>42664.402233796296</v>
      </c>
      <c r="W47" s="50" t="str">
        <f t="shared" si="4"/>
        <v>Other</v>
      </c>
      <c r="X47" s="50" t="str">
        <f t="shared" si="8"/>
        <v>KEEP</v>
      </c>
      <c r="Y47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ID","value":"304-21"},{"id":16,"name":"Locomotive ID","value":"4041"},{"id":130,"name":"Impact","value":""},{"id":150,"name":"Time of Event (Mountain Time)","value":"03:39:13"},{"id":151,"name":"Denver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7"/>
        <v>grep -hSE -A100 "Enforcement Action" "%USERPROFILE%\AppData\Local\Temp\OnboardLogs"\RTDC4041\*4041*201610210* | grep -SE "((Enforcement Ac)|(PRM))" -</v>
      </c>
      <c r="AD47" s="1"/>
    </row>
    <row r="48" spans="1:30" x14ac:dyDescent="0.25">
      <c r="A48" s="36">
        <v>42664.755520833336</v>
      </c>
      <c r="B48" s="31" t="s">
        <v>211</v>
      </c>
      <c r="C48" s="31" t="s">
        <v>430</v>
      </c>
      <c r="D48" s="31" t="s">
        <v>49</v>
      </c>
      <c r="E48" s="31" t="s">
        <v>249</v>
      </c>
      <c r="F48" s="47">
        <v>0</v>
      </c>
      <c r="G48" s="47">
        <v>38</v>
      </c>
      <c r="H48" s="47">
        <v>91</v>
      </c>
      <c r="I48" s="47">
        <v>59</v>
      </c>
      <c r="J48" s="31" t="s">
        <v>250</v>
      </c>
      <c r="K48" s="47">
        <v>1</v>
      </c>
      <c r="L48" s="157" t="s">
        <v>51</v>
      </c>
      <c r="M48" s="158">
        <f t="shared" si="0"/>
        <v>30.623999999999999</v>
      </c>
      <c r="N48" s="159" t="str">
        <f>VLOOKUP(C48,'Trips&amp;Operators'!$C$1:$E$99999,3,FALSE)</f>
        <v>CHANDLER</v>
      </c>
      <c r="O48" s="184" t="s">
        <v>243</v>
      </c>
      <c r="P48" s="160"/>
      <c r="Q48" s="31"/>
      <c r="R48" s="100" t="str">
        <f>VLOOKUP(C48,'Train Runs'!$A$13:$AE$10025,31,0)</f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S48" s="103" t="str">
        <f>VLOOKUP(C48,'Train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16:45:01-0600',mode:absolute,to:'2016-10-21 19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8" s="105" t="str">
        <f t="shared" si="1"/>
        <v>"C:\Program Files (x86)\AstroGrep\AstroGrep.exe" /spath="%USERPROFILE%\AppData\Local\Temp\OnboardLogs" /stypes="*4043*201610220*" /stext=" 00:.+((SYSTEM_STATE.+slice.+state.+changed )|(ment ac)|(system.+state.+changed )|(\[timeout)|(PRM\|1\|D)|(kpr)|(kdp)|(\|lc)|(penalty))" /e /r /s</v>
      </c>
      <c r="U48" s="9" t="str">
        <f t="shared" si="2"/>
        <v>4043</v>
      </c>
      <c r="V48" s="36">
        <f t="shared" si="3"/>
        <v>42665.005520833336</v>
      </c>
      <c r="W48" s="50" t="str">
        <f t="shared" si="4"/>
        <v>Other</v>
      </c>
      <c r="X48" s="50" t="str">
        <f t="shared" si="8"/>
        <v>KEEP</v>
      </c>
      <c r="Y48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ID","value":"54-21"},{"id":16,"name":"Locomotive ID","value":"4043"},{"id":130,"name":"Impact","value":""},{"id":150,"name":"Time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 t="shared" si="7"/>
        <v>grep -hSE -A100 "Enforcement Action" "%USERPROFILE%\AppData\Local\Temp\OnboardLogs"\RTDC4043\*4043*201610220* | grep -SE "((Enforcement Ac)|(PRM))" -</v>
      </c>
      <c r="AD48" s="1"/>
    </row>
    <row r="49" spans="1:30" x14ac:dyDescent="0.25">
      <c r="A49" s="36">
        <v>42664.743993055556</v>
      </c>
      <c r="B49" s="31" t="s">
        <v>214</v>
      </c>
      <c r="C49" s="31" t="s">
        <v>429</v>
      </c>
      <c r="D49" s="31" t="s">
        <v>49</v>
      </c>
      <c r="E49" s="31" t="s">
        <v>249</v>
      </c>
      <c r="F49" s="47">
        <v>0</v>
      </c>
      <c r="G49" s="47">
        <v>11</v>
      </c>
      <c r="H49" s="47">
        <v>850</v>
      </c>
      <c r="I49" s="47">
        <v>0</v>
      </c>
      <c r="J49" s="31" t="s">
        <v>250</v>
      </c>
      <c r="K49" s="47">
        <v>839</v>
      </c>
      <c r="L49" s="157" t="s">
        <v>51</v>
      </c>
      <c r="M49" s="158">
        <f t="shared" si="0"/>
        <v>-442.99200000000002</v>
      </c>
      <c r="N49" s="159" t="str">
        <f>VLOOKUP(C49,'Trips&amp;Operators'!$C$1:$E$99999,3,FALSE)</f>
        <v>MATTHEWS</v>
      </c>
      <c r="O49" s="184" t="s">
        <v>243</v>
      </c>
      <c r="P49" s="160"/>
      <c r="Q49" s="31"/>
      <c r="R49" s="100" t="str">
        <f>VLOOKUP(C49,'Train Runs'!$A$13:$AE$10025,31,0)</f>
        <v>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 &amp; aws s3 cp s3://rtdc.mdm.uploadarchive.raw/RTDC4039/ "%USERPROFILE%\AppData\Local\Temp\OnboardLogs"\RTDC4039\2016-10-22 --exclude "*" --recursive --include "*20161022*" &amp; "%USERPROFILE%\Documents\GitHub\mrs-test-scripts\Headless Mode &amp; Sideloading\WalkAndUnGZ.bat" "%USERPROFILE%\AppData\Local\Temp\OnboardLogs"\RTDC4039\2016-10-22</v>
      </c>
      <c r="S49" s="103" t="str">
        <f>VLOOKUP(C49,'Train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16:39:35-0600',mode:absolute,to:'2016-10-21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9" s="105" t="str">
        <f t="shared" si="1"/>
        <v>"C:\Program Files (x86)\AstroGrep\AstroGrep.exe" /spath="%USERPROFILE%\AppData\Local\Temp\OnboardLogs" /stypes="*4039*201610212*" /stext=" 23:.+((SYSTEM_STATE.+slice.+state.+changed )|(ment ac)|(system.+state.+changed )|(\[timeout)|(PRM\|1\|D)|(kpr)|(kdp)|(\|lc)|(penalty))" /e /r /s</v>
      </c>
      <c r="U49" s="9" t="str">
        <f t="shared" si="2"/>
        <v>4039</v>
      </c>
      <c r="V49" s="36">
        <f t="shared" si="3"/>
        <v>42664.993993055556</v>
      </c>
      <c r="W49" s="50" t="str">
        <f t="shared" si="4"/>
        <v>Other</v>
      </c>
      <c r="X49" s="50" t="str">
        <f t="shared" si="8"/>
        <v>KEEP</v>
      </c>
      <c r="Y49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{"issue":{"subject":"","project_id":79,"tracker_id":40,"status_id":1,"priority_id":2,"assigned_to_id":23,"start_date":"2016-10-21","description":"","custom_fields":[{"id":1,"name":"Subdivision","value":"Other"},{"id":4,"name":"Milepost","value":"0.0839"},{"id":17,"name":"Train ID","value":"56-21"},{"id":16,"name":"Locomotive ID","value":"4039"},{"id":130,"name":"Impact","value":""},{"id":150,"name":"Time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 t="shared" si="7"/>
        <v>grep -hSE -A100 "Enforcement Action" "%USERPROFILE%\AppData\Local\Temp\OnboardLogs"\RTDC4039\*4039*201610212* | grep -SE "((Enforcement Ac)|(PRM))" -</v>
      </c>
      <c r="AD49" s="1"/>
    </row>
    <row r="50" spans="1:30" x14ac:dyDescent="0.25">
      <c r="A50" s="36">
        <v>42664.210960648146</v>
      </c>
      <c r="B50" s="31" t="s">
        <v>198</v>
      </c>
      <c r="C50" s="31" t="s">
        <v>394</v>
      </c>
      <c r="D50" s="31" t="s">
        <v>49</v>
      </c>
      <c r="E50" s="31" t="s">
        <v>249</v>
      </c>
      <c r="F50" s="47">
        <v>0</v>
      </c>
      <c r="G50" s="47">
        <v>78</v>
      </c>
      <c r="H50" s="47">
        <v>58783</v>
      </c>
      <c r="I50" s="47">
        <v>58862</v>
      </c>
      <c r="J50" s="31" t="s">
        <v>250</v>
      </c>
      <c r="K50" s="47">
        <v>59048</v>
      </c>
      <c r="L50" s="157" t="s">
        <v>50</v>
      </c>
      <c r="M50" s="158">
        <f t="shared" si="0"/>
        <v>98.207999999999998</v>
      </c>
      <c r="N50" s="159" t="str">
        <f>VLOOKUP(C50,'Trips&amp;Operators'!$C$1:$E$99999,3,FALSE)</f>
        <v>STRICKLAND</v>
      </c>
      <c r="O50" s="184" t="s">
        <v>243</v>
      </c>
      <c r="P50" s="160"/>
      <c r="Q50" s="31"/>
      <c r="R50" s="100" t="str">
        <f>VLOOKUP(C50,'Train Runs'!$A$13:$AE$10025,31,0)</f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S50" s="103" t="str">
        <f>VLOOKUP(C50,'Train Runs'!$A$13:$AE$10025,22,0)</f>
        <v>https://search-rtdc-monitor-bjffxe2xuh6vdkpspy63sjmuny.us-east-1.es.amazonaws.com/_plugin/kibana/#/discover/Steve-Slow-Train-Analysis-(2080s-and-2083s)?_g=(refreshInterval:(display:Off,section:0,value:0),time:(from:'2016-10-21 03:53:08-0600',mode:absolute,to:'2016-10-21 06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0" s="105" t="str">
        <f t="shared" si="1"/>
        <v>"C:\Program Files (x86)\AstroGrep\AstroGrep.exe" /spath="%USERPROFILE%\AppData\Local\Temp\OnboardLogs" /stypes="*4046*201610211*" /stext=" 11:.+((SYSTEM_STATE.+slice.+state.+changed )|(ment ac)|(system.+state.+changed )|(\[timeout)|(PRM\|1\|D)|(kpr)|(kdp)|(\|lc)|(penalty))" /e /r /s</v>
      </c>
      <c r="U50" s="9" t="str">
        <f t="shared" si="2"/>
        <v>4046</v>
      </c>
      <c r="V50" s="36">
        <f t="shared" si="3"/>
        <v>42664.460960648146</v>
      </c>
      <c r="W50" s="50" t="str">
        <f t="shared" si="4"/>
        <v>Other</v>
      </c>
      <c r="X50" s="50" t="str">
        <f t="shared" si="8"/>
        <v>KEEP</v>
      </c>
      <c r="Y50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{"issue":{"subject":"","project_id":79,"tracker_id":40,"status_id":1,"priority_id":2,"assigned_to_id":23,"start_date":"2016-10-21","description":"","custom_fields":[{"id":1,"name":"Subdivision","value":"Other"},{"id":4,"name":"Milepost","value":"5.9048"},{"id":17,"name":"Train ID","value":"901-21"},{"id":16,"name":"Locomotive ID","value":"4046"},{"id":130,"name":"Impact","value":""},{"id":150,"name":"Time of Event (Mountain Time)","value":"05:03:47"},{"id":151,"name":"Denver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 t="shared" si="7"/>
        <v>grep -hSE -A100 "Enforcement Action" "%USERPROFILE%\AppData\Local\Temp\OnboardLogs"\RTDC4046\*4046*201610211* | grep -SE "((Enforcement Ac)|(PRM))" -</v>
      </c>
      <c r="AD50" s="1"/>
    </row>
  </sheetData>
  <autoFilter ref="A6:AC5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50">
    <cfRule type="cellIs" dxfId="1" priority="2" operator="equal">
      <formula>"Y"</formula>
    </cfRule>
  </conditionalFormatting>
  <conditionalFormatting sqref="A7:P50">
    <cfRule type="expression" dxfId="0" priority="1">
      <formula>$O7="Y"</formula>
    </cfRule>
  </conditionalFormatting>
  <hyperlinks>
    <hyperlink ref="Z2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AB7:AB50</xm:sqref>
        </x14:dataValidation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6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7" t="str">
        <f>"Trips that did not appear in PTC Data "&amp;TEXT(Variables!$A$2,"YYYY-mm-dd")</f>
        <v>Trips that did not appear in PTC Data 2016-10-21</v>
      </c>
      <c r="C1" s="187"/>
      <c r="D1" s="187"/>
      <c r="E1" s="187"/>
      <c r="F1" s="187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>
        <v>173</v>
      </c>
      <c r="B3" s="47" t="str">
        <f>A3&amp;"-"&amp;IF(DAY(Variables!$A$2)&lt;10,0,"")&amp;DAY(Variables!$A$2)</f>
        <v>173-21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22173-21%22)),sort:!(Time,asc))</v>
      </c>
      <c r="J3" s="31" t="str">
        <f>VLOOKUP(B3,'Train Runs'!$A$13:$A$100022,1,FALSE)</f>
        <v>173-21</v>
      </c>
      <c r="K3" s="21" t="e">
        <f t="shared" ref="K3:K15" si="1">IF(VLOOKUP(A3,$K$54:$K$77,1,FALSE),"Cancelled")</f>
        <v>#N/A</v>
      </c>
    </row>
    <row r="4" spans="1:11" x14ac:dyDescent="0.25">
      <c r="A4" s="178">
        <v>182</v>
      </c>
      <c r="B4" s="47" t="str">
        <f>A4&amp;"-"&amp;IF(DAY(Variables!$A$2)&lt;10,0,"")&amp;DAY(Variables!$A$2)</f>
        <v>182-21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22182-21%22)),sort:!(Time,asc))</v>
      </c>
      <c r="J4" s="31" t="str">
        <f>VLOOKUP(B4,'Train Runs'!$A$13:$A$100022,1,FALSE)</f>
        <v>182-21</v>
      </c>
      <c r="K4" s="21" t="e">
        <f t="shared" si="1"/>
        <v>#N/A</v>
      </c>
    </row>
    <row r="5" spans="1:11" x14ac:dyDescent="0.25">
      <c r="A5" s="178">
        <v>183</v>
      </c>
      <c r="B5" s="47" t="str">
        <f>A5&amp;"-"&amp;IF(DAY(Variables!$A$2)&lt;10,0,"")&amp;DAY(Variables!$A$2)</f>
        <v>183-21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22183-21%22)),sort:!(Time,asc))</v>
      </c>
      <c r="J5" s="31" t="str">
        <f>VLOOKUP(B5,'Train Runs'!$A$13:$A$100022,1,FALSE)</f>
        <v>183-21</v>
      </c>
      <c r="K5" s="21" t="e">
        <f t="shared" si="1"/>
        <v>#N/A</v>
      </c>
    </row>
    <row r="6" spans="1:11" x14ac:dyDescent="0.25">
      <c r="A6" s="178">
        <v>186</v>
      </c>
      <c r="B6" s="47" t="str">
        <f>A6&amp;"-"&amp;IF(DAY(Variables!$A$2)&lt;10,0,"")&amp;DAY(Variables!$A$2)</f>
        <v>186-21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22186-21%22)),sort:!(Time,asc))</v>
      </c>
      <c r="J6" s="31" t="str">
        <f>VLOOKUP(B6,'Train Runs'!$A$13:$A$100022,1,FALSE)</f>
        <v>186-21</v>
      </c>
      <c r="K6" s="21" t="e">
        <f t="shared" si="1"/>
        <v>#N/A</v>
      </c>
    </row>
    <row r="7" spans="1:11" x14ac:dyDescent="0.25">
      <c r="A7" s="178">
        <v>190</v>
      </c>
      <c r="B7" s="47" t="str">
        <f>A7&amp;"-"&amp;IF(DAY(Variables!$A$2)&lt;10,0,"")&amp;DAY(Variables!$A$2)</f>
        <v>190-21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22190-21%22)),sort:!(Time,asc))</v>
      </c>
      <c r="J7" s="31" t="str">
        <f>VLOOKUP(B7,'Train Runs'!$A$13:$A$100022,1,FALSE)</f>
        <v>190-21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-21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8" s="31" t="e">
        <f>VLOOKUP(B8,'Train Runs'!$A$13:$A$100022,1,FALSE)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-21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9" s="31" t="e">
        <f>VLOOKUP(B9,'Train Runs'!$A$13:$A$100022,1,FALSE)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-21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0" s="31" t="e">
        <f>VLOOKUP(B10,'Train Runs'!$A$13:$A$100022,1,FALSE)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-21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1" s="31" t="e">
        <f>VLOOKUP(B11,'Train Runs'!$A$13:$A$100022,1,FALSE)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-21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2" s="31" t="e">
        <f>VLOOKUP(B12,'Train Runs'!$A$13:$A$100022,1,FALSE)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-21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3" s="31" t="e">
        <f>VLOOKUP(B13,'Train Runs'!$A$13:$A$100022,1,FALSE)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-21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4" s="31" t="e">
        <f>VLOOKUP(B14,'Train Runs'!$A$13:$A$100022,1,FALSE)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-21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5" s="31" t="e">
        <f>VLOOKUP(B15,'Train Runs'!$A$13:$A$100022,1,FALSE)</f>
        <v>#N/A</v>
      </c>
      <c r="K15" s="21" t="e">
        <f t="shared" si="1"/>
        <v>#N/A</v>
      </c>
    </row>
    <row r="16" spans="1:11" x14ac:dyDescent="0.25">
      <c r="C16" s="110"/>
      <c r="D16" s="110"/>
      <c r="E16" s="31"/>
      <c r="F16" s="22"/>
      <c r="G16" s="22"/>
      <c r="H16" s="30"/>
      <c r="I16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42664.044756944444</v>
      </c>
      <c r="B2" s="21" t="s">
        <v>340</v>
      </c>
      <c r="C2" s="21" t="s">
        <v>342</v>
      </c>
      <c r="D2" s="21">
        <v>1300000</v>
      </c>
      <c r="E2" s="21" t="s">
        <v>114</v>
      </c>
      <c r="F2" s="21" t="str">
        <f t="shared" ref="F2:F65" si="0">B2</f>
        <v>rtdc.l.rtdc.4005:itc</v>
      </c>
      <c r="G2" s="8">
        <f t="shared" ref="G2:G65" si="1">A2</f>
        <v>42664.044756944444</v>
      </c>
    </row>
    <row r="3" spans="1:7" x14ac:dyDescent="0.25">
      <c r="A3" s="8">
        <v>42664.050081018519</v>
      </c>
      <c r="B3" s="21" t="s">
        <v>196</v>
      </c>
      <c r="C3" s="21" t="s">
        <v>349</v>
      </c>
      <c r="D3" s="21">
        <v>1180000</v>
      </c>
      <c r="E3" s="21" t="s">
        <v>189</v>
      </c>
      <c r="F3" s="21" t="str">
        <f t="shared" si="0"/>
        <v>rtdc.l.rtdc.4044:itc</v>
      </c>
      <c r="G3" s="8">
        <f t="shared" si="1"/>
        <v>42664.050081018519</v>
      </c>
    </row>
    <row r="4" spans="1:7" x14ac:dyDescent="0.25">
      <c r="A4" s="8">
        <v>42664.051400462966</v>
      </c>
      <c r="B4" s="21" t="s">
        <v>196</v>
      </c>
      <c r="C4" s="21" t="s">
        <v>349</v>
      </c>
      <c r="D4" s="21">
        <v>1180000</v>
      </c>
      <c r="E4" s="21" t="s">
        <v>189</v>
      </c>
      <c r="F4" s="21" t="str">
        <f t="shared" si="0"/>
        <v>rtdc.l.rtdc.4044:itc</v>
      </c>
      <c r="G4" s="8">
        <f t="shared" si="1"/>
        <v>42664.051400462966</v>
      </c>
    </row>
    <row r="5" spans="1:7" x14ac:dyDescent="0.25">
      <c r="A5" s="8">
        <v>42664.052858796298</v>
      </c>
      <c r="B5" s="21" t="s">
        <v>270</v>
      </c>
      <c r="C5" s="21" t="s">
        <v>341</v>
      </c>
      <c r="D5" s="21">
        <v>2370000</v>
      </c>
      <c r="E5" s="21" t="s">
        <v>282</v>
      </c>
      <c r="F5" s="21" t="str">
        <f t="shared" si="0"/>
        <v>rtdc.l.rtdc.4029:itc</v>
      </c>
      <c r="G5" s="8">
        <f t="shared" si="1"/>
        <v>42664.052858796298</v>
      </c>
    </row>
    <row r="6" spans="1:7" x14ac:dyDescent="0.25">
      <c r="A6" s="8">
        <v>42664.076736111114</v>
      </c>
      <c r="B6" s="21" t="s">
        <v>265</v>
      </c>
      <c r="C6" s="21" t="s">
        <v>350</v>
      </c>
      <c r="D6" s="21">
        <v>1480000</v>
      </c>
      <c r="E6" s="21" t="s">
        <v>191</v>
      </c>
      <c r="F6" s="21" t="str">
        <f t="shared" si="0"/>
        <v>rtdc.l.rtdc.4012:itc</v>
      </c>
      <c r="G6" s="8">
        <f t="shared" si="1"/>
        <v>42664.076736111114</v>
      </c>
    </row>
    <row r="7" spans="1:7" x14ac:dyDescent="0.25">
      <c r="A7" s="8">
        <v>42664.138437499998</v>
      </c>
      <c r="B7" s="21" t="s">
        <v>405</v>
      </c>
      <c r="C7" s="21" t="s">
        <v>438</v>
      </c>
      <c r="D7" s="21">
        <v>2010000</v>
      </c>
      <c r="E7" s="21" t="s">
        <v>323</v>
      </c>
      <c r="F7" s="21" t="str">
        <f t="shared" si="0"/>
        <v>rtdc.l.rtdc.4014:itc</v>
      </c>
      <c r="G7" s="8">
        <f t="shared" si="1"/>
        <v>42664.138437499998</v>
      </c>
    </row>
    <row r="8" spans="1:7" x14ac:dyDescent="0.25">
      <c r="A8" s="8">
        <v>42664.144537037035</v>
      </c>
      <c r="B8" s="21" t="s">
        <v>256</v>
      </c>
      <c r="C8" s="21" t="s">
        <v>393</v>
      </c>
      <c r="D8" s="21">
        <v>1990000</v>
      </c>
      <c r="E8" s="21" t="s">
        <v>439</v>
      </c>
      <c r="F8" s="21" t="str">
        <f t="shared" si="0"/>
        <v>rtdc.l.rtdc.4041:itc</v>
      </c>
      <c r="G8" s="8">
        <f t="shared" si="1"/>
        <v>42664.144537037035</v>
      </c>
    </row>
    <row r="9" spans="1:7" ht="15.75" thickBot="1" x14ac:dyDescent="0.3">
      <c r="A9" s="25">
        <v>42664.154710648145</v>
      </c>
      <c r="B9" s="21" t="s">
        <v>296</v>
      </c>
      <c r="C9" s="21" t="s">
        <v>440</v>
      </c>
      <c r="D9" s="21">
        <v>1990000</v>
      </c>
      <c r="E9" s="21" t="s">
        <v>439</v>
      </c>
      <c r="F9" s="21" t="str">
        <f t="shared" si="0"/>
        <v>rtdc.l.rtdc.4016:itc</v>
      </c>
      <c r="G9" s="8">
        <f t="shared" si="1"/>
        <v>42664.154710648145</v>
      </c>
    </row>
    <row r="10" spans="1:7" x14ac:dyDescent="0.25">
      <c r="A10" s="8">
        <v>42664.166597222225</v>
      </c>
      <c r="B10" s="21" t="s">
        <v>278</v>
      </c>
      <c r="C10" s="21" t="s">
        <v>441</v>
      </c>
      <c r="D10" s="21">
        <v>1310000</v>
      </c>
      <c r="E10" s="21" t="s">
        <v>442</v>
      </c>
      <c r="F10" s="21" t="str">
        <f t="shared" si="0"/>
        <v>rtdc.l.rtdc.4054:itc</v>
      </c>
      <c r="G10" s="8">
        <f t="shared" si="1"/>
        <v>42664.166597222225</v>
      </c>
    </row>
    <row r="11" spans="1:7" x14ac:dyDescent="0.25">
      <c r="A11" s="8">
        <v>42664.16777777778</v>
      </c>
      <c r="B11" s="21" t="s">
        <v>278</v>
      </c>
      <c r="C11" s="21" t="s">
        <v>441</v>
      </c>
      <c r="D11" s="21">
        <v>1310000</v>
      </c>
      <c r="E11" s="21" t="s">
        <v>442</v>
      </c>
      <c r="F11" s="21" t="str">
        <f t="shared" si="0"/>
        <v>rtdc.l.rtdc.4054:itc</v>
      </c>
      <c r="G11" s="8">
        <f t="shared" si="1"/>
        <v>42664.16777777778</v>
      </c>
    </row>
    <row r="12" spans="1:7" x14ac:dyDescent="0.25">
      <c r="A12" s="8">
        <v>42664.172905092593</v>
      </c>
      <c r="B12" s="21" t="s">
        <v>193</v>
      </c>
      <c r="C12" s="21" t="s">
        <v>443</v>
      </c>
      <c r="D12" s="21">
        <v>2010000</v>
      </c>
      <c r="E12" s="21" t="s">
        <v>323</v>
      </c>
      <c r="F12" s="21" t="str">
        <f t="shared" si="0"/>
        <v>rtdc.l.rtdc.4010:itc</v>
      </c>
      <c r="G12" s="8">
        <f t="shared" si="1"/>
        <v>42664.172905092593</v>
      </c>
    </row>
    <row r="13" spans="1:7" x14ac:dyDescent="0.25">
      <c r="A13" s="8">
        <v>42664.17633101852</v>
      </c>
      <c r="B13" s="21" t="s">
        <v>436</v>
      </c>
      <c r="C13" s="21" t="s">
        <v>444</v>
      </c>
      <c r="D13" s="21">
        <v>1310000</v>
      </c>
      <c r="E13" s="21" t="s">
        <v>442</v>
      </c>
      <c r="F13" s="21" t="str">
        <f t="shared" si="0"/>
        <v>rtdc.l.rtdc.4027:itc</v>
      </c>
      <c r="G13" s="8">
        <f t="shared" si="1"/>
        <v>42664.17633101852</v>
      </c>
    </row>
    <row r="14" spans="1:7" x14ac:dyDescent="0.25">
      <c r="A14" s="8">
        <v>42664.181967592594</v>
      </c>
      <c r="B14" s="21" t="s">
        <v>339</v>
      </c>
      <c r="C14" s="21" t="s">
        <v>445</v>
      </c>
      <c r="D14" s="21">
        <v>1100000</v>
      </c>
      <c r="E14" s="21" t="s">
        <v>446</v>
      </c>
      <c r="F14" s="21" t="str">
        <f t="shared" si="0"/>
        <v>rtdc.l.rtdc.4037:itc</v>
      </c>
      <c r="G14" s="8">
        <f t="shared" si="1"/>
        <v>42664.181967592594</v>
      </c>
    </row>
    <row r="15" spans="1:7" x14ac:dyDescent="0.25">
      <c r="A15" s="8">
        <v>42664.186018518521</v>
      </c>
      <c r="B15" s="21" t="s">
        <v>188</v>
      </c>
      <c r="C15" s="21" t="s">
        <v>447</v>
      </c>
      <c r="D15" s="21">
        <v>1240000</v>
      </c>
      <c r="E15" s="21" t="s">
        <v>448</v>
      </c>
      <c r="F15" s="21" t="str">
        <f t="shared" si="0"/>
        <v>rtdc.l.rtdc.4018:itc</v>
      </c>
      <c r="G15" s="8">
        <f t="shared" si="1"/>
        <v>42664.186018518521</v>
      </c>
    </row>
    <row r="16" spans="1:7" x14ac:dyDescent="0.25">
      <c r="A16" s="8">
        <v>42664.188634259262</v>
      </c>
      <c r="B16" s="21" t="s">
        <v>256</v>
      </c>
      <c r="C16" s="21" t="s">
        <v>449</v>
      </c>
      <c r="D16" s="21">
        <v>1990000</v>
      </c>
      <c r="E16" s="21" t="s">
        <v>439</v>
      </c>
      <c r="F16" s="21" t="str">
        <f t="shared" si="0"/>
        <v>rtdc.l.rtdc.4041:itc</v>
      </c>
      <c r="G16" s="8">
        <f t="shared" si="1"/>
        <v>42664.188634259262</v>
      </c>
    </row>
    <row r="17" spans="1:7" x14ac:dyDescent="0.25">
      <c r="A17" s="8">
        <v>42664.193379629629</v>
      </c>
      <c r="B17" s="21" t="s">
        <v>345</v>
      </c>
      <c r="C17" s="21" t="s">
        <v>450</v>
      </c>
      <c r="D17" s="21">
        <v>1100000</v>
      </c>
      <c r="E17" s="21" t="s">
        <v>446</v>
      </c>
      <c r="F17" s="21" t="str">
        <f t="shared" si="0"/>
        <v>rtdc.l.rtdc.4038:itc</v>
      </c>
      <c r="G17" s="8">
        <f t="shared" si="1"/>
        <v>42664.193379629629</v>
      </c>
    </row>
    <row r="18" spans="1:7" x14ac:dyDescent="0.25">
      <c r="A18" s="8">
        <v>42664.204560185186</v>
      </c>
      <c r="B18" s="21" t="s">
        <v>198</v>
      </c>
      <c r="C18" s="21" t="s">
        <v>394</v>
      </c>
      <c r="D18" s="21">
        <v>1760000</v>
      </c>
      <c r="E18" s="21" t="s">
        <v>324</v>
      </c>
      <c r="F18" s="21" t="str">
        <f t="shared" si="0"/>
        <v>rtdc.l.rtdc.4046:itc</v>
      </c>
      <c r="G18" s="8">
        <f t="shared" si="1"/>
        <v>42664.204560185186</v>
      </c>
    </row>
    <row r="19" spans="1:7" x14ac:dyDescent="0.25">
      <c r="A19" s="8">
        <v>42664.206678240742</v>
      </c>
      <c r="B19" s="21" t="s">
        <v>405</v>
      </c>
      <c r="C19" s="21" t="s">
        <v>451</v>
      </c>
      <c r="D19" s="21">
        <v>1090000</v>
      </c>
      <c r="E19" s="21" t="s">
        <v>279</v>
      </c>
      <c r="F19" s="21" t="str">
        <f t="shared" si="0"/>
        <v>rtdc.l.rtdc.4014:itc</v>
      </c>
      <c r="G19" s="8">
        <f t="shared" si="1"/>
        <v>42664.206678240742</v>
      </c>
    </row>
    <row r="20" spans="1:7" x14ac:dyDescent="0.25">
      <c r="A20" s="8">
        <v>42664.21162037037</v>
      </c>
      <c r="B20" s="21" t="s">
        <v>194</v>
      </c>
      <c r="C20" s="21" t="s">
        <v>452</v>
      </c>
      <c r="D20" s="21">
        <v>2010000</v>
      </c>
      <c r="E20" s="21" t="s">
        <v>323</v>
      </c>
      <c r="F20" s="21" t="str">
        <f t="shared" si="0"/>
        <v>rtdc.l.rtdc.4009:itc</v>
      </c>
      <c r="G20" s="8">
        <f t="shared" si="1"/>
        <v>42664.21162037037</v>
      </c>
    </row>
    <row r="21" spans="1:7" x14ac:dyDescent="0.25">
      <c r="A21" s="8">
        <v>42664.212395833332</v>
      </c>
      <c r="B21" s="21" t="s">
        <v>278</v>
      </c>
      <c r="C21" s="21" t="s">
        <v>398</v>
      </c>
      <c r="D21" s="21">
        <v>1310000</v>
      </c>
      <c r="E21" s="21" t="s">
        <v>442</v>
      </c>
      <c r="F21" s="21" t="str">
        <f t="shared" si="0"/>
        <v>rtdc.l.rtdc.4054:itc</v>
      </c>
      <c r="G21" s="8">
        <f t="shared" si="1"/>
        <v>42664.212395833332</v>
      </c>
    </row>
    <row r="22" spans="1:7" x14ac:dyDescent="0.25">
      <c r="A22" s="27">
        <v>42664.213472222225</v>
      </c>
      <c r="B22" s="21" t="s">
        <v>395</v>
      </c>
      <c r="C22" s="21" t="s">
        <v>396</v>
      </c>
      <c r="D22" s="21">
        <v>1760000</v>
      </c>
      <c r="E22" s="21" t="s">
        <v>324</v>
      </c>
      <c r="F22" s="21" t="str">
        <f t="shared" si="0"/>
        <v>rtdc.l.rtdc.4045:itc</v>
      </c>
      <c r="G22" s="8">
        <f t="shared" si="1"/>
        <v>42664.213472222225</v>
      </c>
    </row>
    <row r="23" spans="1:7" x14ac:dyDescent="0.25">
      <c r="A23" s="8">
        <v>42664.217939814815</v>
      </c>
      <c r="B23" s="21" t="s">
        <v>246</v>
      </c>
      <c r="C23" s="21" t="s">
        <v>397</v>
      </c>
      <c r="D23" s="21">
        <v>1360000</v>
      </c>
      <c r="E23" s="21" t="s">
        <v>343</v>
      </c>
      <c r="F23" s="21" t="str">
        <f t="shared" si="0"/>
        <v>rtdc.l.rtdc.4017:itc</v>
      </c>
      <c r="G23" s="8">
        <f t="shared" si="1"/>
        <v>42664.217939814815</v>
      </c>
    </row>
    <row r="24" spans="1:7" x14ac:dyDescent="0.25">
      <c r="A24" s="8">
        <v>42664.230416666665</v>
      </c>
      <c r="B24" s="21" t="s">
        <v>296</v>
      </c>
      <c r="C24" s="21" t="s">
        <v>453</v>
      </c>
      <c r="D24" s="21">
        <v>2140000</v>
      </c>
      <c r="E24" s="21" t="s">
        <v>454</v>
      </c>
      <c r="F24" s="21" t="str">
        <f t="shared" si="0"/>
        <v>rtdc.l.rtdc.4016:itc</v>
      </c>
      <c r="G24" s="8">
        <f t="shared" si="1"/>
        <v>42664.230416666665</v>
      </c>
    </row>
    <row r="25" spans="1:7" x14ac:dyDescent="0.25">
      <c r="A25" s="8">
        <v>42664.231793981482</v>
      </c>
      <c r="B25" s="21" t="s">
        <v>339</v>
      </c>
      <c r="C25" s="21" t="s">
        <v>455</v>
      </c>
      <c r="D25" s="21">
        <v>1100000</v>
      </c>
      <c r="E25" s="21" t="s">
        <v>446</v>
      </c>
      <c r="F25" s="21" t="str">
        <f t="shared" si="0"/>
        <v>rtdc.l.rtdc.4037:itc</v>
      </c>
      <c r="G25" s="8">
        <f t="shared" si="1"/>
        <v>42664.231793981482</v>
      </c>
    </row>
    <row r="26" spans="1:7" x14ac:dyDescent="0.25">
      <c r="A26" s="8">
        <v>42664.233784722222</v>
      </c>
      <c r="B26" s="21" t="s">
        <v>255</v>
      </c>
      <c r="C26" s="21" t="s">
        <v>456</v>
      </c>
      <c r="D26" s="21">
        <v>1990000</v>
      </c>
      <c r="E26" s="21" t="s">
        <v>439</v>
      </c>
      <c r="F26" s="21" t="str">
        <f t="shared" si="0"/>
        <v>rtdc.l.rtdc.4042:itc</v>
      </c>
      <c r="G26" s="8">
        <f t="shared" si="1"/>
        <v>42664.233784722222</v>
      </c>
    </row>
    <row r="27" spans="1:7" x14ac:dyDescent="0.25">
      <c r="A27" s="8">
        <v>42664.234189814815</v>
      </c>
      <c r="B27" s="21" t="s">
        <v>198</v>
      </c>
      <c r="C27" s="21" t="s">
        <v>457</v>
      </c>
      <c r="D27" s="21">
        <v>1760000</v>
      </c>
      <c r="E27" s="21" t="s">
        <v>324</v>
      </c>
      <c r="F27" s="21" t="str">
        <f t="shared" si="0"/>
        <v>rtdc.l.rtdc.4046:itc</v>
      </c>
      <c r="G27" s="8">
        <f t="shared" si="1"/>
        <v>42664.234189814815</v>
      </c>
    </row>
    <row r="28" spans="1:7" x14ac:dyDescent="0.25">
      <c r="A28" s="8">
        <v>42664.245081018518</v>
      </c>
      <c r="B28" s="21" t="s">
        <v>402</v>
      </c>
      <c r="C28" s="21" t="s">
        <v>458</v>
      </c>
      <c r="D28" s="21">
        <v>1090000</v>
      </c>
      <c r="E28" s="21" t="s">
        <v>279</v>
      </c>
      <c r="F28" s="21" t="str">
        <f t="shared" si="0"/>
        <v>rtdc.l.rtdc.4013:itc</v>
      </c>
      <c r="G28" s="8">
        <f t="shared" si="1"/>
        <v>42664.245081018518</v>
      </c>
    </row>
    <row r="29" spans="1:7" x14ac:dyDescent="0.25">
      <c r="A29" s="8">
        <v>42664.247581018521</v>
      </c>
      <c r="B29" s="21" t="s">
        <v>436</v>
      </c>
      <c r="C29" s="21" t="s">
        <v>459</v>
      </c>
      <c r="D29" s="21">
        <v>1310000</v>
      </c>
      <c r="E29" s="21" t="s">
        <v>442</v>
      </c>
      <c r="F29" s="21" t="str">
        <f t="shared" si="0"/>
        <v>rtdc.l.rtdc.4027:itc</v>
      </c>
      <c r="G29" s="8">
        <f t="shared" si="1"/>
        <v>42664.247581018521</v>
      </c>
    </row>
    <row r="30" spans="1:7" x14ac:dyDescent="0.25">
      <c r="A30" s="8">
        <v>42664.248923611114</v>
      </c>
      <c r="B30" s="21" t="s">
        <v>436</v>
      </c>
      <c r="C30" s="21" t="s">
        <v>459</v>
      </c>
      <c r="D30" s="21">
        <v>1310000</v>
      </c>
      <c r="E30" s="21" t="s">
        <v>442</v>
      </c>
      <c r="F30" s="21" t="str">
        <f t="shared" si="0"/>
        <v>rtdc.l.rtdc.4027:itc</v>
      </c>
      <c r="G30" s="8">
        <f t="shared" si="1"/>
        <v>42664.248923611114</v>
      </c>
    </row>
    <row r="31" spans="1:7" x14ac:dyDescent="0.25">
      <c r="A31" s="8">
        <v>42664.250636574077</v>
      </c>
      <c r="B31" s="21" t="s">
        <v>400</v>
      </c>
      <c r="C31" s="21" t="s">
        <v>460</v>
      </c>
      <c r="D31" s="21">
        <v>1830000</v>
      </c>
      <c r="E31" s="21" t="s">
        <v>344</v>
      </c>
      <c r="F31" s="21" t="str">
        <f t="shared" si="0"/>
        <v>rtdc.l.rtdc.4026:itc</v>
      </c>
      <c r="G31" s="8">
        <f t="shared" si="1"/>
        <v>42664.250636574077</v>
      </c>
    </row>
    <row r="32" spans="1:7" x14ac:dyDescent="0.25">
      <c r="A32" s="8">
        <v>42664.251620370371</v>
      </c>
      <c r="B32" s="21" t="s">
        <v>193</v>
      </c>
      <c r="C32" s="21" t="s">
        <v>461</v>
      </c>
      <c r="D32" s="21">
        <v>2010000</v>
      </c>
      <c r="E32" s="21" t="s">
        <v>323</v>
      </c>
      <c r="F32" s="21" t="str">
        <f t="shared" si="0"/>
        <v>rtdc.l.rtdc.4010:itc</v>
      </c>
      <c r="G32" s="8">
        <f t="shared" si="1"/>
        <v>42664.251620370371</v>
      </c>
    </row>
    <row r="33" spans="1:7" x14ac:dyDescent="0.25">
      <c r="A33" s="8">
        <v>42664.255787037036</v>
      </c>
      <c r="B33" s="21" t="s">
        <v>395</v>
      </c>
      <c r="C33" s="21" t="s">
        <v>462</v>
      </c>
      <c r="D33" s="21">
        <v>1760000</v>
      </c>
      <c r="E33" s="21" t="s">
        <v>324</v>
      </c>
      <c r="F33" s="21" t="str">
        <f t="shared" si="0"/>
        <v>rtdc.l.rtdc.4045:itc</v>
      </c>
      <c r="G33" s="8">
        <f t="shared" si="1"/>
        <v>42664.255787037036</v>
      </c>
    </row>
    <row r="34" spans="1:7" x14ac:dyDescent="0.25">
      <c r="A34" s="8">
        <v>42664.258657407408</v>
      </c>
      <c r="B34" s="21" t="s">
        <v>188</v>
      </c>
      <c r="C34" s="21" t="s">
        <v>463</v>
      </c>
      <c r="D34" s="21">
        <v>1360000</v>
      </c>
      <c r="E34" s="21" t="s">
        <v>343</v>
      </c>
      <c r="F34" s="21" t="str">
        <f t="shared" si="0"/>
        <v>rtdc.l.rtdc.4018:itc</v>
      </c>
      <c r="G34" s="8">
        <f t="shared" si="1"/>
        <v>42664.258657407408</v>
      </c>
    </row>
    <row r="35" spans="1:7" x14ac:dyDescent="0.25">
      <c r="A35" s="8">
        <v>42664.259432870371</v>
      </c>
      <c r="B35" s="21" t="s">
        <v>297</v>
      </c>
      <c r="C35" s="21" t="s">
        <v>399</v>
      </c>
      <c r="D35" s="21">
        <v>2140000</v>
      </c>
      <c r="E35" s="21" t="s">
        <v>454</v>
      </c>
      <c r="F35" s="21" t="str">
        <f t="shared" si="0"/>
        <v>rtdc.l.rtdc.4015:itc</v>
      </c>
      <c r="G35" s="8">
        <f t="shared" si="1"/>
        <v>42664.259432870371</v>
      </c>
    </row>
    <row r="36" spans="1:7" x14ac:dyDescent="0.25">
      <c r="A36" s="8">
        <v>42664.261319444442</v>
      </c>
      <c r="B36" s="21" t="s">
        <v>409</v>
      </c>
      <c r="C36" s="21" t="s">
        <v>464</v>
      </c>
      <c r="D36" s="21">
        <v>1830000</v>
      </c>
      <c r="E36" s="21" t="s">
        <v>344</v>
      </c>
      <c r="F36" s="21" t="str">
        <f t="shared" si="0"/>
        <v>rtdc.l.rtdc.4025:itc</v>
      </c>
      <c r="G36" s="8">
        <f t="shared" si="1"/>
        <v>42664.261319444442</v>
      </c>
    </row>
    <row r="37" spans="1:7" x14ac:dyDescent="0.25">
      <c r="A37" s="8">
        <v>42664.267939814818</v>
      </c>
      <c r="B37" s="21" t="s">
        <v>345</v>
      </c>
      <c r="C37" s="21" t="s">
        <v>465</v>
      </c>
      <c r="D37" s="21">
        <v>1100000</v>
      </c>
      <c r="E37" s="21" t="s">
        <v>446</v>
      </c>
      <c r="F37" s="21" t="str">
        <f t="shared" si="0"/>
        <v>rtdc.l.rtdc.4038:itc</v>
      </c>
      <c r="G37" s="8">
        <f t="shared" si="1"/>
        <v>42664.267939814818</v>
      </c>
    </row>
    <row r="38" spans="1:7" x14ac:dyDescent="0.25">
      <c r="A38" s="8">
        <v>42664.273645833331</v>
      </c>
      <c r="B38" s="21" t="s">
        <v>256</v>
      </c>
      <c r="C38" s="21" t="s">
        <v>466</v>
      </c>
      <c r="D38" s="21">
        <v>1990000</v>
      </c>
      <c r="E38" s="21" t="s">
        <v>439</v>
      </c>
      <c r="F38" s="21" t="str">
        <f t="shared" si="0"/>
        <v>rtdc.l.rtdc.4041:itc</v>
      </c>
      <c r="G38" s="8">
        <f t="shared" si="1"/>
        <v>42664.273645833331</v>
      </c>
    </row>
    <row r="39" spans="1:7" x14ac:dyDescent="0.25">
      <c r="A39" s="8">
        <v>42664.276342592595</v>
      </c>
      <c r="B39" s="21" t="s">
        <v>400</v>
      </c>
      <c r="C39" s="21" t="s">
        <v>467</v>
      </c>
      <c r="D39" s="21">
        <v>1830000</v>
      </c>
      <c r="E39" s="21" t="s">
        <v>344</v>
      </c>
      <c r="F39" s="21" t="str">
        <f t="shared" si="0"/>
        <v>rtdc.l.rtdc.4026:itc</v>
      </c>
      <c r="G39" s="8">
        <f t="shared" si="1"/>
        <v>42664.276342592595</v>
      </c>
    </row>
    <row r="40" spans="1:7" x14ac:dyDescent="0.25">
      <c r="A40" s="8">
        <v>42664.279733796298</v>
      </c>
      <c r="B40" s="26" t="s">
        <v>405</v>
      </c>
      <c r="C40" s="21" t="s">
        <v>468</v>
      </c>
      <c r="D40" s="21">
        <v>1090000</v>
      </c>
      <c r="E40" s="21" t="s">
        <v>279</v>
      </c>
      <c r="F40" s="21" t="str">
        <f t="shared" si="0"/>
        <v>rtdc.l.rtdc.4014:itc</v>
      </c>
      <c r="G40" s="8">
        <f t="shared" si="1"/>
        <v>42664.279733796298</v>
      </c>
    </row>
    <row r="41" spans="1:7" x14ac:dyDescent="0.25">
      <c r="A41" s="8">
        <v>42664.282476851855</v>
      </c>
      <c r="B41" s="21" t="s">
        <v>198</v>
      </c>
      <c r="C41" s="21" t="s">
        <v>469</v>
      </c>
      <c r="D41" s="21">
        <v>1760000</v>
      </c>
      <c r="E41" s="21" t="s">
        <v>324</v>
      </c>
      <c r="F41" s="21" t="str">
        <f t="shared" si="0"/>
        <v>rtdc.l.rtdc.4046:itc</v>
      </c>
      <c r="G41" s="8">
        <f t="shared" si="1"/>
        <v>42664.282476851855</v>
      </c>
    </row>
    <row r="42" spans="1:7" x14ac:dyDescent="0.25">
      <c r="A42" s="8">
        <v>42664.283506944441</v>
      </c>
      <c r="B42" s="21" t="s">
        <v>251</v>
      </c>
      <c r="C42" s="21" t="s">
        <v>470</v>
      </c>
      <c r="D42" s="21">
        <v>1310000</v>
      </c>
      <c r="E42" s="21" t="s">
        <v>442</v>
      </c>
      <c r="F42" s="21" t="str">
        <f t="shared" si="0"/>
        <v>rtdc.l.rtdc.4028:itc</v>
      </c>
      <c r="G42" s="8">
        <f t="shared" si="1"/>
        <v>42664.283506944441</v>
      </c>
    </row>
    <row r="43" spans="1:7" x14ac:dyDescent="0.25">
      <c r="A43" s="8">
        <v>42664.287777777776</v>
      </c>
      <c r="B43" s="21" t="s">
        <v>194</v>
      </c>
      <c r="C43" s="21" t="s">
        <v>471</v>
      </c>
      <c r="D43" s="21">
        <v>2010000</v>
      </c>
      <c r="E43" s="21" t="s">
        <v>323</v>
      </c>
      <c r="F43" s="21" t="str">
        <f t="shared" si="0"/>
        <v>rtdc.l.rtdc.4009:itc</v>
      </c>
      <c r="G43" s="8">
        <f t="shared" si="1"/>
        <v>42664.287777777776</v>
      </c>
    </row>
    <row r="44" spans="1:7" x14ac:dyDescent="0.25">
      <c r="A44" s="8">
        <v>42664.290358796294</v>
      </c>
      <c r="B44" s="21" t="s">
        <v>246</v>
      </c>
      <c r="C44" s="21" t="s">
        <v>472</v>
      </c>
      <c r="D44" s="21">
        <v>1360000</v>
      </c>
      <c r="E44" s="21" t="s">
        <v>343</v>
      </c>
      <c r="F44" s="21" t="str">
        <f t="shared" si="0"/>
        <v>rtdc.l.rtdc.4017:itc</v>
      </c>
      <c r="G44" s="8">
        <f t="shared" si="1"/>
        <v>42664.290358796294</v>
      </c>
    </row>
    <row r="45" spans="1:7" x14ac:dyDescent="0.25">
      <c r="A45" s="8">
        <v>42664.297685185185</v>
      </c>
      <c r="B45" s="21" t="s">
        <v>395</v>
      </c>
      <c r="C45" s="21" t="s">
        <v>473</v>
      </c>
      <c r="D45" s="21">
        <v>1760000</v>
      </c>
      <c r="E45" s="21" t="s">
        <v>324</v>
      </c>
      <c r="F45" s="21" t="str">
        <f t="shared" si="0"/>
        <v>rtdc.l.rtdc.4045:itc</v>
      </c>
      <c r="G45" s="8">
        <f t="shared" si="1"/>
        <v>42664.297685185185</v>
      </c>
    </row>
    <row r="46" spans="1:7" x14ac:dyDescent="0.25">
      <c r="A46" s="8">
        <v>42664.298020833332</v>
      </c>
      <c r="B46" s="21" t="s">
        <v>296</v>
      </c>
      <c r="C46" s="21" t="s">
        <v>474</v>
      </c>
      <c r="D46" s="21">
        <v>2140000</v>
      </c>
      <c r="E46" s="21" t="s">
        <v>454</v>
      </c>
      <c r="F46" s="21" t="str">
        <f t="shared" si="0"/>
        <v>rtdc.l.rtdc.4016:itc</v>
      </c>
      <c r="G46" s="8">
        <f t="shared" si="1"/>
        <v>42664.298020833332</v>
      </c>
    </row>
    <row r="47" spans="1:7" x14ac:dyDescent="0.25">
      <c r="A47" s="8">
        <v>42664.298541666663</v>
      </c>
      <c r="B47" s="21" t="s">
        <v>339</v>
      </c>
      <c r="C47" s="21" t="s">
        <v>475</v>
      </c>
      <c r="D47" s="21">
        <v>1100000</v>
      </c>
      <c r="E47" s="21" t="s">
        <v>446</v>
      </c>
      <c r="F47" s="21" t="str">
        <f t="shared" si="0"/>
        <v>rtdc.l.rtdc.4037:itc</v>
      </c>
      <c r="G47" s="8">
        <f t="shared" si="1"/>
        <v>42664.298541666663</v>
      </c>
    </row>
    <row r="48" spans="1:7" x14ac:dyDescent="0.25">
      <c r="A48" s="8">
        <v>42664.305763888886</v>
      </c>
      <c r="B48" s="21" t="s">
        <v>409</v>
      </c>
      <c r="C48" s="21" t="s">
        <v>476</v>
      </c>
      <c r="D48" s="21">
        <v>1830000</v>
      </c>
      <c r="E48" s="21" t="s">
        <v>344</v>
      </c>
      <c r="F48" s="21" t="str">
        <f t="shared" si="0"/>
        <v>rtdc.l.rtdc.4025:itc</v>
      </c>
      <c r="G48" s="8">
        <f t="shared" si="1"/>
        <v>42664.305763888886</v>
      </c>
    </row>
    <row r="49" spans="1:7" x14ac:dyDescent="0.25">
      <c r="A49" s="8">
        <v>42664.308877314812</v>
      </c>
      <c r="B49" s="21" t="s">
        <v>255</v>
      </c>
      <c r="C49" s="21" t="s">
        <v>477</v>
      </c>
      <c r="D49" s="21">
        <v>1990000</v>
      </c>
      <c r="E49" s="21" t="s">
        <v>439</v>
      </c>
      <c r="F49" s="21" t="str">
        <f t="shared" si="0"/>
        <v>rtdc.l.rtdc.4042:itc</v>
      </c>
      <c r="G49" s="8">
        <f t="shared" si="1"/>
        <v>42664.308877314812</v>
      </c>
    </row>
    <row r="50" spans="1:7" x14ac:dyDescent="0.25">
      <c r="A50" s="8">
        <v>42664.315393518518</v>
      </c>
      <c r="B50" s="21" t="s">
        <v>402</v>
      </c>
      <c r="C50" s="21" t="s">
        <v>403</v>
      </c>
      <c r="D50" s="21">
        <v>1090000</v>
      </c>
      <c r="E50" s="21" t="s">
        <v>279</v>
      </c>
      <c r="F50" s="21" t="str">
        <f t="shared" si="0"/>
        <v>rtdc.l.rtdc.4013:itc</v>
      </c>
      <c r="G50" s="8">
        <f t="shared" si="1"/>
        <v>42664.315393518518</v>
      </c>
    </row>
    <row r="51" spans="1:7" x14ac:dyDescent="0.25">
      <c r="A51" s="8">
        <v>42664.317870370367</v>
      </c>
      <c r="B51" s="21" t="s">
        <v>400</v>
      </c>
      <c r="C51" s="21" t="s">
        <v>401</v>
      </c>
      <c r="D51" s="21">
        <v>1830000</v>
      </c>
      <c r="E51" s="21" t="s">
        <v>344</v>
      </c>
      <c r="F51" s="21" t="str">
        <f t="shared" si="0"/>
        <v>rtdc.l.rtdc.4026:itc</v>
      </c>
      <c r="G51" s="8">
        <f t="shared" si="1"/>
        <v>42664.317870370367</v>
      </c>
    </row>
    <row r="52" spans="1:7" x14ac:dyDescent="0.25">
      <c r="A52" s="8">
        <v>42664.321215277778</v>
      </c>
      <c r="B52" s="21" t="s">
        <v>436</v>
      </c>
      <c r="C52" s="21" t="s">
        <v>478</v>
      </c>
      <c r="D52" s="21">
        <v>1310000</v>
      </c>
      <c r="E52" s="21" t="s">
        <v>442</v>
      </c>
      <c r="F52" s="21" t="str">
        <f t="shared" si="0"/>
        <v>rtdc.l.rtdc.4027:itc</v>
      </c>
      <c r="G52" s="8">
        <f t="shared" si="1"/>
        <v>42664.321215277778</v>
      </c>
    </row>
    <row r="53" spans="1:7" x14ac:dyDescent="0.25">
      <c r="A53" s="8">
        <v>42664.323993055557</v>
      </c>
      <c r="B53" s="21" t="s">
        <v>198</v>
      </c>
      <c r="C53" s="21" t="s">
        <v>479</v>
      </c>
      <c r="D53" s="21">
        <v>1760000</v>
      </c>
      <c r="E53" s="21" t="s">
        <v>324</v>
      </c>
      <c r="F53" s="21" t="str">
        <f t="shared" si="0"/>
        <v>rtdc.l.rtdc.4046:itc</v>
      </c>
      <c r="G53" s="8">
        <f t="shared" si="1"/>
        <v>42664.323993055557</v>
      </c>
    </row>
    <row r="54" spans="1:7" x14ac:dyDescent="0.25">
      <c r="A54" s="8">
        <v>42664.324525462966</v>
      </c>
      <c r="B54" s="21" t="s">
        <v>193</v>
      </c>
      <c r="C54" s="21" t="s">
        <v>404</v>
      </c>
      <c r="D54" s="21">
        <v>2010000</v>
      </c>
      <c r="E54" s="21" t="s">
        <v>323</v>
      </c>
      <c r="F54" s="21" t="str">
        <f t="shared" si="0"/>
        <v>rtdc.l.rtdc.4010:itc</v>
      </c>
      <c r="G54" s="8">
        <f t="shared" si="1"/>
        <v>42664.324525462966</v>
      </c>
    </row>
    <row r="55" spans="1:7" x14ac:dyDescent="0.25">
      <c r="A55" s="8">
        <v>42664.329236111109</v>
      </c>
      <c r="B55" s="21" t="s">
        <v>297</v>
      </c>
      <c r="C55" s="21" t="s">
        <v>480</v>
      </c>
      <c r="D55" s="21">
        <v>2140000</v>
      </c>
      <c r="E55" s="21" t="s">
        <v>454</v>
      </c>
      <c r="F55" s="21" t="str">
        <f t="shared" si="0"/>
        <v>rtdc.l.rtdc.4015:itc</v>
      </c>
      <c r="G55" s="8">
        <f t="shared" si="1"/>
        <v>42664.329236111109</v>
      </c>
    </row>
    <row r="56" spans="1:7" x14ac:dyDescent="0.25">
      <c r="A56" s="8">
        <v>42664.330972222226</v>
      </c>
      <c r="B56" s="21" t="s">
        <v>188</v>
      </c>
      <c r="C56" s="21" t="s">
        <v>481</v>
      </c>
      <c r="D56" s="21">
        <v>1360000</v>
      </c>
      <c r="E56" s="21" t="s">
        <v>343</v>
      </c>
      <c r="F56" s="21" t="str">
        <f t="shared" si="0"/>
        <v>rtdc.l.rtdc.4018:itc</v>
      </c>
      <c r="G56" s="8">
        <f t="shared" si="1"/>
        <v>42664.330972222226</v>
      </c>
    </row>
    <row r="57" spans="1:7" x14ac:dyDescent="0.25">
      <c r="A57" s="8">
        <v>42664.338807870372</v>
      </c>
      <c r="B57" s="21" t="s">
        <v>395</v>
      </c>
      <c r="C57" s="21" t="s">
        <v>482</v>
      </c>
      <c r="D57" s="21">
        <v>1760000</v>
      </c>
      <c r="E57" s="21" t="s">
        <v>324</v>
      </c>
      <c r="F57" s="21" t="str">
        <f t="shared" si="0"/>
        <v>rtdc.l.rtdc.4045:itc</v>
      </c>
      <c r="G57" s="8">
        <f t="shared" si="1"/>
        <v>42664.338807870372</v>
      </c>
    </row>
    <row r="58" spans="1:7" x14ac:dyDescent="0.25">
      <c r="A58" s="8">
        <v>42664.339282407411</v>
      </c>
      <c r="B58" s="21" t="s">
        <v>345</v>
      </c>
      <c r="C58" s="21" t="s">
        <v>483</v>
      </c>
      <c r="D58" s="21">
        <v>1100000</v>
      </c>
      <c r="E58" s="21" t="s">
        <v>446</v>
      </c>
      <c r="F58" s="21" t="str">
        <f t="shared" si="0"/>
        <v>rtdc.l.rtdc.4038:itc</v>
      </c>
      <c r="G58" s="8">
        <f t="shared" si="1"/>
        <v>42664.339282407411</v>
      </c>
    </row>
    <row r="59" spans="1:7" x14ac:dyDescent="0.25">
      <c r="A59" s="8">
        <v>42664.346377314818</v>
      </c>
      <c r="B59" s="21" t="s">
        <v>409</v>
      </c>
      <c r="C59" s="21" t="s">
        <v>484</v>
      </c>
      <c r="D59" s="21">
        <v>1830000</v>
      </c>
      <c r="E59" s="21" t="s">
        <v>344</v>
      </c>
      <c r="F59" s="21" t="str">
        <f t="shared" si="0"/>
        <v>rtdc.l.rtdc.4025:itc</v>
      </c>
      <c r="G59" s="8">
        <f t="shared" si="1"/>
        <v>42664.346377314818</v>
      </c>
    </row>
    <row r="60" spans="1:7" x14ac:dyDescent="0.25">
      <c r="A60" s="8">
        <v>42664.348703703705</v>
      </c>
      <c r="B60" s="21" t="s">
        <v>256</v>
      </c>
      <c r="C60" s="21" t="s">
        <v>485</v>
      </c>
      <c r="D60" s="21">
        <v>1990000</v>
      </c>
      <c r="E60" s="21" t="s">
        <v>439</v>
      </c>
      <c r="F60" s="21" t="str">
        <f t="shared" si="0"/>
        <v>rtdc.l.rtdc.4041:itc</v>
      </c>
      <c r="G60" s="8">
        <f t="shared" si="1"/>
        <v>42664.348703703705</v>
      </c>
    </row>
    <row r="61" spans="1:7" x14ac:dyDescent="0.25">
      <c r="A61" s="8">
        <v>42664.350451388891</v>
      </c>
      <c r="B61" s="21" t="s">
        <v>405</v>
      </c>
      <c r="C61" s="21" t="s">
        <v>406</v>
      </c>
      <c r="D61" s="21">
        <v>1090000</v>
      </c>
      <c r="E61" s="21" t="s">
        <v>279</v>
      </c>
      <c r="F61" s="21" t="str">
        <f t="shared" si="0"/>
        <v>rtdc.l.rtdc.4014:itc</v>
      </c>
      <c r="G61" s="8">
        <f t="shared" si="1"/>
        <v>42664.350451388891</v>
      </c>
    </row>
    <row r="62" spans="1:7" x14ac:dyDescent="0.25">
      <c r="A62" s="8">
        <v>42664.353784722225</v>
      </c>
      <c r="B62" s="21" t="s">
        <v>198</v>
      </c>
      <c r="C62" s="21" t="s">
        <v>486</v>
      </c>
      <c r="D62" s="21">
        <v>1760000</v>
      </c>
      <c r="E62" s="21" t="s">
        <v>324</v>
      </c>
      <c r="F62" s="21" t="str">
        <f t="shared" si="0"/>
        <v>rtdc.l.rtdc.4046:itc</v>
      </c>
      <c r="G62" s="8">
        <f t="shared" si="1"/>
        <v>42664.353784722225</v>
      </c>
    </row>
    <row r="63" spans="1:7" x14ac:dyDescent="0.25">
      <c r="A63" s="8">
        <v>42664.359942129631</v>
      </c>
      <c r="B63" s="21" t="s">
        <v>251</v>
      </c>
      <c r="C63" s="21" t="s">
        <v>487</v>
      </c>
      <c r="D63" s="21">
        <v>1310000</v>
      </c>
      <c r="E63" s="21" t="s">
        <v>442</v>
      </c>
      <c r="F63" s="21" t="str">
        <f t="shared" si="0"/>
        <v>rtdc.l.rtdc.4028:itc</v>
      </c>
      <c r="G63" s="8">
        <f t="shared" si="1"/>
        <v>42664.359942129631</v>
      </c>
    </row>
    <row r="64" spans="1:7" x14ac:dyDescent="0.25">
      <c r="A64" s="27">
        <v>42664.360462962963</v>
      </c>
      <c r="B64" s="21" t="s">
        <v>400</v>
      </c>
      <c r="C64" s="21" t="s">
        <v>488</v>
      </c>
      <c r="D64" s="21">
        <v>1830000</v>
      </c>
      <c r="E64" s="21" t="s">
        <v>344</v>
      </c>
      <c r="F64" s="21" t="str">
        <f t="shared" si="0"/>
        <v>rtdc.l.rtdc.4026:itc</v>
      </c>
      <c r="G64" s="8">
        <f t="shared" si="1"/>
        <v>42664.360462962963</v>
      </c>
    </row>
    <row r="65" spans="1:7" x14ac:dyDescent="0.25">
      <c r="A65" s="8">
        <v>42664.361435185187</v>
      </c>
      <c r="B65" s="21" t="s">
        <v>246</v>
      </c>
      <c r="C65" s="21" t="s">
        <v>407</v>
      </c>
      <c r="D65" s="21">
        <v>1360000</v>
      </c>
      <c r="E65" s="21" t="s">
        <v>343</v>
      </c>
      <c r="F65" s="21" t="str">
        <f t="shared" si="0"/>
        <v>rtdc.l.rtdc.4017:itc</v>
      </c>
      <c r="G65" s="8">
        <f t="shared" si="1"/>
        <v>42664.361435185187</v>
      </c>
    </row>
    <row r="66" spans="1:7" x14ac:dyDescent="0.25">
      <c r="A66" s="8">
        <v>42664.36347222222</v>
      </c>
      <c r="B66" s="21" t="s">
        <v>194</v>
      </c>
      <c r="C66" s="21" t="s">
        <v>489</v>
      </c>
      <c r="D66" s="21">
        <v>2010000</v>
      </c>
      <c r="E66" s="21" t="s">
        <v>323</v>
      </c>
      <c r="F66" s="21" t="str">
        <f t="shared" ref="F66:F129" si="2">B66</f>
        <v>rtdc.l.rtdc.4009:itc</v>
      </c>
      <c r="G66" s="8">
        <f t="shared" ref="G66:G129" si="3">A66</f>
        <v>42664.36347222222</v>
      </c>
    </row>
    <row r="67" spans="1:7" x14ac:dyDescent="0.25">
      <c r="A67" s="8">
        <v>42664.371400462966</v>
      </c>
      <c r="B67" s="21" t="s">
        <v>256</v>
      </c>
      <c r="C67" s="21" t="s">
        <v>485</v>
      </c>
      <c r="D67" s="21">
        <v>1990000</v>
      </c>
      <c r="E67" s="21" t="s">
        <v>439</v>
      </c>
      <c r="F67" s="21" t="str">
        <f t="shared" si="2"/>
        <v>rtdc.l.rtdc.4041:itc</v>
      </c>
      <c r="G67" s="8">
        <f t="shared" si="3"/>
        <v>42664.371400462966</v>
      </c>
    </row>
    <row r="68" spans="1:7" x14ac:dyDescent="0.25">
      <c r="A68" s="8">
        <v>42664.371712962966</v>
      </c>
      <c r="B68" s="21" t="s">
        <v>296</v>
      </c>
      <c r="C68" s="21" t="s">
        <v>490</v>
      </c>
      <c r="D68" s="21">
        <v>2140000</v>
      </c>
      <c r="E68" s="21" t="s">
        <v>454</v>
      </c>
      <c r="F68" s="21" t="str">
        <f t="shared" si="2"/>
        <v>rtdc.l.rtdc.4016:itc</v>
      </c>
      <c r="G68" s="8">
        <f t="shared" si="3"/>
        <v>42664.371712962966</v>
      </c>
    </row>
    <row r="69" spans="1:7" x14ac:dyDescent="0.25">
      <c r="A69" s="8">
        <v>42664.372303240743</v>
      </c>
      <c r="B69" s="21" t="s">
        <v>339</v>
      </c>
      <c r="C69" s="21" t="s">
        <v>491</v>
      </c>
      <c r="D69" s="21">
        <v>1100000</v>
      </c>
      <c r="E69" s="21" t="s">
        <v>446</v>
      </c>
      <c r="F69" s="21" t="str">
        <f t="shared" si="2"/>
        <v>rtdc.l.rtdc.4037:itc</v>
      </c>
      <c r="G69" s="8">
        <f t="shared" si="3"/>
        <v>42664.372303240743</v>
      </c>
    </row>
    <row r="70" spans="1:7" x14ac:dyDescent="0.25">
      <c r="A70" s="8">
        <v>42664.387777777774</v>
      </c>
      <c r="B70" s="21" t="s">
        <v>255</v>
      </c>
      <c r="C70" s="21" t="s">
        <v>492</v>
      </c>
      <c r="D70" s="21">
        <v>1990000</v>
      </c>
      <c r="E70" s="21" t="s">
        <v>439</v>
      </c>
      <c r="F70" s="21" t="str">
        <f t="shared" si="2"/>
        <v>rtdc.l.rtdc.4042:itc</v>
      </c>
      <c r="G70" s="8">
        <f t="shared" si="3"/>
        <v>42664.387777777774</v>
      </c>
    </row>
    <row r="71" spans="1:7" x14ac:dyDescent="0.25">
      <c r="A71" s="8">
        <v>42664.388194444444</v>
      </c>
      <c r="B71" s="21" t="s">
        <v>409</v>
      </c>
      <c r="C71" s="21" t="s">
        <v>493</v>
      </c>
      <c r="D71" s="21">
        <v>1830000</v>
      </c>
      <c r="E71" s="21" t="s">
        <v>344</v>
      </c>
      <c r="F71" s="21" t="str">
        <f t="shared" si="2"/>
        <v>rtdc.l.rtdc.4025:itc</v>
      </c>
      <c r="G71" s="8">
        <f t="shared" si="3"/>
        <v>42664.388194444444</v>
      </c>
    </row>
    <row r="72" spans="1:7" x14ac:dyDescent="0.25">
      <c r="A72" s="8">
        <v>42664.388831018521</v>
      </c>
      <c r="B72" s="21" t="s">
        <v>402</v>
      </c>
      <c r="C72" s="21" t="s">
        <v>494</v>
      </c>
      <c r="D72" s="21">
        <v>1090000</v>
      </c>
      <c r="E72" s="21" t="s">
        <v>279</v>
      </c>
      <c r="F72" s="21" t="str">
        <f t="shared" si="2"/>
        <v>rtdc.l.rtdc.4013:itc</v>
      </c>
      <c r="G72" s="8">
        <f t="shared" si="3"/>
        <v>42664.388831018521</v>
      </c>
    </row>
    <row r="73" spans="1:7" x14ac:dyDescent="0.25">
      <c r="A73" s="8">
        <v>42664.394618055558</v>
      </c>
      <c r="B73" s="21" t="s">
        <v>436</v>
      </c>
      <c r="C73" s="21" t="s">
        <v>495</v>
      </c>
      <c r="D73" s="21">
        <v>1310000</v>
      </c>
      <c r="E73" s="21" t="s">
        <v>442</v>
      </c>
      <c r="F73" s="21" t="str">
        <f t="shared" si="2"/>
        <v>rtdc.l.rtdc.4027:itc</v>
      </c>
      <c r="G73" s="8">
        <f t="shared" si="3"/>
        <v>42664.394618055558</v>
      </c>
    </row>
    <row r="74" spans="1:7" x14ac:dyDescent="0.25">
      <c r="A74" s="8">
        <v>42664.397951388892</v>
      </c>
      <c r="B74" s="21" t="s">
        <v>193</v>
      </c>
      <c r="C74" s="21" t="s">
        <v>496</v>
      </c>
      <c r="D74" s="21">
        <v>2010000</v>
      </c>
      <c r="E74" s="21" t="s">
        <v>323</v>
      </c>
      <c r="F74" s="21" t="str">
        <f t="shared" si="2"/>
        <v>rtdc.l.rtdc.4010:itc</v>
      </c>
      <c r="G74" s="8">
        <f t="shared" si="3"/>
        <v>42664.397951388892</v>
      </c>
    </row>
    <row r="75" spans="1:7" x14ac:dyDescent="0.25">
      <c r="A75" s="8">
        <v>42664.398414351854</v>
      </c>
      <c r="B75" s="21" t="s">
        <v>246</v>
      </c>
      <c r="C75" s="21" t="s">
        <v>407</v>
      </c>
      <c r="D75" s="21">
        <v>1360000</v>
      </c>
      <c r="E75" s="21" t="s">
        <v>343</v>
      </c>
      <c r="F75" s="21" t="str">
        <f t="shared" si="2"/>
        <v>rtdc.l.rtdc.4017:itc</v>
      </c>
      <c r="G75" s="8">
        <f t="shared" si="3"/>
        <v>42664.398414351854</v>
      </c>
    </row>
    <row r="76" spans="1:7" x14ac:dyDescent="0.25">
      <c r="A76" s="8">
        <v>42664.401319444441</v>
      </c>
      <c r="B76" s="21" t="s">
        <v>400</v>
      </c>
      <c r="C76" s="21" t="s">
        <v>497</v>
      </c>
      <c r="D76" s="21">
        <v>1830000</v>
      </c>
      <c r="E76" s="21" t="s">
        <v>344</v>
      </c>
      <c r="F76" s="21" t="str">
        <f t="shared" si="2"/>
        <v>rtdc.l.rtdc.4026:itc</v>
      </c>
      <c r="G76" s="8">
        <f t="shared" si="3"/>
        <v>42664.401319444441</v>
      </c>
    </row>
    <row r="77" spans="1:7" x14ac:dyDescent="0.25">
      <c r="A77" s="8">
        <v>42664.402986111112</v>
      </c>
      <c r="B77" s="21" t="s">
        <v>280</v>
      </c>
      <c r="C77" s="21" t="s">
        <v>498</v>
      </c>
      <c r="D77" s="21">
        <v>1240000</v>
      </c>
      <c r="E77" s="21" t="s">
        <v>448</v>
      </c>
      <c r="F77" s="21" t="str">
        <f t="shared" si="2"/>
        <v>rtdc.l.rtdc.4053:itc</v>
      </c>
      <c r="G77" s="8">
        <f t="shared" si="3"/>
        <v>42664.402986111112</v>
      </c>
    </row>
    <row r="78" spans="1:7" x14ac:dyDescent="0.25">
      <c r="A78" s="8">
        <v>42664.405787037038</v>
      </c>
      <c r="B78" s="21" t="s">
        <v>297</v>
      </c>
      <c r="C78" s="21" t="s">
        <v>499</v>
      </c>
      <c r="D78" s="21">
        <v>2140000</v>
      </c>
      <c r="E78" s="21" t="s">
        <v>454</v>
      </c>
      <c r="F78" s="21" t="str">
        <f t="shared" si="2"/>
        <v>rtdc.l.rtdc.4015:itc</v>
      </c>
      <c r="G78" s="8">
        <f t="shared" si="3"/>
        <v>42664.405787037038</v>
      </c>
    </row>
    <row r="79" spans="1:7" x14ac:dyDescent="0.25">
      <c r="A79" s="8">
        <v>42664.412546296298</v>
      </c>
      <c r="B79" s="21" t="s">
        <v>297</v>
      </c>
      <c r="C79" s="21" t="s">
        <v>499</v>
      </c>
      <c r="D79" s="21">
        <v>2140000</v>
      </c>
      <c r="E79" s="21" t="s">
        <v>454</v>
      </c>
      <c r="F79" s="21" t="str">
        <f t="shared" si="2"/>
        <v>rtdc.l.rtdc.4015:itc</v>
      </c>
      <c r="G79" s="8">
        <f t="shared" si="3"/>
        <v>42664.412546296298</v>
      </c>
    </row>
    <row r="80" spans="1:7" x14ac:dyDescent="0.25">
      <c r="A80" s="8">
        <v>42664.417557870373</v>
      </c>
      <c r="B80" s="21" t="s">
        <v>345</v>
      </c>
      <c r="C80" s="21" t="s">
        <v>500</v>
      </c>
      <c r="D80" s="21">
        <v>1100000</v>
      </c>
      <c r="E80" s="21" t="s">
        <v>446</v>
      </c>
      <c r="F80" s="21" t="str">
        <f t="shared" si="2"/>
        <v>rtdc.l.rtdc.4038:itc</v>
      </c>
      <c r="G80" s="8">
        <f t="shared" si="3"/>
        <v>42664.417557870373</v>
      </c>
    </row>
    <row r="81" spans="1:7" x14ac:dyDescent="0.25">
      <c r="A81" s="8">
        <v>42664.421712962961</v>
      </c>
      <c r="B81" s="21" t="s">
        <v>256</v>
      </c>
      <c r="C81" s="21" t="s">
        <v>408</v>
      </c>
      <c r="D81" s="21">
        <v>1990000</v>
      </c>
      <c r="E81" s="21" t="s">
        <v>439</v>
      </c>
      <c r="F81" s="21" t="str">
        <f t="shared" si="2"/>
        <v>rtdc.l.rtdc.4041:itc</v>
      </c>
      <c r="G81" s="8">
        <f t="shared" si="3"/>
        <v>42664.421712962961</v>
      </c>
    </row>
    <row r="82" spans="1:7" x14ac:dyDescent="0.25">
      <c r="A82" s="8">
        <v>42664.427152777775</v>
      </c>
      <c r="B82" s="21" t="s">
        <v>405</v>
      </c>
      <c r="C82" s="21" t="s">
        <v>501</v>
      </c>
      <c r="D82" s="21">
        <v>1090000</v>
      </c>
      <c r="E82" s="21" t="s">
        <v>279</v>
      </c>
      <c r="F82" s="21" t="str">
        <f t="shared" si="2"/>
        <v>rtdc.l.rtdc.4014:itc</v>
      </c>
      <c r="G82" s="8">
        <f t="shared" si="3"/>
        <v>42664.427152777775</v>
      </c>
    </row>
    <row r="83" spans="1:7" x14ac:dyDescent="0.25">
      <c r="A83" s="8">
        <v>42664.428356481483</v>
      </c>
      <c r="B83" s="21" t="s">
        <v>409</v>
      </c>
      <c r="C83" s="21" t="s">
        <v>410</v>
      </c>
      <c r="D83" s="21">
        <v>1830000</v>
      </c>
      <c r="E83" s="21" t="s">
        <v>344</v>
      </c>
      <c r="F83" s="21" t="str">
        <f t="shared" si="2"/>
        <v>rtdc.l.rtdc.4025:itc</v>
      </c>
      <c r="G83" s="8">
        <f t="shared" si="3"/>
        <v>42664.428356481483</v>
      </c>
    </row>
    <row r="84" spans="1:7" x14ac:dyDescent="0.25">
      <c r="A84" s="8">
        <v>42664.431793981479</v>
      </c>
      <c r="B84" s="21" t="s">
        <v>251</v>
      </c>
      <c r="C84" s="21" t="s">
        <v>411</v>
      </c>
      <c r="D84" s="21">
        <v>1310000</v>
      </c>
      <c r="E84" s="21" t="s">
        <v>442</v>
      </c>
      <c r="F84" s="21" t="str">
        <f t="shared" si="2"/>
        <v>rtdc.l.rtdc.4028:itc</v>
      </c>
      <c r="G84" s="8">
        <f t="shared" si="3"/>
        <v>42664.431793981479</v>
      </c>
    </row>
    <row r="85" spans="1:7" x14ac:dyDescent="0.25">
      <c r="A85" s="8">
        <v>42664.434340277781</v>
      </c>
      <c r="B85" s="21" t="s">
        <v>278</v>
      </c>
      <c r="C85" s="21" t="s">
        <v>502</v>
      </c>
      <c r="D85" s="21">
        <v>1240000</v>
      </c>
      <c r="E85" s="21" t="s">
        <v>448</v>
      </c>
      <c r="F85" s="21" t="str">
        <f t="shared" si="2"/>
        <v>rtdc.l.rtdc.4054:itc</v>
      </c>
      <c r="G85" s="8">
        <f t="shared" si="3"/>
        <v>42664.434340277781</v>
      </c>
    </row>
    <row r="86" spans="1:7" x14ac:dyDescent="0.25">
      <c r="A86" s="8">
        <v>42664.434745370374</v>
      </c>
      <c r="B86" s="21" t="s">
        <v>194</v>
      </c>
      <c r="C86" s="21" t="s">
        <v>503</v>
      </c>
      <c r="D86" s="21">
        <v>1760000</v>
      </c>
      <c r="E86" s="21" t="s">
        <v>324</v>
      </c>
      <c r="F86" s="21" t="str">
        <f t="shared" si="2"/>
        <v>rtdc.l.rtdc.4009:itc</v>
      </c>
      <c r="G86" s="8">
        <f t="shared" si="3"/>
        <v>42664.434745370374</v>
      </c>
    </row>
    <row r="87" spans="1:7" x14ac:dyDescent="0.25">
      <c r="A87" s="8">
        <v>42664.436331018522</v>
      </c>
      <c r="B87" s="21" t="s">
        <v>409</v>
      </c>
      <c r="C87" s="21" t="s">
        <v>410</v>
      </c>
      <c r="D87" s="21">
        <v>1830000</v>
      </c>
      <c r="E87" s="21" t="s">
        <v>344</v>
      </c>
      <c r="F87" s="21" t="str">
        <f t="shared" si="2"/>
        <v>rtdc.l.rtdc.4025:itc</v>
      </c>
      <c r="G87" s="8">
        <f t="shared" si="3"/>
        <v>42664.436331018522</v>
      </c>
    </row>
    <row r="88" spans="1:7" x14ac:dyDescent="0.25">
      <c r="A88" s="8">
        <v>42664.442824074074</v>
      </c>
      <c r="B88" s="21" t="s">
        <v>296</v>
      </c>
      <c r="C88" s="21" t="s">
        <v>504</v>
      </c>
      <c r="D88" s="21">
        <v>2140000</v>
      </c>
      <c r="E88" s="21" t="s">
        <v>454</v>
      </c>
      <c r="F88" s="21" t="str">
        <f t="shared" si="2"/>
        <v>rtdc.l.rtdc.4016:itc</v>
      </c>
      <c r="G88" s="8">
        <f t="shared" si="3"/>
        <v>42664.442824074074</v>
      </c>
    </row>
    <row r="89" spans="1:7" x14ac:dyDescent="0.25">
      <c r="A89" s="8">
        <v>42664.445821759262</v>
      </c>
      <c r="B89" s="21" t="s">
        <v>400</v>
      </c>
      <c r="C89" s="21" t="s">
        <v>505</v>
      </c>
      <c r="D89" s="21">
        <v>1830000</v>
      </c>
      <c r="E89" s="21" t="s">
        <v>344</v>
      </c>
      <c r="F89" s="21" t="str">
        <f t="shared" si="2"/>
        <v>rtdc.l.rtdc.4026:itc</v>
      </c>
      <c r="G89" s="8">
        <f t="shared" si="3"/>
        <v>42664.445821759262</v>
      </c>
    </row>
    <row r="90" spans="1:7" x14ac:dyDescent="0.25">
      <c r="A90" s="8">
        <v>42664.446134259262</v>
      </c>
      <c r="B90" s="21" t="s">
        <v>339</v>
      </c>
      <c r="C90" s="21" t="s">
        <v>506</v>
      </c>
      <c r="D90" s="21">
        <v>1100000</v>
      </c>
      <c r="E90" s="21" t="s">
        <v>446</v>
      </c>
      <c r="F90" s="21" t="str">
        <f t="shared" si="2"/>
        <v>rtdc.l.rtdc.4037:itc</v>
      </c>
      <c r="G90" s="8">
        <f t="shared" si="3"/>
        <v>42664.446134259262</v>
      </c>
    </row>
    <row r="91" spans="1:7" x14ac:dyDescent="0.25">
      <c r="A91" s="8">
        <v>42664.459432870368</v>
      </c>
      <c r="B91" s="21" t="s">
        <v>255</v>
      </c>
      <c r="C91" s="21" t="s">
        <v>507</v>
      </c>
      <c r="D91" s="21">
        <v>880000</v>
      </c>
      <c r="E91" s="21" t="s">
        <v>508</v>
      </c>
      <c r="F91" s="21" t="str">
        <f t="shared" si="2"/>
        <v>rtdc.l.rtdc.4042:itc</v>
      </c>
      <c r="G91" s="8">
        <f t="shared" si="3"/>
        <v>42664.459432870368</v>
      </c>
    </row>
    <row r="92" spans="1:7" x14ac:dyDescent="0.25">
      <c r="A92" s="8">
        <v>42664.461643518516</v>
      </c>
      <c r="B92" s="21" t="s">
        <v>402</v>
      </c>
      <c r="C92" s="21" t="s">
        <v>509</v>
      </c>
      <c r="D92" s="21">
        <v>1090000</v>
      </c>
      <c r="E92" s="21" t="s">
        <v>279</v>
      </c>
      <c r="F92" s="21" t="str">
        <f t="shared" si="2"/>
        <v>rtdc.l.rtdc.4013:itc</v>
      </c>
      <c r="G92" s="8">
        <f t="shared" si="3"/>
        <v>42664.461643518516</v>
      </c>
    </row>
    <row r="93" spans="1:7" x14ac:dyDescent="0.25">
      <c r="A93" s="8">
        <v>42664.462037037039</v>
      </c>
      <c r="B93" s="21" t="s">
        <v>211</v>
      </c>
      <c r="C93" s="21" t="s">
        <v>510</v>
      </c>
      <c r="D93" s="21">
        <v>2040000</v>
      </c>
      <c r="E93" s="21" t="s">
        <v>326</v>
      </c>
      <c r="F93" s="21" t="str">
        <f t="shared" si="2"/>
        <v>rtdc.l.rtdc.4043:itc</v>
      </c>
      <c r="G93" s="8">
        <f t="shared" si="3"/>
        <v>42664.462037037039</v>
      </c>
    </row>
    <row r="94" spans="1:7" x14ac:dyDescent="0.25">
      <c r="A94" s="8">
        <v>42664.466064814813</v>
      </c>
      <c r="B94" s="21" t="s">
        <v>436</v>
      </c>
      <c r="C94" s="21" t="s">
        <v>511</v>
      </c>
      <c r="D94" s="21">
        <v>930000</v>
      </c>
      <c r="E94" s="21" t="s">
        <v>512</v>
      </c>
      <c r="F94" s="21" t="str">
        <f t="shared" si="2"/>
        <v>rtdc.l.rtdc.4027:itc</v>
      </c>
      <c r="G94" s="8">
        <f t="shared" si="3"/>
        <v>42664.466064814813</v>
      </c>
    </row>
    <row r="95" spans="1:7" x14ac:dyDescent="0.25">
      <c r="A95" s="8">
        <v>42664.471493055556</v>
      </c>
      <c r="B95" s="21" t="s">
        <v>193</v>
      </c>
      <c r="C95" s="21" t="s">
        <v>513</v>
      </c>
      <c r="D95" s="21">
        <v>1760000</v>
      </c>
      <c r="E95" s="21" t="s">
        <v>324</v>
      </c>
      <c r="F95" s="21" t="str">
        <f t="shared" si="2"/>
        <v>rtdc.l.rtdc.4010:itc</v>
      </c>
      <c r="G95" s="8">
        <f t="shared" si="3"/>
        <v>42664.471493055556</v>
      </c>
    </row>
    <row r="96" spans="1:7" x14ac:dyDescent="0.25">
      <c r="A96" s="8">
        <v>42664.471689814818</v>
      </c>
      <c r="B96" s="21" t="s">
        <v>409</v>
      </c>
      <c r="C96" s="21" t="s">
        <v>514</v>
      </c>
      <c r="D96" s="21">
        <v>1830000</v>
      </c>
      <c r="E96" s="21" t="s">
        <v>344</v>
      </c>
      <c r="F96" s="21" t="str">
        <f t="shared" si="2"/>
        <v>rtdc.l.rtdc.4025:itc</v>
      </c>
      <c r="G96" s="8">
        <f t="shared" si="3"/>
        <v>42664.471689814818</v>
      </c>
    </row>
    <row r="97" spans="1:7" x14ac:dyDescent="0.25">
      <c r="A97" s="8">
        <v>42664.475208333337</v>
      </c>
      <c r="B97" s="21" t="s">
        <v>297</v>
      </c>
      <c r="C97" s="21" t="s">
        <v>515</v>
      </c>
      <c r="D97" s="21">
        <v>2140000</v>
      </c>
      <c r="E97" s="21" t="s">
        <v>454</v>
      </c>
      <c r="F97" s="21" t="str">
        <f t="shared" si="2"/>
        <v>rtdc.l.rtdc.4015:itc</v>
      </c>
      <c r="G97" s="8">
        <f t="shared" si="3"/>
        <v>42664.475208333337</v>
      </c>
    </row>
    <row r="98" spans="1:7" x14ac:dyDescent="0.25">
      <c r="A98" s="8">
        <v>42664.476759259262</v>
      </c>
      <c r="B98" s="21" t="s">
        <v>280</v>
      </c>
      <c r="C98" s="21" t="s">
        <v>516</v>
      </c>
      <c r="D98" s="21">
        <v>2270000</v>
      </c>
      <c r="E98" s="21" t="s">
        <v>346</v>
      </c>
      <c r="F98" s="21" t="str">
        <f t="shared" si="2"/>
        <v>rtdc.l.rtdc.4053:itc</v>
      </c>
      <c r="G98" s="8">
        <f t="shared" si="3"/>
        <v>42664.476759259262</v>
      </c>
    </row>
    <row r="99" spans="1:7" x14ac:dyDescent="0.25">
      <c r="A99" s="8">
        <v>42664.484432870369</v>
      </c>
      <c r="B99" s="21" t="s">
        <v>400</v>
      </c>
      <c r="C99" s="21" t="s">
        <v>412</v>
      </c>
      <c r="D99" s="21">
        <v>1830000</v>
      </c>
      <c r="E99" s="21" t="s">
        <v>344</v>
      </c>
      <c r="F99" s="21" t="str">
        <f t="shared" si="2"/>
        <v>rtdc.l.rtdc.4026:itc</v>
      </c>
      <c r="G99" s="8">
        <f t="shared" si="3"/>
        <v>42664.484432870369</v>
      </c>
    </row>
    <row r="100" spans="1:7" x14ac:dyDescent="0.25">
      <c r="A100" s="8">
        <v>42664.486724537041</v>
      </c>
      <c r="B100" s="21" t="s">
        <v>345</v>
      </c>
      <c r="C100" s="21" t="s">
        <v>517</v>
      </c>
      <c r="D100" s="21">
        <v>2040000</v>
      </c>
      <c r="E100" s="21" t="s">
        <v>326</v>
      </c>
      <c r="F100" s="21" t="str">
        <f t="shared" si="2"/>
        <v>rtdc.l.rtdc.4038:itc</v>
      </c>
      <c r="G100" s="8">
        <f t="shared" si="3"/>
        <v>42664.486724537041</v>
      </c>
    </row>
    <row r="101" spans="1:7" x14ac:dyDescent="0.25">
      <c r="A101" s="8">
        <v>42664.489328703705</v>
      </c>
      <c r="B101" s="21" t="s">
        <v>196</v>
      </c>
      <c r="C101" s="21" t="s">
        <v>518</v>
      </c>
      <c r="D101" s="21">
        <v>1240000</v>
      </c>
      <c r="E101" s="21" t="s">
        <v>448</v>
      </c>
      <c r="F101" s="21" t="str">
        <f t="shared" si="2"/>
        <v>rtdc.l.rtdc.4044:itc</v>
      </c>
      <c r="G101" s="8">
        <f t="shared" si="3"/>
        <v>42664.489328703705</v>
      </c>
    </row>
    <row r="102" spans="1:7" x14ac:dyDescent="0.25">
      <c r="A102" s="8">
        <v>42664.495162037034</v>
      </c>
      <c r="B102" s="21" t="s">
        <v>256</v>
      </c>
      <c r="C102" s="21" t="s">
        <v>413</v>
      </c>
      <c r="D102" s="21">
        <v>880000</v>
      </c>
      <c r="E102" s="21" t="s">
        <v>508</v>
      </c>
      <c r="F102" s="21" t="str">
        <f t="shared" si="2"/>
        <v>rtdc.l.rtdc.4041:itc</v>
      </c>
      <c r="G102" s="8">
        <f t="shared" si="3"/>
        <v>42664.495162037034</v>
      </c>
    </row>
    <row r="103" spans="1:7" x14ac:dyDescent="0.25">
      <c r="A103" s="8">
        <v>42664.497546296298</v>
      </c>
      <c r="B103" s="21" t="s">
        <v>405</v>
      </c>
      <c r="C103" s="21" t="s">
        <v>519</v>
      </c>
      <c r="D103" s="21">
        <v>1820000</v>
      </c>
      <c r="E103" s="21" t="s">
        <v>325</v>
      </c>
      <c r="F103" s="21" t="str">
        <f t="shared" si="2"/>
        <v>rtdc.l.rtdc.4014:itc</v>
      </c>
      <c r="G103" s="8">
        <f t="shared" si="3"/>
        <v>42664.497546296298</v>
      </c>
    </row>
    <row r="104" spans="1:7" x14ac:dyDescent="0.25">
      <c r="A104" s="8">
        <v>42664.503460648149</v>
      </c>
      <c r="B104" s="21" t="s">
        <v>251</v>
      </c>
      <c r="C104" s="21" t="s">
        <v>520</v>
      </c>
      <c r="D104" s="21">
        <v>930000</v>
      </c>
      <c r="E104" s="21" t="s">
        <v>512</v>
      </c>
      <c r="F104" s="21" t="str">
        <f t="shared" si="2"/>
        <v>rtdc.l.rtdc.4028:itc</v>
      </c>
      <c r="G104" s="8">
        <f t="shared" si="3"/>
        <v>42664.503460648149</v>
      </c>
    </row>
    <row r="105" spans="1:7" x14ac:dyDescent="0.25">
      <c r="A105" s="8">
        <v>42664.508703703701</v>
      </c>
      <c r="B105" s="21" t="s">
        <v>194</v>
      </c>
      <c r="C105" s="21" t="s">
        <v>521</v>
      </c>
      <c r="D105" s="21">
        <v>2020000</v>
      </c>
      <c r="E105" s="21" t="s">
        <v>347</v>
      </c>
      <c r="F105" s="21" t="str">
        <f t="shared" si="2"/>
        <v>rtdc.l.rtdc.4009:itc</v>
      </c>
      <c r="G105" s="8">
        <f t="shared" si="3"/>
        <v>42664.508703703701</v>
      </c>
    </row>
    <row r="106" spans="1:7" x14ac:dyDescent="0.25">
      <c r="A106" s="8">
        <v>42664.509456018517</v>
      </c>
      <c r="B106" s="21" t="s">
        <v>278</v>
      </c>
      <c r="C106" s="21" t="s">
        <v>415</v>
      </c>
      <c r="D106" s="21">
        <v>2270000</v>
      </c>
      <c r="E106" s="21" t="s">
        <v>346</v>
      </c>
      <c r="F106" s="21" t="str">
        <f t="shared" si="2"/>
        <v>rtdc.l.rtdc.4054:itc</v>
      </c>
      <c r="G106" s="8">
        <f t="shared" si="3"/>
        <v>42664.509456018517</v>
      </c>
    </row>
    <row r="107" spans="1:7" x14ac:dyDescent="0.25">
      <c r="A107" s="8">
        <v>42664.513819444444</v>
      </c>
      <c r="B107" s="21" t="s">
        <v>409</v>
      </c>
      <c r="C107" s="21" t="s">
        <v>522</v>
      </c>
      <c r="D107" s="21">
        <v>1830000</v>
      </c>
      <c r="E107" s="21" t="s">
        <v>344</v>
      </c>
      <c r="F107" s="21" t="str">
        <f t="shared" si="2"/>
        <v>rtdc.l.rtdc.4025:itc</v>
      </c>
      <c r="G107" s="8">
        <f t="shared" si="3"/>
        <v>42664.513819444444</v>
      </c>
    </row>
    <row r="108" spans="1:7" x14ac:dyDescent="0.25">
      <c r="A108" s="8">
        <v>42664.518888888888</v>
      </c>
      <c r="B108" s="21" t="s">
        <v>296</v>
      </c>
      <c r="C108" s="21" t="s">
        <v>416</v>
      </c>
      <c r="D108" s="21">
        <v>1740000</v>
      </c>
      <c r="E108" s="21" t="s">
        <v>299</v>
      </c>
      <c r="F108" s="21" t="str">
        <f t="shared" si="2"/>
        <v>rtdc.l.rtdc.4016:itc</v>
      </c>
      <c r="G108" s="8">
        <f t="shared" si="3"/>
        <v>42664.518888888888</v>
      </c>
    </row>
    <row r="109" spans="1:7" x14ac:dyDescent="0.25">
      <c r="A109" s="8">
        <v>42664.52516203704</v>
      </c>
      <c r="B109" s="21" t="s">
        <v>339</v>
      </c>
      <c r="C109" s="21" t="s">
        <v>523</v>
      </c>
      <c r="D109" s="21">
        <v>2040000</v>
      </c>
      <c r="E109" s="21" t="s">
        <v>326</v>
      </c>
      <c r="F109" s="21" t="str">
        <f t="shared" si="2"/>
        <v>rtdc.l.rtdc.4037:itc</v>
      </c>
      <c r="G109" s="8">
        <f t="shared" si="3"/>
        <v>42664.52516203704</v>
      </c>
    </row>
    <row r="110" spans="1:7" x14ac:dyDescent="0.25">
      <c r="A110" s="8">
        <v>42664.525902777779</v>
      </c>
      <c r="B110" s="21" t="s">
        <v>400</v>
      </c>
      <c r="C110" s="21" t="s">
        <v>414</v>
      </c>
      <c r="D110" s="21">
        <v>1830000</v>
      </c>
      <c r="E110" s="21" t="s">
        <v>344</v>
      </c>
      <c r="F110" s="21" t="str">
        <f t="shared" si="2"/>
        <v>rtdc.l.rtdc.4026:itc</v>
      </c>
      <c r="G110" s="8">
        <f t="shared" si="3"/>
        <v>42664.525902777779</v>
      </c>
    </row>
    <row r="111" spans="1:7" x14ac:dyDescent="0.25">
      <c r="A111" s="8">
        <v>42664.537581018521</v>
      </c>
      <c r="B111" s="21" t="s">
        <v>402</v>
      </c>
      <c r="C111" s="21" t="s">
        <v>524</v>
      </c>
      <c r="D111" s="21">
        <v>1820000</v>
      </c>
      <c r="E111" s="21" t="s">
        <v>325</v>
      </c>
      <c r="F111" s="21" t="str">
        <f t="shared" si="2"/>
        <v>rtdc.l.rtdc.4013:itc</v>
      </c>
      <c r="G111" s="8">
        <f t="shared" si="3"/>
        <v>42664.537581018521</v>
      </c>
    </row>
    <row r="112" spans="1:7" x14ac:dyDescent="0.25">
      <c r="A112" s="8">
        <v>42664.538923611108</v>
      </c>
      <c r="B112" s="21" t="s">
        <v>436</v>
      </c>
      <c r="C112" s="21" t="s">
        <v>525</v>
      </c>
      <c r="D112" s="21">
        <v>930000</v>
      </c>
      <c r="E112" s="21" t="s">
        <v>512</v>
      </c>
      <c r="F112" s="21" t="str">
        <f t="shared" si="2"/>
        <v>rtdc.l.rtdc.4027:itc</v>
      </c>
      <c r="G112" s="8">
        <f t="shared" si="3"/>
        <v>42664.538923611108</v>
      </c>
    </row>
    <row r="113" spans="1:7" x14ac:dyDescent="0.25">
      <c r="A113" s="8">
        <v>42664.544317129628</v>
      </c>
      <c r="B113" s="21" t="s">
        <v>193</v>
      </c>
      <c r="C113" s="21" t="s">
        <v>526</v>
      </c>
      <c r="D113" s="21">
        <v>2020000</v>
      </c>
      <c r="E113" s="21" t="s">
        <v>347</v>
      </c>
      <c r="F113" s="21" t="str">
        <f t="shared" si="2"/>
        <v>rtdc.l.rtdc.4010:itc</v>
      </c>
      <c r="G113" s="8">
        <f t="shared" si="3"/>
        <v>42664.544317129628</v>
      </c>
    </row>
    <row r="114" spans="1:7" x14ac:dyDescent="0.25">
      <c r="A114" s="8">
        <v>42664.544664351852</v>
      </c>
      <c r="B114" s="21" t="s">
        <v>409</v>
      </c>
      <c r="C114" s="21" t="s">
        <v>527</v>
      </c>
      <c r="D114" s="21">
        <v>1540000</v>
      </c>
      <c r="E114" s="21" t="s">
        <v>281</v>
      </c>
      <c r="F114" s="21" t="str">
        <f t="shared" si="2"/>
        <v>rtdc.l.rtdc.4025:itc</v>
      </c>
      <c r="G114" s="8">
        <f t="shared" si="3"/>
        <v>42664.544664351852</v>
      </c>
    </row>
    <row r="115" spans="1:7" x14ac:dyDescent="0.25">
      <c r="A115" s="8">
        <v>42664.549803240741</v>
      </c>
      <c r="B115" s="21" t="s">
        <v>280</v>
      </c>
      <c r="C115" s="21" t="s">
        <v>417</v>
      </c>
      <c r="D115" s="21">
        <v>2270000</v>
      </c>
      <c r="E115" s="21" t="s">
        <v>346</v>
      </c>
      <c r="F115" s="21" t="str">
        <f t="shared" si="2"/>
        <v>rtdc.l.rtdc.4053:itc</v>
      </c>
      <c r="G115" s="8">
        <f t="shared" si="3"/>
        <v>42664.549803240741</v>
      </c>
    </row>
    <row r="116" spans="1:7" x14ac:dyDescent="0.25">
      <c r="A116" s="8">
        <v>42664.557581018518</v>
      </c>
      <c r="B116" s="21" t="s">
        <v>297</v>
      </c>
      <c r="C116" s="21" t="s">
        <v>528</v>
      </c>
      <c r="D116" s="21">
        <v>1740000</v>
      </c>
      <c r="E116" s="21" t="s">
        <v>299</v>
      </c>
      <c r="F116" s="21" t="str">
        <f t="shared" si="2"/>
        <v>rtdc.l.rtdc.4015:itc</v>
      </c>
      <c r="G116" s="8">
        <f t="shared" si="3"/>
        <v>42664.557581018518</v>
      </c>
    </row>
    <row r="117" spans="1:7" x14ac:dyDescent="0.25">
      <c r="A117" s="8">
        <v>42664.559444444443</v>
      </c>
      <c r="B117" s="21" t="s">
        <v>345</v>
      </c>
      <c r="C117" s="21" t="s">
        <v>529</v>
      </c>
      <c r="D117" s="21">
        <v>2040000</v>
      </c>
      <c r="E117" s="21" t="s">
        <v>326</v>
      </c>
      <c r="F117" s="21" t="str">
        <f t="shared" si="2"/>
        <v>rtdc.l.rtdc.4038:itc</v>
      </c>
      <c r="G117" s="8">
        <f t="shared" si="3"/>
        <v>42664.559444444443</v>
      </c>
    </row>
    <row r="118" spans="1:7" x14ac:dyDescent="0.25">
      <c r="A118" s="8">
        <v>42664.56726851852</v>
      </c>
      <c r="B118" s="21" t="s">
        <v>256</v>
      </c>
      <c r="C118" s="21" t="s">
        <v>530</v>
      </c>
      <c r="D118" s="21">
        <v>880000</v>
      </c>
      <c r="E118" s="21" t="s">
        <v>508</v>
      </c>
      <c r="F118" s="21" t="str">
        <f t="shared" si="2"/>
        <v>rtdc.l.rtdc.4041:itc</v>
      </c>
      <c r="G118" s="8">
        <f t="shared" si="3"/>
        <v>42664.56726851852</v>
      </c>
    </row>
    <row r="119" spans="1:7" x14ac:dyDescent="0.25">
      <c r="A119" s="8">
        <v>42664.569432870368</v>
      </c>
      <c r="B119" s="21" t="s">
        <v>400</v>
      </c>
      <c r="C119" s="21" t="s">
        <v>531</v>
      </c>
      <c r="D119" s="21">
        <v>1540000</v>
      </c>
      <c r="E119" s="21" t="s">
        <v>281</v>
      </c>
      <c r="F119" s="21" t="str">
        <f t="shared" si="2"/>
        <v>rtdc.l.rtdc.4026:itc</v>
      </c>
      <c r="G119" s="8">
        <f t="shared" si="3"/>
        <v>42664.569432870368</v>
      </c>
    </row>
    <row r="120" spans="1:7" x14ac:dyDescent="0.25">
      <c r="A120" s="8">
        <v>42664.570509259262</v>
      </c>
      <c r="B120" s="21" t="s">
        <v>405</v>
      </c>
      <c r="C120" s="21" t="s">
        <v>532</v>
      </c>
      <c r="D120" s="21">
        <v>1820000</v>
      </c>
      <c r="E120" s="21" t="s">
        <v>325</v>
      </c>
      <c r="F120" s="21" t="str">
        <f t="shared" si="2"/>
        <v>rtdc.l.rtdc.4014:itc</v>
      </c>
      <c r="G120" s="8">
        <f t="shared" si="3"/>
        <v>42664.570509259262</v>
      </c>
    </row>
    <row r="121" spans="1:7" x14ac:dyDescent="0.25">
      <c r="A121" s="8">
        <v>42664.576041666667</v>
      </c>
      <c r="B121" s="21" t="s">
        <v>251</v>
      </c>
      <c r="C121" s="21" t="s">
        <v>533</v>
      </c>
      <c r="D121" s="21">
        <v>930000</v>
      </c>
      <c r="E121" s="21" t="s">
        <v>512</v>
      </c>
      <c r="F121" s="21" t="str">
        <f t="shared" si="2"/>
        <v>rtdc.l.rtdc.4028:itc</v>
      </c>
      <c r="G121" s="8">
        <f t="shared" si="3"/>
        <v>42664.576041666667</v>
      </c>
    </row>
    <row r="122" spans="1:7" x14ac:dyDescent="0.25">
      <c r="A122" s="8">
        <v>42664.583483796298</v>
      </c>
      <c r="B122" s="26" t="s">
        <v>278</v>
      </c>
      <c r="C122" s="21" t="s">
        <v>534</v>
      </c>
      <c r="D122" s="21">
        <v>2270000</v>
      </c>
      <c r="E122" s="21" t="s">
        <v>346</v>
      </c>
      <c r="F122" s="21" t="str">
        <f t="shared" si="2"/>
        <v>rtdc.l.rtdc.4054:itc</v>
      </c>
      <c r="G122" s="8">
        <f t="shared" si="3"/>
        <v>42664.583483796298</v>
      </c>
    </row>
    <row r="123" spans="1:7" x14ac:dyDescent="0.25">
      <c r="A123" s="8">
        <v>42664.58353009259</v>
      </c>
      <c r="B123" s="21" t="s">
        <v>194</v>
      </c>
      <c r="C123" s="21" t="s">
        <v>526</v>
      </c>
      <c r="D123" s="21">
        <v>2020000</v>
      </c>
      <c r="E123" s="21" t="s">
        <v>347</v>
      </c>
      <c r="F123" s="21" t="str">
        <f t="shared" si="2"/>
        <v>rtdc.l.rtdc.4009:itc</v>
      </c>
      <c r="G123" s="8">
        <f t="shared" si="3"/>
        <v>42664.58353009259</v>
      </c>
    </row>
    <row r="124" spans="1:7" x14ac:dyDescent="0.25">
      <c r="A124" s="8">
        <v>42664.584328703706</v>
      </c>
      <c r="B124" s="21" t="s">
        <v>194</v>
      </c>
      <c r="C124" s="21" t="s">
        <v>526</v>
      </c>
      <c r="D124" s="21">
        <v>2020000</v>
      </c>
      <c r="E124" s="21" t="s">
        <v>347</v>
      </c>
      <c r="F124" s="21" t="str">
        <f t="shared" si="2"/>
        <v>rtdc.l.rtdc.4009:itc</v>
      </c>
      <c r="G124" s="8">
        <f t="shared" si="3"/>
        <v>42664.584328703706</v>
      </c>
    </row>
    <row r="125" spans="1:7" x14ac:dyDescent="0.25">
      <c r="A125" s="8">
        <v>42664.591435185182</v>
      </c>
      <c r="B125" s="21" t="s">
        <v>296</v>
      </c>
      <c r="C125" s="21" t="s">
        <v>535</v>
      </c>
      <c r="D125" s="21">
        <v>1740000</v>
      </c>
      <c r="E125" s="21" t="s">
        <v>299</v>
      </c>
      <c r="F125" s="21" t="str">
        <f t="shared" si="2"/>
        <v>rtdc.l.rtdc.4016:itc</v>
      </c>
      <c r="G125" s="8">
        <f t="shared" si="3"/>
        <v>42664.591435185182</v>
      </c>
    </row>
    <row r="126" spans="1:7" x14ac:dyDescent="0.25">
      <c r="A126" s="8">
        <v>42664.59238425926</v>
      </c>
      <c r="B126" s="21" t="s">
        <v>339</v>
      </c>
      <c r="C126" s="21" t="s">
        <v>534</v>
      </c>
      <c r="D126" s="21">
        <v>2040000</v>
      </c>
      <c r="E126" s="21" t="s">
        <v>326</v>
      </c>
      <c r="F126" s="21" t="str">
        <f t="shared" si="2"/>
        <v>rtdc.l.rtdc.4037:itc</v>
      </c>
      <c r="G126" s="8">
        <f t="shared" si="3"/>
        <v>42664.59238425926</v>
      </c>
    </row>
    <row r="127" spans="1:7" x14ac:dyDescent="0.25">
      <c r="A127" s="8">
        <v>42664.593634259261</v>
      </c>
      <c r="B127" s="21" t="s">
        <v>194</v>
      </c>
      <c r="C127" s="21" t="s">
        <v>526</v>
      </c>
      <c r="D127" s="21">
        <v>2020000</v>
      </c>
      <c r="E127" s="21" t="s">
        <v>347</v>
      </c>
      <c r="F127" s="21" t="str">
        <f t="shared" si="2"/>
        <v>rtdc.l.rtdc.4009:itc</v>
      </c>
      <c r="G127" s="8">
        <f t="shared" si="3"/>
        <v>42664.593634259261</v>
      </c>
    </row>
    <row r="128" spans="1:7" x14ac:dyDescent="0.25">
      <c r="A128" s="8">
        <v>42664.594606481478</v>
      </c>
      <c r="B128" s="21" t="s">
        <v>409</v>
      </c>
      <c r="C128" s="21" t="s">
        <v>418</v>
      </c>
      <c r="D128" s="21">
        <v>1540000</v>
      </c>
      <c r="E128" s="21" t="s">
        <v>281</v>
      </c>
      <c r="F128" s="21" t="str">
        <f t="shared" si="2"/>
        <v>rtdc.l.rtdc.4025:itc</v>
      </c>
      <c r="G128" s="8">
        <f t="shared" si="3"/>
        <v>42664.594606481478</v>
      </c>
    </row>
    <row r="129" spans="1:7" x14ac:dyDescent="0.25">
      <c r="A129" s="8">
        <v>42664.602071759262</v>
      </c>
      <c r="B129" s="21" t="s">
        <v>255</v>
      </c>
      <c r="C129" s="21" t="s">
        <v>536</v>
      </c>
      <c r="D129" s="21">
        <v>880000</v>
      </c>
      <c r="E129" s="21" t="s">
        <v>508</v>
      </c>
      <c r="F129" s="21" t="str">
        <f t="shared" si="2"/>
        <v>rtdc.l.rtdc.4042:itc</v>
      </c>
      <c r="G129" s="8">
        <f t="shared" si="3"/>
        <v>42664.602071759262</v>
      </c>
    </row>
    <row r="130" spans="1:7" x14ac:dyDescent="0.25">
      <c r="A130" s="8">
        <v>42664.603252314817</v>
      </c>
      <c r="B130" s="21" t="s">
        <v>255</v>
      </c>
      <c r="C130" s="21" t="s">
        <v>536</v>
      </c>
      <c r="D130" s="21">
        <v>880000</v>
      </c>
      <c r="E130" s="21" t="s">
        <v>508</v>
      </c>
      <c r="F130" s="21" t="str">
        <f t="shared" ref="F130:F193" si="4">B130</f>
        <v>rtdc.l.rtdc.4042:itc</v>
      </c>
      <c r="G130" s="8">
        <f t="shared" ref="G130:G193" si="5">A130</f>
        <v>42664.603252314817</v>
      </c>
    </row>
    <row r="131" spans="1:7" x14ac:dyDescent="0.25">
      <c r="A131" s="8">
        <v>42664.607071759259</v>
      </c>
      <c r="B131" s="21" t="s">
        <v>402</v>
      </c>
      <c r="C131" s="21" t="s">
        <v>420</v>
      </c>
      <c r="D131" s="21">
        <v>1820000</v>
      </c>
      <c r="E131" s="21" t="s">
        <v>325</v>
      </c>
      <c r="F131" s="21" t="str">
        <f t="shared" si="4"/>
        <v>rtdc.l.rtdc.4013:itc</v>
      </c>
      <c r="G131" s="8">
        <f t="shared" si="5"/>
        <v>42664.607071759259</v>
      </c>
    </row>
    <row r="132" spans="1:7" x14ac:dyDescent="0.25">
      <c r="A132" s="8">
        <v>42664.610335648147</v>
      </c>
      <c r="B132" s="21" t="s">
        <v>400</v>
      </c>
      <c r="C132" s="21" t="s">
        <v>419</v>
      </c>
      <c r="D132" s="21">
        <v>1540000</v>
      </c>
      <c r="E132" s="21" t="s">
        <v>281</v>
      </c>
      <c r="F132" s="21" t="str">
        <f t="shared" si="4"/>
        <v>rtdc.l.rtdc.4026:itc</v>
      </c>
      <c r="G132" s="8">
        <f t="shared" si="5"/>
        <v>42664.610335648147</v>
      </c>
    </row>
    <row r="133" spans="1:7" x14ac:dyDescent="0.25">
      <c r="A133" s="8">
        <v>42664.612962962965</v>
      </c>
      <c r="B133" s="21" t="s">
        <v>436</v>
      </c>
      <c r="C133" s="21" t="s">
        <v>537</v>
      </c>
      <c r="D133" s="21">
        <v>930000</v>
      </c>
      <c r="E133" s="21" t="s">
        <v>512</v>
      </c>
      <c r="F133" s="21" t="str">
        <f t="shared" si="4"/>
        <v>rtdc.l.rtdc.4027:itc</v>
      </c>
      <c r="G133" s="8">
        <f t="shared" si="5"/>
        <v>42664.612962962965</v>
      </c>
    </row>
    <row r="134" spans="1:7" x14ac:dyDescent="0.25">
      <c r="A134" s="8">
        <v>42664.617685185185</v>
      </c>
      <c r="B134" s="21" t="s">
        <v>193</v>
      </c>
      <c r="C134" s="21" t="s">
        <v>538</v>
      </c>
      <c r="D134" s="21">
        <v>2020000</v>
      </c>
      <c r="E134" s="21" t="s">
        <v>347</v>
      </c>
      <c r="F134" s="21" t="str">
        <f t="shared" si="4"/>
        <v>rtdc.l.rtdc.4010:itc</v>
      </c>
      <c r="G134" s="8">
        <f t="shared" si="5"/>
        <v>42664.617685185185</v>
      </c>
    </row>
    <row r="135" spans="1:7" x14ac:dyDescent="0.25">
      <c r="A135" s="8">
        <v>42664.622488425928</v>
      </c>
      <c r="B135" s="21" t="s">
        <v>188</v>
      </c>
      <c r="C135" s="21" t="s">
        <v>539</v>
      </c>
      <c r="D135" s="21">
        <v>2090000</v>
      </c>
      <c r="E135" s="21" t="s">
        <v>540</v>
      </c>
      <c r="F135" s="21" t="str">
        <f t="shared" si="4"/>
        <v>rtdc.l.rtdc.4018:itc</v>
      </c>
      <c r="G135" s="8">
        <f t="shared" si="5"/>
        <v>42664.622488425928</v>
      </c>
    </row>
    <row r="136" spans="1:7" x14ac:dyDescent="0.25">
      <c r="A136" s="8">
        <v>42664.623796296299</v>
      </c>
      <c r="B136" s="21" t="s">
        <v>297</v>
      </c>
      <c r="C136" s="21" t="s">
        <v>535</v>
      </c>
      <c r="D136" s="21">
        <v>1740000</v>
      </c>
      <c r="E136" s="21" t="s">
        <v>299</v>
      </c>
      <c r="F136" s="21" t="str">
        <f t="shared" si="4"/>
        <v>rtdc.l.rtdc.4015:itc</v>
      </c>
      <c r="G136" s="8">
        <f t="shared" si="5"/>
        <v>42664.623796296299</v>
      </c>
    </row>
    <row r="137" spans="1:7" x14ac:dyDescent="0.25">
      <c r="A137" s="8">
        <v>42664.624537037038</v>
      </c>
      <c r="B137" s="21" t="s">
        <v>297</v>
      </c>
      <c r="C137" s="21" t="s">
        <v>541</v>
      </c>
      <c r="D137" s="21">
        <v>1740000</v>
      </c>
      <c r="E137" s="21" t="s">
        <v>299</v>
      </c>
      <c r="F137" s="21" t="str">
        <f t="shared" si="4"/>
        <v>rtdc.l.rtdc.4015:itc</v>
      </c>
      <c r="G137" s="8">
        <f t="shared" si="5"/>
        <v>42664.624537037038</v>
      </c>
    </row>
    <row r="138" spans="1:7" x14ac:dyDescent="0.25">
      <c r="A138" s="8">
        <v>42664.625335648147</v>
      </c>
      <c r="B138" s="21" t="s">
        <v>297</v>
      </c>
      <c r="C138" s="21" t="s">
        <v>541</v>
      </c>
      <c r="D138" s="21">
        <v>1740000</v>
      </c>
      <c r="E138" s="21" t="s">
        <v>299</v>
      </c>
      <c r="F138" s="21" t="str">
        <f t="shared" si="4"/>
        <v>rtdc.l.rtdc.4015:itc</v>
      </c>
      <c r="G138" s="8">
        <f t="shared" si="5"/>
        <v>42664.625335648147</v>
      </c>
    </row>
    <row r="139" spans="1:7" x14ac:dyDescent="0.25">
      <c r="A139" s="8">
        <v>42664.636111111111</v>
      </c>
      <c r="B139" s="21" t="s">
        <v>256</v>
      </c>
      <c r="C139" s="21" t="s">
        <v>542</v>
      </c>
      <c r="D139" s="21">
        <v>880000</v>
      </c>
      <c r="E139" s="21" t="s">
        <v>508</v>
      </c>
      <c r="F139" s="21" t="str">
        <f t="shared" si="4"/>
        <v>rtdc.l.rtdc.4041:itc</v>
      </c>
      <c r="G139" s="8">
        <f t="shared" si="5"/>
        <v>42664.636111111111</v>
      </c>
    </row>
    <row r="140" spans="1:7" x14ac:dyDescent="0.25">
      <c r="A140" s="8">
        <v>42664.636805555558</v>
      </c>
      <c r="B140" s="21" t="s">
        <v>409</v>
      </c>
      <c r="C140" s="21" t="s">
        <v>421</v>
      </c>
      <c r="D140" s="21">
        <v>1540000</v>
      </c>
      <c r="E140" s="21" t="s">
        <v>281</v>
      </c>
      <c r="F140" s="21" t="str">
        <f t="shared" si="4"/>
        <v>rtdc.l.rtdc.4025:itc</v>
      </c>
      <c r="G140" s="8">
        <f t="shared" si="5"/>
        <v>42664.636805555558</v>
      </c>
    </row>
    <row r="141" spans="1:7" x14ac:dyDescent="0.25">
      <c r="A141" s="8">
        <v>42664.640706018516</v>
      </c>
      <c r="B141" s="21" t="s">
        <v>395</v>
      </c>
      <c r="C141" s="21" t="s">
        <v>543</v>
      </c>
      <c r="D141" s="21">
        <v>1810000</v>
      </c>
      <c r="E141" s="21" t="s">
        <v>348</v>
      </c>
      <c r="F141" s="21" t="str">
        <f t="shared" si="4"/>
        <v>rtdc.l.rtdc.4045:itc</v>
      </c>
      <c r="G141" s="8">
        <f t="shared" si="5"/>
        <v>42664.640706018516</v>
      </c>
    </row>
    <row r="142" spans="1:7" x14ac:dyDescent="0.25">
      <c r="A142" s="8">
        <v>42664.641956018517</v>
      </c>
      <c r="B142" s="21" t="s">
        <v>405</v>
      </c>
      <c r="C142" s="21" t="s">
        <v>422</v>
      </c>
      <c r="D142" s="21">
        <v>1820000</v>
      </c>
      <c r="E142" s="21" t="s">
        <v>325</v>
      </c>
      <c r="F142" s="21" t="str">
        <f t="shared" si="4"/>
        <v>rtdc.l.rtdc.4014:itc</v>
      </c>
      <c r="G142" s="8">
        <f t="shared" si="5"/>
        <v>42664.641956018517</v>
      </c>
    </row>
    <row r="143" spans="1:7" x14ac:dyDescent="0.25">
      <c r="A143" s="8">
        <v>42664.646574074075</v>
      </c>
      <c r="B143" s="21" t="s">
        <v>280</v>
      </c>
      <c r="C143" s="21" t="s">
        <v>544</v>
      </c>
      <c r="D143" s="21">
        <v>2040000</v>
      </c>
      <c r="E143" s="21" t="s">
        <v>326</v>
      </c>
      <c r="F143" s="21" t="str">
        <f t="shared" si="4"/>
        <v>rtdc.l.rtdc.4053:itc</v>
      </c>
      <c r="G143" s="8">
        <f t="shared" si="5"/>
        <v>42664.646574074075</v>
      </c>
    </row>
    <row r="144" spans="1:7" x14ac:dyDescent="0.25">
      <c r="A144" s="8">
        <v>42664.648495370369</v>
      </c>
      <c r="B144" s="21" t="s">
        <v>251</v>
      </c>
      <c r="C144" s="21" t="s">
        <v>545</v>
      </c>
      <c r="D144" s="21">
        <v>930000</v>
      </c>
      <c r="E144" s="21" t="s">
        <v>512</v>
      </c>
      <c r="F144" s="21" t="str">
        <f t="shared" si="4"/>
        <v>rtdc.l.rtdc.4028:itc</v>
      </c>
      <c r="G144" s="8">
        <f t="shared" si="5"/>
        <v>42664.648495370369</v>
      </c>
    </row>
    <row r="145" spans="1:7" x14ac:dyDescent="0.25">
      <c r="A145" s="8">
        <v>42664.649884259263</v>
      </c>
      <c r="B145" s="21" t="s">
        <v>198</v>
      </c>
      <c r="C145" s="21" t="s">
        <v>546</v>
      </c>
      <c r="D145" s="21">
        <v>1810000</v>
      </c>
      <c r="E145" s="21" t="s">
        <v>348</v>
      </c>
      <c r="F145" s="21" t="str">
        <f t="shared" si="4"/>
        <v>rtdc.l.rtdc.4046:itc</v>
      </c>
      <c r="G145" s="8">
        <f t="shared" si="5"/>
        <v>42664.649884259263</v>
      </c>
    </row>
    <row r="146" spans="1:7" x14ac:dyDescent="0.25">
      <c r="A146" s="8">
        <v>42664.651041666664</v>
      </c>
      <c r="B146" s="21" t="s">
        <v>400</v>
      </c>
      <c r="C146" s="21" t="s">
        <v>547</v>
      </c>
      <c r="D146" s="21">
        <v>1540000</v>
      </c>
      <c r="E146" s="21" t="s">
        <v>281</v>
      </c>
      <c r="F146" s="21" t="str">
        <f t="shared" si="4"/>
        <v>rtdc.l.rtdc.4026:itc</v>
      </c>
      <c r="G146" s="8">
        <f t="shared" si="5"/>
        <v>42664.651041666664</v>
      </c>
    </row>
    <row r="147" spans="1:7" x14ac:dyDescent="0.25">
      <c r="A147" s="8">
        <v>42664.651435185187</v>
      </c>
      <c r="B147" s="21" t="s">
        <v>345</v>
      </c>
      <c r="C147" s="21" t="s">
        <v>548</v>
      </c>
      <c r="D147" s="21">
        <v>2020000</v>
      </c>
      <c r="E147" s="21" t="s">
        <v>347</v>
      </c>
      <c r="F147" s="21" t="str">
        <f t="shared" si="4"/>
        <v>rtdc.l.rtdc.4038:itc</v>
      </c>
      <c r="G147" s="8">
        <f t="shared" si="5"/>
        <v>42664.651435185187</v>
      </c>
    </row>
    <row r="148" spans="1:7" x14ac:dyDescent="0.25">
      <c r="A148" s="8">
        <v>42664.659479166665</v>
      </c>
      <c r="B148" s="21" t="s">
        <v>246</v>
      </c>
      <c r="C148" s="21" t="s">
        <v>549</v>
      </c>
      <c r="D148" s="21">
        <v>2090000</v>
      </c>
      <c r="E148" s="21" t="s">
        <v>540</v>
      </c>
      <c r="F148" s="21" t="str">
        <f t="shared" si="4"/>
        <v>rtdc.l.rtdc.4017:itc</v>
      </c>
      <c r="G148" s="8">
        <f t="shared" si="5"/>
        <v>42664.659479166665</v>
      </c>
    </row>
    <row r="149" spans="1:7" x14ac:dyDescent="0.25">
      <c r="A149" s="8">
        <v>42664.659548611111</v>
      </c>
      <c r="B149" s="21" t="s">
        <v>296</v>
      </c>
      <c r="C149" s="21" t="s">
        <v>423</v>
      </c>
      <c r="D149" s="21">
        <v>1740000</v>
      </c>
      <c r="E149" s="21" t="s">
        <v>299</v>
      </c>
      <c r="F149" s="21" t="str">
        <f t="shared" si="4"/>
        <v>rtdc.l.rtdc.4016:itc</v>
      </c>
      <c r="G149" s="8">
        <f t="shared" si="5"/>
        <v>42664.659548611111</v>
      </c>
    </row>
    <row r="150" spans="1:7" x14ac:dyDescent="0.25">
      <c r="A150" s="8">
        <v>42664.670914351853</v>
      </c>
      <c r="B150" s="21" t="s">
        <v>395</v>
      </c>
      <c r="C150" s="21" t="s">
        <v>550</v>
      </c>
      <c r="D150" s="21">
        <v>1810000</v>
      </c>
      <c r="E150" s="21" t="s">
        <v>348</v>
      </c>
      <c r="F150" s="21" t="str">
        <f t="shared" si="4"/>
        <v>rtdc.l.rtdc.4045:itc</v>
      </c>
      <c r="G150" s="8">
        <f t="shared" si="5"/>
        <v>42664.670914351853</v>
      </c>
    </row>
    <row r="151" spans="1:7" x14ac:dyDescent="0.25">
      <c r="A151" s="8">
        <v>42664.672743055555</v>
      </c>
      <c r="B151" s="21" t="s">
        <v>255</v>
      </c>
      <c r="C151" s="21" t="s">
        <v>551</v>
      </c>
      <c r="D151" s="21">
        <v>880000</v>
      </c>
      <c r="E151" s="21" t="s">
        <v>508</v>
      </c>
      <c r="F151" s="21" t="str">
        <f t="shared" si="4"/>
        <v>rtdc.l.rtdc.4042:itc</v>
      </c>
      <c r="G151" s="8">
        <f t="shared" si="5"/>
        <v>42664.672743055555</v>
      </c>
    </row>
    <row r="152" spans="1:7" x14ac:dyDescent="0.25">
      <c r="A152" s="8">
        <v>42664.678912037038</v>
      </c>
      <c r="B152" s="21" t="s">
        <v>278</v>
      </c>
      <c r="C152" s="21" t="s">
        <v>552</v>
      </c>
      <c r="D152" s="21">
        <v>2040000</v>
      </c>
      <c r="E152" s="21" t="s">
        <v>326</v>
      </c>
      <c r="F152" s="21" t="str">
        <f t="shared" si="4"/>
        <v>rtdc.l.rtdc.4054:itc</v>
      </c>
      <c r="G152" s="8">
        <f t="shared" si="5"/>
        <v>42664.678912037038</v>
      </c>
    </row>
    <row r="153" spans="1:7" x14ac:dyDescent="0.25">
      <c r="A153" s="8">
        <v>42664.679479166669</v>
      </c>
      <c r="B153" s="21" t="s">
        <v>409</v>
      </c>
      <c r="C153" s="21" t="s">
        <v>553</v>
      </c>
      <c r="D153" s="21">
        <v>1540000</v>
      </c>
      <c r="E153" s="21" t="s">
        <v>281</v>
      </c>
      <c r="F153" s="21" t="str">
        <f t="shared" si="4"/>
        <v>rtdc.l.rtdc.4025:itc</v>
      </c>
      <c r="G153" s="8">
        <f t="shared" si="5"/>
        <v>42664.679479166669</v>
      </c>
    </row>
    <row r="154" spans="1:7" x14ac:dyDescent="0.25">
      <c r="A154" s="8">
        <v>42664.683680555558</v>
      </c>
      <c r="B154" s="21" t="s">
        <v>402</v>
      </c>
      <c r="C154" s="21" t="s">
        <v>424</v>
      </c>
      <c r="D154" s="21">
        <v>1820000</v>
      </c>
      <c r="E154" s="21" t="s">
        <v>325</v>
      </c>
      <c r="F154" s="21" t="str">
        <f t="shared" si="4"/>
        <v>rtdc.l.rtdc.4013:itc</v>
      </c>
      <c r="G154" s="8">
        <f t="shared" si="5"/>
        <v>42664.683680555558</v>
      </c>
    </row>
    <row r="155" spans="1:7" x14ac:dyDescent="0.25">
      <c r="A155" s="8">
        <v>42664.68472222222</v>
      </c>
      <c r="B155" s="21" t="s">
        <v>436</v>
      </c>
      <c r="C155" s="21" t="s">
        <v>554</v>
      </c>
      <c r="D155" s="21">
        <v>930000</v>
      </c>
      <c r="E155" s="21" t="s">
        <v>512</v>
      </c>
      <c r="F155" s="21" t="str">
        <f t="shared" si="4"/>
        <v>rtdc.l.rtdc.4027:itc</v>
      </c>
      <c r="G155" s="8">
        <f t="shared" si="5"/>
        <v>42664.68472222222</v>
      </c>
    </row>
    <row r="156" spans="1:7" x14ac:dyDescent="0.25">
      <c r="A156" s="8">
        <v>42664.689629629633</v>
      </c>
      <c r="B156" s="21" t="s">
        <v>198</v>
      </c>
      <c r="C156" s="21" t="s">
        <v>425</v>
      </c>
      <c r="D156" s="21">
        <v>1810000</v>
      </c>
      <c r="E156" s="21" t="s">
        <v>348</v>
      </c>
      <c r="F156" s="21" t="str">
        <f t="shared" si="4"/>
        <v>rtdc.l.rtdc.4046:itc</v>
      </c>
      <c r="G156" s="8">
        <f t="shared" si="5"/>
        <v>42664.689629629633</v>
      </c>
    </row>
    <row r="157" spans="1:7" x14ac:dyDescent="0.25">
      <c r="A157" s="8">
        <v>42664.690949074073</v>
      </c>
      <c r="B157" s="21" t="s">
        <v>339</v>
      </c>
      <c r="C157" s="21" t="s">
        <v>555</v>
      </c>
      <c r="D157" s="21">
        <v>2020000</v>
      </c>
      <c r="E157" s="21" t="s">
        <v>347</v>
      </c>
      <c r="F157" s="21" t="str">
        <f t="shared" si="4"/>
        <v>rtdc.l.rtdc.4037:itc</v>
      </c>
      <c r="G157" s="8">
        <f t="shared" si="5"/>
        <v>42664.690949074073</v>
      </c>
    </row>
    <row r="158" spans="1:7" x14ac:dyDescent="0.25">
      <c r="A158" s="8">
        <v>42664.692824074074</v>
      </c>
      <c r="B158" s="21" t="s">
        <v>400</v>
      </c>
      <c r="C158" s="21" t="s">
        <v>556</v>
      </c>
      <c r="D158" s="21">
        <v>1540000</v>
      </c>
      <c r="E158" s="21" t="s">
        <v>281</v>
      </c>
      <c r="F158" s="21" t="str">
        <f t="shared" si="4"/>
        <v>rtdc.l.rtdc.4026:itc</v>
      </c>
      <c r="G158" s="8">
        <f t="shared" si="5"/>
        <v>42664.692824074074</v>
      </c>
    </row>
    <row r="159" spans="1:7" x14ac:dyDescent="0.25">
      <c r="A159" s="8">
        <v>42664.698622685188</v>
      </c>
      <c r="B159" s="21" t="s">
        <v>194</v>
      </c>
      <c r="C159" s="21" t="s">
        <v>557</v>
      </c>
      <c r="D159" s="21">
        <v>140000</v>
      </c>
      <c r="E159" s="21" t="s">
        <v>327</v>
      </c>
      <c r="F159" s="21" t="str">
        <f t="shared" si="4"/>
        <v>rtdc.l.rtdc.4009:itc</v>
      </c>
      <c r="G159" s="8">
        <f t="shared" si="5"/>
        <v>42664.698622685188</v>
      </c>
    </row>
    <row r="160" spans="1:7" x14ac:dyDescent="0.25">
      <c r="A160" s="8">
        <v>42664.699548611112</v>
      </c>
      <c r="B160" s="21" t="s">
        <v>297</v>
      </c>
      <c r="C160" s="21" t="s">
        <v>558</v>
      </c>
      <c r="D160" s="21">
        <v>1740000</v>
      </c>
      <c r="E160" s="21" t="s">
        <v>299</v>
      </c>
      <c r="F160" s="21" t="str">
        <f t="shared" si="4"/>
        <v>rtdc.l.rtdc.4015:itc</v>
      </c>
      <c r="G160" s="8">
        <f t="shared" si="5"/>
        <v>42664.699548611112</v>
      </c>
    </row>
    <row r="161" spans="1:7" x14ac:dyDescent="0.25">
      <c r="A161" s="8">
        <v>42664.707928240743</v>
      </c>
      <c r="B161" s="21" t="s">
        <v>188</v>
      </c>
      <c r="C161" s="21" t="s">
        <v>426</v>
      </c>
      <c r="D161" s="21">
        <v>2090000</v>
      </c>
      <c r="E161" s="21" t="s">
        <v>540</v>
      </c>
      <c r="F161" s="21" t="str">
        <f t="shared" si="4"/>
        <v>rtdc.l.rtdc.4018:itc</v>
      </c>
      <c r="G161" s="8">
        <f t="shared" si="5"/>
        <v>42664.707928240743</v>
      </c>
    </row>
    <row r="162" spans="1:7" x14ac:dyDescent="0.25">
      <c r="A162" s="8">
        <v>42664.708761574075</v>
      </c>
      <c r="B162" s="21" t="s">
        <v>280</v>
      </c>
      <c r="C162" s="21" t="s">
        <v>559</v>
      </c>
      <c r="D162" s="21">
        <v>2040000</v>
      </c>
      <c r="E162" s="21" t="s">
        <v>326</v>
      </c>
      <c r="F162" s="21" t="str">
        <f t="shared" si="4"/>
        <v>rtdc.l.rtdc.4053:itc</v>
      </c>
      <c r="G162" s="8">
        <f t="shared" si="5"/>
        <v>42664.708761574075</v>
      </c>
    </row>
    <row r="163" spans="1:7" x14ac:dyDescent="0.25">
      <c r="A163" s="8">
        <v>42664.708761574075</v>
      </c>
      <c r="B163" s="21" t="s">
        <v>256</v>
      </c>
      <c r="C163" s="21" t="s">
        <v>560</v>
      </c>
      <c r="D163" s="21">
        <v>880000</v>
      </c>
      <c r="E163" s="21" t="s">
        <v>508</v>
      </c>
      <c r="F163" s="21" t="str">
        <f t="shared" si="4"/>
        <v>rtdc.l.rtdc.4041:itc</v>
      </c>
      <c r="G163" s="8">
        <f t="shared" si="5"/>
        <v>42664.708761574075</v>
      </c>
    </row>
    <row r="164" spans="1:7" x14ac:dyDescent="0.25">
      <c r="A164" s="8">
        <v>42664.713842592595</v>
      </c>
      <c r="B164" s="21" t="s">
        <v>395</v>
      </c>
      <c r="C164" s="21" t="s">
        <v>427</v>
      </c>
      <c r="D164" s="21">
        <v>1810000</v>
      </c>
      <c r="E164" s="21" t="s">
        <v>348</v>
      </c>
      <c r="F164" s="21" t="str">
        <f t="shared" si="4"/>
        <v>rtdc.l.rtdc.4045:itc</v>
      </c>
      <c r="G164" s="8">
        <f t="shared" si="5"/>
        <v>42664.713842592595</v>
      </c>
    </row>
    <row r="165" spans="1:7" x14ac:dyDescent="0.25">
      <c r="A165" s="8">
        <v>42664.717280092591</v>
      </c>
      <c r="B165" s="21" t="s">
        <v>405</v>
      </c>
      <c r="C165" s="21" t="s">
        <v>561</v>
      </c>
      <c r="D165" s="21">
        <v>1820000</v>
      </c>
      <c r="E165" s="21" t="s">
        <v>325</v>
      </c>
      <c r="F165" s="21" t="str">
        <f t="shared" si="4"/>
        <v>rtdc.l.rtdc.4014:itc</v>
      </c>
      <c r="G165" s="8">
        <f t="shared" si="5"/>
        <v>42664.717280092591</v>
      </c>
    </row>
    <row r="166" spans="1:7" x14ac:dyDescent="0.25">
      <c r="A166" s="8">
        <v>42664.717824074076</v>
      </c>
      <c r="B166" s="21" t="s">
        <v>409</v>
      </c>
      <c r="C166" s="21" t="s">
        <v>562</v>
      </c>
      <c r="D166" s="21">
        <v>1540000</v>
      </c>
      <c r="E166" s="21" t="s">
        <v>281</v>
      </c>
      <c r="F166" s="21" t="str">
        <f t="shared" si="4"/>
        <v>rtdc.l.rtdc.4025:itc</v>
      </c>
      <c r="G166" s="8">
        <f t="shared" si="5"/>
        <v>42664.717824074076</v>
      </c>
    </row>
    <row r="167" spans="1:7" x14ac:dyDescent="0.25">
      <c r="A167" s="8">
        <v>42664.723506944443</v>
      </c>
      <c r="B167" s="21" t="s">
        <v>251</v>
      </c>
      <c r="C167" s="21" t="s">
        <v>563</v>
      </c>
      <c r="D167" s="21">
        <v>930000</v>
      </c>
      <c r="E167" s="21" t="s">
        <v>512</v>
      </c>
      <c r="F167" s="21" t="str">
        <f t="shared" si="4"/>
        <v>rtdc.l.rtdc.4028:itc</v>
      </c>
      <c r="G167" s="8">
        <f t="shared" si="5"/>
        <v>42664.723506944443</v>
      </c>
    </row>
    <row r="168" spans="1:7" x14ac:dyDescent="0.25">
      <c r="A168" s="8">
        <v>42664.725335648145</v>
      </c>
      <c r="B168" s="21" t="s">
        <v>345</v>
      </c>
      <c r="C168" s="21" t="s">
        <v>564</v>
      </c>
      <c r="D168" s="21">
        <v>2020000</v>
      </c>
      <c r="E168" s="21" t="s">
        <v>347</v>
      </c>
      <c r="F168" s="21" t="str">
        <f t="shared" si="4"/>
        <v>rtdc.l.rtdc.4038:itc</v>
      </c>
      <c r="G168" s="8">
        <f t="shared" si="5"/>
        <v>42664.725335648145</v>
      </c>
    </row>
    <row r="169" spans="1:7" x14ac:dyDescent="0.25">
      <c r="A169" s="8">
        <v>42664.728541666664</v>
      </c>
      <c r="B169" s="21" t="s">
        <v>198</v>
      </c>
      <c r="C169" s="21" t="s">
        <v>565</v>
      </c>
      <c r="D169" s="21">
        <v>1810000</v>
      </c>
      <c r="E169" s="21" t="s">
        <v>348</v>
      </c>
      <c r="F169" s="21" t="str">
        <f t="shared" si="4"/>
        <v>rtdc.l.rtdc.4046:itc</v>
      </c>
      <c r="G169" s="8">
        <f t="shared" si="5"/>
        <v>42664.728541666664</v>
      </c>
    </row>
    <row r="170" spans="1:7" x14ac:dyDescent="0.25">
      <c r="A170" s="8">
        <v>42664.729618055557</v>
      </c>
      <c r="B170" s="21" t="s">
        <v>193</v>
      </c>
      <c r="C170" s="21" t="s">
        <v>566</v>
      </c>
      <c r="D170" s="21">
        <v>140000</v>
      </c>
      <c r="E170" s="21" t="s">
        <v>327</v>
      </c>
      <c r="F170" s="21" t="str">
        <f t="shared" si="4"/>
        <v>rtdc.l.rtdc.4010:itc</v>
      </c>
      <c r="G170" s="8">
        <f t="shared" si="5"/>
        <v>42664.729618055557</v>
      </c>
    </row>
    <row r="171" spans="1:7" x14ac:dyDescent="0.25">
      <c r="A171" s="8">
        <v>42664.73541666667</v>
      </c>
      <c r="B171" s="21" t="s">
        <v>400</v>
      </c>
      <c r="C171" s="21" t="s">
        <v>428</v>
      </c>
      <c r="D171" s="21">
        <v>1540000</v>
      </c>
      <c r="E171" s="21" t="s">
        <v>281</v>
      </c>
      <c r="F171" s="21" t="str">
        <f t="shared" si="4"/>
        <v>rtdc.l.rtdc.4026:itc</v>
      </c>
      <c r="G171" s="8">
        <f t="shared" si="5"/>
        <v>42664.73541666667</v>
      </c>
    </row>
    <row r="172" spans="1:7" x14ac:dyDescent="0.25">
      <c r="A172" s="8">
        <v>42664.736319444448</v>
      </c>
      <c r="B172" s="21" t="s">
        <v>214</v>
      </c>
      <c r="C172" s="21" t="s">
        <v>429</v>
      </c>
      <c r="D172" s="21">
        <v>150000</v>
      </c>
      <c r="E172" s="21" t="s">
        <v>283</v>
      </c>
      <c r="F172" s="21" t="str">
        <f t="shared" si="4"/>
        <v>rtdc.l.rtdc.4039:itc</v>
      </c>
      <c r="G172" s="8">
        <f t="shared" si="5"/>
        <v>42664.736319444448</v>
      </c>
    </row>
    <row r="173" spans="1:7" x14ac:dyDescent="0.25">
      <c r="A173" s="8">
        <v>42664.738518518519</v>
      </c>
      <c r="B173" s="21" t="s">
        <v>296</v>
      </c>
      <c r="C173" s="21" t="s">
        <v>567</v>
      </c>
      <c r="D173" s="21">
        <v>1230000</v>
      </c>
      <c r="E173" s="21" t="s">
        <v>215</v>
      </c>
      <c r="F173" s="21" t="str">
        <f t="shared" si="4"/>
        <v>rtdc.l.rtdc.4016:itc</v>
      </c>
      <c r="G173" s="8">
        <f t="shared" si="5"/>
        <v>42664.738518518519</v>
      </c>
    </row>
    <row r="174" spans="1:7" x14ac:dyDescent="0.25">
      <c r="A174" s="8">
        <v>42664.740578703706</v>
      </c>
      <c r="B174" s="21" t="s">
        <v>211</v>
      </c>
      <c r="C174" s="21" t="s">
        <v>430</v>
      </c>
      <c r="D174" s="21">
        <v>1800000</v>
      </c>
      <c r="E174" s="21" t="s">
        <v>209</v>
      </c>
      <c r="F174" s="21" t="str">
        <f t="shared" si="4"/>
        <v>rtdc.l.rtdc.4043:itc</v>
      </c>
      <c r="G174" s="8">
        <f t="shared" si="5"/>
        <v>42664.740578703706</v>
      </c>
    </row>
    <row r="175" spans="1:7" x14ac:dyDescent="0.25">
      <c r="A175" s="8">
        <v>42664.744097222225</v>
      </c>
      <c r="B175" s="21" t="s">
        <v>400</v>
      </c>
      <c r="C175" s="21" t="s">
        <v>428</v>
      </c>
      <c r="D175" s="21">
        <v>1540000</v>
      </c>
      <c r="E175" s="21" t="s">
        <v>281</v>
      </c>
      <c r="F175" s="21" t="str">
        <f t="shared" si="4"/>
        <v>rtdc.l.rtdc.4026:itc</v>
      </c>
      <c r="G175" s="8">
        <f t="shared" si="5"/>
        <v>42664.744097222225</v>
      </c>
    </row>
    <row r="176" spans="1:7" x14ac:dyDescent="0.25">
      <c r="A176" s="8">
        <v>42664.744537037041</v>
      </c>
      <c r="B176" s="21" t="s">
        <v>278</v>
      </c>
      <c r="C176" s="21" t="s">
        <v>431</v>
      </c>
      <c r="D176" s="21">
        <v>2040000</v>
      </c>
      <c r="E176" s="21" t="s">
        <v>326</v>
      </c>
      <c r="F176" s="21" t="str">
        <f t="shared" si="4"/>
        <v>rtdc.l.rtdc.4054:itc</v>
      </c>
      <c r="G176" s="8">
        <f t="shared" si="5"/>
        <v>42664.744537037041</v>
      </c>
    </row>
    <row r="177" spans="1:7" x14ac:dyDescent="0.25">
      <c r="A177" s="8">
        <v>42664.749722222223</v>
      </c>
      <c r="B177" s="21" t="s">
        <v>255</v>
      </c>
      <c r="C177" s="21" t="s">
        <v>568</v>
      </c>
      <c r="D177" s="21">
        <v>1740000</v>
      </c>
      <c r="E177" s="21" t="s">
        <v>299</v>
      </c>
      <c r="F177" s="21" t="str">
        <f t="shared" si="4"/>
        <v>rtdc.l.rtdc.4042:itc</v>
      </c>
      <c r="G177" s="8">
        <f t="shared" si="5"/>
        <v>42664.749722222223</v>
      </c>
    </row>
    <row r="178" spans="1:7" x14ac:dyDescent="0.25">
      <c r="A178" s="8">
        <v>42664.754074074073</v>
      </c>
      <c r="B178" s="21" t="s">
        <v>402</v>
      </c>
      <c r="C178" s="21" t="s">
        <v>569</v>
      </c>
      <c r="D178" s="21">
        <v>1820000</v>
      </c>
      <c r="E178" s="21" t="s">
        <v>325</v>
      </c>
      <c r="F178" s="21" t="str">
        <f t="shared" si="4"/>
        <v>rtdc.l.rtdc.4013:itc</v>
      </c>
      <c r="G178" s="8">
        <f t="shared" si="5"/>
        <v>42664.754074074073</v>
      </c>
    </row>
    <row r="179" spans="1:7" x14ac:dyDescent="0.25">
      <c r="A179" s="8">
        <v>42664.756203703706</v>
      </c>
      <c r="B179" s="21" t="s">
        <v>395</v>
      </c>
      <c r="C179" s="21" t="s">
        <v>570</v>
      </c>
      <c r="D179" s="21">
        <v>1810000</v>
      </c>
      <c r="E179" s="21" t="s">
        <v>348</v>
      </c>
      <c r="F179" s="21" t="str">
        <f t="shared" si="4"/>
        <v>rtdc.l.rtdc.4045:itc</v>
      </c>
      <c r="G179" s="8">
        <f t="shared" si="5"/>
        <v>42664.756203703706</v>
      </c>
    </row>
    <row r="180" spans="1:7" x14ac:dyDescent="0.25">
      <c r="A180" s="8">
        <v>42664.760069444441</v>
      </c>
      <c r="B180" s="21" t="s">
        <v>436</v>
      </c>
      <c r="C180" s="21" t="s">
        <v>571</v>
      </c>
      <c r="D180" s="21">
        <v>1800000</v>
      </c>
      <c r="E180" s="21" t="s">
        <v>209</v>
      </c>
      <c r="F180" s="21" t="str">
        <f t="shared" si="4"/>
        <v>rtdc.l.rtdc.4027:itc</v>
      </c>
      <c r="G180" s="8">
        <f t="shared" si="5"/>
        <v>42664.760069444441</v>
      </c>
    </row>
    <row r="181" spans="1:7" x14ac:dyDescent="0.25">
      <c r="A181" s="8">
        <v>42664.760277777779</v>
      </c>
      <c r="B181" s="21" t="s">
        <v>409</v>
      </c>
      <c r="C181" s="21" t="s">
        <v>432</v>
      </c>
      <c r="D181" s="21">
        <v>1540000</v>
      </c>
      <c r="E181" s="21" t="s">
        <v>281</v>
      </c>
      <c r="F181" s="21" t="str">
        <f t="shared" si="4"/>
        <v>rtdc.l.rtdc.4025:itc</v>
      </c>
      <c r="G181" s="8">
        <f t="shared" si="5"/>
        <v>42664.760277777779</v>
      </c>
    </row>
    <row r="182" spans="1:7" x14ac:dyDescent="0.25">
      <c r="A182" s="8">
        <v>42664.763067129628</v>
      </c>
      <c r="B182" s="21" t="s">
        <v>339</v>
      </c>
      <c r="C182" s="21" t="s">
        <v>572</v>
      </c>
      <c r="D182" s="21">
        <v>2020000</v>
      </c>
      <c r="E182" s="21" t="s">
        <v>347</v>
      </c>
      <c r="F182" s="21" t="str">
        <f t="shared" si="4"/>
        <v>rtdc.l.rtdc.4037:itc</v>
      </c>
      <c r="G182" s="8">
        <f t="shared" si="5"/>
        <v>42664.763067129628</v>
      </c>
    </row>
    <row r="183" spans="1:7" x14ac:dyDescent="0.25">
      <c r="A183" s="8">
        <v>42664.766030092593</v>
      </c>
      <c r="B183" s="21" t="s">
        <v>297</v>
      </c>
      <c r="C183" s="21" t="s">
        <v>573</v>
      </c>
      <c r="D183" s="21">
        <v>1230000</v>
      </c>
      <c r="E183" s="21" t="s">
        <v>215</v>
      </c>
      <c r="F183" s="21" t="str">
        <f t="shared" si="4"/>
        <v>rtdc.l.rtdc.4015:itc</v>
      </c>
      <c r="G183" s="8">
        <f t="shared" si="5"/>
        <v>42664.766030092593</v>
      </c>
    </row>
    <row r="184" spans="1:7" x14ac:dyDescent="0.25">
      <c r="A184" s="8">
        <v>42664.76734953704</v>
      </c>
      <c r="B184" s="21" t="s">
        <v>194</v>
      </c>
      <c r="C184" s="21" t="s">
        <v>574</v>
      </c>
      <c r="D184" s="21">
        <v>1480000</v>
      </c>
      <c r="E184" s="21" t="s">
        <v>191</v>
      </c>
      <c r="F184" s="21" t="str">
        <f t="shared" si="4"/>
        <v>rtdc.l.rtdc.4009:itc</v>
      </c>
      <c r="G184" s="8">
        <f t="shared" si="5"/>
        <v>42664.76734953704</v>
      </c>
    </row>
    <row r="185" spans="1:7" x14ac:dyDescent="0.25">
      <c r="A185" s="8">
        <v>42664.770578703705</v>
      </c>
      <c r="B185" s="21" t="s">
        <v>198</v>
      </c>
      <c r="C185" s="21" t="s">
        <v>575</v>
      </c>
      <c r="D185" s="21">
        <v>1810000</v>
      </c>
      <c r="E185" s="21" t="s">
        <v>348</v>
      </c>
      <c r="F185" s="21" t="str">
        <f t="shared" si="4"/>
        <v>rtdc.l.rtdc.4046:itc</v>
      </c>
      <c r="G185" s="8">
        <f t="shared" si="5"/>
        <v>42664.770578703705</v>
      </c>
    </row>
    <row r="186" spans="1:7" x14ac:dyDescent="0.25">
      <c r="A186" s="8">
        <v>42664.777696759258</v>
      </c>
      <c r="B186" s="21" t="s">
        <v>400</v>
      </c>
      <c r="C186" s="21" t="s">
        <v>576</v>
      </c>
      <c r="D186" s="21">
        <v>1540000</v>
      </c>
      <c r="E186" s="21" t="s">
        <v>281</v>
      </c>
      <c r="F186" s="21" t="str">
        <f t="shared" si="4"/>
        <v>rtdc.l.rtdc.4026:itc</v>
      </c>
      <c r="G186" s="8">
        <f t="shared" si="5"/>
        <v>42664.777696759258</v>
      </c>
    </row>
    <row r="187" spans="1:7" x14ac:dyDescent="0.25">
      <c r="A187" s="8">
        <v>42664.778726851851</v>
      </c>
      <c r="B187" s="21" t="s">
        <v>280</v>
      </c>
      <c r="C187" s="21" t="s">
        <v>577</v>
      </c>
      <c r="D187" s="21">
        <v>2040000</v>
      </c>
      <c r="E187" s="21" t="s">
        <v>326</v>
      </c>
      <c r="F187" s="21" t="str">
        <f t="shared" si="4"/>
        <v>rtdc.l.rtdc.4053:itc</v>
      </c>
      <c r="G187" s="8">
        <f t="shared" si="5"/>
        <v>42664.778726851851</v>
      </c>
    </row>
    <row r="188" spans="1:7" x14ac:dyDescent="0.25">
      <c r="A188" s="8">
        <v>42664.783726851849</v>
      </c>
      <c r="B188" s="21" t="s">
        <v>256</v>
      </c>
      <c r="C188" s="21" t="s">
        <v>433</v>
      </c>
      <c r="D188" s="21">
        <v>1740000</v>
      </c>
      <c r="E188" s="21" t="s">
        <v>299</v>
      </c>
      <c r="F188" s="21" t="str">
        <f t="shared" si="4"/>
        <v>rtdc.l.rtdc.4041:itc</v>
      </c>
      <c r="G188" s="8">
        <f t="shared" si="5"/>
        <v>42664.783726851849</v>
      </c>
    </row>
    <row r="189" spans="1:7" x14ac:dyDescent="0.25">
      <c r="A189" s="8">
        <v>42664.790844907409</v>
      </c>
      <c r="B189" s="21" t="s">
        <v>405</v>
      </c>
      <c r="C189" s="21" t="s">
        <v>578</v>
      </c>
      <c r="D189" s="21">
        <v>140000</v>
      </c>
      <c r="E189" s="21" t="s">
        <v>327</v>
      </c>
      <c r="F189" s="21" t="str">
        <f t="shared" si="4"/>
        <v>rtdc.l.rtdc.4014:itc</v>
      </c>
      <c r="G189" s="8">
        <f t="shared" si="5"/>
        <v>42664.790844907409</v>
      </c>
    </row>
    <row r="190" spans="1:7" x14ac:dyDescent="0.25">
      <c r="A190" s="8">
        <v>42664.796909722223</v>
      </c>
      <c r="B190" s="21" t="s">
        <v>395</v>
      </c>
      <c r="C190" s="21" t="s">
        <v>579</v>
      </c>
      <c r="D190" s="21">
        <v>1810000</v>
      </c>
      <c r="E190" s="21" t="s">
        <v>348</v>
      </c>
      <c r="F190" s="21" t="str">
        <f t="shared" si="4"/>
        <v>rtdc.l.rtdc.4045:itc</v>
      </c>
      <c r="G190" s="8">
        <f t="shared" si="5"/>
        <v>42664.796909722223</v>
      </c>
    </row>
    <row r="191" spans="1:7" x14ac:dyDescent="0.25">
      <c r="A191" s="8">
        <v>42664.797685185185</v>
      </c>
      <c r="B191" s="21" t="s">
        <v>251</v>
      </c>
      <c r="C191" s="21" t="s">
        <v>580</v>
      </c>
      <c r="D191" s="21">
        <v>1800000</v>
      </c>
      <c r="E191" s="21" t="s">
        <v>209</v>
      </c>
      <c r="F191" s="21" t="str">
        <f t="shared" si="4"/>
        <v>rtdc.l.rtdc.4028:itc</v>
      </c>
      <c r="G191" s="8">
        <f t="shared" si="5"/>
        <v>42664.797685185185</v>
      </c>
    </row>
    <row r="192" spans="1:7" x14ac:dyDescent="0.25">
      <c r="A192" s="8">
        <v>42664.798587962963</v>
      </c>
      <c r="B192" s="21" t="s">
        <v>345</v>
      </c>
      <c r="C192" s="21" t="s">
        <v>581</v>
      </c>
      <c r="D192" s="21">
        <v>2020000</v>
      </c>
      <c r="E192" s="21" t="s">
        <v>347</v>
      </c>
      <c r="F192" s="21" t="str">
        <f t="shared" si="4"/>
        <v>rtdc.l.rtdc.4038:itc</v>
      </c>
      <c r="G192" s="8">
        <f t="shared" si="5"/>
        <v>42664.798587962963</v>
      </c>
    </row>
    <row r="193" spans="1:7" x14ac:dyDescent="0.25">
      <c r="A193" s="8">
        <v>42664.803333333337</v>
      </c>
      <c r="B193" s="21" t="s">
        <v>193</v>
      </c>
      <c r="C193" s="21" t="s">
        <v>582</v>
      </c>
      <c r="D193" s="21">
        <v>1480000</v>
      </c>
      <c r="E193" s="21" t="s">
        <v>191</v>
      </c>
      <c r="F193" s="21" t="str">
        <f t="shared" si="4"/>
        <v>rtdc.l.rtdc.4010:itc</v>
      </c>
      <c r="G193" s="8">
        <f t="shared" si="5"/>
        <v>42664.803333333337</v>
      </c>
    </row>
    <row r="194" spans="1:7" x14ac:dyDescent="0.25">
      <c r="A194" s="8">
        <v>42664.804120370369</v>
      </c>
      <c r="B194" s="21" t="s">
        <v>409</v>
      </c>
      <c r="C194" s="21" t="s">
        <v>583</v>
      </c>
      <c r="D194" s="21">
        <v>1540000</v>
      </c>
      <c r="E194" s="21" t="s">
        <v>281</v>
      </c>
      <c r="F194" s="21" t="str">
        <f t="shared" ref="F194:F235" si="6">B194</f>
        <v>rtdc.l.rtdc.4025:itc</v>
      </c>
      <c r="G194" s="8">
        <f t="shared" ref="G194:G235" si="7">A194</f>
        <v>42664.804120370369</v>
      </c>
    </row>
    <row r="195" spans="1:7" x14ac:dyDescent="0.25">
      <c r="A195" s="8">
        <v>42664.806805555556</v>
      </c>
      <c r="B195" s="21" t="s">
        <v>296</v>
      </c>
      <c r="C195" s="21" t="s">
        <v>584</v>
      </c>
      <c r="D195" s="21">
        <v>1230000</v>
      </c>
      <c r="E195" s="21" t="s">
        <v>215</v>
      </c>
      <c r="F195" s="21" t="str">
        <f t="shared" si="6"/>
        <v>rtdc.l.rtdc.4016:itc</v>
      </c>
      <c r="G195" s="8">
        <f t="shared" si="7"/>
        <v>42664.806805555556</v>
      </c>
    </row>
    <row r="196" spans="1:7" x14ac:dyDescent="0.25">
      <c r="A196" s="8">
        <v>42664.816747685189</v>
      </c>
      <c r="B196" s="21" t="s">
        <v>400</v>
      </c>
      <c r="C196" s="21" t="s">
        <v>585</v>
      </c>
      <c r="D196" s="21">
        <v>1540000</v>
      </c>
      <c r="E196" s="21" t="s">
        <v>281</v>
      </c>
      <c r="F196" s="21" t="str">
        <f t="shared" si="6"/>
        <v>rtdc.l.rtdc.4026:itc</v>
      </c>
      <c r="G196" s="8">
        <f t="shared" si="7"/>
        <v>42664.816747685189</v>
      </c>
    </row>
    <row r="197" spans="1:7" x14ac:dyDescent="0.25">
      <c r="A197" s="8">
        <v>42664.819560185184</v>
      </c>
      <c r="B197" s="21" t="s">
        <v>255</v>
      </c>
      <c r="C197" s="21" t="s">
        <v>586</v>
      </c>
      <c r="D197" s="21">
        <v>1740000</v>
      </c>
      <c r="E197" s="21" t="s">
        <v>299</v>
      </c>
      <c r="F197" s="21" t="str">
        <f t="shared" si="6"/>
        <v>rtdc.l.rtdc.4042:itc</v>
      </c>
      <c r="G197" s="8">
        <f t="shared" si="7"/>
        <v>42664.819560185184</v>
      </c>
    </row>
    <row r="198" spans="1:7" x14ac:dyDescent="0.25">
      <c r="A198" s="8">
        <v>42664.827650462961</v>
      </c>
      <c r="B198" s="21" t="s">
        <v>402</v>
      </c>
      <c r="C198" s="21" t="s">
        <v>587</v>
      </c>
      <c r="D198" s="21">
        <v>140000</v>
      </c>
      <c r="E198" s="21" t="s">
        <v>327</v>
      </c>
      <c r="F198" s="21" t="str">
        <f t="shared" si="6"/>
        <v>rtdc.l.rtdc.4013:itc</v>
      </c>
      <c r="G198" s="8">
        <f t="shared" si="7"/>
        <v>42664.827650462961</v>
      </c>
    </row>
    <row r="199" spans="1:7" x14ac:dyDescent="0.25">
      <c r="A199" s="8">
        <v>42664.831493055557</v>
      </c>
      <c r="B199" s="21" t="s">
        <v>436</v>
      </c>
      <c r="C199" s="21" t="s">
        <v>588</v>
      </c>
      <c r="D199" s="21">
        <v>1800000</v>
      </c>
      <c r="E199" s="21" t="s">
        <v>209</v>
      </c>
      <c r="F199" s="21" t="str">
        <f t="shared" si="6"/>
        <v>rtdc.l.rtdc.4027:itc</v>
      </c>
      <c r="G199" s="8">
        <f t="shared" si="7"/>
        <v>42664.831493055557</v>
      </c>
    </row>
    <row r="200" spans="1:7" x14ac:dyDescent="0.25">
      <c r="A200" s="8">
        <v>42664.84480324074</v>
      </c>
      <c r="B200" s="21" t="s">
        <v>297</v>
      </c>
      <c r="C200" s="21" t="s">
        <v>589</v>
      </c>
      <c r="D200" s="21">
        <v>1230000</v>
      </c>
      <c r="E200" s="21" t="s">
        <v>215</v>
      </c>
      <c r="F200" s="21" t="str">
        <f t="shared" si="6"/>
        <v>rtdc.l.rtdc.4015:itc</v>
      </c>
      <c r="G200" s="8">
        <f t="shared" si="7"/>
        <v>42664.84480324074</v>
      </c>
    </row>
    <row r="201" spans="1:7" x14ac:dyDescent="0.25">
      <c r="A201" s="8">
        <v>42664.845949074072</v>
      </c>
      <c r="B201" s="21" t="s">
        <v>409</v>
      </c>
      <c r="C201" s="21" t="s">
        <v>590</v>
      </c>
      <c r="D201" s="21">
        <v>1540000</v>
      </c>
      <c r="E201" s="21" t="s">
        <v>281</v>
      </c>
      <c r="F201" s="21" t="str">
        <f t="shared" si="6"/>
        <v>rtdc.l.rtdc.4025:itc</v>
      </c>
      <c r="G201" s="8">
        <f t="shared" si="7"/>
        <v>42664.845949074072</v>
      </c>
    </row>
    <row r="202" spans="1:7" x14ac:dyDescent="0.25">
      <c r="A202" s="27">
        <v>42664.846585648149</v>
      </c>
      <c r="B202" s="21" t="s">
        <v>409</v>
      </c>
      <c r="C202" s="21" t="s">
        <v>591</v>
      </c>
      <c r="D202" s="21">
        <v>1540000</v>
      </c>
      <c r="E202" s="21" t="s">
        <v>281</v>
      </c>
      <c r="F202" s="21" t="str">
        <f t="shared" si="6"/>
        <v>rtdc.l.rtdc.4025:itc</v>
      </c>
      <c r="G202" s="8">
        <f t="shared" si="7"/>
        <v>42664.846585648149</v>
      </c>
    </row>
    <row r="203" spans="1:7" x14ac:dyDescent="0.25">
      <c r="A203" s="8">
        <v>42664.850601851853</v>
      </c>
      <c r="B203" s="21" t="s">
        <v>194</v>
      </c>
      <c r="C203" s="21" t="s">
        <v>592</v>
      </c>
      <c r="D203" s="21">
        <v>1480000</v>
      </c>
      <c r="E203" s="21" t="s">
        <v>191</v>
      </c>
      <c r="F203" s="21" t="str">
        <f t="shared" si="6"/>
        <v>rtdc.l.rtdc.4009:itc</v>
      </c>
      <c r="G203" s="8">
        <f t="shared" si="7"/>
        <v>42664.850601851853</v>
      </c>
    </row>
    <row r="204" spans="1:7" x14ac:dyDescent="0.25">
      <c r="A204" s="8">
        <v>42664.858888888892</v>
      </c>
      <c r="B204" s="21" t="s">
        <v>400</v>
      </c>
      <c r="C204" s="21" t="s">
        <v>590</v>
      </c>
      <c r="D204" s="21">
        <v>1540000</v>
      </c>
      <c r="E204" s="21" t="s">
        <v>281</v>
      </c>
      <c r="F204" s="21" t="str">
        <f t="shared" si="6"/>
        <v>rtdc.l.rtdc.4026:itc</v>
      </c>
      <c r="G204" s="8">
        <f t="shared" si="7"/>
        <v>42664.858888888892</v>
      </c>
    </row>
    <row r="205" spans="1:7" x14ac:dyDescent="0.25">
      <c r="A205" s="8">
        <v>42664.860810185186</v>
      </c>
      <c r="B205" s="21" t="s">
        <v>402</v>
      </c>
      <c r="C205" s="21" t="s">
        <v>587</v>
      </c>
      <c r="D205" s="21">
        <v>140000</v>
      </c>
      <c r="E205" s="21" t="s">
        <v>327</v>
      </c>
      <c r="F205" s="21" t="str">
        <f t="shared" si="6"/>
        <v>rtdc.l.rtdc.4013:itc</v>
      </c>
      <c r="G205" s="8">
        <f t="shared" si="7"/>
        <v>42664.860810185186</v>
      </c>
    </row>
    <row r="206" spans="1:7" x14ac:dyDescent="0.25">
      <c r="A206" s="8">
        <v>42664.865995370368</v>
      </c>
      <c r="B206" s="21" t="s">
        <v>405</v>
      </c>
      <c r="C206" s="21" t="s">
        <v>434</v>
      </c>
      <c r="D206" s="21">
        <v>120000</v>
      </c>
      <c r="E206" s="21" t="s">
        <v>593</v>
      </c>
      <c r="F206" s="21" t="str">
        <f t="shared" si="6"/>
        <v>rtdc.l.rtdc.4014:itc</v>
      </c>
      <c r="G206" s="8">
        <f t="shared" si="7"/>
        <v>42664.865995370368</v>
      </c>
    </row>
    <row r="207" spans="1:7" x14ac:dyDescent="0.25">
      <c r="A207" s="8">
        <v>42664.872118055559</v>
      </c>
      <c r="B207" s="21" t="s">
        <v>251</v>
      </c>
      <c r="C207" s="21" t="s">
        <v>594</v>
      </c>
      <c r="D207" s="21">
        <v>1800000</v>
      </c>
      <c r="E207" s="21" t="s">
        <v>209</v>
      </c>
      <c r="F207" s="21" t="str">
        <f t="shared" si="6"/>
        <v>rtdc.l.rtdc.4028:itc</v>
      </c>
      <c r="G207" s="8">
        <f t="shared" si="7"/>
        <v>42664.872118055559</v>
      </c>
    </row>
    <row r="208" spans="1:7" x14ac:dyDescent="0.25">
      <c r="A208" s="8">
        <v>42664.878391203703</v>
      </c>
      <c r="B208" s="21" t="s">
        <v>196</v>
      </c>
      <c r="C208" s="21" t="s">
        <v>595</v>
      </c>
      <c r="D208" s="21">
        <v>110000</v>
      </c>
      <c r="E208" s="21" t="s">
        <v>300</v>
      </c>
      <c r="F208" s="21" t="str">
        <f t="shared" si="6"/>
        <v>rtdc.l.rtdc.4044:itc</v>
      </c>
      <c r="G208" s="8">
        <f t="shared" si="7"/>
        <v>42664.878391203703</v>
      </c>
    </row>
    <row r="209" spans="1:7" x14ac:dyDescent="0.25">
      <c r="A209" s="8">
        <v>42664.880601851852</v>
      </c>
      <c r="B209" s="21" t="s">
        <v>409</v>
      </c>
      <c r="C209" s="21" t="s">
        <v>596</v>
      </c>
      <c r="D209" s="21">
        <v>1810000</v>
      </c>
      <c r="E209" s="21" t="s">
        <v>348</v>
      </c>
      <c r="F209" s="21" t="str">
        <f t="shared" si="6"/>
        <v>rtdc.l.rtdc.4025:itc</v>
      </c>
      <c r="G209" s="8">
        <f t="shared" si="7"/>
        <v>42664.880601851852</v>
      </c>
    </row>
    <row r="210" spans="1:7" x14ac:dyDescent="0.25">
      <c r="A210" s="8">
        <v>42664.882974537039</v>
      </c>
      <c r="B210" s="21" t="s">
        <v>296</v>
      </c>
      <c r="C210" s="21" t="s">
        <v>597</v>
      </c>
      <c r="D210" s="21">
        <v>1230000</v>
      </c>
      <c r="E210" s="21" t="s">
        <v>215</v>
      </c>
      <c r="F210" s="21" t="str">
        <f t="shared" si="6"/>
        <v>rtdc.l.rtdc.4016:itc</v>
      </c>
      <c r="G210" s="8">
        <f t="shared" si="7"/>
        <v>42664.882974537039</v>
      </c>
    </row>
    <row r="211" spans="1:7" x14ac:dyDescent="0.25">
      <c r="A211" s="8">
        <v>42664.885821759257</v>
      </c>
      <c r="B211" s="21" t="s">
        <v>193</v>
      </c>
      <c r="C211" s="21" t="s">
        <v>598</v>
      </c>
      <c r="D211" s="21">
        <v>1480000</v>
      </c>
      <c r="E211" s="21" t="s">
        <v>191</v>
      </c>
      <c r="F211" s="21" t="str">
        <f t="shared" si="6"/>
        <v>rtdc.l.rtdc.4010:itc</v>
      </c>
      <c r="G211" s="8">
        <f t="shared" si="7"/>
        <v>42664.885821759257</v>
      </c>
    </row>
    <row r="212" spans="1:7" x14ac:dyDescent="0.25">
      <c r="A212" s="8">
        <v>42664.901770833334</v>
      </c>
      <c r="B212" s="21" t="s">
        <v>400</v>
      </c>
      <c r="C212" s="21" t="s">
        <v>599</v>
      </c>
      <c r="D212" s="21">
        <v>1810000</v>
      </c>
      <c r="E212" s="21" t="s">
        <v>348</v>
      </c>
      <c r="F212" s="21" t="str">
        <f t="shared" si="6"/>
        <v>rtdc.l.rtdc.4026:itc</v>
      </c>
      <c r="G212" s="8">
        <f t="shared" si="7"/>
        <v>42664.901770833334</v>
      </c>
    </row>
    <row r="213" spans="1:7" x14ac:dyDescent="0.25">
      <c r="A213" s="8">
        <v>42664.908148148148</v>
      </c>
      <c r="B213" s="21" t="s">
        <v>402</v>
      </c>
      <c r="C213" s="21" t="s">
        <v>600</v>
      </c>
      <c r="D213" s="21">
        <v>120000</v>
      </c>
      <c r="E213" s="21" t="s">
        <v>593</v>
      </c>
      <c r="F213" s="21" t="str">
        <f t="shared" si="6"/>
        <v>rtdc.l.rtdc.4013:itc</v>
      </c>
      <c r="G213" s="8">
        <f t="shared" si="7"/>
        <v>42664.908148148148</v>
      </c>
    </row>
    <row r="214" spans="1:7" x14ac:dyDescent="0.25">
      <c r="A214" s="8">
        <v>42664.915925925925</v>
      </c>
      <c r="B214" s="21" t="s">
        <v>436</v>
      </c>
      <c r="C214" s="21" t="s">
        <v>601</v>
      </c>
      <c r="D214" s="21">
        <v>1800000</v>
      </c>
      <c r="E214" s="21" t="s">
        <v>209</v>
      </c>
      <c r="F214" s="21" t="str">
        <f t="shared" si="6"/>
        <v>rtdc.l.rtdc.4027:itc</v>
      </c>
      <c r="G214" s="8">
        <f t="shared" si="7"/>
        <v>42664.915925925925</v>
      </c>
    </row>
    <row r="215" spans="1:7" x14ac:dyDescent="0.25">
      <c r="A215" s="8">
        <v>42664.916006944448</v>
      </c>
      <c r="B215" s="21" t="s">
        <v>409</v>
      </c>
      <c r="C215" s="21" t="s">
        <v>602</v>
      </c>
      <c r="D215" s="21">
        <v>1810000</v>
      </c>
      <c r="E215" s="21" t="s">
        <v>348</v>
      </c>
      <c r="F215" s="21" t="str">
        <f t="shared" si="6"/>
        <v>rtdc.l.rtdc.4025:itc</v>
      </c>
      <c r="G215" s="8">
        <f t="shared" si="7"/>
        <v>42664.916006944448</v>
      </c>
    </row>
    <row r="216" spans="1:7" x14ac:dyDescent="0.25">
      <c r="A216" s="8">
        <v>42664.927662037036</v>
      </c>
      <c r="B216" s="21" t="s">
        <v>297</v>
      </c>
      <c r="C216" s="21" t="s">
        <v>603</v>
      </c>
      <c r="D216" s="21">
        <v>1230000</v>
      </c>
      <c r="E216" s="21" t="s">
        <v>215</v>
      </c>
      <c r="F216" s="21" t="str">
        <f t="shared" si="6"/>
        <v>rtdc.l.rtdc.4015:itc</v>
      </c>
      <c r="G216" s="8">
        <f t="shared" si="7"/>
        <v>42664.927662037036</v>
      </c>
    </row>
    <row r="217" spans="1:7" x14ac:dyDescent="0.25">
      <c r="A217" s="8">
        <v>42664.931689814817</v>
      </c>
      <c r="B217" s="21" t="s">
        <v>194</v>
      </c>
      <c r="C217" s="21" t="s">
        <v>604</v>
      </c>
      <c r="D217" s="21">
        <v>1480000</v>
      </c>
      <c r="E217" s="21" t="s">
        <v>191</v>
      </c>
      <c r="F217" s="21" t="str">
        <f t="shared" si="6"/>
        <v>rtdc.l.rtdc.4009:itc</v>
      </c>
      <c r="G217" s="8">
        <f t="shared" si="7"/>
        <v>42664.931689814817</v>
      </c>
    </row>
    <row r="218" spans="1:7" x14ac:dyDescent="0.25">
      <c r="A218" s="8">
        <v>42664.94159722222</v>
      </c>
      <c r="B218" s="21" t="s">
        <v>400</v>
      </c>
      <c r="C218" s="21" t="s">
        <v>605</v>
      </c>
      <c r="D218" s="21">
        <v>1810000</v>
      </c>
      <c r="E218" s="21" t="s">
        <v>348</v>
      </c>
      <c r="F218" s="21" t="str">
        <f t="shared" si="6"/>
        <v>rtdc.l.rtdc.4026:itc</v>
      </c>
      <c r="G218" s="8">
        <f t="shared" si="7"/>
        <v>42664.94159722222</v>
      </c>
    </row>
    <row r="219" spans="1:7" x14ac:dyDescent="0.25">
      <c r="A219" s="8">
        <v>42664.948587962965</v>
      </c>
      <c r="B219" s="21" t="s">
        <v>405</v>
      </c>
      <c r="C219" s="21" t="s">
        <v>606</v>
      </c>
      <c r="D219" s="21">
        <v>150000</v>
      </c>
      <c r="E219" s="21" t="s">
        <v>283</v>
      </c>
      <c r="F219" s="21" t="str">
        <f t="shared" si="6"/>
        <v>rtdc.l.rtdc.4014:itc</v>
      </c>
      <c r="G219" s="8">
        <f t="shared" si="7"/>
        <v>42664.948587962965</v>
      </c>
    </row>
    <row r="220" spans="1:7" x14ac:dyDescent="0.25">
      <c r="A220" s="8">
        <v>42664.954212962963</v>
      </c>
      <c r="B220" s="21" t="s">
        <v>251</v>
      </c>
      <c r="C220" s="21" t="s">
        <v>435</v>
      </c>
      <c r="D220" s="21">
        <v>1800000</v>
      </c>
      <c r="E220" s="21" t="s">
        <v>209</v>
      </c>
      <c r="F220" s="21" t="str">
        <f t="shared" si="6"/>
        <v>rtdc.l.rtdc.4028:itc</v>
      </c>
      <c r="G220" s="8">
        <f t="shared" si="7"/>
        <v>42664.954212962963</v>
      </c>
    </row>
    <row r="221" spans="1:7" x14ac:dyDescent="0.25">
      <c r="A221" s="8">
        <v>42664.964108796295</v>
      </c>
      <c r="B221" s="21" t="s">
        <v>296</v>
      </c>
      <c r="C221" s="21" t="s">
        <v>607</v>
      </c>
      <c r="D221" s="21">
        <v>1230000</v>
      </c>
      <c r="E221" s="21" t="s">
        <v>215</v>
      </c>
      <c r="F221" s="21" t="str">
        <f t="shared" si="6"/>
        <v>rtdc.l.rtdc.4016:itc</v>
      </c>
      <c r="G221" s="8">
        <f t="shared" si="7"/>
        <v>42664.964108796295</v>
      </c>
    </row>
    <row r="222" spans="1:7" x14ac:dyDescent="0.25">
      <c r="A222" s="8">
        <v>42664.966817129629</v>
      </c>
      <c r="B222" s="21" t="s">
        <v>193</v>
      </c>
      <c r="C222" s="21" t="s">
        <v>608</v>
      </c>
      <c r="D222" s="21">
        <v>1480000</v>
      </c>
      <c r="E222" s="21" t="s">
        <v>191</v>
      </c>
      <c r="F222" s="21" t="str">
        <f t="shared" si="6"/>
        <v>rtdc.l.rtdc.4010:itc</v>
      </c>
      <c r="G222" s="8">
        <f t="shared" si="7"/>
        <v>42664.966817129629</v>
      </c>
    </row>
    <row r="223" spans="1:7" x14ac:dyDescent="0.25">
      <c r="A223" s="8">
        <v>42664.989675925928</v>
      </c>
      <c r="B223" s="21" t="s">
        <v>251</v>
      </c>
      <c r="C223" s="21" t="s">
        <v>437</v>
      </c>
      <c r="D223" s="21">
        <v>1800000</v>
      </c>
      <c r="E223" s="21" t="s">
        <v>209</v>
      </c>
      <c r="F223" s="21" t="str">
        <f t="shared" si="6"/>
        <v>rtdc.l.rtdc.4028:itc</v>
      </c>
      <c r="G223" s="8">
        <f t="shared" si="7"/>
        <v>42664.989675925928</v>
      </c>
    </row>
    <row r="224" spans="1:7" x14ac:dyDescent="0.25">
      <c r="A224" s="8">
        <v>42664.990914351853</v>
      </c>
      <c r="B224" t="s">
        <v>402</v>
      </c>
      <c r="C224" t="s">
        <v>609</v>
      </c>
      <c r="D224">
        <v>150000</v>
      </c>
      <c r="E224" t="s">
        <v>283</v>
      </c>
      <c r="F224" s="21" t="str">
        <f t="shared" si="6"/>
        <v>rtdc.l.rtdc.4013:itc</v>
      </c>
      <c r="G224" s="8">
        <f t="shared" si="7"/>
        <v>42664.990914351853</v>
      </c>
    </row>
    <row r="225" spans="1:7" x14ac:dyDescent="0.25">
      <c r="A225" s="8">
        <v>42664.994513888887</v>
      </c>
      <c r="B225" t="s">
        <v>436</v>
      </c>
      <c r="C225" t="s">
        <v>437</v>
      </c>
      <c r="D225">
        <v>1800000</v>
      </c>
      <c r="E225" t="s">
        <v>209</v>
      </c>
      <c r="F225" s="21" t="str">
        <f t="shared" si="6"/>
        <v>rtdc.l.rtdc.4027:itc</v>
      </c>
      <c r="G225" s="8">
        <f t="shared" si="7"/>
        <v>42664.994513888887</v>
      </c>
    </row>
    <row r="226" spans="1:7" x14ac:dyDescent="0.25">
      <c r="A226" s="8">
        <v>42664.997858796298</v>
      </c>
      <c r="B226" t="s">
        <v>251</v>
      </c>
      <c r="C226" t="s">
        <v>437</v>
      </c>
      <c r="D226">
        <v>1800000</v>
      </c>
      <c r="E226" t="s">
        <v>209</v>
      </c>
      <c r="F226" s="21" t="str">
        <f t="shared" si="6"/>
        <v>rtdc.l.rtdc.4028:itc</v>
      </c>
      <c r="G226" s="8">
        <f t="shared" si="7"/>
        <v>42664.997858796298</v>
      </c>
    </row>
    <row r="227" spans="1:7" x14ac:dyDescent="0.25">
      <c r="A227" s="8">
        <v>42664.9996875</v>
      </c>
      <c r="B227" t="s">
        <v>436</v>
      </c>
      <c r="C227" t="s">
        <v>437</v>
      </c>
      <c r="D227">
        <v>1800000</v>
      </c>
      <c r="E227" t="s">
        <v>209</v>
      </c>
      <c r="F227" s="21" t="str">
        <f t="shared" si="6"/>
        <v>rtdc.l.rtdc.4027:itc</v>
      </c>
      <c r="G227" s="8">
        <f t="shared" si="7"/>
        <v>42664.9996875</v>
      </c>
    </row>
    <row r="228" spans="1:7" x14ac:dyDescent="0.25">
      <c r="A228" s="8">
        <v>42665.009976851848</v>
      </c>
      <c r="B228" t="s">
        <v>297</v>
      </c>
      <c r="C228" t="s">
        <v>610</v>
      </c>
      <c r="D228">
        <v>1230000</v>
      </c>
      <c r="E228" t="s">
        <v>215</v>
      </c>
      <c r="F228" s="21" t="str">
        <f t="shared" si="6"/>
        <v>rtdc.l.rtdc.4015:itc</v>
      </c>
      <c r="G228" s="8">
        <f t="shared" si="7"/>
        <v>42665.009976851848</v>
      </c>
    </row>
    <row r="229" spans="1:7" x14ac:dyDescent="0.25">
      <c r="A229" s="8">
        <v>42665.013993055552</v>
      </c>
      <c r="B229" t="s">
        <v>194</v>
      </c>
      <c r="C229" t="s">
        <v>611</v>
      </c>
      <c r="D229">
        <v>1480000</v>
      </c>
      <c r="E229" t="s">
        <v>191</v>
      </c>
      <c r="F229" s="21" t="str">
        <f t="shared" si="6"/>
        <v>rtdc.l.rtdc.4009:itc</v>
      </c>
      <c r="G229" s="8">
        <f t="shared" si="7"/>
        <v>42665.013993055552</v>
      </c>
    </row>
    <row r="230" spans="1:7" x14ac:dyDescent="0.25">
      <c r="A230" s="8">
        <v>42665.029490740744</v>
      </c>
      <c r="B230" t="s">
        <v>251</v>
      </c>
      <c r="C230" t="s">
        <v>612</v>
      </c>
      <c r="D230">
        <v>1800000</v>
      </c>
      <c r="E230" t="s">
        <v>209</v>
      </c>
      <c r="F230" s="21" t="str">
        <f t="shared" si="6"/>
        <v>rtdc.l.rtdc.4028:itc</v>
      </c>
      <c r="G230" s="8">
        <f t="shared" si="7"/>
        <v>42665.029490740744</v>
      </c>
    </row>
    <row r="231" spans="1:7" x14ac:dyDescent="0.25">
      <c r="A231" s="8">
        <v>42665.034699074073</v>
      </c>
      <c r="B231" t="s">
        <v>405</v>
      </c>
      <c r="C231" t="s">
        <v>613</v>
      </c>
      <c r="D231">
        <v>150000</v>
      </c>
      <c r="E231" t="s">
        <v>283</v>
      </c>
      <c r="F231" s="21" t="str">
        <f t="shared" si="6"/>
        <v>rtdc.l.rtdc.4014:itc</v>
      </c>
      <c r="G231" s="8">
        <f t="shared" si="7"/>
        <v>42665.034699074073</v>
      </c>
    </row>
    <row r="232" spans="1:7" x14ac:dyDescent="0.25">
      <c r="A232" s="8">
        <v>42665.037175925929</v>
      </c>
      <c r="B232" t="s">
        <v>251</v>
      </c>
      <c r="C232" t="s">
        <v>612</v>
      </c>
      <c r="D232">
        <v>1800000</v>
      </c>
      <c r="E232" t="s">
        <v>209</v>
      </c>
      <c r="F232" s="21" t="str">
        <f t="shared" si="6"/>
        <v>rtdc.l.rtdc.4028:itc</v>
      </c>
      <c r="G232" s="8">
        <f t="shared" si="7"/>
        <v>42665.037175925929</v>
      </c>
    </row>
    <row r="233" spans="1:7" x14ac:dyDescent="0.25">
      <c r="A233" s="8">
        <v>42665.046388888892</v>
      </c>
      <c r="B233" t="s">
        <v>296</v>
      </c>
      <c r="C233" t="s">
        <v>614</v>
      </c>
      <c r="D233">
        <v>1230000</v>
      </c>
      <c r="E233" t="s">
        <v>215</v>
      </c>
      <c r="F233" s="21" t="str">
        <f t="shared" si="6"/>
        <v>rtdc.l.rtdc.4016:itc</v>
      </c>
      <c r="G233" s="8">
        <f t="shared" si="7"/>
        <v>42665.046388888892</v>
      </c>
    </row>
    <row r="234" spans="1:7" x14ac:dyDescent="0.25">
      <c r="A234" s="8">
        <v>42665.053460648145</v>
      </c>
      <c r="B234" t="s">
        <v>193</v>
      </c>
      <c r="C234" t="s">
        <v>615</v>
      </c>
      <c r="D234">
        <v>1480000</v>
      </c>
      <c r="E234" t="s">
        <v>191</v>
      </c>
      <c r="F234" s="21" t="str">
        <f t="shared" si="6"/>
        <v>rtdc.l.rtdc.4010:itc</v>
      </c>
      <c r="G234" s="8">
        <f t="shared" si="7"/>
        <v>42665.053460648145</v>
      </c>
    </row>
    <row r="235" spans="1:7" x14ac:dyDescent="0.25">
      <c r="A235" s="8">
        <v>42665.069097222222</v>
      </c>
      <c r="B235" t="s">
        <v>436</v>
      </c>
      <c r="C235" t="s">
        <v>616</v>
      </c>
      <c r="D235">
        <v>1800000</v>
      </c>
      <c r="E235" t="s">
        <v>209</v>
      </c>
      <c r="F235" s="21" t="str">
        <f t="shared" si="6"/>
        <v>rtdc.l.rtdc.4027:itc</v>
      </c>
      <c r="G235" s="8">
        <f t="shared" si="7"/>
        <v>42665.069097222222</v>
      </c>
    </row>
    <row r="236" spans="1:7" x14ac:dyDescent="0.25">
      <c r="A236" s="8">
        <v>42665.073101851849</v>
      </c>
      <c r="B236" t="s">
        <v>402</v>
      </c>
      <c r="C236" t="s">
        <v>617</v>
      </c>
      <c r="D236">
        <v>150000</v>
      </c>
      <c r="E236" t="s">
        <v>283</v>
      </c>
      <c r="F236" s="21" t="str">
        <f t="shared" ref="F236:F265" si="8">B236</f>
        <v>rtdc.l.rtdc.4013:itc</v>
      </c>
      <c r="G236" s="8">
        <f t="shared" ref="G236:G265" si="9">A236</f>
        <v>42665.073101851849</v>
      </c>
    </row>
    <row r="237" spans="1:7" x14ac:dyDescent="0.25">
      <c r="A237" s="8">
        <v>42665.091620370367</v>
      </c>
      <c r="B237" t="s">
        <v>194</v>
      </c>
      <c r="C237" t="s">
        <v>618</v>
      </c>
      <c r="D237">
        <v>1480000</v>
      </c>
      <c r="E237" t="s">
        <v>191</v>
      </c>
      <c r="F237" s="21" t="str">
        <f t="shared" si="8"/>
        <v>rtdc.l.rtdc.4009:itc</v>
      </c>
      <c r="G237" s="8">
        <f t="shared" si="9"/>
        <v>42665.091620370367</v>
      </c>
    </row>
    <row r="238" spans="1:7" x14ac:dyDescent="0.25">
      <c r="A238" s="8">
        <v>42661.934999999998</v>
      </c>
      <c r="B238" t="s">
        <v>297</v>
      </c>
      <c r="C238" t="s">
        <v>301</v>
      </c>
      <c r="D238">
        <v>2370000</v>
      </c>
      <c r="E238" t="s">
        <v>282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278</v>
      </c>
      <c r="C239" t="s">
        <v>302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270</v>
      </c>
      <c r="C240" t="s">
        <v>303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270</v>
      </c>
      <c r="C241" t="s">
        <v>304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246</v>
      </c>
      <c r="C242" t="s">
        <v>305</v>
      </c>
      <c r="D242">
        <v>1230000</v>
      </c>
      <c r="E242" t="s">
        <v>215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251</v>
      </c>
      <c r="C243" t="s">
        <v>306</v>
      </c>
      <c r="D243">
        <v>110000</v>
      </c>
      <c r="E243" t="s">
        <v>300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214</v>
      </c>
      <c r="C244" t="s">
        <v>298</v>
      </c>
      <c r="D244">
        <v>150000</v>
      </c>
      <c r="E244" t="s">
        <v>283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307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271</v>
      </c>
      <c r="C246" t="s">
        <v>308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296</v>
      </c>
      <c r="C247" t="s">
        <v>309</v>
      </c>
      <c r="D247">
        <v>2350000</v>
      </c>
      <c r="E247" t="s">
        <v>272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310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311</v>
      </c>
      <c r="D249">
        <v>1230000</v>
      </c>
      <c r="E249" t="s">
        <v>215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311</v>
      </c>
      <c r="D250">
        <v>1230000</v>
      </c>
      <c r="E250" t="s">
        <v>215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270</v>
      </c>
      <c r="C251" t="s">
        <v>312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297</v>
      </c>
      <c r="C252" t="s">
        <v>313</v>
      </c>
      <c r="D252">
        <v>2350000</v>
      </c>
      <c r="E252" t="s">
        <v>272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314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296</v>
      </c>
      <c r="C254" t="s">
        <v>315</v>
      </c>
      <c r="D254">
        <v>2350000</v>
      </c>
      <c r="E254" t="s">
        <v>272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8" sqref="I8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40.08</v>
      </c>
      <c r="B2" s="165">
        <v>7.0000000000000007E-2</v>
      </c>
      <c r="C2" s="165">
        <v>21.26</v>
      </c>
      <c r="D2" s="8">
        <v>42664</v>
      </c>
      <c r="E2" s="165">
        <v>0.44</v>
      </c>
      <c r="F2" s="165" t="s">
        <v>252</v>
      </c>
      <c r="G2" s="165">
        <v>271.22000000000003</v>
      </c>
      <c r="H2" s="165">
        <v>0</v>
      </c>
      <c r="I2" s="165">
        <v>0</v>
      </c>
      <c r="J2" s="165">
        <v>1021.91</v>
      </c>
      <c r="K2" s="165" t="s">
        <v>253</v>
      </c>
      <c r="L2" s="165">
        <v>41.6</v>
      </c>
      <c r="M2" s="165">
        <v>1477029600</v>
      </c>
      <c r="N2" s="165">
        <v>8.07</v>
      </c>
      <c r="O2" s="165">
        <v>210</v>
      </c>
      <c r="P2" s="165">
        <v>3.09</v>
      </c>
      <c r="Q2"/>
    </row>
    <row r="3" spans="1:17" x14ac:dyDescent="0.25">
      <c r="A3" s="165">
        <v>39.4</v>
      </c>
      <c r="B3" s="165">
        <v>0.05</v>
      </c>
      <c r="C3" s="165">
        <v>19.670000000000002</v>
      </c>
      <c r="D3" s="8">
        <v>42664.041666666664</v>
      </c>
      <c r="E3" s="165">
        <v>0.45</v>
      </c>
      <c r="F3" s="165" t="s">
        <v>252</v>
      </c>
      <c r="G3" s="165">
        <v>271.10000000000002</v>
      </c>
      <c r="H3" s="165">
        <v>0</v>
      </c>
      <c r="I3" s="165">
        <v>0</v>
      </c>
      <c r="J3" s="165">
        <v>1021.92</v>
      </c>
      <c r="K3" s="165" t="s">
        <v>253</v>
      </c>
      <c r="L3" s="165">
        <v>39.4</v>
      </c>
      <c r="M3" s="165">
        <v>1477033200</v>
      </c>
      <c r="N3" s="165">
        <v>8.36</v>
      </c>
      <c r="O3" s="165">
        <v>215</v>
      </c>
      <c r="P3" s="165">
        <v>2.97</v>
      </c>
      <c r="Q3"/>
    </row>
    <row r="4" spans="1:17" x14ac:dyDescent="0.25">
      <c r="A4" s="165">
        <v>39.17</v>
      </c>
      <c r="B4" s="165">
        <v>0.09</v>
      </c>
      <c r="C4" s="165">
        <v>21.72</v>
      </c>
      <c r="D4" s="8">
        <v>42664.083333333336</v>
      </c>
      <c r="E4" s="165">
        <v>0.49</v>
      </c>
      <c r="F4" s="165" t="s">
        <v>252</v>
      </c>
      <c r="G4" s="165">
        <v>270.98</v>
      </c>
      <c r="H4" s="165">
        <v>0</v>
      </c>
      <c r="I4" s="165">
        <v>0</v>
      </c>
      <c r="J4" s="165">
        <v>1021.87</v>
      </c>
      <c r="K4" s="165" t="s">
        <v>253</v>
      </c>
      <c r="L4" s="165">
        <v>39.17</v>
      </c>
      <c r="M4" s="165">
        <v>1477036800</v>
      </c>
      <c r="N4" s="165">
        <v>7.69</v>
      </c>
      <c r="O4" s="165">
        <v>229</v>
      </c>
      <c r="P4" s="165">
        <v>2.34</v>
      </c>
      <c r="Q4"/>
    </row>
    <row r="5" spans="1:17" x14ac:dyDescent="0.25">
      <c r="A5" s="165">
        <v>38.049999999999997</v>
      </c>
      <c r="B5" s="165">
        <v>0.1</v>
      </c>
      <c r="C5" s="165">
        <v>20.63</v>
      </c>
      <c r="D5" s="8">
        <v>42664.125</v>
      </c>
      <c r="E5" s="165">
        <v>0.49</v>
      </c>
      <c r="F5" s="165" t="s">
        <v>252</v>
      </c>
      <c r="G5" s="165">
        <v>270.86</v>
      </c>
      <c r="H5" s="165">
        <v>0</v>
      </c>
      <c r="I5" s="165">
        <v>0</v>
      </c>
      <c r="J5" s="165">
        <v>1021.78</v>
      </c>
      <c r="K5" s="165" t="s">
        <v>253</v>
      </c>
      <c r="L5" s="165">
        <v>38.049999999999997</v>
      </c>
      <c r="M5" s="165">
        <v>1477040400</v>
      </c>
      <c r="N5" s="165">
        <v>7.17</v>
      </c>
      <c r="O5" s="165">
        <v>232</v>
      </c>
      <c r="P5" s="165">
        <v>2.11</v>
      </c>
      <c r="Q5"/>
    </row>
    <row r="6" spans="1:17" x14ac:dyDescent="0.25">
      <c r="A6" s="165">
        <v>37.49</v>
      </c>
      <c r="B6" s="165">
        <v>0.14000000000000001</v>
      </c>
      <c r="C6" s="165">
        <v>20.54</v>
      </c>
      <c r="D6" s="8">
        <v>42664.166666666664</v>
      </c>
      <c r="E6" s="165">
        <v>0.5</v>
      </c>
      <c r="F6" s="165" t="s">
        <v>252</v>
      </c>
      <c r="G6" s="165">
        <v>270.35000000000002</v>
      </c>
      <c r="H6" s="165">
        <v>0</v>
      </c>
      <c r="I6" s="165">
        <v>0</v>
      </c>
      <c r="J6" s="165">
        <v>1021.28</v>
      </c>
      <c r="K6" s="165" t="s">
        <v>253</v>
      </c>
      <c r="L6" s="165">
        <v>37.49</v>
      </c>
      <c r="M6" s="165">
        <v>1477044000</v>
      </c>
      <c r="N6" s="165">
        <v>6.91</v>
      </c>
      <c r="O6" s="165">
        <v>232</v>
      </c>
      <c r="P6" s="165">
        <v>2.16</v>
      </c>
      <c r="Q6"/>
    </row>
    <row r="7" spans="1:17" x14ac:dyDescent="0.25">
      <c r="A7" s="165">
        <v>37.35</v>
      </c>
      <c r="B7" s="165">
        <v>0.2</v>
      </c>
      <c r="C7" s="165">
        <v>19.739999999999998</v>
      </c>
      <c r="D7" s="8">
        <v>42664.208333333336</v>
      </c>
      <c r="E7" s="165">
        <v>0.49</v>
      </c>
      <c r="F7" s="165" t="s">
        <v>252</v>
      </c>
      <c r="G7" s="165">
        <v>269.66000000000003</v>
      </c>
      <c r="H7" s="165">
        <v>0</v>
      </c>
      <c r="I7" s="165">
        <v>0</v>
      </c>
      <c r="J7" s="165">
        <v>1020.57</v>
      </c>
      <c r="K7" s="165" t="s">
        <v>253</v>
      </c>
      <c r="L7" s="165">
        <v>37.35</v>
      </c>
      <c r="M7" s="165">
        <v>1477047600</v>
      </c>
      <c r="N7" s="165">
        <v>7.64</v>
      </c>
      <c r="O7" s="165">
        <v>227</v>
      </c>
      <c r="P7" s="165">
        <v>1.96</v>
      </c>
      <c r="Q7"/>
    </row>
    <row r="8" spans="1:17" x14ac:dyDescent="0.25">
      <c r="A8" s="165">
        <v>38.229999999999997</v>
      </c>
      <c r="B8" s="165">
        <v>0.19</v>
      </c>
      <c r="C8" s="165">
        <v>19.3</v>
      </c>
      <c r="D8" s="8">
        <v>42664.25</v>
      </c>
      <c r="E8" s="165">
        <v>0.46</v>
      </c>
      <c r="F8" s="165" t="s">
        <v>252</v>
      </c>
      <c r="G8" s="165">
        <v>268.91000000000003</v>
      </c>
      <c r="H8" s="165">
        <v>0</v>
      </c>
      <c r="I8" s="165">
        <v>0</v>
      </c>
      <c r="J8" s="165">
        <v>1019.95</v>
      </c>
      <c r="K8" s="165" t="s">
        <v>253</v>
      </c>
      <c r="L8" s="165">
        <v>38.229999999999997</v>
      </c>
      <c r="M8" s="165">
        <v>1477051200</v>
      </c>
      <c r="N8" s="165">
        <v>7.09</v>
      </c>
      <c r="O8" s="165">
        <v>218</v>
      </c>
      <c r="P8" s="165">
        <v>1.99</v>
      </c>
      <c r="Q8"/>
    </row>
    <row r="9" spans="1:17" x14ac:dyDescent="0.25">
      <c r="A9" s="165">
        <v>40.03</v>
      </c>
      <c r="B9" s="165">
        <v>0.23</v>
      </c>
      <c r="C9" s="165">
        <v>18.57</v>
      </c>
      <c r="D9" s="8">
        <v>42664.291666666664</v>
      </c>
      <c r="E9" s="165">
        <v>0.42</v>
      </c>
      <c r="F9" s="165" t="s">
        <v>252</v>
      </c>
      <c r="G9" s="165">
        <v>268.12</v>
      </c>
      <c r="H9" s="165">
        <v>0</v>
      </c>
      <c r="I9" s="165">
        <v>0</v>
      </c>
      <c r="J9" s="165">
        <v>1019.77</v>
      </c>
      <c r="K9" s="165" t="s">
        <v>253</v>
      </c>
      <c r="L9" s="165">
        <v>40.03</v>
      </c>
      <c r="M9" s="165">
        <v>1477054800</v>
      </c>
      <c r="N9" s="165">
        <v>6.25</v>
      </c>
      <c r="O9" s="165">
        <v>206</v>
      </c>
      <c r="P9" s="165">
        <v>2.48</v>
      </c>
      <c r="Q9"/>
    </row>
    <row r="10" spans="1:17" x14ac:dyDescent="0.25">
      <c r="A10" s="165">
        <v>42.82</v>
      </c>
      <c r="B10" s="165">
        <v>0.18</v>
      </c>
      <c r="C10" s="165">
        <v>18.84</v>
      </c>
      <c r="D10" s="8">
        <v>42664.333333333336</v>
      </c>
      <c r="E10" s="165">
        <v>0.36</v>
      </c>
      <c r="F10" s="165" t="s">
        <v>267</v>
      </c>
      <c r="G10" s="165">
        <v>267.27999999999997</v>
      </c>
      <c r="H10" s="165">
        <v>0</v>
      </c>
      <c r="I10" s="165">
        <v>0</v>
      </c>
      <c r="J10" s="165">
        <v>1019.73</v>
      </c>
      <c r="K10" s="165" t="s">
        <v>253</v>
      </c>
      <c r="L10" s="165">
        <v>44.27</v>
      </c>
      <c r="M10" s="165">
        <v>1477058400</v>
      </c>
      <c r="N10" s="165">
        <v>6.11</v>
      </c>
      <c r="O10" s="165">
        <v>223</v>
      </c>
      <c r="P10" s="165">
        <v>3.36</v>
      </c>
      <c r="Q10"/>
    </row>
    <row r="11" spans="1:17" x14ac:dyDescent="0.25">
      <c r="A11" s="165">
        <v>52.44</v>
      </c>
      <c r="B11" s="165">
        <v>0.16</v>
      </c>
      <c r="C11" s="165">
        <v>20.170000000000002</v>
      </c>
      <c r="D11" s="8">
        <v>42664.375</v>
      </c>
      <c r="E11" s="165">
        <v>0.28000000000000003</v>
      </c>
      <c r="F11" s="165" t="s">
        <v>267</v>
      </c>
      <c r="G11" s="165">
        <v>266.45</v>
      </c>
      <c r="H11" s="165">
        <v>0</v>
      </c>
      <c r="I11" s="165">
        <v>0</v>
      </c>
      <c r="J11" s="165">
        <v>1019.38</v>
      </c>
      <c r="K11" s="165" t="s">
        <v>253</v>
      </c>
      <c r="L11" s="165">
        <v>52.44</v>
      </c>
      <c r="M11" s="165">
        <v>1477062000</v>
      </c>
      <c r="N11" s="165">
        <v>5.48</v>
      </c>
      <c r="O11" s="165">
        <v>224</v>
      </c>
      <c r="P11" s="165">
        <v>3.74</v>
      </c>
      <c r="Q11"/>
    </row>
    <row r="12" spans="1:17" x14ac:dyDescent="0.25">
      <c r="A12" s="165">
        <v>60.54</v>
      </c>
      <c r="B12" s="165">
        <v>0.18</v>
      </c>
      <c r="C12" s="165">
        <v>20.52</v>
      </c>
      <c r="D12" s="8">
        <v>42664.416666666664</v>
      </c>
      <c r="E12" s="165">
        <v>0.21</v>
      </c>
      <c r="F12" s="165" t="s">
        <v>267</v>
      </c>
      <c r="G12" s="165">
        <v>265.60000000000002</v>
      </c>
      <c r="H12" s="165">
        <v>0</v>
      </c>
      <c r="I12" s="165">
        <v>0</v>
      </c>
      <c r="J12" s="165">
        <v>1018.29</v>
      </c>
      <c r="K12" s="165" t="s">
        <v>253</v>
      </c>
      <c r="L12" s="165">
        <v>60.54</v>
      </c>
      <c r="M12" s="165">
        <v>1477065600</v>
      </c>
      <c r="N12" s="165">
        <v>5.43</v>
      </c>
      <c r="O12" s="165">
        <v>234</v>
      </c>
      <c r="P12" s="165">
        <v>3.27</v>
      </c>
      <c r="Q12"/>
    </row>
    <row r="13" spans="1:17" x14ac:dyDescent="0.25">
      <c r="A13" s="165">
        <v>68.790000000000006</v>
      </c>
      <c r="B13" s="165">
        <v>0.22</v>
      </c>
      <c r="C13" s="165">
        <v>22.34</v>
      </c>
      <c r="D13" s="8">
        <v>42664.458333333336</v>
      </c>
      <c r="E13" s="165">
        <v>0.17</v>
      </c>
      <c r="F13" s="165" t="s">
        <v>267</v>
      </c>
      <c r="G13" s="165">
        <v>264.76</v>
      </c>
      <c r="H13" s="165">
        <v>0</v>
      </c>
      <c r="I13" s="165">
        <v>0</v>
      </c>
      <c r="J13" s="165">
        <v>1017.13</v>
      </c>
      <c r="K13" s="165" t="s">
        <v>253</v>
      </c>
      <c r="L13" s="165">
        <v>68.790000000000006</v>
      </c>
      <c r="M13" s="165">
        <v>1477069200</v>
      </c>
      <c r="N13" s="165">
        <v>5.48</v>
      </c>
      <c r="O13" s="165">
        <v>264</v>
      </c>
      <c r="P13" s="165">
        <v>2.61</v>
      </c>
      <c r="Q13"/>
    </row>
    <row r="14" spans="1:17" x14ac:dyDescent="0.25">
      <c r="A14" s="165">
        <v>73.260000000000005</v>
      </c>
      <c r="B14" s="165">
        <v>0.24</v>
      </c>
      <c r="C14" s="165">
        <v>23.24</v>
      </c>
      <c r="D14" s="8">
        <v>42664.5</v>
      </c>
      <c r="E14" s="165">
        <v>0.15</v>
      </c>
      <c r="F14" s="165" t="s">
        <v>267</v>
      </c>
      <c r="G14" s="165">
        <v>264.10000000000002</v>
      </c>
      <c r="H14" s="165">
        <v>0</v>
      </c>
      <c r="I14" s="165">
        <v>0</v>
      </c>
      <c r="J14" s="165">
        <v>1016.1</v>
      </c>
      <c r="K14" s="165" t="s">
        <v>253</v>
      </c>
      <c r="L14" s="165">
        <v>73.260000000000005</v>
      </c>
      <c r="M14" s="165">
        <v>1477072800</v>
      </c>
      <c r="N14" s="165">
        <v>5.6</v>
      </c>
      <c r="O14" s="165">
        <v>306</v>
      </c>
      <c r="P14" s="165">
        <v>1.94</v>
      </c>
      <c r="Q14"/>
    </row>
    <row r="15" spans="1:17" x14ac:dyDescent="0.25">
      <c r="A15" s="165">
        <v>76.08</v>
      </c>
      <c r="B15" s="165">
        <v>0.22</v>
      </c>
      <c r="C15" s="165">
        <v>23.28</v>
      </c>
      <c r="D15" s="8">
        <v>42664.541666666664</v>
      </c>
      <c r="E15" s="165">
        <v>0.14000000000000001</v>
      </c>
      <c r="F15" s="165" t="s">
        <v>267</v>
      </c>
      <c r="G15" s="165">
        <v>263.75</v>
      </c>
      <c r="H15" s="165">
        <v>0</v>
      </c>
      <c r="I15" s="165">
        <v>0</v>
      </c>
      <c r="J15" s="165">
        <v>1015.23</v>
      </c>
      <c r="K15" s="165" t="s">
        <v>253</v>
      </c>
      <c r="L15" s="165">
        <v>76.08</v>
      </c>
      <c r="M15" s="165">
        <v>1477076400</v>
      </c>
      <c r="N15" s="165">
        <v>5.67</v>
      </c>
      <c r="O15" s="165">
        <v>314</v>
      </c>
      <c r="P15" s="165">
        <v>3.33</v>
      </c>
      <c r="Q15"/>
    </row>
    <row r="16" spans="1:17" x14ac:dyDescent="0.25">
      <c r="A16" s="165">
        <v>77.19</v>
      </c>
      <c r="B16" s="165">
        <v>0.22</v>
      </c>
      <c r="C16" s="165">
        <v>22.02</v>
      </c>
      <c r="D16" s="8">
        <v>42664.583333333336</v>
      </c>
      <c r="E16" s="165">
        <v>0.13</v>
      </c>
      <c r="F16" s="165" t="s">
        <v>267</v>
      </c>
      <c r="G16" s="165">
        <v>263.57</v>
      </c>
      <c r="H16" s="165">
        <v>0</v>
      </c>
      <c r="I16" s="165">
        <v>0</v>
      </c>
      <c r="J16" s="165">
        <v>1014.44</v>
      </c>
      <c r="K16" s="165" t="s">
        <v>253</v>
      </c>
      <c r="L16" s="165">
        <v>77.19</v>
      </c>
      <c r="M16" s="165">
        <v>1477080000</v>
      </c>
      <c r="N16" s="165">
        <v>5.74</v>
      </c>
      <c r="O16" s="165">
        <v>330</v>
      </c>
      <c r="P16" s="165">
        <v>3.4</v>
      </c>
      <c r="Q16"/>
    </row>
    <row r="17" spans="1:17" x14ac:dyDescent="0.25">
      <c r="A17" s="165">
        <v>77.95</v>
      </c>
      <c r="B17" s="165">
        <v>0.25</v>
      </c>
      <c r="C17" s="165">
        <v>21.47</v>
      </c>
      <c r="D17" s="8">
        <v>42664.625</v>
      </c>
      <c r="E17" s="165">
        <v>0.12</v>
      </c>
      <c r="F17" s="165" t="s">
        <v>619</v>
      </c>
      <c r="G17" s="165">
        <v>263.3</v>
      </c>
      <c r="H17" s="165">
        <v>0</v>
      </c>
      <c r="I17" s="165">
        <v>0</v>
      </c>
      <c r="J17" s="165">
        <v>1013.91</v>
      </c>
      <c r="K17" s="165" t="s">
        <v>212</v>
      </c>
      <c r="L17" s="165">
        <v>77.95</v>
      </c>
      <c r="M17" s="165">
        <v>1477083600</v>
      </c>
      <c r="N17" s="165">
        <v>5.81</v>
      </c>
      <c r="O17" s="165">
        <v>357</v>
      </c>
      <c r="P17" s="165">
        <v>2.95</v>
      </c>
      <c r="Q17"/>
    </row>
    <row r="18" spans="1:17" x14ac:dyDescent="0.25">
      <c r="A18" s="165">
        <v>76.28</v>
      </c>
      <c r="B18" s="165">
        <v>0.27</v>
      </c>
      <c r="C18" s="165">
        <v>21.24</v>
      </c>
      <c r="D18" s="8">
        <v>42664.666666666664</v>
      </c>
      <c r="E18" s="165">
        <v>0.13</v>
      </c>
      <c r="F18" s="165" t="s">
        <v>619</v>
      </c>
      <c r="G18" s="165">
        <v>262.76</v>
      </c>
      <c r="H18" s="165">
        <v>0</v>
      </c>
      <c r="I18" s="165">
        <v>0</v>
      </c>
      <c r="J18" s="165">
        <v>1013.74</v>
      </c>
      <c r="K18" s="165" t="s">
        <v>212</v>
      </c>
      <c r="L18" s="165">
        <v>76.28</v>
      </c>
      <c r="M18" s="165">
        <v>1477087200</v>
      </c>
      <c r="N18" s="165">
        <v>5.92</v>
      </c>
      <c r="O18" s="165">
        <v>32</v>
      </c>
      <c r="P18" s="165">
        <v>2.78</v>
      </c>
      <c r="Q18"/>
    </row>
    <row r="19" spans="1:17" x14ac:dyDescent="0.25">
      <c r="A19" s="165">
        <v>72.17</v>
      </c>
      <c r="B19" s="165">
        <v>0.21</v>
      </c>
      <c r="C19" s="165">
        <v>20.149999999999999</v>
      </c>
      <c r="D19" s="8">
        <v>42664.708333333336</v>
      </c>
      <c r="E19" s="165">
        <v>0.14000000000000001</v>
      </c>
      <c r="F19" s="165" t="s">
        <v>267</v>
      </c>
      <c r="G19" s="165">
        <v>262.12</v>
      </c>
      <c r="H19" s="165">
        <v>0</v>
      </c>
      <c r="I19" s="165">
        <v>0</v>
      </c>
      <c r="J19" s="165">
        <v>1013.86</v>
      </c>
      <c r="K19" s="165" t="s">
        <v>253</v>
      </c>
      <c r="L19" s="165">
        <v>72.17</v>
      </c>
      <c r="M19" s="165">
        <v>1477090800</v>
      </c>
      <c r="N19" s="165">
        <v>6.09</v>
      </c>
      <c r="O19" s="165">
        <v>59</v>
      </c>
      <c r="P19" s="165">
        <v>4.04</v>
      </c>
      <c r="Q19"/>
    </row>
    <row r="20" spans="1:17" x14ac:dyDescent="0.25">
      <c r="A20" s="165">
        <v>67.760000000000005</v>
      </c>
      <c r="B20" s="165">
        <v>0.16</v>
      </c>
      <c r="C20" s="165">
        <v>19.73</v>
      </c>
      <c r="D20" s="8">
        <v>42664.75</v>
      </c>
      <c r="E20" s="165">
        <v>0.16</v>
      </c>
      <c r="F20" s="165" t="s">
        <v>267</v>
      </c>
      <c r="G20" s="165">
        <v>261.64</v>
      </c>
      <c r="H20" s="165">
        <v>0</v>
      </c>
      <c r="I20" s="165">
        <v>0</v>
      </c>
      <c r="J20" s="165">
        <v>1014.14</v>
      </c>
      <c r="K20" s="165" t="s">
        <v>253</v>
      </c>
      <c r="L20" s="165">
        <v>67.760000000000005</v>
      </c>
      <c r="M20" s="165">
        <v>1477094400</v>
      </c>
      <c r="N20" s="165">
        <v>6.42</v>
      </c>
      <c r="O20" s="165">
        <v>78</v>
      </c>
      <c r="P20" s="165">
        <v>3.86</v>
      </c>
      <c r="Q20"/>
    </row>
    <row r="21" spans="1:17" x14ac:dyDescent="0.25">
      <c r="A21" s="165">
        <v>62.43</v>
      </c>
      <c r="B21" s="165">
        <v>0.13</v>
      </c>
      <c r="C21" s="165">
        <v>19.260000000000002</v>
      </c>
      <c r="D21" s="8">
        <v>42664.791666666664</v>
      </c>
      <c r="E21" s="165">
        <v>0.19</v>
      </c>
      <c r="F21" s="165" t="s">
        <v>252</v>
      </c>
      <c r="G21" s="165">
        <v>261.5</v>
      </c>
      <c r="H21" s="165">
        <v>0</v>
      </c>
      <c r="I21" s="165">
        <v>0</v>
      </c>
      <c r="J21" s="165">
        <v>1014.45</v>
      </c>
      <c r="K21" s="165" t="s">
        <v>253</v>
      </c>
      <c r="L21" s="165">
        <v>62.43</v>
      </c>
      <c r="M21" s="165">
        <v>1477098000</v>
      </c>
      <c r="N21" s="165">
        <v>6.93</v>
      </c>
      <c r="O21" s="165">
        <v>123</v>
      </c>
      <c r="P21" s="165">
        <v>2.63</v>
      </c>
      <c r="Q21"/>
    </row>
    <row r="22" spans="1:17" x14ac:dyDescent="0.25">
      <c r="A22" s="165">
        <v>57.88</v>
      </c>
      <c r="B22" s="165">
        <v>0.05</v>
      </c>
      <c r="C22" s="165">
        <v>19.27</v>
      </c>
      <c r="D22" s="8">
        <v>42664.833333333336</v>
      </c>
      <c r="E22" s="165">
        <v>0.22</v>
      </c>
      <c r="F22" s="165" t="s">
        <v>252</v>
      </c>
      <c r="G22" s="165">
        <v>261.51</v>
      </c>
      <c r="H22" s="165">
        <v>0</v>
      </c>
      <c r="I22" s="165">
        <v>0</v>
      </c>
      <c r="J22" s="165">
        <v>1015.16</v>
      </c>
      <c r="K22" s="165" t="s">
        <v>253</v>
      </c>
      <c r="L22" s="165">
        <v>57.88</v>
      </c>
      <c r="M22" s="165">
        <v>1477101600</v>
      </c>
      <c r="N22" s="165">
        <v>7.67</v>
      </c>
      <c r="O22" s="165">
        <v>171</v>
      </c>
      <c r="P22" s="165">
        <v>2.44</v>
      </c>
      <c r="Q22"/>
    </row>
    <row r="23" spans="1:17" x14ac:dyDescent="0.25">
      <c r="A23" s="165">
        <v>54.82</v>
      </c>
      <c r="B23" s="165">
        <v>0.06</v>
      </c>
      <c r="C23" s="165">
        <v>19.71</v>
      </c>
      <c r="D23" s="8">
        <v>42664.875</v>
      </c>
      <c r="E23" s="165">
        <v>0.25</v>
      </c>
      <c r="F23" s="165" t="s">
        <v>252</v>
      </c>
      <c r="G23" s="165">
        <v>261.39999999999998</v>
      </c>
      <c r="H23" s="165">
        <v>0</v>
      </c>
      <c r="I23" s="165">
        <v>0</v>
      </c>
      <c r="J23" s="165">
        <v>1015.74</v>
      </c>
      <c r="K23" s="165" t="s">
        <v>253</v>
      </c>
      <c r="L23" s="165">
        <v>54.82</v>
      </c>
      <c r="M23" s="165">
        <v>1477105200</v>
      </c>
      <c r="N23" s="165">
        <v>8.48</v>
      </c>
      <c r="O23" s="165">
        <v>207</v>
      </c>
      <c r="P23" s="165">
        <v>2.96</v>
      </c>
      <c r="Q23"/>
    </row>
    <row r="24" spans="1:17" x14ac:dyDescent="0.25">
      <c r="A24" s="165">
        <v>51.93</v>
      </c>
      <c r="B24" s="165">
        <v>0.04</v>
      </c>
      <c r="C24" s="165">
        <v>20.76</v>
      </c>
      <c r="D24" s="8">
        <v>42664.916666666664</v>
      </c>
      <c r="E24" s="165">
        <v>0.28999999999999998</v>
      </c>
      <c r="F24" s="165" t="s">
        <v>252</v>
      </c>
      <c r="G24" s="165">
        <v>260.99</v>
      </c>
      <c r="H24" s="165">
        <v>0</v>
      </c>
      <c r="I24" s="165">
        <v>0</v>
      </c>
      <c r="J24" s="165">
        <v>1015.75</v>
      </c>
      <c r="K24" s="165" t="s">
        <v>253</v>
      </c>
      <c r="L24" s="165">
        <v>51.93</v>
      </c>
      <c r="M24" s="165">
        <v>1477108800</v>
      </c>
      <c r="N24" s="165">
        <v>8.0399999999999991</v>
      </c>
      <c r="O24" s="165">
        <v>218</v>
      </c>
      <c r="P24" s="165">
        <v>2.69</v>
      </c>
      <c r="Q24"/>
    </row>
    <row r="25" spans="1:17" x14ac:dyDescent="0.25">
      <c r="A25" s="165">
        <v>49.44</v>
      </c>
      <c r="B25" s="165">
        <v>0.06</v>
      </c>
      <c r="C25" s="165">
        <v>20.149999999999999</v>
      </c>
      <c r="D25" s="8">
        <v>42664.958333333336</v>
      </c>
      <c r="E25" s="165">
        <v>0.31</v>
      </c>
      <c r="F25" s="165" t="s">
        <v>252</v>
      </c>
      <c r="G25" s="165">
        <v>260.45999999999998</v>
      </c>
      <c r="H25" s="165">
        <v>0</v>
      </c>
      <c r="I25" s="165">
        <v>0</v>
      </c>
      <c r="J25" s="165">
        <v>1015.5</v>
      </c>
      <c r="K25" s="165" t="s">
        <v>253</v>
      </c>
      <c r="L25" s="165">
        <v>49.44</v>
      </c>
      <c r="M25" s="165">
        <v>1477112400</v>
      </c>
      <c r="N25" s="165">
        <v>8.0500000000000007</v>
      </c>
      <c r="O25" s="165">
        <v>193</v>
      </c>
      <c r="P25" s="165">
        <v>2.33</v>
      </c>
      <c r="Q25"/>
    </row>
    <row r="26" spans="1:17" x14ac:dyDescent="0.25">
      <c r="A26" s="165">
        <v>47.42</v>
      </c>
      <c r="B26" s="165">
        <v>0.2</v>
      </c>
      <c r="C26" s="165">
        <v>20.079999999999998</v>
      </c>
      <c r="D26" s="8">
        <v>42665</v>
      </c>
      <c r="E26" s="165">
        <v>0.33</v>
      </c>
      <c r="F26" s="165" t="s">
        <v>252</v>
      </c>
      <c r="G26" s="165">
        <v>260.05</v>
      </c>
      <c r="H26" s="165">
        <v>0</v>
      </c>
      <c r="I26" s="165">
        <v>0</v>
      </c>
      <c r="J26" s="165">
        <v>1015.45</v>
      </c>
      <c r="K26" s="165" t="s">
        <v>253</v>
      </c>
      <c r="L26" s="165">
        <v>47.42</v>
      </c>
      <c r="M26" s="165">
        <v>1477116000</v>
      </c>
      <c r="N26" s="165">
        <v>8.42</v>
      </c>
      <c r="O26" s="165">
        <v>194</v>
      </c>
      <c r="P26" s="165">
        <v>2.56</v>
      </c>
      <c r="Q26"/>
    </row>
    <row r="27" spans="1:17" x14ac:dyDescent="0.25">
      <c r="A27" s="165">
        <v>44.86</v>
      </c>
      <c r="B27" s="165">
        <v>0.26</v>
      </c>
      <c r="C27" s="165">
        <v>19.93</v>
      </c>
      <c r="D27" s="8">
        <v>42665.041666666664</v>
      </c>
      <c r="E27" s="165">
        <v>0.37</v>
      </c>
      <c r="F27" s="165" t="s">
        <v>213</v>
      </c>
      <c r="G27" s="165">
        <v>259.95999999999998</v>
      </c>
      <c r="H27" s="165">
        <v>0</v>
      </c>
      <c r="I27" s="165">
        <v>0</v>
      </c>
      <c r="J27" s="165">
        <v>1016</v>
      </c>
      <c r="K27" s="165" t="s">
        <v>212</v>
      </c>
      <c r="L27" s="165">
        <v>44.86</v>
      </c>
      <c r="M27" s="165">
        <v>1477119600</v>
      </c>
      <c r="N27" s="165">
        <v>8.6199999999999992</v>
      </c>
      <c r="O27" s="165">
        <v>227</v>
      </c>
      <c r="P27" s="165">
        <v>2.36</v>
      </c>
      <c r="Q27"/>
    </row>
    <row r="28" spans="1:17" x14ac:dyDescent="0.25">
      <c r="A28" s="165">
        <v>43.54</v>
      </c>
      <c r="B28" s="165">
        <v>0.28000000000000003</v>
      </c>
      <c r="C28" s="165">
        <v>20.53</v>
      </c>
      <c r="D28" s="8">
        <v>42665.083333333336</v>
      </c>
      <c r="E28" s="165">
        <v>0.39</v>
      </c>
      <c r="F28" s="165" t="s">
        <v>213</v>
      </c>
      <c r="G28" s="165">
        <v>259.88</v>
      </c>
      <c r="H28" s="165">
        <v>0</v>
      </c>
      <c r="I28" s="165">
        <v>0</v>
      </c>
      <c r="J28" s="165">
        <v>1016.45</v>
      </c>
      <c r="K28" s="165" t="s">
        <v>212</v>
      </c>
      <c r="L28" s="165">
        <v>43.54</v>
      </c>
      <c r="M28" s="165">
        <v>1477123200</v>
      </c>
      <c r="N28" s="165">
        <v>8.1999999999999993</v>
      </c>
      <c r="O28" s="165">
        <v>261</v>
      </c>
      <c r="P28" s="165">
        <v>1.73</v>
      </c>
      <c r="Q28"/>
    </row>
    <row r="29" spans="1:17" x14ac:dyDescent="0.25">
      <c r="A29" s="165">
        <v>41.81</v>
      </c>
      <c r="B29" s="165">
        <v>0.36</v>
      </c>
      <c r="C29" s="165">
        <v>20.78</v>
      </c>
      <c r="D29" s="8">
        <v>42665.125</v>
      </c>
      <c r="E29" s="165">
        <v>0.43</v>
      </c>
      <c r="F29" s="165" t="s">
        <v>213</v>
      </c>
      <c r="G29" s="165">
        <v>259.8</v>
      </c>
      <c r="H29" s="165">
        <v>0</v>
      </c>
      <c r="I29" s="165">
        <v>0</v>
      </c>
      <c r="J29" s="165">
        <v>1016.8</v>
      </c>
      <c r="K29" s="165" t="s">
        <v>212</v>
      </c>
      <c r="L29" s="165">
        <v>41.81</v>
      </c>
      <c r="M29" s="165">
        <v>1477126800</v>
      </c>
      <c r="N29" s="165">
        <v>6.98</v>
      </c>
      <c r="O29" s="165">
        <v>228</v>
      </c>
      <c r="P29" s="165">
        <v>1.89</v>
      </c>
      <c r="Q29"/>
    </row>
    <row r="31" spans="1:17" x14ac:dyDescent="0.25">
      <c r="A31" s="136" t="s">
        <v>254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42664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264</v>
      </c>
      <c r="J17" s="33"/>
      <c r="K17" s="34"/>
      <c r="L17" s="34"/>
    </row>
    <row r="18" spans="3:13" x14ac:dyDescent="0.25">
      <c r="C18" t="s">
        <v>773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774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775</v>
      </c>
      <c r="J20" t="s">
        <v>87</v>
      </c>
      <c r="M20" s="68" t="s">
        <v>190</v>
      </c>
    </row>
    <row r="21" spans="3:13" x14ac:dyDescent="0.25">
      <c r="C21" t="s">
        <v>776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777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392</v>
      </c>
      <c r="J23" s="29" t="s">
        <v>95</v>
      </c>
      <c r="K23" s="21"/>
      <c r="M23" s="69">
        <v>-6</v>
      </c>
    </row>
    <row r="24" spans="3:13" x14ac:dyDescent="0.25">
      <c r="C24" t="s">
        <v>778</v>
      </c>
      <c r="J24" s="21" t="s">
        <v>109</v>
      </c>
      <c r="K24" s="21"/>
      <c r="M24" s="68" t="s">
        <v>111</v>
      </c>
    </row>
    <row r="25" spans="3:13" x14ac:dyDescent="0.25">
      <c r="C25" t="s">
        <v>779</v>
      </c>
      <c r="J25" t="s">
        <v>152</v>
      </c>
      <c r="M25" s="68" t="b">
        <v>1</v>
      </c>
    </row>
    <row r="26" spans="3:13" x14ac:dyDescent="0.25">
      <c r="C26" t="s">
        <v>780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C:\Users\stu\Documents\GitHub\eaglep3-reporting\EC\2016-10-21-refined-times.txt</v>
      </c>
    </row>
    <row r="27" spans="3:13" x14ac:dyDescent="0.25">
      <c r="C27" t="s">
        <v>781</v>
      </c>
      <c r="J27" t="s">
        <v>216</v>
      </c>
      <c r="M27" s="68" t="str">
        <f>"C:\Users\stu\Documents\GitHub\eaglep3-reporting\EC\"&amp;TEXT(A2,"YYYY-MM-DD")&amp;"-Enforcements.txt"</f>
        <v>C:\Users\stu\Documents\GitHub\eaglep3-reporting\EC\2016-10-21-Enforcements.txt</v>
      </c>
    </row>
    <row r="28" spans="3:13" x14ac:dyDescent="0.25">
      <c r="C28" t="s">
        <v>782</v>
      </c>
      <c r="J28" t="s">
        <v>217</v>
      </c>
      <c r="M28" s="106" t="str">
        <f>"C:\Users\stu\Documents\GitHub\eaglep3-reporting\EC\"&amp;TEXT(A2,"YYYY-MM-DD")&amp;"-Runs-Refined.txt"</f>
        <v>C:\Users\stu\Documents\GitHub\eaglep3-reporting\EC\2016-10-21-Runs-Refined.txt</v>
      </c>
    </row>
    <row r="29" spans="3:13" x14ac:dyDescent="0.25">
      <c r="C29" t="s">
        <v>783</v>
      </c>
      <c r="J29" t="s">
        <v>218</v>
      </c>
      <c r="M29" s="106" t="str">
        <f>"C:\Users\stu\Documents\GitHub\eaglep3-reporting\EC\"&amp;TEXT(A2,"YYYY-MM-DD")&amp;"-Trips.txt"</f>
        <v>C:\Users\stu\Documents\GitHub\eaglep3-reporting\EC\2016-10-21-Trips.txt</v>
      </c>
    </row>
    <row r="30" spans="3:13" x14ac:dyDescent="0.25">
      <c r="J30" t="s">
        <v>219</v>
      </c>
      <c r="M30" s="106" t="str">
        <f>"C:\Users\stu\Documents\GitHub\eaglep3-reporting\EC\"&amp;TEXT(A2,"YYYY-MM-DD")&amp;"-Weather.txt"</f>
        <v>C:\Users\stu\Documents\GitHub\eaglep3-reporting\EC\2016-10-21-Weather.txt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2016-10-24T15:50:22Z</dcterms:modified>
</cp:coreProperties>
</file>