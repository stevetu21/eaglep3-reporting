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Runs'!$A$12:$AG$301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8" i="1" l="1"/>
  <c r="B5" i="6" l="1"/>
  <c r="N201" i="1"/>
  <c r="AA165" i="1" l="1"/>
  <c r="K165" i="1"/>
  <c r="M165" i="1"/>
  <c r="N165" i="1" s="1"/>
  <c r="AB165" i="1"/>
  <c r="AC165" i="1"/>
  <c r="AD165" i="1"/>
  <c r="T165" i="1" s="1"/>
  <c r="AE165" i="1"/>
  <c r="AH165" i="1"/>
  <c r="AM165" i="1"/>
  <c r="K100" i="1"/>
  <c r="M100" i="1"/>
  <c r="N100" i="1" s="1"/>
  <c r="AA100" i="1"/>
  <c r="AB100" i="1"/>
  <c r="AC100" i="1"/>
  <c r="AD100" i="1"/>
  <c r="T100" i="1" s="1"/>
  <c r="AE100" i="1"/>
  <c r="AM100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R22" i="3" s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AE23" i="1"/>
  <c r="R26" i="3" s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X41" i="1" s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R11" i="3" s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T54" i="1" s="1"/>
  <c r="AE54" i="1"/>
  <c r="AM54" i="1"/>
  <c r="K55" i="1"/>
  <c r="M55" i="1"/>
  <c r="N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A56" i="1" s="1"/>
  <c r="AB56" i="1"/>
  <c r="AC56" i="1"/>
  <c r="AD56" i="1"/>
  <c r="T56" i="1" s="1"/>
  <c r="AE56" i="1"/>
  <c r="R7" i="3" s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X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A62" i="1" s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13" i="3" s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R27" i="3" s="1"/>
  <c r="AM73" i="1"/>
  <c r="K74" i="1"/>
  <c r="M74" i="1"/>
  <c r="N74" i="1" s="1"/>
  <c r="Y74" i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R10" i="3" s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T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T90" i="1" s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P99" i="1" s="1"/>
  <c r="Y99" i="1"/>
  <c r="Z99" i="1"/>
  <c r="AB99" i="1"/>
  <c r="AC99" i="1"/>
  <c r="AD99" i="1"/>
  <c r="T99" i="1" s="1"/>
  <c r="AE99" i="1"/>
  <c r="R21" i="3" s="1"/>
  <c r="AM99" i="1"/>
  <c r="K101" i="1"/>
  <c r="M101" i="1"/>
  <c r="N101" i="1" s="1"/>
  <c r="Y101" i="1"/>
  <c r="Z101" i="1"/>
  <c r="AB101" i="1"/>
  <c r="AC101" i="1"/>
  <c r="AD101" i="1"/>
  <c r="X101" i="1" s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B106" i="1"/>
  <c r="AC106" i="1"/>
  <c r="AD106" i="1"/>
  <c r="T106" i="1" s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T108" i="1" s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T110" i="1" s="1"/>
  <c r="AE110" i="1"/>
  <c r="R23" i="3" s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AE118" i="1"/>
  <c r="R16" i="3" s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AE124" i="1"/>
  <c r="R25" i="3" s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R14" i="3" s="1"/>
  <c r="AM127" i="1"/>
  <c r="K128" i="1"/>
  <c r="M128" i="1"/>
  <c r="P128" i="1" s="1"/>
  <c r="Y128" i="1"/>
  <c r="Z128" i="1"/>
  <c r="AB128" i="1"/>
  <c r="AC128" i="1"/>
  <c r="AD128" i="1"/>
  <c r="AE128" i="1"/>
  <c r="R20" i="3" s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H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AE148" i="1"/>
  <c r="R12" i="3" s="1"/>
  <c r="AM148" i="1"/>
  <c r="K149" i="1"/>
  <c r="M149" i="1"/>
  <c r="N149" i="1" s="1"/>
  <c r="Y149" i="1"/>
  <c r="Z149" i="1"/>
  <c r="AB149" i="1"/>
  <c r="AC149" i="1"/>
  <c r="AD149" i="1"/>
  <c r="AE149" i="1"/>
  <c r="AH149" i="1"/>
  <c r="AM149" i="1"/>
  <c r="K150" i="1"/>
  <c r="M150" i="1"/>
  <c r="N150" i="1" s="1"/>
  <c r="Y150" i="1"/>
  <c r="Z150" i="1"/>
  <c r="AB150" i="1"/>
  <c r="AC150" i="1"/>
  <c r="AD150" i="1"/>
  <c r="AE150" i="1"/>
  <c r="R8" i="3" s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AE153" i="1"/>
  <c r="AM153" i="1"/>
  <c r="K154" i="1"/>
  <c r="M154" i="1"/>
  <c r="N154" i="1" s="1"/>
  <c r="Y154" i="1"/>
  <c r="AA154" i="1" s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P156" i="1" s="1"/>
  <c r="Y156" i="1"/>
  <c r="Z156" i="1"/>
  <c r="AB156" i="1"/>
  <c r="AC156" i="1"/>
  <c r="AD156" i="1"/>
  <c r="AE156" i="1"/>
  <c r="R18" i="3" s="1"/>
  <c r="AM156" i="1"/>
  <c r="K203" i="1"/>
  <c r="M203" i="1"/>
  <c r="N203" i="1" s="1"/>
  <c r="Y203" i="1"/>
  <c r="Z203" i="1"/>
  <c r="AB203" i="1"/>
  <c r="AC203" i="1"/>
  <c r="AD203" i="1"/>
  <c r="AE203" i="1"/>
  <c r="AH157" i="1"/>
  <c r="AM157" i="1"/>
  <c r="K204" i="1"/>
  <c r="M204" i="1"/>
  <c r="N204" i="1" s="1"/>
  <c r="Y204" i="1"/>
  <c r="Z204" i="1"/>
  <c r="AB204" i="1"/>
  <c r="AC204" i="1"/>
  <c r="AD204" i="1"/>
  <c r="AE204" i="1"/>
  <c r="AM158" i="1"/>
  <c r="K205" i="1"/>
  <c r="M205" i="1"/>
  <c r="N205" i="1" s="1"/>
  <c r="Y205" i="1"/>
  <c r="Z205" i="1"/>
  <c r="AB205" i="1"/>
  <c r="AC205" i="1"/>
  <c r="AD205" i="1"/>
  <c r="AE205" i="1"/>
  <c r="AM159" i="1"/>
  <c r="K206" i="1"/>
  <c r="M206" i="1"/>
  <c r="N206" i="1" s="1"/>
  <c r="Y206" i="1"/>
  <c r="Z206" i="1"/>
  <c r="AB206" i="1"/>
  <c r="AC206" i="1"/>
  <c r="AD206" i="1"/>
  <c r="AE206" i="1"/>
  <c r="AM160" i="1"/>
  <c r="K207" i="1"/>
  <c r="M207" i="1"/>
  <c r="N207" i="1" s="1"/>
  <c r="Y207" i="1"/>
  <c r="Z207" i="1"/>
  <c r="AB207" i="1"/>
  <c r="AC207" i="1"/>
  <c r="AD207" i="1"/>
  <c r="AE207" i="1"/>
  <c r="AM161" i="1"/>
  <c r="K208" i="1"/>
  <c r="M208" i="1"/>
  <c r="N208" i="1" s="1"/>
  <c r="Y208" i="1"/>
  <c r="Z208" i="1"/>
  <c r="AB208" i="1"/>
  <c r="AC208" i="1"/>
  <c r="AD208" i="1"/>
  <c r="AE208" i="1"/>
  <c r="AM162" i="1"/>
  <c r="K209" i="1"/>
  <c r="M209" i="1"/>
  <c r="N209" i="1" s="1"/>
  <c r="Y209" i="1"/>
  <c r="Z209" i="1"/>
  <c r="AB209" i="1"/>
  <c r="AC209" i="1"/>
  <c r="AD209" i="1"/>
  <c r="AE209" i="1"/>
  <c r="AM163" i="1"/>
  <c r="K210" i="1"/>
  <c r="M210" i="1"/>
  <c r="N210" i="1" s="1"/>
  <c r="Y210" i="1"/>
  <c r="Z210" i="1"/>
  <c r="AB210" i="1"/>
  <c r="AC210" i="1"/>
  <c r="AD210" i="1"/>
  <c r="AE210" i="1"/>
  <c r="AM164" i="1"/>
  <c r="K211" i="1"/>
  <c r="M211" i="1"/>
  <c r="N211" i="1" s="1"/>
  <c r="Y211" i="1"/>
  <c r="Z211" i="1"/>
  <c r="AB211" i="1"/>
  <c r="AC211" i="1"/>
  <c r="AD211" i="1"/>
  <c r="AE211" i="1"/>
  <c r="AH166" i="1"/>
  <c r="AM166" i="1"/>
  <c r="K212" i="1"/>
  <c r="M212" i="1"/>
  <c r="N212" i="1" s="1"/>
  <c r="Y212" i="1"/>
  <c r="Z212" i="1"/>
  <c r="AB212" i="1"/>
  <c r="AC212" i="1"/>
  <c r="AD212" i="1"/>
  <c r="AE212" i="1"/>
  <c r="AM167" i="1"/>
  <c r="K213" i="1"/>
  <c r="M213" i="1"/>
  <c r="N213" i="1" s="1"/>
  <c r="Y213" i="1"/>
  <c r="Z213" i="1"/>
  <c r="AB213" i="1"/>
  <c r="AC213" i="1"/>
  <c r="AD213" i="1"/>
  <c r="AE213" i="1"/>
  <c r="AM168" i="1"/>
  <c r="K214" i="1"/>
  <c r="M214" i="1"/>
  <c r="N214" i="1" s="1"/>
  <c r="Y214" i="1"/>
  <c r="Z214" i="1"/>
  <c r="AB214" i="1"/>
  <c r="AC214" i="1"/>
  <c r="AD214" i="1"/>
  <c r="AE214" i="1"/>
  <c r="AM169" i="1"/>
  <c r="K215" i="1"/>
  <c r="M215" i="1"/>
  <c r="N215" i="1" s="1"/>
  <c r="Y215" i="1"/>
  <c r="Z215" i="1"/>
  <c r="AB215" i="1"/>
  <c r="AC215" i="1"/>
  <c r="AD215" i="1"/>
  <c r="AE215" i="1"/>
  <c r="AM170" i="1"/>
  <c r="K216" i="1"/>
  <c r="M216" i="1"/>
  <c r="N216" i="1" s="1"/>
  <c r="Y216" i="1"/>
  <c r="Z216" i="1"/>
  <c r="AB216" i="1"/>
  <c r="AC216" i="1"/>
  <c r="AD216" i="1"/>
  <c r="T216" i="1" s="1"/>
  <c r="AE216" i="1"/>
  <c r="AM171" i="1"/>
  <c r="K217" i="1"/>
  <c r="M217" i="1"/>
  <c r="N217" i="1" s="1"/>
  <c r="Y217" i="1"/>
  <c r="Z217" i="1"/>
  <c r="AB217" i="1"/>
  <c r="AC217" i="1"/>
  <c r="AD217" i="1"/>
  <c r="AE217" i="1"/>
  <c r="AM172" i="1"/>
  <c r="K223" i="1"/>
  <c r="M223" i="1"/>
  <c r="N223" i="1" s="1"/>
  <c r="Y223" i="1"/>
  <c r="Z223" i="1"/>
  <c r="AB223" i="1"/>
  <c r="AC223" i="1"/>
  <c r="AD223" i="1"/>
  <c r="T223" i="1" s="1"/>
  <c r="AE223" i="1"/>
  <c r="AM173" i="1"/>
  <c r="K224" i="1"/>
  <c r="M224" i="1"/>
  <c r="N224" i="1" s="1"/>
  <c r="Y224" i="1"/>
  <c r="Z224" i="1"/>
  <c r="AB224" i="1"/>
  <c r="AC224" i="1"/>
  <c r="AD224" i="1"/>
  <c r="AE224" i="1"/>
  <c r="R43" i="3" s="1"/>
  <c r="AH174" i="1"/>
  <c r="AM174" i="1"/>
  <c r="K225" i="1"/>
  <c r="M225" i="1"/>
  <c r="N225" i="1" s="1"/>
  <c r="Y225" i="1"/>
  <c r="Z225" i="1"/>
  <c r="AB225" i="1"/>
  <c r="AC225" i="1"/>
  <c r="AD225" i="1"/>
  <c r="T225" i="1" s="1"/>
  <c r="AE225" i="1"/>
  <c r="AM175" i="1"/>
  <c r="K226" i="1"/>
  <c r="M226" i="1"/>
  <c r="N226" i="1" s="1"/>
  <c r="Y226" i="1"/>
  <c r="Z226" i="1"/>
  <c r="AB226" i="1"/>
  <c r="AC226" i="1"/>
  <c r="AD226" i="1"/>
  <c r="AE226" i="1"/>
  <c r="AM176" i="1"/>
  <c r="K227" i="1"/>
  <c r="M227" i="1"/>
  <c r="N227" i="1" s="1"/>
  <c r="Y227" i="1"/>
  <c r="Z227" i="1"/>
  <c r="AB227" i="1"/>
  <c r="AC227" i="1"/>
  <c r="AD227" i="1"/>
  <c r="T227" i="1" s="1"/>
  <c r="AE227" i="1"/>
  <c r="AM177" i="1"/>
  <c r="K228" i="1"/>
  <c r="M228" i="1"/>
  <c r="N228" i="1" s="1"/>
  <c r="Y228" i="1"/>
  <c r="Z228" i="1"/>
  <c r="AB228" i="1"/>
  <c r="AC228" i="1"/>
  <c r="AD228" i="1"/>
  <c r="AE228" i="1"/>
  <c r="AM178" i="1"/>
  <c r="K229" i="1"/>
  <c r="M229" i="1"/>
  <c r="N229" i="1" s="1"/>
  <c r="Y229" i="1"/>
  <c r="Z229" i="1"/>
  <c r="AB229" i="1"/>
  <c r="AC229" i="1"/>
  <c r="AD229" i="1"/>
  <c r="T229" i="1" s="1"/>
  <c r="AE229" i="1"/>
  <c r="AM179" i="1"/>
  <c r="K230" i="1"/>
  <c r="M230" i="1"/>
  <c r="N230" i="1" s="1"/>
  <c r="Y230" i="1"/>
  <c r="Z230" i="1"/>
  <c r="AB230" i="1"/>
  <c r="AC230" i="1"/>
  <c r="AD230" i="1"/>
  <c r="AE230" i="1"/>
  <c r="AM180" i="1"/>
  <c r="K231" i="1"/>
  <c r="M231" i="1"/>
  <c r="N231" i="1" s="1"/>
  <c r="Y231" i="1"/>
  <c r="Z231" i="1"/>
  <c r="AB231" i="1"/>
  <c r="AC231" i="1"/>
  <c r="AD231" i="1"/>
  <c r="T231" i="1" s="1"/>
  <c r="AE231" i="1"/>
  <c r="AM181" i="1"/>
  <c r="K232" i="1"/>
  <c r="M232" i="1"/>
  <c r="N232" i="1" s="1"/>
  <c r="Y232" i="1"/>
  <c r="Z232" i="1"/>
  <c r="AB232" i="1"/>
  <c r="AC232" i="1"/>
  <c r="AD232" i="1"/>
  <c r="AE232" i="1"/>
  <c r="AH182" i="1"/>
  <c r="AM182" i="1"/>
  <c r="K233" i="1"/>
  <c r="M233" i="1"/>
  <c r="N233" i="1" s="1"/>
  <c r="Y233" i="1"/>
  <c r="Z233" i="1"/>
  <c r="AB233" i="1"/>
  <c r="AC233" i="1"/>
  <c r="AD233" i="1"/>
  <c r="T233" i="1" s="1"/>
  <c r="AE233" i="1"/>
  <c r="AM183" i="1"/>
  <c r="K234" i="1"/>
  <c r="M234" i="1"/>
  <c r="N234" i="1" s="1"/>
  <c r="Y234" i="1"/>
  <c r="Z234" i="1"/>
  <c r="AB234" i="1"/>
  <c r="AC234" i="1"/>
  <c r="AD234" i="1"/>
  <c r="AE234" i="1"/>
  <c r="AM184" i="1"/>
  <c r="K235" i="1"/>
  <c r="M235" i="1"/>
  <c r="N235" i="1" s="1"/>
  <c r="Y235" i="1"/>
  <c r="Z235" i="1"/>
  <c r="AB235" i="1"/>
  <c r="AC235" i="1"/>
  <c r="AD235" i="1"/>
  <c r="T235" i="1" s="1"/>
  <c r="AE235" i="1"/>
  <c r="AM185" i="1"/>
  <c r="K236" i="1"/>
  <c r="M236" i="1"/>
  <c r="N236" i="1" s="1"/>
  <c r="Y236" i="1"/>
  <c r="Z236" i="1"/>
  <c r="AB236" i="1"/>
  <c r="AC236" i="1"/>
  <c r="AD236" i="1"/>
  <c r="AE236" i="1"/>
  <c r="AM186" i="1"/>
  <c r="K237" i="1"/>
  <c r="M237" i="1"/>
  <c r="N237" i="1" s="1"/>
  <c r="Y237" i="1"/>
  <c r="Z237" i="1"/>
  <c r="AB237" i="1"/>
  <c r="AC237" i="1"/>
  <c r="AD237" i="1"/>
  <c r="T237" i="1" s="1"/>
  <c r="AE237" i="1"/>
  <c r="R39" i="3" s="1"/>
  <c r="AM187" i="1"/>
  <c r="K238" i="1"/>
  <c r="M238" i="1"/>
  <c r="N238" i="1" s="1"/>
  <c r="Y238" i="1"/>
  <c r="Z238" i="1"/>
  <c r="AB238" i="1"/>
  <c r="AC238" i="1"/>
  <c r="AD238" i="1"/>
  <c r="AE238" i="1"/>
  <c r="AM188" i="1"/>
  <c r="K239" i="1"/>
  <c r="M239" i="1"/>
  <c r="N239" i="1" s="1"/>
  <c r="Y239" i="1"/>
  <c r="Z239" i="1"/>
  <c r="AB239" i="1"/>
  <c r="AC239" i="1"/>
  <c r="AD239" i="1"/>
  <c r="AE239" i="1"/>
  <c r="R45" i="3" s="1"/>
  <c r="AM189" i="1"/>
  <c r="K240" i="1"/>
  <c r="M240" i="1"/>
  <c r="N240" i="1" s="1"/>
  <c r="Y240" i="1"/>
  <c r="Z240" i="1"/>
  <c r="AA240" i="1" s="1"/>
  <c r="AB240" i="1"/>
  <c r="AC240" i="1"/>
  <c r="AD240" i="1"/>
  <c r="AE240" i="1"/>
  <c r="AH190" i="1"/>
  <c r="AM190" i="1"/>
  <c r="K241" i="1"/>
  <c r="M241" i="1"/>
  <c r="N241" i="1" s="1"/>
  <c r="Y241" i="1"/>
  <c r="Z241" i="1"/>
  <c r="AB241" i="1"/>
  <c r="AC241" i="1"/>
  <c r="AD241" i="1"/>
  <c r="T241" i="1" s="1"/>
  <c r="AE241" i="1"/>
  <c r="R42" i="3" s="1"/>
  <c r="AM191" i="1"/>
  <c r="K242" i="1"/>
  <c r="M242" i="1"/>
  <c r="N242" i="1" s="1"/>
  <c r="Y242" i="1"/>
  <c r="Z242" i="1"/>
  <c r="AB242" i="1"/>
  <c r="AC242" i="1"/>
  <c r="AD242" i="1"/>
  <c r="AE242" i="1"/>
  <c r="AM192" i="1"/>
  <c r="K243" i="1"/>
  <c r="M243" i="1"/>
  <c r="N243" i="1" s="1"/>
  <c r="Y243" i="1"/>
  <c r="Z243" i="1"/>
  <c r="AB243" i="1"/>
  <c r="AC243" i="1"/>
  <c r="AD243" i="1"/>
  <c r="T243" i="1" s="1"/>
  <c r="AE243" i="1"/>
  <c r="R48" i="3" s="1"/>
  <c r="AM193" i="1"/>
  <c r="K244" i="1"/>
  <c r="M244" i="1"/>
  <c r="N244" i="1" s="1"/>
  <c r="Y244" i="1"/>
  <c r="Z244" i="1"/>
  <c r="AB244" i="1"/>
  <c r="AC244" i="1"/>
  <c r="AD244" i="1"/>
  <c r="AE244" i="1"/>
  <c r="AM194" i="1"/>
  <c r="K245" i="1"/>
  <c r="M245" i="1"/>
  <c r="N245" i="1" s="1"/>
  <c r="Y245" i="1"/>
  <c r="Z245" i="1"/>
  <c r="AB245" i="1"/>
  <c r="AC245" i="1"/>
  <c r="AD245" i="1"/>
  <c r="T245" i="1" s="1"/>
  <c r="AE245" i="1"/>
  <c r="AM195" i="1"/>
  <c r="K246" i="1"/>
  <c r="M246" i="1"/>
  <c r="N246" i="1" s="1"/>
  <c r="Y246" i="1"/>
  <c r="Z246" i="1"/>
  <c r="AB246" i="1"/>
  <c r="AC246" i="1"/>
  <c r="AD246" i="1"/>
  <c r="AE246" i="1"/>
  <c r="AM196" i="1"/>
  <c r="K247" i="1"/>
  <c r="M247" i="1"/>
  <c r="N247" i="1" s="1"/>
  <c r="Y247" i="1"/>
  <c r="Z247" i="1"/>
  <c r="AB247" i="1"/>
  <c r="AC247" i="1"/>
  <c r="AD247" i="1"/>
  <c r="T247" i="1" s="1"/>
  <c r="AE247" i="1"/>
  <c r="AM197" i="1"/>
  <c r="K248" i="1"/>
  <c r="M248" i="1"/>
  <c r="N248" i="1" s="1"/>
  <c r="Y248" i="1"/>
  <c r="Z248" i="1"/>
  <c r="AB248" i="1"/>
  <c r="AC248" i="1"/>
  <c r="AD248" i="1"/>
  <c r="AE248" i="1"/>
  <c r="AM198" i="1"/>
  <c r="K249" i="1"/>
  <c r="M249" i="1"/>
  <c r="N249" i="1" s="1"/>
  <c r="Y249" i="1"/>
  <c r="Z249" i="1"/>
  <c r="AA249" i="1" s="1"/>
  <c r="AB249" i="1"/>
  <c r="AC249" i="1"/>
  <c r="AD249" i="1"/>
  <c r="T249" i="1" s="1"/>
  <c r="AE249" i="1"/>
  <c r="AM199" i="1"/>
  <c r="K250" i="1"/>
  <c r="M250" i="1"/>
  <c r="N250" i="1" s="1"/>
  <c r="Y250" i="1"/>
  <c r="Z250" i="1"/>
  <c r="AB250" i="1"/>
  <c r="AC250" i="1"/>
  <c r="AD250" i="1"/>
  <c r="AE250" i="1"/>
  <c r="AM200" i="1"/>
  <c r="K251" i="1"/>
  <c r="M251" i="1"/>
  <c r="N251" i="1" s="1"/>
  <c r="Y251" i="1"/>
  <c r="Z251" i="1"/>
  <c r="AB251" i="1"/>
  <c r="AC251" i="1"/>
  <c r="AD251" i="1"/>
  <c r="T251" i="1" s="1"/>
  <c r="AE251" i="1"/>
  <c r="R41" i="3" s="1"/>
  <c r="AM201" i="1"/>
  <c r="K252" i="1"/>
  <c r="M252" i="1"/>
  <c r="N252" i="1" s="1"/>
  <c r="Y252" i="1"/>
  <c r="Z252" i="1"/>
  <c r="AB252" i="1"/>
  <c r="AC252" i="1"/>
  <c r="AD252" i="1"/>
  <c r="AE252" i="1"/>
  <c r="AM202" i="1"/>
  <c r="K253" i="1"/>
  <c r="M253" i="1"/>
  <c r="N253" i="1" s="1"/>
  <c r="Y253" i="1"/>
  <c r="Z253" i="1"/>
  <c r="AB253" i="1"/>
  <c r="AC253" i="1"/>
  <c r="AD253" i="1"/>
  <c r="T253" i="1" s="1"/>
  <c r="AE253" i="1"/>
  <c r="AM203" i="1"/>
  <c r="K254" i="1"/>
  <c r="M254" i="1"/>
  <c r="N254" i="1" s="1"/>
  <c r="Y254" i="1"/>
  <c r="Z254" i="1"/>
  <c r="AB254" i="1"/>
  <c r="AC254" i="1"/>
  <c r="AD254" i="1"/>
  <c r="AE254" i="1"/>
  <c r="AM204" i="1"/>
  <c r="K255" i="1"/>
  <c r="M255" i="1"/>
  <c r="N255" i="1" s="1"/>
  <c r="Y255" i="1"/>
  <c r="Z255" i="1"/>
  <c r="AB255" i="1"/>
  <c r="AC255" i="1"/>
  <c r="AD255" i="1"/>
  <c r="AE255" i="1"/>
  <c r="AM205" i="1"/>
  <c r="K256" i="1"/>
  <c r="M256" i="1"/>
  <c r="N256" i="1" s="1"/>
  <c r="Y256" i="1"/>
  <c r="Z256" i="1"/>
  <c r="AB256" i="1"/>
  <c r="AC256" i="1"/>
  <c r="AD256" i="1"/>
  <c r="AE256" i="1"/>
  <c r="AM206" i="1"/>
  <c r="K257" i="1"/>
  <c r="M257" i="1"/>
  <c r="N257" i="1" s="1"/>
  <c r="Y257" i="1"/>
  <c r="Z257" i="1"/>
  <c r="AB257" i="1"/>
  <c r="AC257" i="1"/>
  <c r="AD257" i="1"/>
  <c r="T257" i="1" s="1"/>
  <c r="AE257" i="1"/>
  <c r="AM207" i="1"/>
  <c r="K258" i="1"/>
  <c r="M258" i="1"/>
  <c r="N258" i="1" s="1"/>
  <c r="Y258" i="1"/>
  <c r="Z258" i="1"/>
  <c r="AA258" i="1" s="1"/>
  <c r="AB258" i="1"/>
  <c r="AC258" i="1"/>
  <c r="AD258" i="1"/>
  <c r="AE258" i="1"/>
  <c r="AM208" i="1"/>
  <c r="K157" i="1"/>
  <c r="M157" i="1"/>
  <c r="N157" i="1" s="1"/>
  <c r="Y157" i="1"/>
  <c r="Z157" i="1"/>
  <c r="AB157" i="1"/>
  <c r="AC157" i="1"/>
  <c r="AD157" i="1"/>
  <c r="AE157" i="1"/>
  <c r="AM209" i="1"/>
  <c r="K158" i="1"/>
  <c r="M158" i="1"/>
  <c r="N158" i="1"/>
  <c r="Y158" i="1"/>
  <c r="Z158" i="1"/>
  <c r="AB158" i="1"/>
  <c r="AC158" i="1"/>
  <c r="AD158" i="1"/>
  <c r="AE158" i="1"/>
  <c r="AM210" i="1"/>
  <c r="K159" i="1"/>
  <c r="M159" i="1"/>
  <c r="N159" i="1"/>
  <c r="Y159" i="1"/>
  <c r="Z159" i="1"/>
  <c r="AB159" i="1"/>
  <c r="AC159" i="1"/>
  <c r="AD159" i="1"/>
  <c r="T159" i="1" s="1"/>
  <c r="AE159" i="1"/>
  <c r="AM211" i="1"/>
  <c r="K160" i="1"/>
  <c r="M160" i="1"/>
  <c r="N160" i="1"/>
  <c r="Y160" i="1"/>
  <c r="Z160" i="1"/>
  <c r="AB160" i="1"/>
  <c r="AC160" i="1"/>
  <c r="AD160" i="1"/>
  <c r="AE160" i="1"/>
  <c r="AM212" i="1"/>
  <c r="K161" i="1"/>
  <c r="M161" i="1"/>
  <c r="N161" i="1"/>
  <c r="Y161" i="1"/>
  <c r="Z161" i="1"/>
  <c r="AB161" i="1"/>
  <c r="AC161" i="1"/>
  <c r="AD161" i="1"/>
  <c r="T161" i="1" s="1"/>
  <c r="AE161" i="1"/>
  <c r="AM213" i="1"/>
  <c r="K162" i="1"/>
  <c r="M162" i="1"/>
  <c r="N162" i="1" s="1"/>
  <c r="Y162" i="1"/>
  <c r="Z162" i="1"/>
  <c r="AB162" i="1"/>
  <c r="AC162" i="1"/>
  <c r="AD162" i="1"/>
  <c r="AE162" i="1"/>
  <c r="AM214" i="1"/>
  <c r="K163" i="1"/>
  <c r="M163" i="1"/>
  <c r="N163" i="1" s="1"/>
  <c r="Y163" i="1"/>
  <c r="Z163" i="1"/>
  <c r="AB163" i="1"/>
  <c r="AC163" i="1"/>
  <c r="AD163" i="1"/>
  <c r="T163" i="1" s="1"/>
  <c r="AE163" i="1"/>
  <c r="AH215" i="1"/>
  <c r="AM215" i="1"/>
  <c r="K164" i="1"/>
  <c r="M164" i="1"/>
  <c r="N164" i="1" s="1"/>
  <c r="Y164" i="1"/>
  <c r="Z164" i="1"/>
  <c r="AA164" i="1" s="1"/>
  <c r="AB164" i="1"/>
  <c r="AC164" i="1"/>
  <c r="AD164" i="1"/>
  <c r="AE164" i="1"/>
  <c r="R32" i="3" s="1"/>
  <c r="AM216" i="1"/>
  <c r="K166" i="1"/>
  <c r="M166" i="1"/>
  <c r="N166" i="1" s="1"/>
  <c r="Y166" i="1"/>
  <c r="Z166" i="1"/>
  <c r="AB166" i="1"/>
  <c r="AC166" i="1"/>
  <c r="AD166" i="1"/>
  <c r="AE166" i="1"/>
  <c r="R29" i="3" s="1"/>
  <c r="AM217" i="1"/>
  <c r="K167" i="1"/>
  <c r="M167" i="1"/>
  <c r="N167" i="1" s="1"/>
  <c r="Y167" i="1"/>
  <c r="Z167" i="1"/>
  <c r="AB167" i="1"/>
  <c r="AC167" i="1"/>
  <c r="AD167" i="1"/>
  <c r="AE167" i="1"/>
  <c r="R30" i="3" s="1"/>
  <c r="AH218" i="1"/>
  <c r="AM218" i="1"/>
  <c r="K168" i="1"/>
  <c r="M168" i="1"/>
  <c r="N168" i="1" s="1"/>
  <c r="Y168" i="1"/>
  <c r="Z168" i="1"/>
  <c r="AB168" i="1"/>
  <c r="AC168" i="1"/>
  <c r="AD168" i="1"/>
  <c r="T168" i="1" s="1"/>
  <c r="AE168" i="1"/>
  <c r="AM219" i="1"/>
  <c r="K169" i="1"/>
  <c r="M169" i="1"/>
  <c r="N169" i="1" s="1"/>
  <c r="Y169" i="1"/>
  <c r="Z169" i="1"/>
  <c r="AB169" i="1"/>
  <c r="AC169" i="1"/>
  <c r="AD169" i="1"/>
  <c r="AE169" i="1"/>
  <c r="AH220" i="1"/>
  <c r="AM220" i="1"/>
  <c r="K170" i="1"/>
  <c r="M170" i="1"/>
  <c r="N170" i="1" s="1"/>
  <c r="Y170" i="1"/>
  <c r="Z170" i="1"/>
  <c r="AA170" i="1" s="1"/>
  <c r="AB170" i="1"/>
  <c r="AC170" i="1"/>
  <c r="AD170" i="1"/>
  <c r="AE170" i="1"/>
  <c r="AM221" i="1"/>
  <c r="K171" i="1"/>
  <c r="M171" i="1"/>
  <c r="N171" i="1" s="1"/>
  <c r="Y171" i="1"/>
  <c r="Z171" i="1"/>
  <c r="AB171" i="1"/>
  <c r="AC171" i="1"/>
  <c r="AD171" i="1"/>
  <c r="AE171" i="1"/>
  <c r="AM222" i="1"/>
  <c r="K172" i="1"/>
  <c r="M172" i="1"/>
  <c r="N172" i="1" s="1"/>
  <c r="Y172" i="1"/>
  <c r="Z172" i="1"/>
  <c r="AB172" i="1"/>
  <c r="AC172" i="1"/>
  <c r="AD172" i="1"/>
  <c r="T172" i="1" s="1"/>
  <c r="AE172" i="1"/>
  <c r="AH223" i="1"/>
  <c r="AM223" i="1"/>
  <c r="K173" i="1"/>
  <c r="M173" i="1"/>
  <c r="N173" i="1" s="1"/>
  <c r="Y173" i="1"/>
  <c r="Z173" i="1"/>
  <c r="AB173" i="1"/>
  <c r="AC173" i="1"/>
  <c r="AD173" i="1"/>
  <c r="AE173" i="1"/>
  <c r="AM224" i="1"/>
  <c r="K174" i="1"/>
  <c r="M174" i="1"/>
  <c r="N174" i="1" s="1"/>
  <c r="Y174" i="1"/>
  <c r="Z174" i="1"/>
  <c r="AB174" i="1"/>
  <c r="AC174" i="1"/>
  <c r="AD174" i="1"/>
  <c r="T174" i="1" s="1"/>
  <c r="AE174" i="1"/>
  <c r="R33" i="3" s="1"/>
  <c r="AM225" i="1"/>
  <c r="K175" i="1"/>
  <c r="M175" i="1"/>
  <c r="N175" i="1" s="1"/>
  <c r="Y175" i="1"/>
  <c r="Z175" i="1"/>
  <c r="AB175" i="1"/>
  <c r="AC175" i="1"/>
  <c r="AD175" i="1"/>
  <c r="AE175" i="1"/>
  <c r="AH226" i="1"/>
  <c r="AM226" i="1"/>
  <c r="K176" i="1"/>
  <c r="M176" i="1"/>
  <c r="N176" i="1" s="1"/>
  <c r="Y176" i="1"/>
  <c r="Z176" i="1"/>
  <c r="AB176" i="1"/>
  <c r="AC176" i="1"/>
  <c r="AD176" i="1"/>
  <c r="AE176" i="1"/>
  <c r="AM227" i="1"/>
  <c r="K177" i="1"/>
  <c r="M177" i="1"/>
  <c r="N177" i="1" s="1"/>
  <c r="Y177" i="1"/>
  <c r="Z177" i="1"/>
  <c r="AB177" i="1"/>
  <c r="AC177" i="1"/>
  <c r="AD177" i="1"/>
  <c r="AE177" i="1"/>
  <c r="AH228" i="1"/>
  <c r="AM228" i="1"/>
  <c r="K178" i="1"/>
  <c r="M178" i="1"/>
  <c r="N178" i="1" s="1"/>
  <c r="Y178" i="1"/>
  <c r="Z178" i="1"/>
  <c r="AB178" i="1"/>
  <c r="AC178" i="1"/>
  <c r="AD178" i="1"/>
  <c r="AE178" i="1"/>
  <c r="AM229" i="1"/>
  <c r="K179" i="1"/>
  <c r="M179" i="1"/>
  <c r="N179" i="1" s="1"/>
  <c r="Y179" i="1"/>
  <c r="Z179" i="1"/>
  <c r="AB179" i="1"/>
  <c r="AC179" i="1"/>
  <c r="AD179" i="1"/>
  <c r="AE179" i="1"/>
  <c r="AM230" i="1"/>
  <c r="K180" i="1"/>
  <c r="M180" i="1"/>
  <c r="N180" i="1" s="1"/>
  <c r="Y180" i="1"/>
  <c r="Z180" i="1"/>
  <c r="AB180" i="1"/>
  <c r="AC180" i="1"/>
  <c r="AD180" i="1"/>
  <c r="AE180" i="1"/>
  <c r="AH231" i="1"/>
  <c r="AM231" i="1"/>
  <c r="K181" i="1"/>
  <c r="M181" i="1"/>
  <c r="N181" i="1" s="1"/>
  <c r="Y181" i="1"/>
  <c r="Z181" i="1"/>
  <c r="AB181" i="1"/>
  <c r="AC181" i="1"/>
  <c r="AD181" i="1"/>
  <c r="AE181" i="1"/>
  <c r="AM232" i="1"/>
  <c r="K182" i="1"/>
  <c r="M182" i="1"/>
  <c r="N182" i="1" s="1"/>
  <c r="Y182" i="1"/>
  <c r="Z182" i="1"/>
  <c r="AB182" i="1"/>
  <c r="AC182" i="1"/>
  <c r="AD182" i="1"/>
  <c r="AE182" i="1"/>
  <c r="AM233" i="1"/>
  <c r="K183" i="1"/>
  <c r="M183" i="1"/>
  <c r="N183" i="1" s="1"/>
  <c r="Y183" i="1"/>
  <c r="Z183" i="1"/>
  <c r="AB183" i="1"/>
  <c r="AC183" i="1"/>
  <c r="AD183" i="1"/>
  <c r="AE183" i="1"/>
  <c r="AH234" i="1"/>
  <c r="AM234" i="1"/>
  <c r="K184" i="1"/>
  <c r="M184" i="1"/>
  <c r="N184" i="1" s="1"/>
  <c r="Y184" i="1"/>
  <c r="Z184" i="1"/>
  <c r="AB184" i="1"/>
  <c r="AC184" i="1"/>
  <c r="AD184" i="1"/>
  <c r="AE184" i="1"/>
  <c r="AM235" i="1"/>
  <c r="K185" i="1"/>
  <c r="M185" i="1"/>
  <c r="N185" i="1" s="1"/>
  <c r="Y185" i="1"/>
  <c r="Z185" i="1"/>
  <c r="AB185" i="1"/>
  <c r="AC185" i="1"/>
  <c r="AD185" i="1"/>
  <c r="AE185" i="1"/>
  <c r="AH236" i="1"/>
  <c r="AM236" i="1"/>
  <c r="K186" i="1"/>
  <c r="M186" i="1"/>
  <c r="N186" i="1" s="1"/>
  <c r="Y186" i="1"/>
  <c r="Z186" i="1"/>
  <c r="AB186" i="1"/>
  <c r="AC186" i="1"/>
  <c r="AD186" i="1"/>
  <c r="AE186" i="1"/>
  <c r="AM237" i="1"/>
  <c r="K187" i="1"/>
  <c r="M187" i="1"/>
  <c r="N187" i="1" s="1"/>
  <c r="Y187" i="1"/>
  <c r="Z187" i="1"/>
  <c r="AB187" i="1"/>
  <c r="AC187" i="1"/>
  <c r="AD187" i="1"/>
  <c r="AE187" i="1"/>
  <c r="AM238" i="1"/>
  <c r="K188" i="1"/>
  <c r="M188" i="1"/>
  <c r="N188" i="1" s="1"/>
  <c r="Y188" i="1"/>
  <c r="Z188" i="1"/>
  <c r="AB188" i="1"/>
  <c r="AC188" i="1"/>
  <c r="AD188" i="1"/>
  <c r="AE188" i="1"/>
  <c r="AH239" i="1"/>
  <c r="AM239" i="1"/>
  <c r="K189" i="1"/>
  <c r="M189" i="1"/>
  <c r="N189" i="1" s="1"/>
  <c r="Y189" i="1"/>
  <c r="Z189" i="1"/>
  <c r="AB189" i="1"/>
  <c r="AC189" i="1"/>
  <c r="AD189" i="1"/>
  <c r="AE189" i="1"/>
  <c r="AM240" i="1"/>
  <c r="K190" i="1"/>
  <c r="M190" i="1"/>
  <c r="N190" i="1" s="1"/>
  <c r="Y190" i="1"/>
  <c r="Z190" i="1"/>
  <c r="AB190" i="1"/>
  <c r="AC190" i="1"/>
  <c r="AD190" i="1"/>
  <c r="AE190" i="1"/>
  <c r="AM241" i="1"/>
  <c r="K191" i="1"/>
  <c r="M191" i="1"/>
  <c r="N191" i="1" s="1"/>
  <c r="Y191" i="1"/>
  <c r="Z191" i="1"/>
  <c r="AB191" i="1"/>
  <c r="AC191" i="1"/>
  <c r="AD191" i="1"/>
  <c r="AE191" i="1"/>
  <c r="R31" i="3" s="1"/>
  <c r="AH242" i="1"/>
  <c r="AM242" i="1"/>
  <c r="K192" i="1"/>
  <c r="M192" i="1"/>
  <c r="N192" i="1" s="1"/>
  <c r="Y192" i="1"/>
  <c r="Z192" i="1"/>
  <c r="AB192" i="1"/>
  <c r="AC192" i="1"/>
  <c r="AD192" i="1"/>
  <c r="AE192" i="1"/>
  <c r="AM243" i="1"/>
  <c r="K193" i="1"/>
  <c r="M193" i="1"/>
  <c r="N193" i="1" s="1"/>
  <c r="Y193" i="1"/>
  <c r="Z193" i="1"/>
  <c r="AB193" i="1"/>
  <c r="AC193" i="1"/>
  <c r="AD193" i="1"/>
  <c r="AE193" i="1"/>
  <c r="AH244" i="1"/>
  <c r="AM244" i="1"/>
  <c r="K194" i="1"/>
  <c r="M194" i="1"/>
  <c r="N194" i="1" s="1"/>
  <c r="Y194" i="1"/>
  <c r="Z194" i="1"/>
  <c r="AB194" i="1"/>
  <c r="AC194" i="1"/>
  <c r="AD194" i="1"/>
  <c r="AE194" i="1"/>
  <c r="AM245" i="1"/>
  <c r="K195" i="1"/>
  <c r="M195" i="1"/>
  <c r="N195" i="1" s="1"/>
  <c r="Y195" i="1"/>
  <c r="Z195" i="1"/>
  <c r="AB195" i="1"/>
  <c r="AC195" i="1"/>
  <c r="AD195" i="1"/>
  <c r="AE195" i="1"/>
  <c r="AM246" i="1"/>
  <c r="K196" i="1"/>
  <c r="M196" i="1"/>
  <c r="N196" i="1" s="1"/>
  <c r="Y196" i="1"/>
  <c r="Z196" i="1"/>
  <c r="AB196" i="1"/>
  <c r="AC196" i="1"/>
  <c r="AD196" i="1"/>
  <c r="AE196" i="1"/>
  <c r="R34" i="3" s="1"/>
  <c r="AH247" i="1"/>
  <c r="AM247" i="1"/>
  <c r="K197" i="1"/>
  <c r="M197" i="1"/>
  <c r="N197" i="1" s="1"/>
  <c r="Y197" i="1"/>
  <c r="Z197" i="1"/>
  <c r="AA197" i="1" s="1"/>
  <c r="AB197" i="1"/>
  <c r="AC197" i="1"/>
  <c r="AD197" i="1"/>
  <c r="AE197" i="1"/>
  <c r="AM248" i="1"/>
  <c r="K198" i="1"/>
  <c r="M198" i="1"/>
  <c r="N198" i="1" s="1"/>
  <c r="Y198" i="1"/>
  <c r="Z198" i="1"/>
  <c r="AB198" i="1"/>
  <c r="AC198" i="1"/>
  <c r="AD198" i="1"/>
  <c r="AE198" i="1"/>
  <c r="AM249" i="1"/>
  <c r="K199" i="1"/>
  <c r="M199" i="1"/>
  <c r="N199" i="1" s="1"/>
  <c r="Y199" i="1"/>
  <c r="Z199" i="1"/>
  <c r="AB199" i="1"/>
  <c r="AC199" i="1"/>
  <c r="AD199" i="1"/>
  <c r="AE199" i="1"/>
  <c r="AH250" i="1"/>
  <c r="AM250" i="1"/>
  <c r="K200" i="1"/>
  <c r="M200" i="1"/>
  <c r="N200" i="1"/>
  <c r="Y200" i="1"/>
  <c r="Z200" i="1"/>
  <c r="AB200" i="1"/>
  <c r="AC200" i="1"/>
  <c r="AD200" i="1"/>
  <c r="AE200" i="1"/>
  <c r="AH251" i="1"/>
  <c r="AM251" i="1"/>
  <c r="K201" i="1"/>
  <c r="M201" i="1"/>
  <c r="Y201" i="1"/>
  <c r="Z201" i="1"/>
  <c r="AB201" i="1"/>
  <c r="AC201" i="1"/>
  <c r="AD201" i="1"/>
  <c r="AE201" i="1"/>
  <c r="AM252" i="1"/>
  <c r="K202" i="1"/>
  <c r="M202" i="1"/>
  <c r="N202" i="1" s="1"/>
  <c r="Y202" i="1"/>
  <c r="Z202" i="1"/>
  <c r="AB202" i="1"/>
  <c r="AC202" i="1"/>
  <c r="AD202" i="1"/>
  <c r="AE202" i="1"/>
  <c r="AM253" i="1"/>
  <c r="K218" i="1"/>
  <c r="M218" i="1"/>
  <c r="Y218" i="1"/>
  <c r="Z218" i="1"/>
  <c r="AB218" i="1"/>
  <c r="AC218" i="1"/>
  <c r="AD218" i="1"/>
  <c r="AE218" i="1"/>
  <c r="R36" i="3" s="1"/>
  <c r="AM254" i="1"/>
  <c r="K219" i="1"/>
  <c r="M219" i="1"/>
  <c r="N219" i="1" s="1"/>
  <c r="Y219" i="1"/>
  <c r="Z219" i="1"/>
  <c r="AB219" i="1"/>
  <c r="AC219" i="1"/>
  <c r="AD219" i="1"/>
  <c r="AE219" i="1"/>
  <c r="AM255" i="1"/>
  <c r="K220" i="1"/>
  <c r="M220" i="1"/>
  <c r="N220" i="1" s="1"/>
  <c r="Y220" i="1"/>
  <c r="Z220" i="1"/>
  <c r="AB220" i="1"/>
  <c r="AC220" i="1"/>
  <c r="AD220" i="1"/>
  <c r="AE220" i="1"/>
  <c r="AH256" i="1"/>
  <c r="AM256" i="1"/>
  <c r="K221" i="1"/>
  <c r="M221" i="1"/>
  <c r="N221" i="1" s="1"/>
  <c r="Y221" i="1"/>
  <c r="Z221" i="1"/>
  <c r="AB221" i="1"/>
  <c r="AC221" i="1"/>
  <c r="AD221" i="1"/>
  <c r="AE221" i="1"/>
  <c r="AH257" i="1"/>
  <c r="AM257" i="1"/>
  <c r="K222" i="1"/>
  <c r="M222" i="1"/>
  <c r="N222" i="1" s="1"/>
  <c r="Y222" i="1"/>
  <c r="Z222" i="1"/>
  <c r="AB222" i="1"/>
  <c r="AC222" i="1"/>
  <c r="AD222" i="1"/>
  <c r="AE222" i="1"/>
  <c r="R35" i="3" s="1"/>
  <c r="AM258" i="1"/>
  <c r="M36" i="3"/>
  <c r="U36" i="3"/>
  <c r="X36" i="3"/>
  <c r="M37" i="3"/>
  <c r="U37" i="3"/>
  <c r="X37" i="3"/>
  <c r="M22" i="3"/>
  <c r="U22" i="3"/>
  <c r="X22" i="3"/>
  <c r="M26" i="3"/>
  <c r="U26" i="3"/>
  <c r="X26" i="3"/>
  <c r="M32" i="3"/>
  <c r="U32" i="3"/>
  <c r="X32" i="3"/>
  <c r="M29" i="3"/>
  <c r="U29" i="3"/>
  <c r="X29" i="3"/>
  <c r="M30" i="3"/>
  <c r="U30" i="3"/>
  <c r="X30" i="3"/>
  <c r="M17" i="3"/>
  <c r="R17" i="3"/>
  <c r="U17" i="3"/>
  <c r="X17" i="3"/>
  <c r="M46" i="3"/>
  <c r="U46" i="3"/>
  <c r="X46" i="3"/>
  <c r="M42" i="3"/>
  <c r="U42" i="3"/>
  <c r="X42" i="3"/>
  <c r="M11" i="3"/>
  <c r="U11" i="3"/>
  <c r="X11" i="3"/>
  <c r="M7" i="3"/>
  <c r="U7" i="3"/>
  <c r="X7" i="3"/>
  <c r="M47" i="3"/>
  <c r="U47" i="3"/>
  <c r="X47" i="3"/>
  <c r="M13" i="3"/>
  <c r="U13" i="3"/>
  <c r="X13" i="3"/>
  <c r="M33" i="3"/>
  <c r="U33" i="3"/>
  <c r="X33" i="3"/>
  <c r="M27" i="3"/>
  <c r="U27" i="3"/>
  <c r="X27" i="3"/>
  <c r="M48" i="3"/>
  <c r="U48" i="3"/>
  <c r="X48" i="3"/>
  <c r="M9" i="3"/>
  <c r="R9" i="3"/>
  <c r="U9" i="3"/>
  <c r="X9" i="3"/>
  <c r="M44" i="3"/>
  <c r="U44" i="3"/>
  <c r="X44" i="3"/>
  <c r="M45" i="3"/>
  <c r="U45" i="3"/>
  <c r="X45" i="3"/>
  <c r="M39" i="3"/>
  <c r="U39" i="3"/>
  <c r="X39" i="3"/>
  <c r="M10" i="3"/>
  <c r="U10" i="3"/>
  <c r="X10" i="3"/>
  <c r="M38" i="3"/>
  <c r="U38" i="3"/>
  <c r="X38" i="3"/>
  <c r="M21" i="3"/>
  <c r="U21" i="3"/>
  <c r="X21" i="3"/>
  <c r="M19" i="3"/>
  <c r="R19" i="3"/>
  <c r="U19" i="3"/>
  <c r="X19" i="3"/>
  <c r="M40" i="3"/>
  <c r="R40" i="3"/>
  <c r="U40" i="3"/>
  <c r="X40" i="3"/>
  <c r="M41" i="3"/>
  <c r="U41" i="3"/>
  <c r="X41" i="3"/>
  <c r="M23" i="3"/>
  <c r="U23" i="3"/>
  <c r="X23" i="3"/>
  <c r="M16" i="3"/>
  <c r="U16" i="3"/>
  <c r="X16" i="3"/>
  <c r="M31" i="3"/>
  <c r="U31" i="3"/>
  <c r="X31" i="3"/>
  <c r="M14" i="3"/>
  <c r="U14" i="3"/>
  <c r="X14" i="3"/>
  <c r="M24" i="3"/>
  <c r="U24" i="3"/>
  <c r="X24" i="3"/>
  <c r="M28" i="3"/>
  <c r="R28" i="3"/>
  <c r="U28" i="3"/>
  <c r="X28" i="3"/>
  <c r="M34" i="3"/>
  <c r="U34" i="3"/>
  <c r="X34" i="3"/>
  <c r="M35" i="3"/>
  <c r="U35" i="3"/>
  <c r="X35" i="3"/>
  <c r="M25" i="3"/>
  <c r="U25" i="3"/>
  <c r="X25" i="3"/>
  <c r="M20" i="3"/>
  <c r="U20" i="3"/>
  <c r="X20" i="3"/>
  <c r="M12" i="3"/>
  <c r="U12" i="3"/>
  <c r="X12" i="3"/>
  <c r="M43" i="3"/>
  <c r="U43" i="3"/>
  <c r="X43" i="3"/>
  <c r="M8" i="3"/>
  <c r="U8" i="3"/>
  <c r="X8" i="3"/>
  <c r="M18" i="3"/>
  <c r="U18" i="3"/>
  <c r="X18" i="3"/>
  <c r="M30" i="5"/>
  <c r="M29" i="5"/>
  <c r="M28" i="5"/>
  <c r="M27" i="5"/>
  <c r="M26" i="5"/>
  <c r="AH136" i="1" s="1"/>
  <c r="AG16" i="1"/>
  <c r="AG32" i="1"/>
  <c r="AG47" i="1"/>
  <c r="AG62" i="1"/>
  <c r="AG78" i="1"/>
  <c r="AG94" i="1"/>
  <c r="AG31" i="1"/>
  <c r="AG72" i="1"/>
  <c r="AG120" i="1"/>
  <c r="AG243" i="1"/>
  <c r="AG188" i="1"/>
  <c r="AG27" i="1"/>
  <c r="AG52" i="1"/>
  <c r="AG73" i="1"/>
  <c r="AG95" i="1"/>
  <c r="AG113" i="1"/>
  <c r="AG129" i="1"/>
  <c r="AG145" i="1"/>
  <c r="AG228" i="1"/>
  <c r="AG244" i="1"/>
  <c r="AG158" i="1"/>
  <c r="AG152" i="1"/>
  <c r="AG189" i="1"/>
  <c r="AG151" i="1"/>
  <c r="AG202" i="1"/>
  <c r="AG44" i="1"/>
  <c r="AG75" i="1"/>
  <c r="AG106" i="1"/>
  <c r="AG134" i="1"/>
  <c r="AG229" i="1"/>
  <c r="AG257" i="1"/>
  <c r="AG208" i="1"/>
  <c r="AG200" i="1"/>
  <c r="AG37" i="1"/>
  <c r="AG77" i="1"/>
  <c r="AG116" i="1"/>
  <c r="AG227" i="1"/>
  <c r="AG174" i="1"/>
  <c r="AG194" i="1"/>
  <c r="AG69" i="1"/>
  <c r="AG122" i="1"/>
  <c r="AG225" i="1"/>
  <c r="AG159" i="1"/>
  <c r="AG184" i="1"/>
  <c r="AG19" i="1"/>
  <c r="AG45" i="1"/>
  <c r="AG65" i="1"/>
  <c r="AG87" i="1"/>
  <c r="AG107" i="1"/>
  <c r="AG123" i="1"/>
  <c r="AG139" i="1"/>
  <c r="AG217" i="1"/>
  <c r="AG238" i="1"/>
  <c r="AG254" i="1"/>
  <c r="AG169" i="1"/>
  <c r="AG177" i="1"/>
  <c r="AG153" i="1"/>
  <c r="AG212" i="1"/>
  <c r="AG214" i="1"/>
  <c r="AG157" i="1"/>
  <c r="AG180" i="1"/>
  <c r="W10" i="3"/>
  <c r="W36" i="3"/>
  <c r="W30" i="3"/>
  <c r="W27" i="3"/>
  <c r="W41" i="3"/>
  <c r="W9" i="3"/>
  <c r="W8" i="3"/>
  <c r="W20" i="3"/>
  <c r="W26" i="3"/>
  <c r="W19" i="3"/>
  <c r="AG165" i="1"/>
  <c r="AG28" i="1"/>
  <c r="AG50" i="1"/>
  <c r="AG70" i="1"/>
  <c r="AG90" i="1"/>
  <c r="AG41" i="1"/>
  <c r="AG93" i="1"/>
  <c r="AG223" i="1"/>
  <c r="AG195" i="1"/>
  <c r="AG38" i="1"/>
  <c r="AG68" i="1"/>
  <c r="AG101" i="1"/>
  <c r="AG121" i="1"/>
  <c r="AG141" i="1"/>
  <c r="AG232" i="1"/>
  <c r="AG252" i="1"/>
  <c r="AG171" i="1"/>
  <c r="AG175" i="1"/>
  <c r="AG198" i="1"/>
  <c r="AG34" i="1"/>
  <c r="AG80" i="1"/>
  <c r="AG118" i="1"/>
  <c r="AG216" i="1"/>
  <c r="AG163" i="1"/>
  <c r="AG176" i="1"/>
  <c r="AG21" i="1"/>
  <c r="AG88" i="1"/>
  <c r="AG136" i="1"/>
  <c r="AG161" i="1"/>
  <c r="AG18" i="1"/>
  <c r="AG96" i="1"/>
  <c r="AG150" i="1"/>
  <c r="AG168" i="1"/>
  <c r="AG220" i="1"/>
  <c r="AG35" i="1"/>
  <c r="AG71" i="1"/>
  <c r="AG97" i="1"/>
  <c r="AG119" i="1"/>
  <c r="AG143" i="1"/>
  <c r="AG230" i="1"/>
  <c r="AG250" i="1"/>
  <c r="AG173" i="1"/>
  <c r="AG178" i="1"/>
  <c r="AG193" i="1"/>
  <c r="AG231" i="1"/>
  <c r="AG203" i="1"/>
  <c r="W29" i="3"/>
  <c r="W48" i="3"/>
  <c r="W40" i="3"/>
  <c r="W39" i="3"/>
  <c r="W34" i="3"/>
  <c r="W16" i="3"/>
  <c r="W31" i="3"/>
  <c r="W33" i="3"/>
  <c r="AG205" i="1"/>
  <c r="AG172" i="1"/>
  <c r="AG99" i="1"/>
  <c r="AG211" i="1"/>
  <c r="AG110" i="1"/>
  <c r="AG207" i="1"/>
  <c r="AG49" i="1"/>
  <c r="AG103" i="1"/>
  <c r="AG147" i="1"/>
  <c r="AG258" i="1"/>
  <c r="AG186" i="1"/>
  <c r="AG239" i="1"/>
  <c r="W12" i="3"/>
  <c r="W11" i="3"/>
  <c r="W44" i="3"/>
  <c r="W17" i="3"/>
  <c r="W45" i="3"/>
  <c r="W35" i="3"/>
  <c r="AG100" i="1"/>
  <c r="AG36" i="1"/>
  <c r="AG54" i="1"/>
  <c r="AG74" i="1"/>
  <c r="AG98" i="1"/>
  <c r="AG51" i="1"/>
  <c r="AG104" i="1"/>
  <c r="AG255" i="1"/>
  <c r="AG17" i="1"/>
  <c r="AG42" i="1"/>
  <c r="AG79" i="1"/>
  <c r="AG105" i="1"/>
  <c r="AG125" i="1"/>
  <c r="AG149" i="1"/>
  <c r="AG236" i="1"/>
  <c r="AG256" i="1"/>
  <c r="AG182" i="1"/>
  <c r="AG218" i="1"/>
  <c r="AG48" i="1"/>
  <c r="AG91" i="1"/>
  <c r="AG126" i="1"/>
  <c r="AG237" i="1"/>
  <c r="AG192" i="1"/>
  <c r="AG46" i="1"/>
  <c r="AG148" i="1"/>
  <c r="AG39" i="1"/>
  <c r="AG233" i="1"/>
  <c r="AG14" i="1"/>
  <c r="AG76" i="1"/>
  <c r="AG127" i="1"/>
  <c r="AG234" i="1"/>
  <c r="AG156" i="1"/>
  <c r="AG112" i="1"/>
  <c r="AG187" i="1"/>
  <c r="W22" i="3"/>
  <c r="W14" i="3"/>
  <c r="AG170" i="1"/>
  <c r="AG53" i="1"/>
  <c r="AG235" i="1"/>
  <c r="AG25" i="1"/>
  <c r="AG242" i="1"/>
  <c r="AG128" i="1"/>
  <c r="W38" i="3"/>
  <c r="W43" i="3"/>
  <c r="AG43" i="1"/>
  <c r="AG86" i="1"/>
  <c r="AG83" i="1"/>
  <c r="AG179" i="1"/>
  <c r="AG63" i="1"/>
  <c r="AG117" i="1"/>
  <c r="AG224" i="1"/>
  <c r="AG167" i="1"/>
  <c r="AG222" i="1"/>
  <c r="AG64" i="1"/>
  <c r="AG146" i="1"/>
  <c r="AG191" i="1"/>
  <c r="AG67" i="1"/>
  <c r="AG247" i="1"/>
  <c r="AG85" i="1"/>
  <c r="AG253" i="1"/>
  <c r="AG30" i="1"/>
  <c r="AG92" i="1"/>
  <c r="AG135" i="1"/>
  <c r="AG246" i="1"/>
  <c r="AG185" i="1"/>
  <c r="AG140" i="1"/>
  <c r="AG196" i="1"/>
  <c r="W42" i="3"/>
  <c r="W37" i="3"/>
  <c r="W13" i="3"/>
  <c r="AG20" i="1"/>
  <c r="AG58" i="1"/>
  <c r="AG15" i="1"/>
  <c r="AG132" i="1"/>
  <c r="AG22" i="1"/>
  <c r="AG84" i="1"/>
  <c r="AG133" i="1"/>
  <c r="AG240" i="1"/>
  <c r="AG155" i="1"/>
  <c r="AG23" i="1"/>
  <c r="AG102" i="1"/>
  <c r="AG241" i="1"/>
  <c r="AG204" i="1"/>
  <c r="AG108" i="1"/>
  <c r="AG210" i="1"/>
  <c r="AG130" i="1"/>
  <c r="AG183" i="1"/>
  <c r="AG55" i="1"/>
  <c r="AG111" i="1"/>
  <c r="AG213" i="1"/>
  <c r="AG160" i="1"/>
  <c r="AG199" i="1"/>
  <c r="AG251" i="1"/>
  <c r="W7" i="3"/>
  <c r="W24" i="3"/>
  <c r="W21" i="3"/>
  <c r="W25" i="3"/>
  <c r="AG164" i="1"/>
  <c r="AG40" i="1"/>
  <c r="AG82" i="1"/>
  <c r="AG61" i="1"/>
  <c r="AG57" i="1"/>
  <c r="AG109" i="1"/>
  <c r="AG215" i="1"/>
  <c r="AG162" i="1"/>
  <c r="AG190" i="1"/>
  <c r="AG142" i="1"/>
  <c r="AG154" i="1"/>
  <c r="AG56" i="1"/>
  <c r="AG59" i="1"/>
  <c r="AG245" i="1"/>
  <c r="AG81" i="1"/>
  <c r="AG131" i="1"/>
  <c r="AG209" i="1"/>
  <c r="AG201" i="1"/>
  <c r="W28" i="3"/>
  <c r="W18" i="3"/>
  <c r="AG24" i="1"/>
  <c r="AG66" i="1"/>
  <c r="AG26" i="1"/>
  <c r="AG144" i="1"/>
  <c r="AG33" i="1"/>
  <c r="AG89" i="1"/>
  <c r="AG137" i="1"/>
  <c r="AG248" i="1"/>
  <c r="AG181" i="1"/>
  <c r="AG29" i="1"/>
  <c r="AG114" i="1"/>
  <c r="AG249" i="1"/>
  <c r="AG219" i="1"/>
  <c r="AG124" i="1"/>
  <c r="AG206" i="1"/>
  <c r="AG138" i="1"/>
  <c r="AG197" i="1"/>
  <c r="AG60" i="1"/>
  <c r="AG115" i="1"/>
  <c r="AG226" i="1"/>
  <c r="AG221" i="1"/>
  <c r="AG166" i="1"/>
  <c r="W23" i="3"/>
  <c r="W32" i="3"/>
  <c r="W47" i="3"/>
  <c r="W46" i="3"/>
  <c r="AH208" i="1" l="1"/>
  <c r="AH198" i="1"/>
  <c r="AH193" i="1"/>
  <c r="AH144" i="1"/>
  <c r="T166" i="1"/>
  <c r="X166" i="1"/>
  <c r="AH16" i="1"/>
  <c r="AH20" i="1"/>
  <c r="AH24" i="1"/>
  <c r="AH28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3" i="1"/>
  <c r="AH14" i="1"/>
  <c r="AH18" i="1"/>
  <c r="AH22" i="1"/>
  <c r="AH26" i="1"/>
  <c r="AH30" i="1"/>
  <c r="AH34" i="1"/>
  <c r="AH38" i="1"/>
  <c r="AH41" i="1"/>
  <c r="AH44" i="1"/>
  <c r="AH49" i="1"/>
  <c r="AH52" i="1"/>
  <c r="AH57" i="1"/>
  <c r="AH60" i="1"/>
  <c r="AH65" i="1"/>
  <c r="AH69" i="1"/>
  <c r="AH73" i="1"/>
  <c r="AH77" i="1"/>
  <c r="AH81" i="1"/>
  <c r="AH85" i="1"/>
  <c r="AH100" i="1"/>
  <c r="AH21" i="1"/>
  <c r="AH29" i="1"/>
  <c r="AH32" i="1"/>
  <c r="AH33" i="1"/>
  <c r="AH36" i="1"/>
  <c r="AH37" i="1"/>
  <c r="AH42" i="1"/>
  <c r="AH50" i="1"/>
  <c r="AH58" i="1"/>
  <c r="AH66" i="1"/>
  <c r="AH68" i="1"/>
  <c r="AH72" i="1"/>
  <c r="AH76" i="1"/>
  <c r="AH80" i="1"/>
  <c r="AH84" i="1"/>
  <c r="AH88" i="1"/>
  <c r="AH92" i="1"/>
  <c r="AH96" i="1"/>
  <c r="AH101" i="1"/>
  <c r="AH105" i="1"/>
  <c r="AH109" i="1"/>
  <c r="AH113" i="1"/>
  <c r="AH117" i="1"/>
  <c r="AH121" i="1"/>
  <c r="AH125" i="1"/>
  <c r="AH129" i="1"/>
  <c r="AH133" i="1"/>
  <c r="AH137" i="1"/>
  <c r="AH141" i="1"/>
  <c r="AH145" i="1"/>
  <c r="AH40" i="1"/>
  <c r="AH45" i="1"/>
  <c r="AH48" i="1"/>
  <c r="AH53" i="1"/>
  <c r="AH56" i="1"/>
  <c r="AH61" i="1"/>
  <c r="AH64" i="1"/>
  <c r="AH67" i="1"/>
  <c r="AH71" i="1"/>
  <c r="AH75" i="1"/>
  <c r="AH79" i="1"/>
  <c r="AH83" i="1"/>
  <c r="AH70" i="1"/>
  <c r="AH78" i="1"/>
  <c r="AH90" i="1"/>
  <c r="AH93" i="1"/>
  <c r="AH98" i="1"/>
  <c r="AH102" i="1"/>
  <c r="AH107" i="1"/>
  <c r="AH110" i="1"/>
  <c r="AH115" i="1"/>
  <c r="AH118" i="1"/>
  <c r="AH123" i="1"/>
  <c r="AH126" i="1"/>
  <c r="AH131" i="1"/>
  <c r="AH17" i="1"/>
  <c r="AH25" i="1"/>
  <c r="AH91" i="1"/>
  <c r="AH99" i="1"/>
  <c r="AH108" i="1"/>
  <c r="AH116" i="1"/>
  <c r="AH124" i="1"/>
  <c r="AH132" i="1"/>
  <c r="AH140" i="1"/>
  <c r="AH150" i="1"/>
  <c r="AH154" i="1"/>
  <c r="AH158" i="1"/>
  <c r="AH162" i="1"/>
  <c r="AH167" i="1"/>
  <c r="AH171" i="1"/>
  <c r="AH175" i="1"/>
  <c r="AH179" i="1"/>
  <c r="AH183" i="1"/>
  <c r="AH187" i="1"/>
  <c r="AH192" i="1"/>
  <c r="AH196" i="1"/>
  <c r="AH200" i="1"/>
  <c r="AH204" i="1"/>
  <c r="AH209" i="1"/>
  <c r="AH210" i="1"/>
  <c r="AH211" i="1"/>
  <c r="AH212" i="1"/>
  <c r="AH213" i="1"/>
  <c r="AH217" i="1"/>
  <c r="AH221" i="1"/>
  <c r="AH225" i="1"/>
  <c r="AH229" i="1"/>
  <c r="AH233" i="1"/>
  <c r="AH237" i="1"/>
  <c r="AH241" i="1"/>
  <c r="AH245" i="1"/>
  <c r="AH249" i="1"/>
  <c r="AH254" i="1"/>
  <c r="AH258" i="1"/>
  <c r="AH138" i="1"/>
  <c r="AH46" i="1"/>
  <c r="AH54" i="1"/>
  <c r="AH62" i="1"/>
  <c r="AH74" i="1"/>
  <c r="AH82" i="1"/>
  <c r="AH86" i="1"/>
  <c r="AH89" i="1"/>
  <c r="AH94" i="1"/>
  <c r="AH97" i="1"/>
  <c r="AH103" i="1"/>
  <c r="AH106" i="1"/>
  <c r="AH111" i="1"/>
  <c r="AH114" i="1"/>
  <c r="AH119" i="1"/>
  <c r="AH122" i="1"/>
  <c r="AH127" i="1"/>
  <c r="AH130" i="1"/>
  <c r="AH135" i="1"/>
  <c r="AH147" i="1"/>
  <c r="AH152" i="1"/>
  <c r="AH155" i="1"/>
  <c r="AH160" i="1"/>
  <c r="AH163" i="1"/>
  <c r="AH169" i="1"/>
  <c r="AH172" i="1"/>
  <c r="AH177" i="1"/>
  <c r="AH180" i="1"/>
  <c r="AH185" i="1"/>
  <c r="AH188" i="1"/>
  <c r="AH191" i="1"/>
  <c r="AH134" i="1"/>
  <c r="AH139" i="1"/>
  <c r="AH153" i="1"/>
  <c r="AH161" i="1"/>
  <c r="AH170" i="1"/>
  <c r="AH178" i="1"/>
  <c r="AH186" i="1"/>
  <c r="AH194" i="1"/>
  <c r="AH197" i="1"/>
  <c r="AH202" i="1"/>
  <c r="AH205" i="1"/>
  <c r="AH216" i="1"/>
  <c r="AH224" i="1"/>
  <c r="AH232" i="1"/>
  <c r="AH240" i="1"/>
  <c r="AH248" i="1"/>
  <c r="AH252" i="1"/>
  <c r="AH255" i="1"/>
  <c r="AH176" i="1"/>
  <c r="AH195" i="1"/>
  <c r="AH203" i="1"/>
  <c r="AH214" i="1"/>
  <c r="AH219" i="1"/>
  <c r="AH253" i="1"/>
  <c r="AH87" i="1"/>
  <c r="AH95" i="1"/>
  <c r="AH104" i="1"/>
  <c r="AH112" i="1"/>
  <c r="AH120" i="1"/>
  <c r="AH128" i="1"/>
  <c r="AH143" i="1"/>
  <c r="AH148" i="1"/>
  <c r="AH151" i="1"/>
  <c r="AH156" i="1"/>
  <c r="AH159" i="1"/>
  <c r="AH164" i="1"/>
  <c r="AH168" i="1"/>
  <c r="AH173" i="1"/>
  <c r="AH181" i="1"/>
  <c r="AH184" i="1"/>
  <c r="AH189" i="1"/>
  <c r="AH207" i="1"/>
  <c r="AH222" i="1"/>
  <c r="AH227" i="1"/>
  <c r="AH230" i="1"/>
  <c r="AH235" i="1"/>
  <c r="AH238" i="1"/>
  <c r="AH243" i="1"/>
  <c r="AH246" i="1"/>
  <c r="AH199" i="1"/>
  <c r="AH146" i="1"/>
  <c r="AA189" i="1"/>
  <c r="AA166" i="1"/>
  <c r="AH206" i="1"/>
  <c r="AH201" i="1"/>
  <c r="AA161" i="1"/>
  <c r="T157" i="1"/>
  <c r="X157" i="1"/>
  <c r="AA245" i="1"/>
  <c r="AA163" i="1"/>
  <c r="AA91" i="1"/>
  <c r="AA103" i="1"/>
  <c r="AA59" i="1"/>
  <c r="X48" i="1"/>
  <c r="AI165" i="1"/>
  <c r="U165" i="1"/>
  <c r="S165" i="1" s="1"/>
  <c r="W165" i="1"/>
  <c r="X165" i="1"/>
  <c r="AA255" i="1"/>
  <c r="AA230" i="1"/>
  <c r="AA226" i="1"/>
  <c r="AA217" i="1"/>
  <c r="AA209" i="1"/>
  <c r="AA205" i="1"/>
  <c r="W205" i="1" s="1"/>
  <c r="AA151" i="1"/>
  <c r="AA147" i="1"/>
  <c r="AA143" i="1"/>
  <c r="AA139" i="1"/>
  <c r="AA135" i="1"/>
  <c r="AA131" i="1"/>
  <c r="AA127" i="1"/>
  <c r="AA122" i="1"/>
  <c r="AA118" i="1"/>
  <c r="AA114" i="1"/>
  <c r="AA106" i="1"/>
  <c r="AA102" i="1"/>
  <c r="X71" i="1"/>
  <c r="AA71" i="1"/>
  <c r="X64" i="1"/>
  <c r="X61" i="1"/>
  <c r="X57" i="1"/>
  <c r="X100" i="1"/>
  <c r="U100" i="1"/>
  <c r="S100" i="1" s="1"/>
  <c r="AI100" i="1"/>
  <c r="W100" i="1"/>
  <c r="R38" i="3"/>
  <c r="X86" i="1"/>
  <c r="X72" i="1"/>
  <c r="AA194" i="1"/>
  <c r="AA77" i="1"/>
  <c r="AA73" i="1"/>
  <c r="R24" i="3"/>
  <c r="R46" i="3"/>
  <c r="AA200" i="1"/>
  <c r="X239" i="1"/>
  <c r="X92" i="1"/>
  <c r="X82" i="1"/>
  <c r="X78" i="1"/>
  <c r="AA55" i="1"/>
  <c r="AA38" i="1"/>
  <c r="R37" i="3"/>
  <c r="X174" i="1"/>
  <c r="AA237" i="1"/>
  <c r="X227" i="1"/>
  <c r="AA89" i="1"/>
  <c r="AA86" i="1"/>
  <c r="AA85" i="1"/>
  <c r="AA52" i="1"/>
  <c r="AA48" i="1"/>
  <c r="AA47" i="1"/>
  <c r="AA43" i="1"/>
  <c r="AA34" i="1"/>
  <c r="AA22" i="1"/>
  <c r="AA18" i="1"/>
  <c r="AA257" i="1"/>
  <c r="X235" i="1"/>
  <c r="X102" i="1"/>
  <c r="X79" i="1"/>
  <c r="AA79" i="1"/>
  <c r="W79" i="1" s="1"/>
  <c r="X75" i="1"/>
  <c r="AA75" i="1"/>
  <c r="W75" i="1" s="1"/>
  <c r="X74" i="1"/>
  <c r="AA64" i="1"/>
  <c r="AA63" i="1"/>
  <c r="AA61" i="1"/>
  <c r="AA60" i="1"/>
  <c r="X59" i="1"/>
  <c r="AA58" i="1"/>
  <c r="AA57" i="1"/>
  <c r="W57" i="1" s="1"/>
  <c r="AA45" i="1"/>
  <c r="AA41" i="1"/>
  <c r="AA40" i="1"/>
  <c r="R44" i="3"/>
  <c r="R47" i="3"/>
  <c r="AA220" i="1"/>
  <c r="AA190" i="1"/>
  <c r="W190" i="1" s="1"/>
  <c r="AA174" i="1"/>
  <c r="AA171" i="1"/>
  <c r="X170" i="1"/>
  <c r="AA243" i="1"/>
  <c r="AA233" i="1"/>
  <c r="X231" i="1"/>
  <c r="AA149" i="1"/>
  <c r="AA145" i="1"/>
  <c r="AA141" i="1"/>
  <c r="AA137" i="1"/>
  <c r="AA133" i="1"/>
  <c r="AA129" i="1"/>
  <c r="AA125" i="1"/>
  <c r="AA120" i="1"/>
  <c r="W120" i="1" s="1"/>
  <c r="AA116" i="1"/>
  <c r="AA112" i="1"/>
  <c r="AA108" i="1"/>
  <c r="AA99" i="1"/>
  <c r="W99" i="1" s="1"/>
  <c r="X97" i="1"/>
  <c r="AA93" i="1"/>
  <c r="X91" i="1"/>
  <c r="AA82" i="1"/>
  <c r="X80" i="1"/>
  <c r="X76" i="1"/>
  <c r="X56" i="1"/>
  <c r="AA168" i="1"/>
  <c r="W168" i="1" s="1"/>
  <c r="AA162" i="1"/>
  <c r="AA239" i="1"/>
  <c r="W239" i="1" s="1"/>
  <c r="AA235" i="1"/>
  <c r="AA234" i="1"/>
  <c r="W234" i="1" s="1"/>
  <c r="AA229" i="1"/>
  <c r="AA224" i="1"/>
  <c r="AA211" i="1"/>
  <c r="AA207" i="1"/>
  <c r="AA203" i="1"/>
  <c r="AA95" i="1"/>
  <c r="W95" i="1" s="1"/>
  <c r="AA202" i="1"/>
  <c r="AA196" i="1"/>
  <c r="W196" i="1" s="1"/>
  <c r="AA219" i="1"/>
  <c r="AA193" i="1"/>
  <c r="W193" i="1" s="1"/>
  <c r="AA201" i="1"/>
  <c r="X161" i="1"/>
  <c r="AA49" i="1"/>
  <c r="AA35" i="1"/>
  <c r="AA33" i="1"/>
  <c r="AA29" i="1"/>
  <c r="AA25" i="1"/>
  <c r="W25" i="1" s="1"/>
  <c r="AA21" i="1"/>
  <c r="W21" i="1" s="1"/>
  <c r="AA17" i="1"/>
  <c r="AA221" i="1"/>
  <c r="AA198" i="1"/>
  <c r="AA191" i="1"/>
  <c r="W191" i="1" s="1"/>
  <c r="AA173" i="1"/>
  <c r="W173" i="1" s="1"/>
  <c r="AA172" i="1"/>
  <c r="X172" i="1"/>
  <c r="AA256" i="1"/>
  <c r="X255" i="1"/>
  <c r="AA253" i="1"/>
  <c r="AA251" i="1"/>
  <c r="W251" i="1" s="1"/>
  <c r="AA250" i="1"/>
  <c r="AA248" i="1"/>
  <c r="W248" i="1" s="1"/>
  <c r="AA247" i="1"/>
  <c r="X247" i="1"/>
  <c r="X245" i="1"/>
  <c r="AA232" i="1"/>
  <c r="W232" i="1" s="1"/>
  <c r="AA231" i="1"/>
  <c r="AA225" i="1"/>
  <c r="W225" i="1" s="1"/>
  <c r="AA216" i="1"/>
  <c r="W216" i="1" s="1"/>
  <c r="AA156" i="1"/>
  <c r="W156" i="1" s="1"/>
  <c r="AA152" i="1"/>
  <c r="W152" i="1" s="1"/>
  <c r="AA148" i="1"/>
  <c r="W148" i="1" s="1"/>
  <c r="AA144" i="1"/>
  <c r="AA140" i="1"/>
  <c r="W140" i="1" s="1"/>
  <c r="AA136" i="1"/>
  <c r="AA132" i="1"/>
  <c r="W132" i="1" s="1"/>
  <c r="AA128" i="1"/>
  <c r="AA124" i="1"/>
  <c r="W124" i="1" s="1"/>
  <c r="AA123" i="1"/>
  <c r="AA119" i="1"/>
  <c r="W119" i="1" s="1"/>
  <c r="AA115" i="1"/>
  <c r="AA111" i="1"/>
  <c r="W111" i="1" s="1"/>
  <c r="AA110" i="1"/>
  <c r="X110" i="1"/>
  <c r="X108" i="1"/>
  <c r="AA92" i="1"/>
  <c r="W92" i="1" s="1"/>
  <c r="AA88" i="1"/>
  <c r="AA87" i="1"/>
  <c r="W87" i="1" s="1"/>
  <c r="X84" i="1"/>
  <c r="T80" i="1"/>
  <c r="U80" i="1" s="1"/>
  <c r="S80" i="1" s="1"/>
  <c r="T78" i="1"/>
  <c r="T76" i="1"/>
  <c r="AA67" i="1"/>
  <c r="AA66" i="1"/>
  <c r="W66" i="1" s="1"/>
  <c r="X66" i="1"/>
  <c r="X60" i="1"/>
  <c r="AA54" i="1"/>
  <c r="AA53" i="1"/>
  <c r="W53" i="1" s="1"/>
  <c r="AA51" i="1"/>
  <c r="AA50" i="1"/>
  <c r="W50" i="1" s="1"/>
  <c r="AA39" i="1"/>
  <c r="AA37" i="1"/>
  <c r="AA36" i="1"/>
  <c r="AA30" i="1"/>
  <c r="W30" i="1" s="1"/>
  <c r="AA26" i="1"/>
  <c r="X257" i="1"/>
  <c r="AA97" i="1"/>
  <c r="AA96" i="1"/>
  <c r="W96" i="1" s="1"/>
  <c r="AA94" i="1"/>
  <c r="AA90" i="1"/>
  <c r="W90" i="1" s="1"/>
  <c r="AA68" i="1"/>
  <c r="AA42" i="1"/>
  <c r="AA31" i="1"/>
  <c r="AA27" i="1"/>
  <c r="AA23" i="1"/>
  <c r="W23" i="1" s="1"/>
  <c r="AA19" i="1"/>
  <c r="AA15" i="1"/>
  <c r="AA159" i="1"/>
  <c r="W159" i="1" s="1"/>
  <c r="AA157" i="1"/>
  <c r="W157" i="1" s="1"/>
  <c r="X251" i="1"/>
  <c r="AA242" i="1"/>
  <c r="W242" i="1" s="1"/>
  <c r="AA241" i="1"/>
  <c r="W241" i="1" s="1"/>
  <c r="X241" i="1"/>
  <c r="AA228" i="1"/>
  <c r="AA227" i="1"/>
  <c r="AA223" i="1"/>
  <c r="W223" i="1" s="1"/>
  <c r="X216" i="1"/>
  <c r="AA208" i="1"/>
  <c r="AA150" i="1"/>
  <c r="AA146" i="1"/>
  <c r="AA142" i="1"/>
  <c r="W142" i="1" s="1"/>
  <c r="AA138" i="1"/>
  <c r="AA134" i="1"/>
  <c r="W134" i="1" s="1"/>
  <c r="AA130" i="1"/>
  <c r="AA126" i="1"/>
  <c r="W126" i="1" s="1"/>
  <c r="AA121" i="1"/>
  <c r="AA117" i="1"/>
  <c r="AA113" i="1"/>
  <c r="W113" i="1" s="1"/>
  <c r="AA105" i="1"/>
  <c r="W105" i="1" s="1"/>
  <c r="AA104" i="1"/>
  <c r="X88" i="1"/>
  <c r="AA84" i="1"/>
  <c r="W84" i="1" s="1"/>
  <c r="AA83" i="1"/>
  <c r="AA81" i="1"/>
  <c r="AA46" i="1"/>
  <c r="AA44" i="1"/>
  <c r="W44" i="1" s="1"/>
  <c r="AA32" i="1"/>
  <c r="AA28" i="1"/>
  <c r="AA24" i="1"/>
  <c r="AA20" i="1"/>
  <c r="W20" i="1" s="1"/>
  <c r="AA16" i="1"/>
  <c r="AA218" i="1"/>
  <c r="AA195" i="1"/>
  <c r="AA222" i="1"/>
  <c r="W222" i="1" s="1"/>
  <c r="AA199" i="1"/>
  <c r="AA192" i="1"/>
  <c r="T170" i="1"/>
  <c r="U170" i="1" s="1"/>
  <c r="S170" i="1" s="1"/>
  <c r="AA167" i="1"/>
  <c r="W167" i="1" s="1"/>
  <c r="AA160" i="1"/>
  <c r="W160" i="1" s="1"/>
  <c r="T255" i="1"/>
  <c r="AA252" i="1"/>
  <c r="AA246" i="1"/>
  <c r="T239" i="1"/>
  <c r="U239" i="1" s="1"/>
  <c r="S239" i="1" s="1"/>
  <c r="AA236" i="1"/>
  <c r="AA215" i="1"/>
  <c r="AA214" i="1"/>
  <c r="W214" i="1" s="1"/>
  <c r="AA213" i="1"/>
  <c r="W213" i="1" s="1"/>
  <c r="AA212" i="1"/>
  <c r="AA204" i="1"/>
  <c r="W204" i="1" s="1"/>
  <c r="X243" i="1"/>
  <c r="AA188" i="1"/>
  <c r="AA187" i="1"/>
  <c r="W187" i="1" s="1"/>
  <c r="AA186" i="1"/>
  <c r="AA185" i="1"/>
  <c r="AA184" i="1"/>
  <c r="AA183" i="1"/>
  <c r="W183" i="1" s="1"/>
  <c r="AA182" i="1"/>
  <c r="AA181" i="1"/>
  <c r="AA180" i="1"/>
  <c r="AA179" i="1"/>
  <c r="W179" i="1" s="1"/>
  <c r="AA178" i="1"/>
  <c r="AA177" i="1"/>
  <c r="AA176" i="1"/>
  <c r="AA175" i="1"/>
  <c r="W175" i="1" s="1"/>
  <c r="AA169" i="1"/>
  <c r="W169" i="1" s="1"/>
  <c r="X163" i="1"/>
  <c r="AA158" i="1"/>
  <c r="AA254" i="1"/>
  <c r="W254" i="1" s="1"/>
  <c r="X249" i="1"/>
  <c r="AA244" i="1"/>
  <c r="W244" i="1" s="1"/>
  <c r="AA238" i="1"/>
  <c r="X233" i="1"/>
  <c r="X229" i="1"/>
  <c r="AA109" i="1"/>
  <c r="T102" i="1"/>
  <c r="AA98" i="1"/>
  <c r="X93" i="1"/>
  <c r="T91" i="1"/>
  <c r="U91" i="1" s="1"/>
  <c r="S91" i="1" s="1"/>
  <c r="X89" i="1"/>
  <c r="X81" i="1"/>
  <c r="AA80" i="1"/>
  <c r="W80" i="1" s="1"/>
  <c r="T79" i="1"/>
  <c r="U79" i="1" s="1"/>
  <c r="S79" i="1" s="1"/>
  <c r="X77" i="1"/>
  <c r="AA76" i="1"/>
  <c r="T75" i="1"/>
  <c r="U75" i="1" s="1"/>
  <c r="S75" i="1" s="1"/>
  <c r="X73" i="1"/>
  <c r="AA72" i="1"/>
  <c r="T71" i="1"/>
  <c r="U71" i="1" s="1"/>
  <c r="S71" i="1" s="1"/>
  <c r="AA65" i="1"/>
  <c r="W65" i="1" s="1"/>
  <c r="X62" i="1"/>
  <c r="T59" i="1"/>
  <c r="X55" i="1"/>
  <c r="X106" i="1"/>
  <c r="X99" i="1"/>
  <c r="X90" i="1"/>
  <c r="X87" i="1"/>
  <c r="X85" i="1"/>
  <c r="X83" i="1"/>
  <c r="X68" i="1"/>
  <c r="X54" i="1"/>
  <c r="AA14" i="1"/>
  <c r="W14" i="1" s="1"/>
  <c r="AA155" i="1"/>
  <c r="W155" i="1" s="1"/>
  <c r="AA107" i="1"/>
  <c r="AA101" i="1"/>
  <c r="AA78" i="1"/>
  <c r="AA74" i="1"/>
  <c r="W74" i="1" s="1"/>
  <c r="AA70" i="1"/>
  <c r="AA69" i="1"/>
  <c r="T58" i="1"/>
  <c r="U58" i="1" s="1"/>
  <c r="S58" i="1" s="1"/>
  <c r="AI255" i="1"/>
  <c r="AI253" i="1"/>
  <c r="AI247" i="1"/>
  <c r="AI167" i="1"/>
  <c r="AI256" i="1"/>
  <c r="AI254" i="1"/>
  <c r="AI246" i="1"/>
  <c r="AI244" i="1"/>
  <c r="AI158" i="1"/>
  <c r="AI249" i="1"/>
  <c r="AI245" i="1"/>
  <c r="AI257" i="1"/>
  <c r="AI251" i="1"/>
  <c r="AI258" i="1"/>
  <c r="AI252" i="1"/>
  <c r="AI250" i="1"/>
  <c r="AI248" i="1"/>
  <c r="AI151" i="1"/>
  <c r="AI160" i="1"/>
  <c r="AI153" i="1"/>
  <c r="AI243" i="1"/>
  <c r="W192" i="1"/>
  <c r="AI241" i="1"/>
  <c r="AI239" i="1"/>
  <c r="AI237" i="1"/>
  <c r="AI235" i="1"/>
  <c r="AI233" i="1"/>
  <c r="AI231" i="1"/>
  <c r="AI229" i="1"/>
  <c r="AI227" i="1"/>
  <c r="AI226" i="1"/>
  <c r="AI164" i="1"/>
  <c r="AI242" i="1"/>
  <c r="AI240" i="1"/>
  <c r="W189" i="1"/>
  <c r="AI238" i="1"/>
  <c r="AI236" i="1"/>
  <c r="AI234" i="1"/>
  <c r="AI232" i="1"/>
  <c r="AI230" i="1"/>
  <c r="AI228" i="1"/>
  <c r="AI162" i="1"/>
  <c r="AI155" i="1"/>
  <c r="AI166" i="1"/>
  <c r="AI163" i="1"/>
  <c r="W209" i="1"/>
  <c r="AI161" i="1"/>
  <c r="AI159" i="1"/>
  <c r="AI157" i="1"/>
  <c r="AI156" i="1"/>
  <c r="AI154" i="1"/>
  <c r="AI152" i="1"/>
  <c r="U174" i="1"/>
  <c r="S174" i="1" s="1"/>
  <c r="AI225" i="1"/>
  <c r="AI224" i="1"/>
  <c r="U172" i="1"/>
  <c r="S172" i="1" s="1"/>
  <c r="AI223" i="1"/>
  <c r="AI222" i="1"/>
  <c r="AI221" i="1"/>
  <c r="AI220" i="1"/>
  <c r="U168" i="1"/>
  <c r="S168" i="1" s="1"/>
  <c r="AI219" i="1"/>
  <c r="AI218" i="1"/>
  <c r="U166" i="1"/>
  <c r="S166" i="1" s="1"/>
  <c r="AI217" i="1"/>
  <c r="AI216" i="1"/>
  <c r="U163" i="1"/>
  <c r="S163" i="1" s="1"/>
  <c r="AI215" i="1"/>
  <c r="AI214" i="1"/>
  <c r="U161" i="1"/>
  <c r="S161" i="1" s="1"/>
  <c r="AI213" i="1"/>
  <c r="AI212" i="1"/>
  <c r="U159" i="1"/>
  <c r="S159" i="1" s="1"/>
  <c r="AI211" i="1"/>
  <c r="AI210" i="1"/>
  <c r="U157" i="1"/>
  <c r="S157" i="1" s="1"/>
  <c r="AI209" i="1"/>
  <c r="AI208" i="1"/>
  <c r="U257" i="1"/>
  <c r="S257" i="1" s="1"/>
  <c r="AI207" i="1"/>
  <c r="AI206" i="1"/>
  <c r="U255" i="1"/>
  <c r="S255" i="1" s="1"/>
  <c r="AI205" i="1"/>
  <c r="AI204" i="1"/>
  <c r="U253" i="1"/>
  <c r="S253" i="1" s="1"/>
  <c r="AI203" i="1"/>
  <c r="AI202" i="1"/>
  <c r="U251" i="1"/>
  <c r="S251" i="1" s="1"/>
  <c r="AI201" i="1"/>
  <c r="AI200" i="1"/>
  <c r="U249" i="1"/>
  <c r="S249" i="1" s="1"/>
  <c r="AI199" i="1"/>
  <c r="AI198" i="1"/>
  <c r="U247" i="1"/>
  <c r="S247" i="1" s="1"/>
  <c r="AI197" i="1"/>
  <c r="AI196" i="1"/>
  <c r="U245" i="1"/>
  <c r="S245" i="1" s="1"/>
  <c r="AI195" i="1"/>
  <c r="AI194" i="1"/>
  <c r="U243" i="1"/>
  <c r="S243" i="1" s="1"/>
  <c r="AI193" i="1"/>
  <c r="AI192" i="1"/>
  <c r="U241" i="1"/>
  <c r="S241" i="1" s="1"/>
  <c r="AI191" i="1"/>
  <c r="AI190" i="1"/>
  <c r="AI189" i="1"/>
  <c r="AI188" i="1"/>
  <c r="U237" i="1"/>
  <c r="S237" i="1" s="1"/>
  <c r="AI187" i="1"/>
  <c r="AI186" i="1"/>
  <c r="U235" i="1"/>
  <c r="S235" i="1" s="1"/>
  <c r="AI185" i="1"/>
  <c r="AI184" i="1"/>
  <c r="U233" i="1"/>
  <c r="S233" i="1" s="1"/>
  <c r="AI183" i="1"/>
  <c r="AI182" i="1"/>
  <c r="U231" i="1"/>
  <c r="S231" i="1" s="1"/>
  <c r="AI181" i="1"/>
  <c r="AI180" i="1"/>
  <c r="U229" i="1"/>
  <c r="S229" i="1" s="1"/>
  <c r="AI179" i="1"/>
  <c r="AI178" i="1"/>
  <c r="U227" i="1"/>
  <c r="S227" i="1" s="1"/>
  <c r="AI177" i="1"/>
  <c r="AI176" i="1"/>
  <c r="U225" i="1"/>
  <c r="S225" i="1" s="1"/>
  <c r="AI175" i="1"/>
  <c r="AI174" i="1"/>
  <c r="U223" i="1"/>
  <c r="S223" i="1" s="1"/>
  <c r="AI173" i="1"/>
  <c r="AI172" i="1"/>
  <c r="U216" i="1"/>
  <c r="S216" i="1" s="1"/>
  <c r="AI171" i="1"/>
  <c r="AI170" i="1"/>
  <c r="AI169" i="1"/>
  <c r="AI168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U110" i="1"/>
  <c r="S110" i="1" s="1"/>
  <c r="AI110" i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AI101" i="1"/>
  <c r="U99" i="1"/>
  <c r="S99" i="1" s="1"/>
  <c r="AI99" i="1"/>
  <c r="AI98" i="1"/>
  <c r="U97" i="1"/>
  <c r="S97" i="1" s="1"/>
  <c r="AI97" i="1"/>
  <c r="AI96" i="1"/>
  <c r="U95" i="1"/>
  <c r="S95" i="1" s="1"/>
  <c r="AI95" i="1"/>
  <c r="AI94" i="1"/>
  <c r="U93" i="1"/>
  <c r="S93" i="1" s="1"/>
  <c r="AI93" i="1"/>
  <c r="U92" i="1"/>
  <c r="S92" i="1" s="1"/>
  <c r="AI92" i="1"/>
  <c r="AI91" i="1"/>
  <c r="U90" i="1"/>
  <c r="S90" i="1" s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AI80" i="1"/>
  <c r="AI79" i="1"/>
  <c r="U78" i="1"/>
  <c r="S78" i="1" s="1"/>
  <c r="AI78" i="1"/>
  <c r="U77" i="1"/>
  <c r="S77" i="1" s="1"/>
  <c r="AI77" i="1"/>
  <c r="U76" i="1"/>
  <c r="S76" i="1" s="1"/>
  <c r="AI76" i="1"/>
  <c r="AI75" i="1"/>
  <c r="U74" i="1"/>
  <c r="S74" i="1" s="1"/>
  <c r="AI74" i="1"/>
  <c r="U73" i="1"/>
  <c r="S73" i="1" s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AI62" i="1"/>
  <c r="W62" i="1"/>
  <c r="U61" i="1"/>
  <c r="S61" i="1" s="1"/>
  <c r="AI61" i="1"/>
  <c r="AI60" i="1"/>
  <c r="U59" i="1"/>
  <c r="S59" i="1" s="1"/>
  <c r="AI59" i="1"/>
  <c r="AI58" i="1"/>
  <c r="W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8" i="1"/>
  <c r="W201" i="1"/>
  <c r="W199" i="1"/>
  <c r="W197" i="1"/>
  <c r="W195" i="1"/>
  <c r="W221" i="1"/>
  <c r="W219" i="1"/>
  <c r="W202" i="1"/>
  <c r="W200" i="1"/>
  <c r="W198" i="1"/>
  <c r="W194" i="1"/>
  <c r="W220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X175" i="1"/>
  <c r="T175" i="1"/>
  <c r="U175" i="1" s="1"/>
  <c r="S175" i="1" s="1"/>
  <c r="W172" i="1"/>
  <c r="X158" i="1"/>
  <c r="T158" i="1"/>
  <c r="U158" i="1" s="1"/>
  <c r="S158" i="1" s="1"/>
  <c r="W258" i="1"/>
  <c r="W257" i="1"/>
  <c r="X236" i="1"/>
  <c r="T236" i="1"/>
  <c r="U236" i="1" s="1"/>
  <c r="S236" i="1" s="1"/>
  <c r="W233" i="1"/>
  <c r="W231" i="1"/>
  <c r="W230" i="1"/>
  <c r="W229" i="1"/>
  <c r="W228" i="1"/>
  <c r="W227" i="1"/>
  <c r="W226" i="1"/>
  <c r="X224" i="1"/>
  <c r="T224" i="1"/>
  <c r="U224" i="1" s="1"/>
  <c r="S224" i="1" s="1"/>
  <c r="T214" i="1"/>
  <c r="U214" i="1" s="1"/>
  <c r="S214" i="1" s="1"/>
  <c r="X214" i="1"/>
  <c r="W55" i="1"/>
  <c r="T222" i="1"/>
  <c r="U222" i="1" s="1"/>
  <c r="S222" i="1" s="1"/>
  <c r="X222" i="1"/>
  <c r="T218" i="1"/>
  <c r="U218" i="1" s="1"/>
  <c r="S218" i="1" s="1"/>
  <c r="X218" i="1"/>
  <c r="T195" i="1"/>
  <c r="U195" i="1" s="1"/>
  <c r="S195" i="1" s="1"/>
  <c r="X195" i="1"/>
  <c r="T221" i="1"/>
  <c r="U221" i="1" s="1"/>
  <c r="S221" i="1" s="1"/>
  <c r="X221" i="1"/>
  <c r="T219" i="1"/>
  <c r="U219" i="1" s="1"/>
  <c r="S219" i="1" s="1"/>
  <c r="X219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W188" i="1"/>
  <c r="W186" i="1"/>
  <c r="W185" i="1"/>
  <c r="W184" i="1"/>
  <c r="W182" i="1"/>
  <c r="W181" i="1"/>
  <c r="W180" i="1"/>
  <c r="W178" i="1"/>
  <c r="W177" i="1"/>
  <c r="W176" i="1"/>
  <c r="W174" i="1"/>
  <c r="X169" i="1"/>
  <c r="T169" i="1"/>
  <c r="U169" i="1" s="1"/>
  <c r="S169" i="1" s="1"/>
  <c r="W166" i="1"/>
  <c r="X160" i="1"/>
  <c r="T160" i="1"/>
  <c r="U160" i="1" s="1"/>
  <c r="S160" i="1" s="1"/>
  <c r="W158" i="1"/>
  <c r="X254" i="1"/>
  <c r="T254" i="1"/>
  <c r="U254" i="1" s="1"/>
  <c r="S254" i="1" s="1"/>
  <c r="W252" i="1"/>
  <c r="X246" i="1"/>
  <c r="T246" i="1"/>
  <c r="U246" i="1" s="1"/>
  <c r="S246" i="1" s="1"/>
  <c r="W243" i="1"/>
  <c r="X238" i="1"/>
  <c r="T238" i="1"/>
  <c r="U238" i="1" s="1"/>
  <c r="S238" i="1" s="1"/>
  <c r="W236" i="1"/>
  <c r="W235" i="1"/>
  <c r="W224" i="1"/>
  <c r="X217" i="1"/>
  <c r="T217" i="1"/>
  <c r="U217" i="1" s="1"/>
  <c r="S217" i="1" s="1"/>
  <c r="X167" i="1"/>
  <c r="T167" i="1"/>
  <c r="U167" i="1" s="1"/>
  <c r="S167" i="1" s="1"/>
  <c r="W164" i="1"/>
  <c r="W163" i="1"/>
  <c r="X252" i="1"/>
  <c r="T252" i="1"/>
  <c r="U252" i="1" s="1"/>
  <c r="S252" i="1" s="1"/>
  <c r="W250" i="1"/>
  <c r="W249" i="1"/>
  <c r="W150" i="1"/>
  <c r="W146" i="1"/>
  <c r="W136" i="1"/>
  <c r="W130" i="1"/>
  <c r="W128" i="1"/>
  <c r="T220" i="1"/>
  <c r="U220" i="1" s="1"/>
  <c r="S220" i="1" s="1"/>
  <c r="X220" i="1"/>
  <c r="T201" i="1"/>
  <c r="U201" i="1" s="1"/>
  <c r="S201" i="1" s="1"/>
  <c r="X201" i="1"/>
  <c r="T197" i="1"/>
  <c r="U197" i="1" s="1"/>
  <c r="S197" i="1" s="1"/>
  <c r="X197" i="1"/>
  <c r="T193" i="1"/>
  <c r="U193" i="1" s="1"/>
  <c r="S193" i="1" s="1"/>
  <c r="X193" i="1"/>
  <c r="X173" i="1"/>
  <c r="T173" i="1"/>
  <c r="U173" i="1" s="1"/>
  <c r="S173" i="1" s="1"/>
  <c r="W171" i="1"/>
  <c r="W170" i="1"/>
  <c r="X168" i="1"/>
  <c r="X164" i="1"/>
  <c r="T164" i="1"/>
  <c r="U164" i="1" s="1"/>
  <c r="S164" i="1" s="1"/>
  <c r="W162" i="1"/>
  <c r="W161" i="1"/>
  <c r="X159" i="1"/>
  <c r="X258" i="1"/>
  <c r="T258" i="1"/>
  <c r="U258" i="1" s="1"/>
  <c r="S258" i="1" s="1"/>
  <c r="W256" i="1"/>
  <c r="W255" i="1"/>
  <c r="X253" i="1"/>
  <c r="X250" i="1"/>
  <c r="T250" i="1"/>
  <c r="U250" i="1" s="1"/>
  <c r="S250" i="1" s="1"/>
  <c r="W247" i="1"/>
  <c r="X242" i="1"/>
  <c r="T242" i="1"/>
  <c r="U242" i="1" s="1"/>
  <c r="S242" i="1" s="1"/>
  <c r="W240" i="1"/>
  <c r="X237" i="1"/>
  <c r="X234" i="1"/>
  <c r="T234" i="1"/>
  <c r="U234" i="1" s="1"/>
  <c r="S234" i="1" s="1"/>
  <c r="X232" i="1"/>
  <c r="T232" i="1"/>
  <c r="U232" i="1" s="1"/>
  <c r="S232" i="1" s="1"/>
  <c r="X230" i="1"/>
  <c r="T230" i="1"/>
  <c r="U230" i="1" s="1"/>
  <c r="S230" i="1" s="1"/>
  <c r="X228" i="1"/>
  <c r="T228" i="1"/>
  <c r="U228" i="1" s="1"/>
  <c r="S228" i="1" s="1"/>
  <c r="X226" i="1"/>
  <c r="T226" i="1"/>
  <c r="U226" i="1" s="1"/>
  <c r="S226" i="1" s="1"/>
  <c r="X223" i="1"/>
  <c r="W215" i="1"/>
  <c r="W211" i="1"/>
  <c r="W154" i="1"/>
  <c r="X244" i="1"/>
  <c r="T244" i="1"/>
  <c r="U244" i="1" s="1"/>
  <c r="S244" i="1" s="1"/>
  <c r="W203" i="1"/>
  <c r="W144" i="1"/>
  <c r="W138" i="1"/>
  <c r="T199" i="1"/>
  <c r="U199" i="1" s="1"/>
  <c r="S199" i="1" s="1"/>
  <c r="X199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X171" i="1"/>
  <c r="T171" i="1"/>
  <c r="U171" i="1" s="1"/>
  <c r="S171" i="1" s="1"/>
  <c r="X162" i="1"/>
  <c r="T162" i="1"/>
  <c r="U162" i="1" s="1"/>
  <c r="S162" i="1" s="1"/>
  <c r="X256" i="1"/>
  <c r="T256" i="1"/>
  <c r="U256" i="1" s="1"/>
  <c r="S256" i="1" s="1"/>
  <c r="W253" i="1"/>
  <c r="X248" i="1"/>
  <c r="T248" i="1"/>
  <c r="U248" i="1" s="1"/>
  <c r="S248" i="1" s="1"/>
  <c r="W246" i="1"/>
  <c r="W245" i="1"/>
  <c r="X240" i="1"/>
  <c r="T240" i="1"/>
  <c r="U240" i="1" s="1"/>
  <c r="S240" i="1" s="1"/>
  <c r="W238" i="1"/>
  <c r="W237" i="1"/>
  <c r="X225" i="1"/>
  <c r="W217" i="1"/>
  <c r="T215" i="1"/>
  <c r="U215" i="1" s="1"/>
  <c r="S215" i="1" s="1"/>
  <c r="X215" i="1"/>
  <c r="T213" i="1"/>
  <c r="U213" i="1" s="1"/>
  <c r="S213" i="1" s="1"/>
  <c r="X213" i="1"/>
  <c r="T210" i="1"/>
  <c r="U210" i="1" s="1"/>
  <c r="S210" i="1" s="1"/>
  <c r="X210" i="1"/>
  <c r="W208" i="1"/>
  <c r="W207" i="1"/>
  <c r="T212" i="1"/>
  <c r="U212" i="1" s="1"/>
  <c r="S212" i="1" s="1"/>
  <c r="X212" i="1"/>
  <c r="AA210" i="1"/>
  <c r="W210" i="1" s="1"/>
  <c r="T204" i="1"/>
  <c r="U204" i="1" s="1"/>
  <c r="S204" i="1" s="1"/>
  <c r="X204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W109" i="1"/>
  <c r="W108" i="1"/>
  <c r="W101" i="1"/>
  <c r="W61" i="1"/>
  <c r="T208" i="1"/>
  <c r="U208" i="1" s="1"/>
  <c r="S208" i="1" s="1"/>
  <c r="X208" i="1"/>
  <c r="AA206" i="1"/>
  <c r="W206" i="1" s="1"/>
  <c r="T155" i="1"/>
  <c r="U155" i="1" s="1"/>
  <c r="S155" i="1" s="1"/>
  <c r="X155" i="1"/>
  <c r="AA153" i="1"/>
  <c r="W153" i="1" s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X111" i="1"/>
  <c r="T111" i="1"/>
  <c r="U111" i="1" s="1"/>
  <c r="S111" i="1" s="1"/>
  <c r="X103" i="1"/>
  <c r="T103" i="1"/>
  <c r="U103" i="1" s="1"/>
  <c r="S103" i="1" s="1"/>
  <c r="X104" i="1"/>
  <c r="X94" i="1"/>
  <c r="T94" i="1"/>
  <c r="U94" i="1" s="1"/>
  <c r="S94" i="1" s="1"/>
  <c r="X95" i="1"/>
  <c r="W212" i="1"/>
  <c r="T206" i="1"/>
  <c r="U206" i="1" s="1"/>
  <c r="S206" i="1" s="1"/>
  <c r="X206" i="1"/>
  <c r="T153" i="1"/>
  <c r="U153" i="1" s="1"/>
  <c r="S153" i="1" s="1"/>
  <c r="X153" i="1"/>
  <c r="W151" i="1"/>
  <c r="W149" i="1"/>
  <c r="W147" i="1"/>
  <c r="W145" i="1"/>
  <c r="W143" i="1"/>
  <c r="W141" i="1"/>
  <c r="W139" i="1"/>
  <c r="W137" i="1"/>
  <c r="W135" i="1"/>
  <c r="W133" i="1"/>
  <c r="W131" i="1"/>
  <c r="W129" i="1"/>
  <c r="W127" i="1"/>
  <c r="W125" i="1"/>
  <c r="W123" i="1"/>
  <c r="W122" i="1"/>
  <c r="W121" i="1"/>
  <c r="W118" i="1"/>
  <c r="W117" i="1"/>
  <c r="W116" i="1"/>
  <c r="W115" i="1"/>
  <c r="W114" i="1"/>
  <c r="W112" i="1"/>
  <c r="W110" i="1"/>
  <c r="X105" i="1"/>
  <c r="T105" i="1"/>
  <c r="U105" i="1" s="1"/>
  <c r="S105" i="1" s="1"/>
  <c r="W103" i="1"/>
  <c r="W102" i="1"/>
  <c r="X96" i="1"/>
  <c r="T96" i="1"/>
  <c r="U96" i="1" s="1"/>
  <c r="S96" i="1" s="1"/>
  <c r="W94" i="1"/>
  <c r="W93" i="1"/>
  <c r="W67" i="1"/>
  <c r="X109" i="1"/>
  <c r="T109" i="1"/>
  <c r="U109" i="1" s="1"/>
  <c r="S109" i="1" s="1"/>
  <c r="W107" i="1"/>
  <c r="W106" i="1"/>
  <c r="T101" i="1"/>
  <c r="U101" i="1" s="1"/>
  <c r="S101" i="1" s="1"/>
  <c r="W98" i="1"/>
  <c r="W97" i="1"/>
  <c r="X69" i="1"/>
  <c r="T69" i="1"/>
  <c r="U69" i="1" s="1"/>
  <c r="S69" i="1" s="1"/>
  <c r="X70" i="1"/>
  <c r="T211" i="1"/>
  <c r="U211" i="1" s="1"/>
  <c r="S211" i="1" s="1"/>
  <c r="X211" i="1"/>
  <c r="T209" i="1"/>
  <c r="U209" i="1" s="1"/>
  <c r="S209" i="1" s="1"/>
  <c r="X209" i="1"/>
  <c r="T207" i="1"/>
  <c r="U207" i="1" s="1"/>
  <c r="S207" i="1" s="1"/>
  <c r="X207" i="1"/>
  <c r="T205" i="1"/>
  <c r="U205" i="1" s="1"/>
  <c r="S205" i="1" s="1"/>
  <c r="X205" i="1"/>
  <c r="T203" i="1"/>
  <c r="U203" i="1" s="1"/>
  <c r="S203" i="1" s="1"/>
  <c r="X203" i="1"/>
  <c r="T156" i="1"/>
  <c r="U156" i="1" s="1"/>
  <c r="S156" i="1" s="1"/>
  <c r="X156" i="1"/>
  <c r="T154" i="1"/>
  <c r="U154" i="1" s="1"/>
  <c r="S154" i="1" s="1"/>
  <c r="X154" i="1"/>
  <c r="T152" i="1"/>
  <c r="U152" i="1" s="1"/>
  <c r="S152" i="1" s="1"/>
  <c r="X152" i="1"/>
  <c r="X107" i="1"/>
  <c r="T107" i="1"/>
  <c r="U107" i="1" s="1"/>
  <c r="S107" i="1" s="1"/>
  <c r="W104" i="1"/>
  <c r="X98" i="1"/>
  <c r="T98" i="1"/>
  <c r="U98" i="1" s="1"/>
  <c r="S98" i="1" s="1"/>
  <c r="W85" i="1"/>
  <c r="W83" i="1"/>
  <c r="W78" i="1"/>
  <c r="W70" i="1"/>
  <c r="W60" i="1"/>
  <c r="W59" i="1"/>
  <c r="W89" i="1"/>
  <c r="W71" i="1"/>
  <c r="W69" i="1"/>
  <c r="W68" i="1"/>
  <c r="X63" i="1"/>
  <c r="T63" i="1"/>
  <c r="U63" i="1" s="1"/>
  <c r="S63" i="1" s="1"/>
  <c r="W54" i="1"/>
  <c r="W51" i="1"/>
  <c r="W37" i="1"/>
  <c r="W91" i="1"/>
  <c r="W81" i="1"/>
  <c r="W77" i="1"/>
  <c r="W73" i="1"/>
  <c r="X67" i="1"/>
  <c r="T67" i="1"/>
  <c r="U67" i="1" s="1"/>
  <c r="S67" i="1" s="1"/>
  <c r="W64" i="1"/>
  <c r="W88" i="1"/>
  <c r="W86" i="1"/>
  <c r="W82" i="1"/>
  <c r="W76" i="1"/>
  <c r="W72" i="1"/>
  <c r="X65" i="1"/>
  <c r="T65" i="1"/>
  <c r="U65" i="1" s="1"/>
  <c r="S65" i="1" s="1"/>
  <c r="W63" i="1"/>
  <c r="W56" i="1"/>
  <c r="W47" i="1"/>
  <c r="W43" i="1"/>
  <c r="W40" i="1"/>
  <c r="W36" i="1"/>
  <c r="T62" i="1"/>
  <c r="U62" i="1" s="1"/>
  <c r="S62" i="1" s="1"/>
  <c r="W49" i="1"/>
  <c r="W46" i="1"/>
  <c r="W42" i="1"/>
  <c r="W39" i="1"/>
  <c r="T60" i="1"/>
  <c r="U60" i="1" s="1"/>
  <c r="S60" i="1" s="1"/>
  <c r="W52" i="1"/>
  <c r="W48" i="1"/>
  <c r="W45" i="1"/>
  <c r="W41" i="1"/>
  <c r="W38" i="1"/>
  <c r="W32" i="1"/>
  <c r="W31" i="1"/>
  <c r="W29" i="1"/>
  <c r="W28" i="1"/>
  <c r="W27" i="1"/>
  <c r="W26" i="1"/>
  <c r="W24" i="1"/>
  <c r="W22" i="1"/>
  <c r="W19" i="1"/>
  <c r="W18" i="1"/>
  <c r="W17" i="1"/>
  <c r="W16" i="1"/>
  <c r="W15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Y18" i="3"/>
  <c r="Y43" i="3"/>
  <c r="Y38" i="3"/>
  <c r="Y30" i="3"/>
  <c r="Y20" i="3"/>
  <c r="Y35" i="3"/>
  <c r="Y44" i="3"/>
  <c r="Y28" i="3"/>
  <c r="Y14" i="3"/>
  <c r="Y33" i="3"/>
  <c r="Y41" i="3"/>
  <c r="Y11" i="3"/>
  <c r="Y16" i="3"/>
  <c r="Y19" i="3"/>
  <c r="Y39" i="3"/>
  <c r="Y48" i="3"/>
  <c r="Y47" i="3"/>
  <c r="Y46" i="3"/>
  <c r="Y32" i="3"/>
  <c r="Y36" i="3"/>
  <c r="Y8" i="3"/>
  <c r="Y25" i="3"/>
  <c r="Y24" i="3"/>
  <c r="Y23" i="3"/>
  <c r="Y21" i="3"/>
  <c r="Y45" i="3"/>
  <c r="Y27" i="3"/>
  <c r="Y7" i="3"/>
  <c r="Y17" i="3"/>
  <c r="Y26" i="3"/>
  <c r="Y22" i="3"/>
  <c r="Y12" i="3"/>
  <c r="Y34" i="3"/>
  <c r="Y31" i="3"/>
  <c r="Y40" i="3"/>
  <c r="Y10" i="3"/>
  <c r="Y9" i="3"/>
  <c r="Y13" i="3"/>
  <c r="Y42" i="3"/>
  <c r="Y29" i="3"/>
  <c r="Y37" i="3"/>
  <c r="M15" i="3"/>
  <c r="R15" i="3"/>
  <c r="U15" i="3"/>
  <c r="X15" i="3"/>
  <c r="B4" i="6" l="1"/>
  <c r="W15" i="3"/>
  <c r="Y15" i="3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L217" i="1" s="1"/>
  <c r="G263" i="4"/>
  <c r="G264" i="4"/>
  <c r="G265" i="4"/>
  <c r="L154" i="1" s="1"/>
  <c r="G266" i="4"/>
  <c r="G267" i="4"/>
  <c r="G268" i="4"/>
  <c r="L156" i="1" s="1"/>
  <c r="G269" i="4"/>
  <c r="L213" i="1" s="1"/>
  <c r="G270" i="4"/>
  <c r="G271" i="4"/>
  <c r="G272" i="4"/>
  <c r="L215" i="1" s="1"/>
  <c r="G273" i="4"/>
  <c r="L210" i="1" l="1"/>
  <c r="L211" i="1"/>
  <c r="N18" i="3"/>
  <c r="G250" i="4"/>
  <c r="L153" i="1" s="1"/>
  <c r="G251" i="4"/>
  <c r="G252" i="4"/>
  <c r="G253" i="4"/>
  <c r="G254" i="4"/>
  <c r="G255" i="4"/>
  <c r="L152" i="1" s="1"/>
  <c r="G256" i="4"/>
  <c r="G257" i="4"/>
  <c r="G258" i="4"/>
  <c r="L155" i="1" s="1"/>
  <c r="G259" i="4"/>
  <c r="G260" i="4"/>
  <c r="G224" i="4" l="1"/>
  <c r="L139" i="1" s="1"/>
  <c r="G225" i="4"/>
  <c r="L199" i="1" s="1"/>
  <c r="G226" i="4"/>
  <c r="L141" i="1" s="1"/>
  <c r="G227" i="4"/>
  <c r="G228" i="4"/>
  <c r="L138" i="1" s="1"/>
  <c r="G229" i="4"/>
  <c r="L202" i="1" s="1"/>
  <c r="G230" i="4"/>
  <c r="L143" i="1" s="1"/>
  <c r="G231" i="4"/>
  <c r="L140" i="1" s="1"/>
  <c r="G232" i="4"/>
  <c r="L201" i="1" s="1"/>
  <c r="G233" i="4"/>
  <c r="G234" i="4"/>
  <c r="L142" i="1" s="1"/>
  <c r="G235" i="4"/>
  <c r="L145" i="1" s="1"/>
  <c r="G236" i="4"/>
  <c r="G237" i="4"/>
  <c r="L144" i="1" s="1"/>
  <c r="G238" i="4"/>
  <c r="L147" i="1" s="1"/>
  <c r="G239" i="4"/>
  <c r="L149" i="1" s="1"/>
  <c r="G240" i="4"/>
  <c r="L146" i="1" s="1"/>
  <c r="G241" i="4"/>
  <c r="G242" i="4"/>
  <c r="G243" i="4"/>
  <c r="L148" i="1" s="1"/>
  <c r="G244" i="4"/>
  <c r="L151" i="1" s="1"/>
  <c r="G245" i="4"/>
  <c r="G246" i="4"/>
  <c r="G247" i="4"/>
  <c r="G248" i="4"/>
  <c r="G249" i="4"/>
  <c r="L150" i="1" s="1"/>
  <c r="N12" i="3" l="1"/>
  <c r="N8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00" i="1" l="1"/>
  <c r="AN14" i="1"/>
  <c r="AO15" i="1"/>
  <c r="V16" i="1"/>
  <c r="S22" i="3" s="1"/>
  <c r="AN18" i="1"/>
  <c r="AO19" i="1"/>
  <c r="V20" i="1"/>
  <c r="AN22" i="1"/>
  <c r="AO23" i="1"/>
  <c r="V24" i="1"/>
  <c r="AN26" i="1"/>
  <c r="AO27" i="1"/>
  <c r="V28" i="1"/>
  <c r="V165" i="1"/>
  <c r="AN165" i="1"/>
  <c r="AN100" i="1"/>
  <c r="AO14" i="1"/>
  <c r="V15" i="1"/>
  <c r="AN17" i="1"/>
  <c r="AO18" i="1"/>
  <c r="V19" i="1"/>
  <c r="S15" i="3" s="1"/>
  <c r="AN21" i="1"/>
  <c r="AO22" i="1"/>
  <c r="V23" i="1"/>
  <c r="S26" i="3" s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AN61" i="1"/>
  <c r="AO62" i="1"/>
  <c r="V63" i="1"/>
  <c r="AN65" i="1"/>
  <c r="AO66" i="1"/>
  <c r="V67" i="1"/>
  <c r="AO165" i="1"/>
  <c r="AO100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V38" i="1"/>
  <c r="V17" i="1"/>
  <c r="AN19" i="1"/>
  <c r="V25" i="1"/>
  <c r="AN27" i="1"/>
  <c r="AN40" i="1"/>
  <c r="V41" i="1"/>
  <c r="AO43" i="1"/>
  <c r="V44" i="1"/>
  <c r="AO45" i="1"/>
  <c r="V46" i="1"/>
  <c r="AN48" i="1"/>
  <c r="V49" i="1"/>
  <c r="AO51" i="1"/>
  <c r="V52" i="1"/>
  <c r="AO53" i="1"/>
  <c r="V54" i="1"/>
  <c r="AN56" i="1"/>
  <c r="V57" i="1"/>
  <c r="AO59" i="1"/>
  <c r="V60" i="1"/>
  <c r="AO61" i="1"/>
  <c r="V62" i="1"/>
  <c r="AN64" i="1"/>
  <c r="V65" i="1"/>
  <c r="AN67" i="1"/>
  <c r="AO68" i="1"/>
  <c r="V69" i="1"/>
  <c r="AN71" i="1"/>
  <c r="AO72" i="1"/>
  <c r="V73" i="1"/>
  <c r="S27" i="3" s="1"/>
  <c r="AN75" i="1"/>
  <c r="AO76" i="1"/>
  <c r="V77" i="1"/>
  <c r="AN79" i="1"/>
  <c r="AO80" i="1"/>
  <c r="V81" i="1"/>
  <c r="AN83" i="1"/>
  <c r="AO84" i="1"/>
  <c r="V85" i="1"/>
  <c r="AO16" i="1"/>
  <c r="AO24" i="1"/>
  <c r="AN30" i="1"/>
  <c r="AN31" i="1"/>
  <c r="V32" i="1"/>
  <c r="AN34" i="1"/>
  <c r="AN35" i="1"/>
  <c r="V36" i="1"/>
  <c r="AN38" i="1"/>
  <c r="AN39" i="1"/>
  <c r="AO40" i="1"/>
  <c r="AN46" i="1"/>
  <c r="AN47" i="1"/>
  <c r="AO48" i="1"/>
  <c r="AN54" i="1"/>
  <c r="AN55" i="1"/>
  <c r="AO56" i="1"/>
  <c r="AN62" i="1"/>
  <c r="AN63" i="1"/>
  <c r="AO64" i="1"/>
  <c r="AO67" i="1"/>
  <c r="V68" i="1"/>
  <c r="AN70" i="1"/>
  <c r="AO71" i="1"/>
  <c r="V72" i="1"/>
  <c r="S9" i="3" s="1"/>
  <c r="AN74" i="1"/>
  <c r="AO75" i="1"/>
  <c r="V76" i="1"/>
  <c r="AN78" i="1"/>
  <c r="AO79" i="1"/>
  <c r="V80" i="1"/>
  <c r="S10" i="3" s="1"/>
  <c r="AN82" i="1"/>
  <c r="AO83" i="1"/>
  <c r="V84" i="1"/>
  <c r="AN86" i="1"/>
  <c r="AO87" i="1"/>
  <c r="V88" i="1"/>
  <c r="AN90" i="1"/>
  <c r="AO91" i="1"/>
  <c r="V92" i="1"/>
  <c r="AN94" i="1"/>
  <c r="AO95" i="1"/>
  <c r="V96" i="1"/>
  <c r="AN98" i="1"/>
  <c r="AO99" i="1"/>
  <c r="V101" i="1"/>
  <c r="AN103" i="1"/>
  <c r="AO104" i="1"/>
  <c r="V105" i="1"/>
  <c r="AN107" i="1"/>
  <c r="AO108" i="1"/>
  <c r="V109" i="1"/>
  <c r="AN111" i="1"/>
  <c r="AO112" i="1"/>
  <c r="V113" i="1"/>
  <c r="AN115" i="1"/>
  <c r="AO116" i="1"/>
  <c r="V117" i="1"/>
  <c r="AN119" i="1"/>
  <c r="AO120" i="1"/>
  <c r="V121" i="1"/>
  <c r="AN123" i="1"/>
  <c r="AO124" i="1"/>
  <c r="V125" i="1"/>
  <c r="S28" i="3" s="1"/>
  <c r="AN127" i="1"/>
  <c r="AO128" i="1"/>
  <c r="V129" i="1"/>
  <c r="AN131" i="1"/>
  <c r="AO132" i="1"/>
  <c r="V133" i="1"/>
  <c r="AN135" i="1"/>
  <c r="AO136" i="1"/>
  <c r="V137" i="1"/>
  <c r="AN139" i="1"/>
  <c r="AO140" i="1"/>
  <c r="V141" i="1"/>
  <c r="AN143" i="1"/>
  <c r="AO144" i="1"/>
  <c r="V145" i="1"/>
  <c r="AN15" i="1"/>
  <c r="V21" i="1"/>
  <c r="AN23" i="1"/>
  <c r="V29" i="1"/>
  <c r="AO31" i="1"/>
  <c r="V33" i="1"/>
  <c r="AO35" i="1"/>
  <c r="V37" i="1"/>
  <c r="AO39" i="1"/>
  <c r="V40" i="1"/>
  <c r="AO41" i="1"/>
  <c r="V42" i="1"/>
  <c r="AN44" i="1"/>
  <c r="V45" i="1"/>
  <c r="AO47" i="1"/>
  <c r="V48" i="1"/>
  <c r="AO49" i="1"/>
  <c r="V50" i="1"/>
  <c r="S11" i="3" s="1"/>
  <c r="AN52" i="1"/>
  <c r="V53" i="1"/>
  <c r="S17" i="3" s="1"/>
  <c r="AO55" i="1"/>
  <c r="V56" i="1"/>
  <c r="S7" i="3" s="1"/>
  <c r="AO57" i="1"/>
  <c r="V58" i="1"/>
  <c r="AN60" i="1"/>
  <c r="V61" i="1"/>
  <c r="AO63" i="1"/>
  <c r="V64" i="1"/>
  <c r="S13" i="3" s="1"/>
  <c r="AO65" i="1"/>
  <c r="V66" i="1"/>
  <c r="AN69" i="1"/>
  <c r="AO70" i="1"/>
  <c r="V71" i="1"/>
  <c r="AN73" i="1"/>
  <c r="AO74" i="1"/>
  <c r="V75" i="1"/>
  <c r="AN77" i="1"/>
  <c r="AO78" i="1"/>
  <c r="V79" i="1"/>
  <c r="AN81" i="1"/>
  <c r="AO82" i="1"/>
  <c r="V83" i="1"/>
  <c r="AO44" i="1"/>
  <c r="AO52" i="1"/>
  <c r="AO60" i="1"/>
  <c r="AO73" i="1"/>
  <c r="AO81" i="1"/>
  <c r="AO86" i="1"/>
  <c r="V87" i="1"/>
  <c r="AN89" i="1"/>
  <c r="V90" i="1"/>
  <c r="AO92" i="1"/>
  <c r="V93" i="1"/>
  <c r="AO94" i="1"/>
  <c r="V95" i="1"/>
  <c r="AN97" i="1"/>
  <c r="V98" i="1"/>
  <c r="AO101" i="1"/>
  <c r="V102" i="1"/>
  <c r="AO103" i="1"/>
  <c r="V104" i="1"/>
  <c r="AN106" i="1"/>
  <c r="V107" i="1"/>
  <c r="AO109" i="1"/>
  <c r="V110" i="1"/>
  <c r="S23" i="3" s="1"/>
  <c r="AO111" i="1"/>
  <c r="V112" i="1"/>
  <c r="AN114" i="1"/>
  <c r="V115" i="1"/>
  <c r="AO117" i="1"/>
  <c r="V118" i="1"/>
  <c r="AO119" i="1"/>
  <c r="V120" i="1"/>
  <c r="AN122" i="1"/>
  <c r="V123" i="1"/>
  <c r="AO125" i="1"/>
  <c r="V126" i="1"/>
  <c r="AO127" i="1"/>
  <c r="V128" i="1"/>
  <c r="S20" i="3" s="1"/>
  <c r="AN130" i="1"/>
  <c r="V131" i="1"/>
  <c r="AO36" i="1"/>
  <c r="AN43" i="1"/>
  <c r="AN51" i="1"/>
  <c r="AN59" i="1"/>
  <c r="V70" i="1"/>
  <c r="AN72" i="1"/>
  <c r="V78" i="1"/>
  <c r="AN80" i="1"/>
  <c r="AN87" i="1"/>
  <c r="AN88" i="1"/>
  <c r="AO89" i="1"/>
  <c r="AN95" i="1"/>
  <c r="AN96" i="1"/>
  <c r="AO97" i="1"/>
  <c r="AN104" i="1"/>
  <c r="AN105" i="1"/>
  <c r="AO106" i="1"/>
  <c r="AN112" i="1"/>
  <c r="AN113" i="1"/>
  <c r="AO114" i="1"/>
  <c r="AN120" i="1"/>
  <c r="AN121" i="1"/>
  <c r="AO122" i="1"/>
  <c r="AN128" i="1"/>
  <c r="AN129" i="1"/>
  <c r="AO130" i="1"/>
  <c r="AN136" i="1"/>
  <c r="AN137" i="1"/>
  <c r="AO138" i="1"/>
  <c r="AN144" i="1"/>
  <c r="AN145" i="1"/>
  <c r="AO146" i="1"/>
  <c r="AN148" i="1"/>
  <c r="AO149" i="1"/>
  <c r="V150" i="1"/>
  <c r="S8" i="3" s="1"/>
  <c r="AN152" i="1"/>
  <c r="AO153" i="1"/>
  <c r="V154" i="1"/>
  <c r="AN156" i="1"/>
  <c r="AO157" i="1"/>
  <c r="V204" i="1"/>
  <c r="AN160" i="1"/>
  <c r="AO161" i="1"/>
  <c r="V208" i="1"/>
  <c r="AN164" i="1"/>
  <c r="AO166" i="1"/>
  <c r="V212" i="1"/>
  <c r="AN169" i="1"/>
  <c r="AO170" i="1"/>
  <c r="V216" i="1"/>
  <c r="AN173" i="1"/>
  <c r="AO174" i="1"/>
  <c r="V225" i="1"/>
  <c r="AN177" i="1"/>
  <c r="AO178" i="1"/>
  <c r="V229" i="1"/>
  <c r="AN181" i="1"/>
  <c r="AO182" i="1"/>
  <c r="V233" i="1"/>
  <c r="AN185" i="1"/>
  <c r="AO186" i="1"/>
  <c r="V237" i="1"/>
  <c r="AN189" i="1"/>
  <c r="AO190" i="1"/>
  <c r="AO191" i="1"/>
  <c r="V242" i="1"/>
  <c r="AN194" i="1"/>
  <c r="AO195" i="1"/>
  <c r="V246" i="1"/>
  <c r="AN198" i="1"/>
  <c r="AO199" i="1"/>
  <c r="V250" i="1"/>
  <c r="AN202" i="1"/>
  <c r="AO203" i="1"/>
  <c r="V254" i="1"/>
  <c r="AN206" i="1"/>
  <c r="AN207" i="1"/>
  <c r="AO208" i="1"/>
  <c r="V157" i="1"/>
  <c r="V158" i="1"/>
  <c r="V159" i="1"/>
  <c r="V160" i="1"/>
  <c r="V161" i="1"/>
  <c r="AN215" i="1"/>
  <c r="AO216" i="1"/>
  <c r="V166" i="1"/>
  <c r="S29" i="3" s="1"/>
  <c r="AN219" i="1"/>
  <c r="AO220" i="1"/>
  <c r="V170" i="1"/>
  <c r="AN223" i="1"/>
  <c r="AO224" i="1"/>
  <c r="V174" i="1"/>
  <c r="S33" i="3" s="1"/>
  <c r="AN227" i="1"/>
  <c r="AO228" i="1"/>
  <c r="V178" i="1"/>
  <c r="AN231" i="1"/>
  <c r="AO232" i="1"/>
  <c r="V182" i="1"/>
  <c r="AN235" i="1"/>
  <c r="AO236" i="1"/>
  <c r="V186" i="1"/>
  <c r="AN239" i="1"/>
  <c r="AO240" i="1"/>
  <c r="V190" i="1"/>
  <c r="AN243" i="1"/>
  <c r="AO244" i="1"/>
  <c r="V194" i="1"/>
  <c r="AN247" i="1"/>
  <c r="AO248" i="1"/>
  <c r="V198" i="1"/>
  <c r="AN252" i="1"/>
  <c r="AO253" i="1"/>
  <c r="V218" i="1"/>
  <c r="AN256" i="1"/>
  <c r="AO257" i="1"/>
  <c r="V222" i="1"/>
  <c r="S35" i="3" s="1"/>
  <c r="V32" i="3"/>
  <c r="AE32" i="3" s="1"/>
  <c r="V29" i="3"/>
  <c r="AE29" i="3" s="1"/>
  <c r="V30" i="3"/>
  <c r="AE30" i="3" s="1"/>
  <c r="V9" i="3"/>
  <c r="AE9" i="3" s="1"/>
  <c r="V40" i="3"/>
  <c r="AE40" i="3" s="1"/>
  <c r="V20" i="3"/>
  <c r="AE20" i="3" s="1"/>
  <c r="AO137" i="1"/>
  <c r="V138" i="1"/>
  <c r="AO32" i="1"/>
  <c r="AO69" i="1"/>
  <c r="AO77" i="1"/>
  <c r="AN85" i="1"/>
  <c r="V86" i="1"/>
  <c r="AO88" i="1"/>
  <c r="V89" i="1"/>
  <c r="AO90" i="1"/>
  <c r="V91" i="1"/>
  <c r="AN93" i="1"/>
  <c r="V94" i="1"/>
  <c r="AO96" i="1"/>
  <c r="V97" i="1"/>
  <c r="AO98" i="1"/>
  <c r="V99" i="1"/>
  <c r="AN102" i="1"/>
  <c r="V103" i="1"/>
  <c r="AO105" i="1"/>
  <c r="V106" i="1"/>
  <c r="AO107" i="1"/>
  <c r="V108" i="1"/>
  <c r="AN110" i="1"/>
  <c r="V111" i="1"/>
  <c r="AO113" i="1"/>
  <c r="V114" i="1"/>
  <c r="AO115" i="1"/>
  <c r="V116" i="1"/>
  <c r="AN118" i="1"/>
  <c r="V119" i="1"/>
  <c r="AO121" i="1"/>
  <c r="V122" i="1"/>
  <c r="AO123" i="1"/>
  <c r="V124" i="1"/>
  <c r="S25" i="3" s="1"/>
  <c r="AN126" i="1"/>
  <c r="V127" i="1"/>
  <c r="S14" i="3" s="1"/>
  <c r="AO129" i="1"/>
  <c r="V130" i="1"/>
  <c r="AO131" i="1"/>
  <c r="V132" i="1"/>
  <c r="AN134" i="1"/>
  <c r="V135" i="1"/>
  <c r="AO139" i="1"/>
  <c r="V140" i="1"/>
  <c r="AN142" i="1"/>
  <c r="V143" i="1"/>
  <c r="AN42" i="1"/>
  <c r="AN76" i="1"/>
  <c r="V82" i="1"/>
  <c r="AO85" i="1"/>
  <c r="AO93" i="1"/>
  <c r="AO102" i="1"/>
  <c r="AO110" i="1"/>
  <c r="AO118" i="1"/>
  <c r="AO126" i="1"/>
  <c r="V136" i="1"/>
  <c r="AO141" i="1"/>
  <c r="AO143" i="1"/>
  <c r="V144" i="1"/>
  <c r="AO145" i="1"/>
  <c r="V146" i="1"/>
  <c r="V147" i="1"/>
  <c r="AO148" i="1"/>
  <c r="V149" i="1"/>
  <c r="AN151" i="1"/>
  <c r="V152" i="1"/>
  <c r="AO154" i="1"/>
  <c r="V155" i="1"/>
  <c r="AO156" i="1"/>
  <c r="V203" i="1"/>
  <c r="AN159" i="1"/>
  <c r="V206" i="1"/>
  <c r="AO162" i="1"/>
  <c r="V209" i="1"/>
  <c r="AO164" i="1"/>
  <c r="V211" i="1"/>
  <c r="AN168" i="1"/>
  <c r="V214" i="1"/>
  <c r="AO171" i="1"/>
  <c r="V217" i="1"/>
  <c r="AO173" i="1"/>
  <c r="V224" i="1"/>
  <c r="S43" i="3" s="1"/>
  <c r="AN176" i="1"/>
  <c r="V227" i="1"/>
  <c r="AO179" i="1"/>
  <c r="V230" i="1"/>
  <c r="AO181" i="1"/>
  <c r="V232" i="1"/>
  <c r="AN184" i="1"/>
  <c r="V235" i="1"/>
  <c r="AO187" i="1"/>
  <c r="V238" i="1"/>
  <c r="AO189" i="1"/>
  <c r="V240" i="1"/>
  <c r="AN195" i="1"/>
  <c r="AN196" i="1"/>
  <c r="AO20" i="1"/>
  <c r="AN50" i="1"/>
  <c r="AN92" i="1"/>
  <c r="AN101" i="1"/>
  <c r="AN109" i="1"/>
  <c r="AN117" i="1"/>
  <c r="AN125" i="1"/>
  <c r="AN133" i="1"/>
  <c r="V134" i="1"/>
  <c r="AO135" i="1"/>
  <c r="V139" i="1"/>
  <c r="AN140" i="1"/>
  <c r="AO142" i="1"/>
  <c r="AN146" i="1"/>
  <c r="AN149" i="1"/>
  <c r="AN150" i="1"/>
  <c r="AO151" i="1"/>
  <c r="AN157" i="1"/>
  <c r="AN158" i="1"/>
  <c r="AO159" i="1"/>
  <c r="AN166" i="1"/>
  <c r="AN167" i="1"/>
  <c r="AO168" i="1"/>
  <c r="AN174" i="1"/>
  <c r="AN175" i="1"/>
  <c r="AO176" i="1"/>
  <c r="AN182" i="1"/>
  <c r="AN183" i="1"/>
  <c r="AO184" i="1"/>
  <c r="AN190" i="1"/>
  <c r="V241" i="1"/>
  <c r="S42" i="3" s="1"/>
  <c r="AN193" i="1"/>
  <c r="V244" i="1"/>
  <c r="AO196" i="1"/>
  <c r="V247" i="1"/>
  <c r="AO198" i="1"/>
  <c r="V249" i="1"/>
  <c r="S40" i="3" s="1"/>
  <c r="AN201" i="1"/>
  <c r="V252" i="1"/>
  <c r="AO204" i="1"/>
  <c r="V255" i="1"/>
  <c r="AO206" i="1"/>
  <c r="AN208" i="1"/>
  <c r="AN209" i="1"/>
  <c r="AN211" i="1"/>
  <c r="AN213" i="1"/>
  <c r="AO214" i="1"/>
  <c r="AN220" i="1"/>
  <c r="AN221" i="1"/>
  <c r="AO222" i="1"/>
  <c r="AN228" i="1"/>
  <c r="AN229" i="1"/>
  <c r="AO230" i="1"/>
  <c r="AN236" i="1"/>
  <c r="AN237" i="1"/>
  <c r="AO238" i="1"/>
  <c r="AN244" i="1"/>
  <c r="AN245" i="1"/>
  <c r="AO246" i="1"/>
  <c r="AN251" i="1"/>
  <c r="V201" i="1"/>
  <c r="AO254" i="1"/>
  <c r="V219" i="1"/>
  <c r="AO256" i="1"/>
  <c r="V221" i="1"/>
  <c r="V19" i="3"/>
  <c r="AE19" i="3" s="1"/>
  <c r="V12" i="3"/>
  <c r="AE12" i="3" s="1"/>
  <c r="V43" i="3"/>
  <c r="AE43" i="3" s="1"/>
  <c r="V8" i="3"/>
  <c r="AE8" i="3" s="1"/>
  <c r="AO169" i="1"/>
  <c r="V215" i="1"/>
  <c r="AO175" i="1"/>
  <c r="V226" i="1"/>
  <c r="AO185" i="1"/>
  <c r="V236" i="1"/>
  <c r="AO209" i="1"/>
  <c r="AO211" i="1"/>
  <c r="AO213" i="1"/>
  <c r="V162" i="1"/>
  <c r="AO215" i="1"/>
  <c r="V164" i="1"/>
  <c r="S32" i="3" s="1"/>
  <c r="AN218" i="1"/>
  <c r="V168" i="1"/>
  <c r="AO223" i="1"/>
  <c r="V173" i="1"/>
  <c r="AO231" i="1"/>
  <c r="V181" i="1"/>
  <c r="AO239" i="1"/>
  <c r="V189" i="1"/>
  <c r="AO247" i="1"/>
  <c r="V197" i="1"/>
  <c r="V23" i="3"/>
  <c r="AE23" i="3" s="1"/>
  <c r="V31" i="3"/>
  <c r="AE31" i="3" s="1"/>
  <c r="V14" i="3"/>
  <c r="AE14" i="3" s="1"/>
  <c r="V18" i="3"/>
  <c r="AE18" i="3" s="1"/>
  <c r="AN58" i="1"/>
  <c r="AN68" i="1"/>
  <c r="V74" i="1"/>
  <c r="AN84" i="1"/>
  <c r="AO133" i="1"/>
  <c r="AN138" i="1"/>
  <c r="AN147" i="1"/>
  <c r="V148" i="1"/>
  <c r="S12" i="3" s="1"/>
  <c r="AO150" i="1"/>
  <c r="V151" i="1"/>
  <c r="AO152" i="1"/>
  <c r="V153" i="1"/>
  <c r="AN155" i="1"/>
  <c r="V156" i="1"/>
  <c r="S18" i="3" s="1"/>
  <c r="AO158" i="1"/>
  <c r="V205" i="1"/>
  <c r="AO160" i="1"/>
  <c r="V207" i="1"/>
  <c r="AN163" i="1"/>
  <c r="V210" i="1"/>
  <c r="AO167" i="1"/>
  <c r="V213" i="1"/>
  <c r="AN172" i="1"/>
  <c r="V223" i="1"/>
  <c r="AO177" i="1"/>
  <c r="V228" i="1"/>
  <c r="AN180" i="1"/>
  <c r="V231" i="1"/>
  <c r="AO183" i="1"/>
  <c r="V234" i="1"/>
  <c r="AN188" i="1"/>
  <c r="V239" i="1"/>
  <c r="AN191" i="1"/>
  <c r="AN192" i="1"/>
  <c r="AO193" i="1"/>
  <c r="AN199" i="1"/>
  <c r="AN200" i="1"/>
  <c r="AO201" i="1"/>
  <c r="V257" i="1"/>
  <c r="AO221" i="1"/>
  <c r="V171" i="1"/>
  <c r="AN226" i="1"/>
  <c r="V176" i="1"/>
  <c r="AO229" i="1"/>
  <c r="V179" i="1"/>
  <c r="AN234" i="1"/>
  <c r="V184" i="1"/>
  <c r="AO237" i="1"/>
  <c r="V187" i="1"/>
  <c r="AN242" i="1"/>
  <c r="V192" i="1"/>
  <c r="AO245" i="1"/>
  <c r="V195" i="1"/>
  <c r="AN250" i="1"/>
  <c r="AO251" i="1"/>
  <c r="AN257" i="1"/>
  <c r="AN258" i="1"/>
  <c r="V36" i="3"/>
  <c r="AE36" i="3" s="1"/>
  <c r="V37" i="3"/>
  <c r="AE37" i="3" s="1"/>
  <c r="V22" i="3"/>
  <c r="AE22" i="3" s="1"/>
  <c r="V26" i="3"/>
  <c r="AE26" i="3" s="1"/>
  <c r="V17" i="3"/>
  <c r="AE17" i="3" s="1"/>
  <c r="V46" i="3"/>
  <c r="AE46" i="3" s="1"/>
  <c r="V42" i="3"/>
  <c r="AE42" i="3" s="1"/>
  <c r="V41" i="3"/>
  <c r="AE41" i="3" s="1"/>
  <c r="V16" i="3"/>
  <c r="AE16" i="3" s="1"/>
  <c r="V24" i="3"/>
  <c r="AE24" i="3" s="1"/>
  <c r="AN91" i="1"/>
  <c r="AN124" i="1"/>
  <c r="AO134" i="1"/>
  <c r="V142" i="1"/>
  <c r="AN153" i="1"/>
  <c r="AN161" i="1"/>
  <c r="AN170" i="1"/>
  <c r="AN178" i="1"/>
  <c r="AN186" i="1"/>
  <c r="AO192" i="1"/>
  <c r="V245" i="1"/>
  <c r="AO197" i="1"/>
  <c r="AO202" i="1"/>
  <c r="AO207" i="1"/>
  <c r="V163" i="1"/>
  <c r="AN216" i="1"/>
  <c r="AO218" i="1"/>
  <c r="AN225" i="1"/>
  <c r="V175" i="1"/>
  <c r="AO227" i="1"/>
  <c r="V180" i="1"/>
  <c r="AN232" i="1"/>
  <c r="AO234" i="1"/>
  <c r="AN241" i="1"/>
  <c r="V191" i="1"/>
  <c r="S31" i="3" s="1"/>
  <c r="AO243" i="1"/>
  <c r="V196" i="1"/>
  <c r="S34" i="3" s="1"/>
  <c r="AN248" i="1"/>
  <c r="AO250" i="1"/>
  <c r="V200" i="1"/>
  <c r="AN254" i="1"/>
  <c r="AN255" i="1"/>
  <c r="V220" i="1"/>
  <c r="AO28" i="1"/>
  <c r="AN99" i="1"/>
  <c r="AN132" i="1"/>
  <c r="AN141" i="1"/>
  <c r="AO147" i="1"/>
  <c r="AO155" i="1"/>
  <c r="AO163" i="1"/>
  <c r="AO172" i="1"/>
  <c r="AO180" i="1"/>
  <c r="AO188" i="1"/>
  <c r="AO194" i="1"/>
  <c r="V251" i="1"/>
  <c r="S41" i="3" s="1"/>
  <c r="AN204" i="1"/>
  <c r="AN205" i="1"/>
  <c r="V256" i="1"/>
  <c r="AN214" i="1"/>
  <c r="V169" i="1"/>
  <c r="AO225" i="1"/>
  <c r="AN230" i="1"/>
  <c r="V185" i="1"/>
  <c r="AO241" i="1"/>
  <c r="AN246" i="1"/>
  <c r="AO255" i="1"/>
  <c r="V11" i="3"/>
  <c r="AE11" i="3" s="1"/>
  <c r="V7" i="3"/>
  <c r="V47" i="3"/>
  <c r="AE47" i="3" s="1"/>
  <c r="V13" i="3"/>
  <c r="AE13" i="3" s="1"/>
  <c r="V33" i="3"/>
  <c r="AE33" i="3" s="1"/>
  <c r="V27" i="3"/>
  <c r="AE27" i="3" s="1"/>
  <c r="V48" i="3"/>
  <c r="AE48" i="3" s="1"/>
  <c r="V44" i="3"/>
  <c r="AE44" i="3" s="1"/>
  <c r="V45" i="3"/>
  <c r="AE45" i="3" s="1"/>
  <c r="V39" i="3"/>
  <c r="AE39" i="3" s="1"/>
  <c r="V10" i="3"/>
  <c r="AE10" i="3" s="1"/>
  <c r="V38" i="3"/>
  <c r="AE38" i="3" s="1"/>
  <c r="V21" i="3"/>
  <c r="AE21" i="3" s="1"/>
  <c r="V28" i="3"/>
  <c r="AE28" i="3" s="1"/>
  <c r="V34" i="3"/>
  <c r="AE34" i="3" s="1"/>
  <c r="V35" i="3"/>
  <c r="AE35" i="3" s="1"/>
  <c r="V25" i="3"/>
  <c r="AE25" i="3" s="1"/>
  <c r="AO219" i="1"/>
  <c r="V172" i="1"/>
  <c r="AN224" i="1"/>
  <c r="AO235" i="1"/>
  <c r="V188" i="1"/>
  <c r="AN240" i="1"/>
  <c r="AN249" i="1"/>
  <c r="V199" i="1"/>
  <c r="AN197" i="1"/>
  <c r="V248" i="1"/>
  <c r="V253" i="1"/>
  <c r="AO210" i="1"/>
  <c r="AO212" i="1"/>
  <c r="AO217" i="1"/>
  <c r="AN222" i="1"/>
  <c r="V177" i="1"/>
  <c r="AO252" i="1"/>
  <c r="AN66" i="1"/>
  <c r="AN108" i="1"/>
  <c r="AN154" i="1"/>
  <c r="AN162" i="1"/>
  <c r="AN171" i="1"/>
  <c r="AN179" i="1"/>
  <c r="AN187" i="1"/>
  <c r="AO200" i="1"/>
  <c r="AO205" i="1"/>
  <c r="AN210" i="1"/>
  <c r="AN212" i="1"/>
  <c r="AN217" i="1"/>
  <c r="V167" i="1"/>
  <c r="S30" i="3" s="1"/>
  <c r="AO226" i="1"/>
  <c r="AN233" i="1"/>
  <c r="V183" i="1"/>
  <c r="AO242" i="1"/>
  <c r="V202" i="1"/>
  <c r="AN253" i="1"/>
  <c r="AN116" i="1"/>
  <c r="V243" i="1"/>
  <c r="AO233" i="1"/>
  <c r="AN238" i="1"/>
  <c r="V193" i="1"/>
  <c r="AO249" i="1"/>
  <c r="AN203" i="1"/>
  <c r="V258" i="1"/>
  <c r="AO258" i="1"/>
  <c r="AD21" i="3"/>
  <c r="AD9" i="3"/>
  <c r="AD29" i="3"/>
  <c r="AD26" i="3"/>
  <c r="AC44" i="3"/>
  <c r="AD47" i="3"/>
  <c r="AD13" i="3"/>
  <c r="AC40" i="3"/>
  <c r="AD48" i="3"/>
  <c r="AC8" i="3"/>
  <c r="AD19" i="3"/>
  <c r="AD34" i="3"/>
  <c r="AD18" i="3"/>
  <c r="AD23" i="3"/>
  <c r="AC24" i="3"/>
  <c r="AC10" i="3"/>
  <c r="AD22" i="3"/>
  <c r="AC31" i="3"/>
  <c r="AD14" i="3"/>
  <c r="AD32" i="3"/>
  <c r="AD16" i="3"/>
  <c r="AD28" i="3"/>
  <c r="AC43" i="3"/>
  <c r="AD8" i="3"/>
  <c r="AC36" i="3"/>
  <c r="AC20" i="3"/>
  <c r="AD40" i="3"/>
  <c r="AC47" i="3"/>
  <c r="AC32" i="3"/>
  <c r="AD10" i="3"/>
  <c r="AC33" i="3"/>
  <c r="AC22" i="3"/>
  <c r="AD39" i="3"/>
  <c r="AD17" i="3"/>
  <c r="AC17" i="3"/>
  <c r="AC21" i="3"/>
  <c r="AD41" i="3"/>
  <c r="AD46" i="3"/>
  <c r="AD11" i="3"/>
  <c r="AD31" i="3"/>
  <c r="AC26" i="3"/>
  <c r="AC23" i="3"/>
  <c r="AC13" i="3"/>
  <c r="AC28" i="3"/>
  <c r="AC48" i="3"/>
  <c r="AC16" i="3"/>
  <c r="AC14" i="3"/>
  <c r="AD24" i="3"/>
  <c r="AC35" i="3"/>
  <c r="AD38" i="3"/>
  <c r="AD36" i="3"/>
  <c r="AD20" i="3"/>
  <c r="V15" i="3"/>
  <c r="AE15" i="3" s="1"/>
  <c r="AC38" i="3"/>
  <c r="AC37" i="3"/>
  <c r="AD45" i="3"/>
  <c r="AD44" i="3"/>
  <c r="AD43" i="3"/>
  <c r="AC12" i="3"/>
  <c r="AC34" i="3"/>
  <c r="AC45" i="3"/>
  <c r="AC7" i="3"/>
  <c r="AC11" i="3"/>
  <c r="AC30" i="3"/>
  <c r="AC41" i="3"/>
  <c r="AD37" i="3"/>
  <c r="AD27" i="3"/>
  <c r="AC9" i="3"/>
  <c r="AC27" i="3"/>
  <c r="AD33" i="3"/>
  <c r="AC42" i="3"/>
  <c r="AD42" i="3"/>
  <c r="AD35" i="3"/>
  <c r="AC25" i="3"/>
  <c r="AD25" i="3"/>
  <c r="AC29" i="3"/>
  <c r="AD30" i="3"/>
  <c r="AC19" i="3"/>
  <c r="AC46" i="3"/>
  <c r="AC39" i="3"/>
  <c r="AC18" i="3"/>
  <c r="AD12" i="3"/>
  <c r="AD15" i="3"/>
  <c r="AC15" i="3"/>
  <c r="AO13" i="1"/>
  <c r="AN13" i="1"/>
  <c r="V13" i="1"/>
  <c r="AD7" i="3"/>
  <c r="S21" i="3" l="1"/>
  <c r="S19" i="3"/>
  <c r="S47" i="3"/>
  <c r="S44" i="3"/>
  <c r="S45" i="3"/>
  <c r="S38" i="3"/>
  <c r="S39" i="3"/>
  <c r="S16" i="3"/>
  <c r="S24" i="3"/>
  <c r="S37" i="3"/>
  <c r="S36" i="3"/>
  <c r="S48" i="3"/>
  <c r="S46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L203" i="1" s="1"/>
  <c r="G7" i="4"/>
  <c r="G8" i="4"/>
  <c r="G9" i="4"/>
  <c r="L233" i="1" s="1"/>
  <c r="G10" i="4"/>
  <c r="L205" i="1" s="1"/>
  <c r="G11" i="4"/>
  <c r="G12" i="4"/>
  <c r="L15" i="1" s="1"/>
  <c r="G13" i="4"/>
  <c r="L207" i="1" s="1"/>
  <c r="G14" i="4"/>
  <c r="G15" i="4"/>
  <c r="L17" i="1" s="1"/>
  <c r="G16" i="4"/>
  <c r="L209" i="1" s="1"/>
  <c r="G17" i="4"/>
  <c r="L14" i="1" s="1"/>
  <c r="G18" i="4"/>
  <c r="L212" i="1" s="1"/>
  <c r="G19" i="4"/>
  <c r="L19" i="1" s="1"/>
  <c r="G20" i="4"/>
  <c r="G21" i="4"/>
  <c r="G22" i="4"/>
  <c r="L16" i="1" s="1"/>
  <c r="G23" i="4"/>
  <c r="L21" i="1" s="1"/>
  <c r="G24" i="4"/>
  <c r="L214" i="1" s="1"/>
  <c r="G25" i="4"/>
  <c r="L218" i="1" s="1"/>
  <c r="G26" i="4"/>
  <c r="L23" i="1" s="1"/>
  <c r="G27" i="4"/>
  <c r="L25" i="1" s="1"/>
  <c r="G28" i="4"/>
  <c r="L18" i="1" s="1"/>
  <c r="G29" i="4"/>
  <c r="L157" i="1" s="1"/>
  <c r="G30" i="4"/>
  <c r="L216" i="1" s="1"/>
  <c r="G31" i="4"/>
  <c r="L20" i="1" s="1"/>
  <c r="G32" i="4"/>
  <c r="L22" i="1" s="1"/>
  <c r="G33" i="4"/>
  <c r="L27" i="1" s="1"/>
  <c r="G34" i="4"/>
  <c r="L158" i="1" s="1"/>
  <c r="G35" i="4"/>
  <c r="L29" i="1" s="1"/>
  <c r="G36" i="4"/>
  <c r="L219" i="1" s="1"/>
  <c r="G37" i="4"/>
  <c r="L31" i="1" s="1"/>
  <c r="G38" i="4"/>
  <c r="L26" i="1" s="1"/>
  <c r="G39" i="4"/>
  <c r="L159" i="1" s="1"/>
  <c r="G40" i="4"/>
  <c r="L24" i="1" s="1"/>
  <c r="G41" i="4"/>
  <c r="L160" i="1" s="1"/>
  <c r="G42" i="4"/>
  <c r="L33" i="1" s="1"/>
  <c r="G43" i="4"/>
  <c r="L28" i="1" s="1"/>
  <c r="G44" i="4"/>
  <c r="L30" i="1" s="1"/>
  <c r="G45" i="4"/>
  <c r="L35" i="1" s="1"/>
  <c r="G46" i="4"/>
  <c r="L161" i="1" s="1"/>
  <c r="G47" i="4"/>
  <c r="L162" i="1" s="1"/>
  <c r="G48" i="4"/>
  <c r="L32" i="1" s="1"/>
  <c r="G49" i="4"/>
  <c r="L37" i="1" s="1"/>
  <c r="G50" i="4"/>
  <c r="L163" i="1" s="1"/>
  <c r="G51" i="4"/>
  <c r="L39" i="1" s="1"/>
  <c r="G52" i="4"/>
  <c r="L164" i="1" s="1"/>
  <c r="G53" i="4"/>
  <c r="L34" i="1" s="1"/>
  <c r="G54" i="4"/>
  <c r="L36" i="1" s="1"/>
  <c r="G55" i="4"/>
  <c r="L41" i="1" s="1"/>
  <c r="G56" i="4"/>
  <c r="L43" i="1" s="1"/>
  <c r="G57" i="4"/>
  <c r="L166" i="1" s="1"/>
  <c r="G58" i="4"/>
  <c r="L40" i="1" s="1"/>
  <c r="G59" i="4"/>
  <c r="L45" i="1" s="1"/>
  <c r="G60" i="4"/>
  <c r="L38" i="1" s="1"/>
  <c r="G61" i="4"/>
  <c r="G62" i="4"/>
  <c r="L47" i="1" s="1"/>
  <c r="G63" i="4"/>
  <c r="G64" i="4"/>
  <c r="L168" i="1" s="1"/>
  <c r="G65" i="4"/>
  <c r="L42" i="1" s="1"/>
  <c r="G66" i="4"/>
  <c r="L167" i="1" s="1"/>
  <c r="G67" i="4"/>
  <c r="L44" i="1" s="1"/>
  <c r="G68" i="4"/>
  <c r="L49" i="1" s="1"/>
  <c r="G69" i="4"/>
  <c r="L46" i="1" s="1"/>
  <c r="G70" i="4"/>
  <c r="L51" i="1" s="1"/>
  <c r="G71" i="4"/>
  <c r="L169" i="1" s="1"/>
  <c r="G72" i="4"/>
  <c r="L220" i="1" s="1"/>
  <c r="G73" i="4"/>
  <c r="L53" i="1" s="1"/>
  <c r="G74" i="4"/>
  <c r="G75" i="4"/>
  <c r="G76" i="4"/>
  <c r="L48" i="1" s="1"/>
  <c r="G77" i="4"/>
  <c r="L55" i="1" s="1"/>
  <c r="G78" i="4"/>
  <c r="L170" i="1" s="1"/>
  <c r="G79" i="4"/>
  <c r="L50" i="1" s="1"/>
  <c r="G80" i="4"/>
  <c r="L57" i="1" s="1"/>
  <c r="G81" i="4"/>
  <c r="L59" i="1" s="1"/>
  <c r="G82" i="4"/>
  <c r="L54" i="1" s="1"/>
  <c r="G83" i="4"/>
  <c r="L171" i="1" s="1"/>
  <c r="G84" i="4"/>
  <c r="G85" i="4"/>
  <c r="L52" i="1" s="1"/>
  <c r="G86" i="4"/>
  <c r="L61" i="1" s="1"/>
  <c r="G87" i="4"/>
  <c r="L58" i="1" s="1"/>
  <c r="G88" i="4"/>
  <c r="L56" i="1" s="1"/>
  <c r="G89" i="4"/>
  <c r="L63" i="1" s="1"/>
  <c r="G90" i="4"/>
  <c r="L172" i="1" s="1"/>
  <c r="G91" i="4"/>
  <c r="L60" i="1" s="1"/>
  <c r="G92" i="4"/>
  <c r="G93" i="4"/>
  <c r="L65" i="1" s="1"/>
  <c r="G94" i="4"/>
  <c r="L62" i="1" s="1"/>
  <c r="G95" i="4"/>
  <c r="L173" i="1" s="1"/>
  <c r="G96" i="4"/>
  <c r="L67" i="1" s="1"/>
  <c r="G97" i="4"/>
  <c r="L69" i="1" s="1"/>
  <c r="G98" i="4"/>
  <c r="G99" i="4"/>
  <c r="L64" i="1" s="1"/>
  <c r="G100" i="4"/>
  <c r="L235" i="1" s="1"/>
  <c r="G101" i="4"/>
  <c r="G102" i="4"/>
  <c r="G103" i="4"/>
  <c r="L71" i="1" s="1"/>
  <c r="G104" i="4"/>
  <c r="L174" i="1" s="1"/>
  <c r="G105" i="4"/>
  <c r="L68" i="1" s="1"/>
  <c r="G106" i="4"/>
  <c r="L73" i="1" s="1"/>
  <c r="G107" i="4"/>
  <c r="L66" i="1" s="1"/>
  <c r="G108" i="4"/>
  <c r="G109" i="4"/>
  <c r="L75" i="1" s="1"/>
  <c r="G110" i="4"/>
  <c r="L236" i="1" s="1"/>
  <c r="G111" i="4"/>
  <c r="L175" i="1" s="1"/>
  <c r="G112" i="4"/>
  <c r="L72" i="1" s="1"/>
  <c r="G113" i="4"/>
  <c r="L70" i="1" s="1"/>
  <c r="G114" i="4"/>
  <c r="L77" i="1" s="1"/>
  <c r="G115" i="4"/>
  <c r="G116" i="4"/>
  <c r="L79" i="1" s="1"/>
  <c r="G117" i="4"/>
  <c r="L176" i="1" s="1"/>
  <c r="G118" i="4"/>
  <c r="L81" i="1" s="1"/>
  <c r="G119" i="4"/>
  <c r="L74" i="1" s="1"/>
  <c r="G120" i="4"/>
  <c r="L76" i="1" s="1"/>
  <c r="G121" i="4"/>
  <c r="L83" i="1" s="1"/>
  <c r="G122" i="4"/>
  <c r="L177" i="1" s="1"/>
  <c r="G123" i="4"/>
  <c r="G124" i="4"/>
  <c r="L78" i="1" s="1"/>
  <c r="G125" i="4"/>
  <c r="L85" i="1" s="1"/>
  <c r="G126" i="4"/>
  <c r="L80" i="1" s="1"/>
  <c r="G127" i="4"/>
  <c r="L87" i="1" s="1"/>
  <c r="G128" i="4"/>
  <c r="L82" i="1" s="1"/>
  <c r="G129" i="4"/>
  <c r="L178" i="1" s="1"/>
  <c r="G130" i="4"/>
  <c r="G131" i="4"/>
  <c r="L89" i="1" s="1"/>
  <c r="G132" i="4"/>
  <c r="L91" i="1" s="1"/>
  <c r="G133" i="4"/>
  <c r="L84" i="1" s="1"/>
  <c r="G134" i="4"/>
  <c r="L179" i="1" s="1"/>
  <c r="G135" i="4"/>
  <c r="L86" i="1" s="1"/>
  <c r="G136" i="4"/>
  <c r="L93" i="1" s="1"/>
  <c r="G137" i="4"/>
  <c r="G138" i="4"/>
  <c r="L88" i="1" s="1"/>
  <c r="G139" i="4"/>
  <c r="L95" i="1" s="1"/>
  <c r="G140" i="4"/>
  <c r="L90" i="1" s="1"/>
  <c r="G141" i="4"/>
  <c r="L180" i="1" s="1"/>
  <c r="G142" i="4"/>
  <c r="L97" i="1" s="1"/>
  <c r="G143" i="4"/>
  <c r="L92" i="1" s="1"/>
  <c r="G144" i="4"/>
  <c r="L99" i="1" s="1"/>
  <c r="G145" i="4"/>
  <c r="L181" i="1" s="1"/>
  <c r="G146" i="4"/>
  <c r="L94" i="1" s="1"/>
  <c r="G147" i="4"/>
  <c r="L246" i="1" s="1"/>
  <c r="G148" i="4"/>
  <c r="L101" i="1" s="1"/>
  <c r="G149" i="4"/>
  <c r="L96" i="1" s="1"/>
  <c r="G150" i="4"/>
  <c r="L103" i="1" s="1"/>
  <c r="G151" i="4"/>
  <c r="L182" i="1" s="1"/>
  <c r="G152" i="4"/>
  <c r="L105" i="1" s="1"/>
  <c r="G153" i="4"/>
  <c r="L98" i="1" s="1"/>
  <c r="G154" i="4"/>
  <c r="G155" i="4"/>
  <c r="L221" i="1" s="1"/>
  <c r="G156" i="4"/>
  <c r="L100" i="1" s="1"/>
  <c r="G157" i="4"/>
  <c r="L107" i="1" s="1"/>
  <c r="G158" i="4"/>
  <c r="L183" i="1" s="1"/>
  <c r="G159" i="4"/>
  <c r="L102" i="1" s="1"/>
  <c r="G160" i="4"/>
  <c r="L184" i="1" s="1"/>
  <c r="G161" i="4"/>
  <c r="L109" i="1" s="1"/>
  <c r="G162" i="4"/>
  <c r="G163" i="4"/>
  <c r="L104" i="1" s="1"/>
  <c r="G164" i="4"/>
  <c r="L185" i="1" s="1"/>
  <c r="G165" i="4"/>
  <c r="L111" i="1" s="1"/>
  <c r="G166" i="4"/>
  <c r="L106" i="1" s="1"/>
  <c r="G167" i="4"/>
  <c r="L186" i="1" s="1"/>
  <c r="G168" i="4"/>
  <c r="L113" i="1" s="1"/>
  <c r="G169" i="4"/>
  <c r="G170" i="4"/>
  <c r="G171" i="4"/>
  <c r="L108" i="1" s="1"/>
  <c r="G172" i="4"/>
  <c r="L115" i="1" s="1"/>
  <c r="G173" i="4"/>
  <c r="L187" i="1" s="1"/>
  <c r="G174" i="4"/>
  <c r="L110" i="1" s="1"/>
  <c r="G175" i="4"/>
  <c r="L188" i="1" s="1"/>
  <c r="G176" i="4"/>
  <c r="L117" i="1" s="1"/>
  <c r="G177" i="4"/>
  <c r="L112" i="1" s="1"/>
  <c r="G178" i="4"/>
  <c r="L119" i="1" s="1"/>
  <c r="G179" i="4"/>
  <c r="G180" i="4"/>
  <c r="G181" i="4"/>
  <c r="L189" i="1" s="1"/>
  <c r="G182" i="4"/>
  <c r="L190" i="1" s="1"/>
  <c r="G183" i="4"/>
  <c r="L114" i="1" s="1"/>
  <c r="G184" i="4"/>
  <c r="L121" i="1" s="1"/>
  <c r="G185" i="4"/>
  <c r="L258" i="1" s="1"/>
  <c r="G186" i="4"/>
  <c r="L116" i="1" s="1"/>
  <c r="G187" i="4"/>
  <c r="L123" i="1" s="1"/>
  <c r="G188" i="4"/>
  <c r="L191" i="1" s="1"/>
  <c r="G189" i="4"/>
  <c r="G190" i="4"/>
  <c r="L192" i="1" s="1"/>
  <c r="G191" i="4"/>
  <c r="L118" i="1" s="1"/>
  <c r="G192" i="4"/>
  <c r="L120" i="1" s="1"/>
  <c r="G193" i="4"/>
  <c r="L125" i="1" s="1"/>
  <c r="G194" i="4"/>
  <c r="L234" i="1" s="1"/>
  <c r="G195" i="4"/>
  <c r="L127" i="1" s="1"/>
  <c r="G196" i="4"/>
  <c r="L193" i="1" s="1"/>
  <c r="G197" i="4"/>
  <c r="L122" i="1" s="1"/>
  <c r="G198" i="4"/>
  <c r="L194" i="1" s="1"/>
  <c r="G199" i="4"/>
  <c r="L129" i="1" s="1"/>
  <c r="G200" i="4"/>
  <c r="L124" i="1" s="1"/>
  <c r="G201" i="4"/>
  <c r="L131" i="1" s="1"/>
  <c r="G202" i="4"/>
  <c r="L126" i="1" s="1"/>
  <c r="G203" i="4"/>
  <c r="L196" i="1" s="1"/>
  <c r="G204" i="4"/>
  <c r="L195" i="1" s="1"/>
  <c r="G205" i="4"/>
  <c r="L204" i="1" s="1"/>
  <c r="G206" i="4"/>
  <c r="L133" i="1" s="1"/>
  <c r="G207" i="4"/>
  <c r="L128" i="1" s="1"/>
  <c r="G208" i="4"/>
  <c r="L222" i="1" s="1"/>
  <c r="G209" i="4"/>
  <c r="L198" i="1" s="1"/>
  <c r="G210" i="4"/>
  <c r="L130" i="1" s="1"/>
  <c r="G211" i="4"/>
  <c r="L206" i="1" s="1"/>
  <c r="G212" i="4"/>
  <c r="L132" i="1" s="1"/>
  <c r="G213" i="4"/>
  <c r="L135" i="1" s="1"/>
  <c r="G214" i="4"/>
  <c r="L223" i="1" s="1"/>
  <c r="G215" i="4"/>
  <c r="G216" i="4"/>
  <c r="G217" i="4"/>
  <c r="L197" i="1" s="1"/>
  <c r="G218" i="4"/>
  <c r="L134" i="1" s="1"/>
  <c r="G219" i="4"/>
  <c r="L208" i="1" s="1"/>
  <c r="G220" i="4"/>
  <c r="G221" i="4"/>
  <c r="L137" i="1" s="1"/>
  <c r="G222" i="4"/>
  <c r="L200" i="1" s="1"/>
  <c r="G223" i="4"/>
  <c r="L136" i="1" s="1"/>
  <c r="G2" i="4"/>
  <c r="L252" i="1" l="1"/>
  <c r="L251" i="1"/>
  <c r="L250" i="1"/>
  <c r="L249" i="1"/>
  <c r="L237" i="1"/>
  <c r="L238" i="1"/>
  <c r="L244" i="1"/>
  <c r="L243" i="1"/>
  <c r="L245" i="1"/>
  <c r="L248" i="1"/>
  <c r="L247" i="1"/>
  <c r="L239" i="1"/>
  <c r="L240" i="1"/>
  <c r="L242" i="1"/>
  <c r="L241" i="1"/>
  <c r="L256" i="1"/>
  <c r="L253" i="1"/>
  <c r="L254" i="1"/>
  <c r="L255" i="1"/>
  <c r="L257" i="1"/>
  <c r="L227" i="1"/>
  <c r="L231" i="1"/>
  <c r="L226" i="1"/>
  <c r="L228" i="1"/>
  <c r="L229" i="1"/>
  <c r="L224" i="1"/>
  <c r="L230" i="1"/>
  <c r="L232" i="1"/>
  <c r="L225" i="1"/>
  <c r="N17" i="3"/>
  <c r="N29" i="3"/>
  <c r="N37" i="3"/>
  <c r="N36" i="3"/>
  <c r="N23" i="3"/>
  <c r="N41" i="3"/>
  <c r="N38" i="3"/>
  <c r="N39" i="3"/>
  <c r="N30" i="3"/>
  <c r="N26" i="3"/>
  <c r="N22" i="3"/>
  <c r="N28" i="3"/>
  <c r="N35" i="3"/>
  <c r="N25" i="3"/>
  <c r="N31" i="3"/>
  <c r="N19" i="3"/>
  <c r="N21" i="3"/>
  <c r="N9" i="3"/>
  <c r="N33" i="3"/>
  <c r="N44" i="3"/>
  <c r="N45" i="3"/>
  <c r="N47" i="3"/>
  <c r="N15" i="3"/>
  <c r="N7" i="3"/>
  <c r="N42" i="3"/>
  <c r="N32" i="3"/>
  <c r="N40" i="3"/>
  <c r="N10" i="3"/>
  <c r="N27" i="3"/>
  <c r="N48" i="3"/>
  <c r="N46" i="3"/>
  <c r="N20" i="3"/>
  <c r="N34" i="3"/>
  <c r="N14" i="3"/>
  <c r="N16" i="3"/>
  <c r="N24" i="3"/>
  <c r="N13" i="3"/>
  <c r="N11" i="3"/>
  <c r="N4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" i="1" l="1"/>
  <c r="AF19" i="1"/>
  <c r="AF23" i="1"/>
  <c r="AF27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2" i="1"/>
  <c r="AF66" i="1"/>
  <c r="AF165" i="1"/>
  <c r="AF100" i="1"/>
  <c r="AF17" i="1"/>
  <c r="AF21" i="1"/>
  <c r="AF25" i="1"/>
  <c r="AF29" i="1"/>
  <c r="AF33" i="1"/>
  <c r="AF37" i="1"/>
  <c r="AF32" i="1"/>
  <c r="AF36" i="1"/>
  <c r="AF68" i="1"/>
  <c r="AF72" i="1"/>
  <c r="AF76" i="1"/>
  <c r="AF80" i="1"/>
  <c r="AF84" i="1"/>
  <c r="AF20" i="1"/>
  <c r="AF28" i="1"/>
  <c r="AF40" i="1"/>
  <c r="AF43" i="1"/>
  <c r="AF45" i="1"/>
  <c r="AF48" i="1"/>
  <c r="AF51" i="1"/>
  <c r="AF53" i="1"/>
  <c r="AF56" i="1"/>
  <c r="AF59" i="1"/>
  <c r="AF61" i="1"/>
  <c r="AF64" i="1"/>
  <c r="AF67" i="1"/>
  <c r="AF71" i="1"/>
  <c r="AF75" i="1"/>
  <c r="AF79" i="1"/>
  <c r="AF83" i="1"/>
  <c r="AF87" i="1"/>
  <c r="AF91" i="1"/>
  <c r="AF95" i="1"/>
  <c r="AF99" i="1"/>
  <c r="AF104" i="1"/>
  <c r="AF108" i="1"/>
  <c r="AF112" i="1"/>
  <c r="AF116" i="1"/>
  <c r="AF120" i="1"/>
  <c r="AF124" i="1"/>
  <c r="AF128" i="1"/>
  <c r="AF132" i="1"/>
  <c r="AF136" i="1"/>
  <c r="AF140" i="1"/>
  <c r="AF144" i="1"/>
  <c r="AF70" i="1"/>
  <c r="AF74" i="1"/>
  <c r="AF78" i="1"/>
  <c r="AF82" i="1"/>
  <c r="AF41" i="1"/>
  <c r="AF49" i="1"/>
  <c r="AF57" i="1"/>
  <c r="AF65" i="1"/>
  <c r="AF69" i="1"/>
  <c r="AF77" i="1"/>
  <c r="AF85" i="1"/>
  <c r="AF39" i="1"/>
  <c r="AF47" i="1"/>
  <c r="AF55" i="1"/>
  <c r="AF63" i="1"/>
  <c r="AF86" i="1"/>
  <c r="AF89" i="1"/>
  <c r="AF92" i="1"/>
  <c r="AF94" i="1"/>
  <c r="AF97" i="1"/>
  <c r="AF101" i="1"/>
  <c r="AF103" i="1"/>
  <c r="AF106" i="1"/>
  <c r="AF109" i="1"/>
  <c r="AF111" i="1"/>
  <c r="AF114" i="1"/>
  <c r="AF117" i="1"/>
  <c r="AF119" i="1"/>
  <c r="AF122" i="1"/>
  <c r="AF125" i="1"/>
  <c r="AF127" i="1"/>
  <c r="AF130" i="1"/>
  <c r="AF133" i="1"/>
  <c r="AF135" i="1"/>
  <c r="AF138" i="1"/>
  <c r="AF141" i="1"/>
  <c r="AF143" i="1"/>
  <c r="AF146" i="1"/>
  <c r="AF149" i="1"/>
  <c r="AF153" i="1"/>
  <c r="AF203" i="1"/>
  <c r="AF207" i="1"/>
  <c r="AF211" i="1"/>
  <c r="AF215" i="1"/>
  <c r="AF224" i="1"/>
  <c r="AF228" i="1"/>
  <c r="AF232" i="1"/>
  <c r="AF236" i="1"/>
  <c r="AF240" i="1"/>
  <c r="AF241" i="1"/>
  <c r="AF245" i="1"/>
  <c r="AF249" i="1"/>
  <c r="AF253" i="1"/>
  <c r="AF258" i="1"/>
  <c r="AF164" i="1"/>
  <c r="AF169" i="1"/>
  <c r="AF173" i="1"/>
  <c r="AF177" i="1"/>
  <c r="AF181" i="1"/>
  <c r="AF185" i="1"/>
  <c r="AF189" i="1"/>
  <c r="AF193" i="1"/>
  <c r="AF197" i="1"/>
  <c r="AF202" i="1"/>
  <c r="AF221" i="1"/>
  <c r="AF35" i="1"/>
  <c r="AF44" i="1"/>
  <c r="AF52" i="1"/>
  <c r="AF60" i="1"/>
  <c r="AF73" i="1"/>
  <c r="AF81" i="1"/>
  <c r="AF90" i="1"/>
  <c r="AF98" i="1"/>
  <c r="AF107" i="1"/>
  <c r="AF115" i="1"/>
  <c r="AF123" i="1"/>
  <c r="AF131" i="1"/>
  <c r="AF134" i="1"/>
  <c r="AF139" i="1"/>
  <c r="AF242" i="1"/>
  <c r="AF244" i="1"/>
  <c r="AF247" i="1"/>
  <c r="AF24" i="1"/>
  <c r="AF88" i="1"/>
  <c r="AF96" i="1"/>
  <c r="AF105" i="1"/>
  <c r="AF113" i="1"/>
  <c r="AF121" i="1"/>
  <c r="AF129" i="1"/>
  <c r="AF148" i="1"/>
  <c r="AF151" i="1"/>
  <c r="AF154" i="1"/>
  <c r="AF156" i="1"/>
  <c r="AF205" i="1"/>
  <c r="AF208" i="1"/>
  <c r="AF210" i="1"/>
  <c r="AF213" i="1"/>
  <c r="AF216" i="1"/>
  <c r="AF223" i="1"/>
  <c r="AF226" i="1"/>
  <c r="AF229" i="1"/>
  <c r="AF231" i="1"/>
  <c r="AF234" i="1"/>
  <c r="AF237" i="1"/>
  <c r="AF239" i="1"/>
  <c r="AF257" i="1"/>
  <c r="AF158" i="1"/>
  <c r="AF160" i="1"/>
  <c r="AF162" i="1"/>
  <c r="AF166" i="1"/>
  <c r="AF168" i="1"/>
  <c r="AF171" i="1"/>
  <c r="AF174" i="1"/>
  <c r="AF176" i="1"/>
  <c r="AF179" i="1"/>
  <c r="AF182" i="1"/>
  <c r="AF184" i="1"/>
  <c r="AF187" i="1"/>
  <c r="AF190" i="1"/>
  <c r="AF192" i="1"/>
  <c r="AF195" i="1"/>
  <c r="AF198" i="1"/>
  <c r="AF93" i="1"/>
  <c r="AF102" i="1"/>
  <c r="AF110" i="1"/>
  <c r="AF118" i="1"/>
  <c r="AF126" i="1"/>
  <c r="AF137" i="1"/>
  <c r="AF142" i="1"/>
  <c r="AF145" i="1"/>
  <c r="AF243" i="1"/>
  <c r="AF246" i="1"/>
  <c r="AF248" i="1"/>
  <c r="AF251" i="1"/>
  <c r="AF254" i="1"/>
  <c r="AF256" i="1"/>
  <c r="AF200" i="1"/>
  <c r="AF218" i="1"/>
  <c r="AF220" i="1"/>
  <c r="AF250" i="1"/>
  <c r="AF31" i="1"/>
  <c r="AF152" i="1"/>
  <c r="AF206" i="1"/>
  <c r="AF214" i="1"/>
  <c r="AF227" i="1"/>
  <c r="AF235" i="1"/>
  <c r="AF157" i="1"/>
  <c r="AF159" i="1"/>
  <c r="AF161" i="1"/>
  <c r="AF167" i="1"/>
  <c r="AF172" i="1"/>
  <c r="AF178" i="1"/>
  <c r="AF183" i="1"/>
  <c r="AF188" i="1"/>
  <c r="AF194" i="1"/>
  <c r="AF199" i="1"/>
  <c r="AF201" i="1"/>
  <c r="AF222" i="1"/>
  <c r="AF16" i="1"/>
  <c r="AF147" i="1"/>
  <c r="AF209" i="1"/>
  <c r="AF230" i="1"/>
  <c r="AF255" i="1"/>
  <c r="AF163" i="1"/>
  <c r="AF170" i="1"/>
  <c r="AF175" i="1"/>
  <c r="AF150" i="1"/>
  <c r="AF204" i="1"/>
  <c r="AF212" i="1"/>
  <c r="AF225" i="1"/>
  <c r="AF233" i="1"/>
  <c r="AF252" i="1"/>
  <c r="AF219" i="1"/>
  <c r="AF155" i="1"/>
  <c r="AF217" i="1"/>
  <c r="AF180" i="1"/>
  <c r="AF186" i="1"/>
  <c r="AF191" i="1"/>
  <c r="AF196" i="1"/>
  <c r="AF238" i="1"/>
  <c r="T27" i="3"/>
  <c r="T12" i="3"/>
  <c r="T17" i="3"/>
  <c r="T9" i="3"/>
  <c r="T25" i="3"/>
  <c r="T29" i="3"/>
  <c r="T38" i="3"/>
  <c r="T33" i="3"/>
  <c r="T30" i="3"/>
  <c r="T46" i="3"/>
  <c r="T18" i="3"/>
  <c r="T43" i="3"/>
  <c r="T32" i="3"/>
  <c r="T40" i="3"/>
  <c r="T8" i="3"/>
  <c r="T24" i="3"/>
  <c r="T10" i="3"/>
  <c r="T19" i="3"/>
  <c r="T39" i="3"/>
  <c r="T41" i="3"/>
  <c r="T44" i="3"/>
  <c r="T11" i="3"/>
  <c r="T13" i="3"/>
  <c r="T42" i="3"/>
  <c r="T37" i="3"/>
  <c r="T31" i="3"/>
  <c r="T21" i="3"/>
  <c r="T26" i="3"/>
  <c r="T23" i="3"/>
  <c r="T36" i="3"/>
  <c r="T34" i="3"/>
  <c r="T45" i="3"/>
  <c r="T7" i="3"/>
  <c r="T28" i="3"/>
  <c r="T14" i="3"/>
  <c r="T48" i="3"/>
  <c r="T20" i="3"/>
  <c r="T35" i="3"/>
  <c r="T16" i="3"/>
  <c r="T47" i="3"/>
  <c r="T22" i="3"/>
  <c r="T15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<sst xmlns="http://schemas.openxmlformats.org/spreadsheetml/2006/main" count="2853" uniqueCount="1036">
  <si>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</si>
  <si>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</si>
  <si>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</si>
  <si>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</si>
  <si>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</si>
  <si>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</si>
  <si>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</si>
  <si>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</si>
  <si>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</si>
  <si>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</si>
  <si>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</si>
  <si>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</si>
  <si>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</si>
  <si>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</si>
  <si>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</si>
  <si>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</si>
  <si>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</si>
  <si>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</si>
  <si>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</si>
  <si>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</si>
  <si>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</si>
  <si>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</si>
  <si>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</si>
  <si>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</si>
  <si>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</si>
  <si>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</si>
  <si>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</si>
  <si>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</si>
  <si>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</si>
  <si>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</si>
  <si>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</si>
  <si>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</si>
  <si>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</si>
  <si>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</si>
  <si>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</si>
  <si>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</si>
  <si>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</si>
  <si>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</si>
  <si>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</si>
  <si>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</si>
  <si>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</si>
  <si>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</si>
  <si>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</si>
  <si>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</si>
  <si>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</si>
  <si>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</si>
  <si>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</si>
  <si>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</si>
  <si>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</si>
  <si>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</si>
  <si>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</si>
  <si>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</si>
  <si>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</si>
  <si>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</si>
  <si>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</si>
  <si>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</si>
  <si>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</si>
  <si>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</si>
  <si>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</si>
  <si>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</si>
  <si>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</si>
  <si>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</si>
  <si>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</si>
  <si>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</si>
  <si>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</si>
  <si>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</si>
  <si>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</si>
  <si>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</si>
  <si>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</si>
  <si>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</si>
  <si>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</si>
  <si>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</si>
  <si>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</si>
  <si>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</si>
  <si>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</si>
  <si>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</si>
  <si>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</si>
  <si>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</si>
  <si>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</si>
  <si>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</si>
  <si>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</si>
  <si>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</si>
  <si>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</si>
  <si>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</si>
  <si>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</si>
  <si>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</si>
  <si>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</si>
  <si>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</si>
  <si>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</si>
  <si>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</si>
  <si>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</si>
  <si>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</si>
  <si>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</si>
  <si>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</si>
  <si>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</si>
  <si>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</si>
  <si>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</si>
  <si>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</si>
  <si>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</si>
  <si>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</si>
  <si>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</si>
  <si>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</si>
  <si>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</si>
  <si>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</si>
  <si>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</si>
  <si>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</si>
  <si>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</si>
  <si>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</si>
  <si>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</si>
  <si>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</si>
  <si>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</si>
  <si>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</si>
  <si>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</si>
  <si>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</si>
  <si>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</si>
  <si>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</si>
  <si>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</si>
  <si>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</si>
  <si>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</si>
  <si>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</si>
  <si>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</si>
  <si>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</si>
  <si>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</si>
  <si>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</si>
  <si>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</si>
  <si>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</si>
  <si>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</si>
  <si>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</si>
  <si>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</si>
  <si>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</si>
  <si>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</si>
  <si>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</si>
  <si>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</si>
  <si>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</si>
  <si>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</si>
  <si>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</si>
  <si>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</si>
  <si>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</si>
  <si>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</si>
  <si>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</si>
  <si>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</si>
  <si>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</si>
  <si>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</si>
  <si>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</si>
  <si>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</si>
  <si>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</si>
  <si>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</si>
  <si>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</si>
  <si>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</si>
  <si>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</si>
  <si>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</si>
  <si>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</si>
  <si>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</si>
  <si>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</si>
  <si>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</si>
  <si>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</si>
  <si>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</si>
  <si>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</si>
  <si>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</si>
  <si>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</si>
  <si>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</si>
  <si>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</si>
  <si>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</si>
  <si>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</si>
  <si>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</si>
  <si>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</si>
  <si>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</si>
  <si>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</si>
  <si>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</si>
  <si>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</si>
  <si>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</si>
  <si>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</si>
  <si>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</si>
  <si>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</si>
  <si>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</si>
  <si>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</si>
  <si>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</si>
  <si>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</si>
  <si>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</si>
  <si>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</si>
  <si>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</si>
  <si>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</si>
  <si>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</si>
  <si>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</si>
  <si>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</si>
  <si>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</si>
  <si>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</si>
  <si>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</si>
  <si>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</si>
  <si>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</si>
  <si>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</si>
  <si>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</si>
  <si>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</si>
  <si>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</si>
  <si>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</si>
  <si>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</si>
  <si>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</si>
  <si>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</si>
  <si>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</si>
  <si>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</si>
  <si>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</si>
  <si>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</si>
  <si>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</si>
  <si>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</si>
  <si>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</si>
  <si>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</si>
  <si>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</si>
  <si>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</si>
  <si>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</si>
  <si>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</si>
  <si>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</si>
  <si>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</si>
  <si>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</si>
  <si>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</si>
  <si>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</si>
  <si>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</si>
  <si>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</si>
  <si>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</si>
  <si>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</si>
  <si>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</si>
  <si>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</si>
  <si>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</si>
  <si>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</si>
  <si>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</si>
  <si>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</si>
  <si>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</si>
  <si>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</si>
  <si>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</si>
  <si>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</si>
  <si>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</si>
  <si>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</si>
  <si>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</si>
  <si>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</si>
  <si>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</si>
  <si>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</si>
  <si>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</si>
  <si>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</si>
  <si>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</si>
  <si>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</si>
  <si>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</si>
  <si>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</si>
  <si>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</si>
  <si>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</si>
  <si>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</si>
  <si>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</si>
  <si>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</si>
  <si>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</si>
  <si>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</si>
  <si>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</si>
  <si>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</si>
  <si>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</si>
  <si>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</si>
  <si>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</si>
  <si>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</si>
  <si>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</si>
  <si>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</si>
  <si>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</si>
  <si>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</si>
  <si>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</si>
  <si>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</si>
  <si>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</si>
  <si>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</si>
  <si>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</si>
  <si>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</si>
  <si>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</si>
  <si>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</si>
  <si>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</si>
  <si>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</si>
  <si>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</si>
  <si>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</si>
  <si>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</si>
  <si>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</si>
  <si>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</si>
  <si>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</si>
  <si>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</si>
  <si>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</si>
  <si>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</si>
  <si>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</si>
  <si>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</si>
  <si>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</si>
  <si>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</si>
  <si>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</si>
  <si>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</si>
  <si>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</si>
  <si>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</si>
  <si>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</si>
  <si>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</si>
  <si>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</si>
  <si>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</si>
  <si>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</si>
  <si>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</si>
  <si>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</si>
  <si>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</si>
  <si>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</si>
  <si>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</si>
  <si>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</si>
  <si>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</si>
  <si>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</si>
  <si>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</si>
  <si>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</si>
  <si>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</si>
  <si>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</si>
  <si>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</si>
  <si>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</si>
  <si>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</si>
  <si>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</si>
  <si>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</si>
  <si>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</si>
  <si>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</si>
  <si>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</si>
  <si>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</si>
  <si>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</si>
  <si>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</si>
  <si>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</si>
  <si>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</si>
  <si>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</si>
  <si>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</si>
  <si>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</si>
  <si>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</si>
  <si>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</si>
  <si>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</si>
  <si>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</si>
  <si>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</si>
  <si>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</si>
  <si>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</si>
  <si>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</si>
  <si>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</si>
  <si>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</si>
  <si>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</si>
  <si>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</si>
  <si>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</si>
  <si>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</si>
  <si>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</si>
  <si>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</si>
  <si>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</si>
  <si>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</si>
  <si>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</si>
  <si>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</si>
  <si>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</si>
  <si>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</si>
  <si>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</si>
  <si>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</si>
  <si>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</si>
  <si>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</si>
  <si>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</si>
  <si>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</si>
  <si>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</si>
  <si>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</si>
  <si>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</si>
  <si>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</si>
  <si>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</si>
  <si>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</si>
  <si>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</si>
  <si>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</si>
  <si>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</si>
  <si>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</si>
  <si>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</si>
  <si>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</si>
  <si>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</si>
  <si>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</si>
  <si>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</si>
  <si>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</si>
  <si>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</si>
  <si>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</si>
  <si>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</si>
  <si>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</si>
  <si>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</si>
  <si>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</si>
  <si>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</si>
  <si>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</si>
  <si>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</si>
  <si>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</si>
  <si>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</si>
  <si>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</si>
  <si>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</si>
  <si>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</si>
  <si>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</si>
  <si>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</si>
  <si>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</si>
  <si>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</si>
  <si>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</si>
  <si>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</si>
  <si>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</si>
  <si>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</si>
  <si>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</si>
  <si>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rtdc.l.rtdc.4061:itc</t>
  </si>
  <si>
    <t>PERKINS</t>
  </si>
  <si>
    <t>DARREN</t>
  </si>
  <si>
    <t>HART</t>
  </si>
  <si>
    <t>KEVIN</t>
  </si>
  <si>
    <t>204:440</t>
  </si>
  <si>
    <t>204:139</t>
  </si>
  <si>
    <t>rtdc.l.rtdc.4015:itc</t>
  </si>
  <si>
    <t>rtdc.l.rtdc.4016:itc</t>
  </si>
  <si>
    <t>rtdc.l.rtdc.4062:itc</t>
  </si>
  <si>
    <t>NICHOLSON</t>
  </si>
  <si>
    <t>WESLEY</t>
  </si>
  <si>
    <t>204:136</t>
  </si>
  <si>
    <t>204:163</t>
  </si>
  <si>
    <t>204:462</t>
  </si>
  <si>
    <t>204:232996</t>
  </si>
  <si>
    <t>204:451</t>
  </si>
  <si>
    <t>204:444</t>
  </si>
  <si>
    <t>rtdc.l.rtdc.4029:itc</t>
  </si>
  <si>
    <t>204:233289</t>
  </si>
  <si>
    <t>204:233291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</si>
  <si>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</si>
  <si>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</si>
  <si>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</si>
  <si>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</si>
  <si>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</si>
  <si>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</si>
  <si>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</si>
  <si>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</si>
  <si>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</si>
  <si>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</si>
  <si>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</si>
  <si>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</si>
  <si>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</si>
  <si>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</si>
  <si>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</si>
  <si>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204:438</t>
  </si>
  <si>
    <t>204:233319</t>
  </si>
  <si>
    <t>204:232991</t>
  </si>
  <si>
    <t>204:433</t>
  </si>
  <si>
    <t>204:685</t>
  </si>
  <si>
    <t>rtdc.l.rtdc.4043:itc</t>
  </si>
  <si>
    <t>YORK</t>
  </si>
  <si>
    <t>EDGAR</t>
  </si>
  <si>
    <t>204:232983</t>
  </si>
  <si>
    <t>204:233299</t>
  </si>
  <si>
    <t>204:473</t>
  </si>
  <si>
    <t>SWITCH UNKNOWN</t>
  </si>
  <si>
    <t>Track device (7)</t>
  </si>
  <si>
    <t>rtdc.l.rtdc.4057:itc</t>
  </si>
  <si>
    <t>Y</t>
  </si>
  <si>
    <t>204:232982</t>
  </si>
  <si>
    <t>204:475</t>
  </si>
  <si>
    <t>204:232993</t>
  </si>
  <si>
    <t>204:232985</t>
  </si>
  <si>
    <t>204:233332</t>
  </si>
  <si>
    <t>204:431</t>
  </si>
  <si>
    <t>204:233325</t>
  </si>
  <si>
    <t>300:23308</t>
  </si>
  <si>
    <t>204:233027</t>
  </si>
  <si>
    <t>rtdc.l.rtdc.4023:itc</t>
  </si>
  <si>
    <t>rtdc.l.rtdc.4024:itc</t>
  </si>
  <si>
    <t>rtdc.l.rtdc.4056:itc</t>
  </si>
  <si>
    <t>rtdc.l.rtdc.4005:itc</t>
  </si>
  <si>
    <t>THOMPSON</t>
  </si>
  <si>
    <t>LESTER</t>
  </si>
  <si>
    <t>LAMAR</t>
  </si>
  <si>
    <t>NEKESHA</t>
  </si>
  <si>
    <t>RESPASS</t>
  </si>
  <si>
    <t>AARON</t>
  </si>
  <si>
    <t>204:233017</t>
  </si>
  <si>
    <t>204:233302</t>
  </si>
  <si>
    <t>204:232965</t>
  </si>
  <si>
    <t>204:233318</t>
  </si>
  <si>
    <t>204:233310</t>
  </si>
  <si>
    <t>204:232975</t>
  </si>
  <si>
    <t>204:233006</t>
  </si>
  <si>
    <t>204:233019</t>
  </si>
  <si>
    <t>204:233330</t>
  </si>
  <si>
    <t>204:233015</t>
  </si>
  <si>
    <t>204:130</t>
  </si>
  <si>
    <t>204:457</t>
  </si>
  <si>
    <t>204:967</t>
  </si>
  <si>
    <t>204:233023</t>
  </si>
  <si>
    <t>204:233329</t>
  </si>
  <si>
    <t>Sat - Sun = 36 Trips</t>
  </si>
  <si>
    <t>"Summary View"</t>
  </si>
  <si>
    <t>rtdc.l.rtdc.4039:itc</t>
  </si>
  <si>
    <t>rtdc.l.rtdc.4018:itc</t>
  </si>
  <si>
    <t>rtdc.l.rtdc.4010:itc</t>
  </si>
  <si>
    <t>rtdc.l.rtdc.4017:itc</t>
  </si>
  <si>
    <t>BARRON</t>
  </si>
  <si>
    <t>PERLA</t>
  </si>
  <si>
    <t>rtdc.l.rtdc.4040:itc</t>
  </si>
  <si>
    <t>SWANSON</t>
  </si>
  <si>
    <t>BRYCE</t>
  </si>
  <si>
    <t>LEVERE</t>
  </si>
  <si>
    <t>CRAIG</t>
  </si>
  <si>
    <t>LEVIN</t>
  </si>
  <si>
    <t>SCOTT</t>
  </si>
  <si>
    <t>rtdc.l.rtdc.4011:itc</t>
  </si>
  <si>
    <t>204:233306</t>
  </si>
  <si>
    <t>204:232987</t>
  </si>
  <si>
    <t>204:233351</t>
  </si>
  <si>
    <t>204:233005</t>
  </si>
  <si>
    <t>204:233295</t>
  </si>
  <si>
    <t>204:233314</t>
  </si>
  <si>
    <t>204:232984</t>
  </si>
  <si>
    <t>204:435</t>
  </si>
  <si>
    <t>204:233298</t>
  </si>
  <si>
    <t>204:233317</t>
  </si>
  <si>
    <t>204:233311</t>
  </si>
  <si>
    <t>204:232992</t>
  </si>
  <si>
    <t>204:232988</t>
  </si>
  <si>
    <t>204:232986</t>
  </si>
  <si>
    <t>204:981</t>
  </si>
  <si>
    <t>204:971</t>
  </si>
  <si>
    <t>204:1002</t>
  </si>
  <si>
    <t>204:710</t>
  </si>
  <si>
    <t>300:58944</t>
  </si>
  <si>
    <t>300:58628</t>
  </si>
  <si>
    <t>300:58965</t>
  </si>
  <si>
    <t>300:58939</t>
  </si>
  <si>
    <t>204:233321</t>
  </si>
  <si>
    <t>rtdc.l.rtdc.4027:itc</t>
  </si>
  <si>
    <t>rtdc.l.rtdc.4044:itc</t>
  </si>
  <si>
    <t>rtdc.l.rtdc.4012:itc</t>
  </si>
  <si>
    <t>ACKERMAN</t>
  </si>
  <si>
    <t>JARED</t>
  </si>
  <si>
    <t>YANG</t>
  </si>
  <si>
    <t>JAN</t>
  </si>
  <si>
    <t>FORTUNATO</t>
  </si>
  <si>
    <t>FRANK</t>
  </si>
  <si>
    <t>ROMERO</t>
  </si>
  <si>
    <t>CHAD</t>
  </si>
  <si>
    <t>BEAM</t>
  </si>
  <si>
    <t>ROSS</t>
  </si>
  <si>
    <t>BRUDER</t>
  </si>
  <si>
    <t>RICHARD</t>
  </si>
  <si>
    <t>MOSES</t>
  </si>
  <si>
    <t>BRADLEY</t>
  </si>
  <si>
    <t>ZEWDU</t>
  </si>
  <si>
    <t>DEREJE</t>
  </si>
  <si>
    <t>rtdc.l.rtdc.4060:itc</t>
  </si>
  <si>
    <t>BIRKHOLZ</t>
  </si>
  <si>
    <t>NADINE</t>
  </si>
  <si>
    <t>307-19</t>
  </si>
  <si>
    <t>244-19</t>
  </si>
  <si>
    <t>309-19</t>
  </si>
  <si>
    <t>311-19</t>
  </si>
  <si>
    <t>204:232989</t>
  </si>
  <si>
    <t>204:233286</t>
  </si>
  <si>
    <t>204:233364</t>
  </si>
  <si>
    <t>204:233347</t>
  </si>
  <si>
    <t>204:429</t>
  </si>
  <si>
    <t>204:233008</t>
  </si>
  <si>
    <t>204:233374</t>
  </si>
  <si>
    <t>204:233346</t>
  </si>
  <si>
    <t>204:232973</t>
  </si>
  <si>
    <t>204:233372</t>
  </si>
  <si>
    <t>204:233004</t>
  </si>
  <si>
    <t>204:125</t>
  </si>
  <si>
    <t>204:427</t>
  </si>
  <si>
    <t>204:137</t>
  </si>
  <si>
    <t>204:233331</t>
  </si>
  <si>
    <t>300:23306</t>
  </si>
  <si>
    <t>300:23346</t>
  </si>
  <si>
    <t>204:1148</t>
  </si>
  <si>
    <t>300:58952</t>
  </si>
  <si>
    <t>300:58647</t>
  </si>
  <si>
    <t>204:689</t>
  </si>
  <si>
    <t>204:990</t>
  </si>
  <si>
    <t>204:691</t>
  </si>
  <si>
    <t>300:58946</t>
  </si>
  <si>
    <t>300:58632</t>
  </si>
  <si>
    <t>204:972</t>
  </si>
  <si>
    <t>300:58653</t>
  </si>
  <si>
    <t>300:58976</t>
  </si>
  <si>
    <t>204:965</t>
  </si>
  <si>
    <t>300:58668</t>
  </si>
  <si>
    <t>300:58967</t>
  </si>
  <si>
    <t>300:58643</t>
  </si>
  <si>
    <t>300:58662</t>
  </si>
  <si>
    <t>300:58656</t>
  </si>
  <si>
    <t>300:58651</t>
  </si>
  <si>
    <t>204:964</t>
  </si>
  <si>
    <t>300:58978</t>
  </si>
  <si>
    <t>300:58655</t>
  </si>
  <si>
    <t>204:703</t>
  </si>
  <si>
    <t>300:58634</t>
  </si>
  <si>
    <t>start /low /b %USERPROFILE%\Documents\GitHub\eaglep3\Utilities\DownloadLogsFromS3.py --loco 4043 --day 2017-09-20</t>
  </si>
  <si>
    <t>107-20</t>
  </si>
  <si>
    <t>901-20</t>
  </si>
  <si>
    <t>rtdc.l.rtdc.4063:itc</t>
  </si>
  <si>
    <t>104-20</t>
  </si>
  <si>
    <t>rtdc.l.rtdc.4042:itc</t>
  </si>
  <si>
    <t>111-20</t>
  </si>
  <si>
    <t>807-20</t>
  </si>
  <si>
    <t>809-20</t>
  </si>
  <si>
    <t>rtdc.l.rtdc.4059:itc</t>
  </si>
  <si>
    <t>810-20</t>
  </si>
  <si>
    <t>141-20</t>
  </si>
  <si>
    <t>63-20</t>
  </si>
  <si>
    <t>62-20</t>
  </si>
  <si>
    <t>rtdc.l.rtdc.4001:itc</t>
  </si>
  <si>
    <t>138-20</t>
  </si>
  <si>
    <t>144-20</t>
  </si>
  <si>
    <t>61-20</t>
  </si>
  <si>
    <t>152-20</t>
  </si>
  <si>
    <t>817-20</t>
  </si>
  <si>
    <t>161-20</t>
  </si>
  <si>
    <t>160-20</t>
  </si>
  <si>
    <t>60-20</t>
  </si>
  <si>
    <t>rtdc.l.rtdc.4041:itc</t>
  </si>
  <si>
    <t>168-20</t>
  </si>
  <si>
    <t>187-20</t>
  </si>
  <si>
    <t>TEMPORARY SPEED RESTRICTION</t>
  </si>
  <si>
    <t>72-20</t>
  </si>
  <si>
    <t>73-20</t>
  </si>
  <si>
    <t>198-20</t>
  </si>
  <si>
    <t>206-20</t>
  </si>
  <si>
    <t>834-20</t>
  </si>
  <si>
    <t>215-20</t>
  </si>
  <si>
    <t>rtdc.l.rtdc.4064:itc</t>
  </si>
  <si>
    <t>213-20</t>
  </si>
  <si>
    <t>839-20</t>
  </si>
  <si>
    <t>906-20</t>
  </si>
  <si>
    <t>212-20</t>
  </si>
  <si>
    <t>216-20</t>
  </si>
  <si>
    <t>236-20</t>
  </si>
  <si>
    <t>51-20</t>
  </si>
  <si>
    <t>238-20</t>
  </si>
  <si>
    <t>244-20</t>
  </si>
  <si>
    <t>300-20</t>
  </si>
  <si>
    <t>ROCHA</t>
  </si>
  <si>
    <t>YAOTL</t>
  </si>
  <si>
    <t>101-20</t>
  </si>
  <si>
    <t>52-20</t>
  </si>
  <si>
    <t>302-20</t>
  </si>
  <si>
    <t>75-20</t>
  </si>
  <si>
    <t>103-20</t>
  </si>
  <si>
    <t>304-20</t>
  </si>
  <si>
    <t>105-20</t>
  </si>
  <si>
    <t>306-20</t>
  </si>
  <si>
    <t>WEST</t>
  </si>
  <si>
    <t>BRYAN</t>
  </si>
  <si>
    <t>102-20</t>
  </si>
  <si>
    <t>308-20</t>
  </si>
  <si>
    <t>WENDY</t>
  </si>
  <si>
    <t>rtdc.l.rtdc.4002:itc</t>
  </si>
  <si>
    <t>109-20</t>
  </si>
  <si>
    <t>310-20</t>
  </si>
  <si>
    <t>113-20</t>
  </si>
  <si>
    <t>106-20</t>
  </si>
  <si>
    <t>800-20</t>
  </si>
  <si>
    <t>312-20</t>
  </si>
  <si>
    <t>108-20</t>
  </si>
  <si>
    <t>110-20</t>
  </si>
  <si>
    <t>115-20</t>
  </si>
  <si>
    <t>801-20</t>
  </si>
  <si>
    <t>117-20</t>
  </si>
  <si>
    <t>902-20</t>
  </si>
  <si>
    <t>GEBRETEKLE</t>
  </si>
  <si>
    <t>DAGNEW</t>
  </si>
  <si>
    <t>119-20</t>
  </si>
  <si>
    <t>114-20</t>
  </si>
  <si>
    <t>802-20</t>
  </si>
  <si>
    <t>112-20</t>
  </si>
  <si>
    <t>803-20</t>
  </si>
  <si>
    <t>121-20</t>
  </si>
  <si>
    <t>116-20</t>
  </si>
  <si>
    <t>118-20</t>
  </si>
  <si>
    <t>123-20</t>
  </si>
  <si>
    <t>804-20</t>
  </si>
  <si>
    <t>805-20</t>
  </si>
  <si>
    <t>120-20</t>
  </si>
  <si>
    <t>125-20</t>
  </si>
  <si>
    <t>806-20</t>
  </si>
  <si>
    <t>127-20</t>
  </si>
  <si>
    <t>YANAI</t>
  </si>
  <si>
    <t>IAN</t>
  </si>
  <si>
    <t>122-20</t>
  </si>
  <si>
    <t>124-20</t>
  </si>
  <si>
    <t>129-20</t>
  </si>
  <si>
    <t>PAGE</t>
  </si>
  <si>
    <t>MARCUS</t>
  </si>
  <si>
    <t>131-20</t>
  </si>
  <si>
    <t>128-20</t>
  </si>
  <si>
    <t>133-20</t>
  </si>
  <si>
    <t>126-20</t>
  </si>
  <si>
    <t>135-20</t>
  </si>
  <si>
    <t>811-20</t>
  </si>
  <si>
    <t>130-20</t>
  </si>
  <si>
    <t>132-20</t>
  </si>
  <si>
    <t>137-20</t>
  </si>
  <si>
    <t>134-20</t>
  </si>
  <si>
    <t>139-20</t>
  </si>
  <si>
    <t>812-20</t>
  </si>
  <si>
    <t>903-20</t>
  </si>
  <si>
    <t>HUFFSMITH</t>
  </si>
  <si>
    <t>MONTY</t>
  </si>
  <si>
    <t>136-20</t>
  </si>
  <si>
    <t>143-20</t>
  </si>
  <si>
    <t>813-20</t>
  </si>
  <si>
    <t>145-20</t>
  </si>
  <si>
    <t>147-20</t>
  </si>
  <si>
    <t>142-20</t>
  </si>
  <si>
    <t>814-20</t>
  </si>
  <si>
    <t>140-20</t>
  </si>
  <si>
    <t>149-20</t>
  </si>
  <si>
    <t>146-20</t>
  </si>
  <si>
    <t>151-20</t>
  </si>
  <si>
    <t>815-20</t>
  </si>
  <si>
    <t>148-20</t>
  </si>
  <si>
    <t>153-20</t>
  </si>
  <si>
    <t>150-20</t>
  </si>
  <si>
    <t>816-20</t>
  </si>
  <si>
    <t>155-20</t>
  </si>
  <si>
    <t>157-20</t>
  </si>
  <si>
    <t>56-20</t>
  </si>
  <si>
    <t>159-20</t>
  </si>
  <si>
    <t>156-20</t>
  </si>
  <si>
    <t>154-20</t>
  </si>
  <si>
    <t>163-20</t>
  </si>
  <si>
    <t>57-20</t>
  </si>
  <si>
    <t>818-20</t>
  </si>
  <si>
    <t>158-20</t>
  </si>
  <si>
    <t>165-20</t>
  </si>
  <si>
    <t>DELGADO</t>
  </si>
  <si>
    <t>DIANAH</t>
  </si>
  <si>
    <t>167-20</t>
  </si>
  <si>
    <t>819-20</t>
  </si>
  <si>
    <t>169-20</t>
  </si>
  <si>
    <t>BERLING</t>
  </si>
  <si>
    <t>GARY</t>
  </si>
  <si>
    <t>162-20</t>
  </si>
  <si>
    <t>164-20</t>
  </si>
  <si>
    <t>171-20</t>
  </si>
  <si>
    <t>820-20</t>
  </si>
  <si>
    <t>166-20</t>
  </si>
  <si>
    <t>173-20</t>
  </si>
  <si>
    <t>HOLCOMB</t>
  </si>
  <si>
    <t>KAMDEN</t>
  </si>
  <si>
    <t>175-20</t>
  </si>
  <si>
    <t>170-20</t>
  </si>
  <si>
    <t>821-20</t>
  </si>
  <si>
    <t>177-20</t>
  </si>
  <si>
    <t>179-20</t>
  </si>
  <si>
    <t>172-20</t>
  </si>
  <si>
    <t>822-20</t>
  </si>
  <si>
    <t>174-20</t>
  </si>
  <si>
    <t>181-20</t>
  </si>
  <si>
    <t>71-20</t>
  </si>
  <si>
    <t>176-20</t>
  </si>
  <si>
    <t>183-20</t>
  </si>
  <si>
    <t>178-20</t>
  </si>
  <si>
    <t>823-20</t>
  </si>
  <si>
    <t>185-20</t>
  </si>
  <si>
    <t>180-20</t>
  </si>
  <si>
    <t>824-20</t>
  </si>
  <si>
    <t>182-20</t>
  </si>
  <si>
    <t>70-20</t>
  </si>
  <si>
    <t>189-20</t>
  </si>
  <si>
    <t>184-20</t>
  </si>
  <si>
    <t>191-20</t>
  </si>
  <si>
    <t>825-20</t>
  </si>
  <si>
    <t>193-20</t>
  </si>
  <si>
    <t>186-20</t>
  </si>
  <si>
    <t>904-20</t>
  </si>
  <si>
    <t>188-20</t>
  </si>
  <si>
    <t>195-20</t>
  </si>
  <si>
    <t>826-20</t>
  </si>
  <si>
    <t>190-20</t>
  </si>
  <si>
    <t>827-20</t>
  </si>
  <si>
    <t>197-20</t>
  </si>
  <si>
    <t>192-20</t>
  </si>
  <si>
    <t>828-20</t>
  </si>
  <si>
    <t>199-20</t>
  </si>
  <si>
    <t>194-20</t>
  </si>
  <si>
    <t>829-20</t>
  </si>
  <si>
    <t>201-20</t>
  </si>
  <si>
    <t>DE LA ROSA</t>
  </si>
  <si>
    <t>ALEX</t>
  </si>
  <si>
    <t>196-20</t>
  </si>
  <si>
    <t>203-20</t>
  </si>
  <si>
    <t>830-20</t>
  </si>
  <si>
    <t>831-20</t>
  </si>
  <si>
    <t>205-20</t>
  </si>
  <si>
    <t>200-20</t>
  </si>
  <si>
    <t>207-20</t>
  </si>
  <si>
    <t>832-20</t>
  </si>
  <si>
    <t>833-20</t>
  </si>
  <si>
    <t>202-20</t>
  </si>
  <si>
    <t>209-20</t>
  </si>
  <si>
    <t>77-20</t>
  </si>
  <si>
    <t>ROBINSON</t>
  </si>
  <si>
    <t>KADDIBA</t>
  </si>
  <si>
    <t>204-20</t>
  </si>
  <si>
    <t>211-20</t>
  </si>
  <si>
    <t>835-20</t>
  </si>
  <si>
    <t>208-20</t>
  </si>
  <si>
    <t>54-20</t>
  </si>
  <si>
    <t>836-20</t>
  </si>
  <si>
    <t>210-20</t>
  </si>
  <si>
    <t>837-20</t>
  </si>
  <si>
    <t>217-20</t>
  </si>
  <si>
    <t>219-20</t>
  </si>
  <si>
    <t>214-20</t>
  </si>
  <si>
    <t>838-20</t>
  </si>
  <si>
    <t>301-20</t>
  </si>
  <si>
    <t>221-20</t>
  </si>
  <si>
    <t>841-20</t>
  </si>
  <si>
    <t>218-20</t>
  </si>
  <si>
    <t>303-20</t>
  </si>
  <si>
    <t>220-20</t>
  </si>
  <si>
    <t>223-20</t>
  </si>
  <si>
    <t>50-20</t>
  </si>
  <si>
    <t>ANDERS</t>
  </si>
  <si>
    <t>STEVEN</t>
  </si>
  <si>
    <t>840-20</t>
  </si>
  <si>
    <t>222-20</t>
  </si>
  <si>
    <t>305-20</t>
  </si>
  <si>
    <t>225-20</t>
  </si>
  <si>
    <t>843-20</t>
  </si>
  <si>
    <t>224-20</t>
  </si>
  <si>
    <t>227-20</t>
  </si>
  <si>
    <t>842-20</t>
  </si>
  <si>
    <t>229-20</t>
  </si>
  <si>
    <t>226-20</t>
  </si>
  <si>
    <t>845-20</t>
  </si>
  <si>
    <t>231-20</t>
  </si>
  <si>
    <t>228-20</t>
  </si>
  <si>
    <t>844-20</t>
  </si>
  <si>
    <t>230-20</t>
  </si>
  <si>
    <t>233-20</t>
  </si>
  <si>
    <t>232-20</t>
  </si>
  <si>
    <t>235-20</t>
  </si>
  <si>
    <t>237-20</t>
  </si>
  <si>
    <t>234-20</t>
  </si>
  <si>
    <t>239-20</t>
  </si>
  <si>
    <t>241-20</t>
  </si>
  <si>
    <t>240-20</t>
  </si>
  <si>
    <t>243-20</t>
  </si>
  <si>
    <t>313-20</t>
  </si>
  <si>
    <t>242-20</t>
  </si>
  <si>
    <t>307-20</t>
  </si>
  <si>
    <t>309-20</t>
  </si>
  <si>
    <t>311-20</t>
  </si>
  <si>
    <t>300-21</t>
  </si>
  <si>
    <t>partly-cloudy-day</t>
  </si>
  <si>
    <t>Partly Cloudy</t>
  </si>
  <si>
    <t>204:770</t>
  </si>
  <si>
    <t>204:233049</t>
  </si>
  <si>
    <t>204:497</t>
  </si>
  <si>
    <t>204:216</t>
  </si>
  <si>
    <t>204:233327</t>
  </si>
  <si>
    <t>204:233336</t>
  </si>
  <si>
    <t>204:233383</t>
  </si>
  <si>
    <t>204:233038</t>
  </si>
  <si>
    <t>204:517</t>
  </si>
  <si>
    <t>204:233308</t>
  </si>
  <si>
    <t>204:478</t>
  </si>
  <si>
    <t>204:232976</t>
  </si>
  <si>
    <t>204:178</t>
  </si>
  <si>
    <t>204:232967</t>
  </si>
  <si>
    <t>204:486</t>
  </si>
  <si>
    <t>204:233305</t>
  </si>
  <si>
    <t>204:167</t>
  </si>
  <si>
    <t>204:233285</t>
  </si>
  <si>
    <t>204:233002</t>
  </si>
  <si>
    <t>204:129</t>
  </si>
  <si>
    <t>204:233009</t>
  </si>
  <si>
    <t>204:233282</t>
  </si>
  <si>
    <t>204:232963</t>
  </si>
  <si>
    <t>204:169</t>
  </si>
  <si>
    <t>204:233259</t>
  </si>
  <si>
    <t>204:233345</t>
  </si>
  <si>
    <t>204:233036</t>
  </si>
  <si>
    <t>204:233338</t>
  </si>
  <si>
    <t>204:233280</t>
  </si>
  <si>
    <t>204:195555</t>
  </si>
  <si>
    <t>204:233301</t>
  </si>
  <si>
    <t>204:233040</t>
  </si>
  <si>
    <t>204:233011</t>
  </si>
  <si>
    <t>204:132</t>
  </si>
  <si>
    <t>204:233316</t>
  </si>
  <si>
    <t>204:233342</t>
  </si>
  <si>
    <t>204:233412</t>
  </si>
  <si>
    <t>204:233026</t>
  </si>
  <si>
    <t>204:232969</t>
  </si>
  <si>
    <t>204:13545</t>
  </si>
  <si>
    <t>204:233274</t>
  </si>
  <si>
    <t>204:498</t>
  </si>
  <si>
    <t>204:106</t>
  </si>
  <si>
    <t>204:233276</t>
  </si>
  <si>
    <t>300:23296</t>
  </si>
  <si>
    <t>300:23427</t>
  </si>
  <si>
    <t>204:170</t>
  </si>
  <si>
    <t>204:484</t>
  </si>
  <si>
    <t>300:23025</t>
  </si>
  <si>
    <t>300:23533</t>
  </si>
  <si>
    <t>300:26376</t>
  </si>
  <si>
    <t>300:5215</t>
  </si>
  <si>
    <t>204:976</t>
  </si>
  <si>
    <t>300:22645</t>
  </si>
  <si>
    <t>300:23301</t>
  </si>
  <si>
    <t>300:23684</t>
  </si>
  <si>
    <t>204:412</t>
  </si>
  <si>
    <t>300:23608</t>
  </si>
  <si>
    <t>204:417</t>
  </si>
  <si>
    <t>300:23310</t>
  </si>
  <si>
    <t>300:23381</t>
  </si>
  <si>
    <t>204:2136</t>
  </si>
  <si>
    <t>204:3908</t>
  </si>
  <si>
    <t>204:2456</t>
  </si>
  <si>
    <t>204:233360</t>
  </si>
  <si>
    <t>300:30614</t>
  </si>
  <si>
    <t>300:12997</t>
  </si>
  <si>
    <t>300:30888</t>
  </si>
  <si>
    <t>300:12698</t>
  </si>
  <si>
    <t>300:30108</t>
  </si>
  <si>
    <t>300:30930</t>
  </si>
  <si>
    <t>300:30699</t>
  </si>
  <si>
    <t>300:28778</t>
  </si>
  <si>
    <t>300:13029</t>
  </si>
  <si>
    <t>300:31004</t>
  </si>
  <si>
    <t>300:21956</t>
  </si>
  <si>
    <t>300:31021</t>
  </si>
  <si>
    <t>300:30665</t>
  </si>
  <si>
    <t>300:22518</t>
  </si>
  <si>
    <t>204:3625</t>
  </si>
  <si>
    <t>204:1152</t>
  </si>
  <si>
    <t>300:23370</t>
  </si>
  <si>
    <t>204:1747</t>
  </si>
  <si>
    <t>300:22166</t>
  </si>
  <si>
    <t>204:895</t>
  </si>
  <si>
    <t>204:1210</t>
  </si>
  <si>
    <t>300:24252</t>
  </si>
  <si>
    <t>300:112185</t>
  </si>
  <si>
    <t>300:112189</t>
  </si>
  <si>
    <t>204:403</t>
  </si>
  <si>
    <t>300:112513</t>
  </si>
  <si>
    <t>204:428</t>
  </si>
  <si>
    <t>300:112511</t>
  </si>
  <si>
    <t>300:112202</t>
  </si>
  <si>
    <t>204:111</t>
  </si>
  <si>
    <t>300:112191</t>
  </si>
  <si>
    <t>204:142</t>
  </si>
  <si>
    <t>300:30097</t>
  </si>
  <si>
    <t>300:112515</t>
  </si>
  <si>
    <t>300:112148</t>
  </si>
  <si>
    <t>204:441</t>
  </si>
  <si>
    <t>300:112470</t>
  </si>
  <si>
    <t>300:112475</t>
  </si>
  <si>
    <t>300:112150</t>
  </si>
  <si>
    <t>204:146</t>
  </si>
  <si>
    <t>204:937</t>
  </si>
  <si>
    <t>204:432</t>
  </si>
  <si>
    <t>300:112506</t>
  </si>
  <si>
    <t>204:1248</t>
  </si>
  <si>
    <t>300:31149</t>
  </si>
  <si>
    <t>300:13596</t>
  </si>
  <si>
    <t>300:30551</t>
  </si>
  <si>
    <t>300:31466</t>
  </si>
  <si>
    <t>300:31104</t>
  </si>
  <si>
    <t>300:28782</t>
  </si>
  <si>
    <t>300:13913</t>
  </si>
  <si>
    <t>300:31426</t>
  </si>
  <si>
    <t>204:1467</t>
  </si>
  <si>
    <t>300:58641</t>
  </si>
  <si>
    <t>204:649</t>
  </si>
  <si>
    <t>204:946</t>
  </si>
  <si>
    <t>300:58993</t>
  </si>
  <si>
    <t>300:58687</t>
  </si>
  <si>
    <t>300:58960</t>
  </si>
  <si>
    <t>204:633</t>
  </si>
  <si>
    <t>204:927</t>
  </si>
  <si>
    <t>300:58636</t>
  </si>
  <si>
    <t>204:706</t>
  </si>
  <si>
    <t>204:1006</t>
  </si>
  <si>
    <t>300:58973</t>
  </si>
  <si>
    <t>204:712</t>
  </si>
  <si>
    <t>204:992</t>
  </si>
  <si>
    <t>300:58638</t>
  </si>
  <si>
    <t>300:58969</t>
  </si>
  <si>
    <t>204:713</t>
  </si>
  <si>
    <t>204:1027</t>
  </si>
  <si>
    <t>204:717</t>
  </si>
  <si>
    <t>204:668</t>
  </si>
  <si>
    <t>204:1007</t>
  </si>
  <si>
    <t>204:673</t>
  </si>
  <si>
    <t>204:988</t>
  </si>
  <si>
    <t>300:58975</t>
  </si>
  <si>
    <t>204:692</t>
  </si>
  <si>
    <t>300:58626</t>
  </si>
  <si>
    <t>204:699</t>
  </si>
  <si>
    <t>300:58933</t>
  </si>
  <si>
    <t>300:58613</t>
  </si>
  <si>
    <t>300:58935</t>
  </si>
  <si>
    <t>300:58619</t>
  </si>
  <si>
    <t>204:666</t>
  </si>
  <si>
    <t>204:960</t>
  </si>
  <si>
    <t>300:58615</t>
  </si>
  <si>
    <t>300:58931</t>
  </si>
  <si>
    <t>204:698</t>
  </si>
  <si>
    <t>300:28788</t>
  </si>
  <si>
    <t>300:58948</t>
  </si>
  <si>
    <t>300:29317</t>
  </si>
  <si>
    <t>300:33199</t>
  </si>
  <si>
    <t>300:23610</t>
  </si>
  <si>
    <t>204:1011</t>
  </si>
  <si>
    <t>300:24250</t>
  </si>
  <si>
    <t>300:23603</t>
  </si>
  <si>
    <t>204:675</t>
  </si>
  <si>
    <t>300:58624</t>
  </si>
  <si>
    <t>300:28767</t>
  </si>
  <si>
    <t>start /low /b %USERPROFILE%\Documents\GitHub\eaglep3\Utilities\DownloadLogsFromS3.py --loco 4062 --day 2017-09-20</t>
  </si>
  <si>
    <t>start /low /b %USERPROFILE%\Documents\GitHub\eaglep3\Utilities\DownloadLogsFromS3.py --loco 4061 --day 2017-09-20</t>
  </si>
  <si>
    <t>start /low /b %USERPROFILE%\Documents\GitHub\eaglep3\Utilities\DownloadLogsFromS3.py --loco 4043 --day 2017-09-21</t>
  </si>
  <si>
    <t>start /low /b %USERPROFILE%\Documents\GitHub\eaglep3\Utilities\DownloadLogsFromS3.py --loco 4015 --day 2017-09-20</t>
  </si>
  <si>
    <t>start /low /b %USERPROFILE%\Documents\GitHub\eaglep3\Utilities\DownloadLogsFromS3.py --loco 4063 --day 2017-09-20</t>
  </si>
  <si>
    <t>start /low /b %USERPROFILE%\Documents\GitHub\eaglep3\Utilities\DownloadLogsFromS3.py --loco 4041 --day 2017-09-21</t>
  </si>
  <si>
    <t>start /low /b %USERPROFILE%\Documents\GitHub\eaglep3\Utilities\DownloadLogsFromS3.py --loco 4041 --day 2017-09-20</t>
  </si>
  <si>
    <t>start /low /b %USERPROFILE%\Documents\GitHub\eaglep3\Utilities\DownloadLogsFromS3.py --loco 4001 --day 2017-09-20</t>
  </si>
  <si>
    <t>start /low /b %USERPROFILE%\Documents\GitHub\eaglep3\Utilities\DownloadLogsFromS3.py --loco 4062 --day 2017-09-21</t>
  </si>
  <si>
    <t>start /low /b %USERPROFILE%\Documents\GitHub\eaglep3\Utilities\DownloadLogsFromS3.py --loco 4044 --day 2017-09-20</t>
  </si>
  <si>
    <t>start /low /b %USERPROFILE%\Documents\GitHub\eaglep3\Utilities\DownloadLogsFromS3.py --loco 4058 --day 2017-09-20</t>
  </si>
  <si>
    <t>start /low /b %USERPROFILE%\Documents\GitHub\eaglep3\Utilities\DownloadLogsFromS3.py --loco 4061 --day 2017-09-21</t>
  </si>
  <si>
    <t>start /low /b %USERPROFILE%\Documents\GitHub\eaglep3\Utilities\DownloadLogsFromS3.py --loco 4057 --day 2017-09-20</t>
  </si>
  <si>
    <t>start /low /b %USERPROFILE%\Documents\GitHub\eaglep3\Utilities\DownloadLogsFromS3.py --loco 4057 --day 2017-09-21</t>
  </si>
  <si>
    <t>start /low /b %USERPROFILE%\Documents\GitHub\eaglep3\Utilities\DownloadLogsFromS3.py --loco 4042 --day 2017-09-20</t>
  </si>
  <si>
    <t>start /low /b %USERPROFILE%\Documents\GitHub\eaglep3\Utilities\DownloadLogsFromS3.py --loco 4040 --day 2017-09-20</t>
  </si>
  <si>
    <t>start /low /b %USERPROFILE%\Documents\GitHub\eaglep3\Utilities\DownloadLogsFromS3.py --loco 4064 --day 2017-09-21</t>
  </si>
  <si>
    <t>start /low /b %USERPROFILE%\Documents\GitHub\eaglep3\Utilities\DownloadLogsFromS3.py --loco 4060 --day 2017-09-20</t>
  </si>
  <si>
    <t>start /low /b %USERPROFILE%\Documents\GitHub\eaglep3\Utilities\DownloadLogsFromS3.py --loco 4059 --day 2017-09-20</t>
  </si>
  <si>
    <t>start /low /b %USERPROFILE%\Documents\GitHub\eaglep3\Utilities\DownloadLogsFromS3.py --loco 4016 --day 2017-09-20</t>
  </si>
  <si>
    <t>start /low /b %USERPROFILE%\Documents\GitHub\eaglep3\Utilities\DownloadLogsFromS3.py --loco 4060 --day 2017-09-21</t>
  </si>
  <si>
    <t>c:\users\tmcdowell\Documents\GitHub\mrs-test-scripts\Headless Mode &amp; Sideloading\WalkAndUnGZ.bat</t>
  </si>
  <si>
    <t>WI-MAX data drop</t>
  </si>
  <si>
    <t>Onboard en route failure</t>
  </si>
  <si>
    <t>Went active too close to signal</t>
  </si>
  <si>
    <t>808-20</t>
  </si>
  <si>
    <t>DE.1.0.9.1</t>
  </si>
  <si>
    <t>204:991</t>
  </si>
  <si>
    <t>300:58979</t>
  </si>
  <si>
    <t>GEBRETEKLE DAGNEW</t>
  </si>
  <si>
    <t>Half-run, ending at CRMF due to track maintenance</t>
  </si>
  <si>
    <t>Cancelled due to track maintenance</t>
  </si>
  <si>
    <t>No unhealthy banners found (54125)</t>
  </si>
  <si>
    <t>Mid-block initialization</t>
  </si>
  <si>
    <t>Enforcement due to speed restriction, no enforcement message sent, due to minor 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</si>
</sst>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0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COUNTIFS($N$13:$N$9349,"&gt;0",$AG$13:$AG$9349,I1)</f>
        <v>141</v>
      </c>
      <c r="K5" s="39"/>
      <c r="L5" s="172"/>
      <c r="M5" s="40">
        <f>AVERAGEIFS($N$13:$N$9349,$AG$13:$AG$9349,I1)</f>
        <v>36.969503546480404</v>
      </c>
      <c r="N5" s="38">
        <f t="array" ref="N5">MIN(IF($AG$13:$AG$9349=I1,IF(ISNUMBER($N$13:$N$9349),IF($N$13:$N$9349&gt;0,$N$13:$N$9349))))</f>
        <v>33.966666664928198</v>
      </c>
      <c r="O5" s="3">
        <f t="array" ref="O5">MAX(IF($AG$13:$AG$9349=I1,IF(ISNUMBER($N$13:$N$9349),IF($N$13:$N$9349&gt;0,$N$13:$N$9349))))</f>
        <v>43.08333333581686</v>
      </c>
      <c r="P5" s="2"/>
      <c r="R5" s="163" t="s">
        <v>17</v>
      </c>
      <c r="S5" s="207">
        <f>COUNTIFS($N$13:$N$9349,"&gt;0",$AG$13:$AG$9349,R1)</f>
        <v>46</v>
      </c>
      <c r="T5" s="172"/>
      <c r="U5" s="195"/>
      <c r="V5" s="211">
        <f>AVERAGEIFS($N$13:$N$9349,$AG$13:$AG$9349,R1)</f>
        <v>15.772826088055888</v>
      </c>
      <c r="W5" s="212">
        <f t="array" ref="W5">MIN(IF($AG$13:$AG$9349=R1,IF(ISNUMBER($N$13:$N$9349),IF($N$13:$N$9349&gt;0,$N$13:$N$9349))))</f>
        <v>8.8333333341870457</v>
      </c>
      <c r="X5" s="200">
        <f t="array" ref="X5">MAX(IF($AG$13:$AG$9349=R1,IF(ISNUMBER($N$13:$N$9349),IF($N$13:$N$9349&gt;0,$N$13:$N$9349))))</f>
        <v>24.466666665393859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COUNT($O$13:$O$145)</f>
        <v>0</v>
      </c>
      <c r="K6" s="39"/>
      <c r="L6" s="172"/>
      <c r="M6" s="40">
        <f>IFERROR(AVERAGE($O$13:$O$145),0)</f>
        <v>0</v>
      </c>
      <c r="N6" s="38">
        <f>MIN($O$13:$O$145)</f>
        <v>0</v>
      </c>
      <c r="O6" s="3">
        <f>MAX($O$13:$O$145)</f>
        <v>0</v>
      </c>
      <c r="P6" s="2"/>
      <c r="R6" s="164" t="s">
        <v>43</v>
      </c>
      <c r="S6" s="207">
        <f>COUNT($O$13:$O$145)</f>
        <v>0</v>
      </c>
      <c r="T6" s="172"/>
      <c r="U6" s="195"/>
      <c r="V6" s="211">
        <f>IFERROR(AVERAGE($O$13:$O$145),0)</f>
        <v>0</v>
      </c>
      <c r="W6" s="212">
        <f>MIN($O$13:$O$145)</f>
        <v>0</v>
      </c>
      <c r="X6" s="200">
        <f>MAX($O$13:$O$145)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COUNTIFS($P$13:$P$9349,"&gt;0",$AG$13:$AG$9349,I1)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COUNTIFS($P$13:$P$9349,"&gt;0",$AG$13:$AG$9349,R1)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36.969503546480404</v>
      </c>
      <c r="N8" s="38">
        <f>N5</f>
        <v>33.966666664928198</v>
      </c>
      <c r="O8" s="3">
        <f>O5</f>
        <v>43.08333333581686</v>
      </c>
      <c r="P8" s="2"/>
      <c r="R8" s="163" t="s">
        <v>16</v>
      </c>
      <c r="S8" s="207">
        <f>S5</f>
        <v>46</v>
      </c>
      <c r="T8" s="172"/>
      <c r="U8" s="195"/>
      <c r="V8" s="211">
        <f>V5</f>
        <v>15.772826088055888</v>
      </c>
      <c r="W8" s="212">
        <f>W5</f>
        <v>8.8333333341870457</v>
      </c>
      <c r="X8" s="200">
        <f>X5</f>
        <v>24.466666665393859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- 2017-09-20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471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621</v>
      </c>
      <c r="B13" s="7">
        <v>4042</v>
      </c>
      <c r="C13" s="21" t="s">
        <v>196</v>
      </c>
      <c r="D13" s="21" t="s">
        <v>836</v>
      </c>
      <c r="E13" s="13">
        <v>42998.133437500001</v>
      </c>
      <c r="F13" s="13">
        <v>42998.13559027778</v>
      </c>
      <c r="G13" s="7">
        <v>59</v>
      </c>
      <c r="H13" s="21" t="s">
        <v>537</v>
      </c>
      <c r="I13" s="13">
        <v>42998.163043981483</v>
      </c>
      <c r="J13" s="7">
        <v>0</v>
      </c>
      <c r="K13" s="89" t="str">
        <f t="shared" ref="K13:K76" si="0">IF(ISEVEN(B13),(B13-1)&amp;"/"&amp;B13,B13&amp;"/"&amp;(B13+1))</f>
        <v>4041/4042</v>
      </c>
      <c r="L13" s="185" t="str">
        <f>VLOOKUP(A13,'Trips&amp;Operators'!$C$1:$G$99911,5,FALSE)</f>
        <v>ROCHA YAOTL</v>
      </c>
      <c r="M13" s="6">
        <f t="shared" ref="M13:M76" si="1">I13-F13</f>
        <v>2.7453703703940846E-2</v>
      </c>
      <c r="N13" s="7">
        <f t="shared" ref="N13:N44" si="2">24*60*SUM($M13:$M13)</f>
        <v>39.533333333674818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-20T02:12:09-0600',mode:absolute,to:'2017-09-20T04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44" si="7">RIGHT(D13,LEN(D13)-4)/10000</f>
        <v>7.6999999999999999E-2</v>
      </c>
      <c r="Z13" s="204">
        <f t="shared" ref="Z13:Z44" si="8">RIGHT(H13,LEN(H13)-4)/10000</f>
        <v>23.336400000000001</v>
      </c>
      <c r="AA13" s="204">
        <f t="shared" ref="AA13:AA76" si="9">ABS(Z13-Y13)</f>
        <v>23.259399999999999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/stypes="app*4042*20170920*"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4042 --swversion DE.1.0.9.0 --startMP 204:770 --initTime 2017-09-20T03:12:09 --startdatetime 2017-09-20T03:15:15 --delay 59 --endMP 204:233364 --enddatetime 2017-09-20T03:54:47 --enforcementcount 0 &gt;&gt;c:\users\tmcdowell\Documents\GitHub\eaglep3-reporting\EC\2017-09-20-refined-times.txt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{"issue":{"subject":"","project_id":79,"tracker_id":40,"status_id":1,"priority_id":2,"assigned_to_id":338,"start_date":"2017-09-20","description":"","custom_fields":[{"id":1,"name":"Subdivision","value":"EC"},{"id":4,"name":"Milepost","value":"23.3364"},{"id":17,"name":"Train ID","value":"101-20"},{"id":16,"name":"Locomotive ID","value":"4042"},{"id":130,"name":"Impact","value":""},{"id":150,"name":"Time of Event (Mountain Time)","value":"03:54:47"},{"id":151,"name":"Denver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4042 --day 2017-09-20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-20T02:12:09-0600',mode:absolute,to:'2017-09-20T04:54:47-0600'))&amp;_a=(columns:!('Message%20ID',Summary),filters:!(),index:'emp_*',interval:auto,query:(query_string:(analyze_wildcard:!t,query:'Message%5C+ID:(*)+AND+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631</v>
      </c>
      <c r="B14" s="7">
        <v>4041</v>
      </c>
      <c r="C14" s="21" t="s">
        <v>196</v>
      </c>
      <c r="D14" s="21" t="s">
        <v>837</v>
      </c>
      <c r="E14" s="13">
        <v>42998.172569444447</v>
      </c>
      <c r="F14" s="13">
        <v>42998.175185185188</v>
      </c>
      <c r="G14" s="7">
        <v>51</v>
      </c>
      <c r="H14" s="21" t="s">
        <v>342</v>
      </c>
      <c r="I14" s="13">
        <v>42998.201423611114</v>
      </c>
      <c r="J14" s="7">
        <v>0</v>
      </c>
      <c r="K14" s="89" t="str">
        <f t="shared" si="0"/>
        <v>4041/4042</v>
      </c>
      <c r="L14" s="185" t="str">
        <f>VLOOKUP(A14,'Trips&amp;Operators'!$C$1:$G$99911,5,FALSE)</f>
        <v>ROCHA YAOTL</v>
      </c>
      <c r="M14" s="6">
        <f t="shared" si="1"/>
        <v>2.6238425925839692E-2</v>
      </c>
      <c r="N14" s="7">
        <f t="shared" si="2"/>
        <v>37.783333333209157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-20T03:08:30-0600',mode:absolute,to:'2017-09-20T05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23.3049</v>
      </c>
      <c r="Z14" s="204">
        <f t="shared" si="8"/>
        <v>1.47E-2</v>
      </c>
      <c r="AA14" s="204">
        <f t="shared" si="9"/>
        <v>23.290199999999999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4" s="74" t="str">
        <f t="shared" si="12"/>
        <v>"C:\Program Files (x86)\AstroGrep\AstroGrep.exe" /e /r /s /spath="%USERPROFILE%\AppData\Local\Temp\OnboardLogs" /stypes="app*4041*20170920*"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4041 --swversion DE.1.0.9.0 --startMP 204:233049 --initTime 2017-09-20T04:08:30 --startdatetime 2017-09-20T04:12:16 --delay 51 --endMP 204:147 --enddatetime 2017-09-20T04:50:03 --enforcementcount 0 &gt;&gt;c:\users\tmcdowell\Documents\GitHub\eaglep3-reporting\EC\2017-09-20-refined-times.txt</v>
      </c>
      <c r="AI14" s="96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ID","value":"102-20"},{"id":16,"name":"Locomotive ID","value":"4041"},{"id":130,"name":"Impact","value":""},{"id":150,"name":"Time of Event (Mountain Time)","value":"04:50:03"},{"id":151,"name":"Denver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5" si="21">"start /low /b "&amp;dls3logs&amp;" --loco "&amp;B14&amp;" --day "&amp;TEXT(F14,"YYYY-MM-DD")</f>
        <v>start /low /b %USERPROFILE%\Documents\GitHub\eaglep3\Utilities\DownloadLogsFromS3.py --loco 4041 --day 2017-09-20</v>
      </c>
      <c r="AN14" s="151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-20T03:08:30-0600',mode:absolute,to:'2017-09-20T05:50:03-0600'))&amp;_a=(columns:!('Message%20ID',Summary),filters:!(),index:'emp_*',interval:auto,query:(query_string:(analyze_wildcard:!t,query:'Message%5C+ID:(*)+AND+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625</v>
      </c>
      <c r="B15" s="7">
        <v>4064</v>
      </c>
      <c r="C15" s="21" t="s">
        <v>196</v>
      </c>
      <c r="D15" s="21" t="s">
        <v>838</v>
      </c>
      <c r="E15" s="13">
        <v>42998.154513888891</v>
      </c>
      <c r="F15" s="13">
        <v>42998.156643518516</v>
      </c>
      <c r="G15" s="7">
        <v>72</v>
      </c>
      <c r="H15" s="21" t="s">
        <v>536</v>
      </c>
      <c r="I15" s="13">
        <v>42998.18645833333</v>
      </c>
      <c r="J15" s="7">
        <v>0</v>
      </c>
      <c r="K15" s="89" t="str">
        <f t="shared" si="0"/>
        <v>4063/4064</v>
      </c>
      <c r="L15" s="185" t="str">
        <f>VLOOKUP(A15,'Trips&amp;Operators'!$C$1:$G$99911,5,FALSE)</f>
        <v>THOMPSON LESTER</v>
      </c>
      <c r="M15" s="6">
        <f t="shared" si="1"/>
        <v>2.9814814814017154E-2</v>
      </c>
      <c r="N15" s="7">
        <f t="shared" si="2"/>
        <v>42.933333332184702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-20T02:42:30-0600',mode:absolute,to:'2017-09-20T05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4.9700000000000001E-2</v>
      </c>
      <c r="Z15" s="204">
        <f t="shared" si="8"/>
        <v>23.328600000000002</v>
      </c>
      <c r="AA15" s="204">
        <f t="shared" si="9"/>
        <v>23.2789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5" s="74" t="str">
        <f t="shared" si="12"/>
        <v>"C:\Program Files (x86)\AstroGrep\AstroGrep.exe" /e /r /s /spath="%USERPROFILE%\AppData\Local\Temp\OnboardLogs" /stypes="app*4064*20170920*"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103-20 --locoid 4064 --swversion DE.1.0.9.0 --startMP 204:497 --initTime 2017-09-20T03:42:30 --startdatetime 2017-09-20T03:45:34 --delay 72 --endMP 204:233286 --enddatetime 2017-09-20T04:28:30 --enforcementcount 0 &gt;&gt;c:\users\tmcdowell\Documents\GitHub\eaglep3-reporting\EC\2017-09-20-refined-times.txt</v>
      </c>
      <c r="AI1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{"issue":{"subject":"","project_id":79,"tracker_id":40,"status_id":1,"priority_id":2,"assigned_to_id":338,"start_date":"2017-09-20","description":"","custom_fields":[{"id":1,"name":"Subdivision","value":"EC"},{"id":4,"name":"Milepost","value":"23.3286"},{"id":17,"name":"Train ID","value":"103-20"},{"id":16,"name":"Locomotive ID","value":"4064"},{"id":130,"name":"Impact","value":""},{"id":150,"name":"Time of Event (Mountain Time)","value":"04:28:30"},{"id":151,"name":"Denver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4064 --day 2017-09-20</v>
      </c>
      <c r="AN1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-20T02:42:30-0600',mode:absolute,to:'2017-09-20T05:28:30-0600'))&amp;_a=(columns:!('Message%20ID',Summary),filters:!(),index:'emp_*',interval:auto,query:(query_string:(analyze_wildcard:!t,query:'Message%5C+ID:(*)+AND+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579</v>
      </c>
      <c r="B16" s="7">
        <v>4063</v>
      </c>
      <c r="C16" s="21" t="s">
        <v>196</v>
      </c>
      <c r="D16" s="21" t="s">
        <v>460</v>
      </c>
      <c r="E16" s="13">
        <v>42998.193553240744</v>
      </c>
      <c r="F16" s="13">
        <v>42998.19604166667</v>
      </c>
      <c r="G16" s="7">
        <v>69</v>
      </c>
      <c r="H16" s="21" t="s">
        <v>839</v>
      </c>
      <c r="I16" s="13">
        <v>42998.22351851852</v>
      </c>
      <c r="J16" s="7">
        <v>0</v>
      </c>
      <c r="K16" s="89" t="str">
        <f t="shared" si="0"/>
        <v>4063/4064</v>
      </c>
      <c r="L16" s="185" t="str">
        <f>VLOOKUP(A16,'Trips&amp;Operators'!$C$1:$G$99911,5,FALSE)</f>
        <v>THOMPSON LESTER</v>
      </c>
      <c r="M16" s="6">
        <f t="shared" si="1"/>
        <v>2.7476851850224193E-2</v>
      </c>
      <c r="N16" s="7">
        <f t="shared" si="2"/>
        <v>39.566666664322838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23.297499999999999</v>
      </c>
      <c r="Z16" s="204">
        <f t="shared" si="8"/>
        <v>2.1600000000000001E-2</v>
      </c>
      <c r="AA16" s="204">
        <f t="shared" si="9"/>
        <v>23.2759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6" s="74" t="str">
        <f t="shared" si="12"/>
        <v>"C:\Program Files (x86)\AstroGrep\AstroGrep.exe" /e /r /s /spath="%USERPROFILE%\AppData\Local\Temp\OnboardLogs" /stypes="app*4063*20170920*"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104-20 --locoid 4063 --swversion DE.1.0.9.0 --startMP 204:232975 --initTime 2017-09-20T04:38:43 --startdatetime 2017-09-20T04:42:18 --delay 69 --endMP 204:216 --enddatetime 2017-09-20T05:21:52 --enforcementcount 0 &gt;&gt;c:\users\tmcdowell\Documents\GitHub\eaglep3-reporting\EC\2017-09-20-refined-times.txt</v>
      </c>
      <c r="AI1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{"issue":{"subject":"","project_id":79,"tracker_id":40,"status_id":1,"priority_id":2,"assigned_to_id":338,"start_date":"2017-09-20","description":"","custom_fields":[{"id":1,"name":"Subdivision","value":"EC"},{"id":4,"name":"Milepost","value":"0.0216"},{"id":17,"name":"Train ID","value":"104-20"},{"id":16,"name":"Locomotive ID","value":"4063"},{"id":130,"name":"Impact","value":""},{"id":150,"name":"Time of Event (Mountain Time)","value":"05:21:52"},{"id":151,"name":"Denver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4063 --day 2017-09-20</v>
      </c>
      <c r="AN1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Message%20ID',Summary),filters:!(),index:'emp_*',interval:auto,query:(query_string:(analyze_wildcard:!t,query:'Message%5C+ID:(*)+AND+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627</v>
      </c>
      <c r="B17" s="7">
        <v>4040</v>
      </c>
      <c r="C17" s="21" t="s">
        <v>196</v>
      </c>
      <c r="D17" s="21" t="s">
        <v>336</v>
      </c>
      <c r="E17" s="13">
        <v>42998.16605324074</v>
      </c>
      <c r="F17" s="13">
        <v>42998.177685185183</v>
      </c>
      <c r="G17" s="7">
        <v>61</v>
      </c>
      <c r="H17" s="21" t="s">
        <v>405</v>
      </c>
      <c r="I17" s="13">
        <v>42998.204201388886</v>
      </c>
      <c r="J17" s="7">
        <v>0</v>
      </c>
      <c r="K17" s="89" t="str">
        <f t="shared" si="0"/>
        <v>4039/4040</v>
      </c>
      <c r="L17" s="185" t="str">
        <f>VLOOKUP(A17,'Trips&amp;Operators'!$C$1:$G$99911,5,FALSE)</f>
        <v>YORK EDGAR</v>
      </c>
      <c r="M17" s="6">
        <f t="shared" si="1"/>
        <v>2.6516203703067731E-2</v>
      </c>
      <c r="N17" s="7">
        <f t="shared" si="2"/>
        <v>38.183333332417533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-20T02:59:07-0600',mode:absolute,to:'2017-09-20T05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4.4600000000000001E-2</v>
      </c>
      <c r="Z17" s="204">
        <f t="shared" si="8"/>
        <v>23.3291</v>
      </c>
      <c r="AA17" s="204">
        <f t="shared" si="9"/>
        <v>23.284500000000001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7" s="74" t="str">
        <f t="shared" si="12"/>
        <v>"C:\Program Files (x86)\AstroGrep\AstroGrep.exe" /e /r /s /spath="%USERPROFILE%\AppData\Local\Temp\OnboardLogs" /stypes="app*4040*20170920*"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105-20 --locoid 4040 --swversion DE.1.0.9.0 --startMP 204:446 --initTime 2017-09-20T03:59:07 --startdatetime 2017-09-20T04:15:52 --delay 61 --endMP 204:233291 --enddatetime 2017-09-20T04:54:03 --enforcementcount 0 &gt;&gt;c:\users\tmcdowell\Documents\GitHub\eaglep3-reporting\EC\2017-09-20-refined-times.txt</v>
      </c>
      <c r="AI1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ID","value":"105-20"},{"id":16,"name":"Locomotive ID","value":"4040"},{"id":130,"name":"Impact","value":""},{"id":150,"name":"Time of Event (Mountain Time)","value":"04:54:03"},{"id":151,"name":"Denver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4040 --day 2017-09-20</v>
      </c>
      <c r="AN1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-20T02:59:07-0600',mode:absolute,to:'2017-09-20T05:54:03-0600'))&amp;_a=(columns:!('Message%20ID',Summary),filters:!(),index:'emp_*',interval:auto,query:(query_string:(analyze_wildcard:!t,query:'Message%5C+ID:(*)+AND+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638</v>
      </c>
      <c r="B18" s="7">
        <v>4039</v>
      </c>
      <c r="C18" s="21" t="s">
        <v>196</v>
      </c>
      <c r="D18" s="21" t="s">
        <v>420</v>
      </c>
      <c r="E18" s="13">
        <v>42998.212650462963</v>
      </c>
      <c r="F18" s="13">
        <v>42998.216851851852</v>
      </c>
      <c r="G18" s="7">
        <v>147</v>
      </c>
      <c r="H18" s="21" t="s">
        <v>358</v>
      </c>
      <c r="I18" s="13">
        <v>42998.242581018516</v>
      </c>
      <c r="J18" s="7">
        <v>0</v>
      </c>
      <c r="K18" s="89" t="str">
        <f t="shared" si="0"/>
        <v>4039/4040</v>
      </c>
      <c r="L18" s="185" t="str">
        <f>VLOOKUP(A18,'Trips&amp;Operators'!$C$1:$G$99911,5,FALSE)</f>
        <v>YORK EDGAR</v>
      </c>
      <c r="M18" s="6">
        <f t="shared" si="1"/>
        <v>2.5729166663950309E-2</v>
      </c>
      <c r="N18" s="7">
        <f t="shared" si="2"/>
        <v>37.049999996088445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-20T04:06:13-0600',mode:absolute,to:'2017-09-20T06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23.297799999999999</v>
      </c>
      <c r="Z18" s="204">
        <f t="shared" si="8"/>
        <v>1.52E-2</v>
      </c>
      <c r="AA18" s="204">
        <f t="shared" si="9"/>
        <v>23.282599999999999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8" s="74" t="str">
        <f t="shared" si="12"/>
        <v>"C:\Program Files (x86)\AstroGrep\AstroGrep.exe" /e /r /s /spath="%USERPROFILE%\AppData\Local\Temp\OnboardLogs" /stypes="app*4039*20170920*"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106-20 --locoid 4039 --swversion DE.1.0.9.0 --startMP 204:232978 --initTime 2017-09-20T05:06:13 --startdatetime 2017-09-20T05:12:16 --delay 147 --endMP 204:152 --enddatetime 2017-09-20T05:49:19 --enforcementcount 0 &gt;&gt;c:\users\tmcdowell\Documents\GitHub\eaglep3-reporting\EC\2017-09-20-refined-times.txt</v>
      </c>
      <c r="AI1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ID","value":"106-20"},{"id":16,"name":"Locomotive ID","value":"4039"},{"id":130,"name":"Impact","value":""},{"id":150,"name":"Time of Event (Mountain Time)","value":"05:49:19"},{"id":151,"name":"Denver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4039 --day 2017-09-20</v>
      </c>
      <c r="AN1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-20T04:06:13-0600',mode:absolute,to:'2017-09-20T06:49:19-0600'))&amp;_a=(columns:!('Message%20ID',Summary),filters:!(),index:'emp_*',interval:auto,query:(query_string:(analyze_wildcard:!t,query:'Message%5C+ID:(*)+AND+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576</v>
      </c>
      <c r="B19" s="7">
        <v>4044</v>
      </c>
      <c r="C19" s="21" t="s">
        <v>196</v>
      </c>
      <c r="D19" s="21" t="s">
        <v>380</v>
      </c>
      <c r="E19" s="13">
        <v>42998.182962962965</v>
      </c>
      <c r="F19" s="13">
        <v>42998.1878125</v>
      </c>
      <c r="G19" s="7">
        <v>71</v>
      </c>
      <c r="H19" s="21" t="s">
        <v>840</v>
      </c>
      <c r="I19" s="13">
        <v>42998.213831018518</v>
      </c>
      <c r="J19" s="7">
        <v>0</v>
      </c>
      <c r="K19" s="89" t="str">
        <f t="shared" si="0"/>
        <v>4043/4044</v>
      </c>
      <c r="L19" s="185" t="str">
        <f>VLOOKUP(A19,'Trips&amp;Operators'!$C$1:$G$99911,5,FALSE)</f>
        <v>WEST BRYAN</v>
      </c>
      <c r="M19" s="6">
        <f t="shared" si="1"/>
        <v>2.6018518517958E-2</v>
      </c>
      <c r="N19" s="7">
        <f t="shared" si="2"/>
        <v>37.46666666585952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4.5999999999999999E-2</v>
      </c>
      <c r="Z19" s="204">
        <f t="shared" si="8"/>
        <v>23.332699999999999</v>
      </c>
      <c r="AA19" s="204">
        <f t="shared" si="9"/>
        <v>23.2867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9" s="74" t="str">
        <f t="shared" si="12"/>
        <v>"C:\Program Files (x86)\AstroGrep\AstroGrep.exe" /e /r /s /spath="%USERPROFILE%\AppData\Local\Temp\OnboardLogs" /stypes="app*4044*20170920*"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107-20 --locoid 4044 --swversion DE.1.0.9.0 --startMP 204:460 --initTime 2017-09-20T04:23:28 --startdatetime 2017-09-20T04:30:27 --delay 71 --endMP 204:233327 --enddatetime 2017-09-20T05:07:55 --enforcementcount 0 &gt;&gt;c:\users\tmcdowell\Documents\GitHub\eaglep3-reporting\EC\2017-09-20-refined-times.txt</v>
      </c>
      <c r="AI1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{"issue":{"subject":"","project_id":79,"tracker_id":40,"status_id":1,"priority_id":2,"assigned_to_id":338,"start_date":"2017-09-20","description":"","custom_fields":[{"id":1,"name":"Subdivision","value":"EC"},{"id":4,"name":"Milepost","value":"23.3327"},{"id":17,"name":"Train ID","value":"107-20"},{"id":16,"name":"Locomotive ID","value":"4044"},{"id":130,"name":"Impact","value":""},{"id":150,"name":"Time of Event (Mountain Time)","value":"05:07:55"},{"id":151,"name":"Denver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4044 --day 2017-09-20</v>
      </c>
      <c r="AN1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Message%20ID',Summary),filters:!(),index:'emp_*',interval:auto,query:(query_string:(analyze_wildcard:!t,query:'Message%5C+ID:(*)+AND+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641</v>
      </c>
      <c r="B20" s="7">
        <v>4043</v>
      </c>
      <c r="C20" s="21" t="s">
        <v>196</v>
      </c>
      <c r="D20" s="21" t="s">
        <v>464</v>
      </c>
      <c r="E20" s="13">
        <v>42998.222870370373</v>
      </c>
      <c r="F20" s="13">
        <v>42998.22729166667</v>
      </c>
      <c r="G20" s="7">
        <v>68</v>
      </c>
      <c r="H20" s="21" t="s">
        <v>337</v>
      </c>
      <c r="I20" s="13">
        <v>42998.253923611112</v>
      </c>
      <c r="J20" s="7">
        <v>0</v>
      </c>
      <c r="K20" s="89" t="str">
        <f t="shared" si="0"/>
        <v>4043/4044</v>
      </c>
      <c r="L20" s="185" t="str">
        <f>VLOOKUP(A20,'Trips&amp;Operators'!$C$1:$G$99911,5,FALSE)</f>
        <v>WEST BRYAN</v>
      </c>
      <c r="M20" s="6">
        <f t="shared" si="1"/>
        <v>2.6631944441760425E-2</v>
      </c>
      <c r="N20" s="7">
        <f t="shared" si="2"/>
        <v>38.349999996135011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-20T04:20:56-0600',mode:absolute,to:'2017-09-20T07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23.301500000000001</v>
      </c>
      <c r="Z20" s="204">
        <f t="shared" si="8"/>
        <v>1.4999999999999999E-2</v>
      </c>
      <c r="AA20" s="204">
        <f t="shared" si="9"/>
        <v>23.2865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20" s="74" t="str">
        <f t="shared" si="12"/>
        <v>"C:\Program Files (x86)\AstroGrep\AstroGrep.exe" /e /r /s /spath="%USERPROFILE%\AppData\Local\Temp\OnboardLogs" /stypes="app*4043*20170920*"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108-20 --locoid 4043 --swversion DE.1.0.9.0 --startMP 204:233015 --initTime 2017-09-20T05:20:56 --startdatetime 2017-09-20T05:27:18 --delay 68 --endMP 204:150 --enddatetime 2017-09-20T06:05:39 --enforcementcount 0 &gt;&gt;c:\users\tmcdowell\Documents\GitHub\eaglep3-reporting\EC\2017-09-20-refined-times.txt</v>
      </c>
      <c r="AI2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ID","value":"108-20"},{"id":16,"name":"Locomotive ID","value":"4043"},{"id":130,"name":"Impact","value":""},{"id":150,"name":"Time of Event (Mountain Time)","value":"06:05:39"},{"id":151,"name":"Denver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4043 --day 2017-09-20</v>
      </c>
      <c r="AN2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-20T04:20:56-0600',mode:absolute,to:'2017-09-20T07:05:39-0600'))&amp;_a=(columns:!('Message%20ID',Summary),filters:!(),index:'emp_*',interval:auto,query:(query_string:(analyze_wildcard:!t,query:'Message%5C+ID:(*)+AND+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635</v>
      </c>
      <c r="B21" s="7">
        <v>4002</v>
      </c>
      <c r="C21" s="21" t="s">
        <v>196</v>
      </c>
      <c r="D21" s="21" t="s">
        <v>401</v>
      </c>
      <c r="E21" s="13">
        <v>42998.195787037039</v>
      </c>
      <c r="F21" s="13">
        <v>42998.198194444441</v>
      </c>
      <c r="G21" s="7">
        <v>84</v>
      </c>
      <c r="H21" s="21" t="s">
        <v>841</v>
      </c>
      <c r="I21" s="13">
        <v>42998.224143518521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DAVIS WENDY</v>
      </c>
      <c r="M21" s="6">
        <f t="shared" si="1"/>
        <v>2.5949074079107959E-2</v>
      </c>
      <c r="N21" s="7">
        <f t="shared" si="2"/>
        <v>37.366666673915461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-20T03:41:56-0600',mode:absolute,to:'2017-09-20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4.5100000000000001E-2</v>
      </c>
      <c r="Z21" s="204">
        <f t="shared" si="8"/>
        <v>23.333600000000001</v>
      </c>
      <c r="AA21" s="204">
        <f t="shared" si="9"/>
        <v>23.288499999999999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21" s="74" t="str">
        <f t="shared" si="12"/>
        <v>"C:\Program Files (x86)\AstroGrep\AstroGrep.exe" /e /r /s /spath="%USERPROFILE%\AppData\Local\Temp\OnboardLogs" /stypes="app*4002*20170920*"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109-20 --locoid 4002 --swversion DE.1.0.9.0 --startMP 204:451 --initTime 2017-09-20T04:41:56 --startdatetime 2017-09-20T04:45:24 --delay 84 --endMP 204:233336 --enddatetime 2017-09-20T05:22:46 --enforcementcount 0 &gt;&gt;c:\users\tmcdowell\Documents\GitHub\eaglep3-reporting\EC\2017-09-20-refined-times.txt</v>
      </c>
      <c r="AI2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{"issue":{"subject":"","project_id":79,"tracker_id":40,"status_id":1,"priority_id":2,"assigned_to_id":338,"start_date":"2017-09-20","description":"","custom_fields":[{"id":1,"name":"Subdivision","value":"EC"},{"id":4,"name":"Milepost","value":"23.3336"},{"id":17,"name":"Train ID","value":"109-20"},{"id":16,"name":"Locomotive ID","value":"4002"},{"id":130,"name":"Impact","value":""},{"id":150,"name":"Time of Event (Mountain Time)","value":"05:22:46"},{"id":151,"name":"Denver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4002 --day 2017-09-20</v>
      </c>
      <c r="AN2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-20T03:41:56-0600',mode:absolute,to:'2017-09-20T06:22:46-0600'))&amp;_a=(columns:!('Message%20ID',Summary),filters:!(),index:'emp_*',interval:auto,query:(query_string:(analyze_wildcard:!t,query:'Message%5C+ID:(*)+AND+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642</v>
      </c>
      <c r="B22" s="7">
        <v>4001</v>
      </c>
      <c r="C22" s="21" t="s">
        <v>196</v>
      </c>
      <c r="D22" s="21" t="s">
        <v>460</v>
      </c>
      <c r="E22" s="13">
        <v>42998.225115740737</v>
      </c>
      <c r="F22" s="13">
        <v>42998.237696759257</v>
      </c>
      <c r="G22" s="7">
        <v>53</v>
      </c>
      <c r="H22" s="21" t="s">
        <v>341</v>
      </c>
      <c r="I22" s="13">
        <v>42998.265219907407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DAVIS WENDY</v>
      </c>
      <c r="M22" s="6">
        <f t="shared" si="1"/>
        <v>2.7523148150066845E-2</v>
      </c>
      <c r="N22" s="7">
        <f t="shared" si="2"/>
        <v>39.633333336096257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-20T04:24:10-0600',mode:absolute,to:'2017-09-20T07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23.297499999999999</v>
      </c>
      <c r="Z22" s="204">
        <f t="shared" si="8"/>
        <v>1.41E-2</v>
      </c>
      <c r="AA22" s="204">
        <f t="shared" si="9"/>
        <v>23.2834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22" s="74" t="str">
        <f t="shared" si="12"/>
        <v>"C:\Program Files (x86)\AstroGrep\AstroGrep.exe" /e /r /s /spath="%USERPROFILE%\AppData\Local\Temp\OnboardLogs" /stypes="app*4001*20170920*"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110-20 --locoid 4001 --swversion DE.1.0.9.0 --startMP 204:232975 --initTime 2017-09-20T05:24:10 --startdatetime 2017-09-20T05:42:17 --delay 53 --endMP 204:141 --enddatetime 2017-09-20T06:21:55 --enforcementcount 0 &gt;&gt;c:\users\tmcdowell\Documents\GitHub\eaglep3-reporting\EC\2017-09-20-refined-times.txt</v>
      </c>
      <c r="AI2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ID","value":"110-20"},{"id":16,"name":"Locomotive ID","value":"4001"},{"id":130,"name":"Impact","value":""},{"id":150,"name":"Time of Event (Mountain Time)","value":"06:21:55"},{"id":151,"name":"Denver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4001 --day 2017-09-20</v>
      </c>
      <c r="AN2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-20T04:24:10-0600',mode:absolute,to:'2017-09-20T07:21:55-0600'))&amp;_a=(columns:!('Message%20ID',Summary),filters:!(),index:'emp_*',interval:auto,query:(query_string:(analyze_wildcard:!t,query:'Message%5C+ID:(*)+AND+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581</v>
      </c>
      <c r="B23" s="7">
        <v>4042</v>
      </c>
      <c r="C23" s="21" t="s">
        <v>196</v>
      </c>
      <c r="D23" s="21" t="s">
        <v>340</v>
      </c>
      <c r="E23" s="13">
        <v>42998.204837962963</v>
      </c>
      <c r="F23" s="13">
        <v>42998.20853009259</v>
      </c>
      <c r="G23" s="7">
        <v>61</v>
      </c>
      <c r="H23" s="21" t="s">
        <v>842</v>
      </c>
      <c r="I23" s="13">
        <v>42998.233449074076</v>
      </c>
      <c r="J23" s="7">
        <v>0</v>
      </c>
      <c r="K23" s="89" t="str">
        <f t="shared" si="0"/>
        <v>4041/4042</v>
      </c>
      <c r="L23" s="185" t="str">
        <f>VLOOKUP(A23,'Trips&amp;Operators'!$C$1:$G$99911,5,FALSE)</f>
        <v>ROCHA YAOTL</v>
      </c>
      <c r="M23" s="6">
        <f t="shared" si="1"/>
        <v>2.4918981485825498E-2</v>
      </c>
      <c r="N23" s="7">
        <f t="shared" si="2"/>
        <v>35.883333339588717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4.53E-2</v>
      </c>
      <c r="Z23" s="204">
        <f t="shared" si="8"/>
        <v>23.3383</v>
      </c>
      <c r="AA23" s="204">
        <f t="shared" si="9"/>
        <v>23.292999999999999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23" s="74" t="str">
        <f t="shared" si="12"/>
        <v>"C:\Program Files (x86)\AstroGrep\AstroGrep.exe" /e /r /s /spath="%USERPROFILE%\AppData\Local\Temp\OnboardLogs" /stypes="app*4042*20170920*"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111-20 --locoid 4042 --swversion DE.1.0.9.0 --startMP 204:453 --initTime 2017-09-20T04:54:58 --startdatetime 2017-09-20T05:00:17 --delay 61 --endMP 204:233383 --enddatetime 2017-09-20T05:36:10 --enforcementcount 0 &gt;&gt;c:\users\tmcdowell\Documents\GitHub\eaglep3-reporting\EC\2017-09-20-refined-times.txt</v>
      </c>
      <c r="AI2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{"issue":{"subject":"","project_id":79,"tracker_id":40,"status_id":1,"priority_id":2,"assigned_to_id":338,"start_date":"2017-09-20","description":"","custom_fields":[{"id":1,"name":"Subdivision","value":"EC"},{"id":4,"name":"Milepost","value":"23.3383"},{"id":17,"name":"Train ID","value":"111-20"},{"id":16,"name":"Locomotive ID","value":"4042"},{"id":130,"name":"Impact","value":""},{"id":150,"name":"Time of Event (Mountain Time)","value":"05:36:10"},{"id":151,"name":"Denver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4042 --day 2017-09-20</v>
      </c>
      <c r="AN2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Message%20ID',Summary),filters:!(),index:'emp_*',interval:auto,query:(query_string:(analyze_wildcard:!t,query:'Message%5C+ID:(*)+AND+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652</v>
      </c>
      <c r="B24" s="7">
        <v>4041</v>
      </c>
      <c r="C24" s="21" t="s">
        <v>196</v>
      </c>
      <c r="D24" s="21" t="s">
        <v>843</v>
      </c>
      <c r="E24" s="13">
        <v>42998.246342592596</v>
      </c>
      <c r="F24" s="13">
        <v>42998.248113425929</v>
      </c>
      <c r="G24" s="7">
        <v>46</v>
      </c>
      <c r="H24" s="21" t="s">
        <v>338</v>
      </c>
      <c r="I24" s="13">
        <v>42998.273726851854</v>
      </c>
      <c r="J24" s="7">
        <v>0</v>
      </c>
      <c r="K24" s="89" t="str">
        <f t="shared" si="0"/>
        <v>4041/4042</v>
      </c>
      <c r="L24" s="185" t="str">
        <f>VLOOKUP(A24,'Trips&amp;Operators'!$C$1:$G$99911,5,FALSE)</f>
        <v>ROCHA YAOTL</v>
      </c>
      <c r="M24" s="6">
        <f t="shared" si="1"/>
        <v>2.5613425925257616E-2</v>
      </c>
      <c r="N24" s="7">
        <f t="shared" si="2"/>
        <v>36.883333332370967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-20T04:54:44-0600',mode:absolute,to:'2017-09-20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23.303799999999999</v>
      </c>
      <c r="Z24" s="204">
        <f t="shared" si="8"/>
        <v>1.49E-2</v>
      </c>
      <c r="AA24" s="204">
        <f t="shared" si="9"/>
        <v>23.288899999999998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24" s="74" t="str">
        <f t="shared" si="12"/>
        <v>"C:\Program Files (x86)\AstroGrep\AstroGrep.exe" /e /r /s /spath="%USERPROFILE%\AppData\Local\Temp\OnboardLogs" /stypes="app*4041*20170920*"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112-20 --locoid 4041 --swversion DE.1.0.9.0 --startMP 204:233038 --initTime 2017-09-20T05:54:44 --startdatetime 2017-09-20T05:57:17 --delay 46 --endMP 204:149 --enddatetime 2017-09-20T06:34:10 --enforcementcount 0 &gt;&gt;c:\users\tmcdowell\Documents\GitHub\eaglep3-reporting\EC\2017-09-20-refined-times.txt</v>
      </c>
      <c r="AI2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ID","value":"112-20"},{"id":16,"name":"Locomotive ID","value":"4041"},{"id":130,"name":"Impact","value":""},{"id":150,"name":"Time of Event (Mountain Time)","value":"06:34:10"},{"id":151,"name":"Denver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4041 --day 2017-09-20</v>
      </c>
      <c r="AN2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-20T04:54:44-0600',mode:absolute,to:'2017-09-20T07:34:10-0600'))&amp;_a=(columns:!('Message%20ID',Summary),filters:!(),index:'emp_*',interval:auto,query:(query_string:(analyze_wildcard:!t,query:'Message%5C+ID:(*)+AND+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637</v>
      </c>
      <c r="B25" s="7">
        <v>4058</v>
      </c>
      <c r="C25" s="21" t="s">
        <v>196</v>
      </c>
      <c r="D25" s="21" t="s">
        <v>357</v>
      </c>
      <c r="E25" s="13">
        <v>42998.206585648149</v>
      </c>
      <c r="F25" s="13">
        <v>42998.2190625</v>
      </c>
      <c r="G25" s="7">
        <v>81</v>
      </c>
      <c r="H25" s="21" t="s">
        <v>496</v>
      </c>
      <c r="I25" s="13">
        <v>42998.243090277778</v>
      </c>
      <c r="J25" s="7">
        <v>0</v>
      </c>
      <c r="K25" s="89" t="str">
        <f t="shared" si="0"/>
        <v>4057/4058</v>
      </c>
      <c r="L25" s="185" t="str">
        <f>VLOOKUP(A25,'Trips&amp;Operators'!$C$1:$G$99911,5,FALSE)</f>
        <v>BARRON PERLA</v>
      </c>
      <c r="M25" s="6">
        <f t="shared" si="1"/>
        <v>2.4027777777519077E-2</v>
      </c>
      <c r="N25" s="7">
        <f t="shared" si="2"/>
        <v>34.599999999627471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-20T03:57:29-0600',mode:absolute,to:'2017-09-20T06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4.58E-2</v>
      </c>
      <c r="Z25" s="204">
        <f t="shared" si="8"/>
        <v>23.331099999999999</v>
      </c>
      <c r="AA25" s="204">
        <f t="shared" si="9"/>
        <v>23.285299999999999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25" s="74" t="str">
        <f t="shared" si="12"/>
        <v>"C:\Program Files (x86)\AstroGrep\AstroGrep.exe" /e /r /s /spath="%USERPROFILE%\AppData\Local\Temp\OnboardLogs" /stypes="app*4058*20170920*"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113-20 --locoid 4058 --swversion DE.1.0.9.0 --startMP 204:458 --initTime 2017-09-20T04:57:29 --startdatetime 2017-09-20T05:15:27 --delay 81 --endMP 204:233311 --enddatetime 2017-09-20T05:50:03 --enforcementcount 0 &gt;&gt;c:\users\tmcdowell\Documents\GitHub\eaglep3-reporting\EC\2017-09-20-refined-times.txt</v>
      </c>
      <c r="AI2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ID","value":"113-20"},{"id":16,"name":"Locomotive ID","value":"4058"},{"id":130,"name":"Impact","value":""},{"id":150,"name":"Time of Event (Mountain Time)","value":"05:50:03"},{"id":151,"name":"Denver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4058 --day 2017-09-20</v>
      </c>
      <c r="AN2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-20T03:57:29-0600',mode:absolute,to:'2017-09-20T06:50:03-0600'))&amp;_a=(columns:!('Message%20ID',Summary),filters:!(),index:'emp_*',interval:auto,query:(query_string:(analyze_wildcard:!t,query:'Message%5C+ID:(*)+AND+%22rtdc.l.rtdc.4058%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650</v>
      </c>
      <c r="B26" s="7">
        <v>4057</v>
      </c>
      <c r="C26" s="21" t="s">
        <v>196</v>
      </c>
      <c r="D26" s="21" t="s">
        <v>543</v>
      </c>
      <c r="E26" s="13">
        <v>42998.244363425925</v>
      </c>
      <c r="F26" s="13">
        <v>42998.25849537037</v>
      </c>
      <c r="G26" s="7">
        <v>48</v>
      </c>
      <c r="H26" s="21" t="s">
        <v>364</v>
      </c>
      <c r="I26" s="13">
        <v>42998.284432870372</v>
      </c>
      <c r="J26" s="7">
        <v>0</v>
      </c>
      <c r="K26" s="89" t="str">
        <f t="shared" si="0"/>
        <v>4057/4058</v>
      </c>
      <c r="L26" s="185" t="str">
        <f>VLOOKUP(A26,'Trips&amp;Operators'!$C$1:$G$99911,5,FALSE)</f>
        <v>BARRON PERLA</v>
      </c>
      <c r="M26" s="6">
        <f t="shared" si="1"/>
        <v>2.5937500002328306E-2</v>
      </c>
      <c r="N26" s="7">
        <f t="shared" si="2"/>
        <v>37.350000003352761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-20T04:51:53-0600',mode:absolute,to:'2017-09-20T07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23.2973</v>
      </c>
      <c r="Z26" s="204">
        <f t="shared" si="8"/>
        <v>1.38E-2</v>
      </c>
      <c r="AA26" s="204">
        <f t="shared" si="9"/>
        <v>23.2835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26" s="74" t="str">
        <f t="shared" si="12"/>
        <v>"C:\Program Files (x86)\AstroGrep\AstroGrep.exe" /e /r /s /spath="%USERPROFILE%\AppData\Local\Temp\OnboardLogs" /stypes="app*4057*20170920*"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114-20 --locoid 4057 --swversion DE.1.0.9.0 --startMP 204:232973 --initTime 2017-09-20T05:51:53 --startdatetime 2017-09-20T06:12:14 --delay 48 --endMP 204:138 --enddatetime 2017-09-20T06:49:35 --enforcementcount 0 &gt;&gt;c:\users\tmcdowell\Documents\GitHub\eaglep3-reporting\EC\2017-09-20-refined-times.txt</v>
      </c>
      <c r="AI2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{"issue":{"subject":"","project_id":79,"tracker_id":40,"status_id":1,"priority_id":2,"assigned_to_id":338,"start_date":"2017-09-20","description":"","custom_fields":[{"id":1,"name":"Subdivision","value":"EC"},{"id":4,"name":"Milepost","value":"0.0138"},{"id":17,"name":"Train ID","value":"114-20"},{"id":16,"name":"Locomotive ID","value":"4057"},{"id":130,"name":"Impact","value":""},{"id":150,"name":"Time of Event (Mountain Time)","value":"06:49:35"},{"id":151,"name":"Denver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4057 --day 2017-09-20</v>
      </c>
      <c r="AN2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-20T04:51:53-0600',mode:absolute,to:'2017-09-20T07:49:35-0600'))&amp;_a=(columns:!('Message%20ID',Summary),filters:!(),index:'emp_*',interval:auto,query:(query_string:(analyze_wildcard:!t,query:'Message%5C+ID:(*)+AND+%22rtdc.l.rtdc.4057%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643</v>
      </c>
      <c r="B27" s="7">
        <v>4064</v>
      </c>
      <c r="C27" s="21" t="s">
        <v>196</v>
      </c>
      <c r="D27" s="21" t="s">
        <v>844</v>
      </c>
      <c r="E27" s="13">
        <v>42998.22583333333</v>
      </c>
      <c r="F27" s="13">
        <v>42998.229861111111</v>
      </c>
      <c r="G27" s="7">
        <v>88</v>
      </c>
      <c r="H27" s="21" t="s">
        <v>845</v>
      </c>
      <c r="I27" s="13">
        <v>42998.256238425929</v>
      </c>
      <c r="J27" s="7">
        <v>0</v>
      </c>
      <c r="K27" s="89" t="str">
        <f t="shared" si="0"/>
        <v>4063/4064</v>
      </c>
      <c r="L27" s="185" t="str">
        <f>VLOOKUP(A27,'Trips&amp;Operators'!$C$1:$G$99911,5,FALSE)</f>
        <v>THOMPSON LESTER</v>
      </c>
      <c r="M27" s="6">
        <f t="shared" si="1"/>
        <v>2.6377314818091691E-2</v>
      </c>
      <c r="N27" s="7">
        <f t="shared" si="2"/>
        <v>37.983333338052034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-20T04:25:12-0600',mode:absolute,to:'2017-09-20T07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5.1700000000000003E-2</v>
      </c>
      <c r="Z27" s="204">
        <f t="shared" si="8"/>
        <v>23.3308</v>
      </c>
      <c r="AA27" s="204">
        <f t="shared" si="9"/>
        <v>23.2791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27" s="74" t="str">
        <f t="shared" si="12"/>
        <v>"C:\Program Files (x86)\AstroGrep\AstroGrep.exe" /e /r /s /spath="%USERPROFILE%\AppData\Local\Temp\OnboardLogs" /stypes="app*4064*20170920*"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115-20 --locoid 4064 --swversion DE.1.0.9.0 --startMP 204:517 --initTime 2017-09-20T05:25:12 --startdatetime 2017-09-20T05:31:00 --delay 88 --endMP 204:233308 --enddatetime 2017-09-20T06:08:59 --enforcementcount 0 &gt;&gt;c:\users\tmcdowell\Documents\GitHub\eaglep3-reporting\EC\2017-09-20-refined-times.txt</v>
      </c>
      <c r="AI2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{"issue":{"subject":"","project_id":79,"tracker_id":40,"status_id":1,"priority_id":2,"assigned_to_id":338,"start_date":"2017-09-20","description":"","custom_fields":[{"id":1,"name":"Subdivision","value":"EC"},{"id":4,"name":"Milepost","value":"23.3308"},{"id":17,"name":"Train ID","value":"115-20"},{"id":16,"name":"Locomotive ID","value":"4064"},{"id":130,"name":"Impact","value":""},{"id":150,"name":"Time of Event (Mountain Time)","value":"06:08:59"},{"id":151,"name":"Denver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4064 --day 2017-09-20</v>
      </c>
      <c r="AN2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-20T04:25:12-0600',mode:absolute,to:'2017-09-20T07:08:59-0600'))&amp;_a=(columns:!('Message%20ID',Summary),filters:!(),index:'emp_*',interval:auto,query:(query_string:(analyze_wildcard:!t,query:'Message%5C+ID:(*)+AND+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655</v>
      </c>
      <c r="B28" s="7">
        <v>4063</v>
      </c>
      <c r="C28" s="21" t="s">
        <v>196</v>
      </c>
      <c r="D28" s="21" t="s">
        <v>423</v>
      </c>
      <c r="E28" s="13">
        <v>42998.266006944446</v>
      </c>
      <c r="F28" s="13">
        <v>42998.269004629627</v>
      </c>
      <c r="G28" s="7">
        <v>79</v>
      </c>
      <c r="H28" s="21" t="s">
        <v>412</v>
      </c>
      <c r="I28" s="13">
        <v>42998.295694444445</v>
      </c>
      <c r="J28" s="7">
        <v>0</v>
      </c>
      <c r="K28" s="89" t="str">
        <f t="shared" si="0"/>
        <v>4063/4064</v>
      </c>
      <c r="L28" s="185" t="str">
        <f>VLOOKUP(A28,'Trips&amp;Operators'!$C$1:$G$99911,5,FALSE)</f>
        <v>THOMPSON LESTER</v>
      </c>
      <c r="M28" s="6">
        <f t="shared" si="1"/>
        <v>2.6689814818382729E-2</v>
      </c>
      <c r="N28" s="7">
        <f t="shared" si="2"/>
        <v>38.43333333847113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-20T05:23:03-0600',mode:absolute,to:'2017-09-20T08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23.299099999999999</v>
      </c>
      <c r="Z28" s="204">
        <f t="shared" si="8"/>
        <v>1.54E-2</v>
      </c>
      <c r="AA28" s="204">
        <f t="shared" si="9"/>
        <v>23.2837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28" s="74" t="str">
        <f t="shared" si="12"/>
        <v>"C:\Program Files (x86)\AstroGrep\AstroGrep.exe" /e /r /s /spath="%USERPROFILE%\AppData\Local\Temp\OnboardLogs" /stypes="app*4063*20170920*"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116-20 --locoid 4063 --swversion DE.1.0.9.0 --startMP 204:232991 --initTime 2017-09-20T06:23:03 --startdatetime 2017-09-20T06:27:22 --delay 79 --endMP 204:154 --enddatetime 2017-09-20T07:05:48 --enforcementcount 0 &gt;&gt;c:\users\tmcdowell\Documents\GitHub\eaglep3-reporting\EC\2017-09-20-refined-times.txt</v>
      </c>
      <c r="AI2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ID","value":"116-20"},{"id":16,"name":"Locomotive ID","value":"4063"},{"id":130,"name":"Impact","value":""},{"id":150,"name":"Time of Event (Mountain Time)","value":"07:05:48"},{"id":151,"name":"Denver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4063 --day 2017-09-20</v>
      </c>
      <c r="AN2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-20T05:23:03-0600',mode:absolute,to:'2017-09-20T08:05:48-0600'))&amp;_a=(columns:!('Message%20ID',Summary),filters:!(),index:'emp_*',interval:auto,query:(query_string:(analyze_wildcard:!t,query:'Message%5C+ID:(*)+AND+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645</v>
      </c>
      <c r="B29" s="7">
        <v>4062</v>
      </c>
      <c r="C29" s="21" t="s">
        <v>196</v>
      </c>
      <c r="D29" s="21" t="s">
        <v>336</v>
      </c>
      <c r="E29" s="13">
        <v>42998.230833333335</v>
      </c>
      <c r="F29" s="13">
        <v>42998.239930555559</v>
      </c>
      <c r="G29" s="7">
        <v>54</v>
      </c>
      <c r="H29" s="21" t="s">
        <v>496</v>
      </c>
      <c r="I29" s="13">
        <v>42998.26457175926</v>
      </c>
      <c r="J29" s="7">
        <v>0</v>
      </c>
      <c r="K29" s="89" t="str">
        <f t="shared" si="0"/>
        <v>4061/4062</v>
      </c>
      <c r="L29" s="185" t="str">
        <f>VLOOKUP(A29,'Trips&amp;Operators'!$C$1:$G$99911,5,FALSE)</f>
        <v>FORTUNATO FRANK</v>
      </c>
      <c r="M29" s="6">
        <f t="shared" si="1"/>
        <v>2.4641203701321501E-2</v>
      </c>
      <c r="N29" s="7">
        <f t="shared" si="2"/>
        <v>35.483333329902962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-20T04:32:24-0600',mode:absolute,to:'2017-09-20T07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4.4600000000000001E-2</v>
      </c>
      <c r="Z29" s="204">
        <f t="shared" si="8"/>
        <v>23.331099999999999</v>
      </c>
      <c r="AA29" s="204">
        <f t="shared" si="9"/>
        <v>23.2865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29" s="74" t="str">
        <f t="shared" si="12"/>
        <v>"C:\Program Files (x86)\AstroGrep\AstroGrep.exe" /e /r /s /spath="%USERPROFILE%\AppData\Local\Temp\OnboardLogs" /stypes="app*4062*20170920*"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117-20 --locoid 4062 --swversion DE.1.0.9.0 --startMP 204:446 --initTime 2017-09-20T05:32:24 --startdatetime 2017-09-20T05:45:30 --delay 54 --endMP 204:233311 --enddatetime 2017-09-20T06:20:59 --enforcementcount 0 &gt;&gt;c:\users\tmcdowell\Documents\GitHub\eaglep3-reporting\EC\2017-09-20-refined-times.txt</v>
      </c>
      <c r="AI2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ID","value":"117-20"},{"id":16,"name":"Locomotive ID","value":"4062"},{"id":130,"name":"Impact","value":""},{"id":150,"name":"Time of Event (Mountain Time)","value":"06:20:59"},{"id":151,"name":"Denver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4062 --day 2017-09-20</v>
      </c>
      <c r="AN2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-20T04:32:24-0600',mode:absolute,to:'2017-09-20T07:20:59-0600'))&amp;_a=(columns:!('Message%20ID',Summary),filters:!(),index:'emp_*',interval:auto,query:(query_string:(analyze_wildcard:!t,query:'Message%5C+ID:(*)+AND+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656</v>
      </c>
      <c r="B30" s="7">
        <v>4061</v>
      </c>
      <c r="C30" s="21" t="s">
        <v>196</v>
      </c>
      <c r="D30" s="21" t="s">
        <v>497</v>
      </c>
      <c r="E30" s="13">
        <v>42998.266585648147</v>
      </c>
      <c r="F30" s="13">
        <v>42998.279456018521</v>
      </c>
      <c r="G30" s="7">
        <v>47</v>
      </c>
      <c r="H30" s="21" t="s">
        <v>358</v>
      </c>
      <c r="I30" s="13">
        <v>42998.306030092594</v>
      </c>
      <c r="J30" s="7">
        <v>0</v>
      </c>
      <c r="K30" s="89" t="str">
        <f t="shared" si="0"/>
        <v>4061/4062</v>
      </c>
      <c r="L30" s="185" t="str">
        <f>VLOOKUP(A30,'Trips&amp;Operators'!$C$1:$G$99911,5,FALSE)</f>
        <v>FORTUNATO FRANK</v>
      </c>
      <c r="M30" s="6">
        <f t="shared" si="1"/>
        <v>2.6574074072414078E-2</v>
      </c>
      <c r="N30" s="7">
        <f t="shared" si="2"/>
        <v>38.266666664276272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-20T05:23:53-0600',mode:absolute,to:'2017-09-20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23.299199999999999</v>
      </c>
      <c r="Z30" s="204">
        <f t="shared" si="8"/>
        <v>1.52E-2</v>
      </c>
      <c r="AA30" s="204">
        <f t="shared" si="9"/>
        <v>23.283999999999999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30" s="74" t="str">
        <f t="shared" si="12"/>
        <v>"C:\Program Files (x86)\AstroGrep\AstroGrep.exe" /e /r /s /spath="%USERPROFILE%\AppData\Local\Temp\OnboardLogs" /stypes="app*4061*20170920*"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118-20 --locoid 4061 --swversion DE.1.0.9.0 --startMP 204:232992 --initTime 2017-09-20T06:23:53 --startdatetime 2017-09-20T06:42:25 --delay 47 --endMP 204:152 --enddatetime 2017-09-20T07:20:41 --enforcementcount 0 &gt;&gt;c:\users\tmcdowell\Documents\GitHub\eaglep3-reporting\EC\2017-09-20-refined-times.txt</v>
      </c>
      <c r="AI3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ID","value":"118-20"},{"id":16,"name":"Locomotive ID","value":"4061"},{"id":130,"name":"Impact","value":""},{"id":150,"name":"Time of Event (Mountain Time)","value":"07:20:41"},{"id":151,"name":"Denver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4061 --day 2017-09-20</v>
      </c>
      <c r="AN3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-20T05:23:53-0600',mode:absolute,to:'2017-09-20T08:20:41-0600'))&amp;_a=(columns:!('Message%20ID',Summary),filters:!(),index:'emp_*',interval:auto,query:(query_string:(analyze_wildcard:!t,query:'Message%5C+ID:(*)+AND+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4040</v>
      </c>
      <c r="C31" s="21" t="s">
        <v>196</v>
      </c>
      <c r="D31" s="21" t="s">
        <v>846</v>
      </c>
      <c r="E31" s="13">
        <v>42998.243888888886</v>
      </c>
      <c r="F31" s="13">
        <v>42998.250347222223</v>
      </c>
      <c r="G31" s="7">
        <v>45</v>
      </c>
      <c r="H31" s="21" t="s">
        <v>494</v>
      </c>
      <c r="I31" s="13">
        <v>42998.274826388886</v>
      </c>
      <c r="J31" s="7">
        <v>0</v>
      </c>
      <c r="K31" s="89" t="str">
        <f t="shared" si="0"/>
        <v>4039/4040</v>
      </c>
      <c r="L31" s="185" t="str">
        <f>VLOOKUP(A31,'Trips&amp;Operators'!$C$1:$G$99911,5,FALSE)</f>
        <v>YORK EDGAR</v>
      </c>
      <c r="M31" s="6">
        <f t="shared" si="1"/>
        <v>2.4479166662786156E-2</v>
      </c>
      <c r="N31" s="7">
        <f t="shared" si="2"/>
        <v>35.249999994412065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-20T04:51:12-0600',mode:absolute,to:'2017-09-20T07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4.7800000000000002E-2</v>
      </c>
      <c r="Z31" s="204">
        <f t="shared" si="8"/>
        <v>23.329799999999999</v>
      </c>
      <c r="AA31" s="204">
        <f t="shared" si="9"/>
        <v>23.282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31" s="74" t="str">
        <f t="shared" si="12"/>
        <v>"C:\Program Files (x86)\AstroGrep\AstroGrep.exe" /e /r /s /spath="%USERPROFILE%\AppData\Local\Temp\OnboardLogs" /stypes="app*4040*20170920*"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119-20 --locoid 4040 --swversion DE.1.0.9.0 --startMP 204:478 --initTime 2017-09-20T05:51:12 --startdatetime 2017-09-20T06:00:30 --delay 45 --endMP 204:233298 --enddatetime 2017-09-20T06:35:45 --enforcementcount 0 &gt;&gt;c:\users\tmcdowell\Documents\GitHub\eaglep3-reporting\EC\2017-09-20-refined-times.txt</v>
      </c>
      <c r="AI3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{"issue":{"subject":"","project_id":79,"tracker_id":40,"status_id":1,"priority_id":2,"assigned_to_id":338,"start_date":"2017-09-20","description":"","custom_fields":[{"id":1,"name":"Subdivision","value":"EC"},{"id":4,"name":"Milepost","value":"23.3298"},{"id":17,"name":"Train ID","value":"119-20"},{"id":16,"name":"Locomotive ID","value":"4040"},{"id":130,"name":"Impact","value":""},{"id":150,"name":"Time of Event (Mountain Time)","value":"06:35:45"},{"id":151,"name":"Denver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4040 --day 2017-09-20</v>
      </c>
      <c r="AN3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-20T04:51:12-0600',mode:absolute,to:'2017-09-20T07:35:45-0600'))&amp;_a=(columns:!('Message%20ID',Summary),filters:!(),index:'emp_*',interval:auto,query:(query_string:(analyze_wildcard:!t,query:'Message%5C+ID:(*)+AND+%22rtdc.l.rtdc.4040%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660</v>
      </c>
      <c r="B32" s="7">
        <v>4039</v>
      </c>
      <c r="C32" s="21" t="s">
        <v>196</v>
      </c>
      <c r="D32" s="21" t="s">
        <v>847</v>
      </c>
      <c r="E32" s="13">
        <v>42998.275717592594</v>
      </c>
      <c r="F32" s="13">
        <v>42998.289965277778</v>
      </c>
      <c r="G32" s="7">
        <v>47</v>
      </c>
      <c r="H32" s="21" t="s">
        <v>358</v>
      </c>
      <c r="I32" s="13">
        <v>42998.316979166666</v>
      </c>
      <c r="J32" s="7">
        <v>0</v>
      </c>
      <c r="K32" s="89" t="str">
        <f t="shared" si="0"/>
        <v>4039/4040</v>
      </c>
      <c r="L32" s="185" t="str">
        <f>VLOOKUP(A32,'Trips&amp;Operators'!$C$1:$G$99911,5,FALSE)</f>
        <v>YORK EDGAR</v>
      </c>
      <c r="M32" s="6">
        <f t="shared" si="1"/>
        <v>2.7013888888177462E-2</v>
      </c>
      <c r="N32" s="7">
        <f t="shared" si="2"/>
        <v>38.899999998975545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-20T05:37:02-0600',mode:absolute,to:'2017-09-20T08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23.297599999999999</v>
      </c>
      <c r="Z32" s="204">
        <f t="shared" si="8"/>
        <v>1.52E-2</v>
      </c>
      <c r="AA32" s="204">
        <f t="shared" si="9"/>
        <v>23.282399999999999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32" s="74" t="str">
        <f t="shared" si="12"/>
        <v>"C:\Program Files (x86)\AstroGrep\AstroGrep.exe" /e /r /s /spath="%USERPROFILE%\AppData\Local\Temp\OnboardLogs" /stypes="app*4039*20170920*"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120-20 --locoid 4039 --swversion DE.1.0.9.0 --startMP 204:232976 --initTime 2017-09-20T06:37:02 --startdatetime 2017-09-20T06:57:33 --delay 47 --endMP 204:152 --enddatetime 2017-09-20T07:36:27 --enforcementcount 0 &gt;&gt;c:\users\tmcdowell\Documents\GitHub\eaglep3-reporting\EC\2017-09-20-refined-times.txt</v>
      </c>
      <c r="AI3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ID","value":"120-20"},{"id":16,"name":"Locomotive ID","value":"4039"},{"id":130,"name":"Impact","value":""},{"id":150,"name":"Time of Event (Mountain Time)","value":"07:36:27"},{"id":151,"name":"Denver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4039 --day 2017-09-20</v>
      </c>
      <c r="AN3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-20T05:37:02-0600',mode:absolute,to:'2017-09-20T08:36:27-0600'))&amp;_a=(columns:!('Message%20ID',Summary),filters:!(),index:'emp_*',interval:auto,query:(query_string:(analyze_wildcard:!t,query:'Message%5C+ID:(*)+AND+%22rtdc.l.rtdc.4039%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654</v>
      </c>
      <c r="B33" s="7">
        <v>4044</v>
      </c>
      <c r="C33" s="21" t="s">
        <v>196</v>
      </c>
      <c r="D33" s="21" t="s">
        <v>348</v>
      </c>
      <c r="E33" s="13">
        <v>42998.256539351853</v>
      </c>
      <c r="F33" s="13">
        <v>42998.260740740741</v>
      </c>
      <c r="G33" s="7">
        <v>51</v>
      </c>
      <c r="H33" s="21" t="s">
        <v>430</v>
      </c>
      <c r="I33" s="13">
        <v>42998.285162037035</v>
      </c>
      <c r="J33" s="7">
        <v>0</v>
      </c>
      <c r="K33" s="89" t="str">
        <f t="shared" si="0"/>
        <v>4043/4044</v>
      </c>
      <c r="L33" s="185" t="str">
        <f>VLOOKUP(A33,'Trips&amp;Operators'!$C$1:$G$99911,5,FALSE)</f>
        <v>WEST BRYAN</v>
      </c>
      <c r="M33" s="6">
        <f t="shared" si="1"/>
        <v>2.4421296293439809E-2</v>
      </c>
      <c r="N33" s="7">
        <f t="shared" si="2"/>
        <v>35.166666662553325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-20T05:09:25-0600',mode:absolute,to:'2017-09-20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4.5499999999999999E-2</v>
      </c>
      <c r="Z33" s="204">
        <f t="shared" si="8"/>
        <v>23.329899999999999</v>
      </c>
      <c r="AA33" s="204">
        <f t="shared" si="9"/>
        <v>23.284399999999998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33" s="74" t="str">
        <f t="shared" si="12"/>
        <v>"C:\Program Files (x86)\AstroGrep\AstroGrep.exe" /e /r /s /spath="%USERPROFILE%\AppData\Local\Temp\OnboardLogs" /stypes="app*4044*20170920*"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121-20 --locoid 4044 --swversion DE.1.0.9.0 --startMP 204:455 --initTime 2017-09-20T06:09:25 --startdatetime 2017-09-20T06:15:28 --delay 51 --endMP 204:233299 --enddatetime 2017-09-20T06:50:38 --enforcementcount 0 &gt;&gt;c:\users\tmcdowell\Documents\GitHub\eaglep3-reporting\EC\2017-09-20-refined-times.txt</v>
      </c>
      <c r="AI3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ID","value":"121-20"},{"id":16,"name":"Locomotive ID","value":"4044"},{"id":130,"name":"Impact","value":""},{"id":150,"name":"Time of Event (Mountain Time)","value":"06:50:38"},{"id":151,"name":"Denver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4044 --day 2017-09-20</v>
      </c>
      <c r="AN3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-20T05:09:25-0600',mode:absolute,to:'2017-09-20T07:50:38-0600'))&amp;_a=(columns:!('Message%20ID',Summary),filters:!(),index:'emp_*',interval:auto,query:(query_string:(analyze_wildcard:!t,query:'Message%5C+ID:(*)+AND+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666</v>
      </c>
      <c r="B34" s="7">
        <v>4043</v>
      </c>
      <c r="C34" s="21" t="s">
        <v>196</v>
      </c>
      <c r="D34" s="21" t="s">
        <v>492</v>
      </c>
      <c r="E34" s="13">
        <v>42998.294421296298</v>
      </c>
      <c r="F34" s="13">
        <v>42998.300324074073</v>
      </c>
      <c r="G34" s="7">
        <v>55</v>
      </c>
      <c r="H34" s="21" t="s">
        <v>342</v>
      </c>
      <c r="I34" s="13">
        <v>42998.326620370368</v>
      </c>
      <c r="J34" s="7">
        <v>0</v>
      </c>
      <c r="K34" s="89" t="str">
        <f t="shared" si="0"/>
        <v>4043/4044</v>
      </c>
      <c r="L34" s="185" t="str">
        <f>VLOOKUP(A34,'Trips&amp;Operators'!$C$1:$G$99911,5,FALSE)</f>
        <v>WEST BRYAN</v>
      </c>
      <c r="M34" s="6">
        <f t="shared" si="1"/>
        <v>2.6296296295186039E-2</v>
      </c>
      <c r="N34" s="7">
        <f t="shared" si="2"/>
        <v>37.866666665067896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-20T06:03:58-0600',mode:absolute,to:'2017-09-20T08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23.298400000000001</v>
      </c>
      <c r="Z34" s="204">
        <f t="shared" si="8"/>
        <v>1.47E-2</v>
      </c>
      <c r="AA34" s="204">
        <f t="shared" si="9"/>
        <v>23.2837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34" s="74" t="str">
        <f t="shared" si="12"/>
        <v>"C:\Program Files (x86)\AstroGrep\AstroGrep.exe" /e /r /s /spath="%USERPROFILE%\AppData\Local\Temp\OnboardLogs" /stypes="app*4043*20170920*"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122-20 --locoid 4043 --swversion DE.1.0.9.0 --startMP 204:232984 --initTime 2017-09-20T07:03:58 --startdatetime 2017-09-20T07:12:28 --delay 55 --endMP 204:147 --enddatetime 2017-09-20T07:50:20 --enforcementcount 0 &gt;&gt;c:\users\tmcdowell\Documents\GitHub\eaglep3-reporting\EC\2017-09-20-refined-times.txt</v>
      </c>
      <c r="AI3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ID","value":"122-20"},{"id":16,"name":"Locomotive ID","value":"4043"},{"id":130,"name":"Impact","value":""},{"id":150,"name":"Time of Event (Mountain Time)","value":"07:50:20"},{"id":151,"name":"Denver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4043 --day 2017-09-20</v>
      </c>
      <c r="AN3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-20T06:03:58-0600',mode:absolute,to:'2017-09-20T08:50:20-0600'))&amp;_a=(columns:!('Message%20ID',Summary),filters:!(),index:'emp_*',interval:auto,query:(query_string:(analyze_wildcard:!t,query:'Message%5C+ID:(*)+AND+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657</v>
      </c>
      <c r="B35" s="7">
        <v>4002</v>
      </c>
      <c r="C35" s="21" t="s">
        <v>196</v>
      </c>
      <c r="D35" s="21" t="s">
        <v>437</v>
      </c>
      <c r="E35" s="13">
        <v>42998.268043981479</v>
      </c>
      <c r="F35" s="13">
        <v>42998.271168981482</v>
      </c>
      <c r="G35" s="7">
        <v>48</v>
      </c>
      <c r="H35" s="21" t="s">
        <v>840</v>
      </c>
      <c r="I35" s="13">
        <v>42998.296851851854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DAVIS WENDY</v>
      </c>
      <c r="M35" s="6">
        <f t="shared" si="1"/>
        <v>2.5682870371383615E-2</v>
      </c>
      <c r="N35" s="7">
        <f t="shared" si="2"/>
        <v>36.983333334792405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-20T05:25:59-0600',mode:absolute,to:'2017-09-20T08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4.7500000000000001E-2</v>
      </c>
      <c r="Z35" s="204">
        <f t="shared" si="8"/>
        <v>23.332699999999999</v>
      </c>
      <c r="AA35" s="204">
        <f t="shared" si="9"/>
        <v>23.2852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35" s="74" t="str">
        <f t="shared" si="12"/>
        <v>"C:\Program Files (x86)\AstroGrep\AstroGrep.exe" /e /r /s /spath="%USERPROFILE%\AppData\Local\Temp\OnboardLogs" /stypes="app*4002*20170920*"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123-20 --locoid 4002 --swversion DE.1.0.9.0 --startMP 204:475 --initTime 2017-09-20T06:25:59 --startdatetime 2017-09-20T06:30:29 --delay 48 --endMP 204:233327 --enddatetime 2017-09-20T07:07:28 --enforcementcount 0 &gt;&gt;c:\users\tmcdowell\Documents\GitHub\eaglep3-reporting\EC\2017-09-20-refined-times.txt</v>
      </c>
      <c r="AI3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{"issue":{"subject":"","project_id":79,"tracker_id":40,"status_id":1,"priority_id":2,"assigned_to_id":338,"start_date":"2017-09-20","description":"","custom_fields":[{"id":1,"name":"Subdivision","value":"EC"},{"id":4,"name":"Milepost","value":"23.3327"},{"id":17,"name":"Train ID","value":"123-20"},{"id":16,"name":"Locomotive ID","value":"4002"},{"id":130,"name":"Impact","value":""},{"id":150,"name":"Time of Event (Mountain Time)","value":"07:07:28"},{"id":151,"name":"Denver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4002 --day 2017-09-20</v>
      </c>
      <c r="AN3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-20T05:25:59-0600',mode:absolute,to:'2017-09-20T08:07:28-0600'))&amp;_a=(columns:!('Message%20ID',Summary),filters:!(),index:'emp_*',interval:auto,query:(query_string:(analyze_wildcard:!t,query:'Message%5C+ID:(*)+AND+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667</v>
      </c>
      <c r="B36" s="7">
        <v>4001</v>
      </c>
      <c r="C36" s="21" t="s">
        <v>196</v>
      </c>
      <c r="D36" s="21" t="s">
        <v>461</v>
      </c>
      <c r="E36" s="13">
        <v>42998.298090277778</v>
      </c>
      <c r="F36" s="13">
        <v>42998.310578703706</v>
      </c>
      <c r="G36" s="7">
        <v>49</v>
      </c>
      <c r="H36" s="21" t="s">
        <v>848</v>
      </c>
      <c r="I36" s="13">
        <v>42998.337812500002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DAVIS WENDY</v>
      </c>
      <c r="M36" s="6">
        <f t="shared" si="1"/>
        <v>2.7233796296059154E-2</v>
      </c>
      <c r="N36" s="7">
        <f t="shared" si="2"/>
        <v>39.216666666325182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-20T06:09:15-0600',mode:absolute,to:'2017-09-20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23.300599999999999</v>
      </c>
      <c r="Z36" s="204">
        <f t="shared" si="8"/>
        <v>1.78E-2</v>
      </c>
      <c r="AA36" s="204">
        <f t="shared" si="9"/>
        <v>23.282799999999998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36" s="74" t="str">
        <f t="shared" si="12"/>
        <v>"C:\Program Files (x86)\AstroGrep\AstroGrep.exe" /e /r /s /spath="%USERPROFILE%\AppData\Local\Temp\OnboardLogs" /stypes="app*4001*20170920*"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124-20 --locoid 4001 --swversion DE.1.0.9.0 --startMP 204:233006 --initTime 2017-09-20T07:09:15 --startdatetime 2017-09-20T07:27:14 --delay 49 --endMP 204:178 --enddatetime 2017-09-20T08:06:27 --enforcementcount 0 &gt;&gt;c:\users\tmcdowell\Documents\GitHub\eaglep3-reporting\EC\2017-09-20-refined-times.txt</v>
      </c>
      <c r="AI3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{"issue":{"subject":"","project_id":79,"tracker_id":40,"status_id":1,"priority_id":2,"assigned_to_id":338,"start_date":"2017-09-20","description":"","custom_fields":[{"id":1,"name":"Subdivision","value":"EC"},{"id":4,"name":"Milepost","value":"0.0178"},{"id":17,"name":"Train ID","value":"124-20"},{"id":16,"name":"Locomotive ID","value":"4001"},{"id":130,"name":"Impact","value":""},{"id":150,"name":"Time of Event (Mountain Time)","value":"08:06:27"},{"id":151,"name":"Denver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4001 --day 2017-09-20</v>
      </c>
      <c r="AN3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-20T06:09:15-0600',mode:absolute,to:'2017-09-20T09:06:27-0600'))&amp;_a=(columns:!('Message%20ID',Summary),filters:!(),index:'emp_*',interval:auto,query:(query_string:(analyze_wildcard:!t,query:'Message%5C+ID:(*)+AND+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4042</v>
      </c>
      <c r="C37" s="21" t="s">
        <v>196</v>
      </c>
      <c r="D37" s="21" t="s">
        <v>390</v>
      </c>
      <c r="E37" s="13">
        <v>42998.276122685187</v>
      </c>
      <c r="F37" s="13">
        <v>42998.281423611108</v>
      </c>
      <c r="G37" s="7">
        <v>57</v>
      </c>
      <c r="H37" s="21" t="s">
        <v>430</v>
      </c>
      <c r="I37" s="13">
        <v>42998.305162037039</v>
      </c>
      <c r="J37" s="7">
        <v>0</v>
      </c>
      <c r="K37" s="89" t="str">
        <f t="shared" si="0"/>
        <v>4041/4042</v>
      </c>
      <c r="L37" s="185" t="str">
        <f>VLOOKUP(A37,'Trips&amp;Operators'!$C$1:$G$99911,5,FALSE)</f>
        <v>ROCHA YAOTL</v>
      </c>
      <c r="M37" s="6">
        <f t="shared" si="1"/>
        <v>2.3738425930787344E-2</v>
      </c>
      <c r="N37" s="7">
        <f t="shared" si="2"/>
        <v>34.183333340333775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-20T05:37:37-0600',mode:absolute,to:'2017-09-20T08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4.3999999999999997E-2</v>
      </c>
      <c r="Z37" s="204">
        <f t="shared" si="8"/>
        <v>23.329899999999999</v>
      </c>
      <c r="AA37" s="204">
        <f t="shared" si="9"/>
        <v>23.285899999999998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37" s="74" t="str">
        <f t="shared" si="12"/>
        <v>"C:\Program Files (x86)\AstroGrep\AstroGrep.exe" /e /r /s /spath="%USERPROFILE%\AppData\Local\Temp\OnboardLogs" /stypes="app*4042*20170920*"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125-20 --locoid 4042 --swversion DE.1.0.9.0 --startMP 204:440 --initTime 2017-09-20T06:37:37 --startdatetime 2017-09-20T06:45:15 --delay 57 --endMP 204:233299 --enddatetime 2017-09-20T07:19:26 --enforcementcount 0 &gt;&gt;c:\users\tmcdowell\Documents\GitHub\eaglep3-reporting\EC\2017-09-20-refined-times.txt</v>
      </c>
      <c r="AI3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ID","value":"125-20"},{"id":16,"name":"Locomotive ID","value":"4042"},{"id":130,"name":"Impact","value":""},{"id":150,"name":"Time of Event (Mountain Time)","value":"07:19:26"},{"id":151,"name":"Denver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4042 --day 2017-09-20</v>
      </c>
      <c r="AN3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-20T05:37:37-0600',mode:absolute,to:'2017-09-20T08:19:26-0600'))&amp;_a=(columns:!('Message%20ID',Summary),filters:!(),index:'emp_*',interval:auto,query:(query_string:(analyze_wildcard:!t,query:'Message%5C+ID:(*)+AND+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674</v>
      </c>
      <c r="B38" s="7">
        <v>4041</v>
      </c>
      <c r="C38" s="21" t="s">
        <v>196</v>
      </c>
      <c r="D38" s="21" t="s">
        <v>436</v>
      </c>
      <c r="E38" s="13">
        <v>42998.319490740738</v>
      </c>
      <c r="F38" s="13">
        <v>42998.321006944447</v>
      </c>
      <c r="G38" s="7">
        <v>47</v>
      </c>
      <c r="H38" s="21" t="s">
        <v>338</v>
      </c>
      <c r="I38" s="13">
        <v>42998.346655092595</v>
      </c>
      <c r="J38" s="7">
        <v>0</v>
      </c>
      <c r="K38" s="89" t="str">
        <f t="shared" si="0"/>
        <v>4041/4042</v>
      </c>
      <c r="L38" s="185" t="str">
        <f>VLOOKUP(A38,'Trips&amp;Operators'!$C$1:$G$99911,5,FALSE)</f>
        <v>ROCHA YAOTL</v>
      </c>
      <c r="M38" s="6">
        <f t="shared" si="1"/>
        <v>2.5648148148320615E-2</v>
      </c>
      <c r="N38" s="7">
        <f t="shared" si="2"/>
        <v>36.933333333581686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-20T06:40:04-0600',mode:absolute,to:'2017-09-20T09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23.298200000000001</v>
      </c>
      <c r="Z38" s="204">
        <f t="shared" si="8"/>
        <v>1.49E-2</v>
      </c>
      <c r="AA38" s="204">
        <f t="shared" si="9"/>
        <v>23.283300000000001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38" s="74" t="str">
        <f t="shared" si="12"/>
        <v>"C:\Program Files (x86)\AstroGrep\AstroGrep.exe" /e /r /s /spath="%USERPROFILE%\AppData\Local\Temp\OnboardLogs" /stypes="app*4041*20170920*"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126-20 --locoid 4041 --swversion DE.1.0.9.0 --startMP 204:232982 --initTime 2017-09-20T07:40:04 --startdatetime 2017-09-20T07:42:15 --delay 47 --endMP 204:149 --enddatetime 2017-09-20T08:19:11 --enforcementcount 0 &gt;&gt;c:\users\tmcdowell\Documents\GitHub\eaglep3-reporting\EC\2017-09-20-refined-times.txt</v>
      </c>
      <c r="AI3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ID","value":"126-20"},{"id":16,"name":"Locomotive ID","value":"4041"},{"id":130,"name":"Impact","value":""},{"id":150,"name":"Time of Event (Mountain Time)","value":"08:19:11"},{"id":151,"name":"Denver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4041 --day 2017-09-20</v>
      </c>
      <c r="AN3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-20T06:40:04-0600',mode:absolute,to:'2017-09-20T09:19:11-0600'))&amp;_a=(columns:!('Message%20ID',Summary),filters:!(),index:'emp_*',interval:auto,query:(query_string:(analyze_wildcard:!t,query:'Message%5C+ID:(*)+AND+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663</v>
      </c>
      <c r="B39" s="7">
        <v>4058</v>
      </c>
      <c r="C39" s="21" t="s">
        <v>196</v>
      </c>
      <c r="D39" s="21" t="s">
        <v>336</v>
      </c>
      <c r="E39" s="13">
        <v>42998.289178240739</v>
      </c>
      <c r="F39" s="13">
        <v>42998.291828703703</v>
      </c>
      <c r="G39" s="7">
        <v>80</v>
      </c>
      <c r="H39" s="21" t="s">
        <v>459</v>
      </c>
      <c r="I39" s="13">
        <v>42998.316493055558</v>
      </c>
      <c r="J39" s="7">
        <v>0</v>
      </c>
      <c r="K39" s="89" t="str">
        <f t="shared" si="0"/>
        <v>4057/4058</v>
      </c>
      <c r="L39" s="185" t="str">
        <f>VLOOKUP(A39,'Trips&amp;Operators'!$C$1:$G$99911,5,FALSE)</f>
        <v>YANAI IAN</v>
      </c>
      <c r="M39" s="6">
        <f t="shared" si="1"/>
        <v>2.4664351854880806E-2</v>
      </c>
      <c r="N39" s="7">
        <f t="shared" si="2"/>
        <v>35.516666671028361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-20T05:56:25-0600',mode:absolute,to:'2017-09-20T08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4.4600000000000001E-2</v>
      </c>
      <c r="Z39" s="204">
        <f t="shared" si="8"/>
        <v>23.331</v>
      </c>
      <c r="AA39" s="204">
        <f t="shared" si="9"/>
        <v>23.2864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39" s="74" t="str">
        <f t="shared" si="12"/>
        <v>"C:\Program Files (x86)\AstroGrep\AstroGrep.exe" /e /r /s /spath="%USERPROFILE%\AppData\Local\Temp\OnboardLogs" /stypes="app*4058*20170920*"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127-20 --locoid 4058 --swversion DE.1.0.9.0 --startMP 204:446 --initTime 2017-09-20T06:56:25 --startdatetime 2017-09-20T07:00:14 --delay 80 --endMP 204:233310 --enddatetime 2017-09-20T07:35:45 --enforcementcount 0 &gt;&gt;c:\users\tmcdowell\Documents\GitHub\eaglep3-reporting\EC\2017-09-20-refined-times.txt</v>
      </c>
      <c r="AI3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ID","value":"127-20"},{"id":16,"name":"Locomotive ID","value":"4058"},{"id":130,"name":"Impact","value":""},{"id":150,"name":"Time of Event (Mountain Time)","value":"07:35:45"},{"id":151,"name":"Denver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4058 --day 2017-09-20</v>
      </c>
      <c r="AN3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-20T05:56:25-0600',mode:absolute,to:'2017-09-20T08:35:45-0600'))&amp;_a=(columns:!('Message%20ID',Summary),filters:!(),index:'emp_*',interval:auto,query:(query_string:(analyze_wildcard:!t,query:'Message%5C+ID:(*)+AND+%22rtdc.l.rtdc.4058%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672</v>
      </c>
      <c r="B40" s="7">
        <v>4057</v>
      </c>
      <c r="C40" s="21" t="s">
        <v>196</v>
      </c>
      <c r="D40" s="21" t="s">
        <v>535</v>
      </c>
      <c r="E40" s="13">
        <v>42998.317754629628</v>
      </c>
      <c r="F40" s="13">
        <v>42998.331412037034</v>
      </c>
      <c r="G40" s="7">
        <v>61</v>
      </c>
      <c r="H40" s="21" t="s">
        <v>337</v>
      </c>
      <c r="I40" s="13">
        <v>42998.357372685183</v>
      </c>
      <c r="J40" s="7">
        <v>0</v>
      </c>
      <c r="K40" s="89" t="str">
        <f t="shared" si="0"/>
        <v>4057/4058</v>
      </c>
      <c r="L40" s="185" t="str">
        <f>VLOOKUP(A40,'Trips&amp;Operators'!$C$1:$G$99911,5,FALSE)</f>
        <v>YANAI IAN</v>
      </c>
      <c r="M40" s="6">
        <f t="shared" si="1"/>
        <v>2.5960648148611654E-2</v>
      </c>
      <c r="N40" s="7">
        <f t="shared" si="2"/>
        <v>37.383333334000781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-20T06:37:34-0600',mode:absolute,to:'2017-09-20T09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23.2989</v>
      </c>
      <c r="Z40" s="204">
        <f t="shared" si="8"/>
        <v>1.4999999999999999E-2</v>
      </c>
      <c r="AA40" s="204">
        <f t="shared" si="9"/>
        <v>23.283899999999999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40" s="74" t="str">
        <f t="shared" si="12"/>
        <v>"C:\Program Files (x86)\AstroGrep\AstroGrep.exe" /e /r /s /spath="%USERPROFILE%\AppData\Local\Temp\OnboardLogs" /stypes="app*4057*20170920*"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128-20 --locoid 4057 --swversion DE.1.0.9.0 --startMP 204:232989 --initTime 2017-09-20T07:37:34 --startdatetime 2017-09-20T07:57:14 --delay 61 --endMP 204:150 --enddatetime 2017-09-20T08:34:37 --enforcementcount 0 &gt;&gt;c:\users\tmcdowell\Documents\GitHub\eaglep3-reporting\EC\2017-09-20-refined-times.txt</v>
      </c>
      <c r="AI4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ID","value":"128-20"},{"id":16,"name":"Locomotive ID","value":"4057"},{"id":130,"name":"Impact","value":""},{"id":150,"name":"Time of Event (Mountain Time)","value":"08:34:37"},{"id":151,"name":"Denver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4057 --day 2017-09-20</v>
      </c>
      <c r="AN4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-20T06:37:34-0600',mode:absolute,to:'2017-09-20T09:34:37-0600'))&amp;_a=(columns:!('Message%20ID',Summary),filters:!(),index:'emp_*',interval:auto,query:(query_string:(analyze_wildcard:!t,query:'Message%5C+ID:(*)+AND+%22rtdc.l.rtdc.4057%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668</v>
      </c>
      <c r="B41" s="7">
        <v>4064</v>
      </c>
      <c r="C41" s="21" t="s">
        <v>196</v>
      </c>
      <c r="D41" s="21" t="s">
        <v>399</v>
      </c>
      <c r="E41" s="13">
        <v>42998.297997685186</v>
      </c>
      <c r="F41" s="13">
        <v>42998.302407407406</v>
      </c>
      <c r="G41" s="7">
        <v>94</v>
      </c>
      <c r="H41" s="21" t="s">
        <v>419</v>
      </c>
      <c r="I41" s="13">
        <v>42998.326608796298</v>
      </c>
      <c r="J41" s="7">
        <v>0</v>
      </c>
      <c r="K41" s="89" t="str">
        <f t="shared" si="0"/>
        <v>4063/4064</v>
      </c>
      <c r="L41" s="185" t="str">
        <f>VLOOKUP(A41,'Trips&amp;Operators'!$C$1:$G$99911,5,FALSE)</f>
        <v>PAGE MARCUS</v>
      </c>
      <c r="M41" s="6">
        <f t="shared" si="1"/>
        <v>2.4201388892834075E-2</v>
      </c>
      <c r="N41" s="7">
        <f t="shared" si="2"/>
        <v>34.850000005681068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-20T06:09:07-0600',mode:absolute,to:'2017-09-20T08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4.6199999999999998E-2</v>
      </c>
      <c r="Z41" s="204">
        <f t="shared" si="8"/>
        <v>23.3293</v>
      </c>
      <c r="AA41" s="204">
        <f t="shared" si="9"/>
        <v>23.283100000000001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41" s="74" t="str">
        <f t="shared" si="12"/>
        <v>"C:\Program Files (x86)\AstroGrep\AstroGrep.exe" /e /r /s /spath="%USERPROFILE%\AppData\Local\Temp\OnboardLogs" /stypes="app*4064*20170920*"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129-20 --locoid 4064 --swversion DE.1.0.9.0 --startMP 204:462 --initTime 2017-09-20T07:09:07 --startdatetime 2017-09-20T07:15:28 --delay 94 --endMP 204:233293 --enddatetime 2017-09-20T07:50:19 --enforcementcount 0 &gt;&gt;c:\users\tmcdowell\Documents\GitHub\eaglep3-reporting\EC\2017-09-20-refined-times.txt</v>
      </c>
      <c r="AI4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{"issue":{"subject":"","project_id":79,"tracker_id":40,"status_id":1,"priority_id":2,"assigned_to_id":338,"start_date":"2017-09-20","description":"","custom_fields":[{"id":1,"name":"Subdivision","value":"EC"},{"id":4,"name":"Milepost","value":"23.3293"},{"id":17,"name":"Train ID","value":"129-20"},{"id":16,"name":"Locomotive ID","value":"4064"},{"id":130,"name":"Impact","value":""},{"id":150,"name":"Time of Event (Mountain Time)","value":"07:50:19"},{"id":151,"name":"Denver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4064 --day 2017-09-20</v>
      </c>
      <c r="AN4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-20T06:09:07-0600',mode:absolute,to:'2017-09-20T08:50:19-0600'))&amp;_a=(columns:!('Message%20ID',Summary),filters:!(),index:'emp_*',interval:auto,query:(query_string:(analyze_wildcard:!t,query:'Message%5C+ID:(*)+AND+%22rtdc.l.rtdc.4064%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4063</v>
      </c>
      <c r="C42" s="21" t="s">
        <v>196</v>
      </c>
      <c r="D42" s="21" t="s">
        <v>849</v>
      </c>
      <c r="E42" s="13">
        <v>42998.336319444446</v>
      </c>
      <c r="F42" s="13">
        <v>42998.341840277775</v>
      </c>
      <c r="G42" s="7">
        <v>74</v>
      </c>
      <c r="H42" s="21" t="s">
        <v>369</v>
      </c>
      <c r="I42" s="13">
        <v>42998.368032407408</v>
      </c>
      <c r="J42" s="7">
        <v>0</v>
      </c>
      <c r="K42" s="89" t="str">
        <f t="shared" si="0"/>
        <v>4063/4064</v>
      </c>
      <c r="L42" s="185" t="str">
        <f>VLOOKUP(A42,'Trips&amp;Operators'!$C$1:$G$99911,5,FALSE)</f>
        <v>PAGE MARCUS</v>
      </c>
      <c r="M42" s="6">
        <f t="shared" si="1"/>
        <v>2.6192129633272998E-2</v>
      </c>
      <c r="N42" s="7">
        <f t="shared" si="2"/>
        <v>37.716666671913117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-20T07:04:18-0600',mode:absolute,to:'2017-09-20T09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23.296700000000001</v>
      </c>
      <c r="Z42" s="204">
        <f t="shared" si="8"/>
        <v>1.5599999999999999E-2</v>
      </c>
      <c r="AA42" s="204">
        <f t="shared" si="9"/>
        <v>23.281100000000002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42" s="74" t="str">
        <f t="shared" si="12"/>
        <v>"C:\Program Files (x86)\AstroGrep\AstroGrep.exe" /e /r /s /spath="%USERPROFILE%\AppData\Local\Temp\OnboardLogs" /stypes="app*4063*20170920*"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130-20 --locoid 4063 --swversion DE.1.0.9.0 --startMP 204:232967 --initTime 2017-09-20T08:04:18 --startdatetime 2017-09-20T08:12:15 --delay 74 --endMP 204:156 --enddatetime 2017-09-20T08:49:58 --enforcementcount 0 &gt;&gt;c:\users\tmcdowell\Documents\GitHub\eaglep3-reporting\EC\2017-09-20-refined-times.txt</v>
      </c>
      <c r="AI4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{"issue":{"subject":"","project_id":79,"tracker_id":40,"status_id":1,"priority_id":2,"assigned_to_id":338,"start_date":"2017-09-20","description":"","custom_fields":[{"id":1,"name":"Subdivision","value":"EC"},{"id":4,"name":"Milepost","value":"0.0156"},{"id":17,"name":"Train ID","value":"130-20"},{"id":16,"name":"Locomotive ID","value":"4063"},{"id":130,"name":"Impact","value":""},{"id":150,"name":"Time of Event (Mountain Time)","value":"08:49:58"},{"id":151,"name":"Denver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4063 --day 2017-09-20</v>
      </c>
      <c r="AN4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-20T07:04:18-0600',mode:absolute,to:'2017-09-20T09:49:58-0600'))&amp;_a=(columns:!('Message%20ID',Summary),filters:!(),index:'emp_*',interval:auto,query:(query_string:(analyze_wildcard:!t,query:'Message%5C+ID:(*)+AND+%22rtdc.l.rtdc.4063%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4062</v>
      </c>
      <c r="C43" s="21" t="s">
        <v>196</v>
      </c>
      <c r="D43" s="21" t="s">
        <v>850</v>
      </c>
      <c r="E43" s="13">
        <v>42998.30809027778</v>
      </c>
      <c r="F43" s="13">
        <v>42998.312893518516</v>
      </c>
      <c r="G43" s="7">
        <v>76</v>
      </c>
      <c r="H43" s="21" t="s">
        <v>422</v>
      </c>
      <c r="I43" s="13">
        <v>42998.337835648148</v>
      </c>
      <c r="J43" s="7">
        <v>0</v>
      </c>
      <c r="K43" s="89" t="str">
        <f t="shared" si="0"/>
        <v>4061/4062</v>
      </c>
      <c r="L43" s="185" t="str">
        <f>VLOOKUP(A43,'Trips&amp;Operators'!$C$1:$G$99911,5,FALSE)</f>
        <v>FORTUNATO FRANK</v>
      </c>
      <c r="M43" s="6">
        <f t="shared" si="1"/>
        <v>2.4942129632108845E-2</v>
      </c>
      <c r="N43" s="7">
        <f t="shared" si="2"/>
        <v>35.916666670236737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-20T06:23:39-0600',mode:absolute,to:'2017-09-20T09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4.8599999999999997E-2</v>
      </c>
      <c r="Z43" s="204">
        <f t="shared" si="8"/>
        <v>23.331900000000001</v>
      </c>
      <c r="AA43" s="204">
        <f t="shared" si="9"/>
        <v>23.283300000000001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43" s="74" t="str">
        <f t="shared" si="12"/>
        <v>"C:\Program Files (x86)\AstroGrep\AstroGrep.exe" /e /r /s /spath="%USERPROFILE%\AppData\Local\Temp\OnboardLogs" /stypes="app*4062*20170920*"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131-20 --locoid 4062 --swversion DE.1.0.9.0 --startMP 204:486 --initTime 2017-09-20T07:23:39 --startdatetime 2017-09-20T07:30:34 --delay 76 --endMP 204:233319 --enddatetime 2017-09-20T08:06:29 --enforcementcount 0 &gt;&gt;c:\users\tmcdowell\Documents\GitHub\eaglep3-reporting\EC\2017-09-20-refined-times.txt</v>
      </c>
      <c r="AI4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{"issue":{"subject":"","project_id":79,"tracker_id":40,"status_id":1,"priority_id":2,"assigned_to_id":338,"start_date":"2017-09-20","description":"","custom_fields":[{"id":1,"name":"Subdivision","value":"EC"},{"id":4,"name":"Milepost","value":"23.3319"},{"id":17,"name":"Train ID","value":"131-20"},{"id":16,"name":"Locomotive ID","value":"4062"},{"id":130,"name":"Impact","value":""},{"id":150,"name":"Time of Event (Mountain Time)","value":"08:06:29"},{"id":151,"name":"Denver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4062 --day 2017-09-20</v>
      </c>
      <c r="AN4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-20T06:23:39-0600',mode:absolute,to:'2017-09-20T09:06:29-0600'))&amp;_a=(columns:!('Message%20ID',Summary),filters:!(),index:'emp_*',interval:auto,query:(query_string:(analyze_wildcard:!t,query:'Message%5C+ID:(*)+AND+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678</v>
      </c>
      <c r="B44" s="7">
        <v>4061</v>
      </c>
      <c r="C44" s="21" t="s">
        <v>196</v>
      </c>
      <c r="D44" s="21" t="s">
        <v>423</v>
      </c>
      <c r="E44" s="13">
        <v>42998.339456018519</v>
      </c>
      <c r="F44" s="13">
        <v>42998.35224537037</v>
      </c>
      <c r="G44" s="7">
        <v>62</v>
      </c>
      <c r="H44" s="21" t="s">
        <v>391</v>
      </c>
      <c r="I44" s="13">
        <v>42998.378368055557</v>
      </c>
      <c r="J44" s="7">
        <v>0</v>
      </c>
      <c r="K44" s="89" t="str">
        <f t="shared" si="0"/>
        <v>4061/4062</v>
      </c>
      <c r="L44" s="185" t="str">
        <f>VLOOKUP(A44,'Trips&amp;Operators'!$C$1:$G$99911,5,FALSE)</f>
        <v>FORTUNATO FRANK</v>
      </c>
      <c r="M44" s="6">
        <f t="shared" si="1"/>
        <v>2.6122685187146999E-2</v>
      </c>
      <c r="N44" s="7">
        <f t="shared" si="2"/>
        <v>37.616666669491678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-20T07:08:49-0600',mode:absolute,to:'2017-09-20T10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23.299099999999999</v>
      </c>
      <c r="Z44" s="204">
        <f t="shared" si="8"/>
        <v>1.3899999999999999E-2</v>
      </c>
      <c r="AA44" s="204">
        <f t="shared" si="9"/>
        <v>23.2852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44" s="74" t="str">
        <f t="shared" si="12"/>
        <v>"C:\Program Files (x86)\AstroGrep\AstroGrep.exe" /e /r /s /spath="%USERPROFILE%\AppData\Local\Temp\OnboardLogs" /stypes="app*4061*20170920*"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132-20 --locoid 4061 --swversion DE.1.0.9.0 --startMP 204:232991 --initTime 2017-09-20T08:08:49 --startdatetime 2017-09-20T08:27:14 --delay 62 --endMP 204:139 --enddatetime 2017-09-20T09:04:51 --enforcementcount 0 &gt;&gt;c:\users\tmcdowell\Documents\GitHub\eaglep3-reporting\EC\2017-09-20-refined-times.txt</v>
      </c>
      <c r="AI4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ID","value":"132-20"},{"id":16,"name":"Locomotive ID","value":"4061"},{"id":130,"name":"Impact","value":""},{"id":150,"name":"Time of Event (Mountain Time)","value":"09:04:51"},{"id":151,"name":"Denver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4061 --day 2017-09-20</v>
      </c>
      <c r="AN4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-20T07:08:49-0600',mode:absolute,to:'2017-09-20T10:04:51-0600'))&amp;_a=(columns:!('Message%20ID',Summary),filters:!(),index:'emp_*',interval:auto,query:(query_string:(analyze_wildcard:!t,query:'Message%5C+ID:(*)+AND+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673</v>
      </c>
      <c r="B45" s="7">
        <v>4040</v>
      </c>
      <c r="C45" s="21" t="s">
        <v>196</v>
      </c>
      <c r="D45" s="21" t="s">
        <v>402</v>
      </c>
      <c r="E45" s="13">
        <v>42998.318171296298</v>
      </c>
      <c r="F45" s="13">
        <v>42998.323113425926</v>
      </c>
      <c r="G45" s="7">
        <v>44</v>
      </c>
      <c r="H45" s="21" t="s">
        <v>404</v>
      </c>
      <c r="I45" s="13">
        <v>42998.346921296295</v>
      </c>
      <c r="J45" s="7">
        <v>0</v>
      </c>
      <c r="K45" s="89" t="str">
        <f t="shared" si="0"/>
        <v>4039/4040</v>
      </c>
      <c r="L45" s="185" t="str">
        <f>VLOOKUP(A45,'Trips&amp;Operators'!$C$1:$G$99911,5,FALSE)</f>
        <v>YORK EDGAR</v>
      </c>
      <c r="M45" s="6">
        <f t="shared" si="1"/>
        <v>2.3807870369637385E-2</v>
      </c>
      <c r="N45" s="7">
        <f t="shared" ref="N45:N76" si="24">24*60*SUM($M45:$M45)</f>
        <v>34.283333332277834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-20T06:38:10-0600',mode:absolute,to:'2017-09-20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ref="Y45:Y76" si="25">RIGHT(D45,LEN(D45)-4)/10000</f>
        <v>4.4400000000000002E-2</v>
      </c>
      <c r="Z45" s="204">
        <f t="shared" ref="Z45:Z76" si="26">RIGHT(H45,LEN(H45)-4)/10000</f>
        <v>23.328900000000001</v>
      </c>
      <c r="AA45" s="204">
        <f t="shared" si="9"/>
        <v>23.284500000000001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45" s="74" t="str">
        <f t="shared" si="12"/>
        <v>"C:\Program Files (x86)\AstroGrep\AstroGrep.exe" /e /r /s /spath="%USERPROFILE%\AppData\Local\Temp\OnboardLogs" /stypes="app*4040*20170920*"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133-20 --locoid 4040 --swversion DE.1.0.9.0 --startMP 204:444 --initTime 2017-09-20T07:38:10 --startdatetime 2017-09-20T07:45:17 --delay 44 --endMP 204:233289 --enddatetime 2017-09-20T08:19:34 --enforcementcount 0 &gt;&gt;c:\users\tmcdowell\Documents\GitHub\eaglep3-reporting\EC\2017-09-20-refined-times.txt</v>
      </c>
      <c r="AI4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{"issue":{"subject":"","project_id":79,"tracker_id":40,"status_id":1,"priority_id":2,"assigned_to_id":338,"start_date":"2017-09-20","description":"","custom_fields":[{"id":1,"name":"Subdivision","value":"EC"},{"id":4,"name":"Milepost","value":"23.3289"},{"id":17,"name":"Train ID","value":"133-20"},{"id":16,"name":"Locomotive ID","value":"4040"},{"id":130,"name":"Impact","value":""},{"id":150,"name":"Time of Event (Mountain Time)","value":"08:19:34"},{"id":151,"name":"Denver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4040 --day 2017-09-20</v>
      </c>
      <c r="AN4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-20T06:38:10-0600',mode:absolute,to:'2017-09-20T09:19:34-0600'))&amp;_a=(columns:!('Message%20ID',Summary),filters:!(),index:'emp_*',interval:auto,query:(query_string:(analyze_wildcard:!t,query:'Message%5C+ID:(*)+AND+%22rtdc.l.rtdc.4040%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680</v>
      </c>
      <c r="B46" s="7">
        <v>4039</v>
      </c>
      <c r="C46" s="21" t="s">
        <v>196</v>
      </c>
      <c r="D46" s="21" t="s">
        <v>457</v>
      </c>
      <c r="E46" s="13">
        <v>42998.34783564815</v>
      </c>
      <c r="F46" s="13">
        <v>42998.362800925926</v>
      </c>
      <c r="G46" s="7">
        <v>43</v>
      </c>
      <c r="H46" s="21" t="s">
        <v>391</v>
      </c>
      <c r="I46" s="13">
        <v>42998.388518518521</v>
      </c>
      <c r="J46" s="7">
        <v>0</v>
      </c>
      <c r="K46" s="89" t="str">
        <f t="shared" si="0"/>
        <v>4039/4040</v>
      </c>
      <c r="L46" s="185" t="str">
        <f>VLOOKUP(A46,'Trips&amp;Operators'!$C$1:$G$99911,5,FALSE)</f>
        <v>YORK EDGAR</v>
      </c>
      <c r="M46" s="6">
        <f t="shared" si="1"/>
        <v>2.5717592594446614E-2</v>
      </c>
      <c r="N46" s="7">
        <f t="shared" si="24"/>
        <v>37.033333336003125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-20T07:20:53-0600',mode:absolute,to:'2017-09-20T10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25"/>
        <v>23.296500000000002</v>
      </c>
      <c r="Z46" s="204">
        <f t="shared" si="26"/>
        <v>1.3899999999999999E-2</v>
      </c>
      <c r="AA46" s="204">
        <f t="shared" si="9"/>
        <v>23.282600000000002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46" s="74" t="str">
        <f t="shared" si="12"/>
        <v>"C:\Program Files (x86)\AstroGrep\AstroGrep.exe" /e /r /s /spath="%USERPROFILE%\AppData\Local\Temp\OnboardLogs" /stypes="app*4039*20170920*"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134-20 --locoid 4039 --swversion DE.1.0.9.0 --startMP 204:232965 --initTime 2017-09-20T08:20:53 --startdatetime 2017-09-20T08:42:26 --delay 43 --endMP 204:139 --enddatetime 2017-09-20T09:19:28 --enforcementcount 0 &gt;&gt;c:\users\tmcdowell\Documents\GitHub\eaglep3-reporting\EC\2017-09-20-refined-times.txt</v>
      </c>
      <c r="AI4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ID","value":"134-20"},{"id":16,"name":"Locomotive ID","value":"4039"},{"id":130,"name":"Impact","value":""},{"id":150,"name":"Time of Event (Mountain Time)","value":"09:19:28"},{"id":151,"name":"Denver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4039 --day 2017-09-20</v>
      </c>
      <c r="AN4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-20T07:20:53-0600',mode:absolute,to:'2017-09-20T10:19:28-0600'))&amp;_a=(columns:!('Message%20ID',Summary),filters:!(),index:'emp_*',interval:auto,query:(query_string:(analyze_wildcard:!t,query:'Message%5C+ID:(*)+AND+%22rtdc.l.rtdc.4039%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675</v>
      </c>
      <c r="B47" s="7">
        <v>4044</v>
      </c>
      <c r="C47" s="21" t="s">
        <v>196</v>
      </c>
      <c r="D47" s="21" t="s">
        <v>390</v>
      </c>
      <c r="E47" s="13">
        <v>42998.328379629631</v>
      </c>
      <c r="F47" s="13">
        <v>42998.333668981482</v>
      </c>
      <c r="G47" s="7">
        <v>97</v>
      </c>
      <c r="H47" s="21" t="s">
        <v>456</v>
      </c>
      <c r="I47" s="13">
        <v>42998.358425925922</v>
      </c>
      <c r="J47" s="7">
        <v>0</v>
      </c>
      <c r="K47" s="89" t="str">
        <f t="shared" si="0"/>
        <v>4043/4044</v>
      </c>
      <c r="L47" s="185" t="str">
        <f>VLOOKUP(A47,'Trips&amp;Operators'!$C$1:$G$99911,5,FALSE)</f>
        <v>WEST BRYAN</v>
      </c>
      <c r="M47" s="6">
        <f t="shared" si="1"/>
        <v>2.4756944440014195E-2</v>
      </c>
      <c r="N47" s="7">
        <f t="shared" si="24"/>
        <v>35.64999999362044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-20T06:52:52-0600',mode:absolute,to:'2017-09-20T09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25"/>
        <v>4.3999999999999997E-2</v>
      </c>
      <c r="Z47" s="204">
        <f t="shared" si="26"/>
        <v>23.330200000000001</v>
      </c>
      <c r="AA47" s="204">
        <f t="shared" si="9"/>
        <v>23.286200000000001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47" s="74" t="str">
        <f t="shared" si="12"/>
        <v>"C:\Program Files (x86)\AstroGrep\AstroGrep.exe" /e /r /s /spath="%USERPROFILE%\AppData\Local\Temp\OnboardLogs" /stypes="app*4044*20170920*"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135-20 --locoid 4044 --swversion DE.1.0.9.0 --startMP 204:440 --initTime 2017-09-20T07:52:52 --startdatetime 2017-09-20T08:00:29 --delay 97 --endMP 204:233302 --enddatetime 2017-09-20T08:36:08 --enforcementcount 0 &gt;&gt;c:\users\tmcdowell\Documents\GitHub\eaglep3-reporting\EC\2017-09-20-refined-times.txt</v>
      </c>
      <c r="AI4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{"issue":{"subject":"","project_id":79,"tracker_id":40,"status_id":1,"priority_id":2,"assigned_to_id":338,"start_date":"2017-09-20","description":"","custom_fields":[{"id":1,"name":"Subdivision","value":"EC"},{"id":4,"name":"Milepost","value":"23.3302"},{"id":17,"name":"Train ID","value":"135-20"},{"id":16,"name":"Locomotive ID","value":"4044"},{"id":130,"name":"Impact","value":""},{"id":150,"name":"Time of Event (Mountain Time)","value":"08:36:08"},{"id":151,"name":"Denver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4044 --day 2017-09-20</v>
      </c>
      <c r="AN4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-20T06:52:52-0600',mode:absolute,to:'2017-09-20T09:36:08-0600'))&amp;_a=(columns:!('Message%20ID',Summary),filters:!(),index:'emp_*',interval:auto,query:(query_string:(analyze_wildcard:!t,query:'Message%5C+ID:(*)+AND+%22rtdc.l.rtdc.4044%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686</v>
      </c>
      <c r="B48" s="7">
        <v>4043</v>
      </c>
      <c r="C48" s="21" t="s">
        <v>196</v>
      </c>
      <c r="D48" s="21" t="s">
        <v>408</v>
      </c>
      <c r="E48" s="13">
        <v>42998.360532407409</v>
      </c>
      <c r="F48" s="13">
        <v>42998.373101851852</v>
      </c>
      <c r="G48" s="7">
        <v>89</v>
      </c>
      <c r="H48" s="21" t="s">
        <v>363</v>
      </c>
      <c r="I48" s="13">
        <v>42998.398935185185</v>
      </c>
      <c r="J48" s="7">
        <v>0</v>
      </c>
      <c r="K48" s="89" t="str">
        <f t="shared" si="0"/>
        <v>4043/4044</v>
      </c>
      <c r="L48" s="185" t="str">
        <f>VLOOKUP(A48,'Trips&amp;Operators'!$C$1:$G$99911,5,FALSE)</f>
        <v>YANG JAN</v>
      </c>
      <c r="M48" s="6">
        <f t="shared" si="1"/>
        <v>2.5833333333139308E-2</v>
      </c>
      <c r="N48" s="7">
        <f t="shared" si="24"/>
        <v>37.199999999720603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-20T07:39:10-0600',mode:absolute,to:'2017-09-20T10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25"/>
        <v>23.299800000000001</v>
      </c>
      <c r="Z48" s="204">
        <f t="shared" si="26"/>
        <v>1.4500000000000001E-2</v>
      </c>
      <c r="AA48" s="204">
        <f t="shared" si="9"/>
        <v>23.285299999999999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48" s="74" t="str">
        <f t="shared" si="12"/>
        <v>"C:\Program Files (x86)\AstroGrep\AstroGrep.exe" /e /r /s /spath="%USERPROFILE%\AppData\Local\Temp\OnboardLogs" /stypes="app*4043*20170920*"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136-20 --locoid 4043 --swversion DE.1.0.9.0 --startMP 204:232998 --initTime 2017-09-20T08:39:10 --startdatetime 2017-09-20T08:57:16 --delay 89 --endMP 204:145 --enddatetime 2017-09-20T09:34:28 --enforcementcount 0 &gt;&gt;c:\users\tmcdowell\Documents\GitHub\eaglep3-reporting\EC\2017-09-20-refined-times.txt</v>
      </c>
      <c r="AI4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ID","value":"136-20"},{"id":16,"name":"Locomotive ID","value":"4043"},{"id":130,"name":"Impact","value":""},{"id":150,"name":"Time of Event (Mountain Time)","value":"09:34:28"},{"id":151,"name":"Denver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4043 --day 2017-09-20</v>
      </c>
      <c r="AN4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-20T07:39:10-0600',mode:absolute,to:'2017-09-20T10:34:28-0600'))&amp;_a=(columns:!('Message%20ID',Summary),filters:!(),index:'emp_*',interval:auto,query:(query_string:(analyze_wildcard:!t,query:'Message%5C+ID:(*)+AND+%22rtdc.l.rtdc.4043%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679</v>
      </c>
      <c r="B49" s="7">
        <v>4002</v>
      </c>
      <c r="C49" s="21" t="s">
        <v>196</v>
      </c>
      <c r="D49" s="21" t="s">
        <v>399</v>
      </c>
      <c r="E49" s="13">
        <v>42998.341122685182</v>
      </c>
      <c r="F49" s="13">
        <v>42998.344074074077</v>
      </c>
      <c r="G49" s="7">
        <v>81</v>
      </c>
      <c r="H49" s="21" t="s">
        <v>851</v>
      </c>
      <c r="I49" s="13">
        <v>42998.369120370371</v>
      </c>
      <c r="J49" s="7">
        <v>0</v>
      </c>
      <c r="K49" s="89" t="str">
        <f t="shared" si="0"/>
        <v>4001/4002</v>
      </c>
      <c r="L49" s="185" t="str">
        <f>VLOOKUP(A49,'Trips&amp;Operators'!$C$1:$G$99911,5,FALSE)</f>
        <v>WEST BRYAN</v>
      </c>
      <c r="M49" s="6">
        <f t="shared" si="1"/>
        <v>2.5046296294021886E-2</v>
      </c>
      <c r="N49" s="7">
        <f t="shared" si="24"/>
        <v>36.066666663391516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-20T07:11:13-0600',mode:absolute,to:'2017-09-20T09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25"/>
        <v>4.6199999999999998E-2</v>
      </c>
      <c r="Z49" s="204">
        <f t="shared" si="26"/>
        <v>23.330500000000001</v>
      </c>
      <c r="AA49" s="204">
        <f t="shared" si="9"/>
        <v>23.284300000000002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49" s="74" t="str">
        <f t="shared" si="12"/>
        <v>"C:\Program Files (x86)\AstroGrep\AstroGrep.exe" /e /r /s /spath="%USERPROFILE%\AppData\Local\Temp\OnboardLogs" /stypes="app*4002*20170920*"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137-20 --locoid 4002 --swversion DE.1.0.9.0 --startMP 204:462 --initTime 2017-09-20T08:11:13 --startdatetime 2017-09-20T08:15:28 --delay 81 --endMP 204:233305 --enddatetime 2017-09-20T08:51:32 --enforcementcount 0 &gt;&gt;c:\users\tmcdowell\Documents\GitHub\eaglep3-reporting\EC\2017-09-20-refined-times.txt</v>
      </c>
      <c r="AI4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{"issue":{"subject":"","project_id":79,"tracker_id":40,"status_id":1,"priority_id":2,"assigned_to_id":338,"start_date":"2017-09-20","description":"","custom_fields":[{"id":1,"name":"Subdivision","value":"EC"},{"id":4,"name":"Milepost","value":"23.3305"},{"id":17,"name":"Train ID","value":"137-20"},{"id":16,"name":"Locomotive ID","value":"4002"},{"id":130,"name":"Impact","value":""},{"id":150,"name":"Time of Event (Mountain Time)","value":"08:51:32"},{"id":151,"name":"Denver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4002 --day 2017-09-20</v>
      </c>
      <c r="AN4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-20T07:11:13-0600',mode:absolute,to:'2017-09-20T09:51:32-0600'))&amp;_a=(columns:!('Message%20ID',Summary),filters:!(),index:'emp_*',interval:auto,query:(query_string:(analyze_wildcard:!t,query:'Message%5C+ID:(*)+AND+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590</v>
      </c>
      <c r="B50" s="7">
        <v>4001</v>
      </c>
      <c r="C50" s="21" t="s">
        <v>196</v>
      </c>
      <c r="D50" s="21" t="s">
        <v>460</v>
      </c>
      <c r="E50" s="13">
        <v>42998.372152777774</v>
      </c>
      <c r="F50" s="13">
        <v>42998.383784722224</v>
      </c>
      <c r="G50" s="7">
        <v>176</v>
      </c>
      <c r="H50" s="21" t="s">
        <v>381</v>
      </c>
      <c r="I50" s="13">
        <v>42998.410775462966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WEST BRYAN</v>
      </c>
      <c r="M50" s="6">
        <f t="shared" si="1"/>
        <v>2.6990740741894115E-2</v>
      </c>
      <c r="N50" s="7">
        <f t="shared" si="24"/>
        <v>38.866666668327525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25"/>
        <v>23.297499999999999</v>
      </c>
      <c r="Z50" s="204">
        <f t="shared" si="26"/>
        <v>1.5800000000000002E-2</v>
      </c>
      <c r="AA50" s="204">
        <f t="shared" si="9"/>
        <v>23.281700000000001</v>
      </c>
      <c r="AB50" s="54" t="str">
        <f>VLOOKUP(A50,Enforcements!$C$7:$K$11,8,0)</f>
        <v>Bulletin (2)</v>
      </c>
      <c r="AC50" s="51" t="str">
        <f>VLOOKUP(A50,Enforcements!$C$7:$E$11,3,0)</f>
        <v>GRADE CROSSING</v>
      </c>
      <c r="AD50" s="179">
        <f t="shared" si="10"/>
        <v>138</v>
      </c>
      <c r="AE50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50" s="74" t="str">
        <f t="shared" si="12"/>
        <v>"C:\Program Files (x86)\AstroGrep\AstroGrep.exe" /e /r /s /spath="%USERPROFILE%\AppData\Local\Temp\OnboardLogs" /stypes="app*4001*20170920*"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138-20 --locoid 4001 --swversion DE.1.0.9.0 --startMP 204:232975 --initTime 2017-09-20T08:55:54 --startdatetime 2017-09-20T09:12:39 --delay 176 --endMP 204:158 --enddatetime 2017-09-20T09:51:31 --enforcementcount 0 &gt;&gt;c:\users\tmcdowell\Documents\GitHub\eaglep3-reporting\EC\2017-09-20-refined-times.txt</v>
      </c>
      <c r="AI5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ID","value":"138-20"},{"id":16,"name":"Locomotive ID","value":"4001"},{"id":130,"name":"Impact","value":""},{"id":150,"name":"Time of Event (Mountain Time)","value":"09:51:31"},{"id":151,"name":"Denver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4001 --day 2017-09-20</v>
      </c>
      <c r="AN5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Message%20ID',Summary),filters:!(),index:'emp_*',interval:auto,query:(query_string:(analyze_wildcard:!t,query:'Message%5C+ID:(*)+AND+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4042</v>
      </c>
      <c r="C51" s="21" t="s">
        <v>196</v>
      </c>
      <c r="D51" s="21" t="s">
        <v>348</v>
      </c>
      <c r="E51" s="13">
        <v>42998.352152777778</v>
      </c>
      <c r="F51" s="13">
        <v>42998.354432870372</v>
      </c>
      <c r="G51" s="7">
        <v>50</v>
      </c>
      <c r="H51" s="21" t="s">
        <v>406</v>
      </c>
      <c r="I51" s="13">
        <v>42998.378807870373</v>
      </c>
      <c r="J51" s="7">
        <v>0</v>
      </c>
      <c r="K51" s="89" t="str">
        <f t="shared" si="0"/>
        <v>4041/4042</v>
      </c>
      <c r="L51" s="185" t="str">
        <f>VLOOKUP(A51,'Trips&amp;Operators'!$C$1:$G$99911,5,FALSE)</f>
        <v>ROCHA YAOTL</v>
      </c>
      <c r="M51" s="6">
        <f t="shared" si="1"/>
        <v>2.4375000000873115E-2</v>
      </c>
      <c r="N51" s="7">
        <f t="shared" si="24"/>
        <v>35.100000001257285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-20T07:27:06-0600',mode:absolute,to:'2017-09-20T10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25"/>
        <v>4.5499999999999999E-2</v>
      </c>
      <c r="Z51" s="204">
        <f t="shared" si="26"/>
        <v>23.331199999999999</v>
      </c>
      <c r="AA51" s="204">
        <f t="shared" si="9"/>
        <v>23.285699999999999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51" s="74" t="str">
        <f t="shared" si="12"/>
        <v>"C:\Program Files (x86)\AstroGrep\AstroGrep.exe" /e /r /s /spath="%USERPROFILE%\AppData\Local\Temp\OnboardLogs" /stypes="app*4042*20170920*"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139-20 --locoid 4042 --swversion DE.1.0.9.0 --startMP 204:455 --initTime 2017-09-20T08:27:06 --startdatetime 2017-09-20T08:30:23 --delay 50 --endMP 204:233312 --enddatetime 2017-09-20T09:05:29 --enforcementcount 0 &gt;&gt;c:\users\tmcdowell\Documents\GitHub\eaglep3-reporting\EC\2017-09-20-refined-times.txt</v>
      </c>
      <c r="AI5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ID","value":"139-20"},{"id":16,"name":"Locomotive ID","value":"4042"},{"id":130,"name":"Impact","value":""},{"id":150,"name":"Time of Event (Mountain Time)","value":"09:05:29"},{"id":151,"name":"Denver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4042 --day 2017-09-20</v>
      </c>
      <c r="AN5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-20T07:27:06-0600',mode:absolute,to:'2017-09-20T10:05:29-0600'))&amp;_a=(columns:!('Message%20ID',Summary),filters:!(),index:'emp_*',interval:auto,query:(query_string:(analyze_wildcard:!t,query:'Message%5C+ID:(*)+AND+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693</v>
      </c>
      <c r="B52" s="7">
        <v>4041</v>
      </c>
      <c r="C52" s="21" t="s">
        <v>196</v>
      </c>
      <c r="D52" s="21" t="s">
        <v>439</v>
      </c>
      <c r="E52" s="13">
        <v>42998.393078703702</v>
      </c>
      <c r="F52" s="13">
        <v>42998.394201388888</v>
      </c>
      <c r="G52" s="7">
        <v>46</v>
      </c>
      <c r="H52" s="21" t="s">
        <v>412</v>
      </c>
      <c r="I52" s="13">
        <v>42998.419502314813</v>
      </c>
      <c r="J52" s="7">
        <v>0</v>
      </c>
      <c r="K52" s="89" t="str">
        <f t="shared" si="0"/>
        <v>4041/4042</v>
      </c>
      <c r="L52" s="185" t="str">
        <f>VLOOKUP(A52,'Trips&amp;Operators'!$C$1:$G$99911,5,FALSE)</f>
        <v>ROCHA YAOTL</v>
      </c>
      <c r="M52" s="6">
        <f t="shared" si="1"/>
        <v>2.5300925924966577E-2</v>
      </c>
      <c r="N52" s="7">
        <f t="shared" si="24"/>
        <v>36.433333331951872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-20T08:26:02-0600',mode:absolute,to:'2017-09-20T11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25"/>
        <v>23.298500000000001</v>
      </c>
      <c r="Z52" s="204">
        <f t="shared" si="26"/>
        <v>1.54E-2</v>
      </c>
      <c r="AA52" s="204">
        <f t="shared" si="9"/>
        <v>23.283100000000001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52" s="74" t="str">
        <f t="shared" si="12"/>
        <v>"C:\Program Files (x86)\AstroGrep\AstroGrep.exe" /e /r /s /spath="%USERPROFILE%\AppData\Local\Temp\OnboardLogs" /stypes="app*4041*20170920*"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140-20 --locoid 4041 --swversion DE.1.0.9.0 --startMP 204:232985 --initTime 2017-09-20T09:26:02 --startdatetime 2017-09-20T09:27:39 --delay 46 --endMP 204:154 --enddatetime 2017-09-20T10:04:05 --enforcementcount 0 &gt;&gt;c:\users\tmcdowell\Documents\GitHub\eaglep3-reporting\EC\2017-09-20-refined-times.txt</v>
      </c>
      <c r="AI5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ID","value":"140-20"},{"id":16,"name":"Locomotive ID","value":"4041"},{"id":130,"name":"Impact","value":""},{"id":150,"name":"Time of Event (Mountain Time)","value":"10:04:05"},{"id":151,"name":"Denver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4041 --day 2017-09-20</v>
      </c>
      <c r="AN5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-20T08:26:02-0600',mode:absolute,to:'2017-09-20T11:04:05-0600'))&amp;_a=(columns:!('Message%20ID',Summary),filters:!(),index:'emp_*',interval:auto,query:(query_string:(analyze_wildcard:!t,query:'Message%5C+ID:(*)+AND+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586</v>
      </c>
      <c r="B53" s="7">
        <v>4058</v>
      </c>
      <c r="C53" s="21" t="s">
        <v>196</v>
      </c>
      <c r="D53" s="21" t="s">
        <v>466</v>
      </c>
      <c r="E53" s="13">
        <v>42998.359224537038</v>
      </c>
      <c r="F53" s="13">
        <v>42998.364733796298</v>
      </c>
      <c r="G53" s="7">
        <v>42</v>
      </c>
      <c r="H53" s="21" t="s">
        <v>406</v>
      </c>
      <c r="I53" s="13">
        <v>42998.389074074075</v>
      </c>
      <c r="J53" s="7">
        <v>0</v>
      </c>
      <c r="K53" s="89" t="str">
        <f t="shared" si="0"/>
        <v>4057/4058</v>
      </c>
      <c r="L53" s="185" t="str">
        <f>VLOOKUP(A53,'Trips&amp;Operators'!$C$1:$G$99911,5,FALSE)</f>
        <v>YANAI IAN</v>
      </c>
      <c r="M53" s="6">
        <f t="shared" si="1"/>
        <v>2.4340277777810115E-2</v>
      </c>
      <c r="N53" s="7">
        <f t="shared" si="24"/>
        <v>35.050000000046566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25"/>
        <v>4.5699999999999998E-2</v>
      </c>
      <c r="Z53" s="204">
        <f t="shared" si="26"/>
        <v>23.331199999999999</v>
      </c>
      <c r="AA53" s="204">
        <f t="shared" si="9"/>
        <v>23.285499999999999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53" s="74" t="str">
        <f t="shared" si="12"/>
        <v>"C:\Program Files (x86)\AstroGrep\AstroGrep.exe" /e /r /s /spath="%USERPROFILE%\AppData\Local\Temp\OnboardLogs" /stypes="app*4058*20170920*"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141-20 --locoid 4058 --swversion DE.1.0.9.0 --startMP 204:457 --initTime 2017-09-20T08:37:17 --startdatetime 2017-09-20T08:45:13 --delay 42 --endMP 204:233312 --enddatetime 2017-09-20T09:20:16 --enforcementcount 0 &gt;&gt;c:\users\tmcdowell\Documents\GitHub\eaglep3-reporting\EC\2017-09-20-refined-times.txt</v>
      </c>
      <c r="AI5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ID","value":"141-20"},{"id":16,"name":"Locomotive ID","value":"4058"},{"id":130,"name":"Impact","value":""},{"id":150,"name":"Time of Event (Mountain Time)","value":"09:20:16"},{"id":151,"name":"Denver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4058 --day 2017-09-20</v>
      </c>
      <c r="AN5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Message%20ID',Summary),filters:!(),index:'emp_*',interval:auto,query:(query_string:(analyze_wildcard:!t,query:'Message%5C+ID:(*)+AND+%22rtdc.l.rtdc.4058%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691</v>
      </c>
      <c r="B54" s="7">
        <v>4057</v>
      </c>
      <c r="C54" s="21" t="s">
        <v>196</v>
      </c>
      <c r="D54" s="21" t="s">
        <v>436</v>
      </c>
      <c r="E54" s="13">
        <v>42998.390486111108</v>
      </c>
      <c r="F54" s="13">
        <v>42998.404317129629</v>
      </c>
      <c r="G54" s="7">
        <v>59</v>
      </c>
      <c r="H54" s="21" t="s">
        <v>397</v>
      </c>
      <c r="I54" s="13">
        <v>42998.430243055554</v>
      </c>
      <c r="J54" s="7">
        <v>0</v>
      </c>
      <c r="K54" s="89" t="str">
        <f t="shared" si="0"/>
        <v>4057/4058</v>
      </c>
      <c r="L54" s="185" t="str">
        <f>VLOOKUP(A54,'Trips&amp;Operators'!$C$1:$G$99911,5,FALSE)</f>
        <v>YANAI IAN</v>
      </c>
      <c r="M54" s="6">
        <f t="shared" si="1"/>
        <v>2.5925925925548654E-2</v>
      </c>
      <c r="N54" s="7">
        <f t="shared" si="24"/>
        <v>37.333333332790062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-20T08:22:18-0600',mode:absolute,to:'2017-09-20T11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25"/>
        <v>23.298200000000001</v>
      </c>
      <c r="Z54" s="204">
        <f t="shared" si="26"/>
        <v>1.3599999999999999E-2</v>
      </c>
      <c r="AA54" s="204">
        <f t="shared" si="9"/>
        <v>23.284600000000001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54" s="74" t="str">
        <f t="shared" si="12"/>
        <v>"C:\Program Files (x86)\AstroGrep\AstroGrep.exe" /e /r /s /spath="%USERPROFILE%\AppData\Local\Temp\OnboardLogs" /stypes="app*4057*20170920*"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142-20 --locoid 4057 --swversion DE.1.0.9.0 --startMP 204:232982 --initTime 2017-09-20T09:22:18 --startdatetime 2017-09-20T09:42:13 --delay 59 --endMP 204:136 --enddatetime 2017-09-20T10:19:33 --enforcementcount 0 &gt;&gt;c:\users\tmcdowell\Documents\GitHub\eaglep3-reporting\EC\2017-09-20-refined-times.txt</v>
      </c>
      <c r="AI5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{"issue":{"subject":"","project_id":79,"tracker_id":40,"status_id":1,"priority_id":2,"assigned_to_id":338,"start_date":"2017-09-20","description":"","custom_fields":[{"id":1,"name":"Subdivision","value":"EC"},{"id":4,"name":"Milepost","value":"0.0136"},{"id":17,"name":"Train ID","value":"142-20"},{"id":16,"name":"Locomotive ID","value":"4057"},{"id":130,"name":"Impact","value":""},{"id":150,"name":"Time of Event (Mountain Time)","value":"10:19:33"},{"id":151,"name":"Denver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4057 --day 2017-09-20</v>
      </c>
      <c r="AN5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-20T08:22:18-0600',mode:absolute,to:'2017-09-20T11:19:33-0600'))&amp;_a=(columns:!('Message%20ID',Summary),filters:!(),index:'emp_*',interval:auto,query:(query_string:(analyze_wildcard:!t,query:'Message%5C+ID:(*)+AND+%22rtdc.l.rtdc.4057%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687</v>
      </c>
      <c r="B55" s="7">
        <v>4064</v>
      </c>
      <c r="C55" s="21" t="s">
        <v>196</v>
      </c>
      <c r="D55" s="21" t="s">
        <v>399</v>
      </c>
      <c r="E55" s="13">
        <v>42998.372974537036</v>
      </c>
      <c r="F55" s="13">
        <v>42998.375474537039</v>
      </c>
      <c r="G55" s="7">
        <v>75</v>
      </c>
      <c r="H55" s="21" t="s">
        <v>459</v>
      </c>
      <c r="I55" s="13">
        <v>42998.401076388887</v>
      </c>
      <c r="J55" s="7">
        <v>0</v>
      </c>
      <c r="K55" s="89" t="str">
        <f t="shared" si="0"/>
        <v>4063/4064</v>
      </c>
      <c r="L55" s="185" t="str">
        <f>VLOOKUP(A55,'Trips&amp;Operators'!$C$1:$G$99911,5,FALSE)</f>
        <v>THOMPSON LESTER</v>
      </c>
      <c r="M55" s="6">
        <f t="shared" si="1"/>
        <v>2.5601851848477963E-2</v>
      </c>
      <c r="N55" s="7">
        <f t="shared" si="24"/>
        <v>36.866666661808267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-20T07:57:05-0600',mode:absolute,to:'2017-09-20T10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25"/>
        <v>4.6199999999999998E-2</v>
      </c>
      <c r="Z55" s="204">
        <f t="shared" si="26"/>
        <v>23.331</v>
      </c>
      <c r="AA55" s="204">
        <f t="shared" si="9"/>
        <v>23.284800000000001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55" s="74" t="str">
        <f t="shared" si="12"/>
        <v>"C:\Program Files (x86)\AstroGrep\AstroGrep.exe" /e /r /s /spath="%USERPROFILE%\AppData\Local\Temp\OnboardLogs" /stypes="app*4064*20170920*"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143-20 --locoid 4064 --swversion DE.1.0.9.0 --startMP 204:462 --initTime 2017-09-20T08:57:05 --startdatetime 2017-09-20T09:00:41 --delay 75 --endMP 204:233310 --enddatetime 2017-09-20T09:37:33 --enforcementcount 0 &gt;&gt;c:\users\tmcdowell\Documents\GitHub\eaglep3-reporting\EC\2017-09-20-refined-times.txt</v>
      </c>
      <c r="AI5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ID","value":"143-20"},{"id":16,"name":"Locomotive ID","value":"4064"},{"id":130,"name":"Impact","value":""},{"id":150,"name":"Time of Event (Mountain Time)","value":"09:37:33"},{"id":151,"name":"Denver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4064 --day 2017-09-20</v>
      </c>
      <c r="AN5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-20T07:57:05-0600',mode:absolute,to:'2017-09-20T10:37:33-0600'))&amp;_a=(columns:!('Message%20ID',Summary),filters:!(),index:'emp_*',interval:auto,query:(query_string:(analyze_wildcard:!t,query:'Message%5C+ID:(*)+AND+%22rtdc.l.rtdc.4064%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591</v>
      </c>
      <c r="B56" s="7">
        <v>4063</v>
      </c>
      <c r="C56" s="21" t="s">
        <v>196</v>
      </c>
      <c r="D56" s="21" t="s">
        <v>429</v>
      </c>
      <c r="E56" s="13">
        <v>42998.412997685184</v>
      </c>
      <c r="F56" s="13">
        <v>42998.414918981478</v>
      </c>
      <c r="G56" s="7">
        <v>62</v>
      </c>
      <c r="H56" s="21" t="s">
        <v>852</v>
      </c>
      <c r="I56" s="13">
        <v>42998.441967592589</v>
      </c>
      <c r="J56" s="7">
        <v>0</v>
      </c>
      <c r="K56" s="89" t="str">
        <f t="shared" si="0"/>
        <v>4063/4064</v>
      </c>
      <c r="L56" s="185" t="str">
        <f>VLOOKUP(A56,'Trips&amp;Operators'!$C$1:$G$99911,5,FALSE)</f>
        <v>THOMPSON LESTER</v>
      </c>
      <c r="M56" s="6">
        <f t="shared" si="1"/>
        <v>2.7048611111240461E-2</v>
      </c>
      <c r="N56" s="7">
        <f t="shared" si="24"/>
        <v>38.950000000186265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25"/>
        <v>23.298300000000001</v>
      </c>
      <c r="Z56" s="204">
        <f t="shared" si="26"/>
        <v>1.67E-2</v>
      </c>
      <c r="AA56" s="204">
        <f t="shared" si="9"/>
        <v>23.281600000000001</v>
      </c>
      <c r="AB56" s="54" t="str">
        <f>VLOOKUP(A56,Enforcements!$C$7:$K$11,8,0)</f>
        <v>Bulletin (2)</v>
      </c>
      <c r="AC56" s="51" t="str">
        <f>VLOOKUP(A56,Enforcements!$C$7:$E$11,3,0)</f>
        <v>GRADE CROSSING</v>
      </c>
      <c r="AD56" s="179">
        <f t="shared" si="10"/>
        <v>144</v>
      </c>
      <c r="AE56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56" s="74" t="str">
        <f t="shared" si="12"/>
        <v>"C:\Program Files (x86)\AstroGrep\AstroGrep.exe" /e /r /s /spath="%USERPROFILE%\AppData\Local\Temp\OnboardLogs" /stypes="app*4063*20170920*"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144-20 --locoid 4063 --swversion DE.1.0.9.0 --startMP 204:232983 --initTime 2017-09-20T09:54:43 --startdatetime 2017-09-20T09:57:29 --delay 62 --endMP 204:167 --enddatetime 2017-09-20T10:36:26 --enforcementcount 0 &gt;&gt;c:\users\tmcdowell\Documents\GitHub\eaglep3-reporting\EC\2017-09-20-refined-times.txt</v>
      </c>
      <c r="AI5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{"issue":{"subject":"","project_id":79,"tracker_id":40,"status_id":1,"priority_id":2,"assigned_to_id":338,"start_date":"2017-09-20","description":"","custom_fields":[{"id":1,"name":"Subdivision","value":"EC"},{"id":4,"name":"Milepost","value":"0.0167"},{"id":17,"name":"Train ID","value":"144-20"},{"id":16,"name":"Locomotive ID","value":"4063"},{"id":130,"name":"Impact","value":""},{"id":150,"name":"Time of Event (Mountain Time)","value":"10:36:26"},{"id":151,"name":"Denver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4063 --day 2017-09-20</v>
      </c>
      <c r="AN5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Message%20ID',Summary),filters:!(),index:'emp_*',interval:auto,query:(query_string:(analyze_wildcard:!t,query:'Message%5C+ID:(*)+AND+%22rtdc.l.rtdc.4063%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4062</v>
      </c>
      <c r="C57" s="21" t="s">
        <v>196</v>
      </c>
      <c r="D57" s="21" t="s">
        <v>401</v>
      </c>
      <c r="E57" s="13">
        <v>42998.379953703705</v>
      </c>
      <c r="F57" s="13">
        <v>42998.385625000003</v>
      </c>
      <c r="G57" s="7">
        <v>49</v>
      </c>
      <c r="H57" s="21" t="s">
        <v>430</v>
      </c>
      <c r="I57" s="13">
        <v>42998.409861111111</v>
      </c>
      <c r="J57" s="7">
        <v>0</v>
      </c>
      <c r="K57" s="89" t="str">
        <f t="shared" si="0"/>
        <v>4061/4062</v>
      </c>
      <c r="L57" s="185" t="str">
        <f>VLOOKUP(A57,'Trips&amp;Operators'!$C$1:$G$99911,5,FALSE)</f>
        <v>FORTUNATO FRANK</v>
      </c>
      <c r="M57" s="6">
        <f t="shared" si="1"/>
        <v>2.4236111108621117E-2</v>
      </c>
      <c r="N57" s="7">
        <f t="shared" si="24"/>
        <v>34.899999996414408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-20T08:07:08-0600',mode:absolute,to:'2017-09-20T10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25"/>
        <v>4.5100000000000001E-2</v>
      </c>
      <c r="Z57" s="204">
        <f t="shared" si="26"/>
        <v>23.329899999999999</v>
      </c>
      <c r="AA57" s="204">
        <f t="shared" si="9"/>
        <v>23.284799999999997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57" s="74" t="str">
        <f t="shared" si="12"/>
        <v>"C:\Program Files (x86)\AstroGrep\AstroGrep.exe" /e /r /s /spath="%USERPROFILE%\AppData\Local\Temp\OnboardLogs" /stypes="app*4062*20170920*"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145-20 --locoid 4062 --swversion DE.1.0.9.0 --startMP 204:451 --initTime 2017-09-20T09:07:08 --startdatetime 2017-09-20T09:15:18 --delay 49 --endMP 204:233299 --enddatetime 2017-09-20T09:50:12 --enforcementcount 0 &gt;&gt;c:\users\tmcdowell\Documents\GitHub\eaglep3-reporting\EC\2017-09-20-refined-times.txt</v>
      </c>
      <c r="AI5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ID","value":"145-20"},{"id":16,"name":"Locomotive ID","value":"4062"},{"id":130,"name":"Impact","value":""},{"id":150,"name":"Time of Event (Mountain Time)","value":"09:50:12"},{"id":151,"name":"Denver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4062 --day 2017-09-20</v>
      </c>
      <c r="AN5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-20T08:07:08-0600',mode:absolute,to:'2017-09-20T10:50:12-0600'))&amp;_a=(columns:!('Message%20ID',Summary),filters:!(),index:'emp_*',interval:auto,query:(query_string:(analyze_wildcard:!t,query:'Message%5C+ID:(*)+AND+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695</v>
      </c>
      <c r="B58" s="7">
        <v>4061</v>
      </c>
      <c r="C58" s="21" t="s">
        <v>196</v>
      </c>
      <c r="D58" s="21" t="s">
        <v>498</v>
      </c>
      <c r="E58" s="13">
        <v>42998.411273148151</v>
      </c>
      <c r="F58" s="13">
        <v>42998.425162037034</v>
      </c>
      <c r="G58" s="7">
        <v>50</v>
      </c>
      <c r="H58" s="21" t="s">
        <v>363</v>
      </c>
      <c r="I58" s="13">
        <v>42998.451226851852</v>
      </c>
      <c r="J58" s="7">
        <v>0</v>
      </c>
      <c r="K58" s="89" t="str">
        <f t="shared" si="0"/>
        <v>4061/4062</v>
      </c>
      <c r="L58" s="185" t="str">
        <f>VLOOKUP(A58,'Trips&amp;Operators'!$C$1:$G$99911,5,FALSE)</f>
        <v>FORTUNATO FRANK</v>
      </c>
      <c r="M58" s="6">
        <f t="shared" si="1"/>
        <v>2.6064814817800652E-2</v>
      </c>
      <c r="N58" s="7">
        <f t="shared" si="24"/>
        <v>37.533333337632939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-20T08:52:14-0600',mode:absolute,to:'2017-09-20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25"/>
        <v>23.2988</v>
      </c>
      <c r="Z58" s="204">
        <f t="shared" si="26"/>
        <v>1.4500000000000001E-2</v>
      </c>
      <c r="AA58" s="204">
        <f t="shared" si="9"/>
        <v>23.284299999999998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58" s="74" t="str">
        <f t="shared" si="12"/>
        <v>"C:\Program Files (x86)\AstroGrep\AstroGrep.exe" /e /r /s /spath="%USERPROFILE%\AppData\Local\Temp\OnboardLogs" /stypes="app*4061*20170920*"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146-20 --locoid 4061 --swversion DE.1.0.9.0 --startMP 204:232988 --initTime 2017-09-20T09:52:14 --startdatetime 2017-09-20T10:12:14 --delay 50 --endMP 204:145 --enddatetime 2017-09-20T10:49:46 --enforcementcount 0 &gt;&gt;c:\users\tmcdowell\Documents\GitHub\eaglep3-reporting\EC\2017-09-20-refined-times.txt</v>
      </c>
      <c r="AI5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ID","value":"146-20"},{"id":16,"name":"Locomotive ID","value":"4061"},{"id":130,"name":"Impact","value":""},{"id":150,"name":"Time of Event (Mountain Time)","value":"10:49:46"},{"id":151,"name":"Denver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4061 --day 2017-09-20</v>
      </c>
      <c r="AN5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-20T08:52:14-0600',mode:absolute,to:'2017-09-20T11:49:46-0600'))&amp;_a=(columns:!('Message%20ID',Summary),filters:!(),index:'emp_*',interval:auto,query:(query_string:(analyze_wildcard:!t,query:'Message%5C+ID:(*)+AND+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690</v>
      </c>
      <c r="B59" s="7">
        <v>4040</v>
      </c>
      <c r="C59" s="21" t="s">
        <v>196</v>
      </c>
      <c r="D59" s="21" t="s">
        <v>336</v>
      </c>
      <c r="E59" s="13">
        <v>42998.389560185184</v>
      </c>
      <c r="F59" s="13">
        <v>42998.396226851852</v>
      </c>
      <c r="G59" s="7">
        <v>44</v>
      </c>
      <c r="H59" s="21" t="s">
        <v>853</v>
      </c>
      <c r="I59" s="13">
        <v>42998.420624999999</v>
      </c>
      <c r="J59" s="7">
        <v>0</v>
      </c>
      <c r="K59" s="89" t="str">
        <f t="shared" si="0"/>
        <v>4039/4040</v>
      </c>
      <c r="L59" s="185" t="str">
        <f>VLOOKUP(A59,'Trips&amp;Operators'!$C$1:$G$99911,5,FALSE)</f>
        <v>YORK EDGAR</v>
      </c>
      <c r="M59" s="6">
        <f t="shared" si="1"/>
        <v>2.4398148147156462E-2</v>
      </c>
      <c r="N59" s="7">
        <f t="shared" si="24"/>
        <v>35.133333331905305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-20T08:20:58-0600',mode:absolute,to:'2017-09-20T11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25"/>
        <v>4.4600000000000001E-2</v>
      </c>
      <c r="Z59" s="204">
        <f t="shared" si="26"/>
        <v>23.328499999999998</v>
      </c>
      <c r="AA59" s="204">
        <f t="shared" si="9"/>
        <v>23.283899999999999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59" s="74" t="str">
        <f t="shared" si="12"/>
        <v>"C:\Program Files (x86)\AstroGrep\AstroGrep.exe" /e /r /s /spath="%USERPROFILE%\AppData\Local\Temp\OnboardLogs" /stypes="app*4040*20170920*"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147-20 --locoid 4040 --swversion DE.1.0.9.0 --startMP 204:446 --initTime 2017-09-20T09:20:58 --startdatetime 2017-09-20T09:30:34 --delay 44 --endMP 204:233285 --enddatetime 2017-09-20T10:05:42 --enforcementcount 0 &gt;&gt;c:\users\tmcdowell\Documents\GitHub\eaglep3-reporting\EC\2017-09-20-refined-times.txt</v>
      </c>
      <c r="AI5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{"issue":{"subject":"","project_id":79,"tracker_id":40,"status_id":1,"priority_id":2,"assigned_to_id":338,"start_date":"2017-09-20","description":"","custom_fields":[{"id":1,"name":"Subdivision","value":"EC"},{"id":4,"name":"Milepost","value":"23.3285"},{"id":17,"name":"Train ID","value":"147-20"},{"id":16,"name":"Locomotive ID","value":"4040"},{"id":130,"name":"Impact","value":""},{"id":150,"name":"Time of Event (Mountain Time)","value":"10:05:42"},{"id":151,"name":"Denver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4040 --day 2017-09-20</v>
      </c>
      <c r="AN5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-20T08:20:58-0600',mode:absolute,to:'2017-09-20T11:05:42-0600'))&amp;_a=(columns:!('Message%20ID',Summary),filters:!(),index:'emp_*',interval:auto,query:(query_string:(analyze_wildcard:!t,query:'Message%5C+ID:(*)+AND+%22rtdc.l.rtdc.4040%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698</v>
      </c>
      <c r="B60" s="7">
        <v>4039</v>
      </c>
      <c r="C60" s="21" t="s">
        <v>196</v>
      </c>
      <c r="D60" s="21" t="s">
        <v>413</v>
      </c>
      <c r="E60" s="13">
        <v>42998.421585648146</v>
      </c>
      <c r="F60" s="13">
        <v>42998.435706018521</v>
      </c>
      <c r="G60" s="7">
        <v>44</v>
      </c>
      <c r="H60" s="21" t="s">
        <v>363</v>
      </c>
      <c r="I60" s="13">
        <v>42998.460393518515</v>
      </c>
      <c r="J60" s="7">
        <v>0</v>
      </c>
      <c r="K60" s="89" t="str">
        <f t="shared" si="0"/>
        <v>4039/4040</v>
      </c>
      <c r="L60" s="185" t="str">
        <f>VLOOKUP(A60,'Trips&amp;Operators'!$C$1:$G$99911,5,FALSE)</f>
        <v>YORK EDGAR</v>
      </c>
      <c r="M60" s="6">
        <f t="shared" si="1"/>
        <v>2.4687499993888196E-2</v>
      </c>
      <c r="N60" s="7">
        <f t="shared" si="24"/>
        <v>35.549999991199002</v>
      </c>
      <c r="O60" s="7"/>
      <c r="P60" s="7"/>
      <c r="Q60" s="22"/>
      <c r="R60" s="174" t="s">
        <v>1033</v>
      </c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-20T09:07:05-0600',mode:absolute,to:'2017-09-20T12:02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25"/>
        <v>23.298100000000002</v>
      </c>
      <c r="Z60" s="204">
        <f t="shared" si="26"/>
        <v>1.4500000000000001E-2</v>
      </c>
      <c r="AA60" s="204">
        <f t="shared" si="9"/>
        <v>23.2836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60" s="74" t="str">
        <f t="shared" si="12"/>
        <v>"C:\Program Files (x86)\AstroGrep\AstroGrep.exe" /e /r /s /spath="%USERPROFILE%\AppData\Local\Temp\OnboardLogs" /stypes="app*4039*20170920*"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148-20 --locoid 4039 --swversion DE.1.0.9.0 --startMP 204:232981 --initTime 2017-09-20T10:07:05 --startdatetime 2017-09-20T10:27:25 --delay 44 --endMP 204:145 --enddatetime 2017-09-20T11:02:58 --enforcementcount 0 &gt;&gt;c:\users\tmcdowell\Documents\GitHub\eaglep3-reporting\EC\2017-09-20-refined-times.txt</v>
      </c>
      <c r="AI60" s="96" t="str">
        <f t="shared" si="20"/>
        <v>echo {"issue":{"subject":"No unhealthy banners found (54125)","project_id":79,"tracker_id":40,"status_id":1,"priority_id":2,"assigned_to_id":338,"start_date":"2017-09-20","description":"","custom_fields":[{"id":1,"name":"Subdivision","value":"EC"},{"id":4,"name":"Milepost","value":"0.0145"},{"id":17,"name":"Train ID","value":"148-20"},{"id":16,"name":"Locomotive ID","value":"4039"},{"id":130,"name":"Impact","value":""},{"id":150,"name":"Time of Event (Mountain Time)","value":"11:02:58"},{"id":151,"name":"Denver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4039 --day 2017-09-20</v>
      </c>
      <c r="AN60" s="151" t="str">
        <f t="shared" si="22"/>
        <v>echo {"issue":{"subject":"No unhealthy banners found (54125)","project_id":30,"tracker_id":4,"status_id":1,"priority_id":1,"assigned_to_id":10,"start_date":"2017-09-20","description":"","custom_fields":[{"id":30,"name":"Category","value":"Issue"},{"id":3,"name":"Functional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-20T09:07:05-0600',mode:absolute,to:'2017-09-20T12:02:58-0600'))&amp;_a=(columns:!('Message%20ID',Summary),filters:!(),index:'emp_*',interval:auto,query:(query_string:(analyze_wildcard:!t,query:'Message%5C+ID:(*)+AND+%22rtdc.l.rtdc.4039%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4044</v>
      </c>
      <c r="C61" s="21" t="s">
        <v>196</v>
      </c>
      <c r="D61" s="21" t="s">
        <v>402</v>
      </c>
      <c r="E61" s="13">
        <v>42998.40115740741</v>
      </c>
      <c r="F61" s="13">
        <v>42998.406435185185</v>
      </c>
      <c r="G61" s="7">
        <v>58</v>
      </c>
      <c r="H61" s="21" t="s">
        <v>405</v>
      </c>
      <c r="I61" s="13">
        <v>42998.430752314816</v>
      </c>
      <c r="J61" s="7">
        <v>0</v>
      </c>
      <c r="K61" s="89" t="str">
        <f t="shared" si="0"/>
        <v>4043/4044</v>
      </c>
      <c r="L61" s="185" t="str">
        <f>VLOOKUP(A61,'Trips&amp;Operators'!$C$1:$G$99911,5,FALSE)</f>
        <v>YANG JAN</v>
      </c>
      <c r="M61" s="6">
        <f t="shared" si="1"/>
        <v>2.4317129631526768E-2</v>
      </c>
      <c r="N61" s="7">
        <f t="shared" si="24"/>
        <v>35.016666669398546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-20T08:37:40-0600',mode:absolute,to:'2017-09-20T11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25"/>
        <v>4.4400000000000002E-2</v>
      </c>
      <c r="Z61" s="204">
        <f t="shared" si="26"/>
        <v>23.3291</v>
      </c>
      <c r="AA61" s="204">
        <f t="shared" si="9"/>
        <v>23.284700000000001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61" s="74" t="str">
        <f t="shared" si="12"/>
        <v>"C:\Program Files (x86)\AstroGrep\AstroGrep.exe" /e /r /s /spath="%USERPROFILE%\AppData\Local\Temp\OnboardLogs" /stypes="app*4044*20170920*"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149-20 --locoid 4044 --swversion DE.1.0.9.0 --startMP 204:444 --initTime 2017-09-20T09:37:40 --startdatetime 2017-09-20T09:45:16 --delay 58 --endMP 204:233291 --enddatetime 2017-09-20T10:20:17 --enforcementcount 0 &gt;&gt;c:\users\tmcdowell\Documents\GitHub\eaglep3-reporting\EC\2017-09-20-refined-times.txt</v>
      </c>
      <c r="AI6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ID","value":"149-20"},{"id":16,"name":"Locomotive ID","value":"4044"},{"id":130,"name":"Impact","value":""},{"id":150,"name":"Time of Event (Mountain Time)","value":"10:20:17"},{"id":151,"name":"Denver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4044 --day 2017-09-20</v>
      </c>
      <c r="AN6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-20T08:37:40-0600',mode:absolute,to:'2017-09-20T11:20:17-0600'))&amp;_a=(columns:!('Message%20ID',Summary),filters:!(),index:'emp_*',interval:auto,query:(query_string:(analyze_wildcard:!t,query:'Message%5C+ID:(*)+AND+%22rtdc.l.rtdc.4044%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700</v>
      </c>
      <c r="B62" s="7">
        <v>4043</v>
      </c>
      <c r="C62" s="21" t="s">
        <v>196</v>
      </c>
      <c r="D62" s="21" t="s">
        <v>543</v>
      </c>
      <c r="E62" s="13">
        <v>42998.433379629627</v>
      </c>
      <c r="F62" s="13">
        <v>42998.44604166667</v>
      </c>
      <c r="G62" s="7">
        <v>64</v>
      </c>
      <c r="H62" s="21" t="s">
        <v>381</v>
      </c>
      <c r="I62" s="13">
        <v>42998.472025462965</v>
      </c>
      <c r="J62" s="7">
        <v>0</v>
      </c>
      <c r="K62" s="89" t="str">
        <f t="shared" si="0"/>
        <v>4043/4044</v>
      </c>
      <c r="L62" s="185" t="str">
        <f>VLOOKUP(A62,'Trips&amp;Operators'!$C$1:$G$99911,5,FALSE)</f>
        <v>YANG JAN</v>
      </c>
      <c r="M62" s="6">
        <f t="shared" si="1"/>
        <v>2.5983796294895001E-2</v>
      </c>
      <c r="N62" s="7">
        <f t="shared" si="24"/>
        <v>37.416666664648801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-20T09:24:04-0600',mode:absolute,to:'2017-09-20T12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25"/>
        <v>23.2973</v>
      </c>
      <c r="Z62" s="204">
        <f t="shared" si="26"/>
        <v>1.5800000000000002E-2</v>
      </c>
      <c r="AA62" s="204">
        <f t="shared" si="9"/>
        <v>23.281500000000001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62" s="74" t="str">
        <f t="shared" si="12"/>
        <v>"C:\Program Files (x86)\AstroGrep\AstroGrep.exe" /e /r /s /spath="%USERPROFILE%\AppData\Local\Temp\OnboardLogs" /stypes="app*4043*20170920*"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150-20 --locoid 4043 --swversion DE.1.0.9.0 --startMP 204:232973 --initTime 2017-09-20T10:24:04 --startdatetime 2017-09-20T10:42:18 --delay 64 --endMP 204:158 --enddatetime 2017-09-20T11:19:43 --enforcementcount 0 &gt;&gt;c:\users\tmcdowell\Documents\GitHub\eaglep3-reporting\EC\2017-09-20-refined-times.txt</v>
      </c>
      <c r="AI6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ID","value":"150-20"},{"id":16,"name":"Locomotive ID","value":"4043"},{"id":130,"name":"Impact","value":""},{"id":150,"name":"Time of Event (Mountain Time)","value":"11:19:43"},{"id":151,"name":"Denver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4043 --day 2017-09-20</v>
      </c>
      <c r="AN6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-20T09:24:04-0600',mode:absolute,to:'2017-09-20T12:19:43-0600'))&amp;_a=(columns:!('Message%20ID',Summary),filters:!(),index:'emp_*',interval:auto,query:(query_string:(analyze_wildcard:!t,query:'Message%5C+ID:(*)+AND+%22rtdc.l.rtdc.4043%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696</v>
      </c>
      <c r="B63" s="7">
        <v>4002</v>
      </c>
      <c r="C63" s="21" t="s">
        <v>196</v>
      </c>
      <c r="D63" s="21" t="s">
        <v>418</v>
      </c>
      <c r="E63" s="13">
        <v>42998.413206018522</v>
      </c>
      <c r="F63" s="13">
        <v>42998.416909722226</v>
      </c>
      <c r="G63" s="7">
        <v>66</v>
      </c>
      <c r="H63" s="21" t="s">
        <v>406</v>
      </c>
      <c r="I63" s="13">
        <v>42998.44226851852</v>
      </c>
      <c r="J63" s="7">
        <v>0</v>
      </c>
      <c r="K63" s="89" t="str">
        <f t="shared" si="0"/>
        <v>4001/4002</v>
      </c>
      <c r="L63" s="185" t="str">
        <f>VLOOKUP(A63,'Trips&amp;Operators'!$C$1:$G$99911,5,FALSE)</f>
        <v>DAVIS WENDY</v>
      </c>
      <c r="M63" s="6">
        <f t="shared" si="1"/>
        <v>2.5358796294312924E-2</v>
      </c>
      <c r="N63" s="7">
        <f t="shared" si="24"/>
        <v>36.516666663810611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-20T08:55:01-0600',mode:absolute,to:'2017-09-20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25"/>
        <v>4.4699999999999997E-2</v>
      </c>
      <c r="Z63" s="204">
        <f t="shared" si="26"/>
        <v>23.331199999999999</v>
      </c>
      <c r="AA63" s="204">
        <f t="shared" si="9"/>
        <v>23.2865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63" s="74" t="str">
        <f t="shared" si="12"/>
        <v>"C:\Program Files (x86)\AstroGrep\AstroGrep.exe" /e /r /s /spath="%USERPROFILE%\AppData\Local\Temp\OnboardLogs" /stypes="app*4002*20170920*"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151-20 --locoid 4002 --swversion DE.1.0.9.0 --startMP 204:447 --initTime 2017-09-20T09:55:01 --startdatetime 2017-09-20T10:00:21 --delay 66 --endMP 204:233312 --enddatetime 2017-09-20T10:36:52 --enforcementcount 0 &gt;&gt;c:\users\tmcdowell\Documents\GitHub\eaglep3-reporting\EC\2017-09-20-refined-times.txt</v>
      </c>
      <c r="AI6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ID","value":"151-20"},{"id":16,"name":"Locomotive ID","value":"4002"},{"id":130,"name":"Impact","value":""},{"id":150,"name":"Time of Event (Mountain Time)","value":"10:36:52"},{"id":151,"name":"Denver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4002 --day 2017-09-20</v>
      </c>
      <c r="AN6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-20T08:55:01-0600',mode:absolute,to:'2017-09-20T11:36:52-0600'))&amp;_a=(columns:!('Message%20ID',Summary),filters:!(),index:'emp_*',interval:auto,query:(query_string:(analyze_wildcard:!t,query:'Message%5C+ID:(*)+AND+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593</v>
      </c>
      <c r="B64" s="7">
        <v>4001</v>
      </c>
      <c r="C64" s="21" t="s">
        <v>196</v>
      </c>
      <c r="D64" s="21" t="s">
        <v>854</v>
      </c>
      <c r="E64" s="13">
        <v>42998.447094907409</v>
      </c>
      <c r="F64" s="13">
        <v>42998.45648148148</v>
      </c>
      <c r="G64" s="7">
        <v>70</v>
      </c>
      <c r="H64" s="21" t="s">
        <v>339</v>
      </c>
      <c r="I64" s="13">
        <v>42998.483946759261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DAVIS WENDY</v>
      </c>
      <c r="M64" s="6">
        <f t="shared" si="1"/>
        <v>2.7465277780720498E-2</v>
      </c>
      <c r="N64" s="7">
        <f t="shared" si="24"/>
        <v>39.550000004237518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25"/>
        <v>23.3002</v>
      </c>
      <c r="Z64" s="204">
        <f t="shared" si="26"/>
        <v>1.43E-2</v>
      </c>
      <c r="AA64" s="204">
        <f t="shared" si="9"/>
        <v>23.285900000000002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64" s="74" t="str">
        <f t="shared" si="12"/>
        <v>"C:\Program Files (x86)\AstroGrep\AstroGrep.exe" /e /r /s /spath="%USERPROFILE%\AppData\Local\Temp\OnboardLogs" /stypes="app*4001*20170920*"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152-20 --locoid 4001 --swversion DE.1.0.9.0 --startMP 204:233002 --initTime 2017-09-20T10:43:49 --startdatetime 2017-09-20T10:57:20 --delay 70 --endMP 204:143 --enddatetime 2017-09-20T11:36:53 --enforcementcount 0 &gt;&gt;c:\users\tmcdowell\Documents\GitHub\eaglep3-reporting\EC\2017-09-20-refined-times.txt</v>
      </c>
      <c r="AI6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ID","value":"152-20"},{"id":16,"name":"Locomotive ID","value":"4001"},{"id":130,"name":"Impact","value":""},{"id":150,"name":"Time of Event (Mountain Time)","value":"11:36:53"},{"id":151,"name":"Denver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4001 --day 2017-09-20</v>
      </c>
      <c r="AN6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Message%20ID',Summary),filters:!(),index:'emp_*',interval:auto,query:(query_string:(analyze_wildcard:!t,query:'Message%5C+ID:(*)+AND+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699</v>
      </c>
      <c r="B65" s="7">
        <v>4042</v>
      </c>
      <c r="C65" s="21" t="s">
        <v>196</v>
      </c>
      <c r="D65" s="21" t="s">
        <v>399</v>
      </c>
      <c r="E65" s="13">
        <v>42998.423611111109</v>
      </c>
      <c r="F65" s="13">
        <v>42998.427337962959</v>
      </c>
      <c r="G65" s="7">
        <v>138</v>
      </c>
      <c r="H65" s="21" t="s">
        <v>405</v>
      </c>
      <c r="I65" s="13">
        <v>42998.452418981484</v>
      </c>
      <c r="J65" s="7">
        <v>0</v>
      </c>
      <c r="K65" s="89" t="str">
        <f t="shared" si="0"/>
        <v>4041/4042</v>
      </c>
      <c r="L65" s="185" t="str">
        <f>VLOOKUP(A65,'Trips&amp;Operators'!$C$1:$G$99911,5,FALSE)</f>
        <v>LAMAR NEKESHA</v>
      </c>
      <c r="M65" s="6">
        <f t="shared" si="1"/>
        <v>2.5081018524360843E-2</v>
      </c>
      <c r="N65" s="7">
        <f t="shared" si="24"/>
        <v>36.116666675079614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-20T09:10:00-0600',mode:absolute,to:'2017-09-20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25"/>
        <v>4.6199999999999998E-2</v>
      </c>
      <c r="Z65" s="204">
        <f t="shared" si="26"/>
        <v>23.3291</v>
      </c>
      <c r="AA65" s="204">
        <f t="shared" si="9"/>
        <v>23.282900000000001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65" s="74" t="str">
        <f t="shared" si="12"/>
        <v>"C:\Program Files (x86)\AstroGrep\AstroGrep.exe" /e /r /s /spath="%USERPROFILE%\AppData\Local\Temp\OnboardLogs" /stypes="app*4042*20170920*"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153-20 --locoid 4042 --swversion DE.1.0.9.0 --startMP 204:462 --initTime 2017-09-20T10:10:00 --startdatetime 2017-09-20T10:15:22 --delay 138 --endMP 204:233291 --enddatetime 2017-09-20T10:51:29 --enforcementcount 0 &gt;&gt;c:\users\tmcdowell\Documents\GitHub\eaglep3-reporting\EC\2017-09-20-refined-times.txt</v>
      </c>
      <c r="AI6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ID","value":"153-20"},{"id":16,"name":"Locomotive ID","value":"4042"},{"id":130,"name":"Impact","value":""},{"id":150,"name":"Time of Event (Mountain Time)","value":"10:51:29"},{"id":151,"name":"Denver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4042 --day 2017-09-20</v>
      </c>
      <c r="AN6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-20T09:10:00-0600',mode:absolute,to:'2017-09-20T11:51:29-0600'))&amp;_a=(columns:!('Message%20ID',Summary),filters:!(),index:'emp_*',interval:auto,query:(query_string:(analyze_wildcard:!t,query:'Message%5C+ID:(*)+AND+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4041</v>
      </c>
      <c r="C66" s="21" t="s">
        <v>196</v>
      </c>
      <c r="D66" s="21" t="s">
        <v>497</v>
      </c>
      <c r="E66" s="13">
        <v>42998.464039351849</v>
      </c>
      <c r="F66" s="13">
        <v>42998.466863425929</v>
      </c>
      <c r="G66" s="7">
        <v>71</v>
      </c>
      <c r="H66" s="21" t="s">
        <v>381</v>
      </c>
      <c r="I66" s="13">
        <v>42998.492939814816</v>
      </c>
      <c r="J66" s="7">
        <v>0</v>
      </c>
      <c r="K66" s="89" t="str">
        <f t="shared" si="0"/>
        <v>4041/4042</v>
      </c>
      <c r="L66" s="185" t="str">
        <f>VLOOKUP(A66,'Trips&amp;Operators'!$C$1:$G$99911,5,FALSE)</f>
        <v>LAMAR NEKESHA</v>
      </c>
      <c r="M66" s="6">
        <f t="shared" si="1"/>
        <v>2.6076388887304347E-2</v>
      </c>
      <c r="N66" s="7">
        <f t="shared" si="24"/>
        <v>37.54999999771826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-20T10:08:13-0600',mode:absolute,to:'2017-09-20T12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25"/>
        <v>23.299199999999999</v>
      </c>
      <c r="Z66" s="204">
        <f t="shared" si="26"/>
        <v>1.5800000000000002E-2</v>
      </c>
      <c r="AA66" s="204">
        <f t="shared" si="9"/>
        <v>23.2834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66" s="74" t="str">
        <f t="shared" si="12"/>
        <v>"C:\Program Files (x86)\AstroGrep\AstroGrep.exe" /e /r /s /spath="%USERPROFILE%\AppData\Local\Temp\OnboardLogs" /stypes="app*4041*20170920*"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154-20 --locoid 4041 --swversion DE.1.0.9.0 --startMP 204:232992 --initTime 2017-09-20T11:08:13 --startdatetime 2017-09-20T11:12:17 --delay 71 --endMP 204:158 --enddatetime 2017-09-20T11:49:50 --enforcementcount 0 &gt;&gt;c:\users\tmcdowell\Documents\GitHub\eaglep3-reporting\EC\2017-09-20-refined-times.txt</v>
      </c>
      <c r="AI6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ID","value":"154-20"},{"id":16,"name":"Locomotive ID","value":"4041"},{"id":130,"name":"Impact","value":""},{"id":150,"name":"Time of Event (Mountain Time)","value":"11:49:50"},{"id":151,"name":"Denver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4041 --day 2017-09-20</v>
      </c>
      <c r="AN6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-20T10:08:13-0600',mode:absolute,to:'2017-09-20T12:49:50-0600'))&amp;_a=(columns:!('Message%20ID',Summary),filters:!(),index:'emp_*',interval:auto,query:(query_string:(analyze_wildcard:!t,query:'Message%5C+ID:(*)+AND+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702</v>
      </c>
      <c r="B67" s="7">
        <v>4058</v>
      </c>
      <c r="C67" s="21" t="s">
        <v>196</v>
      </c>
      <c r="D67" s="21" t="s">
        <v>424</v>
      </c>
      <c r="E67" s="13">
        <v>42998.434629629628</v>
      </c>
      <c r="F67" s="13">
        <v>42998.437662037039</v>
      </c>
      <c r="G67" s="7">
        <v>59</v>
      </c>
      <c r="H67" s="21" t="s">
        <v>845</v>
      </c>
      <c r="I67" s="13">
        <v>42998.462511574071</v>
      </c>
      <c r="J67" s="7">
        <v>0</v>
      </c>
      <c r="K67" s="89" t="str">
        <f t="shared" si="0"/>
        <v>4057/4058</v>
      </c>
      <c r="L67" s="185" t="str">
        <f>VLOOKUP(A67,'Trips&amp;Operators'!$C$1:$G$99911,5,FALSE)</f>
        <v>YANAI IAN</v>
      </c>
      <c r="M67" s="6">
        <f t="shared" si="1"/>
        <v>2.4849537032423541E-2</v>
      </c>
      <c r="N67" s="7">
        <f t="shared" si="24"/>
        <v>35.783333326689899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-20T09:25:52-0600',mode:absolute,to:'2017-09-20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25"/>
        <v>4.3299999999999998E-2</v>
      </c>
      <c r="Z67" s="204">
        <f t="shared" si="26"/>
        <v>23.3308</v>
      </c>
      <c r="AA67" s="204">
        <f t="shared" si="9"/>
        <v>23.287500000000001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67" s="74" t="str">
        <f t="shared" si="12"/>
        <v>"C:\Program Files (x86)\AstroGrep\AstroGrep.exe" /e /r /s /spath="%USERPROFILE%\AppData\Local\Temp\OnboardLogs" /stypes="app*4058*20170920*"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155-20 --locoid 4058 --swversion DE.1.0.9.0 --startMP 204:433 --initTime 2017-09-20T10:25:52 --startdatetime 2017-09-20T10:30:14 --delay 59 --endMP 204:233308 --enddatetime 2017-09-20T11:06:01 --enforcementcount 0 &gt;&gt;c:\users\tmcdowell\Documents\GitHub\eaglep3-reporting\EC\2017-09-20-refined-times.txt</v>
      </c>
      <c r="AI6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{"issue":{"subject":"","project_id":79,"tracker_id":40,"status_id":1,"priority_id":2,"assigned_to_id":338,"start_date":"2017-09-20","description":"","custom_fields":[{"id":1,"name":"Subdivision","value":"EC"},{"id":4,"name":"Milepost","value":"23.3308"},{"id":17,"name":"Train ID","value":"155-20"},{"id":16,"name":"Locomotive ID","value":"4058"},{"id":130,"name":"Impact","value":""},{"id":150,"name":"Time of Event (Mountain Time)","value":"11:06:01"},{"id":151,"name":"Denver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4058 --day 2017-09-20</v>
      </c>
      <c r="AN6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-20T09:25:52-0600',mode:absolute,to:'2017-09-20T12:06:01-0600'))&amp;_a=(columns:!('Message%20ID',Summary),filters:!(),index:'emp_*',interval:auto,query:(query_string:(analyze_wildcard:!t,query:'Message%5C+ID:(*)+AND+%22rtdc.l.rtdc.4058%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4057</v>
      </c>
      <c r="C68" s="21" t="s">
        <v>196</v>
      </c>
      <c r="D68" s="21" t="s">
        <v>438</v>
      </c>
      <c r="E68" s="13">
        <v>42998.463460648149</v>
      </c>
      <c r="F68" s="13">
        <v>42998.47724537037</v>
      </c>
      <c r="G68" s="7">
        <v>76</v>
      </c>
      <c r="H68" s="21" t="s">
        <v>855</v>
      </c>
      <c r="I68" s="13">
        <v>42998.502326388887</v>
      </c>
      <c r="J68" s="7">
        <v>0</v>
      </c>
      <c r="K68" s="89" t="str">
        <f t="shared" si="0"/>
        <v>4057/4058</v>
      </c>
      <c r="L68" s="185" t="str">
        <f>VLOOKUP(A68,'Trips&amp;Operators'!$C$1:$G$99911,5,FALSE)</f>
        <v>YANAI IAN</v>
      </c>
      <c r="M68" s="6">
        <f t="shared" si="1"/>
        <v>2.5081018517084885E-2</v>
      </c>
      <c r="N68" s="7">
        <f t="shared" si="24"/>
        <v>36.116666664602235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-20T10:07:23-0600',mode:absolute,to:'2017-09-20T13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25"/>
        <v>23.299299999999999</v>
      </c>
      <c r="Z68" s="204">
        <f t="shared" si="26"/>
        <v>1.29E-2</v>
      </c>
      <c r="AA68" s="204">
        <f t="shared" si="9"/>
        <v>23.2864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68" s="74" t="str">
        <f t="shared" si="12"/>
        <v>"C:\Program Files (x86)\AstroGrep\AstroGrep.exe" /e /r /s /spath="%USERPROFILE%\AppData\Local\Temp\OnboardLogs" /stypes="app*4057*20170920*"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156-20 --locoid 4057 --swversion DE.1.0.9.0 --startMP 204:232993 --initTime 2017-09-20T11:07:23 --startdatetime 2017-09-20T11:27:14 --delay 76 --endMP 204:129 --enddatetime 2017-09-20T12:03:21 --enforcementcount 0 &gt;&gt;c:\users\tmcdowell\Documents\GitHub\eaglep3-reporting\EC\2017-09-20-refined-times.txt</v>
      </c>
      <c r="AI6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{"issue":{"subject":"","project_id":79,"tracker_id":40,"status_id":1,"priority_id":2,"assigned_to_id":338,"start_date":"2017-09-20","description":"","custom_fields":[{"id":1,"name":"Subdivision","value":"EC"},{"id":4,"name":"Milepost","value":"0.0129"},{"id":17,"name":"Train ID","value":"156-20"},{"id":16,"name":"Locomotive ID","value":"4057"},{"id":130,"name":"Impact","value":""},{"id":150,"name":"Time of Event (Mountain Time)","value":"12:03:21"},{"id":151,"name":"Denver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4057 --day 2017-09-20</v>
      </c>
      <c r="AN6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-20T10:07:23-0600',mode:absolute,to:'2017-09-20T13:03:21-0600'))&amp;_a=(columns:!('Message%20ID',Summary),filters:!(),index:'emp_*',interval:auto,query:(query_string:(analyze_wildcard:!t,query:'Message%5C+ID:(*)+AND+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703</v>
      </c>
      <c r="B69" s="7">
        <v>4064</v>
      </c>
      <c r="C69" s="21" t="s">
        <v>196</v>
      </c>
      <c r="D69" s="21" t="s">
        <v>357</v>
      </c>
      <c r="E69" s="13">
        <v>42998.445381944446</v>
      </c>
      <c r="F69" s="13">
        <v>42998.448206018518</v>
      </c>
      <c r="G69" s="7">
        <v>93</v>
      </c>
      <c r="H69" s="21" t="s">
        <v>406</v>
      </c>
      <c r="I69" s="13">
        <v>42998.473124999997</v>
      </c>
      <c r="J69" s="7">
        <v>0</v>
      </c>
      <c r="K69" s="89" t="str">
        <f t="shared" si="0"/>
        <v>4063/4064</v>
      </c>
      <c r="L69" s="185" t="str">
        <f>VLOOKUP(A69,'Trips&amp;Operators'!$C$1:$G$99911,5,FALSE)</f>
        <v>DAVIS MICHAEL</v>
      </c>
      <c r="M69" s="6">
        <f t="shared" si="1"/>
        <v>2.491898147854954E-2</v>
      </c>
      <c r="N69" s="7">
        <f t="shared" si="24"/>
        <v>35.883333329111338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-20T09:41:21-0600',mode:absolute,to:'2017-09-20T12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25"/>
        <v>4.58E-2</v>
      </c>
      <c r="Z69" s="204">
        <f t="shared" si="26"/>
        <v>23.331199999999999</v>
      </c>
      <c r="AA69" s="204">
        <f t="shared" si="9"/>
        <v>23.285399999999999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69" s="74" t="str">
        <f t="shared" si="12"/>
        <v>"C:\Program Files (x86)\AstroGrep\AstroGrep.exe" /e /r /s /spath="%USERPROFILE%\AppData\Local\Temp\OnboardLogs" /stypes="app*4064*20170920*"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157-20 --locoid 4064 --swversion DE.1.0.9.0 --startMP 204:458 --initTime 2017-09-20T10:41:21 --startdatetime 2017-09-20T10:45:25 --delay 93 --endMP 204:233312 --enddatetime 2017-09-20T11:21:18 --enforcementcount 0 &gt;&gt;c:\users\tmcdowell\Documents\GitHub\eaglep3-reporting\EC\2017-09-20-refined-times.txt</v>
      </c>
      <c r="AI6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ID","value":"157-20"},{"id":16,"name":"Locomotive ID","value":"4064"},{"id":130,"name":"Impact","value":""},{"id":150,"name":"Time of Event (Mountain Time)","value":"11:21:18"},{"id":151,"name":"Denver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4064 --day 2017-09-20</v>
      </c>
      <c r="AN6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-20T09:41:21-0600',mode:absolute,to:'2017-09-20T12:21:18-0600'))&amp;_a=(columns:!('Message%20ID',Summary),filters:!(),index:'emp_*',interval:auto,query:(query_string:(analyze_wildcard:!t,query:'Message%5C+ID:(*)+AND+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4063</v>
      </c>
      <c r="C70" s="21" t="s">
        <v>196</v>
      </c>
      <c r="D70" s="21" t="s">
        <v>856</v>
      </c>
      <c r="E70" s="13">
        <v>42998.485127314816</v>
      </c>
      <c r="F70" s="13">
        <v>42998.487870370373</v>
      </c>
      <c r="G70" s="7">
        <v>84</v>
      </c>
      <c r="H70" s="21" t="s">
        <v>363</v>
      </c>
      <c r="I70" s="13">
        <v>42998.515381944446</v>
      </c>
      <c r="J70" s="7">
        <v>0</v>
      </c>
      <c r="K70" s="89" t="str">
        <f t="shared" si="0"/>
        <v>4063/4064</v>
      </c>
      <c r="L70" s="185" t="str">
        <f>VLOOKUP(A70,'Trips&amp;Operators'!$C$1:$G$99911,5,FALSE)</f>
        <v>DAVIS MICHAEL</v>
      </c>
      <c r="M70" s="6">
        <f t="shared" si="1"/>
        <v>2.7511574073287193E-2</v>
      </c>
      <c r="N70" s="7">
        <f t="shared" si="24"/>
        <v>39.616666665533558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-20T10:38:35-0600',mode:absolute,to:'2017-09-20T13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25"/>
        <v>23.300899999999999</v>
      </c>
      <c r="Z70" s="204">
        <f t="shared" si="26"/>
        <v>1.4500000000000001E-2</v>
      </c>
      <c r="AA70" s="204">
        <f t="shared" si="9"/>
        <v>23.286399999999997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70" s="74" t="str">
        <f t="shared" si="12"/>
        <v>"C:\Program Files (x86)\AstroGrep\AstroGrep.exe" /e /r /s /spath="%USERPROFILE%\AppData\Local\Temp\OnboardLogs" /stypes="app*4063*20170920*"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158-20 --locoid 4063 --swversion DE.1.0.9.0 --startMP 204:233009 --initTime 2017-09-20T11:38:35 --startdatetime 2017-09-20T11:42:32 --delay 84 --endMP 204:145 --enddatetime 2017-09-20T12:22:09 --enforcementcount 0 &gt;&gt;c:\users\tmcdowell\Documents\GitHub\eaglep3-reporting\EC\2017-09-20-refined-times.txt</v>
      </c>
      <c r="AI7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ID","value":"158-20"},{"id":16,"name":"Locomotive ID","value":"4063"},{"id":130,"name":"Impact","value":""},{"id":150,"name":"Time of Event (Mountain Time)","value":"12:22:09"},{"id":151,"name":"Denver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4063 --day 2017-09-20</v>
      </c>
      <c r="AN7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-20T10:38:35-0600',mode:absolute,to:'2017-09-20T13:22:09-0600'))&amp;_a=(columns:!('Message%20ID',Summary),filters:!(),index:'emp_*',interval:auto,query:(query_string:(analyze_wildcard:!t,query:'Message%5C+ID:(*)+AND+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4062</v>
      </c>
      <c r="C71" s="21" t="s">
        <v>196</v>
      </c>
      <c r="D71" s="21" t="s">
        <v>418</v>
      </c>
      <c r="E71" s="13">
        <v>42998.453842592593</v>
      </c>
      <c r="F71" s="13">
        <v>42998.458506944444</v>
      </c>
      <c r="G71" s="7">
        <v>48</v>
      </c>
      <c r="H71" s="21" t="s">
        <v>491</v>
      </c>
      <c r="I71" s="13">
        <v>42998.483530092592</v>
      </c>
      <c r="J71" s="7">
        <v>0</v>
      </c>
      <c r="K71" s="89" t="str">
        <f t="shared" si="0"/>
        <v>4061/4062</v>
      </c>
      <c r="L71" s="185" t="str">
        <f>VLOOKUP(A71,'Trips&amp;Operators'!$C$1:$G$99911,5,FALSE)</f>
        <v>FORTUNATO FRANK</v>
      </c>
      <c r="M71" s="6">
        <f t="shared" si="1"/>
        <v>2.5023148147738539E-2</v>
      </c>
      <c r="N71" s="7">
        <f t="shared" si="24"/>
        <v>36.033333332743496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-20T09:53:32-0600',mode:absolute,to:'2017-09-20T12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25"/>
        <v>4.4699999999999997E-2</v>
      </c>
      <c r="Z71" s="204">
        <f t="shared" si="26"/>
        <v>23.331399999999999</v>
      </c>
      <c r="AA71" s="204">
        <f t="shared" si="9"/>
        <v>23.2867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71" s="74" t="str">
        <f t="shared" si="12"/>
        <v>"C:\Program Files (x86)\AstroGrep\AstroGrep.exe" /e /r /s /spath="%USERPROFILE%\AppData\Local\Temp\OnboardLogs" /stypes="app*4062*20170920*"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159-20 --locoid 4062 --swversion DE.1.0.9.0 --startMP 204:447 --initTime 2017-09-20T10:53:32 --startdatetime 2017-09-20T11:00:15 --delay 48 --endMP 204:233314 --enddatetime 2017-09-20T11:36:17 --enforcementcount 0 &gt;&gt;c:\users\tmcdowell\Documents\GitHub\eaglep3-reporting\EC\2017-09-20-refined-times.txt</v>
      </c>
      <c r="AI7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ID","value":"159-20"},{"id":16,"name":"Locomotive ID","value":"4062"},{"id":130,"name":"Impact","value":""},{"id":150,"name":"Time of Event (Mountain Time)","value":"11:36:17"},{"id":151,"name":"Denver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4062 --day 2017-09-20</v>
      </c>
      <c r="AN7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-20T09:53:32-0600',mode:absolute,to:'2017-09-20T12:36:17-0600'))&amp;_a=(columns:!('Message%20ID',Summary),filters:!(),index:'emp_*',interval:auto,query:(query_string:(analyze_wildcard:!t,query:'Message%5C+ID:(*)+AND+%22rtdc.l.rtdc.4062%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596</v>
      </c>
      <c r="B72" s="7">
        <v>4061</v>
      </c>
      <c r="C72" s="21" t="s">
        <v>196</v>
      </c>
      <c r="D72" s="21" t="s">
        <v>439</v>
      </c>
      <c r="E72" s="13">
        <v>42998.485069444447</v>
      </c>
      <c r="F72" s="13">
        <v>42998.498344907406</v>
      </c>
      <c r="G72" s="7">
        <v>52</v>
      </c>
      <c r="H72" s="21" t="s">
        <v>412</v>
      </c>
      <c r="I72" s="13">
        <v>42998.525497685187</v>
      </c>
      <c r="J72" s="7">
        <v>0</v>
      </c>
      <c r="K72" s="89" t="str">
        <f t="shared" si="0"/>
        <v>4061/4062</v>
      </c>
      <c r="L72" s="185" t="str">
        <f>VLOOKUP(A72,'Trips&amp;Operators'!$C$1:$G$99911,5,FALSE)</f>
        <v>FORTUNATO FRANK</v>
      </c>
      <c r="M72" s="6">
        <f t="shared" si="1"/>
        <v>2.715277778042946E-2</v>
      </c>
      <c r="N72" s="7">
        <f t="shared" si="24"/>
        <v>39.100000003818423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25"/>
        <v>23.298500000000001</v>
      </c>
      <c r="Z72" s="204">
        <f t="shared" si="26"/>
        <v>1.54E-2</v>
      </c>
      <c r="AA72" s="204">
        <f t="shared" si="9"/>
        <v>23.283100000000001</v>
      </c>
      <c r="AB72" s="54" t="str">
        <f>VLOOKUP(A72,Enforcements!$C$7:$K$11,8,0)</f>
        <v>Bulletin (2)</v>
      </c>
      <c r="AC72" s="51" t="str">
        <f>VLOOKUP(A72,Enforcements!$C$7:$E$11,3,0)</f>
        <v>GRADE CROSSING</v>
      </c>
      <c r="AD72" s="179">
        <f t="shared" si="10"/>
        <v>160</v>
      </c>
      <c r="AE72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72" s="74" t="str">
        <f t="shared" si="12"/>
        <v>"C:\Program Files (x86)\AstroGrep\AstroGrep.exe" /e /r /s /spath="%USERPROFILE%\AppData\Local\Temp\OnboardLogs" /stypes="app*4061*20170920*"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160-20 --locoid 4061 --swversion DE.1.0.9.0 --startMP 204:232985 --initTime 2017-09-20T11:38:30 --startdatetime 2017-09-20T11:57:37 --delay 52 --endMP 204:154 --enddatetime 2017-09-20T12:36:43 --enforcementcount 0 &gt;&gt;c:\users\tmcdowell\Documents\GitHub\eaglep3-reporting\EC\2017-09-20-refined-times.txt</v>
      </c>
      <c r="AI7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ID","value":"160-20"},{"id":16,"name":"Locomotive ID","value":"4061"},{"id":130,"name":"Impact","value":""},{"id":150,"name":"Time of Event (Mountain Time)","value":"12:36:43"},{"id":151,"name":"Denver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4061 --day 2017-09-20</v>
      </c>
      <c r="AN7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Message%20ID',Summary),filters:!(),index:'emp_*',interval:auto,query:(query_string:(analyze_wildcard:!t,query:'Message%5C+ID:(*)+AND+%22rtdc.l.rtdc.4061%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595</v>
      </c>
      <c r="B73" s="7">
        <v>4040</v>
      </c>
      <c r="C73" s="21" t="s">
        <v>196</v>
      </c>
      <c r="D73" s="21" t="s">
        <v>466</v>
      </c>
      <c r="E73" s="13">
        <v>42998.463437500002</v>
      </c>
      <c r="F73" s="13">
        <v>42998.469097222223</v>
      </c>
      <c r="G73" s="7">
        <v>121</v>
      </c>
      <c r="H73" s="21" t="s">
        <v>857</v>
      </c>
      <c r="I73" s="13">
        <v>42998.493020833332</v>
      </c>
      <c r="J73" s="7">
        <v>0</v>
      </c>
      <c r="K73" s="89" t="str">
        <f t="shared" si="0"/>
        <v>4039/4040</v>
      </c>
      <c r="L73" s="185" t="str">
        <f>VLOOKUP(A73,'Trips&amp;Operators'!$C$1:$G$99911,5,FALSE)</f>
        <v>BRUDER RICHARD</v>
      </c>
      <c r="M73" s="6">
        <f t="shared" si="1"/>
        <v>2.3923611108330078E-2</v>
      </c>
      <c r="N73" s="7">
        <f t="shared" si="24"/>
        <v>34.449999995995313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204" t="str">
        <f>IF(AA73&lt;VLOOKUP(AG73,Variables!$AC$3:$AD$8,2,FALSE),"Y","N")</f>
        <v>N</v>
      </c>
      <c r="X73" s="204">
        <f t="shared" si="6"/>
        <v>1</v>
      </c>
      <c r="Y73" s="204">
        <f t="shared" si="25"/>
        <v>4.5699999999999998E-2</v>
      </c>
      <c r="Z73" s="204">
        <f t="shared" si="26"/>
        <v>23.328199999999999</v>
      </c>
      <c r="AA73" s="204">
        <f t="shared" si="9"/>
        <v>23.282499999999999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73" s="74" t="str">
        <f t="shared" si="12"/>
        <v>"C:\Program Files (x86)\AstroGrep\AstroGrep.exe" /e /r /s /spath="%USERPROFILE%\AppData\Local\Temp\OnboardLogs" /stypes="app*4040*20170920*"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161-20 --locoid 4040 --swversion DE.1.0.9.0 --startMP 204:457 --initTime 2017-09-20T11:07:21 --startdatetime 2017-09-20T11:15:30 --delay 121 --endMP 204:233282 --enddatetime 2017-09-20T11:49:57 --enforcementcount 0 &gt;&gt;c:\users\tmcdowell\Documents\GitHub\eaglep3-reporting\EC\2017-09-20-refined-times.txt</v>
      </c>
      <c r="AI7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{"issue":{"subject":"","project_id":79,"tracker_id":40,"status_id":1,"priority_id":2,"assigned_to_id":338,"start_date":"2017-09-20","description":"","custom_fields":[{"id":1,"name":"Subdivision","value":"EC"},{"id":4,"name":"Milepost","value":"23.3282"},{"id":17,"name":"Train ID","value":"161-20"},{"id":16,"name":"Locomotive ID","value":"4040"},{"id":130,"name":"Impact","value":""},{"id":150,"name":"Time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4040 --day 2017-09-20</v>
      </c>
      <c r="AN7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Message%20ID',Summary),filters:!(),index:'emp_*',interval:auto,query:(query_string:(analyze_wildcard:!t,query:'Message%5C+ID:(*)+AND+%22rtdc.l.rtdc.4040%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720</v>
      </c>
      <c r="B74" s="7">
        <v>4039</v>
      </c>
      <c r="C74" s="21" t="s">
        <v>196</v>
      </c>
      <c r="D74" s="21" t="s">
        <v>858</v>
      </c>
      <c r="E74" s="13">
        <v>42998.504988425928</v>
      </c>
      <c r="F74" s="13">
        <v>42998.508564814816</v>
      </c>
      <c r="G74" s="7">
        <v>111</v>
      </c>
      <c r="H74" s="21" t="s">
        <v>338</v>
      </c>
      <c r="I74" s="13">
        <v>42998.534375000003</v>
      </c>
      <c r="J74" s="7">
        <v>0</v>
      </c>
      <c r="K74" s="89" t="str">
        <f t="shared" si="0"/>
        <v>4039/4040</v>
      </c>
      <c r="L74" s="185" t="str">
        <f>VLOOKUP(A74,'Trips&amp;Operators'!$C$1:$G$99911,5,FALSE)</f>
        <v>BRUDER RICHARD</v>
      </c>
      <c r="M74" s="6">
        <f t="shared" si="1"/>
        <v>2.5810185186855961E-2</v>
      </c>
      <c r="N74" s="7">
        <f t="shared" si="24"/>
        <v>37.166666669072583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-20T11:07:11-0600',mode:absolute,to:'2017-09-20T13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25"/>
        <v>23.296299999999999</v>
      </c>
      <c r="Z74" s="204">
        <f t="shared" si="26"/>
        <v>1.49E-2</v>
      </c>
      <c r="AA74" s="204">
        <f t="shared" si="9"/>
        <v>23.281399999999998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74" s="74" t="str">
        <f t="shared" si="12"/>
        <v>"C:\Program Files (x86)\AstroGrep\AstroGrep.exe" /e /r /s /spath="%USERPROFILE%\AppData\Local\Temp\OnboardLogs" /stypes="app*4039*20170920*"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162-20 --locoid 4039 --swversion DE.1.0.9.0 --startMP 204:232963 --initTime 2017-09-20T12:07:11 --startdatetime 2017-09-20T12:12:20 --delay 111 --endMP 204:149 --enddatetime 2017-09-20T12:49:30 --enforcementcount 0 &gt;&gt;c:\users\tmcdowell\Documents\GitHub\eaglep3-reporting\EC\2017-09-20-refined-times.txt</v>
      </c>
      <c r="AI7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ID","value":"162-20"},{"id":16,"name":"Locomotive ID","value":"4039"},{"id":130,"name":"Impact","value":""},{"id":150,"name":"Time of Event (Mountain Time)","value":"12:49:30"},{"id":151,"name":"Denver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4039 --day 2017-09-20</v>
      </c>
      <c r="AN7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-20T11:07:11-0600',mode:absolute,to:'2017-09-20T13:49:30-0600'))&amp;_a=(columns:!('Message%20ID',Summary),filters:!(),index:'emp_*',interval:auto,query:(query_string:(analyze_wildcard:!t,query:'Message%5C+ID:(*)+AND+%22rtdc.l.rtdc.4039%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4044</v>
      </c>
      <c r="C75" s="21" t="s">
        <v>196</v>
      </c>
      <c r="D75" s="21" t="s">
        <v>377</v>
      </c>
      <c r="E75" s="13">
        <v>42998.47515046296</v>
      </c>
      <c r="F75" s="13">
        <v>42998.479444444441</v>
      </c>
      <c r="G75" s="7">
        <v>64</v>
      </c>
      <c r="H75" s="21" t="s">
        <v>508</v>
      </c>
      <c r="I75" s="13">
        <v>42998.504027777781</v>
      </c>
      <c r="J75" s="7">
        <v>0</v>
      </c>
      <c r="K75" s="89" t="str">
        <f t="shared" si="0"/>
        <v>4043/4044</v>
      </c>
      <c r="L75" s="185" t="str">
        <f>VLOOKUP(A75,'Trips&amp;Operators'!$C$1:$G$99911,5,FALSE)</f>
        <v>MOSES BRADLEY</v>
      </c>
      <c r="M75" s="6">
        <f t="shared" si="1"/>
        <v>2.4583333339251112E-2</v>
      </c>
      <c r="N75" s="7">
        <f t="shared" si="24"/>
        <v>35.400000008521602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-20T10:24:13-0600',mode:absolute,to:'2017-09-20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25"/>
        <v>4.4200000000000003E-2</v>
      </c>
      <c r="Z75" s="204">
        <f t="shared" si="26"/>
        <v>23.332100000000001</v>
      </c>
      <c r="AA75" s="204">
        <f t="shared" si="9"/>
        <v>23.2879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75" s="74" t="str">
        <f t="shared" si="12"/>
        <v>"C:\Program Files (x86)\AstroGrep\AstroGrep.exe" /e /r /s /spath="%USERPROFILE%\AppData\Local\Temp\OnboardLogs" /stypes="app*4044*20170920*"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163-20 --locoid 4044 --swversion DE.1.0.9.0 --startMP 204:442 --initTime 2017-09-20T11:24:13 --startdatetime 2017-09-20T11:30:24 --delay 64 --endMP 204:233321 --enddatetime 2017-09-20T12:05:48 --enforcementcount 0 &gt;&gt;c:\users\tmcdowell\Documents\GitHub\eaglep3-reporting\EC\2017-09-20-refined-times.txt</v>
      </c>
      <c r="AI7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{"issue":{"subject":"","project_id":79,"tracker_id":40,"status_id":1,"priority_id":2,"assigned_to_id":338,"start_date":"2017-09-20","description":"","custom_fields":[{"id":1,"name":"Subdivision","value":"EC"},{"id":4,"name":"Milepost","value":"23.3321"},{"id":17,"name":"Train ID","value":"163-20"},{"id":16,"name":"Locomotive ID","value":"4044"},{"id":130,"name":"Impact","value":""},{"id":150,"name":"Time of Event (Mountain Time)","value":"12:05:48"},{"id":151,"name":"Denver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4044 --day 2017-09-20</v>
      </c>
      <c r="AN7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-20T10:24:13-0600',mode:absolute,to:'2017-09-20T13:05:48-0600'))&amp;_a=(columns:!('Message%20ID',Summary),filters:!(),index:'emp_*',interval:auto,query:(query_string:(analyze_wildcard:!t,query:'Message%5C+ID:(*)+AND+%22rtdc.l.rtdc.4044%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4043</v>
      </c>
      <c r="C76" s="21" t="s">
        <v>196</v>
      </c>
      <c r="D76" s="21" t="s">
        <v>464</v>
      </c>
      <c r="E76" s="13">
        <v>42998.514803240738</v>
      </c>
      <c r="F76" s="13">
        <v>42998.519270833334</v>
      </c>
      <c r="G76" s="7">
        <v>100</v>
      </c>
      <c r="H76" s="21" t="s">
        <v>859</v>
      </c>
      <c r="I76" s="13">
        <v>42998.545208333337</v>
      </c>
      <c r="J76" s="7">
        <v>0</v>
      </c>
      <c r="K76" s="89" t="str">
        <f t="shared" si="0"/>
        <v>4043/4044</v>
      </c>
      <c r="L76" s="185" t="str">
        <f>VLOOKUP(A76,'Trips&amp;Operators'!$C$1:$G$99911,5,FALSE)</f>
        <v>MOSES BRADLEY</v>
      </c>
      <c r="M76" s="6">
        <f t="shared" si="1"/>
        <v>2.5937500002328306E-2</v>
      </c>
      <c r="N76" s="7">
        <f t="shared" si="24"/>
        <v>37.350000003352761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-20T11:21:19-0600',mode:absolute,to:'2017-09-20T14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25"/>
        <v>23.301500000000001</v>
      </c>
      <c r="Z76" s="204">
        <f t="shared" si="26"/>
        <v>1.6899999999999998E-2</v>
      </c>
      <c r="AA76" s="204">
        <f t="shared" si="9"/>
        <v>23.284600000000001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76" s="74" t="str">
        <f t="shared" si="12"/>
        <v>"C:\Program Files (x86)\AstroGrep\AstroGrep.exe" /e /r /s /spath="%USERPROFILE%\AppData\Local\Temp\OnboardLogs" /stypes="app*4043*20170920*"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ref="AH76:AH140" si="27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164-20 --locoid 4043 --swversion DE.1.0.9.0 --startMP 204:233015 --initTime 2017-09-20T12:21:19 --startdatetime 2017-09-20T12:27:45 --delay 100 --endMP 204:169 --enddatetime 2017-09-20T13:05:06 --enforcementcount 0 &gt;&gt;c:\users\tmcdowell\Documents\GitHub\eaglep3-reporting\EC\2017-09-20-refined-times.txt</v>
      </c>
      <c r="AI76" s="96" t="str">
        <f t="shared" ref="AI76:AI140" si="28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{"issue":{"subject":"","project_id":79,"tracker_id":40,"status_id":1,"priority_id":2,"assigned_to_id":338,"start_date":"2017-09-20","description":"","custom_fields":[{"id":1,"name":"Subdivision","value":"EC"},{"id":4,"name":"Milepost","value":"0.0169"},{"id":17,"name":"Train ID","value":"164-20"},{"id":16,"name":"Locomotive ID","value":"4043"},{"id":130,"name":"Impact","value":""},{"id":150,"name":"Time of Event (Mountain Time)","value":"13:05:06"},{"id":151,"name":"Denver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ref="AM76:AM140" si="29">"start /low /b "&amp;dls3logs&amp;" --loco "&amp;B76&amp;" --day "&amp;TEXT(F76,"YYYY-MM-DD")</f>
        <v>start /low /b %USERPROFILE%\Documents\GitHub\eaglep3\Utilities\DownloadLogsFromS3.py --loco 4043 --day 2017-09-20</v>
      </c>
      <c r="AN76" s="151" t="str">
        <f t="shared" ref="AN76:AN140" si="30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ref="AO76:AO140" si="31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Message%5C+ID:(*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-20T11:21:19-0600',mode:absolute,to:'2017-09-20T14:05:06-0600'))&amp;_a=(columns:!('Message%20ID',Summary),filters:!(),index:'emp_*',interval:auto,query:(query_string:(analyze_wildcard:!t,query:'Message%5C+ID:(*)+AND+%22rtdc.l.rtdc.4043%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4002</v>
      </c>
      <c r="C77" s="21" t="s">
        <v>196</v>
      </c>
      <c r="D77" s="21" t="s">
        <v>380</v>
      </c>
      <c r="E77" s="13">
        <v>42998.486539351848</v>
      </c>
      <c r="F77" s="13">
        <v>42998.48978009259</v>
      </c>
      <c r="G77" s="7">
        <v>86</v>
      </c>
      <c r="H77" s="21" t="s">
        <v>458</v>
      </c>
      <c r="I77" s="13">
        <v>42998.513969907406</v>
      </c>
      <c r="J77" s="7">
        <v>0</v>
      </c>
      <c r="K77" s="89" t="str">
        <f t="shared" ref="K77:K140" si="32">IF(ISEVEN(B77),(B77-1)&amp;"/"&amp;B77,B77&amp;"/"&amp;(B77+1))</f>
        <v>4001/4002</v>
      </c>
      <c r="L77" s="185" t="str">
        <f>VLOOKUP(A77,'Trips&amp;Operators'!$C$1:$G$99911,5,FALSE)</f>
        <v>DELGADO DIANAH</v>
      </c>
      <c r="M77" s="6">
        <f t="shared" ref="M77:M140" si="33">I77-F77</f>
        <v>2.4189814816054422E-2</v>
      </c>
      <c r="N77" s="7">
        <f t="shared" ref="N77:N98" si="34">24*60*SUM($M77:$M77)</f>
        <v>34.833333335118368</v>
      </c>
      <c r="O77" s="7"/>
      <c r="P77" s="7"/>
      <c r="Q77" s="22"/>
      <c r="R77" s="174" t="s">
        <v>1035</v>
      </c>
      <c r="S77" s="221">
        <f t="shared" ref="S77:S140" si="35">1/IF(AG77="EC",12,1)*SUM(U77:U77)</f>
        <v>1</v>
      </c>
      <c r="T77" s="174" t="str">
        <f t="shared" ref="T77:T140" si="36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-20T10:40:37-0600',mode:absolute,to:'2017-09-20T13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IF(AA77&lt;VLOOKUP(AG77,Variables!$AC$3:$AD$8,2,FALSE),"Y","N")</f>
        <v>N</v>
      </c>
      <c r="X77" s="204">
        <f t="shared" ref="X77:X140" si="38">VALUE(LEFT(AD77,4))-VALUE(LEFT(AD76,4))</f>
        <v>1</v>
      </c>
      <c r="Y77" s="204">
        <f t="shared" ref="Y77:Y99" si="39">RIGHT(D77,LEN(D77)-4)/10000</f>
        <v>4.5999999999999999E-2</v>
      </c>
      <c r="Z77" s="204">
        <f t="shared" ref="Z77:Z99" si="40">RIGHT(H77,LEN(H77)-4)/10000</f>
        <v>23.331800000000001</v>
      </c>
      <c r="AA77" s="204">
        <f t="shared" ref="AA77:AA140" si="41">ABS(Z77-Y77)</f>
        <v>23.285800000000002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2">VALUE(LEFT(A77,LEN(A77)-3))</f>
        <v>165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/stypes="app*4002*20170920*"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5">DetSubdiv(A77)</f>
        <v>EC</v>
      </c>
      <c r="AH77" s="78" t="str">
        <f t="shared" si="27"/>
        <v>"%USERPROFILE%\Documents\GitHub\eaglep3\Utilities\RefineRTDCRunTimes.py" --tripid 165-20 --locoid 4002 --swversion DE.1.0.9.0 --startMP 204:460 --initTime 2017-09-20T11:40:37 --startdatetime 2017-09-20T11:45:17 --delay 86 --endMP 204:233318 --enddatetime 2017-09-20T12:20:07 --enforcementcount 0 &gt;&gt;c:\users\tmcdowell\Documents\GitHub\eaglep3-reporting\EC\2017-09-20-refined-times.txt</v>
      </c>
      <c r="AI77" s="96" t="str">
        <f t="shared" si="28"/>
        <v>echo {"issue":{"subject":"Enforcement due to speed restriction, no enforcement message sent, due to minor onboard in-route failure","project_id":79,"tracker_id":40,"status_id":1,"priority_id":2,"assigned_to_id":338,"start_date":"2017-09-20","description":"","custom_fields":[{"id":1,"name":"Subdivision","value":"EC"},{"id":4,"name":"Milepost","value":"23.3318"},{"id":17,"name":"Train ID","value":"165-20"},{"id":16,"name":"Locomotive ID","value":"4002"},{"id":130,"name":"Impact","value":""},{"id":150,"name":"Time of Event (Mountain Time)","value":"12:20:07"},{"id":151,"name":"Denver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9"/>
        <v>start /low /b %USERPROFILE%\Documents\GitHub\eaglep3\Utilities\DownloadLogsFromS3.py --loco 4002 --day 2017-09-20</v>
      </c>
      <c r="AN77" s="151" t="str">
        <f t="shared" si="30"/>
        <v>echo {"issue":{"subject":"Enforcement due to speed restriction, no enforcement message sent, due to minor onboard in-route failure","project_id":30,"tracker_id":4,"status_id":1,"priority_id":1,"assigned_to_id":10,"start_date":"2017-09-20","description":"","custom_fields":[{"id":30,"name":"Category","value":"Issue"},{"id":3,"name":"Functional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31"/>
        <v>https://d0f6bd738d7f1b3e5a7ca70fe4ff75f0.us-east-1.aws.found.io/app/kibana#/discover/Steve-Slow-Train-Analysis-(2080s-and-2083s)?_g=(refreshInterval:(display:Off,pause:!f,section:0,value:0),time:(from:'2017-09-20T10:40:37-0600',mode:absolute,to:'2017-09-20T13:20:07-0600'))&amp;_a=(columns:!('Message%20ID',Summary),filters:!(),index:'emp_*',interval:auto,query:(query_string:(analyze_wildcard:!t,query:'Message%5C+ID:(*)+AND+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724</v>
      </c>
      <c r="B78" s="7">
        <v>4001</v>
      </c>
      <c r="C78" s="21" t="s">
        <v>196</v>
      </c>
      <c r="D78" s="21" t="s">
        <v>497</v>
      </c>
      <c r="E78" s="13">
        <v>42998.524618055555</v>
      </c>
      <c r="F78" s="13">
        <v>42998.529664351852</v>
      </c>
      <c r="G78" s="7">
        <v>142</v>
      </c>
      <c r="H78" s="21" t="s">
        <v>337</v>
      </c>
      <c r="I78" s="13">
        <v>42998.555081018516</v>
      </c>
      <c r="J78" s="7">
        <v>0</v>
      </c>
      <c r="K78" s="89" t="str">
        <f t="shared" si="32"/>
        <v>4001/4002</v>
      </c>
      <c r="L78" s="185" t="str">
        <f>VLOOKUP(A78,'Trips&amp;Operators'!$C$1:$G$99911,5,FALSE)</f>
        <v>DELGADO DIANAH</v>
      </c>
      <c r="M78" s="6">
        <f t="shared" si="33"/>
        <v>2.5416666663659271E-2</v>
      </c>
      <c r="N78" s="7">
        <f t="shared" si="34"/>
        <v>36.59999999566935</v>
      </c>
      <c r="O78" s="7"/>
      <c r="P78" s="7"/>
      <c r="Q78" s="22"/>
      <c r="R78" s="174"/>
      <c r="S78" s="221">
        <f t="shared" si="35"/>
        <v>1</v>
      </c>
      <c r="T78" s="174" t="str">
        <f t="shared" si="36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7"/>
        <v>https://d0f6bd738d7f1b3e5a7ca70fe4ff75f0.us-east-1.aws.found.io/app/kibana#/discover/Steve-Slow-Train-Analysis-(2080s-and-2083s)?_g=(refreshInterval:(display:Off,pause:!f,section:0,value:0),time:(from:'2017-09-20T11:35:27-0600',mode:absolute,to:'2017-09-20T14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IF(AA78&lt;VLOOKUP(AG78,Variables!$AC$3:$AD$8,2,FALSE),"Y","N")</f>
        <v>N</v>
      </c>
      <c r="X78" s="204">
        <f t="shared" si="38"/>
        <v>1</v>
      </c>
      <c r="Y78" s="204">
        <f t="shared" si="39"/>
        <v>23.299199999999999</v>
      </c>
      <c r="Z78" s="204">
        <f t="shared" si="40"/>
        <v>1.4999999999999999E-2</v>
      </c>
      <c r="AA78" s="204">
        <f t="shared" si="41"/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2"/>
        <v>166</v>
      </c>
      <c r="AE78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78" s="74" t="str">
        <f t="shared" si="44"/>
        <v>"C:\Program Files (x86)\AstroGrep\AstroGrep.exe" /e /r /s /spath="%USERPROFILE%\AppData\Local\Temp\OnboardLogs" /stypes="app*4001*20170920*" /stext=" 19:.+((SYSTEM_STATE.+slice.+state.+changed )|(ment ac)|(multiple cpu faults)|(system.+state.+changed )|(\[timeout)|(PRM\|1\|D)|(kpr)|(kdp)|(train st.+moving)|(\|lc)|(penalty))"</v>
      </c>
      <c r="AG78" s="182" t="str">
        <f t="shared" si="45"/>
        <v>EC</v>
      </c>
      <c r="AH78" s="78" t="str">
        <f t="shared" si="27"/>
        <v>"%USERPROFILE%\Documents\GitHub\eaglep3\Utilities\RefineRTDCRunTimes.py" --tripid 166-20 --locoid 4001 --swversion DE.1.0.9.0 --startMP 204:232992 --initTime 2017-09-20T12:35:27 --startdatetime 2017-09-20T12:42:43 --delay 142 --endMP 204:150 --enddatetime 2017-09-20T13:19:19 --enforcementcount 0 &gt;&gt;c:\users\tmcdowell\Documents\GitHub\eaglep3-reporting\EC\2017-09-20-refined-times.txt</v>
      </c>
      <c r="AI7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ID","value":"166-20"},{"id":16,"name":"Locomotive ID","value":"4001"},{"id":130,"name":"Impact","value":""},{"id":150,"name":"Time of Event (Mountain Time)","value":"13:19:19"},{"id":151,"name":"Denver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9"/>
        <v>start /low /b %USERPROFILE%\Documents\GitHub\eaglep3\Utilities\DownloadLogsFromS3.py --loco 4001 --day 2017-09-20</v>
      </c>
      <c r="AN7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31"/>
        <v>https://d0f6bd738d7f1b3e5a7ca70fe4ff75f0.us-east-1.aws.found.io/app/kibana#/discover/Steve-Slow-Train-Analysis-(2080s-and-2083s)?_g=(refreshInterval:(display:Off,pause:!f,section:0,value:0),time:(from:'2017-09-20T11:35:27-0600',mode:absolute,to:'2017-09-20T14:19:19-0600'))&amp;_a=(columns:!('Message%20ID',Summary),filters:!(),index:'emp_*',interval:auto,query:(query_string:(analyze_wildcard:!t,query:'Message%5C+ID:(*)+AND+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4042</v>
      </c>
      <c r="C79" s="21" t="s">
        <v>196</v>
      </c>
      <c r="D79" s="21" t="s">
        <v>431</v>
      </c>
      <c r="E79" s="13">
        <v>42998.495254629626</v>
      </c>
      <c r="F79" s="13">
        <v>42998.500162037039</v>
      </c>
      <c r="G79" s="7">
        <v>155</v>
      </c>
      <c r="H79" s="21" t="s">
        <v>542</v>
      </c>
      <c r="I79" s="13">
        <v>42998.525069444448</v>
      </c>
      <c r="J79" s="7">
        <v>0</v>
      </c>
      <c r="K79" s="89" t="str">
        <f t="shared" si="32"/>
        <v>4041/4042</v>
      </c>
      <c r="L79" s="185" t="str">
        <f>VLOOKUP(A79,'Trips&amp;Operators'!$C$1:$G$99911,5,FALSE)</f>
        <v>LEVIN SCOTT</v>
      </c>
      <c r="M79" s="6">
        <f t="shared" si="33"/>
        <v>2.4907407409045845E-2</v>
      </c>
      <c r="N79" s="7">
        <f t="shared" si="34"/>
        <v>35.866666669026017</v>
      </c>
      <c r="O79" s="7"/>
      <c r="P79" s="7"/>
      <c r="Q79" s="22"/>
      <c r="R79" s="174"/>
      <c r="S79" s="221">
        <f t="shared" si="35"/>
        <v>1</v>
      </c>
      <c r="T79" s="174" t="str">
        <f t="shared" si="36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7"/>
        <v>https://d0f6bd738d7f1b3e5a7ca70fe4ff75f0.us-east-1.aws.found.io/app/kibana#/discover/Steve-Slow-Train-Analysis-(2080s-and-2083s)?_g=(refreshInterval:(display:Off,pause:!f,section:0,value:0),time:(from:'2017-09-20T10:53:10-0600',mode:absolute,to:'2017-09-20T13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>IF(AA79&lt;VLOOKUP(AG79,Variables!$AC$3:$AD$8,2,FALSE),"Y","N")</f>
        <v>N</v>
      </c>
      <c r="X79" s="204">
        <f t="shared" si="38"/>
        <v>1</v>
      </c>
      <c r="Y79" s="204">
        <f t="shared" si="39"/>
        <v>4.7300000000000002E-2</v>
      </c>
      <c r="Z79" s="204">
        <f t="shared" si="40"/>
        <v>23.334599999999998</v>
      </c>
      <c r="AA79" s="204">
        <f t="shared" si="41"/>
        <v>23.287299999999998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2"/>
        <v>167</v>
      </c>
      <c r="AE79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79" s="74" t="str">
        <f t="shared" si="44"/>
        <v>"C:\Program Files (x86)\AstroGrep\AstroGrep.exe" /e /r /s /spath="%USERPROFILE%\AppData\Local\Temp\OnboardLogs" /stypes="app*4042*20170920*" /stext=" 18:.+((SYSTEM_STATE.+slice.+state.+changed )|(ment ac)|(multiple cpu faults)|(system.+state.+changed )|(\[timeout)|(PRM\|1\|D)|(kpr)|(kdp)|(train st.+moving)|(\|lc)|(penalty))"</v>
      </c>
      <c r="AG79" s="182" t="str">
        <f t="shared" si="45"/>
        <v>EC</v>
      </c>
      <c r="AH79" s="78" t="str">
        <f t="shared" si="27"/>
        <v>"%USERPROFILE%\Documents\GitHub\eaglep3\Utilities\RefineRTDCRunTimes.py" --tripid 167-20 --locoid 4042 --swversion DE.1.0.9.0 --startMP 204:473 --initTime 2017-09-20T11:53:10 --startdatetime 2017-09-20T12:00:14 --delay 155 --endMP 204:233346 --enddatetime 2017-09-20T12:36:06 --enforcementcount 0 &gt;&gt;c:\users\tmcdowell\Documents\GitHub\eaglep3-reporting\EC\2017-09-20-refined-times.txt</v>
      </c>
      <c r="AI7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{"issue":{"subject":"","project_id":79,"tracker_id":40,"status_id":1,"priority_id":2,"assigned_to_id":338,"start_date":"2017-09-20","description":"","custom_fields":[{"id":1,"name":"Subdivision","value":"EC"},{"id":4,"name":"Milepost","value":"23.3346"},{"id":17,"name":"Train ID","value":"167-20"},{"id":16,"name":"Locomotive ID","value":"4042"},{"id":130,"name":"Impact","value":""},{"id":150,"name":"Time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29"/>
        <v>start /low /b %USERPROFILE%\Documents\GitHub\eaglep3\Utilities\DownloadLogsFromS3.py --loco 4042 --day 2017-09-20</v>
      </c>
      <c r="AN7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31"/>
        <v>https://d0f6bd738d7f1b3e5a7ca70fe4ff75f0.us-east-1.aws.found.io/app/kibana#/discover/Steve-Slow-Train-Analysis-(2080s-and-2083s)?_g=(refreshInterval:(display:Off,pause:!f,section:0,value:0),time:(from:'2017-09-20T10:53:10-0600',mode:absolute,to:'2017-09-20T13:36:06-0600'))&amp;_a=(columns:!('Message%20ID',Summary),filters:!(),index:'emp_*',interval:auto,query:(query_string:(analyze_wildcard:!t,query:'Message%5C+ID:(*)+AND+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599</v>
      </c>
      <c r="B80" s="7">
        <v>4041</v>
      </c>
      <c r="C80" s="21" t="s">
        <v>196</v>
      </c>
      <c r="D80" s="21" t="s">
        <v>461</v>
      </c>
      <c r="E80" s="13">
        <v>42998.534722222219</v>
      </c>
      <c r="F80" s="13">
        <v>42998.539826388886</v>
      </c>
      <c r="G80" s="7">
        <v>89</v>
      </c>
      <c r="H80" s="21" t="s">
        <v>363</v>
      </c>
      <c r="I80" s="13">
        <v>42998.565798611111</v>
      </c>
      <c r="J80" s="7">
        <v>0</v>
      </c>
      <c r="K80" s="89" t="str">
        <f t="shared" si="32"/>
        <v>4041/4042</v>
      </c>
      <c r="L80" s="185" t="str">
        <f>VLOOKUP(A80,'Trips&amp;Operators'!$C$1:$G$99911,5,FALSE)</f>
        <v>LEVIN SCOTT</v>
      </c>
      <c r="M80" s="6">
        <f t="shared" si="33"/>
        <v>2.5972222225391306E-2</v>
      </c>
      <c r="N80" s="7">
        <f t="shared" si="34"/>
        <v>37.400000004563481</v>
      </c>
      <c r="O80" s="7"/>
      <c r="P80" s="7"/>
      <c r="Q80" s="22"/>
      <c r="R80" s="174"/>
      <c r="S80" s="221">
        <f t="shared" si="35"/>
        <v>1</v>
      </c>
      <c r="T80" s="174" t="str">
        <f t="shared" si="36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7"/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>IF(AA80&lt;VLOOKUP(AG80,Variables!$AC$3:$AD$8,2,FALSE),"Y","N")</f>
        <v>N</v>
      </c>
      <c r="X80" s="204">
        <f t="shared" si="38"/>
        <v>1</v>
      </c>
      <c r="Y80" s="204">
        <f t="shared" si="39"/>
        <v>23.300599999999999</v>
      </c>
      <c r="Z80" s="204">
        <f t="shared" si="40"/>
        <v>1.4500000000000001E-2</v>
      </c>
      <c r="AA80" s="204">
        <f t="shared" si="41"/>
        <v>23.286099999999998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 t="shared" si="42"/>
        <v>168</v>
      </c>
      <c r="AE80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80" s="74" t="str">
        <f t="shared" si="44"/>
        <v>"C:\Program Files (x86)\AstroGrep\AstroGrep.exe" /e /r /s /spath="%USERPROFILE%\AppData\Local\Temp\OnboardLogs" /stypes="app*4041*20170920*" /stext=" 19:.+((SYSTEM_STATE.+slice.+state.+changed )|(ment ac)|(multiple cpu faults)|(system.+state.+changed )|(\[timeout)|(PRM\|1\|D)|(kpr)|(kdp)|(train st.+moving)|(\|lc)|(penalty))"</v>
      </c>
      <c r="AG80" s="182" t="str">
        <f t="shared" si="45"/>
        <v>EC</v>
      </c>
      <c r="AH80" s="78" t="str">
        <f t="shared" si="27"/>
        <v>"%USERPROFILE%\Documents\GitHub\eaglep3\Utilities\RefineRTDCRunTimes.py" --tripid 168-20 --locoid 4041 --swversion DE.1.0.9.0 --startMP 204:233006 --initTime 2017-09-20T12:50:00 --startdatetime 2017-09-20T12:57:21 --delay 89 --endMP 204:145 --enddatetime 2017-09-20T13:34:45 --enforcementcount 0 &gt;&gt;c:\users\tmcdowell\Documents\GitHub\eaglep3-reporting\EC\2017-09-20-refined-times.txt</v>
      </c>
      <c r="AI8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ID","value":"168-20"},{"id":16,"name":"Locomotive ID","value":"4041"},{"id":130,"name":"Impact","value":""},{"id":150,"name":"Time of Event (Mountain Time)","value":"13:34:45"},{"id":151,"name":"Denver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29"/>
        <v>start /low /b %USERPROFILE%\Documents\GitHub\eaglep3\Utilities\DownloadLogsFromS3.py --loco 4041 --day 2017-09-20</v>
      </c>
      <c r="AN8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31"/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Message%20ID',Summary),filters:!(),index:'emp_*',interval:auto,query:(query_string:(analyze_wildcard:!t,query:'Message%5C+ID:(*)+AND+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4058</v>
      </c>
      <c r="C81" s="21" t="s">
        <v>196</v>
      </c>
      <c r="D81" s="21" t="s">
        <v>336</v>
      </c>
      <c r="E81" s="13">
        <v>42998.50409722222</v>
      </c>
      <c r="F81" s="13">
        <v>42998.510625000003</v>
      </c>
      <c r="G81" s="7">
        <v>97</v>
      </c>
      <c r="H81" s="21" t="s">
        <v>463</v>
      </c>
      <c r="I81" s="13">
        <v>42998.534571759257</v>
      </c>
      <c r="J81" s="7">
        <v>0</v>
      </c>
      <c r="K81" s="89" t="str">
        <f t="shared" si="32"/>
        <v>4057/4058</v>
      </c>
      <c r="L81" s="185" t="str">
        <f>VLOOKUP(A81,'Trips&amp;Operators'!$C$1:$G$99911,5,FALSE)</f>
        <v>BERLING GARY</v>
      </c>
      <c r="M81" s="6">
        <f t="shared" si="33"/>
        <v>2.3946759254613426E-2</v>
      </c>
      <c r="N81" s="7">
        <f t="shared" si="34"/>
        <v>34.483333326643333</v>
      </c>
      <c r="O81" s="7"/>
      <c r="P81" s="7"/>
      <c r="Q81" s="22"/>
      <c r="R81" s="174"/>
      <c r="S81" s="221">
        <f t="shared" si="35"/>
        <v>1</v>
      </c>
      <c r="T81" s="174" t="str">
        <f t="shared" si="36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7"/>
        <v>https://d0f6bd738d7f1b3e5a7ca70fe4ff75f0.us-east-1.aws.found.io/app/kibana#/discover/Steve-Slow-Train-Analysis-(2080s-and-2083s)?_g=(refreshInterval:(display:Off,pause:!f,section:0,value:0),time:(from:'2017-09-20T11:05:54-0600',mode:absolute,to:'2017-09-20T13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04" t="str">
        <f>IF(AA81&lt;VLOOKUP(AG81,Variables!$AC$3:$AD$8,2,FALSE),"Y","N")</f>
        <v>N</v>
      </c>
      <c r="X81" s="204">
        <f t="shared" si="38"/>
        <v>1</v>
      </c>
      <c r="Y81" s="204">
        <f t="shared" si="39"/>
        <v>4.4600000000000001E-2</v>
      </c>
      <c r="Z81" s="204">
        <f t="shared" si="40"/>
        <v>23.332999999999998</v>
      </c>
      <c r="AA81" s="204">
        <f t="shared" si="41"/>
        <v>23.288399999999999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2"/>
        <v>169</v>
      </c>
      <c r="AE81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81" s="74" t="str">
        <f t="shared" si="44"/>
        <v>"C:\Program Files (x86)\AstroGrep\AstroGrep.exe" /e /r /s /spath="%USERPROFILE%\AppData\Local\Temp\OnboardLogs" /stypes="app*4058*20170920*" /stext=" 18:.+((SYSTEM_STATE.+slice.+state.+changed )|(ment ac)|(multiple cpu faults)|(system.+state.+changed )|(\[timeout)|(PRM\|1\|D)|(kpr)|(kdp)|(train st.+moving)|(\|lc)|(penalty))"</v>
      </c>
      <c r="AG81" s="182" t="str">
        <f t="shared" si="45"/>
        <v>EC</v>
      </c>
      <c r="AH81" s="78" t="str">
        <f t="shared" si="27"/>
        <v>"%USERPROFILE%\Documents\GitHub\eaglep3\Utilities\RefineRTDCRunTimes.py" --tripid 169-20 --locoid 4058 --swversion DE.1.0.9.0 --startMP 204:446 --initTime 2017-09-20T12:05:54 --startdatetime 2017-09-20T12:15:18 --delay 97 --endMP 204:233330 --enddatetime 2017-09-20T12:49:47 --enforcementcount 0 &gt;&gt;c:\users\tmcdowell\Documents\GitHub\eaglep3-reporting\EC\2017-09-20-refined-times.txt</v>
      </c>
      <c r="AI8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{"issue":{"subject":"","project_id":79,"tracker_id":40,"status_id":1,"priority_id":2,"assigned_to_id":338,"start_date":"2017-09-20","description":"","custom_fields":[{"id":1,"name":"Subdivision","value":"EC"},{"id":4,"name":"Milepost","value":"23.333"},{"id":17,"name":"Train ID","value":"169-20"},{"id":16,"name":"Locomotive ID","value":"4058"},{"id":130,"name":"Impact","value":""},{"id":150,"name":"Time of Event (Mountain Time)","value":"12:49:47"},{"id":151,"name":"Denver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29"/>
        <v>start /low /b %USERPROFILE%\Documents\GitHub\eaglep3\Utilities\DownloadLogsFromS3.py --loco 4058 --day 2017-09-20</v>
      </c>
      <c r="AN8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31"/>
        <v>https://d0f6bd738d7f1b3e5a7ca70fe4ff75f0.us-east-1.aws.found.io/app/kibana#/discover/Steve-Slow-Train-Analysis-(2080s-and-2083s)?_g=(refreshInterval:(display:Off,pause:!f,section:0,value:0),time:(from:'2017-09-20T11:05:54-0600',mode:absolute,to:'2017-09-20T13:49:47-0600'))&amp;_a=(columns:!('Message%20ID',Summary),filters:!(),index:'emp_*',interval:auto,query:(query_string:(analyze_wildcard:!t,query:'Message%5C+ID:(*)+AND+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729</v>
      </c>
      <c r="B82" s="7">
        <v>4057</v>
      </c>
      <c r="C82" s="21" t="s">
        <v>196</v>
      </c>
      <c r="D82" s="21" t="s">
        <v>856</v>
      </c>
      <c r="E82" s="13">
        <v>42998.539849537039</v>
      </c>
      <c r="F82" s="13">
        <v>42998.550162037034</v>
      </c>
      <c r="G82" s="7">
        <v>81</v>
      </c>
      <c r="H82" s="21" t="s">
        <v>412</v>
      </c>
      <c r="I82" s="13">
        <v>42998.576701388891</v>
      </c>
      <c r="J82" s="7">
        <v>0</v>
      </c>
      <c r="K82" s="89" t="str">
        <f t="shared" si="32"/>
        <v>4057/4058</v>
      </c>
      <c r="L82" s="185" t="str">
        <f>VLOOKUP(A82,'Trips&amp;Operators'!$C$1:$G$99911,5,FALSE)</f>
        <v>BERLING GARY</v>
      </c>
      <c r="M82" s="6">
        <f t="shared" si="33"/>
        <v>2.6539351856627036E-2</v>
      </c>
      <c r="N82" s="7">
        <f t="shared" si="34"/>
        <v>38.216666673542932</v>
      </c>
      <c r="O82" s="7"/>
      <c r="P82" s="7"/>
      <c r="Q82" s="22"/>
      <c r="R82" s="174"/>
      <c r="S82" s="221">
        <f t="shared" si="35"/>
        <v>1</v>
      </c>
      <c r="T82" s="174" t="str">
        <f t="shared" si="36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7"/>
        <v>https://d0f6bd738d7f1b3e5a7ca70fe4ff75f0.us-east-1.aws.found.io/app/kibana#/discover/Steve-Slow-Train-Analysis-(2080s-and-2083s)?_g=(refreshInterval:(display:Off,pause:!f,section:0,value:0),time:(from:'2017-09-20T11:57:23-0600',mode:absolute,to:'2017-09-20T14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04" t="str">
        <f>IF(AA82&lt;VLOOKUP(AG82,Variables!$AC$3:$AD$8,2,FALSE),"Y","N")</f>
        <v>N</v>
      </c>
      <c r="X82" s="204">
        <f t="shared" si="38"/>
        <v>1</v>
      </c>
      <c r="Y82" s="204">
        <f t="shared" si="39"/>
        <v>23.300899999999999</v>
      </c>
      <c r="Z82" s="204">
        <f t="shared" si="40"/>
        <v>1.54E-2</v>
      </c>
      <c r="AA82" s="204">
        <f t="shared" si="41"/>
        <v>23.285499999999999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2"/>
        <v>170</v>
      </c>
      <c r="AE82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82" s="74" t="str">
        <f t="shared" si="44"/>
        <v>"C:\Program Files (x86)\AstroGrep\AstroGrep.exe" /e /r /s /spath="%USERPROFILE%\AppData\Local\Temp\OnboardLogs" /stypes="app*4057*20170920*" /stext=" 19:.+((SYSTEM_STATE.+slice.+state.+changed )|(ment ac)|(multiple cpu faults)|(system.+state.+changed )|(\[timeout)|(PRM\|1\|D)|(kpr)|(kdp)|(train st.+moving)|(\|lc)|(penalty))"</v>
      </c>
      <c r="AG82" s="182" t="str">
        <f t="shared" si="45"/>
        <v>EC</v>
      </c>
      <c r="AH82" s="78" t="str">
        <f t="shared" si="27"/>
        <v>"%USERPROFILE%\Documents\GitHub\eaglep3\Utilities\RefineRTDCRunTimes.py" --tripid 170-20 --locoid 4057 --swversion DE.1.0.9.0 --startMP 204:233009 --initTime 2017-09-20T12:57:23 --startdatetime 2017-09-20T13:12:14 --delay 81 --endMP 204:154 --enddatetime 2017-09-20T13:50:27 --enforcementcount 0 &gt;&gt;c:\users\tmcdowell\Documents\GitHub\eaglep3-reporting\EC\2017-09-20-refined-times.txt</v>
      </c>
      <c r="AI8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ID","value":"170-20"},{"id":16,"name":"Locomotive ID","value":"4057"},{"id":130,"name":"Impact","value":""},{"id":150,"name":"Time of Event (Mountain Time)","value":"13:50:27"},{"id":151,"name":"Denver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9"/>
        <v>start /low /b %USERPROFILE%\Documents\GitHub\eaglep3\Utilities\DownloadLogsFromS3.py --loco 4057 --day 2017-09-20</v>
      </c>
      <c r="AN8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1"/>
        <v>https://d0f6bd738d7f1b3e5a7ca70fe4ff75f0.us-east-1.aws.found.io/app/kibana#/discover/Steve-Slow-Train-Analysis-(2080s-and-2083s)?_g=(refreshInterval:(display:Off,pause:!f,section:0,value:0),time:(from:'2017-09-20T11:57:23-0600',mode:absolute,to:'2017-09-20T14:50:27-0600'))&amp;_a=(columns:!('Message%20ID',Summary),filters:!(),index:'emp_*',interval:auto,query:(query_string:(analyze_wildcard:!t,query:'Message%5C+ID:(*)+AND+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4064</v>
      </c>
      <c r="C83" s="21" t="s">
        <v>196</v>
      </c>
      <c r="D83" s="21" t="s">
        <v>437</v>
      </c>
      <c r="E83" s="13">
        <v>42998.518263888887</v>
      </c>
      <c r="F83" s="13">
        <v>42998.521203703705</v>
      </c>
      <c r="G83" s="7">
        <v>50</v>
      </c>
      <c r="H83" s="21" t="s">
        <v>544</v>
      </c>
      <c r="I83" s="13">
        <v>42998.547372685185</v>
      </c>
      <c r="J83" s="7">
        <v>0</v>
      </c>
      <c r="K83" s="89" t="str">
        <f t="shared" si="32"/>
        <v>4063/4064</v>
      </c>
      <c r="L83" s="185" t="str">
        <f>VLOOKUP(A83,'Trips&amp;Operators'!$C$1:$G$99911,5,FALSE)</f>
        <v>DAVIS MICHAEL</v>
      </c>
      <c r="M83" s="6">
        <f t="shared" si="33"/>
        <v>2.6168981479713693E-2</v>
      </c>
      <c r="N83" s="7">
        <f t="shared" si="34"/>
        <v>37.683333330787718</v>
      </c>
      <c r="O83" s="7"/>
      <c r="P83" s="7"/>
      <c r="Q83" s="22"/>
      <c r="R83" s="174"/>
      <c r="S83" s="221">
        <f t="shared" si="35"/>
        <v>1</v>
      </c>
      <c r="T83" s="174" t="str">
        <f t="shared" si="36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7"/>
        <v>https://d0f6bd738d7f1b3e5a7ca70fe4ff75f0.us-east-1.aws.found.io/app/kibana#/discover/Steve-Slow-Train-Analysis-(2080s-and-2083s)?_g=(refreshInterval:(display:Off,pause:!f,section:0,value:0),time:(from:'2017-09-20T11:26:18-0600',mode:absolute,to:'2017-09-20T14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04" t="str">
        <f>IF(AA83&lt;VLOOKUP(AG83,Variables!$AC$3:$AD$8,2,FALSE),"Y","N")</f>
        <v>N</v>
      </c>
      <c r="X83" s="204">
        <f t="shared" si="38"/>
        <v>1</v>
      </c>
      <c r="Y83" s="204">
        <f t="shared" si="39"/>
        <v>4.7500000000000001E-2</v>
      </c>
      <c r="Z83" s="204">
        <f t="shared" si="40"/>
        <v>23.337199999999999</v>
      </c>
      <c r="AA83" s="204">
        <f t="shared" si="41"/>
        <v>23.2897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2"/>
        <v>171</v>
      </c>
      <c r="AE83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83" s="74" t="str">
        <f t="shared" si="44"/>
        <v>"C:\Program Files (x86)\AstroGrep\AstroGrep.exe" /e /r /s /spath="%USERPROFILE%\AppData\Local\Temp\OnboardLogs" /stypes="app*4064*20170920*" /stext=" 19:.+((SYSTEM_STATE.+slice.+state.+changed )|(ment ac)|(multiple cpu faults)|(system.+state.+changed )|(\[timeout)|(PRM\|1\|D)|(kpr)|(kdp)|(train st.+moving)|(\|lc)|(penalty))"</v>
      </c>
      <c r="AG83" s="182" t="str">
        <f t="shared" si="45"/>
        <v>EC</v>
      </c>
      <c r="AH83" s="78" t="str">
        <f t="shared" si="27"/>
        <v>"%USERPROFILE%\Documents\GitHub\eaglep3\Utilities\RefineRTDCRunTimes.py" --tripid 171-20 --locoid 4064 --swversion DE.1.0.9.0 --startMP 204:475 --initTime 2017-09-20T12:26:18 --startdatetime 2017-09-20T12:30:32 --delay 50 --endMP 204:233372 --enddatetime 2017-09-20T13:08:13 --enforcementcount 0 &gt;&gt;c:\users\tmcdowell\Documents\GitHub\eaglep3-reporting\EC\2017-09-20-refined-times.txt</v>
      </c>
      <c r="AI8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{"issue":{"subject":"","project_id":79,"tracker_id":40,"status_id":1,"priority_id":2,"assigned_to_id":338,"start_date":"2017-09-20","description":"","custom_fields":[{"id":1,"name":"Subdivision","value":"EC"},{"id":4,"name":"Milepost","value":"23.3372"},{"id":17,"name":"Train ID","value":"171-20"},{"id":16,"name":"Locomotive ID","value":"4064"},{"id":130,"name":"Impact","value":""},{"id":150,"name":"Time of Event (Mountain Time)","value":"13:08:13"},{"id":151,"name":"Denver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29"/>
        <v>start /low /b %USERPROFILE%\Documents\GitHub\eaglep3\Utilities\DownloadLogsFromS3.py --loco 4064 --day 2017-09-20</v>
      </c>
      <c r="AN8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1"/>
        <v>https://d0f6bd738d7f1b3e5a7ca70fe4ff75f0.us-east-1.aws.found.io/app/kibana#/discover/Steve-Slow-Train-Analysis-(2080s-and-2083s)?_g=(refreshInterval:(display:Off,pause:!f,section:0,value:0),time:(from:'2017-09-20T11:26:18-0600',mode:absolute,to:'2017-09-20T14:08:13-0600'))&amp;_a=(columns:!('Message%20ID',Summary),filters:!(),index:'emp_*',interval:auto,query:(query_string:(analyze_wildcard:!t,query:'Message%5C+ID:(*)+AND+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733</v>
      </c>
      <c r="B84" s="7">
        <v>4063</v>
      </c>
      <c r="C84" s="21" t="s">
        <v>196</v>
      </c>
      <c r="D84" s="21" t="s">
        <v>468</v>
      </c>
      <c r="E84" s="13">
        <v>42998.558379629627</v>
      </c>
      <c r="F84" s="13">
        <v>42998.560810185183</v>
      </c>
      <c r="G84" s="7">
        <v>74</v>
      </c>
      <c r="H84" s="21" t="s">
        <v>342</v>
      </c>
      <c r="I84" s="13">
        <v>42998.588078703702</v>
      </c>
      <c r="J84" s="7">
        <v>0</v>
      </c>
      <c r="K84" s="89" t="str">
        <f t="shared" si="32"/>
        <v>4063/4064</v>
      </c>
      <c r="L84" s="185" t="str">
        <f>VLOOKUP(A84,'Trips&amp;Operators'!$C$1:$G$99911,5,FALSE)</f>
        <v>DAVIS MICHAEL</v>
      </c>
      <c r="M84" s="6">
        <f t="shared" si="33"/>
        <v>2.7268518519122154E-2</v>
      </c>
      <c r="N84" s="7">
        <f t="shared" si="34"/>
        <v>39.266666667535901</v>
      </c>
      <c r="O84" s="7"/>
      <c r="P84" s="7"/>
      <c r="Q84" s="22"/>
      <c r="R84" s="174"/>
      <c r="S84" s="221">
        <f t="shared" si="35"/>
        <v>1</v>
      </c>
      <c r="T84" s="174" t="str">
        <f t="shared" si="36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7"/>
        <v>https://d0f6bd738d7f1b3e5a7ca70fe4ff75f0.us-east-1.aws.found.io/app/kibana#/discover/Steve-Slow-Train-Analysis-(2080s-and-2083s)?_g=(refreshInterval:(display:Off,pause:!f,section:0,value:0),time:(from:'2017-09-20T12:24:04-0600',mode:absolute,to:'2017-09-20T15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04" t="str">
        <f>IF(AA84&lt;VLOOKUP(AG84,Variables!$AC$3:$AD$8,2,FALSE),"Y","N")</f>
        <v>N</v>
      </c>
      <c r="X84" s="204">
        <f t="shared" si="38"/>
        <v>1</v>
      </c>
      <c r="Y84" s="204">
        <f t="shared" si="39"/>
        <v>23.302299999999999</v>
      </c>
      <c r="Z84" s="204">
        <f t="shared" si="40"/>
        <v>1.47E-2</v>
      </c>
      <c r="AA84" s="204">
        <f t="shared" si="41"/>
        <v>23.287599999999998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2"/>
        <v>172</v>
      </c>
      <c r="AE84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84" s="74" t="str">
        <f t="shared" si="44"/>
        <v>"C:\Program Files (x86)\AstroGrep\AstroGrep.exe" /e /r /s /spath="%USERPROFILE%\AppData\Local\Temp\OnboardLogs" /stypes="app*4063*20170920*" /stext=" 20:.+((SYSTEM_STATE.+slice.+state.+changed )|(ment ac)|(multiple cpu faults)|(system.+state.+changed )|(\[timeout)|(PRM\|1\|D)|(kpr)|(kdp)|(train st.+moving)|(\|lc)|(penalty))"</v>
      </c>
      <c r="AG84" s="182" t="str">
        <f t="shared" si="45"/>
        <v>EC</v>
      </c>
      <c r="AH84" s="78" t="str">
        <f t="shared" si="27"/>
        <v>"%USERPROFILE%\Documents\GitHub\eaglep3\Utilities\RefineRTDCRunTimes.py" --tripid 172-20 --locoid 4063 --swversion DE.1.0.9.0 --startMP 204:233023 --initTime 2017-09-20T13:24:04 --startdatetime 2017-09-20T13:27:34 --delay 74 --endMP 204:147 --enddatetime 2017-09-20T14:06:50 --enforcementcount 0 &gt;&gt;c:\users\tmcdowell\Documents\GitHub\eaglep3-reporting\EC\2017-09-20-refined-times.txt</v>
      </c>
      <c r="AI8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ID","value":"172-20"},{"id":16,"name":"Locomotive ID","value":"4063"},{"id":130,"name":"Impact","value":""},{"id":150,"name":"Time of Event (Mountain Time)","value":"14:06:50"},{"id":151,"name":"Denver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29"/>
        <v>start /low /b %USERPROFILE%\Documents\GitHub\eaglep3\Utilities\DownloadLogsFromS3.py --loco 4063 --day 2017-09-20</v>
      </c>
      <c r="AN8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1"/>
        <v>https://d0f6bd738d7f1b3e5a7ca70fe4ff75f0.us-east-1.aws.found.io/app/kibana#/discover/Steve-Slow-Train-Analysis-(2080s-and-2083s)?_g=(refreshInterval:(display:Off,pause:!f,section:0,value:0),time:(from:'2017-09-20T12:24:04-0600',mode:absolute,to:'2017-09-20T15:06:50-0600'))&amp;_a=(columns:!('Message%20ID',Summary),filters:!(),index:'emp_*',interval:auto,query:(query_string:(analyze_wildcard:!t,query:'Message%5C+ID:(*)+AND+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4062</v>
      </c>
      <c r="C85" s="21" t="s">
        <v>196</v>
      </c>
      <c r="D85" s="21" t="s">
        <v>357</v>
      </c>
      <c r="E85" s="13">
        <v>42998.528414351851</v>
      </c>
      <c r="F85" s="13">
        <v>42998.531597222223</v>
      </c>
      <c r="G85" s="7">
        <v>63</v>
      </c>
      <c r="H85" s="21" t="s">
        <v>860</v>
      </c>
      <c r="I85" s="13">
        <v>42998.555185185185</v>
      </c>
      <c r="J85" s="7">
        <v>0</v>
      </c>
      <c r="K85" s="89" t="str">
        <f t="shared" si="32"/>
        <v>4061/4062</v>
      </c>
      <c r="L85" s="185" t="str">
        <f>VLOOKUP(A85,'Trips&amp;Operators'!$C$1:$G$99911,5,FALSE)</f>
        <v>HOLCOMB KAMDEN</v>
      </c>
      <c r="M85" s="6">
        <f t="shared" si="33"/>
        <v>2.3587962961755693E-2</v>
      </c>
      <c r="N85" s="7">
        <f t="shared" si="34"/>
        <v>33.966666664928198</v>
      </c>
      <c r="O85" s="7"/>
      <c r="P85" s="7"/>
      <c r="Q85" s="22"/>
      <c r="R85" s="174"/>
      <c r="S85" s="221">
        <f t="shared" si="35"/>
        <v>1</v>
      </c>
      <c r="T85" s="174" t="str">
        <f t="shared" si="36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7"/>
        <v>https://d0f6bd738d7f1b3e5a7ca70fe4ff75f0.us-east-1.aws.found.io/app/kibana#/discover/Steve-Slow-Train-Analysis-(2080s-and-2083s)?_g=(refreshInterval:(display:Off,pause:!f,section:0,value:0),time:(from:'2017-09-20T11:40:55-0600',mode:absolute,to:'2017-09-20T14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204" t="str">
        <f>IF(AA85&lt;VLOOKUP(AG85,Variables!$AC$3:$AD$8,2,FALSE),"Y","N")</f>
        <v>N</v>
      </c>
      <c r="X85" s="204">
        <f t="shared" si="38"/>
        <v>1</v>
      </c>
      <c r="Y85" s="204">
        <f t="shared" si="39"/>
        <v>4.58E-2</v>
      </c>
      <c r="Z85" s="204">
        <f t="shared" si="40"/>
        <v>23.325900000000001</v>
      </c>
      <c r="AA85" s="204">
        <f t="shared" si="41"/>
        <v>23.280100000000001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2"/>
        <v>173</v>
      </c>
      <c r="AE85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85" s="74" t="str">
        <f t="shared" si="44"/>
        <v>"C:\Program Files (x86)\AstroGrep\AstroGrep.exe" /e /r /s /spath="%USERPROFILE%\AppData\Local\Temp\OnboardLogs" /stypes="app*4062*20170920*" /stext=" 19:.+((SYSTEM_STATE.+slice.+state.+changed )|(ment ac)|(multiple cpu faults)|(system.+state.+changed )|(\[timeout)|(PRM\|1\|D)|(kpr)|(kdp)|(train st.+moving)|(\|lc)|(penalty))"</v>
      </c>
      <c r="AG85" s="182" t="str">
        <f t="shared" si="45"/>
        <v>EC</v>
      </c>
      <c r="AH85" s="78" t="str">
        <f t="shared" si="27"/>
        <v>"%USERPROFILE%\Documents\GitHub\eaglep3\Utilities\RefineRTDCRunTimes.py" --tripid 173-20 --locoid 4062 --swversion DE.1.0.9.0 --startMP 204:458 --initTime 2017-09-20T12:40:55 --startdatetime 2017-09-20T12:45:30 --delay 63 --endMP 204:233259 --enddatetime 2017-09-20T13:19:28 --enforcementcount 0 &gt;&gt;c:\users\tmcdowell\Documents\GitHub\eaglep3-reporting\EC\2017-09-20-refined-times.txt</v>
      </c>
      <c r="AI8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{"issue":{"subject":"","project_id":79,"tracker_id":40,"status_id":1,"priority_id":2,"assigned_to_id":338,"start_date":"2017-09-20","description":"","custom_fields":[{"id":1,"name":"Subdivision","value":"EC"},{"id":4,"name":"Milepost","value":"23.3259"},{"id":17,"name":"Train ID","value":"173-20"},{"id":16,"name":"Locomotive ID","value":"4062"},{"id":130,"name":"Impact","value":""},{"id":150,"name":"Time of Event (Mountain Time)","value":"13:19:28"},{"id":151,"name":"Denver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29"/>
        <v>start /low /b %USERPROFILE%\Documents\GitHub\eaglep3\Utilities\DownloadLogsFromS3.py --loco 4062 --day 2017-09-20</v>
      </c>
      <c r="AN8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1"/>
        <v>https://d0f6bd738d7f1b3e5a7ca70fe4ff75f0.us-east-1.aws.found.io/app/kibana#/discover/Steve-Slow-Train-Analysis-(2080s-and-2083s)?_g=(refreshInterval:(display:Off,pause:!f,section:0,value:0),time:(from:'2017-09-20T11:40:55-0600',mode:absolute,to:'2017-09-20T14:19:28-0600'))&amp;_a=(columns:!('Message%20ID',Summary),filters:!(),index:'emp_*',interval:auto,query:(query_string:(analyze_wildcard:!t,query:'Message%5C+ID:(*)+AND+%22rtdc.l.rtdc.4062%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735</v>
      </c>
      <c r="B86" s="7">
        <v>4061</v>
      </c>
      <c r="C86" s="21" t="s">
        <v>196</v>
      </c>
      <c r="D86" s="21" t="s">
        <v>543</v>
      </c>
      <c r="E86" s="13">
        <v>42998.565150462964</v>
      </c>
      <c r="F86" s="13">
        <v>42998.571053240739</v>
      </c>
      <c r="G86" s="7">
        <v>79</v>
      </c>
      <c r="H86" s="21" t="s">
        <v>546</v>
      </c>
      <c r="I86" s="13">
        <v>42998.596701388888</v>
      </c>
      <c r="J86" s="7">
        <v>0</v>
      </c>
      <c r="K86" s="89" t="str">
        <f t="shared" si="32"/>
        <v>4061/4062</v>
      </c>
      <c r="L86" s="185" t="str">
        <f>VLOOKUP(A86,'Trips&amp;Operators'!$C$1:$G$99911,5,FALSE)</f>
        <v>HOLCOMB KAMDEN</v>
      </c>
      <c r="M86" s="6">
        <f t="shared" si="33"/>
        <v>2.5648148148320615E-2</v>
      </c>
      <c r="N86" s="7">
        <f t="shared" si="34"/>
        <v>36.933333333581686</v>
      </c>
      <c r="O86" s="7"/>
      <c r="P86" s="7"/>
      <c r="Q86" s="22"/>
      <c r="R86" s="174"/>
      <c r="S86" s="221">
        <f t="shared" si="35"/>
        <v>1</v>
      </c>
      <c r="T86" s="174" t="str">
        <f t="shared" si="36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7"/>
        <v>https://d0f6bd738d7f1b3e5a7ca70fe4ff75f0.us-east-1.aws.found.io/app/kibana#/discover/Steve-Slow-Train-Analysis-(2080s-and-2083s)?_g=(refreshInterval:(display:Off,pause:!f,section:0,value:0),time:(from:'2017-09-20T12:33:49-0600',mode:absolute,to:'2017-09-20T15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204" t="str">
        <f>IF(AA86&lt;VLOOKUP(AG86,Variables!$AC$3:$AD$8,2,FALSE),"Y","N")</f>
        <v>N</v>
      </c>
      <c r="X86" s="204">
        <f t="shared" si="38"/>
        <v>1</v>
      </c>
      <c r="Y86" s="204">
        <f t="shared" si="39"/>
        <v>23.2973</v>
      </c>
      <c r="Z86" s="204">
        <f t="shared" si="40"/>
        <v>1.2500000000000001E-2</v>
      </c>
      <c r="AA86" s="204">
        <f t="shared" si="41"/>
        <v>23.284800000000001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2"/>
        <v>174</v>
      </c>
      <c r="AE86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86" s="74" t="str">
        <f t="shared" si="44"/>
        <v>"C:\Program Files (x86)\AstroGrep\AstroGrep.exe" /e /r /s /spath="%USERPROFILE%\AppData\Local\Temp\OnboardLogs" /stypes="app*4061*20170920*" /stext=" 20:.+((SYSTEM_STATE.+slice.+state.+changed )|(ment ac)|(multiple cpu faults)|(system.+state.+changed )|(\[timeout)|(PRM\|1\|D)|(kpr)|(kdp)|(train st.+moving)|(\|lc)|(penalty))"</v>
      </c>
      <c r="AG86" s="182" t="str">
        <f t="shared" si="45"/>
        <v>EC</v>
      </c>
      <c r="AH86" s="78" t="str">
        <f t="shared" si="27"/>
        <v>"%USERPROFILE%\Documents\GitHub\eaglep3\Utilities\RefineRTDCRunTimes.py" --tripid 174-20 --locoid 4061 --swversion DE.1.0.9.0 --startMP 204:232973 --initTime 2017-09-20T13:33:49 --startdatetime 2017-09-20T13:42:19 --delay 79 --endMP 204:125 --enddatetime 2017-09-20T14:19:15 --enforcementcount 0 &gt;&gt;c:\users\tmcdowell\Documents\GitHub\eaglep3-reporting\EC\2017-09-20-refined-times.txt</v>
      </c>
      <c r="AI8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{"issue":{"subject":"","project_id":79,"tracker_id":40,"status_id":1,"priority_id":2,"assigned_to_id":338,"start_date":"2017-09-20","description":"","custom_fields":[{"id":1,"name":"Subdivision","value":"EC"},{"id":4,"name":"Milepost","value":"0.0125"},{"id":17,"name":"Train ID","value":"174-20"},{"id":16,"name":"Locomotive ID","value":"4061"},{"id":130,"name":"Impact","value":""},{"id":150,"name":"Time of Event (Mountain Time)","value":"14:19:15"},{"id":151,"name":"Denver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29"/>
        <v>start /low /b %USERPROFILE%\Documents\GitHub\eaglep3\Utilities\DownloadLogsFromS3.py --loco 4061 --day 2017-09-20</v>
      </c>
      <c r="AN8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1"/>
        <v>https://d0f6bd738d7f1b3e5a7ca70fe4ff75f0.us-east-1.aws.found.io/app/kibana#/discover/Steve-Slow-Train-Analysis-(2080s-and-2083s)?_g=(refreshInterval:(display:Off,pause:!f,section:0,value:0),time:(from:'2017-09-20T12:33:49-0600',mode:absolute,to:'2017-09-20T15:19:15-0600'))&amp;_a=(columns:!('Message%20ID',Summary),filters:!(),index:'emp_*',interval:auto,query:(query_string:(analyze_wildcard:!t,query:'Message%5C+ID:(*)+AND+%22rtdc.l.rtdc.4061%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4040</v>
      </c>
      <c r="C87" s="21" t="s">
        <v>196</v>
      </c>
      <c r="D87" s="21" t="s">
        <v>407</v>
      </c>
      <c r="E87" s="13">
        <v>42998.537129629629</v>
      </c>
      <c r="F87" s="13">
        <v>42998.541863425926</v>
      </c>
      <c r="G87" s="7">
        <v>74</v>
      </c>
      <c r="H87" s="21" t="s">
        <v>406</v>
      </c>
      <c r="I87" s="13">
        <v>42998.566458333335</v>
      </c>
      <c r="J87" s="7">
        <v>0</v>
      </c>
      <c r="K87" s="89" t="str">
        <f t="shared" si="32"/>
        <v>4039/4040</v>
      </c>
      <c r="L87" s="185" t="str">
        <f>VLOOKUP(A87,'Trips&amp;Operators'!$C$1:$G$99911,5,FALSE)</f>
        <v>BRUDER RICHARD</v>
      </c>
      <c r="M87" s="6">
        <f t="shared" si="33"/>
        <v>2.4594907408754807E-2</v>
      </c>
      <c r="N87" s="7">
        <f t="shared" si="34"/>
        <v>35.416666668606922</v>
      </c>
      <c r="O87" s="7"/>
      <c r="P87" s="7"/>
      <c r="Q87" s="22"/>
      <c r="R87" s="174"/>
      <c r="S87" s="221">
        <f t="shared" si="35"/>
        <v>1</v>
      </c>
      <c r="T87" s="174" t="str">
        <f t="shared" si="36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7"/>
        <v>https://d0f6bd738d7f1b3e5a7ca70fe4ff75f0.us-east-1.aws.found.io/app/kibana#/discover/Steve-Slow-Train-Analysis-(2080s-and-2083s)?_g=(refreshInterval:(display:Off,pause:!f,section:0,value:0),time:(from:'2017-09-20T11:53:28-0600',mode:absolute,to:'2017-09-20T14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204" t="str">
        <f>IF(AA87&lt;VLOOKUP(AG87,Variables!$AC$3:$AD$8,2,FALSE),"Y","N")</f>
        <v>N</v>
      </c>
      <c r="X87" s="204">
        <f t="shared" si="38"/>
        <v>1</v>
      </c>
      <c r="Y87" s="204">
        <f t="shared" si="39"/>
        <v>4.7100000000000003E-2</v>
      </c>
      <c r="Z87" s="204">
        <f t="shared" si="40"/>
        <v>23.331199999999999</v>
      </c>
      <c r="AA87" s="204">
        <f t="shared" si="41"/>
        <v>23.284099999999999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2"/>
        <v>175</v>
      </c>
      <c r="AE87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87" s="74" t="str">
        <f t="shared" si="44"/>
        <v>"C:\Program Files (x86)\AstroGrep\AstroGrep.exe" /e /r /s /spath="%USERPROFILE%\AppData\Local\Temp\OnboardLogs" /stypes="app*4040*20170920*" /stext=" 19:.+((SYSTEM_STATE.+slice.+state.+changed )|(ment ac)|(multiple cpu faults)|(system.+state.+changed )|(\[timeout)|(PRM\|1\|D)|(kpr)|(kdp)|(train st.+moving)|(\|lc)|(penalty))"</v>
      </c>
      <c r="AG87" s="182" t="str">
        <f t="shared" si="45"/>
        <v>EC</v>
      </c>
      <c r="AH87" s="78" t="str">
        <f t="shared" si="27"/>
        <v>"%USERPROFILE%\Documents\GitHub\eaglep3\Utilities\RefineRTDCRunTimes.py" --tripid 175-20 --locoid 4040 --swversion DE.1.0.9.0 --startMP 204:471 --initTime 2017-09-20T12:53:28 --startdatetime 2017-09-20T13:00:17 --delay 74 --endMP 204:233312 --enddatetime 2017-09-20T13:35:42 --enforcementcount 0 &gt;&gt;c:\users\tmcdowell\Documents\GitHub\eaglep3-reporting\EC\2017-09-20-refined-times.txt</v>
      </c>
      <c r="AI8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ID","value":"175-20"},{"id":16,"name":"Locomotive ID","value":"4040"},{"id":130,"name":"Impact","value":""},{"id":150,"name":"Time of Event (Mountain Time)","value":"13:35:42"},{"id":151,"name":"Denver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29"/>
        <v>start /low /b %USERPROFILE%\Documents\GitHub\eaglep3\Utilities\DownloadLogsFromS3.py --loco 4040 --day 2017-09-20</v>
      </c>
      <c r="AN8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1"/>
        <v>https://d0f6bd738d7f1b3e5a7ca70fe4ff75f0.us-east-1.aws.found.io/app/kibana#/discover/Steve-Slow-Train-Analysis-(2080s-and-2083s)?_g=(refreshInterval:(display:Off,pause:!f,section:0,value:0),time:(from:'2017-09-20T11:53:28-0600',mode:absolute,to:'2017-09-20T14:35:42-0600'))&amp;_a=(columns:!('Message%20ID',Summary),filters:!(),index:'emp_*',interval:auto,query:(query_string:(analyze_wildcard:!t,query:'Message%5C+ID:(*)+AND+%22rtdc.l.rtdc.4040%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738</v>
      </c>
      <c r="B88" s="7">
        <v>4039</v>
      </c>
      <c r="C88" s="21" t="s">
        <v>196</v>
      </c>
      <c r="D88" s="21" t="s">
        <v>423</v>
      </c>
      <c r="E88" s="13">
        <v>42998.578368055554</v>
      </c>
      <c r="F88" s="13">
        <v>42998.581423611111</v>
      </c>
      <c r="G88" s="7">
        <v>51</v>
      </c>
      <c r="H88" s="21" t="s">
        <v>412</v>
      </c>
      <c r="I88" s="13">
        <v>42998.606562499997</v>
      </c>
      <c r="J88" s="7">
        <v>0</v>
      </c>
      <c r="K88" s="89" t="str">
        <f t="shared" si="32"/>
        <v>4039/4040</v>
      </c>
      <c r="L88" s="185" t="str">
        <f>VLOOKUP(A88,'Trips&amp;Operators'!$C$1:$G$99911,5,FALSE)</f>
        <v>BRUDER RICHARD</v>
      </c>
      <c r="M88" s="6">
        <f t="shared" si="33"/>
        <v>2.5138888886431232E-2</v>
      </c>
      <c r="N88" s="7">
        <f t="shared" si="34"/>
        <v>36.199999996460974</v>
      </c>
      <c r="O88" s="7"/>
      <c r="P88" s="7"/>
      <c r="Q88" s="22"/>
      <c r="R88" s="174"/>
      <c r="S88" s="221">
        <f t="shared" si="35"/>
        <v>1</v>
      </c>
      <c r="T88" s="174" t="str">
        <f t="shared" si="36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7"/>
        <v>https://d0f6bd738d7f1b3e5a7ca70fe4ff75f0.us-east-1.aws.found.io/app/kibana#/discover/Steve-Slow-Train-Analysis-(2080s-and-2083s)?_g=(refreshInterval:(display:Off,pause:!f,section:0,value:0),time:(from:'2017-09-20T12:52:51-0600',mode:absolute,to:'2017-09-20T15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204" t="str">
        <f>IF(AA88&lt;VLOOKUP(AG88,Variables!$AC$3:$AD$8,2,FALSE),"Y","N")</f>
        <v>N</v>
      </c>
      <c r="X88" s="204">
        <f t="shared" si="38"/>
        <v>1</v>
      </c>
      <c r="Y88" s="204">
        <f t="shared" si="39"/>
        <v>23.299099999999999</v>
      </c>
      <c r="Z88" s="204">
        <f t="shared" si="40"/>
        <v>1.54E-2</v>
      </c>
      <c r="AA88" s="204">
        <f t="shared" si="41"/>
        <v>23.2837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2"/>
        <v>176</v>
      </c>
      <c r="AE88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88" s="74" t="str">
        <f t="shared" si="44"/>
        <v>"C:\Program Files (x86)\AstroGrep\AstroGrep.exe" /e /r /s /spath="%USERPROFILE%\AppData\Local\Temp\OnboardLogs" /stypes="app*4039*20170920*" /stext=" 20:.+((SYSTEM_STATE.+slice.+state.+changed )|(ment ac)|(multiple cpu faults)|(system.+state.+changed )|(\[timeout)|(PRM\|1\|D)|(kpr)|(kdp)|(train st.+moving)|(\|lc)|(penalty))"</v>
      </c>
      <c r="AG88" s="182" t="str">
        <f t="shared" si="45"/>
        <v>EC</v>
      </c>
      <c r="AH88" s="78" t="str">
        <f t="shared" si="27"/>
        <v>"%USERPROFILE%\Documents\GitHub\eaglep3\Utilities\RefineRTDCRunTimes.py" --tripid 176-20 --locoid 4039 --swversion DE.1.0.9.0 --startMP 204:232991 --initTime 2017-09-20T13:52:51 --startdatetime 2017-09-20T13:57:15 --delay 51 --endMP 204:154 --enddatetime 2017-09-20T14:33:27 --enforcementcount 0 &gt;&gt;c:\users\tmcdowell\Documents\GitHub\eaglep3-reporting\EC\2017-09-20-refined-times.txt</v>
      </c>
      <c r="AI8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ID","value":"176-20"},{"id":16,"name":"Locomotive ID","value":"4039"},{"id":130,"name":"Impact","value":""},{"id":150,"name":"Time of Event (Mountain Time)","value":"14:33:27"},{"id":151,"name":"Denver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29"/>
        <v>start /low /b %USERPROFILE%\Documents\GitHub\eaglep3\Utilities\DownloadLogsFromS3.py --loco 4039 --day 2017-09-20</v>
      </c>
      <c r="AN8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1"/>
        <v>https://d0f6bd738d7f1b3e5a7ca70fe4ff75f0.us-east-1.aws.found.io/app/kibana#/discover/Steve-Slow-Train-Analysis-(2080s-and-2083s)?_g=(refreshInterval:(display:Off,pause:!f,section:0,value:0),time:(from:'2017-09-20T12:52:51-0600',mode:absolute,to:'2017-09-20T15:33:27-0600'))&amp;_a=(columns:!('Message%20ID',Summary),filters:!(),index:'emp_*',interval:auto,query:(query_string:(analyze_wildcard:!t,query:'Message%5C+ID:(*)+AND+%22rtdc.l.rtdc.4039%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731</v>
      </c>
      <c r="B89" s="7">
        <v>4044</v>
      </c>
      <c r="C89" s="21" t="s">
        <v>196</v>
      </c>
      <c r="D89" s="21" t="s">
        <v>401</v>
      </c>
      <c r="E89" s="13">
        <v>42998.549502314818</v>
      </c>
      <c r="F89" s="13">
        <v>42998.552951388891</v>
      </c>
      <c r="G89" s="7">
        <v>65</v>
      </c>
      <c r="H89" s="21" t="s">
        <v>491</v>
      </c>
      <c r="I89" s="13">
        <v>42998.577268518522</v>
      </c>
      <c r="J89" s="7">
        <v>0</v>
      </c>
      <c r="K89" s="89" t="str">
        <f t="shared" si="32"/>
        <v>4043/4044</v>
      </c>
      <c r="L89" s="185" t="str">
        <f>VLOOKUP(A89,'Trips&amp;Operators'!$C$1:$G$99911,5,FALSE)</f>
        <v>MOSES BRADLEY</v>
      </c>
      <c r="M89" s="6">
        <f t="shared" si="33"/>
        <v>2.4317129631526768E-2</v>
      </c>
      <c r="N89" s="7">
        <f t="shared" si="34"/>
        <v>35.016666669398546</v>
      </c>
      <c r="O89" s="7"/>
      <c r="P89" s="7"/>
      <c r="Q89" s="22"/>
      <c r="R89" s="174"/>
      <c r="S89" s="221">
        <f t="shared" si="35"/>
        <v>1</v>
      </c>
      <c r="T89" s="174" t="str">
        <f t="shared" si="36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7"/>
        <v>https://d0f6bd738d7f1b3e5a7ca70fe4ff75f0.us-east-1.aws.found.io/app/kibana#/discover/Steve-Slow-Train-Analysis-(2080s-and-2083s)?_g=(refreshInterval:(display:Off,pause:!f,section:0,value:0),time:(from:'2017-09-20T12:11:17-0600',mode:absolute,to:'2017-09-20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204" t="str">
        <f>IF(AA89&lt;VLOOKUP(AG89,Variables!$AC$3:$AD$8,2,FALSE),"Y","N")</f>
        <v>N</v>
      </c>
      <c r="X89" s="204">
        <f t="shared" si="38"/>
        <v>1</v>
      </c>
      <c r="Y89" s="204">
        <f t="shared" si="39"/>
        <v>4.5100000000000001E-2</v>
      </c>
      <c r="Z89" s="204">
        <f t="shared" si="40"/>
        <v>23.331399999999999</v>
      </c>
      <c r="AA89" s="204">
        <f t="shared" si="41"/>
        <v>23.286299999999997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2"/>
        <v>177</v>
      </c>
      <c r="AE89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89" s="74" t="str">
        <f t="shared" si="44"/>
        <v>"C:\Program Files (x86)\AstroGrep\AstroGrep.exe" /e /r /s /spath="%USERPROFILE%\AppData\Local\Temp\OnboardLogs" /stypes="app*4044*20170920*" /stext=" 19:.+((SYSTEM_STATE.+slice.+state.+changed )|(ment ac)|(multiple cpu faults)|(system.+state.+changed )|(\[timeout)|(PRM\|1\|D)|(kpr)|(kdp)|(train st.+moving)|(\|lc)|(penalty))"</v>
      </c>
      <c r="AG89" s="182" t="str">
        <f t="shared" si="45"/>
        <v>EC</v>
      </c>
      <c r="AH89" s="78" t="str">
        <f t="shared" si="27"/>
        <v>"%USERPROFILE%\Documents\GitHub\eaglep3\Utilities\RefineRTDCRunTimes.py" --tripid 177-20 --locoid 4044 --swversion DE.1.0.9.0 --startMP 204:451 --initTime 2017-09-20T13:11:17 --startdatetime 2017-09-20T13:16:15 --delay 65 --endMP 204:233314 --enddatetime 2017-09-20T13:51:16 --enforcementcount 0 &gt;&gt;c:\users\tmcdowell\Documents\GitHub\eaglep3-reporting\EC\2017-09-20-refined-times.txt</v>
      </c>
      <c r="AI8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ID","value":"177-20"},{"id":16,"name":"Locomotive ID","value":"4044"},{"id":130,"name":"Impact","value":""},{"id":150,"name":"Time of Event (Mountain Time)","value":"13:51:16"},{"id":151,"name":"Denver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29"/>
        <v>start /low /b %USERPROFILE%\Documents\GitHub\eaglep3\Utilities\DownloadLogsFromS3.py --loco 4044 --day 2017-09-20</v>
      </c>
      <c r="AN8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1"/>
        <v>https://d0f6bd738d7f1b3e5a7ca70fe4ff75f0.us-east-1.aws.found.io/app/kibana#/discover/Steve-Slow-Train-Analysis-(2080s-and-2083s)?_g=(refreshInterval:(display:Off,pause:!f,section:0,value:0),time:(from:'2017-09-20T12:11:17-0600',mode:absolute,to:'2017-09-20T14:51:16-0600'))&amp;_a=(columns:!('Message%20ID',Summary),filters:!(),index:'emp_*',interval:auto,query:(query_string:(analyze_wildcard:!t,query:'Message%5C+ID:(*)+AND+%22rtdc.l.rtdc.4044%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740</v>
      </c>
      <c r="B90" s="7">
        <v>4043</v>
      </c>
      <c r="C90" s="21" t="s">
        <v>196</v>
      </c>
      <c r="D90" s="21" t="s">
        <v>410</v>
      </c>
      <c r="E90" s="13">
        <v>42998.578900462962</v>
      </c>
      <c r="F90" s="13">
        <v>42998.591909722221</v>
      </c>
      <c r="G90" s="7">
        <v>49</v>
      </c>
      <c r="H90" s="21" t="s">
        <v>342</v>
      </c>
      <c r="I90" s="13">
        <v>42998.620185185187</v>
      </c>
      <c r="J90" s="7">
        <v>0</v>
      </c>
      <c r="K90" s="89" t="str">
        <f t="shared" si="32"/>
        <v>4043/4044</v>
      </c>
      <c r="L90" s="185" t="str">
        <f>VLOOKUP(A90,'Trips&amp;Operators'!$C$1:$G$99911,5,FALSE)</f>
        <v>MOSES BRADLEY</v>
      </c>
      <c r="M90" s="6">
        <f t="shared" si="33"/>
        <v>2.8275462966121268E-2</v>
      </c>
      <c r="N90" s="7">
        <f t="shared" si="34"/>
        <v>40.716666671214625</v>
      </c>
      <c r="O90" s="7"/>
      <c r="P90" s="7"/>
      <c r="Q90" s="22"/>
      <c r="R90" s="174"/>
      <c r="S90" s="221">
        <f t="shared" si="35"/>
        <v>1</v>
      </c>
      <c r="T90" s="174" t="str">
        <f t="shared" si="36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7"/>
        <v>https://d0f6bd738d7f1b3e5a7ca70fe4ff75f0.us-east-1.aws.found.io/app/kibana#/discover/Steve-Slow-Train-Analysis-(2080s-and-2083s)?_g=(refreshInterval:(display:Off,pause:!f,section:0,value:0),time:(from:'2017-09-20T12:53:37-0600',mode:absolute,to:'2017-09-20T15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204" t="str">
        <f>IF(AA90&lt;VLOOKUP(AG90,Variables!$AC$3:$AD$8,2,FALSE),"Y","N")</f>
        <v>N</v>
      </c>
      <c r="X90" s="204">
        <f t="shared" si="38"/>
        <v>1</v>
      </c>
      <c r="Y90" s="204">
        <f t="shared" si="39"/>
        <v>23.301300000000001</v>
      </c>
      <c r="Z90" s="204">
        <f t="shared" si="40"/>
        <v>1.47E-2</v>
      </c>
      <c r="AA90" s="204">
        <f t="shared" si="41"/>
        <v>23.2866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2"/>
        <v>178</v>
      </c>
      <c r="AE90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90" s="74" t="str">
        <f t="shared" si="44"/>
        <v>"C:\Program Files (x86)\AstroGrep\AstroGrep.exe" /e /r /s /spath="%USERPROFILE%\AppData\Local\Temp\OnboardLogs" /stypes="app*4043*20170920*" /stext=" 20:.+((SYSTEM_STATE.+slice.+state.+changed )|(ment ac)|(multiple cpu faults)|(system.+state.+changed )|(\[timeout)|(PRM\|1\|D)|(kpr)|(kdp)|(train st.+moving)|(\|lc)|(penalty))"</v>
      </c>
      <c r="AG90" s="182" t="str">
        <f t="shared" si="45"/>
        <v>EC</v>
      </c>
      <c r="AH90" s="78" t="str">
        <f t="shared" si="27"/>
        <v>"%USERPROFILE%\Documents\GitHub\eaglep3\Utilities\RefineRTDCRunTimes.py" --tripid 178-20 --locoid 4043 --swversion DE.1.0.9.0 --startMP 204:233013 --initTime 2017-09-20T13:53:37 --startdatetime 2017-09-20T14:12:21 --delay 49 --endMP 204:147 --enddatetime 2017-09-20T14:53:04 --enforcementcount 0 &gt;&gt;c:\users\tmcdowell\Documents\GitHub\eaglep3-reporting\EC\2017-09-20-refined-times.txt</v>
      </c>
      <c r="AI9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ID","value":"178-20"},{"id":16,"name":"Locomotive ID","value":"4043"},{"id":130,"name":"Impact","value":""},{"id":150,"name":"Time of Event (Mountain Time)","value":"14:53:04"},{"id":151,"name":"Denver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29"/>
        <v>start /low /b %USERPROFILE%\Documents\GitHub\eaglep3\Utilities\DownloadLogsFromS3.py --loco 4043 --day 2017-09-20</v>
      </c>
      <c r="AN9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1"/>
        <v>https://d0f6bd738d7f1b3e5a7ca70fe4ff75f0.us-east-1.aws.found.io/app/kibana#/discover/Steve-Slow-Train-Analysis-(2080s-and-2083s)?_g=(refreshInterval:(display:Off,pause:!f,section:0,value:0),time:(from:'2017-09-20T12:53:37-0600',mode:absolute,to:'2017-09-20T15:53:04-0600'))&amp;_a=(columns:!('Message%20ID',Summary),filters:!(),index:'emp_*',interval:auto,query:(query_string:(analyze_wildcard:!t,query:'Message%5C+ID:(*)+AND+%22rtdc.l.rtdc.4043%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732</v>
      </c>
      <c r="B91" s="7">
        <v>4002</v>
      </c>
      <c r="C91" s="21" t="s">
        <v>196</v>
      </c>
      <c r="D91" s="21" t="s">
        <v>399</v>
      </c>
      <c r="E91" s="13">
        <v>42998.557060185187</v>
      </c>
      <c r="F91" s="13">
        <v>42998.562685185185</v>
      </c>
      <c r="G91" s="7">
        <v>158</v>
      </c>
      <c r="H91" s="21" t="s">
        <v>488</v>
      </c>
      <c r="I91" s="13">
        <v>42998.586863425924</v>
      </c>
      <c r="J91" s="7">
        <v>0</v>
      </c>
      <c r="K91" s="89" t="str">
        <f t="shared" si="32"/>
        <v>4001/4002</v>
      </c>
      <c r="L91" s="185" t="str">
        <f>VLOOKUP(A91,'Trips&amp;Operators'!$C$1:$G$99911,5,FALSE)</f>
        <v>DELGADO DIANAH</v>
      </c>
      <c r="M91" s="6">
        <f t="shared" si="33"/>
        <v>2.417824073927477E-2</v>
      </c>
      <c r="N91" s="7">
        <f t="shared" si="34"/>
        <v>34.816666664555669</v>
      </c>
      <c r="O91" s="7"/>
      <c r="P91" s="7"/>
      <c r="Q91" s="22"/>
      <c r="R91" s="174"/>
      <c r="S91" s="221">
        <f t="shared" si="35"/>
        <v>1</v>
      </c>
      <c r="T91" s="174" t="str">
        <f t="shared" si="36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7"/>
        <v>https://d0f6bd738d7f1b3e5a7ca70fe4ff75f0.us-east-1.aws.found.io/app/kibana#/discover/Steve-Slow-Train-Analysis-(2080s-and-2083s)?_g=(refreshInterval:(display:Off,pause:!f,section:0,value:0),time:(from:'2017-09-20T12:22:10-0600',mode:absolute,to:'2017-09-20T15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 t="shared" si="38"/>
        <v>1</v>
      </c>
      <c r="Y91" s="204">
        <f t="shared" si="39"/>
        <v>4.6199999999999998E-2</v>
      </c>
      <c r="Z91" s="204">
        <f t="shared" si="40"/>
        <v>23.335100000000001</v>
      </c>
      <c r="AA91" s="204">
        <f t="shared" si="41"/>
        <v>23.288900000000002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2"/>
        <v>179</v>
      </c>
      <c r="AE91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91" s="74" t="str">
        <f t="shared" si="44"/>
        <v>"C:\Program Files (x86)\AstroGrep\AstroGrep.exe" /e /r /s /spath="%USERPROFILE%\AppData\Local\Temp\OnboardLogs" /stypes="app*4002*20170920*" /stext=" 20:.+((SYSTEM_STATE.+slice.+state.+changed )|(ment ac)|(multiple cpu faults)|(system.+state.+changed )|(\[timeout)|(PRM\|1\|D)|(kpr)|(kdp)|(train st.+moving)|(\|lc)|(penalty))"</v>
      </c>
      <c r="AG91" s="182" t="str">
        <f t="shared" si="45"/>
        <v>EC</v>
      </c>
      <c r="AH91" s="78" t="str">
        <f t="shared" si="27"/>
        <v>"%USERPROFILE%\Documents\GitHub\eaglep3\Utilities\RefineRTDCRunTimes.py" --tripid 179-20 --locoid 4002 --swversion DE.1.0.9.0 --startMP 204:462 --initTime 2017-09-20T13:22:10 --startdatetime 2017-09-20T13:30:16 --delay 158 --endMP 204:233351 --enddatetime 2017-09-20T14:05:05 --enforcementcount 0 &gt;&gt;c:\users\tmcdowell\Documents\GitHub\eaglep3-reporting\EC\2017-09-20-refined-times.txt</v>
      </c>
      <c r="AI9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{"issue":{"subject":"","project_id":79,"tracker_id":40,"status_id":1,"priority_id":2,"assigned_to_id":338,"start_date":"2017-09-20","description":"","custom_fields":[{"id":1,"name":"Subdivision","value":"EC"},{"id":4,"name":"Milepost","value":"23.3351"},{"id":17,"name":"Train ID","value":"179-20"},{"id":16,"name":"Locomotive ID","value":"4002"},{"id":130,"name":"Impact","value":""},{"id":150,"name":"Time of Event (Mountain Time)","value":"14:05:05"},{"id":151,"name":"Denver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29"/>
        <v>start /low /b %USERPROFILE%\Documents\GitHub\eaglep3\Utilities\DownloadLogsFromS3.py --loco 4002 --day 2017-09-20</v>
      </c>
      <c r="AN9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1"/>
        <v>https://d0f6bd738d7f1b3e5a7ca70fe4ff75f0.us-east-1.aws.found.io/app/kibana#/discover/Steve-Slow-Train-Analysis-(2080s-and-2083s)?_g=(refreshInterval:(display:Off,pause:!f,section:0,value:0),time:(from:'2017-09-20T12:22:10-0600',mode:absolute,to:'2017-09-20T15:05:05-0600'))&amp;_a=(columns:!('Message%20ID',Summary),filters:!(),index:'emp_*',interval:auto,query:(query_string:(analyze_wildcard:!t,query:'Message%5C+ID:(*)+AND+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743</v>
      </c>
      <c r="B92" s="7">
        <v>4001</v>
      </c>
      <c r="C92" s="21" t="s">
        <v>196</v>
      </c>
      <c r="D92" s="21" t="s">
        <v>444</v>
      </c>
      <c r="E92" s="13">
        <v>42998.592210648145</v>
      </c>
      <c r="F92" s="13">
        <v>42998.602268518516</v>
      </c>
      <c r="G92" s="7">
        <v>78</v>
      </c>
      <c r="H92" s="21" t="s">
        <v>358</v>
      </c>
      <c r="I92" s="13">
        <v>42998.627743055556</v>
      </c>
      <c r="J92" s="7">
        <v>0</v>
      </c>
      <c r="K92" s="89" t="str">
        <f t="shared" si="32"/>
        <v>4001/4002</v>
      </c>
      <c r="L92" s="185" t="str">
        <f>VLOOKUP(A92,'Trips&amp;Operators'!$C$1:$G$99911,5,FALSE)</f>
        <v>DELGADO DIANAH</v>
      </c>
      <c r="M92" s="6">
        <f t="shared" si="33"/>
        <v>2.5474537040281575E-2</v>
      </c>
      <c r="N92" s="7">
        <f t="shared" si="34"/>
        <v>36.683333338005468</v>
      </c>
      <c r="O92" s="7"/>
      <c r="P92" s="7"/>
      <c r="Q92" s="22"/>
      <c r="R92" s="174"/>
      <c r="S92" s="221">
        <f t="shared" si="35"/>
        <v>1</v>
      </c>
      <c r="T92" s="174" t="str">
        <f t="shared" si="36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7"/>
        <v>https://d0f6bd738d7f1b3e5a7ca70fe4ff75f0.us-east-1.aws.found.io/app/kibana#/discover/Steve-Slow-Train-Analysis-(2080s-and-2083s)?_g=(refreshInterval:(display:Off,pause:!f,section:0,value:0),time:(from:'2017-09-20T13:12:47-0600',mode:absolute,to:'2017-09-20T16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 t="shared" si="38"/>
        <v>1</v>
      </c>
      <c r="Y92" s="204">
        <f t="shared" si="39"/>
        <v>23.302700000000002</v>
      </c>
      <c r="Z92" s="204">
        <f t="shared" si="40"/>
        <v>1.52E-2</v>
      </c>
      <c r="AA92" s="204">
        <f t="shared" si="41"/>
        <v>23.287500000000001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2"/>
        <v>180</v>
      </c>
      <c r="AE92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92" s="74" t="str">
        <f t="shared" si="44"/>
        <v>"C:\Program Files (x86)\AstroGrep\AstroGrep.exe" /e /r /s /spath="%USERPROFILE%\AppData\Local\Temp\OnboardLogs" /stypes="app*4001*20170920*" /stext=" 21:.+((SYSTEM_STATE.+slice.+state.+changed )|(ment ac)|(multiple cpu faults)|(system.+state.+changed )|(\[timeout)|(PRM\|1\|D)|(kpr)|(kdp)|(train st.+moving)|(\|lc)|(penalty))"</v>
      </c>
      <c r="AG92" s="182" t="str">
        <f t="shared" si="45"/>
        <v>EC</v>
      </c>
      <c r="AH92" s="78" t="str">
        <f t="shared" si="27"/>
        <v>"%USERPROFILE%\Documents\GitHub\eaglep3\Utilities\RefineRTDCRunTimes.py" --tripid 180-20 --locoid 4001 --swversion DE.1.0.9.0 --startMP 204:233027 --initTime 2017-09-20T14:12:47 --startdatetime 2017-09-20T14:27:16 --delay 78 --endMP 204:152 --enddatetime 2017-09-20T15:03:57 --enforcementcount 0 &gt;&gt;c:\users\tmcdowell\Documents\GitHub\eaglep3-reporting\EC\2017-09-20-refined-times.txt</v>
      </c>
      <c r="AI9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ID","value":"180-20"},{"id":16,"name":"Locomotive ID","value":"4001"},{"id":130,"name":"Impact","value":""},{"id":150,"name":"Time of Event (Mountain Time)","value":"15:03:57"},{"id":151,"name":"Denver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29"/>
        <v>start /low /b %USERPROFILE%\Documents\GitHub\eaglep3\Utilities\DownloadLogsFromS3.py --loco 4001 --day 2017-09-20</v>
      </c>
      <c r="AN9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1"/>
        <v>https://d0f6bd738d7f1b3e5a7ca70fe4ff75f0.us-east-1.aws.found.io/app/kibana#/discover/Steve-Slow-Train-Analysis-(2080s-and-2083s)?_g=(refreshInterval:(display:Off,pause:!f,section:0,value:0),time:(from:'2017-09-20T13:12:47-0600',mode:absolute,to:'2017-09-20T16:03:57-0600'))&amp;_a=(columns:!('Message%20ID',Summary),filters:!(),index:'emp_*',interval:auto,query:(query_string:(analyze_wildcard:!t,query:'Message%5C+ID:(*)+AND+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736</v>
      </c>
      <c r="B93" s="7">
        <v>4042</v>
      </c>
      <c r="C93" s="21" t="s">
        <v>196</v>
      </c>
      <c r="D93" s="21" t="s">
        <v>466</v>
      </c>
      <c r="E93" s="13">
        <v>42998.569756944446</v>
      </c>
      <c r="F93" s="13">
        <v>42998.573148148149</v>
      </c>
      <c r="G93" s="7">
        <v>69</v>
      </c>
      <c r="H93" s="21" t="s">
        <v>861</v>
      </c>
      <c r="I93" s="13">
        <v>42998.598020833335</v>
      </c>
      <c r="J93" s="7">
        <v>0</v>
      </c>
      <c r="K93" s="89" t="str">
        <f t="shared" si="32"/>
        <v>4041/4042</v>
      </c>
      <c r="L93" s="185" t="str">
        <f>VLOOKUP(A93,'Trips&amp;Operators'!$C$1:$G$99911,5,FALSE)</f>
        <v>LEVIN SCOTT</v>
      </c>
      <c r="M93" s="6">
        <f t="shared" si="33"/>
        <v>2.4872685185982846E-2</v>
      </c>
      <c r="N93" s="7">
        <f t="shared" si="34"/>
        <v>35.816666667815298</v>
      </c>
      <c r="O93" s="7"/>
      <c r="P93" s="7"/>
      <c r="Q93" s="22"/>
      <c r="R93" s="174"/>
      <c r="S93" s="221">
        <f t="shared" si="35"/>
        <v>1</v>
      </c>
      <c r="T93" s="174" t="str">
        <f t="shared" si="36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7"/>
        <v>https://d0f6bd738d7f1b3e5a7ca70fe4ff75f0.us-east-1.aws.found.io/app/kibana#/discover/Steve-Slow-Train-Analysis-(2080s-and-2083s)?_g=(refreshInterval:(display:Off,pause:!f,section:0,value:0),time:(from:'2017-09-20T12:40:27-0600',mode:absolute,to:'2017-09-20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>IF(AA93&lt;VLOOKUP(AG93,Variables!$AC$3:$AD$8,2,FALSE),"Y","N")</f>
        <v>N</v>
      </c>
      <c r="X93" s="204">
        <f t="shared" si="38"/>
        <v>1</v>
      </c>
      <c r="Y93" s="204">
        <f t="shared" si="39"/>
        <v>4.5699999999999998E-2</v>
      </c>
      <c r="Z93" s="204">
        <f t="shared" si="40"/>
        <v>23.334499999999998</v>
      </c>
      <c r="AA93" s="204">
        <f t="shared" si="41"/>
        <v>23.288799999999998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2"/>
        <v>181</v>
      </c>
      <c r="AE93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93" s="74" t="str">
        <f t="shared" si="44"/>
        <v>"C:\Program Files (x86)\AstroGrep\AstroGrep.exe" /e /r /s /spath="%USERPROFILE%\AppData\Local\Temp\OnboardLogs" /stypes="app*4042*20170920*" /stext=" 20:.+((SYSTEM_STATE.+slice.+state.+changed )|(ment ac)|(multiple cpu faults)|(system.+state.+changed )|(\[timeout)|(PRM\|1\|D)|(kpr)|(kdp)|(train st.+moving)|(\|lc)|(penalty))"</v>
      </c>
      <c r="AG93" s="182" t="str">
        <f t="shared" si="45"/>
        <v>EC</v>
      </c>
      <c r="AH93" s="78" t="str">
        <f t="shared" si="27"/>
        <v>"%USERPROFILE%\Documents\GitHub\eaglep3\Utilities\RefineRTDCRunTimes.py" --tripid 181-20 --locoid 4042 --swversion DE.1.0.9.0 --startMP 204:457 --initTime 2017-09-20T13:40:27 --startdatetime 2017-09-20T13:45:20 --delay 69 --endMP 204:233345 --enddatetime 2017-09-20T14:21:09 --enforcementcount 0 &gt;&gt;c:\users\tmcdowell\Documents\GitHub\eaglep3-reporting\EC\2017-09-20-refined-times.txt</v>
      </c>
      <c r="AI9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{"issue":{"subject":"","project_id":79,"tracker_id":40,"status_id":1,"priority_id":2,"assigned_to_id":338,"start_date":"2017-09-20","description":"","custom_fields":[{"id":1,"name":"Subdivision","value":"EC"},{"id":4,"name":"Milepost","value":"23.3345"},{"id":17,"name":"Train ID","value":"181-20"},{"id":16,"name":"Locomotive ID","value":"4042"},{"id":130,"name":"Impact","value":""},{"id":150,"name":"Time of Event (Mountain Time)","value":"14:21:09"},{"id":151,"name":"Denver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29"/>
        <v>start /low /b %USERPROFILE%\Documents\GitHub\eaglep3\Utilities\DownloadLogsFromS3.py --loco 4042 --day 2017-09-20</v>
      </c>
      <c r="AN9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1"/>
        <v>https://d0f6bd738d7f1b3e5a7ca70fe4ff75f0.us-east-1.aws.found.io/app/kibana#/discover/Steve-Slow-Train-Analysis-(2080s-and-2083s)?_g=(refreshInterval:(display:Off,pause:!f,section:0,value:0),time:(from:'2017-09-20T12:40:27-0600',mode:absolute,to:'2017-09-20T15:21:09-0600'))&amp;_a=(columns:!('Message%20ID',Summary),filters:!(),index:'emp_*',interval:auto,query:(query_string:(analyze_wildcard:!t,query:'Message%5C+ID:(*)+AND+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745</v>
      </c>
      <c r="B94" s="7">
        <v>4041</v>
      </c>
      <c r="C94" s="21" t="s">
        <v>196</v>
      </c>
      <c r="D94" s="21" t="s">
        <v>862</v>
      </c>
      <c r="E94" s="13">
        <v>42998.601921296293</v>
      </c>
      <c r="F94" s="13">
        <v>42998.612858796296</v>
      </c>
      <c r="G94" s="7">
        <v>62</v>
      </c>
      <c r="H94" s="21" t="s">
        <v>391</v>
      </c>
      <c r="I94" s="13">
        <v>42998.639131944445</v>
      </c>
      <c r="J94" s="7">
        <v>0</v>
      </c>
      <c r="K94" s="89" t="str">
        <f t="shared" si="32"/>
        <v>4041/4042</v>
      </c>
      <c r="L94" s="185" t="str">
        <f>VLOOKUP(A94,'Trips&amp;Operators'!$C$1:$G$99911,5,FALSE)</f>
        <v>LEVIN SCOTT</v>
      </c>
      <c r="M94" s="6">
        <f t="shared" si="33"/>
        <v>2.6273148148902692E-2</v>
      </c>
      <c r="N94" s="7">
        <f t="shared" si="34"/>
        <v>37.833333334419876</v>
      </c>
      <c r="O94" s="7"/>
      <c r="P94" s="7"/>
      <c r="Q94" s="22"/>
      <c r="R94" s="174"/>
      <c r="S94" s="221">
        <f t="shared" si="35"/>
        <v>1</v>
      </c>
      <c r="T94" s="174" t="str">
        <f t="shared" si="36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7"/>
        <v>https://d0f6bd738d7f1b3e5a7ca70fe4ff75f0.us-east-1.aws.found.io/app/kibana#/discover/Steve-Slow-Train-Analysis-(2080s-and-2083s)?_g=(refreshInterval:(display:Off,pause:!f,section:0,value:0),time:(from:'2017-09-20T13:26:46-0600',mode:absolute,to:'2017-09-20T16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>IF(AA94&lt;VLOOKUP(AG94,Variables!$AC$3:$AD$8,2,FALSE),"Y","N")</f>
        <v>N</v>
      </c>
      <c r="X94" s="204">
        <f t="shared" si="38"/>
        <v>1</v>
      </c>
      <c r="Y94" s="204">
        <f t="shared" si="39"/>
        <v>23.303599999999999</v>
      </c>
      <c r="Z94" s="204">
        <f t="shared" si="40"/>
        <v>1.3899999999999999E-2</v>
      </c>
      <c r="AA94" s="204">
        <f t="shared" si="41"/>
        <v>23.2897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2"/>
        <v>182</v>
      </c>
      <c r="AE94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94" s="74" t="str">
        <f t="shared" si="44"/>
        <v>"C:\Program Files (x86)\AstroGrep\AstroGrep.exe" /e /r /s /spath="%USERPROFILE%\AppData\Local\Temp\OnboardLogs" /stypes="app*4041*20170920*" /stext=" 21:.+((SYSTEM_STATE.+slice.+state.+changed )|(ment ac)|(multiple cpu faults)|(system.+state.+changed )|(\[timeout)|(PRM\|1\|D)|(kpr)|(kdp)|(train st.+moving)|(\|lc)|(penalty))"</v>
      </c>
      <c r="AG94" s="182" t="str">
        <f t="shared" si="45"/>
        <v>EC</v>
      </c>
      <c r="AH94" s="78" t="str">
        <f t="shared" si="27"/>
        <v>"%USERPROFILE%\Documents\GitHub\eaglep3\Utilities\RefineRTDCRunTimes.py" --tripid 182-20 --locoid 4041 --swversion DE.1.0.9.0 --startMP 204:233036 --initTime 2017-09-20T14:26:46 --startdatetime 2017-09-20T14:42:31 --delay 62 --endMP 204:139 --enddatetime 2017-09-20T15:20:21 --enforcementcount 0 &gt;&gt;c:\users\tmcdowell\Documents\GitHub\eaglep3-reporting\EC\2017-09-20-refined-times.txt</v>
      </c>
      <c r="AI9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ID","value":"182-20"},{"id":16,"name":"Locomotive ID","value":"4041"},{"id":130,"name":"Impact","value":""},{"id":150,"name":"Time of Event (Mountain Time)","value":"15:20:21"},{"id":151,"name":"Denver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29"/>
        <v>start /low /b %USERPROFILE%\Documents\GitHub\eaglep3\Utilities\DownloadLogsFromS3.py --loco 4041 --day 2017-09-20</v>
      </c>
      <c r="AN9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1"/>
        <v>https://d0f6bd738d7f1b3e5a7ca70fe4ff75f0.us-east-1.aws.found.io/app/kibana#/discover/Steve-Slow-Train-Analysis-(2080s-and-2083s)?_g=(refreshInterval:(display:Off,pause:!f,section:0,value:0),time:(from:'2017-09-20T13:26:46-0600',mode:absolute,to:'2017-09-20T16:20:21-0600'))&amp;_a=(columns:!('Message%20ID',Summary),filters:!(),index:'emp_*',interval:auto,query:(query_string:(analyze_wildcard:!t,query:'Message%5C+ID:(*)+AND+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739</v>
      </c>
      <c r="B95" s="7">
        <v>4058</v>
      </c>
      <c r="C95" s="21" t="s">
        <v>196</v>
      </c>
      <c r="D95" s="21" t="s">
        <v>441</v>
      </c>
      <c r="E95" s="13">
        <v>42998.578194444446</v>
      </c>
      <c r="F95" s="13">
        <v>42998.583495370367</v>
      </c>
      <c r="G95" s="7">
        <v>97</v>
      </c>
      <c r="H95" s="21" t="s">
        <v>863</v>
      </c>
      <c r="I95" s="13">
        <v>42998.608437499999</v>
      </c>
      <c r="J95" s="7">
        <v>0</v>
      </c>
      <c r="K95" s="89" t="str">
        <f t="shared" si="32"/>
        <v>4057/4058</v>
      </c>
      <c r="L95" s="185" t="str">
        <f>VLOOKUP(A95,'Trips&amp;Operators'!$C$1:$G$99911,5,FALSE)</f>
        <v>BERLING GARY</v>
      </c>
      <c r="M95" s="6">
        <f t="shared" si="33"/>
        <v>2.4942129632108845E-2</v>
      </c>
      <c r="N95" s="7">
        <f t="shared" si="34"/>
        <v>35.916666670236737</v>
      </c>
      <c r="O95" s="7"/>
      <c r="P95" s="7"/>
      <c r="Q95" s="22"/>
      <c r="R95" s="174"/>
      <c r="S95" s="221">
        <f t="shared" si="35"/>
        <v>1</v>
      </c>
      <c r="T95" s="174" t="str">
        <f t="shared" si="36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7"/>
        <v>https://d0f6bd738d7f1b3e5a7ca70fe4ff75f0.us-east-1.aws.found.io/app/kibana#/discover/Steve-Slow-Train-Analysis-(2080s-and-2083s)?_g=(refreshInterval:(display:Off,pause:!f,section:0,value:0),time:(from:'2017-09-20T12:52:36-0600',mode:absolute,to:'2017-09-20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204" t="str">
        <f>IF(AA95&lt;VLOOKUP(AG95,Variables!$AC$3:$AD$8,2,FALSE),"Y","N")</f>
        <v>N</v>
      </c>
      <c r="X95" s="204">
        <f t="shared" si="38"/>
        <v>1</v>
      </c>
      <c r="Y95" s="204">
        <f t="shared" si="39"/>
        <v>4.3099999999999999E-2</v>
      </c>
      <c r="Z95" s="204">
        <f t="shared" si="40"/>
        <v>23.3338</v>
      </c>
      <c r="AA95" s="204">
        <f t="shared" si="41"/>
        <v>23.290700000000001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2"/>
        <v>183</v>
      </c>
      <c r="AE95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95" s="74" t="str">
        <f t="shared" si="44"/>
        <v>"C:\Program Files (x86)\AstroGrep\AstroGrep.exe" /e /r /s /spath="%USERPROFILE%\AppData\Local\Temp\OnboardLogs" /stypes="app*4058*20170920*" /stext=" 20:.+((SYSTEM_STATE.+slice.+state.+changed )|(ment ac)|(multiple cpu faults)|(system.+state.+changed )|(\[timeout)|(PRM\|1\|D)|(kpr)|(kdp)|(train st.+moving)|(\|lc)|(penalty))"</v>
      </c>
      <c r="AG95" s="182" t="str">
        <f t="shared" si="45"/>
        <v>EC</v>
      </c>
      <c r="AH95" s="78" t="str">
        <f t="shared" si="27"/>
        <v>"%USERPROFILE%\Documents\GitHub\eaglep3\Utilities\RefineRTDCRunTimes.py" --tripid 183-20 --locoid 4058 --swversion DE.1.0.9.0 --startMP 204:431 --initTime 2017-09-20T13:52:36 --startdatetime 2017-09-20T14:00:14 --delay 97 --endMP 204:233338 --enddatetime 2017-09-20T14:36:09 --enforcementcount 0 &gt;&gt;c:\users\tmcdowell\Documents\GitHub\eaglep3-reporting\EC\2017-09-20-refined-times.txt</v>
      </c>
      <c r="AI9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{"issue":{"subject":"","project_id":79,"tracker_id":40,"status_id":1,"priority_id":2,"assigned_to_id":338,"start_date":"2017-09-20","description":"","custom_fields":[{"id":1,"name":"Subdivision","value":"EC"},{"id":4,"name":"Milepost","value":"23.3338"},{"id":17,"name":"Train ID","value":"183-20"},{"id":16,"name":"Locomotive ID","value":"4058"},{"id":130,"name":"Impact","value":""},{"id":150,"name":"Time of Event (Mountain Time)","value":"14:36:09"},{"id":151,"name":"Denver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29"/>
        <v>start /low /b %USERPROFILE%\Documents\GitHub\eaglep3\Utilities\DownloadLogsFromS3.py --loco 4058 --day 2017-09-20</v>
      </c>
      <c r="AN9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1"/>
        <v>https://d0f6bd738d7f1b3e5a7ca70fe4ff75f0.us-east-1.aws.found.io/app/kibana#/discover/Steve-Slow-Train-Analysis-(2080s-and-2083s)?_g=(refreshInterval:(display:Off,pause:!f,section:0,value:0),time:(from:'2017-09-20T12:52:36-0600',mode:absolute,to:'2017-09-20T15:36:09-0600'))&amp;_a=(columns:!('Message%20ID',Summary),filters:!(),index:'emp_*',interval:auto,query:(query_string:(analyze_wildcard:!t,query:'Message%5C+ID:(*)+AND+%22rtdc.l.rtdc.4058%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748</v>
      </c>
      <c r="B96" s="7">
        <v>4057</v>
      </c>
      <c r="C96" s="21" t="s">
        <v>196</v>
      </c>
      <c r="D96" s="21" t="s">
        <v>535</v>
      </c>
      <c r="E96" s="13">
        <v>42998.615277777775</v>
      </c>
      <c r="F96" s="13">
        <v>42998.623067129629</v>
      </c>
      <c r="G96" s="7">
        <v>141</v>
      </c>
      <c r="H96" s="21" t="s">
        <v>342</v>
      </c>
      <c r="I96" s="13">
        <v>42998.651631944442</v>
      </c>
      <c r="J96" s="7">
        <v>0</v>
      </c>
      <c r="K96" s="89" t="str">
        <f t="shared" si="32"/>
        <v>4057/4058</v>
      </c>
      <c r="L96" s="185" t="str">
        <f>VLOOKUP(A96,'Trips&amp;Operators'!$C$1:$G$99911,5,FALSE)</f>
        <v>BERLING GARY</v>
      </c>
      <c r="M96" s="6">
        <f t="shared" si="33"/>
        <v>2.8564814812853001E-2</v>
      </c>
      <c r="N96" s="7">
        <f t="shared" si="34"/>
        <v>41.133333330508322</v>
      </c>
      <c r="O96" s="7"/>
      <c r="P96" s="7"/>
      <c r="Q96" s="22"/>
      <c r="R96" s="174"/>
      <c r="S96" s="221">
        <f t="shared" si="35"/>
        <v>1</v>
      </c>
      <c r="T96" s="174" t="str">
        <f t="shared" si="36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7"/>
        <v>https://d0f6bd738d7f1b3e5a7ca70fe4ff75f0.us-east-1.aws.found.io/app/kibana#/discover/Steve-Slow-Train-Analysis-(2080s-and-2083s)?_g=(refreshInterval:(display:Off,pause:!f,section:0,value:0),time:(from:'2017-09-20T13:46:00-0600',mode:absolute,to:'2017-09-20T16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204" t="str">
        <f>IF(AA96&lt;VLOOKUP(AG96,Variables!$AC$3:$AD$8,2,FALSE),"Y","N")</f>
        <v>N</v>
      </c>
      <c r="X96" s="204">
        <f t="shared" si="38"/>
        <v>1</v>
      </c>
      <c r="Y96" s="204">
        <f t="shared" si="39"/>
        <v>23.2989</v>
      </c>
      <c r="Z96" s="204">
        <f t="shared" si="40"/>
        <v>1.47E-2</v>
      </c>
      <c r="AA96" s="204">
        <f t="shared" si="41"/>
        <v>23.284199999999998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2"/>
        <v>184</v>
      </c>
      <c r="AE96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96" s="74" t="str">
        <f t="shared" si="44"/>
        <v>"C:\Program Files (x86)\AstroGrep\AstroGrep.exe" /e /r /s /spath="%USERPROFILE%\AppData\Local\Temp\OnboardLogs" /stypes="app*4057*20170920*" /stext=" 21:.+((SYSTEM_STATE.+slice.+state.+changed )|(ment ac)|(multiple cpu faults)|(system.+state.+changed )|(\[timeout)|(PRM\|1\|D)|(kpr)|(kdp)|(train st.+moving)|(\|lc)|(penalty))"</v>
      </c>
      <c r="AG96" s="182" t="str">
        <f t="shared" si="45"/>
        <v>EC</v>
      </c>
      <c r="AH96" s="78" t="str">
        <f t="shared" si="27"/>
        <v>"%USERPROFILE%\Documents\GitHub\eaglep3\Utilities\RefineRTDCRunTimes.py" --tripid 184-20 --locoid 4057 --swversion DE.1.0.9.0 --startMP 204:232989 --initTime 2017-09-20T14:46:00 --startdatetime 2017-09-20T14:57:13 --delay 141 --endMP 204:147 --enddatetime 2017-09-20T15:38:21 --enforcementcount 0 &gt;&gt;c:\users\tmcdowell\Documents\GitHub\eaglep3-reporting\EC\2017-09-20-refined-times.txt</v>
      </c>
      <c r="AI9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ID","value":"184-20"},{"id":16,"name":"Locomotive ID","value":"4057"},{"id":130,"name":"Impact","value":""},{"id":150,"name":"Time of Event (Mountain Time)","value":"15:38:21"},{"id":151,"name":"Denver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29"/>
        <v>start /low /b %USERPROFILE%\Documents\GitHub\eaglep3\Utilities\DownloadLogsFromS3.py --loco 4057 --day 2017-09-20</v>
      </c>
      <c r="AN9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1"/>
        <v>https://d0f6bd738d7f1b3e5a7ca70fe4ff75f0.us-east-1.aws.found.io/app/kibana#/discover/Steve-Slow-Train-Analysis-(2080s-and-2083s)?_g=(refreshInterval:(display:Off,pause:!f,section:0,value:0),time:(from:'2017-09-20T13:46:00-0600',mode:absolute,to:'2017-09-20T16:38:21-0600'))&amp;_a=(columns:!('Message%20ID',Summary),filters:!(),index:'emp_*',interval:auto,query:(query_string:(analyze_wildcard:!t,query:'Message%5C+ID:(*)+AND+%22rtdc.l.rtdc.4057%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742</v>
      </c>
      <c r="B97" s="7">
        <v>4064</v>
      </c>
      <c r="C97" s="21" t="s">
        <v>196</v>
      </c>
      <c r="D97" s="21" t="s">
        <v>336</v>
      </c>
      <c r="E97" s="13">
        <v>42998.591261574074</v>
      </c>
      <c r="F97" s="13">
        <v>42998.594039351854</v>
      </c>
      <c r="G97" s="7">
        <v>70</v>
      </c>
      <c r="H97" s="21" t="s">
        <v>864</v>
      </c>
      <c r="I97" s="13">
        <v>42998.620358796295</v>
      </c>
      <c r="J97" s="7">
        <v>0</v>
      </c>
      <c r="K97" s="89" t="str">
        <f t="shared" si="32"/>
        <v>4063/4064</v>
      </c>
      <c r="L97" s="185" t="str">
        <f>VLOOKUP(A97,'Trips&amp;Operators'!$C$1:$G$99911,5,FALSE)</f>
        <v>DAVIS MICHAEL</v>
      </c>
      <c r="M97" s="6">
        <f t="shared" si="33"/>
        <v>2.6319444441469386E-2</v>
      </c>
      <c r="N97" s="7">
        <f t="shared" si="34"/>
        <v>37.899999995715916</v>
      </c>
      <c r="O97" s="7"/>
      <c r="P97" s="7"/>
      <c r="Q97" s="22"/>
      <c r="R97" s="174"/>
      <c r="S97" s="221">
        <f t="shared" si="35"/>
        <v>1</v>
      </c>
      <c r="T97" s="174" t="str">
        <f t="shared" si="36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7"/>
        <v>https://d0f6bd738d7f1b3e5a7ca70fe4ff75f0.us-east-1.aws.found.io/app/kibana#/discover/Steve-Slow-Train-Analysis-(2080s-and-2083s)?_g=(refreshInterval:(display:Off,pause:!f,section:0,value:0),time:(from:'2017-09-20T13:11:25-0600',mode:absolute,to:'2017-09-20T15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04" t="str">
        <f>IF(AA97&lt;VLOOKUP(AG97,Variables!$AC$3:$AD$8,2,FALSE),"Y","N")</f>
        <v>N</v>
      </c>
      <c r="X97" s="204">
        <f t="shared" si="38"/>
        <v>1</v>
      </c>
      <c r="Y97" s="204">
        <f t="shared" si="39"/>
        <v>4.4600000000000001E-2</v>
      </c>
      <c r="Z97" s="204">
        <f t="shared" si="40"/>
        <v>23.327999999999999</v>
      </c>
      <c r="AA97" s="204">
        <f t="shared" si="41"/>
        <v>23.2834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2"/>
        <v>185</v>
      </c>
      <c r="AE97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97" s="74" t="str">
        <f t="shared" si="44"/>
        <v>"C:\Program Files (x86)\AstroGrep\AstroGrep.exe" /e /r /s /spath="%USERPROFILE%\AppData\Local\Temp\OnboardLogs" /stypes="app*4064*20170920*" /stext=" 20:.+((SYSTEM_STATE.+slice.+state.+changed )|(ment ac)|(multiple cpu faults)|(system.+state.+changed )|(\[timeout)|(PRM\|1\|D)|(kpr)|(kdp)|(train st.+moving)|(\|lc)|(penalty))"</v>
      </c>
      <c r="AG97" s="182" t="str">
        <f t="shared" si="45"/>
        <v>EC</v>
      </c>
      <c r="AH97" s="78" t="str">
        <f t="shared" si="27"/>
        <v>"%USERPROFILE%\Documents\GitHub\eaglep3\Utilities\RefineRTDCRunTimes.py" --tripid 185-20 --locoid 4064 --swversion DE.1.0.9.0 --startMP 204:446 --initTime 2017-09-20T14:11:25 --startdatetime 2017-09-20T14:15:25 --delay 70 --endMP 204:233280 --enddatetime 2017-09-20T14:53:19 --enforcementcount 0 &gt;&gt;c:\users\tmcdowell\Documents\GitHub\eaglep3-reporting\EC\2017-09-20-refined-times.txt</v>
      </c>
      <c r="AI9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{"issue":{"subject":"","project_id":79,"tracker_id":40,"status_id":1,"priority_id":2,"assigned_to_id":338,"start_date":"2017-09-20","description":"","custom_fields":[{"id":1,"name":"Subdivision","value":"EC"},{"id":4,"name":"Milepost","value":"23.328"},{"id":17,"name":"Train ID","value":"185-20"},{"id":16,"name":"Locomotive ID","value":"4064"},{"id":130,"name":"Impact","value":""},{"id":150,"name":"Time of Event (Mountain Time)","value":"14:53:19"},{"id":151,"name":"Denver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29"/>
        <v>start /low /b %USERPROFILE%\Documents\GitHub\eaglep3\Utilities\DownloadLogsFromS3.py --loco 4064 --day 2017-09-20</v>
      </c>
      <c r="AN9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1"/>
        <v>https://d0f6bd738d7f1b3e5a7ca70fe4ff75f0.us-east-1.aws.found.io/app/kibana#/discover/Steve-Slow-Train-Analysis-(2080s-and-2083s)?_g=(refreshInterval:(display:Off,pause:!f,section:0,value:0),time:(from:'2017-09-20T13:11:25-0600',mode:absolute,to:'2017-09-20T15:53:19-0600'))&amp;_a=(columns:!('Message%20ID',Summary),filters:!(),index:'emp_*',interval:auto,query:(query_string:(analyze_wildcard:!t,query:'Message%5C+ID:(*)+AND+%22rtdc.l.rtdc.4064%22')),sort:!(Time.ISO8601,asc))</v>
      </c>
    </row>
    <row r="98" spans="1:91" s="20" customFormat="1" x14ac:dyDescent="0.25">
      <c r="A98" s="32" t="s">
        <v>752</v>
      </c>
      <c r="B98" s="7">
        <v>4063</v>
      </c>
      <c r="C98" s="21" t="s">
        <v>196</v>
      </c>
      <c r="D98" s="21" t="s">
        <v>382</v>
      </c>
      <c r="E98" s="13">
        <v>42998.63082175926</v>
      </c>
      <c r="F98" s="13">
        <v>42998.633773148147</v>
      </c>
      <c r="G98" s="7">
        <v>66</v>
      </c>
      <c r="H98" s="21" t="s">
        <v>341</v>
      </c>
      <c r="I98" s="13">
        <v>42998.662106481483</v>
      </c>
      <c r="J98" s="7">
        <v>0</v>
      </c>
      <c r="K98" s="89" t="str">
        <f t="shared" si="32"/>
        <v>4063/4064</v>
      </c>
      <c r="L98" s="185" t="str">
        <f>VLOOKUP(A98,'Trips&amp;Operators'!$C$1:$G$99911,5,FALSE)</f>
        <v>DAVIS MICHAEL</v>
      </c>
      <c r="M98" s="6">
        <f t="shared" si="33"/>
        <v>2.8333333335467614E-2</v>
      </c>
      <c r="N98" s="7">
        <f t="shared" si="34"/>
        <v>40.800000003073364</v>
      </c>
      <c r="O98" s="7"/>
      <c r="P98" s="7"/>
      <c r="Q98" s="22"/>
      <c r="R98" s="174"/>
      <c r="S98" s="221">
        <f t="shared" si="35"/>
        <v>1</v>
      </c>
      <c r="T98" s="174" t="str">
        <f t="shared" si="36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7"/>
        <v>https://d0f6bd738d7f1b3e5a7ca70fe4ff75f0.us-east-1.aws.found.io/app/kibana#/discover/Steve-Slow-Train-Analysis-(2080s-and-2083s)?_g=(refreshInterval:(display:Off,pause:!f,section:0,value:0),time:(from:'2017-09-20T14:08:23-0600',mode:absolute,to:'2017-09-20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04" t="str">
        <f>IF(AA98&lt;VLOOKUP(AG98,Variables!$AC$3:$AD$8,2,FALSE),"Y","N")</f>
        <v>N</v>
      </c>
      <c r="X98" s="204">
        <f t="shared" si="38"/>
        <v>1</v>
      </c>
      <c r="Y98" s="204">
        <f t="shared" si="39"/>
        <v>23.299399999999999</v>
      </c>
      <c r="Z98" s="204">
        <f t="shared" si="40"/>
        <v>1.41E-2</v>
      </c>
      <c r="AA98" s="204">
        <f t="shared" si="41"/>
        <v>23.285299999999999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2"/>
        <v>186</v>
      </c>
      <c r="AE98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98" s="74" t="str">
        <f t="shared" si="44"/>
        <v>"C:\Program Files (x86)\AstroGrep\AstroGrep.exe" /e /r /s /spath="%USERPROFILE%\AppData\Local\Temp\OnboardLogs" /stypes="app*4063*20170920*" /stext=" 21:.+((SYSTEM_STATE.+slice.+state.+changed )|(ment ac)|(multiple cpu faults)|(system.+state.+changed )|(\[timeout)|(PRM\|1\|D)|(kpr)|(kdp)|(train st.+moving)|(\|lc)|(penalty))"</v>
      </c>
      <c r="AG98" s="182" t="str">
        <f t="shared" si="45"/>
        <v>EC</v>
      </c>
      <c r="AH98" s="78" t="str">
        <f t="shared" si="27"/>
        <v>"%USERPROFILE%\Documents\GitHub\eaglep3\Utilities\RefineRTDCRunTimes.py" --tripid 186-20 --locoid 4063 --swversion DE.1.0.9.0 --startMP 204:232994 --initTime 2017-09-20T15:08:23 --startdatetime 2017-09-20T15:12:38 --delay 66 --endMP 204:141 --enddatetime 2017-09-20T15:53:26 --enforcementcount 0 &gt;&gt;c:\users\tmcdowell\Documents\GitHub\eaglep3-reporting\EC\2017-09-20-refined-times.txt</v>
      </c>
      <c r="AI9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ID","value":"186-20"},{"id":16,"name":"Locomotive ID","value":"4063"},{"id":130,"name":"Impact","value":""},{"id":150,"name":"Time of Event (Mountain Time)","value":"15:53:26"},{"id":151,"name":"Denver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29"/>
        <v>start /low /b %USERPROFILE%\Documents\GitHub\eaglep3\Utilities\DownloadLogsFromS3.py --loco 4063 --day 2017-09-20</v>
      </c>
      <c r="AN9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1"/>
        <v>https://d0f6bd738d7f1b3e5a7ca70fe4ff75f0.us-east-1.aws.found.io/app/kibana#/discover/Steve-Slow-Train-Analysis-(2080s-and-2083s)?_g=(refreshInterval:(display:Off,pause:!f,section:0,value:0),time:(from:'2017-09-20T14:08:23-0600',mode:absolute,to:'2017-09-20T16:53:26-0600'))&amp;_a=(columns:!('Message%20ID',Summary),filters:!(),index:'emp_*',interval:auto,query:(query_string:(analyze_wildcard:!t,query:'Message%5C+ID:(*)+AND+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600</v>
      </c>
      <c r="B99" s="7">
        <v>4062</v>
      </c>
      <c r="C99" s="21" t="s">
        <v>196</v>
      </c>
      <c r="D99" s="21" t="s">
        <v>539</v>
      </c>
      <c r="E99" s="13">
        <v>42998.599733796298</v>
      </c>
      <c r="F99" s="13">
        <v>42998.604479166665</v>
      </c>
      <c r="G99" s="7">
        <v>56</v>
      </c>
      <c r="H99" s="21" t="s">
        <v>865</v>
      </c>
      <c r="I99" s="13">
        <v>42998.626782407409</v>
      </c>
      <c r="J99" s="7">
        <v>0</v>
      </c>
      <c r="K99" s="89" t="str">
        <f t="shared" si="32"/>
        <v>4061/4062</v>
      </c>
      <c r="L99" s="185" t="str">
        <f>VLOOKUP(A99,'Trips&amp;Operators'!$C$1:$G$99911,5,FALSE)</f>
        <v>HOLCOMB KAMDEN</v>
      </c>
      <c r="M99" s="6">
        <f t="shared" si="33"/>
        <v>2.2303240744804498E-2</v>
      </c>
      <c r="N99" s="7"/>
      <c r="O99" s="7"/>
      <c r="P99" s="7">
        <f>24*60*SUM($M99:$M99)</f>
        <v>32.116666672518477</v>
      </c>
      <c r="Q99" s="22"/>
      <c r="R99" s="174" t="s">
        <v>1023</v>
      </c>
      <c r="S99" s="221">
        <f t="shared" si="35"/>
        <v>1</v>
      </c>
      <c r="T99" s="174" t="str">
        <f t="shared" si="36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7"/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204" t="str">
        <f>IF(AA99&lt;VLOOKUP(AG99,Variables!$AC$3:$AD$8,2,FALSE),"Y","N")</f>
        <v>Y</v>
      </c>
      <c r="X99" s="204">
        <f t="shared" si="38"/>
        <v>1</v>
      </c>
      <c r="Y99" s="204">
        <f t="shared" si="39"/>
        <v>4.2900000000000001E-2</v>
      </c>
      <c r="Z99" s="204">
        <f t="shared" si="40"/>
        <v>19.555499999999999</v>
      </c>
      <c r="AA99" s="204">
        <f t="shared" si="41"/>
        <v>19.512599999999999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2"/>
        <v>187</v>
      </c>
      <c r="AE99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99" s="74" t="str">
        <f t="shared" si="44"/>
        <v>"C:\Program Files (x86)\AstroGrep\AstroGrep.exe" /e /r /s /spath="%USERPROFILE%\AppData\Local\Temp\OnboardLogs" /stypes="app*4062*20170920*" /stext=" 21:.+((SYSTEM_STATE.+slice.+state.+changed )|(ment ac)|(multiple cpu faults)|(system.+state.+changed )|(\[timeout)|(PRM\|1\|D)|(kpr)|(kdp)|(train st.+moving)|(\|lc)|(penalty))"</v>
      </c>
      <c r="AG99" s="182" t="str">
        <f t="shared" si="45"/>
        <v>EC</v>
      </c>
      <c r="AH99" s="78" t="str">
        <f t="shared" si="27"/>
        <v>"%USERPROFILE%\Documents\GitHub\eaglep3\Utilities\RefineRTDCRunTimes.py" --tripid 187-20 --locoid 4062 --swversion DE.1.0.9.0 --startMP 204:429 --initTime 2017-09-20T14:23:37 --startdatetime 2017-09-20T14:30:27 --delay 56 --endMP 204:195555 --enddatetime 2017-09-20T15:02:34 --enforcementcount 0 &gt;&gt;c:\users\tmcdowell\Documents\GitHub\eaglep3-reporting\EC\2017-09-20-refined-times.txt</v>
      </c>
      <c r="AI99" s="96" t="str">
        <f t="shared" si="28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drop","project_id":79,"tracker_id":40,"status_id":1,"priority_id":2,"assigned_to_id":338,"start_date":"2017-09-20","description":"","custom_fields":[{"id":1,"name":"Subdivision","value":"EC"},{"id":4,"name":"Milepost","value":"19.5555"},{"id":17,"name":"Train ID","value":"187-20"},{"id":16,"name":"Locomotive ID","value":"4062"},{"id":130,"name":"Impact","value":""},{"id":150,"name":"Time of Event (Mountain Time)","value":"15:02:34"},{"id":151,"name":"Denver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29"/>
        <v>start /low /b %USERPROFILE%\Documents\GitHub\eaglep3\Utilities\DownloadLogsFromS3.py --loco 4062 --day 2017-09-20</v>
      </c>
      <c r="AN99" s="151" t="str">
        <f t="shared" si="30"/>
        <v>echo {"issue":{"subject":"WI-MAX data drop","project_id":30,"tracker_id":4,"status_id":1,"priority_id":1,"assigned_to_id":10,"start_date":"2017-09-20","description":"","custom_fields":[{"id":30,"name":"Category","value":"Issue"},{"id":3,"name":"Functional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1"/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Message%20ID',Summary),filters:!(),index:'emp_*',interval:auto,query:(query_string:(analyze_wildcard:!t,query:'Message%5C+ID:(*)+AND+%22rtdc.l.rtdc.4062%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754</v>
      </c>
      <c r="B100" s="7">
        <v>4061</v>
      </c>
      <c r="C100" s="21" t="s">
        <v>196</v>
      </c>
      <c r="D100" s="21" t="s">
        <v>539</v>
      </c>
      <c r="E100" s="13">
        <v>42998.599733796298</v>
      </c>
      <c r="F100" s="13">
        <v>42998.644386574073</v>
      </c>
      <c r="G100" s="7">
        <v>56</v>
      </c>
      <c r="H100" s="21" t="s">
        <v>865</v>
      </c>
      <c r="I100" s="13">
        <v>42998.671400462961</v>
      </c>
      <c r="J100" s="7">
        <v>0</v>
      </c>
      <c r="K100" s="89" t="str">
        <f t="shared" si="32"/>
        <v>4061/4062</v>
      </c>
      <c r="L100" s="185" t="str">
        <f>VLOOKUP(A100,'Trips&amp;Operators'!$C$1:$G$99911,5,FALSE)</f>
        <v>HOLCOMB KAMDEN</v>
      </c>
      <c r="M100" s="6">
        <f t="shared" si="33"/>
        <v>2.7013888888177462E-2</v>
      </c>
      <c r="N100" s="7">
        <f t="shared" ref="N100:N127" si="46">24*60*SUM($M100:$M100)</f>
        <v>38.899999998975545</v>
      </c>
      <c r="O100" s="7"/>
      <c r="P100" s="7"/>
      <c r="Q100" s="22"/>
      <c r="R100" s="174"/>
      <c r="S100" s="221">
        <f t="shared" si="35"/>
        <v>1</v>
      </c>
      <c r="T100" s="174" t="str">
        <f t="shared" si="36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7"/>
        <v>https://d0f6bd738d7f1b3e5a7ca70fe4ff75f0.us-east-1.aws.found.io/app/kibana#/discover/Steve-Slow-Train-Analysis-(2080s-and-2083s)?_g=(refreshInterval:(display:Off,pause:!f,section:0,value:0),time:(from:'2017-09-20T13:23:37-0600',mode:absolute,to:'2017-09-20T17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204" t="str">
        <f>IF(AA100&lt;VLOOKUP(AG100,Variables!$AC$3:$AD$8,2,FALSE),"Y","N")</f>
        <v>N</v>
      </c>
      <c r="X100" s="204">
        <f t="shared" si="38"/>
        <v>1</v>
      </c>
      <c r="Y100" s="204">
        <v>23.299399999999999</v>
      </c>
      <c r="Z100" s="204">
        <v>1.41E-2</v>
      </c>
      <c r="AA100" s="204">
        <f t="shared" si="41"/>
        <v>23.285299999999999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2"/>
        <v>188</v>
      </c>
      <c r="AE100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00" s="74" t="str">
        <f t="shared" si="44"/>
        <v>"C:\Program Files (x86)\AstroGrep\AstroGrep.exe" /e /r /s /spath="%USERPROFILE%\AppData\Local\Temp\OnboardLogs" /stypes="app*4061*20170920*" /stext=" 22:.+((SYSTEM_STATE.+slice.+state.+changed )|(ment ac)|(multiple cpu faults)|(system.+state.+changed )|(\[timeout)|(PRM\|1\|D)|(kpr)|(kdp)|(train st.+moving)|(\|lc)|(penalty))"</v>
      </c>
      <c r="AG100" s="182" t="str">
        <f t="shared" si="45"/>
        <v>EC</v>
      </c>
      <c r="AH100" s="78" t="str">
        <f t="shared" ref="AH100" si="47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188-20 --locoid 4061 --swversion DE.1.0.9.0 --startMP 204:429 --initTime 2017-09-20T14:23:37 --startdatetime 2017-09-20T15:27:55 --delay 56 --endMP 204:195555 --enddatetime 2017-09-20T16:06:49 --enforcementcount 0 &gt;&gt;c:\users\tmcdowell\Documents\GitHub\eaglep3-reporting\EC\2017-09-20-refined-times.txt</v>
      </c>
      <c r="AI100" s="96" t="str">
        <f t="shared" ref="AI100" si="48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ID","value":"188-20"},{"id":16,"name":"Locomotive ID","value":"4061"},{"id":130,"name":"Impact","value":""},{"id":150,"name":"Time of Event (Mountain Time)","value":"16:06:49"},{"id":151,"name":"Denver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ref="AM100" si="49">"start /low /b "&amp;dls3logs&amp;" --loco "&amp;B100&amp;" --day "&amp;TEXT(F100,"YYYY-MM-DD")</f>
        <v>start /low /b %USERPROFILE%\Documents\GitHub\eaglep3\Utilities\DownloadLogsFromS3.py --loco 4061 --day 2017-09-20</v>
      </c>
      <c r="AN100" s="151" t="str">
        <f t="shared" ref="AN100" si="50"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ref="AO100" si="51"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Message%5C+ID:(*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-20T13:23:37-0600',mode:absolute,to:'2017-09-20T17:06:49-0600'))&amp;_a=(columns:!('Message%20ID',Summary),filters:!(),index:'emp_*',interval:auto,query:(query_string:(analyze_wildcard:!t,query:'Message%5C+ID:(*)+AND+%22rtdc.l.rtdc.4061%22')),sort:!(Time.ISO8601,asc))</v>
      </c>
    </row>
    <row r="101" spans="1:91" s="20" customFormat="1" x14ac:dyDescent="0.25">
      <c r="A101" s="32" t="s">
        <v>747</v>
      </c>
      <c r="B101" s="7">
        <v>4040</v>
      </c>
      <c r="C101" s="21" t="s">
        <v>196</v>
      </c>
      <c r="D101" s="21" t="s">
        <v>418</v>
      </c>
      <c r="E101" s="13">
        <v>42998.610011574077</v>
      </c>
      <c r="F101" s="13">
        <v>42998.61478009259</v>
      </c>
      <c r="G101" s="7">
        <v>118</v>
      </c>
      <c r="H101" s="21" t="s">
        <v>866</v>
      </c>
      <c r="I101" s="13">
        <v>42998.639733796299</v>
      </c>
      <c r="J101" s="7">
        <v>0</v>
      </c>
      <c r="K101" s="89" t="str">
        <f t="shared" si="32"/>
        <v>4039/4040</v>
      </c>
      <c r="L101" s="185" t="str">
        <f>VLOOKUP(A101,'Trips&amp;Operators'!$C$1:$G$99911,5,FALSE)</f>
        <v>BRUDER RICHARD</v>
      </c>
      <c r="M101" s="6">
        <f t="shared" si="33"/>
        <v>2.4953703708888497E-2</v>
      </c>
      <c r="N101" s="7">
        <f t="shared" si="46"/>
        <v>35.933333340799436</v>
      </c>
      <c r="O101" s="7"/>
      <c r="P101" s="7"/>
      <c r="Q101" s="22"/>
      <c r="R101" s="174"/>
      <c r="S101" s="221">
        <f t="shared" si="35"/>
        <v>1</v>
      </c>
      <c r="T101" s="174" t="str">
        <f t="shared" si="36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7"/>
        <v>https://d0f6bd738d7f1b3e5a7ca70fe4ff75f0.us-east-1.aws.found.io/app/kibana#/discover/Steve-Slow-Train-Analysis-(2080s-and-2083s)?_g=(refreshInterval:(display:Off,pause:!f,section:0,value:0),time:(from:'2017-09-20T13:38:25-0600',mode:absolute,to:'2017-09-20T16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204" t="str">
        <f>IF(AA101&lt;VLOOKUP(AG101,Variables!$AC$3:$AD$8,2,FALSE),"Y","N")</f>
        <v>N</v>
      </c>
      <c r="X101" s="204">
        <f t="shared" si="38"/>
        <v>1</v>
      </c>
      <c r="Y101" s="204">
        <f t="shared" ref="Y101:Y132" si="52">RIGHT(D101,LEN(D101)-4)/10000</f>
        <v>4.4699999999999997E-2</v>
      </c>
      <c r="Z101" s="204">
        <f t="shared" ref="Z101:Z132" si="53">RIGHT(H101,LEN(H101)-4)/10000</f>
        <v>23.330100000000002</v>
      </c>
      <c r="AA101" s="204">
        <f t="shared" si="41"/>
        <v>23.285400000000003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2"/>
        <v>189</v>
      </c>
      <c r="AE101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01" s="74" t="str">
        <f t="shared" si="44"/>
        <v>"C:\Program Files (x86)\AstroGrep\AstroGrep.exe" /e /r /s /spath="%USERPROFILE%\AppData\Local\Temp\OnboardLogs" /stypes="app*4040*20170920*" /stext=" 21:.+((SYSTEM_STATE.+slice.+state.+changed )|(ment ac)|(multiple cpu faults)|(system.+state.+changed )|(\[timeout)|(PRM\|1\|D)|(kpr)|(kdp)|(train st.+moving)|(\|lc)|(penalty))"</v>
      </c>
      <c r="AG101" s="182" t="str">
        <f t="shared" si="45"/>
        <v>EC</v>
      </c>
      <c r="AH101" s="78" t="str">
        <f t="shared" si="27"/>
        <v>"%USERPROFILE%\Documents\GitHub\eaglep3\Utilities\RefineRTDCRunTimes.py" --tripid 189-20 --locoid 4040 --swversion DE.1.0.9.0 --startMP 204:447 --initTime 2017-09-20T14:38:25 --startdatetime 2017-09-20T14:45:17 --delay 118 --endMP 204:233301 --enddatetime 2017-09-20T15:21:13 --enforcementcount 0 &gt;&gt;c:\users\tmcdowell\Documents\GitHub\eaglep3-reporting\EC\2017-09-20-refined-times.txt</v>
      </c>
      <c r="AI10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{"issue":{"subject":"","project_id":79,"tracker_id":40,"status_id":1,"priority_id":2,"assigned_to_id":338,"start_date":"2017-09-20","description":"","custom_fields":[{"id":1,"name":"Subdivision","value":"EC"},{"id":4,"name":"Milepost","value":"23.3301"},{"id":17,"name":"Train ID","value":"189-20"},{"id":16,"name":"Locomotive ID","value":"4040"},{"id":130,"name":"Impact","value":""},{"id":150,"name":"Time of Event (Mountain Time)","value":"15:21:13"},{"id":151,"name":"Denver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29"/>
        <v>start /low /b %USERPROFILE%\Documents\GitHub\eaglep3\Utilities\DownloadLogsFromS3.py --loco 4040 --day 2017-09-20</v>
      </c>
      <c r="AN10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1"/>
        <v>https://d0f6bd738d7f1b3e5a7ca70fe4ff75f0.us-east-1.aws.found.io/app/kibana#/discover/Steve-Slow-Train-Analysis-(2080s-and-2083s)?_g=(refreshInterval:(display:Off,pause:!f,section:0,value:0),time:(from:'2017-09-20T13:38:25-0600',mode:absolute,to:'2017-09-20T16:21:13-0600'))&amp;_a=(columns:!('Message%20ID',Summary),filters:!(),index:'emp_*',interval:auto,query:(query_string:(analyze_wildcard:!t,query:'Message%5C+ID:(*)+AND+%22rtdc.l.rtdc.4040%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757</v>
      </c>
      <c r="B102" s="7">
        <v>4039</v>
      </c>
      <c r="C102" s="21" t="s">
        <v>196</v>
      </c>
      <c r="D102" s="21" t="s">
        <v>436</v>
      </c>
      <c r="E102" s="13">
        <v>42998.646539351852</v>
      </c>
      <c r="F102" s="13">
        <v>42998.654351851852</v>
      </c>
      <c r="G102" s="7">
        <v>83</v>
      </c>
      <c r="H102" s="21" t="s">
        <v>358</v>
      </c>
      <c r="I102" s="13">
        <v>42998.679513888892</v>
      </c>
      <c r="J102" s="7">
        <v>0</v>
      </c>
      <c r="K102" s="89" t="str">
        <f t="shared" si="32"/>
        <v>4039/4040</v>
      </c>
      <c r="L102" s="185" t="str">
        <f>VLOOKUP(A102,'Trips&amp;Operators'!$C$1:$G$99911,5,FALSE)</f>
        <v>BRUDER RICHARD</v>
      </c>
      <c r="M102" s="6">
        <f t="shared" si="33"/>
        <v>2.5162037039990537E-2</v>
      </c>
      <c r="N102" s="7">
        <f t="shared" si="46"/>
        <v>36.233333337586373</v>
      </c>
      <c r="O102" s="7"/>
      <c r="P102" s="7"/>
      <c r="Q102" s="22"/>
      <c r="R102" s="174"/>
      <c r="S102" s="221">
        <f t="shared" si="35"/>
        <v>1</v>
      </c>
      <c r="T102" s="174" t="str">
        <f t="shared" si="36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7"/>
        <v>https://d0f6bd738d7f1b3e5a7ca70fe4ff75f0.us-east-1.aws.found.io/app/kibana#/discover/Steve-Slow-Train-Analysis-(2080s-and-2083s)?_g=(refreshInterval:(display:Off,pause:!f,section:0,value:0),time:(from:'2017-09-20T14:31:01-0600',mode:absolute,to:'2017-09-20T17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204" t="str">
        <f>IF(AA102&lt;VLOOKUP(AG102,Variables!$AC$3:$AD$8,2,FALSE),"Y","N")</f>
        <v>N</v>
      </c>
      <c r="X102" s="204">
        <f t="shared" si="38"/>
        <v>1</v>
      </c>
      <c r="Y102" s="204">
        <f t="shared" si="52"/>
        <v>23.298200000000001</v>
      </c>
      <c r="Z102" s="204">
        <f t="shared" si="53"/>
        <v>1.52E-2</v>
      </c>
      <c r="AA102" s="204">
        <f t="shared" si="41"/>
        <v>23.283000000000001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2"/>
        <v>190</v>
      </c>
      <c r="AE102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02" s="74" t="str">
        <f t="shared" si="44"/>
        <v>"C:\Program Files (x86)\AstroGrep\AstroGrep.exe" /e /r /s /spath="%USERPROFILE%\AppData\Local\Temp\OnboardLogs" /stypes="app*4039*20170920*" /stext=" 22:.+((SYSTEM_STATE.+slice.+state.+changed )|(ment ac)|(multiple cpu faults)|(system.+state.+changed )|(\[timeout)|(PRM\|1\|D)|(kpr)|(kdp)|(train st.+moving)|(\|lc)|(penalty))"</v>
      </c>
      <c r="AG102" s="182" t="str">
        <f t="shared" si="45"/>
        <v>EC</v>
      </c>
      <c r="AH102" s="78" t="str">
        <f t="shared" si="27"/>
        <v>"%USERPROFILE%\Documents\GitHub\eaglep3\Utilities\RefineRTDCRunTimes.py" --tripid 190-20 --locoid 4039 --swversion DE.1.0.9.0 --startMP 204:232982 --initTime 2017-09-20T15:31:01 --startdatetime 2017-09-20T15:42:16 --delay 83 --endMP 204:152 --enddatetime 2017-09-20T16:18:30 --enforcementcount 0 &gt;&gt;c:\users\tmcdowell\Documents\GitHub\eaglep3-reporting\EC\2017-09-20-refined-times.txt</v>
      </c>
      <c r="AI10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ID","value":"190-20"},{"id":16,"name":"Locomotive ID","value":"4039"},{"id":130,"name":"Impact","value":""},{"id":150,"name":"Time of Event (Mountain Time)","value":"16:18:30"},{"id":151,"name":"Denver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29"/>
        <v>start /low /b %USERPROFILE%\Documents\GitHub\eaglep3\Utilities\DownloadLogsFromS3.py --loco 4039 --day 2017-09-20</v>
      </c>
      <c r="AN10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1"/>
        <v>https://d0f6bd738d7f1b3e5a7ca70fe4ff75f0.us-east-1.aws.found.io/app/kibana#/discover/Steve-Slow-Train-Analysis-(2080s-and-2083s)?_g=(refreshInterval:(display:Off,pause:!f,section:0,value:0),time:(from:'2017-09-20T14:31:01-0600',mode:absolute,to:'2017-09-20T17:18:30-0600'))&amp;_a=(columns:!('Message%20ID',Summary),filters:!(),index:'emp_*',interval:auto,query:(query_string:(analyze_wildcard:!t,query:'Message%5C+ID:(*)+AND+%22rtdc.l.rtdc.4039%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749</v>
      </c>
      <c r="B103" s="7">
        <v>4044</v>
      </c>
      <c r="C103" s="21" t="s">
        <v>196</v>
      </c>
      <c r="D103" s="21" t="s">
        <v>377</v>
      </c>
      <c r="E103" s="13">
        <v>42998.624456018515</v>
      </c>
      <c r="F103" s="13">
        <v>42998.626030092593</v>
      </c>
      <c r="G103" s="7">
        <v>54</v>
      </c>
      <c r="H103" s="21" t="s">
        <v>491</v>
      </c>
      <c r="I103" s="13">
        <v>42998.652719907404</v>
      </c>
      <c r="J103" s="7">
        <v>0</v>
      </c>
      <c r="K103" s="89" t="str">
        <f t="shared" si="32"/>
        <v>4043/4044</v>
      </c>
      <c r="L103" s="185" t="str">
        <f>VLOOKUP(A103,'Trips&amp;Operators'!$C$1:$G$99911,5,FALSE)</f>
        <v>MOSES BRADLEY</v>
      </c>
      <c r="M103" s="6">
        <f t="shared" si="33"/>
        <v>2.6689814811106771E-2</v>
      </c>
      <c r="N103" s="7">
        <f t="shared" si="46"/>
        <v>38.433333327993751</v>
      </c>
      <c r="O103" s="7"/>
      <c r="P103" s="7"/>
      <c r="Q103" s="22"/>
      <c r="R103" s="174"/>
      <c r="S103" s="221">
        <f t="shared" si="35"/>
        <v>1</v>
      </c>
      <c r="T103" s="174" t="str">
        <f t="shared" si="36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7"/>
        <v>https://d0f6bd738d7f1b3e5a7ca70fe4ff75f0.us-east-1.aws.found.io/app/kibana#/discover/Steve-Slow-Train-Analysis-(2080s-and-2083s)?_g=(refreshInterval:(display:Off,pause:!f,section:0,value:0),time:(from:'2017-09-20T13:59:13-0600',mode:absolute,to:'2017-09-20T16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204" t="str">
        <f>IF(AA103&lt;VLOOKUP(AG103,Variables!$AC$3:$AD$8,2,FALSE),"Y","N")</f>
        <v>N</v>
      </c>
      <c r="X103" s="204">
        <f t="shared" si="38"/>
        <v>1</v>
      </c>
      <c r="Y103" s="204">
        <f t="shared" si="52"/>
        <v>4.4200000000000003E-2</v>
      </c>
      <c r="Z103" s="204">
        <f t="shared" si="53"/>
        <v>23.331399999999999</v>
      </c>
      <c r="AA103" s="204">
        <f t="shared" si="41"/>
        <v>23.287199999999999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2"/>
        <v>191</v>
      </c>
      <c r="AE103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03" s="74" t="str">
        <f t="shared" si="44"/>
        <v>"C:\Program Files (x86)\AstroGrep\AstroGrep.exe" /e /r /s /spath="%USERPROFILE%\AppData\Local\Temp\OnboardLogs" /stypes="app*4044*20170920*" /stext=" 21:.+((SYSTEM_STATE.+slice.+state.+changed )|(ment ac)|(multiple cpu faults)|(system.+state.+changed )|(\[timeout)|(PRM\|1\|D)|(kpr)|(kdp)|(train st.+moving)|(\|lc)|(penalty))"</v>
      </c>
      <c r="AG103" s="182" t="str">
        <f t="shared" si="45"/>
        <v>EC</v>
      </c>
      <c r="AH103" s="78" t="str">
        <f t="shared" si="27"/>
        <v>"%USERPROFILE%\Documents\GitHub\eaglep3\Utilities\RefineRTDCRunTimes.py" --tripid 191-20 --locoid 4044 --swversion DE.1.0.9.0 --startMP 204:442 --initTime 2017-09-20T14:59:13 --startdatetime 2017-09-20T15:01:29 --delay 54 --endMP 204:233314 --enddatetime 2017-09-20T15:39:55 --enforcementcount 0 &gt;&gt;c:\users\tmcdowell\Documents\GitHub\eaglep3-reporting\EC\2017-09-20-refined-times.txt</v>
      </c>
      <c r="AI10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ID","value":"191-20"},{"id":16,"name":"Locomotive ID","value":"4044"},{"id":130,"name":"Impact","value":""},{"id":150,"name":"Time of Event (Mountain Time)","value":"15:39:55"},{"id":151,"name":"Denver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29"/>
        <v>start /low /b %USERPROFILE%\Documents\GitHub\eaglep3\Utilities\DownloadLogsFromS3.py --loco 4044 --day 2017-09-20</v>
      </c>
      <c r="AN10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1"/>
        <v>https://d0f6bd738d7f1b3e5a7ca70fe4ff75f0.us-east-1.aws.found.io/app/kibana#/discover/Steve-Slow-Train-Analysis-(2080s-and-2083s)?_g=(refreshInterval:(display:Off,pause:!f,section:0,value:0),time:(from:'2017-09-20T13:59:13-0600',mode:absolute,to:'2017-09-20T16:39:55-0600'))&amp;_a=(columns:!('Message%20ID',Summary),filters:!(),index:'emp_*',interval:auto,query:(query_string:(analyze_wildcard:!t,query:'Message%5C+ID:(*)+AND+%22rtdc.l.rtdc.4044%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4043</v>
      </c>
      <c r="C104" s="21" t="s">
        <v>196</v>
      </c>
      <c r="D104" s="21" t="s">
        <v>545</v>
      </c>
      <c r="E104" s="13">
        <v>42998.661122685182</v>
      </c>
      <c r="F104" s="13">
        <v>42998.664884259262</v>
      </c>
      <c r="G104" s="7">
        <v>74</v>
      </c>
      <c r="H104" s="21" t="s">
        <v>339</v>
      </c>
      <c r="I104" s="13">
        <v>42998.691759259258</v>
      </c>
      <c r="J104" s="7">
        <v>0</v>
      </c>
      <c r="K104" s="89" t="str">
        <f t="shared" si="32"/>
        <v>4043/4044</v>
      </c>
      <c r="L104" s="185" t="str">
        <f>VLOOKUP(A104,'Trips&amp;Operators'!$C$1:$G$99911,5,FALSE)</f>
        <v>MOSES BRADLEY</v>
      </c>
      <c r="M104" s="6">
        <f t="shared" si="33"/>
        <v>2.6874999995925464E-2</v>
      </c>
      <c r="N104" s="7">
        <f t="shared" si="46"/>
        <v>38.699999994132668</v>
      </c>
      <c r="O104" s="7"/>
      <c r="P104" s="7"/>
      <c r="Q104" s="22"/>
      <c r="R104" s="174"/>
      <c r="S104" s="221">
        <f t="shared" si="35"/>
        <v>1</v>
      </c>
      <c r="T104" s="174" t="str">
        <f t="shared" si="36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7"/>
        <v>https://d0f6bd738d7f1b3e5a7ca70fe4ff75f0.us-east-1.aws.found.io/app/kibana#/discover/Steve-Slow-Train-Analysis-(2080s-and-2083s)?_g=(refreshInterval:(display:Off,pause:!f,section:0,value:0),time:(from:'2017-09-20T14:52:01-0600',mode:absolute,to:'2017-09-20T17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204" t="str">
        <f>IF(AA104&lt;VLOOKUP(AG104,Variables!$AC$3:$AD$8,2,FALSE),"Y","N")</f>
        <v>N</v>
      </c>
      <c r="X104" s="204">
        <f t="shared" si="38"/>
        <v>1</v>
      </c>
      <c r="Y104" s="204">
        <f t="shared" si="52"/>
        <v>23.3004</v>
      </c>
      <c r="Z104" s="204">
        <f t="shared" si="53"/>
        <v>1.43E-2</v>
      </c>
      <c r="AA104" s="204">
        <f t="shared" si="41"/>
        <v>23.286100000000001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2"/>
        <v>192</v>
      </c>
      <c r="AE104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04" s="74" t="str">
        <f t="shared" si="44"/>
        <v>"C:\Program Files (x86)\AstroGrep\AstroGrep.exe" /e /r /s /spath="%USERPROFILE%\AppData\Local\Temp\OnboardLogs" /stypes="app*4043*20170920*" /stext=" 22:.+((SYSTEM_STATE.+slice.+state.+changed )|(ment ac)|(multiple cpu faults)|(system.+state.+changed )|(\[timeout)|(PRM\|1\|D)|(kpr)|(kdp)|(train st.+moving)|(\|lc)|(penalty))"</v>
      </c>
      <c r="AG104" s="182" t="str">
        <f t="shared" si="45"/>
        <v>EC</v>
      </c>
      <c r="AH104" s="78" t="str">
        <f t="shared" si="27"/>
        <v>"%USERPROFILE%\Documents\GitHub\eaglep3\Utilities\RefineRTDCRunTimes.py" --tripid 192-20 --locoid 4043 --swversion DE.1.0.9.0 --startMP 204:233004 --initTime 2017-09-20T15:52:01 --startdatetime 2017-09-20T15:57:26 --delay 74 --endMP 204:143 --enddatetime 2017-09-20T16:36:08 --enforcementcount 0 &gt;&gt;c:\users\tmcdowell\Documents\GitHub\eaglep3-reporting\EC\2017-09-20-refined-times.txt</v>
      </c>
      <c r="AI10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ID","value":"192-20"},{"id":16,"name":"Locomotive ID","value":"4043"},{"id":130,"name":"Impact","value":""},{"id":150,"name":"Time of Event (Mountain Time)","value":"16:36:08"},{"id":151,"name":"Denver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29"/>
        <v>start /low /b %USERPROFILE%\Documents\GitHub\eaglep3\Utilities\DownloadLogsFromS3.py --loco 4043 --day 2017-09-20</v>
      </c>
      <c r="AN10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1"/>
        <v>https://d0f6bd738d7f1b3e5a7ca70fe4ff75f0.us-east-1.aws.found.io/app/kibana#/discover/Steve-Slow-Train-Analysis-(2080s-and-2083s)?_g=(refreshInterval:(display:Off,pause:!f,section:0,value:0),time:(from:'2017-09-20T14:52:01-0600',mode:absolute,to:'2017-09-20T17:36:08-0600'))&amp;_a=(columns:!('Message%20ID',Summary),filters:!(),index:'emp_*',interval:auto,query:(query_string:(analyze_wildcard:!t,query:'Message%5C+ID:(*)+AND+%22rtdc.l.rtdc.4043%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751</v>
      </c>
      <c r="B105" s="7">
        <v>4002</v>
      </c>
      <c r="C105" s="21" t="s">
        <v>196</v>
      </c>
      <c r="D105" s="21" t="s">
        <v>348</v>
      </c>
      <c r="E105" s="13">
        <v>42998.629652777781</v>
      </c>
      <c r="F105" s="13">
        <v>42998.635648148149</v>
      </c>
      <c r="G105" s="7">
        <v>68</v>
      </c>
      <c r="H105" s="21" t="s">
        <v>538</v>
      </c>
      <c r="I105" s="13">
        <v>42998.660405092596</v>
      </c>
      <c r="J105" s="7">
        <v>0</v>
      </c>
      <c r="K105" s="89" t="str">
        <f t="shared" si="32"/>
        <v>4001/4002</v>
      </c>
      <c r="L105" s="185" t="str">
        <f>VLOOKUP(A105,'Trips&amp;Operators'!$C$1:$G$99911,5,FALSE)</f>
        <v>DELGADO DIANAH</v>
      </c>
      <c r="M105" s="6">
        <f t="shared" si="33"/>
        <v>2.4756944447290152E-2</v>
      </c>
      <c r="N105" s="7">
        <f t="shared" si="46"/>
        <v>35.650000004097819</v>
      </c>
      <c r="O105" s="7"/>
      <c r="P105" s="7"/>
      <c r="Q105" s="22"/>
      <c r="R105" s="174"/>
      <c r="S105" s="221">
        <f t="shared" si="35"/>
        <v>1</v>
      </c>
      <c r="T105" s="174" t="str">
        <f t="shared" si="36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7"/>
        <v>https://d0f6bd738d7f1b3e5a7ca70fe4ff75f0.us-east-1.aws.found.io/app/kibana#/discover/Steve-Slow-Train-Analysis-(2080s-and-2083s)?_g=(refreshInterval:(display:Off,pause:!f,section:0,value:0),time:(from:'2017-09-20T14:06:42-0600',mode:absolute,to:'2017-09-20T16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 t="shared" si="38"/>
        <v>1</v>
      </c>
      <c r="Y105" s="204">
        <f t="shared" si="52"/>
        <v>4.5499999999999999E-2</v>
      </c>
      <c r="Z105" s="204">
        <f t="shared" si="53"/>
        <v>23.334700000000002</v>
      </c>
      <c r="AA105" s="204">
        <f t="shared" si="41"/>
        <v>23.289200000000001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2"/>
        <v>193</v>
      </c>
      <c r="AE105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105" s="74" t="str">
        <f t="shared" si="44"/>
        <v>"C:\Program Files (x86)\AstroGrep\AstroGrep.exe" /e /r /s /spath="%USERPROFILE%\AppData\Local\Temp\OnboardLogs" /stypes="app*4002*20170920*" /stext=" 21:.+((SYSTEM_STATE.+slice.+state.+changed )|(ment ac)|(multiple cpu faults)|(system.+state.+changed )|(\[timeout)|(PRM\|1\|D)|(kpr)|(kdp)|(train st.+moving)|(\|lc)|(penalty))"</v>
      </c>
      <c r="AG105" s="182" t="str">
        <f t="shared" si="45"/>
        <v>EC</v>
      </c>
      <c r="AH105" s="78" t="str">
        <f t="shared" si="27"/>
        <v>"%USERPROFILE%\Documents\GitHub\eaglep3\Utilities\RefineRTDCRunTimes.py" --tripid 193-20 --locoid 4002 --swversion DE.1.0.9.0 --startMP 204:455 --initTime 2017-09-20T15:06:42 --startdatetime 2017-09-20T15:15:20 --delay 68 --endMP 204:233347 --enddatetime 2017-09-20T15:50:59 --enforcementcount 0 &gt;&gt;c:\users\tmcdowell\Documents\GitHub\eaglep3-reporting\EC\2017-09-20-refined-times.txt</v>
      </c>
      <c r="AI10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{"issue":{"subject":"","project_id":79,"tracker_id":40,"status_id":1,"priority_id":2,"assigned_to_id":338,"start_date":"2017-09-20","description":"","custom_fields":[{"id":1,"name":"Subdivision","value":"EC"},{"id":4,"name":"Milepost","value":"23.3347"},{"id":17,"name":"Train ID","value":"193-20"},{"id":16,"name":"Locomotive ID","value":"4002"},{"id":130,"name":"Impact","value":""},{"id":150,"name":"Time of Event (Mountain Time)","value":"15:50:59"},{"id":151,"name":"Denver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29"/>
        <v>start /low /b %USERPROFILE%\Documents\GitHub\eaglep3\Utilities\DownloadLogsFromS3.py --loco 4002 --day 2017-09-20</v>
      </c>
      <c r="AN10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1"/>
        <v>https://d0f6bd738d7f1b3e5a7ca70fe4ff75f0.us-east-1.aws.found.io/app/kibana#/discover/Steve-Slow-Train-Analysis-(2080s-and-2083s)?_g=(refreshInterval:(display:Off,pause:!f,section:0,value:0),time:(from:'2017-09-20T14:06:42-0600',mode:absolute,to:'2017-09-20T16:50:59-0600'))&amp;_a=(columns:!('Message%20ID',Summary),filters:!(),index:'emp_*',interval:auto,query:(query_string:(analyze_wildcard:!t,query:'Message%5C+ID:(*)+AND+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763</v>
      </c>
      <c r="B106" s="7">
        <v>4001</v>
      </c>
      <c r="C106" s="21" t="s">
        <v>196</v>
      </c>
      <c r="D106" s="21" t="s">
        <v>489</v>
      </c>
      <c r="E106" s="13">
        <v>42998.669722222221</v>
      </c>
      <c r="F106" s="13">
        <v>42998.675196759257</v>
      </c>
      <c r="G106" s="7">
        <v>92</v>
      </c>
      <c r="H106" s="21" t="s">
        <v>363</v>
      </c>
      <c r="I106" s="13">
        <v>42998.701111111113</v>
      </c>
      <c r="J106" s="7">
        <v>0</v>
      </c>
      <c r="K106" s="89" t="str">
        <f t="shared" si="32"/>
        <v>4001/4002</v>
      </c>
      <c r="L106" s="185" t="str">
        <f>VLOOKUP(A106,'Trips&amp;Operators'!$C$1:$G$99911,5,FALSE)</f>
        <v>DELGADO DIANAH</v>
      </c>
      <c r="M106" s="6">
        <f t="shared" si="33"/>
        <v>2.5914351856044959E-2</v>
      </c>
      <c r="N106" s="7">
        <f t="shared" si="46"/>
        <v>37.316666672704741</v>
      </c>
      <c r="O106" s="7"/>
      <c r="P106" s="7"/>
      <c r="Q106" s="22"/>
      <c r="R106" s="174"/>
      <c r="S106" s="221">
        <f t="shared" si="35"/>
        <v>1</v>
      </c>
      <c r="T106" s="174" t="str">
        <f t="shared" si="36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7"/>
        <v>https://d0f6bd738d7f1b3e5a7ca70fe4ff75f0.us-east-1.aws.found.io/app/kibana#/discover/Steve-Slow-Train-Analysis-(2080s-and-2083s)?_g=(refreshInterval:(display:Off,pause:!f,section:0,value:0),time:(from:'2017-09-20T15:04:24-0600',mode:absolute,to:'2017-09-20T17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 t="shared" si="38"/>
        <v>1</v>
      </c>
      <c r="Y106" s="204">
        <f t="shared" si="52"/>
        <v>23.3005</v>
      </c>
      <c r="Z106" s="204">
        <f t="shared" si="53"/>
        <v>1.4500000000000001E-2</v>
      </c>
      <c r="AA106" s="204">
        <f t="shared" si="41"/>
        <v>23.285999999999998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2"/>
        <v>194</v>
      </c>
      <c r="AE106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106" s="74" t="str">
        <f t="shared" si="44"/>
        <v>"C:\Program Files (x86)\AstroGrep\AstroGrep.exe" /e /r /s /spath="%USERPROFILE%\AppData\Local\Temp\OnboardLogs" /stypes="app*4001*20170920*" /stext=" 22:.+((SYSTEM_STATE.+slice.+state.+changed )|(ment ac)|(multiple cpu faults)|(system.+state.+changed )|(\[timeout)|(PRM\|1\|D)|(kpr)|(kdp)|(train st.+moving)|(\|lc)|(penalty))"</v>
      </c>
      <c r="AG106" s="182" t="str">
        <f t="shared" si="45"/>
        <v>EC</v>
      </c>
      <c r="AH106" s="78" t="str">
        <f t="shared" si="27"/>
        <v>"%USERPROFILE%\Documents\GitHub\eaglep3\Utilities\RefineRTDCRunTimes.py" --tripid 194-20 --locoid 4001 --swversion DE.1.0.9.0 --startMP 204:233005 --initTime 2017-09-20T16:04:24 --startdatetime 2017-09-20T16:12:17 --delay 92 --endMP 204:145 --enddatetime 2017-09-20T16:49:36 --enforcementcount 0 &gt;&gt;c:\users\tmcdowell\Documents\GitHub\eaglep3-reporting\EC\2017-09-20-refined-times.txt</v>
      </c>
      <c r="AI10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ID","value":"194-20"},{"id":16,"name":"Locomotive ID","value":"4001"},{"id":130,"name":"Impact","value":""},{"id":150,"name":"Time of Event (Mountain Time)","value":"16:49:36"},{"id":151,"name":"Denver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29"/>
        <v>start /low /b %USERPROFILE%\Documents\GitHub\eaglep3\Utilities\DownloadLogsFromS3.py --loco 4001 --day 2017-09-20</v>
      </c>
      <c r="AN10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1"/>
        <v>https://d0f6bd738d7f1b3e5a7ca70fe4ff75f0.us-east-1.aws.found.io/app/kibana#/discover/Steve-Slow-Train-Analysis-(2080s-and-2083s)?_g=(refreshInterval:(display:Off,pause:!f,section:0,value:0),time:(from:'2017-09-20T15:04:24-0600',mode:absolute,to:'2017-09-20T17:49:36-0600'))&amp;_a=(columns:!('Message%20ID',Summary),filters:!(),index:'emp_*',interval:auto,query:(query_string:(analyze_wildcard:!t,query:'Message%5C+ID:(*)+AND+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755</v>
      </c>
      <c r="B107" s="7">
        <v>4042</v>
      </c>
      <c r="C107" s="21" t="s">
        <v>196</v>
      </c>
      <c r="D107" s="21" t="s">
        <v>357</v>
      </c>
      <c r="E107" s="13">
        <v>42998.642766203702</v>
      </c>
      <c r="F107" s="13">
        <v>42998.646134259259</v>
      </c>
      <c r="G107" s="7">
        <v>83</v>
      </c>
      <c r="H107" s="21" t="s">
        <v>541</v>
      </c>
      <c r="I107" s="13">
        <v>42998.670555555553</v>
      </c>
      <c r="J107" s="7">
        <v>0</v>
      </c>
      <c r="K107" s="89" t="str">
        <f t="shared" si="32"/>
        <v>4041/4042</v>
      </c>
      <c r="L107" s="185" t="str">
        <f>VLOOKUP(A107,'Trips&amp;Operators'!$C$1:$G$99911,5,FALSE)</f>
        <v>LEVIN SCOTT</v>
      </c>
      <c r="M107" s="6">
        <f t="shared" si="33"/>
        <v>2.4421296293439809E-2</v>
      </c>
      <c r="N107" s="7">
        <f t="shared" si="46"/>
        <v>35.166666662553325</v>
      </c>
      <c r="O107" s="7"/>
      <c r="P107" s="7"/>
      <c r="Q107" s="22"/>
      <c r="R107" s="174"/>
      <c r="S107" s="221">
        <f t="shared" si="35"/>
        <v>1</v>
      </c>
      <c r="T107" s="174" t="str">
        <f t="shared" si="36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7"/>
        <v>https://d0f6bd738d7f1b3e5a7ca70fe4ff75f0.us-east-1.aws.found.io/app/kibana#/discover/Steve-Slow-Train-Analysis-(2080s-and-2083s)?_g=(refreshInterval:(display:Off,pause:!f,section:0,value:0),time:(from:'2017-09-20T14:25:35-0600',mode:absolute,to:'2017-09-20T17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>IF(AA107&lt;VLOOKUP(AG107,Variables!$AC$3:$AD$8,2,FALSE),"Y","N")</f>
        <v>N</v>
      </c>
      <c r="X107" s="204">
        <f t="shared" si="38"/>
        <v>1</v>
      </c>
      <c r="Y107" s="204">
        <f t="shared" si="52"/>
        <v>4.58E-2</v>
      </c>
      <c r="Z107" s="204">
        <f t="shared" si="53"/>
        <v>23.337399999999999</v>
      </c>
      <c r="AA107" s="204">
        <f t="shared" si="41"/>
        <v>23.291599999999999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2"/>
        <v>195</v>
      </c>
      <c r="AE107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07" s="74" t="str">
        <f t="shared" si="44"/>
        <v>"C:\Program Files (x86)\AstroGrep\AstroGrep.exe" /e /r /s /spath="%USERPROFILE%\AppData\Local\Temp\OnboardLogs" /stypes="app*4042*20170920*" /stext=" 22:.+((SYSTEM_STATE.+slice.+state.+changed )|(ment ac)|(multiple cpu faults)|(system.+state.+changed )|(\[timeout)|(PRM\|1\|D)|(kpr)|(kdp)|(train st.+moving)|(\|lc)|(penalty))"</v>
      </c>
      <c r="AG107" s="182" t="str">
        <f t="shared" si="45"/>
        <v>EC</v>
      </c>
      <c r="AH107" s="78" t="str">
        <f t="shared" si="27"/>
        <v>"%USERPROFILE%\Documents\GitHub\eaglep3\Utilities\RefineRTDCRunTimes.py" --tripid 195-20 --locoid 4042 --swversion DE.1.0.9.0 --startMP 204:458 --initTime 2017-09-20T15:25:35 --startdatetime 2017-09-20T15:30:26 --delay 83 --endMP 204:233374 --enddatetime 2017-09-20T16:05:36 --enforcementcount 0 &gt;&gt;c:\users\tmcdowell\Documents\GitHub\eaglep3-reporting\EC\2017-09-20-refined-times.txt</v>
      </c>
      <c r="AI10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{"issue":{"subject":"","project_id":79,"tracker_id":40,"status_id":1,"priority_id":2,"assigned_to_id":338,"start_date":"2017-09-20","description":"","custom_fields":[{"id":1,"name":"Subdivision","value":"EC"},{"id":4,"name":"Milepost","value":"23.3374"},{"id":17,"name":"Train ID","value":"195-20"},{"id":16,"name":"Locomotive ID","value":"4042"},{"id":130,"name":"Impact","value":""},{"id":150,"name":"Time of Event (Mountain Time)","value":"16:05:36"},{"id":151,"name":"Denver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29"/>
        <v>start /low /b %USERPROFILE%\Documents\GitHub\eaglep3\Utilities\DownloadLogsFromS3.py --loco 4042 --day 2017-09-20</v>
      </c>
      <c r="AN10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1"/>
        <v>https://d0f6bd738d7f1b3e5a7ca70fe4ff75f0.us-east-1.aws.found.io/app/kibana#/discover/Steve-Slow-Train-Analysis-(2080s-and-2083s)?_g=(refreshInterval:(display:Off,pause:!f,section:0,value:0),time:(from:'2017-09-20T14:25:35-0600',mode:absolute,to:'2017-09-20T17:05:36-0600'))&amp;_a=(columns:!('Message%20ID',Summary),filters:!(),index:'emp_*',interval:auto,query:(query_string:(analyze_wildcard:!t,query:'Message%5C+ID:(*)+AND+%22rtdc.l.rtdc.4042%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768</v>
      </c>
      <c r="B108" s="7">
        <v>4041</v>
      </c>
      <c r="C108" s="21" t="s">
        <v>196</v>
      </c>
      <c r="D108" s="21" t="s">
        <v>867</v>
      </c>
      <c r="E108" s="13">
        <v>42998.680856481478</v>
      </c>
      <c r="F108" s="13">
        <v>42998.685590277775</v>
      </c>
      <c r="G108" s="7">
        <v>78</v>
      </c>
      <c r="H108" s="21" t="s">
        <v>398</v>
      </c>
      <c r="I108" s="13">
        <v>42998.713043981479</v>
      </c>
      <c r="J108" s="7">
        <v>0</v>
      </c>
      <c r="K108" s="89" t="str">
        <f t="shared" si="32"/>
        <v>4041/4042</v>
      </c>
      <c r="L108" s="185" t="str">
        <f>VLOOKUP(A108,'Trips&amp;Operators'!$C$1:$G$99911,5,FALSE)</f>
        <v>LEVIN SCOTT</v>
      </c>
      <c r="M108" s="6">
        <f t="shared" si="33"/>
        <v>2.7453703703940846E-2</v>
      </c>
      <c r="N108" s="7">
        <f t="shared" si="46"/>
        <v>39.533333333674818</v>
      </c>
      <c r="O108" s="7"/>
      <c r="P108" s="7"/>
      <c r="Q108" s="22"/>
      <c r="R108" s="174"/>
      <c r="S108" s="221">
        <f t="shared" si="35"/>
        <v>1</v>
      </c>
      <c r="T108" s="174" t="str">
        <f t="shared" si="36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7"/>
        <v>https://d0f6bd738d7f1b3e5a7ca70fe4ff75f0.us-east-1.aws.found.io/app/kibana#/discover/Steve-Slow-Train-Analysis-(2080s-and-2083s)?_g=(refreshInterval:(display:Off,pause:!f,section:0,value:0),time:(from:'2017-09-20T15:20:26-0600',mode:absolute,to:'2017-09-20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>IF(AA108&lt;VLOOKUP(AG108,Variables!$AC$3:$AD$8,2,FALSE),"Y","N")</f>
        <v>N</v>
      </c>
      <c r="X108" s="204">
        <f t="shared" si="38"/>
        <v>1</v>
      </c>
      <c r="Y108" s="204">
        <f t="shared" si="52"/>
        <v>23.303999999999998</v>
      </c>
      <c r="Z108" s="204">
        <f t="shared" si="53"/>
        <v>1.6299999999999999E-2</v>
      </c>
      <c r="AA108" s="204">
        <f t="shared" si="41"/>
        <v>23.287699999999997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2"/>
        <v>196</v>
      </c>
      <c r="AE108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08" s="74" t="str">
        <f t="shared" si="44"/>
        <v>"C:\Program Files (x86)\AstroGrep\AstroGrep.exe" /e /r /s /spath="%USERPROFILE%\AppData\Local\Temp\OnboardLogs" /stypes="app*4041*20170920*" /stext=" 23:.+((SYSTEM_STATE.+slice.+state.+changed )|(ment ac)|(multiple cpu faults)|(system.+state.+changed )|(\[timeout)|(PRM\|1\|D)|(kpr)|(kdp)|(train st.+moving)|(\|lc)|(penalty))"</v>
      </c>
      <c r="AG108" s="182" t="str">
        <f t="shared" si="45"/>
        <v>EC</v>
      </c>
      <c r="AH108" s="78" t="str">
        <f t="shared" si="27"/>
        <v>"%USERPROFILE%\Documents\GitHub\eaglep3\Utilities\RefineRTDCRunTimes.py" --tripid 196-20 --locoid 4041 --swversion DE.1.0.9.0 --startMP 204:233040 --initTime 2017-09-20T16:20:26 --startdatetime 2017-09-20T16:27:15 --delay 78 --endMP 204:163 --enddatetime 2017-09-20T17:06:47 --enforcementcount 0 &gt;&gt;c:\users\tmcdowell\Documents\GitHub\eaglep3-reporting\EC\2017-09-20-refined-times.txt</v>
      </c>
      <c r="AI10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{"issue":{"subject":"","project_id":79,"tracker_id":40,"status_id":1,"priority_id":2,"assigned_to_id":338,"start_date":"2017-09-20","description":"","custom_fields":[{"id":1,"name":"Subdivision","value":"EC"},{"id":4,"name":"Milepost","value":"0.0163"},{"id":17,"name":"Train ID","value":"196-20"},{"id":16,"name":"Locomotive ID","value":"4041"},{"id":130,"name":"Impact","value":""},{"id":150,"name":"Time of Event (Mountain Time)","value":"17:06:47"},{"id":151,"name":"Denver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29"/>
        <v>start /low /b %USERPROFILE%\Documents\GitHub\eaglep3\Utilities\DownloadLogsFromS3.py --loco 4041 --day 2017-09-20</v>
      </c>
      <c r="AN10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1"/>
        <v>https://d0f6bd738d7f1b3e5a7ca70fe4ff75f0.us-east-1.aws.found.io/app/kibana#/discover/Steve-Slow-Train-Analysis-(2080s-and-2083s)?_g=(refreshInterval:(display:Off,pause:!f,section:0,value:0),time:(from:'2017-09-20T15:20:26-0600',mode:absolute,to:'2017-09-20T18:06:47-0600'))&amp;_a=(columns:!('Message%20ID',Summary),filters:!(),index:'emp_*',interval:auto,query:(query_string:(analyze_wildcard:!t,query:'Message%5C+ID:(*)+AND+%22rtdc.l.rtdc.4041%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759</v>
      </c>
      <c r="B109" s="7">
        <v>4058</v>
      </c>
      <c r="C109" s="21" t="s">
        <v>196</v>
      </c>
      <c r="D109" s="21" t="s">
        <v>362</v>
      </c>
      <c r="E109" s="13">
        <v>42998.652824074074</v>
      </c>
      <c r="F109" s="13">
        <v>42998.656527777777</v>
      </c>
      <c r="G109" s="7">
        <v>60</v>
      </c>
      <c r="H109" s="21" t="s">
        <v>463</v>
      </c>
      <c r="I109" s="13">
        <v>42998.681932870371</v>
      </c>
      <c r="J109" s="7">
        <v>0</v>
      </c>
      <c r="K109" s="89" t="str">
        <f t="shared" si="32"/>
        <v>4057/4058</v>
      </c>
      <c r="L109" s="185" t="str">
        <f>VLOOKUP(A109,'Trips&amp;Operators'!$C$1:$G$99911,5,FALSE)</f>
        <v>BERLING GARY</v>
      </c>
      <c r="M109" s="6">
        <f t="shared" si="33"/>
        <v>2.5405092594155576E-2</v>
      </c>
      <c r="N109" s="7">
        <f t="shared" si="46"/>
        <v>36.58333333558403</v>
      </c>
      <c r="O109" s="7"/>
      <c r="P109" s="7"/>
      <c r="Q109" s="22"/>
      <c r="R109" s="174"/>
      <c r="S109" s="221">
        <f t="shared" si="35"/>
        <v>1</v>
      </c>
      <c r="T109" s="174" t="str">
        <f t="shared" si="36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7"/>
        <v>https://d0f6bd738d7f1b3e5a7ca70fe4ff75f0.us-east-1.aws.found.io/app/kibana#/discover/Steve-Slow-Train-Analysis-(2080s-and-2083s)?_g=(refreshInterval:(display:Off,pause:!f,section:0,value:0),time:(from:'2017-09-20T14:40:04-0600',mode:absolute,to:'2017-09-20T17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9" s="204" t="str">
        <f>IF(AA109&lt;VLOOKUP(AG109,Variables!$AC$3:$AD$8,2,FALSE),"Y","N")</f>
        <v>N</v>
      </c>
      <c r="X109" s="204">
        <f t="shared" si="38"/>
        <v>1</v>
      </c>
      <c r="Y109" s="204">
        <f t="shared" si="52"/>
        <v>4.6399999999999997E-2</v>
      </c>
      <c r="Z109" s="204">
        <f t="shared" si="53"/>
        <v>23.332999999999998</v>
      </c>
      <c r="AA109" s="204">
        <f t="shared" si="41"/>
        <v>23.2866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2"/>
        <v>197</v>
      </c>
      <c r="AE109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109" s="74" t="str">
        <f t="shared" si="44"/>
        <v>"C:\Program Files (x86)\AstroGrep\AstroGrep.exe" /e /r /s /spath="%USERPROFILE%\AppData\Local\Temp\OnboardLogs" /stypes="app*4058*20170920*" /stext=" 22:.+((SYSTEM_STATE.+slice.+state.+changed )|(ment ac)|(multiple cpu faults)|(system.+state.+changed )|(\[timeout)|(PRM\|1\|D)|(kpr)|(kdp)|(train st.+moving)|(\|lc)|(penalty))"</v>
      </c>
      <c r="AG109" s="182" t="str">
        <f t="shared" si="45"/>
        <v>EC</v>
      </c>
      <c r="AH109" s="78" t="str">
        <f t="shared" si="27"/>
        <v>"%USERPROFILE%\Documents\GitHub\eaglep3\Utilities\RefineRTDCRunTimes.py" --tripid 197-20 --locoid 4058 --swversion DE.1.0.9.0 --startMP 204:464 --initTime 2017-09-20T15:40:04 --startdatetime 2017-09-20T15:45:24 --delay 60 --endMP 204:233330 --enddatetime 2017-09-20T16:21:59 --enforcementcount 0 &gt;&gt;c:\users\tmcdowell\Documents\GitHub\eaglep3-reporting\EC\2017-09-20-refined-times.txt</v>
      </c>
      <c r="AI10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{"issue":{"subject":"","project_id":79,"tracker_id":40,"status_id":1,"priority_id":2,"assigned_to_id":338,"start_date":"2017-09-20","description":"","custom_fields":[{"id":1,"name":"Subdivision","value":"EC"},{"id":4,"name":"Milepost","value":"23.333"},{"id":17,"name":"Train ID","value":"197-20"},{"id":16,"name":"Locomotive ID","value":"4058"},{"id":130,"name":"Impact","value":""},{"id":150,"name":"Time of Event (Mountain Time)","value":"16:21:59"},{"id":151,"name":"Denver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29"/>
        <v>start /low /b %USERPROFILE%\Documents\GitHub\eaglep3\Utilities\DownloadLogsFromS3.py --loco 4058 --day 2017-09-20</v>
      </c>
      <c r="AN10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1"/>
        <v>https://d0f6bd738d7f1b3e5a7ca70fe4ff75f0.us-east-1.aws.found.io/app/kibana#/discover/Steve-Slow-Train-Analysis-(2080s-and-2083s)?_g=(refreshInterval:(display:Off,pause:!f,section:0,value:0),time:(from:'2017-09-20T14:40:04-0600',mode:absolute,to:'2017-09-20T17:21:59-0600'))&amp;_a=(columns:!('Message%20ID',Summary),filters:!(),index:'emp_*',interval:auto,query:(query_string:(analyze_wildcard:!t,query:'Message%5C+ID:(*)+AND+%22rtdc.l.rtdc.4058%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604</v>
      </c>
      <c r="B110" s="7">
        <v>4057</v>
      </c>
      <c r="C110" s="21" t="s">
        <v>196</v>
      </c>
      <c r="D110" s="21" t="s">
        <v>868</v>
      </c>
      <c r="E110" s="13">
        <v>42998.691400462965</v>
      </c>
      <c r="F110" s="13">
        <v>42998.696458333332</v>
      </c>
      <c r="G110" s="7">
        <v>64</v>
      </c>
      <c r="H110" s="21" t="s">
        <v>391</v>
      </c>
      <c r="I110" s="13">
        <v>42998.722199074073</v>
      </c>
      <c r="J110" s="7">
        <v>0</v>
      </c>
      <c r="K110" s="89" t="str">
        <f t="shared" si="32"/>
        <v>4057/4058</v>
      </c>
      <c r="L110" s="185" t="str">
        <f>VLOOKUP(A110,'Trips&amp;Operators'!$C$1:$G$99911,5,FALSE)</f>
        <v>BERLING GARY</v>
      </c>
      <c r="M110" s="6">
        <f t="shared" si="33"/>
        <v>2.5740740740729962E-2</v>
      </c>
      <c r="N110" s="7">
        <f t="shared" si="46"/>
        <v>37.066666666651145</v>
      </c>
      <c r="O110" s="7"/>
      <c r="P110" s="7"/>
      <c r="Q110" s="22"/>
      <c r="R110" s="174"/>
      <c r="S110" s="221">
        <f t="shared" si="35"/>
        <v>1</v>
      </c>
      <c r="T110" s="174" t="str">
        <f t="shared" si="36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7"/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204" t="str">
        <f>IF(AA110&lt;VLOOKUP(AG110,Variables!$AC$3:$AD$8,2,FALSE),"Y","N")</f>
        <v>N</v>
      </c>
      <c r="X110" s="204">
        <f t="shared" si="38"/>
        <v>1</v>
      </c>
      <c r="Y110" s="204">
        <f t="shared" si="52"/>
        <v>23.301100000000002</v>
      </c>
      <c r="Z110" s="204">
        <f t="shared" si="53"/>
        <v>1.3899999999999999E-2</v>
      </c>
      <c r="AA110" s="204">
        <f t="shared" si="41"/>
        <v>23.287200000000002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2"/>
        <v>198</v>
      </c>
      <c r="AE110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110" s="74" t="str">
        <f t="shared" si="44"/>
        <v>"C:\Program Files (x86)\AstroGrep\AstroGrep.exe" /e /r /s /spath="%USERPROFILE%\AppData\Local\Temp\OnboardLogs" /stypes="app*4057*20170920*" /stext=" 23:.+((SYSTEM_STATE.+slice.+state.+changed )|(ment ac)|(multiple cpu faults)|(system.+state.+changed )|(\[timeout)|(PRM\|1\|D)|(kpr)|(kdp)|(train st.+moving)|(\|lc)|(penalty))"</v>
      </c>
      <c r="AG110" s="182" t="str">
        <f t="shared" si="45"/>
        <v>EC</v>
      </c>
      <c r="AH110" s="78" t="str">
        <f t="shared" si="27"/>
        <v>"%USERPROFILE%\Documents\GitHub\eaglep3\Utilities\RefineRTDCRunTimes.py" --tripid 198-20 --locoid 4057 --swversion DE.1.0.9.0 --startMP 204:233011 --initTime 2017-09-20T16:35:37 --startdatetime 2017-09-20T16:42:54 --delay 64 --endMP 204:139 --enddatetime 2017-09-20T17:19:58 --enforcementcount 0 &gt;&gt;c:\users\tmcdowell\Documents\GitHub\eaglep3-reporting\EC\2017-09-20-refined-times.txt</v>
      </c>
      <c r="AI11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ID","value":"198-20"},{"id":16,"name":"Locomotive ID","value":"4057"},{"id":130,"name":"Impact","value":""},{"id":150,"name":"Time of Event (Mountain Time)","value":"17:19:58"},{"id":151,"name":"Denver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29"/>
        <v>start /low /b %USERPROFILE%\Documents\GitHub\eaglep3\Utilities\DownloadLogsFromS3.py --loco 4057 --day 2017-09-20</v>
      </c>
      <c r="AN11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1"/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Message%20ID',Summary),filters:!(),index:'emp_*',interval:auto,query:(query_string:(analyze_wildcard:!t,query:'Message%5C+ID:(*)+AND+%22rtdc.l.rtdc.4057%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762</v>
      </c>
      <c r="B111" s="7">
        <v>4064</v>
      </c>
      <c r="C111" s="21" t="s">
        <v>196</v>
      </c>
      <c r="D111" s="21" t="s">
        <v>340</v>
      </c>
      <c r="E111" s="13">
        <v>42998.664930555555</v>
      </c>
      <c r="F111" s="13">
        <v>42998.667071759257</v>
      </c>
      <c r="G111" s="7">
        <v>49</v>
      </c>
      <c r="H111" s="21" t="s">
        <v>414</v>
      </c>
      <c r="I111" s="13">
        <v>42998.694675925923</v>
      </c>
      <c r="J111" s="7">
        <v>0</v>
      </c>
      <c r="K111" s="89" t="str">
        <f t="shared" si="32"/>
        <v>4063/4064</v>
      </c>
      <c r="L111" s="185" t="str">
        <f>VLOOKUP(A111,'Trips&amp;Operators'!$C$1:$G$99911,5,FALSE)</f>
        <v>DAVIS MICHAEL</v>
      </c>
      <c r="M111" s="6">
        <f t="shared" si="33"/>
        <v>2.7604166665696539E-2</v>
      </c>
      <c r="N111" s="7">
        <f t="shared" si="46"/>
        <v>39.749999998603016</v>
      </c>
      <c r="O111" s="7"/>
      <c r="P111" s="7"/>
      <c r="Q111" s="22"/>
      <c r="R111" s="174"/>
      <c r="S111" s="221">
        <f t="shared" si="35"/>
        <v>1</v>
      </c>
      <c r="T111" s="174" t="str">
        <f t="shared" si="36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7"/>
        <v>https://d0f6bd738d7f1b3e5a7ca70fe4ff75f0.us-east-1.aws.found.io/app/kibana#/discover/Steve-Slow-Train-Analysis-(2080s-and-2083s)?_g=(refreshInterval:(display:Off,pause:!f,section:0,value:0),time:(from:'2017-09-20T14:57:30-0600',mode:absolute,to:'2017-09-20T17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04" t="str">
        <f>IF(AA111&lt;VLOOKUP(AG111,Variables!$AC$3:$AD$8,2,FALSE),"Y","N")</f>
        <v>N</v>
      </c>
      <c r="X111" s="204">
        <f t="shared" si="38"/>
        <v>1</v>
      </c>
      <c r="Y111" s="204">
        <f t="shared" si="52"/>
        <v>4.53E-2</v>
      </c>
      <c r="Z111" s="204">
        <f t="shared" si="53"/>
        <v>23.331499999999998</v>
      </c>
      <c r="AA111" s="204">
        <f t="shared" si="41"/>
        <v>23.286199999999997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2"/>
        <v>199</v>
      </c>
      <c r="AE111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11" s="74" t="str">
        <f t="shared" si="44"/>
        <v>"C:\Program Files (x86)\AstroGrep\AstroGrep.exe" /e /r /s /spath="%USERPROFILE%\AppData\Local\Temp\OnboardLogs" /stypes="app*4064*20170920*" /stext=" 22:.+((SYSTEM_STATE.+slice.+state.+changed )|(ment ac)|(multiple cpu faults)|(system.+state.+changed )|(\[timeout)|(PRM\|1\|D)|(kpr)|(kdp)|(train st.+moving)|(\|lc)|(penalty))"</v>
      </c>
      <c r="AG111" s="182" t="str">
        <f t="shared" si="45"/>
        <v>EC</v>
      </c>
      <c r="AH111" s="78" t="str">
        <f t="shared" si="27"/>
        <v>"%USERPROFILE%\Documents\GitHub\eaglep3\Utilities\RefineRTDCRunTimes.py" --tripid 199-20 --locoid 4064 --swversion DE.1.0.9.0 --startMP 204:453 --initTime 2017-09-20T15:57:30 --startdatetime 2017-09-20T16:00:35 --delay 49 --endMP 204:233315 --enddatetime 2017-09-20T16:40:20 --enforcementcount 0 &gt;&gt;c:\users\tmcdowell\Documents\GitHub\eaglep3-reporting\EC\2017-09-20-refined-times.txt</v>
      </c>
      <c r="AI11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{"issue":{"subject":"","project_id":79,"tracker_id":40,"status_id":1,"priority_id":2,"assigned_to_id":338,"start_date":"2017-09-20","description":"","custom_fields":[{"id":1,"name":"Subdivision","value":"EC"},{"id":4,"name":"Milepost","value":"23.3315"},{"id":17,"name":"Train ID","value":"199-20"},{"id":16,"name":"Locomotive ID","value":"4064"},{"id":130,"name":"Impact","value":""},{"id":150,"name":"Time of Event (Mountain Time)","value":"16:40:20"},{"id":151,"name":"Denver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29"/>
        <v>start /low /b %USERPROFILE%\Documents\GitHub\eaglep3\Utilities\DownloadLogsFromS3.py --loco 4064 --day 2017-09-20</v>
      </c>
      <c r="AN11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1"/>
        <v>https://d0f6bd738d7f1b3e5a7ca70fe4ff75f0.us-east-1.aws.found.io/app/kibana#/discover/Steve-Slow-Train-Analysis-(2080s-and-2083s)?_g=(refreshInterval:(display:Off,pause:!f,section:0,value:0),time:(from:'2017-09-20T14:57:30-0600',mode:absolute,to:'2017-09-20T17:40:20-0600'))&amp;_a=(columns:!('Message%20ID',Summary),filters:!(),index:'emp_*',interval:auto,query:(query_string:(analyze_wildcard:!t,query:'Message%5C+ID:(*)+AND+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773</v>
      </c>
      <c r="B112" s="7">
        <v>4063</v>
      </c>
      <c r="C112" s="21" t="s">
        <v>196</v>
      </c>
      <c r="D112" s="21" t="s">
        <v>462</v>
      </c>
      <c r="E112" s="13">
        <v>42998.703692129631</v>
      </c>
      <c r="F112" s="13">
        <v>42998.706597222219</v>
      </c>
      <c r="G112" s="7">
        <v>55</v>
      </c>
      <c r="H112" s="21" t="s">
        <v>869</v>
      </c>
      <c r="I112" s="13">
        <v>42998.734351851854</v>
      </c>
      <c r="J112" s="7">
        <v>0</v>
      </c>
      <c r="K112" s="89" t="str">
        <f t="shared" si="32"/>
        <v>4063/4064</v>
      </c>
      <c r="L112" s="185" t="str">
        <f>VLOOKUP(A112,'Trips&amp;Operators'!$C$1:$G$99911,5,FALSE)</f>
        <v>DAVIS MICHAEL</v>
      </c>
      <c r="M112" s="6">
        <f t="shared" si="33"/>
        <v>2.775462963472819E-2</v>
      </c>
      <c r="N112" s="7">
        <f t="shared" si="46"/>
        <v>39.966666674008593</v>
      </c>
      <c r="O112" s="7"/>
      <c r="P112" s="7"/>
      <c r="Q112" s="22"/>
      <c r="R112" s="174"/>
      <c r="S112" s="221">
        <f t="shared" si="35"/>
        <v>1</v>
      </c>
      <c r="T112" s="174" t="str">
        <f t="shared" si="36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7"/>
        <v>https://d0f6bd738d7f1b3e5a7ca70fe4ff75f0.us-east-1.aws.found.io/app/kibana#/discover/Steve-Slow-Train-Analysis-(2080s-and-2083s)?_g=(refreshInterval:(display:Off,pause:!f,section:0,value:0),time:(from:'2017-09-20T15:53:19-0600',mode:absolute,to:'2017-09-20T18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04" t="str">
        <f>IF(AA112&lt;VLOOKUP(AG112,Variables!$AC$3:$AD$8,2,FALSE),"Y","N")</f>
        <v>N</v>
      </c>
      <c r="X112" s="204">
        <f t="shared" si="38"/>
        <v>1</v>
      </c>
      <c r="Y112" s="204">
        <f t="shared" si="52"/>
        <v>23.3019</v>
      </c>
      <c r="Z112" s="204">
        <f t="shared" si="53"/>
        <v>1.32E-2</v>
      </c>
      <c r="AA112" s="204">
        <f t="shared" si="41"/>
        <v>23.288699999999999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2"/>
        <v>200</v>
      </c>
      <c r="AE112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12" s="74" t="str">
        <f t="shared" si="44"/>
        <v>"C:\Program Files (x86)\AstroGrep\AstroGrep.exe" /e /r /s /spath="%USERPROFILE%\AppData\Local\Temp\OnboardLogs" /stypes="app*4063*20170920*" /stext=" 23:.+((SYSTEM_STATE.+slice.+state.+changed )|(ment ac)|(multiple cpu faults)|(system.+state.+changed )|(\[timeout)|(PRM\|1\|D)|(kpr)|(kdp)|(train st.+moving)|(\|lc)|(penalty))"</v>
      </c>
      <c r="AG112" s="182" t="str">
        <f t="shared" si="45"/>
        <v>EC</v>
      </c>
      <c r="AH112" s="78" t="str">
        <f t="shared" si="27"/>
        <v>"%USERPROFILE%\Documents\GitHub\eaglep3\Utilities\RefineRTDCRunTimes.py" --tripid 200-20 --locoid 4063 --swversion DE.1.0.9.0 --startMP 204:233019 --initTime 2017-09-20T16:53:19 --startdatetime 2017-09-20T16:57:30 --delay 55 --endMP 204:132 --enddatetime 2017-09-20T17:37:28 --enforcementcount 0 &gt;&gt;c:\users\tmcdowell\Documents\GitHub\eaglep3-reporting\EC\2017-09-20-refined-times.txt</v>
      </c>
      <c r="AI11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{"issue":{"subject":"","project_id":79,"tracker_id":40,"status_id":1,"priority_id":2,"assigned_to_id":338,"start_date":"2017-09-20","description":"","custom_fields":[{"id":1,"name":"Subdivision","value":"EC"},{"id":4,"name":"Milepost","value":"0.0132"},{"id":17,"name":"Train ID","value":"200-20"},{"id":16,"name":"Locomotive ID","value":"4063"},{"id":130,"name":"Impact","value":""},{"id":150,"name":"Time of Event (Mountain Time)","value":"17:37:28"},{"id":151,"name":"Denver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29"/>
        <v>start /low /b %USERPROFILE%\Documents\GitHub\eaglep3\Utilities\DownloadLogsFromS3.py --loco 4063 --day 2017-09-20</v>
      </c>
      <c r="AN11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1"/>
        <v>https://d0f6bd738d7f1b3e5a7ca70fe4ff75f0.us-east-1.aws.found.io/app/kibana#/discover/Steve-Slow-Train-Analysis-(2080s-and-2083s)?_g=(refreshInterval:(display:Off,pause:!f,section:0,value:0),time:(from:'2017-09-20T15:53:19-0600',mode:absolute,to:'2017-09-20T18:37:28-0600'))&amp;_a=(columns:!('Message%20ID',Summary),filters:!(),index:'emp_*',interval:auto,query:(query_string:(analyze_wildcard:!t,query:'Message%5C+ID:(*)+AND+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765</v>
      </c>
      <c r="B113" s="7">
        <v>4062</v>
      </c>
      <c r="C113" s="21" t="s">
        <v>196</v>
      </c>
      <c r="D113" s="21" t="s">
        <v>437</v>
      </c>
      <c r="E113" s="13">
        <v>42998.673634259256</v>
      </c>
      <c r="F113" s="13">
        <v>42998.677349537036</v>
      </c>
      <c r="G113" s="7">
        <v>54</v>
      </c>
      <c r="H113" s="21" t="s">
        <v>866</v>
      </c>
      <c r="I113" s="13">
        <v>42998.702118055553</v>
      </c>
      <c r="J113" s="7">
        <v>0</v>
      </c>
      <c r="K113" s="89" t="str">
        <f t="shared" si="32"/>
        <v>4061/4062</v>
      </c>
      <c r="L113" s="185" t="str">
        <f>VLOOKUP(A113,'Trips&amp;Operators'!$C$1:$G$99911,5,FALSE)</f>
        <v>HOLCOMB KAMDEN</v>
      </c>
      <c r="M113" s="6">
        <f t="shared" si="33"/>
        <v>2.4768518516793847E-2</v>
      </c>
      <c r="N113" s="7">
        <f t="shared" si="46"/>
        <v>35.66666666418314</v>
      </c>
      <c r="O113" s="7"/>
      <c r="P113" s="7"/>
      <c r="Q113" s="22"/>
      <c r="R113" s="174"/>
      <c r="S113" s="221">
        <f t="shared" si="35"/>
        <v>1</v>
      </c>
      <c r="T113" s="174" t="str">
        <f t="shared" si="36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7"/>
        <v>https://d0f6bd738d7f1b3e5a7ca70fe4ff75f0.us-east-1.aws.found.io/app/kibana#/discover/Steve-Slow-Train-Analysis-(2080s-and-2083s)?_g=(refreshInterval:(display:Off,pause:!f,section:0,value:0),time:(from:'2017-09-20T15:10:02-0600',mode:absolute,to:'2017-09-20T17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3" s="204" t="str">
        <f>IF(AA113&lt;VLOOKUP(AG113,Variables!$AC$3:$AD$8,2,FALSE),"Y","N")</f>
        <v>N</v>
      </c>
      <c r="X113" s="204">
        <f t="shared" si="38"/>
        <v>1</v>
      </c>
      <c r="Y113" s="204">
        <f t="shared" si="52"/>
        <v>4.7500000000000001E-2</v>
      </c>
      <c r="Z113" s="204">
        <f t="shared" si="53"/>
        <v>23.330100000000002</v>
      </c>
      <c r="AA113" s="204">
        <f t="shared" si="41"/>
        <v>23.282600000000002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2"/>
        <v>201</v>
      </c>
      <c r="AE113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113" s="74" t="str">
        <f t="shared" si="44"/>
        <v>"C:\Program Files (x86)\AstroGrep\AstroGrep.exe" /e /r /s /spath="%USERPROFILE%\AppData\Local\Temp\OnboardLogs" /stypes="app*4062*20170920*" /stext=" 22:.+((SYSTEM_STATE.+slice.+state.+changed )|(ment ac)|(multiple cpu faults)|(system.+state.+changed )|(\[timeout)|(PRM\|1\|D)|(kpr)|(kdp)|(train st.+moving)|(\|lc)|(penalty))"</v>
      </c>
      <c r="AG113" s="182" t="str">
        <f t="shared" si="45"/>
        <v>EC</v>
      </c>
      <c r="AH113" s="78" t="str">
        <f t="shared" si="27"/>
        <v>"%USERPROFILE%\Documents\GitHub\eaglep3\Utilities\RefineRTDCRunTimes.py" --tripid 201-20 --locoid 4062 --swversion DE.1.0.9.0 --startMP 204:475 --initTime 2017-09-20T16:10:02 --startdatetime 2017-09-20T16:15:23 --delay 54 --endMP 204:233301 --enddatetime 2017-09-20T16:51:03 --enforcementcount 0 &gt;&gt;c:\users\tmcdowell\Documents\GitHub\eaglep3-reporting\EC\2017-09-20-refined-times.txt</v>
      </c>
      <c r="AI11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{"issue":{"subject":"","project_id":79,"tracker_id":40,"status_id":1,"priority_id":2,"assigned_to_id":338,"start_date":"2017-09-20","description":"","custom_fields":[{"id":1,"name":"Subdivision","value":"EC"},{"id":4,"name":"Milepost","value":"23.3301"},{"id":17,"name":"Train ID","value":"201-20"},{"id":16,"name":"Locomotive ID","value":"4062"},{"id":130,"name":"Impact","value":""},{"id":150,"name":"Time of Event (Mountain Time)","value":"16:51:03"},{"id":151,"name":"Denver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29"/>
        <v>start /low /b %USERPROFILE%\Documents\GitHub\eaglep3\Utilities\DownloadLogsFromS3.py --loco 4062 --day 2017-09-20</v>
      </c>
      <c r="AN11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1"/>
        <v>https://d0f6bd738d7f1b3e5a7ca70fe4ff75f0.us-east-1.aws.found.io/app/kibana#/discover/Steve-Slow-Train-Analysis-(2080s-and-2083s)?_g=(refreshInterval:(display:Off,pause:!f,section:0,value:0),time:(from:'2017-09-20T15:10:02-0600',mode:absolute,to:'2017-09-20T17:51:03-0600'))&amp;_a=(columns:!('Message%20ID',Summary),filters:!(),index:'emp_*',interval:auto,query:(query_string:(analyze_wildcard:!t,query:'Message%5C+ID:(*)+AND+%22rtdc.l.rtdc.4062%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4061</v>
      </c>
      <c r="C114" s="21" t="s">
        <v>196</v>
      </c>
      <c r="D114" s="21" t="s">
        <v>499</v>
      </c>
      <c r="E114" s="13">
        <v>42998.713726851849</v>
      </c>
      <c r="F114" s="13">
        <v>42998.716874999998</v>
      </c>
      <c r="G114" s="7">
        <v>54</v>
      </c>
      <c r="H114" s="21" t="s">
        <v>869</v>
      </c>
      <c r="I114" s="13">
        <v>42998.7425</v>
      </c>
      <c r="J114" s="7">
        <v>0</v>
      </c>
      <c r="K114" s="89" t="str">
        <f t="shared" si="32"/>
        <v>4061/4062</v>
      </c>
      <c r="L114" s="185" t="str">
        <f>VLOOKUP(A114,'Trips&amp;Operators'!$C$1:$G$99911,5,FALSE)</f>
        <v>HOLCOMB KAMDEN</v>
      </c>
      <c r="M114" s="6">
        <f t="shared" si="33"/>
        <v>2.5625000002037268E-2</v>
      </c>
      <c r="N114" s="7">
        <f t="shared" si="46"/>
        <v>36.900000002933666</v>
      </c>
      <c r="O114" s="7"/>
      <c r="P114" s="7"/>
      <c r="Q114" s="22"/>
      <c r="R114" s="174"/>
      <c r="S114" s="221">
        <f t="shared" si="35"/>
        <v>1</v>
      </c>
      <c r="T114" s="174" t="str">
        <f t="shared" si="36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7"/>
        <v>https://d0f6bd738d7f1b3e5a7ca70fe4ff75f0.us-east-1.aws.found.io/app/kibana#/discover/Steve-Slow-Train-Analysis-(2080s-and-2083s)?_g=(refreshInterval:(display:Off,pause:!f,section:0,value:0),time:(from:'2017-09-20T16:07:46-0600',mode:absolute,to:'2017-09-20T18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4" s="204" t="str">
        <f>IF(AA114&lt;VLOOKUP(AG114,Variables!$AC$3:$AD$8,2,FALSE),"Y","N")</f>
        <v>N</v>
      </c>
      <c r="X114" s="204">
        <f t="shared" si="38"/>
        <v>1</v>
      </c>
      <c r="Y114" s="204">
        <f t="shared" si="52"/>
        <v>23.2986</v>
      </c>
      <c r="Z114" s="204">
        <f t="shared" si="53"/>
        <v>1.32E-2</v>
      </c>
      <c r="AA114" s="204">
        <f t="shared" si="41"/>
        <v>23.285399999999999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2"/>
        <v>202</v>
      </c>
      <c r="AE114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14" s="74" t="str">
        <f t="shared" si="44"/>
        <v>"C:\Program Files (x86)\AstroGrep\AstroGrep.exe" /e /r /s /spath="%USERPROFILE%\AppData\Local\Temp\OnboardLogs" /stypes="app*4061*20170920*" /stext=" 23:.+((SYSTEM_STATE.+slice.+state.+changed )|(ment ac)|(multiple cpu faults)|(system.+state.+changed )|(\[timeout)|(PRM\|1\|D)|(kpr)|(kdp)|(train st.+moving)|(\|lc)|(penalty))"</v>
      </c>
      <c r="AG114" s="182" t="str">
        <f t="shared" si="45"/>
        <v>EC</v>
      </c>
      <c r="AH114" s="78" t="str">
        <f t="shared" si="27"/>
        <v>"%USERPROFILE%\Documents\GitHub\eaglep3\Utilities\RefineRTDCRunTimes.py" --tripid 202-20 --locoid 4061 --swversion DE.1.0.9.0 --startMP 204:232986 --initTime 2017-09-20T17:07:46 --startdatetime 2017-09-20T17:12:18 --delay 54 --endMP 204:132 --enddatetime 2017-09-20T17:49:12 --enforcementcount 0 &gt;&gt;c:\users\tmcdowell\Documents\GitHub\eaglep3-reporting\EC\2017-09-20-refined-times.txt</v>
      </c>
      <c r="AI11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{"issue":{"subject":"","project_id":79,"tracker_id":40,"status_id":1,"priority_id":2,"assigned_to_id":338,"start_date":"2017-09-20","description":"","custom_fields":[{"id":1,"name":"Subdivision","value":"EC"},{"id":4,"name":"Milepost","value":"0.0132"},{"id":17,"name":"Train ID","value":"202-20"},{"id":16,"name":"Locomotive ID","value":"4061"},{"id":130,"name":"Impact","value":""},{"id":150,"name":"Time of Event (Mountain Time)","value":"17:49:12"},{"id":151,"name":"Denver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29"/>
        <v>start /low /b %USERPROFILE%\Documents\GitHub\eaglep3\Utilities\DownloadLogsFromS3.py --loco 4061 --day 2017-09-20</v>
      </c>
      <c r="AN11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1"/>
        <v>https://d0f6bd738d7f1b3e5a7ca70fe4ff75f0.us-east-1.aws.found.io/app/kibana#/discover/Steve-Slow-Train-Analysis-(2080s-and-2083s)?_g=(refreshInterval:(display:Off,pause:!f,section:0,value:0),time:(from:'2017-09-20T16:07:46-0600',mode:absolute,to:'2017-09-20T18:49:12-0600'))&amp;_a=(columns:!('Message%20ID',Summary),filters:!(),index:'emp_*',interval:auto,query:(query_string:(analyze_wildcard:!t,query:'Message%5C+ID:(*)+AND+%22rtdc.l.rtdc.4061%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769</v>
      </c>
      <c r="B115" s="7">
        <v>4040</v>
      </c>
      <c r="C115" s="21" t="s">
        <v>196</v>
      </c>
      <c r="D115" s="21" t="s">
        <v>380</v>
      </c>
      <c r="E115" s="13">
        <v>42998.683379629627</v>
      </c>
      <c r="F115" s="13">
        <v>42998.68854166667</v>
      </c>
      <c r="G115" s="7">
        <v>75</v>
      </c>
      <c r="H115" s="21" t="s">
        <v>459</v>
      </c>
      <c r="I115" s="13">
        <v>42998.712685185186</v>
      </c>
      <c r="J115" s="7">
        <v>0</v>
      </c>
      <c r="K115" s="89" t="str">
        <f t="shared" si="32"/>
        <v>4039/4040</v>
      </c>
      <c r="L115" s="185" t="str">
        <f>VLOOKUP(A115,'Trips&amp;Operators'!$C$1:$G$99911,5,FALSE)</f>
        <v>BRUDER RICHARD</v>
      </c>
      <c r="M115" s="6">
        <f t="shared" si="33"/>
        <v>2.414351851621177E-2</v>
      </c>
      <c r="N115" s="7">
        <f t="shared" si="46"/>
        <v>34.766666663344949</v>
      </c>
      <c r="O115" s="7"/>
      <c r="P115" s="7"/>
      <c r="Q115" s="22"/>
      <c r="R115" s="174"/>
      <c r="S115" s="221">
        <f t="shared" si="35"/>
        <v>1</v>
      </c>
      <c r="T115" s="174" t="str">
        <f t="shared" si="36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7"/>
        <v>https://d0f6bd738d7f1b3e5a7ca70fe4ff75f0.us-east-1.aws.found.io/app/kibana#/discover/Steve-Slow-Train-Analysis-(2080s-and-2083s)?_g=(refreshInterval:(display:Off,pause:!f,section:0,value:0),time:(from:'2017-09-20T15:24:04-0600',mode:absolute,to:'2017-09-20T18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 t="shared" si="38"/>
        <v>1</v>
      </c>
      <c r="Y115" s="204">
        <f t="shared" si="52"/>
        <v>4.5999999999999999E-2</v>
      </c>
      <c r="Z115" s="204">
        <f t="shared" si="53"/>
        <v>23.331</v>
      </c>
      <c r="AA115" s="204">
        <f t="shared" si="41"/>
        <v>23.285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2"/>
        <v>203</v>
      </c>
      <c r="AE115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15" s="74" t="str">
        <f t="shared" si="44"/>
        <v>"C:\Program Files (x86)\AstroGrep\AstroGrep.exe" /e /r /s /spath="%USERPROFILE%\AppData\Local\Temp\OnboardLogs" /stypes="app*4040*20170920*" /stext=" 23:.+((SYSTEM_STATE.+slice.+state.+changed )|(ment ac)|(multiple cpu faults)|(system.+state.+changed )|(\[timeout)|(PRM\|1\|D)|(kpr)|(kdp)|(train st.+moving)|(\|lc)|(penalty))"</v>
      </c>
      <c r="AG115" s="182" t="str">
        <f t="shared" si="45"/>
        <v>EC</v>
      </c>
      <c r="AH115" s="78" t="str">
        <f t="shared" si="27"/>
        <v>"%USERPROFILE%\Documents\GitHub\eaglep3\Utilities\RefineRTDCRunTimes.py" --tripid 203-20 --locoid 4040 --swversion DE.1.0.9.0 --startMP 204:460 --initTime 2017-09-20T16:24:04 --startdatetime 2017-09-20T16:31:30 --delay 75 --endMP 204:233310 --enddatetime 2017-09-20T17:06:16 --enforcementcount 0 &gt;&gt;c:\users\tmcdowell\Documents\GitHub\eaglep3-reporting\EC\2017-09-20-refined-times.txt</v>
      </c>
      <c r="AI11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ID","value":"203-20"},{"id":16,"name":"Locomotive ID","value":"4040"},{"id":130,"name":"Impact","value":""},{"id":150,"name":"Time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29"/>
        <v>start /low /b %USERPROFILE%\Documents\GitHub\eaglep3\Utilities\DownloadLogsFromS3.py --loco 4040 --day 2017-09-20</v>
      </c>
      <c r="AN11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1"/>
        <v>https://d0f6bd738d7f1b3e5a7ca70fe4ff75f0.us-east-1.aws.found.io/app/kibana#/discover/Steve-Slow-Train-Analysis-(2080s-and-2083s)?_g=(refreshInterval:(display:Off,pause:!f,section:0,value:0),time:(from:'2017-09-20T15:24:04-0600',mode:absolute,to:'2017-09-20T18:06:16-0600'))&amp;_a=(columns:!('Message%20ID',Summary),filters:!(),index:'emp_*',interval:auto,query:(query_string:(analyze_wildcard:!t,query:'Message%5C+ID:(*)+AND+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782</v>
      </c>
      <c r="B116" s="7">
        <v>4039</v>
      </c>
      <c r="C116" s="21" t="s">
        <v>196</v>
      </c>
      <c r="D116" s="21" t="s">
        <v>423</v>
      </c>
      <c r="E116" s="13">
        <v>42998.722905092596</v>
      </c>
      <c r="F116" s="13">
        <v>42998.727280092593</v>
      </c>
      <c r="G116" s="7">
        <v>53</v>
      </c>
      <c r="H116" s="21" t="s">
        <v>337</v>
      </c>
      <c r="I116" s="13">
        <v>42998.752662037034</v>
      </c>
      <c r="J116" s="7">
        <v>0</v>
      </c>
      <c r="K116" s="89" t="str">
        <f t="shared" si="32"/>
        <v>4039/4040</v>
      </c>
      <c r="L116" s="185" t="str">
        <f>VLOOKUP(A116,'Trips&amp;Operators'!$C$1:$G$99911,5,FALSE)</f>
        <v>BRUDER RICHARD</v>
      </c>
      <c r="M116" s="6">
        <f t="shared" si="33"/>
        <v>2.5381944440596271E-2</v>
      </c>
      <c r="N116" s="7">
        <f t="shared" si="46"/>
        <v>36.549999994458631</v>
      </c>
      <c r="O116" s="7"/>
      <c r="P116" s="7"/>
      <c r="Q116" s="22"/>
      <c r="R116" s="174"/>
      <c r="S116" s="221">
        <f t="shared" si="35"/>
        <v>1</v>
      </c>
      <c r="T116" s="174" t="str">
        <f t="shared" si="36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7"/>
        <v>https://d0f6bd738d7f1b3e5a7ca70fe4ff75f0.us-east-1.aws.found.io/app/kibana#/discover/Steve-Slow-Train-Analysis-(2080s-and-2083s)?_g=(refreshInterval:(display:Off,pause:!f,section:0,value:0),time:(from:'2017-09-20T16:20:59-0600',mode:absolute,to:'2017-09-20T19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 t="shared" si="38"/>
        <v>1</v>
      </c>
      <c r="Y116" s="204">
        <f t="shared" si="52"/>
        <v>23.299099999999999</v>
      </c>
      <c r="Z116" s="204">
        <f t="shared" si="53"/>
        <v>1.4999999999999999E-2</v>
      </c>
      <c r="AA116" s="204">
        <f t="shared" si="41"/>
        <v>23.284099999999999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2"/>
        <v>204</v>
      </c>
      <c r="AE116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16" s="74" t="str">
        <f t="shared" si="44"/>
        <v>"C:\Program Files (x86)\AstroGrep\AstroGrep.exe" /e /r /s /spath="%USERPROFILE%\AppData\Local\Temp\OnboardLogs" /stypes="app*4039*20170921*" /stext=" 00:.+((SYSTEM_STATE.+slice.+state.+changed )|(ment ac)|(multiple cpu faults)|(system.+state.+changed )|(\[timeout)|(PRM\|1\|D)|(kpr)|(kdp)|(train st.+moving)|(\|lc)|(penalty))"</v>
      </c>
      <c r="AG116" s="182" t="str">
        <f t="shared" si="45"/>
        <v>EC</v>
      </c>
      <c r="AH116" s="78" t="str">
        <f t="shared" si="27"/>
        <v>"%USERPROFILE%\Documents\GitHub\eaglep3\Utilities\RefineRTDCRunTimes.py" --tripid 204-20 --locoid 4039 --swversion DE.1.0.9.0 --startMP 204:232991 --initTime 2017-09-20T17:20:59 --startdatetime 2017-09-20T17:27:17 --delay 53 --endMP 204:150 --enddatetime 2017-09-20T18:03:50 --enforcementcount 0 &gt;&gt;c:\users\tmcdowell\Documents\GitHub\eaglep3-reporting\EC\2017-09-20-refined-times.txt</v>
      </c>
      <c r="AI11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ID","value":"204-20"},{"id":16,"name":"Locomotive ID","value":"4039"},{"id":130,"name":"Impact","value":""},{"id":150,"name":"Time of Event (Mountain Time)","value":"18:03:50"},{"id":151,"name":"Denver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29"/>
        <v>start /low /b %USERPROFILE%\Documents\GitHub\eaglep3\Utilities\DownloadLogsFromS3.py --loco 4039 --day 2017-09-20</v>
      </c>
      <c r="AN11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1"/>
        <v>https://d0f6bd738d7f1b3e5a7ca70fe4ff75f0.us-east-1.aws.found.io/app/kibana#/discover/Steve-Slow-Train-Analysis-(2080s-and-2083s)?_g=(refreshInterval:(display:Off,pause:!f,section:0,value:0),time:(from:'2017-09-20T16:20:59-0600',mode:absolute,to:'2017-09-20T19:03:50-0600'))&amp;_a=(columns:!('Message%20ID',Summary),filters:!(),index:'emp_*',interval:auto,query:(query_string:(analyze_wildcard:!t,query:'Message%5C+ID:(*)+AND+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772</v>
      </c>
      <c r="B117" s="7">
        <v>4044</v>
      </c>
      <c r="C117" s="21" t="s">
        <v>196</v>
      </c>
      <c r="D117" s="21" t="s">
        <v>466</v>
      </c>
      <c r="E117" s="13">
        <v>42998.697094907409</v>
      </c>
      <c r="F117" s="13">
        <v>42998.69871527778</v>
      </c>
      <c r="G117" s="7">
        <v>66</v>
      </c>
      <c r="H117" s="21" t="s">
        <v>870</v>
      </c>
      <c r="I117" s="13">
        <v>42998.723958333336</v>
      </c>
      <c r="J117" s="7">
        <v>0</v>
      </c>
      <c r="K117" s="89" t="str">
        <f t="shared" si="32"/>
        <v>4043/4044</v>
      </c>
      <c r="L117" s="185" t="str">
        <f>VLOOKUP(A117,'Trips&amp;Operators'!$C$1:$G$99911,5,FALSE)</f>
        <v>MOSES BRADLEY</v>
      </c>
      <c r="M117" s="6">
        <f t="shared" si="33"/>
        <v>2.5243055555620231E-2</v>
      </c>
      <c r="N117" s="7">
        <f t="shared" si="46"/>
        <v>36.350000000093132</v>
      </c>
      <c r="O117" s="7"/>
      <c r="P117" s="7"/>
      <c r="Q117" s="22"/>
      <c r="R117" s="174"/>
      <c r="S117" s="221">
        <f t="shared" si="35"/>
        <v>1</v>
      </c>
      <c r="T117" s="174" t="str">
        <f t="shared" si="36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7"/>
        <v>https://d0f6bd738d7f1b3e5a7ca70fe4ff75f0.us-east-1.aws.found.io/app/kibana#/discover/Steve-Slow-Train-Analysis-(2080s-and-2083s)?_g=(refreshInterval:(display:Off,pause:!f,section:0,value:0),time:(from:'2017-09-20T15:43:49-0600',mode:absolute,to:'2017-09-20T18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204" t="str">
        <f>IF(AA117&lt;VLOOKUP(AG117,Variables!$AC$3:$AD$8,2,FALSE),"Y","N")</f>
        <v>N</v>
      </c>
      <c r="X117" s="204">
        <f t="shared" si="38"/>
        <v>1</v>
      </c>
      <c r="Y117" s="204">
        <f t="shared" si="52"/>
        <v>4.5699999999999998E-2</v>
      </c>
      <c r="Z117" s="204">
        <f t="shared" si="53"/>
        <v>23.331600000000002</v>
      </c>
      <c r="AA117" s="204">
        <f t="shared" si="41"/>
        <v>23.285900000000002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2"/>
        <v>205</v>
      </c>
      <c r="AE117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17" s="74" t="str">
        <f t="shared" si="44"/>
        <v>"C:\Program Files (x86)\AstroGrep\AstroGrep.exe" /e /r /s /spath="%USERPROFILE%\AppData\Local\Temp\OnboardLogs" /stypes="app*4044*20170920*" /stext=" 23:.+((SYSTEM_STATE.+slice.+state.+changed )|(ment ac)|(multiple cpu faults)|(system.+state.+changed )|(\[timeout)|(PRM\|1\|D)|(kpr)|(kdp)|(train st.+moving)|(\|lc)|(penalty))"</v>
      </c>
      <c r="AG117" s="182" t="str">
        <f t="shared" si="45"/>
        <v>EC</v>
      </c>
      <c r="AH117" s="78" t="str">
        <f t="shared" si="27"/>
        <v>"%USERPROFILE%\Documents\GitHub\eaglep3\Utilities\RefineRTDCRunTimes.py" --tripid 205-20 --locoid 4044 --swversion DE.1.0.9.0 --startMP 204:457 --initTime 2017-09-20T16:43:49 --startdatetime 2017-09-20T16:46:09 --delay 66 --endMP 204:233316 --enddatetime 2017-09-20T17:22:30 --enforcementcount 0 &gt;&gt;c:\users\tmcdowell\Documents\GitHub\eaglep3-reporting\EC\2017-09-20-refined-times.txt</v>
      </c>
      <c r="AI11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{"issue":{"subject":"","project_id":79,"tracker_id":40,"status_id":1,"priority_id":2,"assigned_to_id":338,"start_date":"2017-09-20","description":"","custom_fields":[{"id":1,"name":"Subdivision","value":"EC"},{"id":4,"name":"Milepost","value":"23.3316"},{"id":17,"name":"Train ID","value":"205-20"},{"id":16,"name":"Locomotive ID","value":"4044"},{"id":130,"name":"Impact","value":""},{"id":150,"name":"Time of Event (Mountain Time)","value":"17:22:30"},{"id":151,"name":"Denver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29"/>
        <v>start /low /b %USERPROFILE%\Documents\GitHub\eaglep3\Utilities\DownloadLogsFromS3.py --loco 4044 --day 2017-09-20</v>
      </c>
      <c r="AN11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1"/>
        <v>https://d0f6bd738d7f1b3e5a7ca70fe4ff75f0.us-east-1.aws.found.io/app/kibana#/discover/Steve-Slow-Train-Analysis-(2080s-and-2083s)?_g=(refreshInterval:(display:Off,pause:!f,section:0,value:0),time:(from:'2017-09-20T15:43:49-0600',mode:absolute,to:'2017-09-20T18:22:30-0600'))&amp;_a=(columns:!('Message%20ID',Summary),filters:!(),index:'emp_*',interval:auto,query:(query_string:(analyze_wildcard:!t,query:'Message%5C+ID:(*)+AND+%22rtdc.l.rtdc.4044%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605</v>
      </c>
      <c r="B118" s="7">
        <v>4043</v>
      </c>
      <c r="C118" s="21" t="s">
        <v>196</v>
      </c>
      <c r="D118" s="21" t="s">
        <v>400</v>
      </c>
      <c r="E118" s="13">
        <v>42998.734201388892</v>
      </c>
      <c r="F118" s="13">
        <v>42998.73773148148</v>
      </c>
      <c r="G118" s="7">
        <v>67</v>
      </c>
      <c r="H118" s="21" t="s">
        <v>358</v>
      </c>
      <c r="I118" s="13">
        <v>42998.764328703706</v>
      </c>
      <c r="J118" s="7">
        <v>0</v>
      </c>
      <c r="K118" s="89" t="str">
        <f t="shared" si="32"/>
        <v>4043/4044</v>
      </c>
      <c r="L118" s="185" t="str">
        <f>VLOOKUP(A118,'Trips&amp;Operators'!$C$1:$G$99911,5,FALSE)</f>
        <v>MOSES BRADLEY</v>
      </c>
      <c r="M118" s="6">
        <f t="shared" si="33"/>
        <v>2.6597222225973383E-2</v>
      </c>
      <c r="N118" s="7">
        <f t="shared" si="46"/>
        <v>38.300000005401671</v>
      </c>
      <c r="O118" s="7"/>
      <c r="P118" s="7"/>
      <c r="Q118" s="22"/>
      <c r="R118" s="174"/>
      <c r="S118" s="221">
        <f t="shared" si="35"/>
        <v>1</v>
      </c>
      <c r="T118" s="174" t="str">
        <f t="shared" si="36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7"/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204" t="str">
        <f>IF(AA118&lt;VLOOKUP(AG118,Variables!$AC$3:$AD$8,2,FALSE),"Y","N")</f>
        <v>N</v>
      </c>
      <c r="X118" s="204">
        <f t="shared" si="38"/>
        <v>1</v>
      </c>
      <c r="Y118" s="204">
        <f t="shared" si="52"/>
        <v>23.299600000000002</v>
      </c>
      <c r="Z118" s="204">
        <f t="shared" si="53"/>
        <v>1.52E-2</v>
      </c>
      <c r="AA118" s="204">
        <f t="shared" si="41"/>
        <v>23.284400000000002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2"/>
        <v>206</v>
      </c>
      <c r="AE118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18" s="74" t="str">
        <f t="shared" si="44"/>
        <v>"C:\Program Files (x86)\AstroGrep\AstroGrep.exe" /e /r /s /spath="%USERPROFILE%\AppData\Local\Temp\OnboardLogs" /stypes="app*4043*20170921*" /stext=" 00:.+((SYSTEM_STATE.+slice.+state.+changed )|(ment ac)|(multiple cpu faults)|(system.+state.+changed )|(\[timeout)|(PRM\|1\|D)|(kpr)|(kdp)|(train st.+moving)|(\|lc)|(penalty))"</v>
      </c>
      <c r="AG118" s="182" t="str">
        <f t="shared" si="45"/>
        <v>EC</v>
      </c>
      <c r="AH118" s="78" t="str">
        <f t="shared" si="27"/>
        <v>"%USERPROFILE%\Documents\GitHub\eaglep3\Utilities\RefineRTDCRunTimes.py" --tripid 206-20 --locoid 4043 --swversion DE.1.0.9.0 --startMP 204:232996 --initTime 2017-09-20T17:37:15 --startdatetime 2017-09-20T17:42:20 --delay 67 --endMP 204:152 --enddatetime 2017-09-20T18:20:38 --enforcementcount 0 &gt;&gt;c:\users\tmcdowell\Documents\GitHub\eaglep3-reporting\EC\2017-09-20-refined-times.txt</v>
      </c>
      <c r="AI11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ID","value":"206-20"},{"id":16,"name":"Locomotive ID","value":"4043"},{"id":130,"name":"Impact","value":""},{"id":150,"name":"Time of Event (Mountain Time)","value":"18:20:38"},{"id":151,"name":"Denver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29"/>
        <v>start /low /b %USERPROFILE%\Documents\GitHub\eaglep3\Utilities\DownloadLogsFromS3.py --loco 4043 --day 2017-09-20</v>
      </c>
      <c r="AN118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1"/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Message%20ID',Summary),filters:!(),index:'emp_*',interval:auto,query:(query_string:(analyze_wildcard:!t,query:'Message%5C+ID:(*)+AND+%22rtdc.l.rtdc.4043%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774</v>
      </c>
      <c r="B119" s="7">
        <v>4002</v>
      </c>
      <c r="C119" s="21" t="s">
        <v>196</v>
      </c>
      <c r="D119" s="21" t="s">
        <v>336</v>
      </c>
      <c r="E119" s="13">
        <v>42998.703715277778</v>
      </c>
      <c r="F119" s="13">
        <v>42998.708564814813</v>
      </c>
      <c r="G119" s="7">
        <v>71</v>
      </c>
      <c r="H119" s="21" t="s">
        <v>871</v>
      </c>
      <c r="I119" s="13">
        <v>42998.732615740744</v>
      </c>
      <c r="J119" s="7">
        <v>0</v>
      </c>
      <c r="K119" s="89" t="str">
        <f t="shared" si="32"/>
        <v>4001/4002</v>
      </c>
      <c r="L119" s="185" t="str">
        <f>VLOOKUP(A119,'Trips&amp;Operators'!$C$1:$G$99911,5,FALSE)</f>
        <v>DELGADO DIANAH</v>
      </c>
      <c r="M119" s="6">
        <f t="shared" si="33"/>
        <v>2.4050925931078382E-2</v>
      </c>
      <c r="N119" s="7">
        <f t="shared" si="46"/>
        <v>34.63333334075287</v>
      </c>
      <c r="O119" s="7"/>
      <c r="P119" s="7"/>
      <c r="Q119" s="22"/>
      <c r="R119" s="174"/>
      <c r="S119" s="221">
        <f t="shared" si="35"/>
        <v>1</v>
      </c>
      <c r="T119" s="174" t="str">
        <f t="shared" si="36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7"/>
        <v>https://d0f6bd738d7f1b3e5a7ca70fe4ff75f0.us-east-1.aws.found.io/app/kibana#/discover/Steve-Slow-Train-Analysis-(2080s-and-2083s)?_g=(refreshInterval:(display:Off,pause:!f,section:0,value:0),time:(from:'2017-09-20T15:53:21-0600',mode:absolute,to:'2017-09-20T18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04" t="str">
        <f>IF(AA119&lt;VLOOKUP(AG119,Variables!$AC$3:$AD$8,2,FALSE),"Y","N")</f>
        <v>N</v>
      </c>
      <c r="X119" s="204">
        <f t="shared" si="38"/>
        <v>1</v>
      </c>
      <c r="Y119" s="204">
        <f t="shared" si="52"/>
        <v>4.4600000000000001E-2</v>
      </c>
      <c r="Z119" s="204">
        <f t="shared" si="53"/>
        <v>23.334199999999999</v>
      </c>
      <c r="AA119" s="204">
        <f t="shared" si="41"/>
        <v>23.2896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2"/>
        <v>207</v>
      </c>
      <c r="AE119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119" s="74" t="str">
        <f t="shared" si="44"/>
        <v>"C:\Program Files (x86)\AstroGrep\AstroGrep.exe" /e /r /s /spath="%USERPROFILE%\AppData\Local\Temp\OnboardLogs" /stypes="app*4002*20170920*" /stext=" 23:.+((SYSTEM_STATE.+slice.+state.+changed )|(ment ac)|(multiple cpu faults)|(system.+state.+changed )|(\[timeout)|(PRM\|1\|D)|(kpr)|(kdp)|(train st.+moving)|(\|lc)|(penalty))"</v>
      </c>
      <c r="AG119" s="182" t="str">
        <f t="shared" si="45"/>
        <v>EC</v>
      </c>
      <c r="AH119" s="78" t="str">
        <f t="shared" si="27"/>
        <v>"%USERPROFILE%\Documents\GitHub\eaglep3\Utilities\RefineRTDCRunTimes.py" --tripid 207-20 --locoid 4002 --swversion DE.1.0.9.0 --startMP 204:446 --initTime 2017-09-20T16:53:21 --startdatetime 2017-09-20T17:00:20 --delay 71 --endMP 204:233342 --enddatetime 2017-09-20T17:34:58 --enforcementcount 0 &gt;&gt;c:\users\tmcdowell\Documents\GitHub\eaglep3-reporting\EC\2017-09-20-refined-times.txt</v>
      </c>
      <c r="AI11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{"issue":{"subject":"","project_id":79,"tracker_id":40,"status_id":1,"priority_id":2,"assigned_to_id":338,"start_date":"2017-09-20","description":"","custom_fields":[{"id":1,"name":"Subdivision","value":"EC"},{"id":4,"name":"Milepost","value":"23.3342"},{"id":17,"name":"Train ID","value":"207-20"},{"id":16,"name":"Locomotive ID","value":"4002"},{"id":130,"name":"Impact","value":""},{"id":150,"name":"Time of Event (Mountain Time)","value":"17:34:58"},{"id":151,"name":"Denver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29"/>
        <v>start /low /b %USERPROFILE%\Documents\GitHub\eaglep3\Utilities\DownloadLogsFromS3.py --loco 4002 --day 2017-09-20</v>
      </c>
      <c r="AN11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1"/>
        <v>https://d0f6bd738d7f1b3e5a7ca70fe4ff75f0.us-east-1.aws.found.io/app/kibana#/discover/Steve-Slow-Train-Analysis-(2080s-and-2083s)?_g=(refreshInterval:(display:Off,pause:!f,section:0,value:0),time:(from:'2017-09-20T15:53:21-0600',mode:absolute,to:'2017-09-20T18:34:58-0600'))&amp;_a=(columns:!('Message%20ID',Summary),filters:!(),index:'emp_*',interval:auto,query:(query_string:(analyze_wildcard:!t,query:'Message%5C+ID:(*)+AND+%22rtdc.l.rtdc.4002%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4001</v>
      </c>
      <c r="C120" s="21" t="s">
        <v>196</v>
      </c>
      <c r="D120" s="21" t="s">
        <v>468</v>
      </c>
      <c r="E120" s="13">
        <v>42998.734733796293</v>
      </c>
      <c r="F120" s="13">
        <v>42998.748101851852</v>
      </c>
      <c r="G120" s="7">
        <v>57</v>
      </c>
      <c r="H120" s="21" t="s">
        <v>397</v>
      </c>
      <c r="I120" s="13">
        <v>42998.773020833331</v>
      </c>
      <c r="J120" s="7">
        <v>0</v>
      </c>
      <c r="K120" s="89" t="str">
        <f t="shared" si="32"/>
        <v>4001/4002</v>
      </c>
      <c r="L120" s="185" t="str">
        <f>VLOOKUP(A120,'Trips&amp;Operators'!$C$1:$G$99911,5,FALSE)</f>
        <v>DELGADO DIANAH</v>
      </c>
      <c r="M120" s="6">
        <f t="shared" si="33"/>
        <v>2.491898147854954E-2</v>
      </c>
      <c r="N120" s="7">
        <f t="shared" si="46"/>
        <v>35.883333329111338</v>
      </c>
      <c r="O120" s="7"/>
      <c r="P120" s="7"/>
      <c r="Q120" s="22"/>
      <c r="R120" s="174"/>
      <c r="S120" s="221">
        <f t="shared" si="35"/>
        <v>1</v>
      </c>
      <c r="T120" s="174" t="str">
        <f t="shared" si="36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7"/>
        <v>https://d0f6bd738d7f1b3e5a7ca70fe4ff75f0.us-east-1.aws.found.io/app/kibana#/discover/Steve-Slow-Train-Analysis-(2080s-and-2083s)?_g=(refreshInterval:(display:Off,pause:!f,section:0,value:0),time:(from:'2017-09-20T16:38:01-0600',mode:absolute,to:'2017-09-20T19:33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04" t="str">
        <f>IF(AA120&lt;VLOOKUP(AG120,Variables!$AC$3:$AD$8,2,FALSE),"Y","N")</f>
        <v>N</v>
      </c>
      <c r="X120" s="204">
        <f t="shared" si="38"/>
        <v>1</v>
      </c>
      <c r="Y120" s="204">
        <f t="shared" si="52"/>
        <v>23.302299999999999</v>
      </c>
      <c r="Z120" s="204">
        <f t="shared" si="53"/>
        <v>1.3599999999999999E-2</v>
      </c>
      <c r="AA120" s="204">
        <f t="shared" si="41"/>
        <v>23.288699999999999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2"/>
        <v>208</v>
      </c>
      <c r="AE120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120" s="74" t="str">
        <f t="shared" si="44"/>
        <v>"C:\Program Files (x86)\AstroGrep\AstroGrep.exe" /e /r /s /spath="%USERPROFILE%\AppData\Local\Temp\OnboardLogs" /stypes="app*4001*20170921*" /stext=" 00:.+((SYSTEM_STATE.+slice.+state.+changed )|(ment ac)|(multiple cpu faults)|(system.+state.+changed )|(\[timeout)|(PRM\|1\|D)|(kpr)|(kdp)|(train st.+moving)|(\|lc)|(penalty))"</v>
      </c>
      <c r="AG120" s="182" t="str">
        <f t="shared" si="45"/>
        <v>EC</v>
      </c>
      <c r="AH120" s="78" t="str">
        <f t="shared" si="27"/>
        <v>"%USERPROFILE%\Documents\GitHub\eaglep3\Utilities\RefineRTDCRunTimes.py" --tripid 208-20 --locoid 4001 --swversion DE.1.0.9.0 --startMP 204:233023 --initTime 2017-09-20T17:38:01 --startdatetime 2017-09-20T17:57:16 --delay 57 --endMP 204:136 --enddatetime 2017-09-20T18:33:09 --enforcementcount 0 &gt;&gt;c:\users\tmcdowell\Documents\GitHub\eaglep3-reporting\EC\2017-09-20-refined-times.txt</v>
      </c>
      <c r="AI12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{"issue":{"subject":"","project_id":79,"tracker_id":40,"status_id":1,"priority_id":2,"assigned_to_id":338,"start_date":"2017-09-20","description":"","custom_fields":[{"id":1,"name":"Subdivision","value":"EC"},{"id":4,"name":"Milepost","value":"0.0136"},{"id":17,"name":"Train ID","value":"208-20"},{"id":16,"name":"Locomotive ID","value":"4001"},{"id":130,"name":"Impact","value":""},{"id":150,"name":"Time of Event (Mountain Time)","value":"18:33:09"},{"id":151,"name":"Denver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29"/>
        <v>start /low /b %USERPROFILE%\Documents\GitHub\eaglep3\Utilities\DownloadLogsFromS3.py --loco 4001 --day 2017-09-20</v>
      </c>
      <c r="AN12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1"/>
        <v>https://d0f6bd738d7f1b3e5a7ca70fe4ff75f0.us-east-1.aws.found.io/app/kibana#/discover/Steve-Slow-Train-Analysis-(2080s-and-2083s)?_g=(refreshInterval:(display:Off,pause:!f,section:0,value:0),time:(from:'2017-09-20T16:38:01-0600',mode:absolute,to:'2017-09-20T19:33:09-0600'))&amp;_a=(columns:!('Message%20ID',Summary),filters:!(),index:'emp_*',interval:auto,query:(query_string:(analyze_wildcard:!t,query:'Message%5C+ID:(*)+AND+%22rtdc.l.rtdc.4001%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778</v>
      </c>
      <c r="B121" s="7">
        <v>4042</v>
      </c>
      <c r="C121" s="21" t="s">
        <v>196</v>
      </c>
      <c r="D121" s="21" t="s">
        <v>416</v>
      </c>
      <c r="E121" s="13">
        <v>42998.714155092595</v>
      </c>
      <c r="F121" s="13">
        <v>42998.718935185185</v>
      </c>
      <c r="G121" s="7">
        <v>66</v>
      </c>
      <c r="H121" s="21" t="s">
        <v>872</v>
      </c>
      <c r="I121" s="13">
        <v>42998.744189814817</v>
      </c>
      <c r="J121" s="7">
        <v>0</v>
      </c>
      <c r="K121" s="89" t="str">
        <f t="shared" si="32"/>
        <v>4041/4042</v>
      </c>
      <c r="L121" s="185" t="str">
        <f>VLOOKUP(A121,'Trips&amp;Operators'!$C$1:$G$99911,5,FALSE)</f>
        <v>LEVIN SCOTT</v>
      </c>
      <c r="M121" s="6">
        <f t="shared" si="33"/>
        <v>2.5254629632399883E-2</v>
      </c>
      <c r="N121" s="7">
        <f t="shared" si="46"/>
        <v>36.366666670655832</v>
      </c>
      <c r="O121" s="7"/>
      <c r="P121" s="7"/>
      <c r="Q121" s="22"/>
      <c r="R121" s="174"/>
      <c r="S121" s="221">
        <f t="shared" si="35"/>
        <v>1</v>
      </c>
      <c r="T121" s="174" t="str">
        <f t="shared" si="36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7"/>
        <v>https://d0f6bd738d7f1b3e5a7ca70fe4ff75f0.us-east-1.aws.found.io/app/kibana#/discover/Steve-Slow-Train-Analysis-(2080s-and-2083s)?_g=(refreshInterval:(display:Off,pause:!f,section:0,value:0),time:(from:'2017-09-20T16:08:23-0600',mode:absolute,to:'2017-09-20T18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>IF(AA121&lt;VLOOKUP(AG121,Variables!$AC$3:$AD$8,2,FALSE),"Y","N")</f>
        <v>N</v>
      </c>
      <c r="X121" s="204">
        <f t="shared" si="38"/>
        <v>1</v>
      </c>
      <c r="Y121" s="204">
        <f t="shared" si="52"/>
        <v>4.6600000000000003E-2</v>
      </c>
      <c r="Z121" s="204">
        <f t="shared" si="53"/>
        <v>23.341200000000001</v>
      </c>
      <c r="AA121" s="204">
        <f t="shared" si="41"/>
        <v>23.294599999999999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2"/>
        <v>209</v>
      </c>
      <c r="AE121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21" s="74" t="str">
        <f t="shared" si="44"/>
        <v>"C:\Program Files (x86)\AstroGrep\AstroGrep.exe" /e /r /s /spath="%USERPROFILE%\AppData\Local\Temp\OnboardLogs" /stypes="app*4042*20170920*" /stext=" 23:.+((SYSTEM_STATE.+slice.+state.+changed )|(ment ac)|(multiple cpu faults)|(system.+state.+changed )|(\[timeout)|(PRM\|1\|D)|(kpr)|(kdp)|(train st.+moving)|(\|lc)|(penalty))"</v>
      </c>
      <c r="AG121" s="182" t="str">
        <f t="shared" si="45"/>
        <v>EC</v>
      </c>
      <c r="AH121" s="78" t="str">
        <f t="shared" si="27"/>
        <v>"%USERPROFILE%\Documents\GitHub\eaglep3\Utilities\RefineRTDCRunTimes.py" --tripid 209-20 --locoid 4042 --swversion DE.1.0.9.0 --startMP 204:466 --initTime 2017-09-20T17:08:23 --startdatetime 2017-09-20T17:15:16 --delay 66 --endMP 204:233412 --enddatetime 2017-09-20T17:51:38 --enforcementcount 0 &gt;&gt;c:\users\tmcdowell\Documents\GitHub\eaglep3-reporting\EC\2017-09-20-refined-times.txt</v>
      </c>
      <c r="AI12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{"issue":{"subject":"","project_id":79,"tracker_id":40,"status_id":1,"priority_id":2,"assigned_to_id":338,"start_date":"2017-09-20","description":"","custom_fields":[{"id":1,"name":"Subdivision","value":"EC"},{"id":4,"name":"Milepost","value":"23.3412"},{"id":17,"name":"Train ID","value":"209-20"},{"id":16,"name":"Locomotive ID","value":"4042"},{"id":130,"name":"Impact","value":""},{"id":150,"name":"Time of Event (Mountain Time)","value":"17:51:38"},{"id":151,"name":"Denver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29"/>
        <v>start /low /b %USERPROFILE%\Documents\GitHub\eaglep3\Utilities\DownloadLogsFromS3.py --loco 4042 --day 2017-09-20</v>
      </c>
      <c r="AN12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1"/>
        <v>https://d0f6bd738d7f1b3e5a7ca70fe4ff75f0.us-east-1.aws.found.io/app/kibana#/discover/Steve-Slow-Train-Analysis-(2080s-and-2083s)?_g=(refreshInterval:(display:Off,pause:!f,section:0,value:0),time:(from:'2017-09-20T16:08:23-0600',mode:absolute,to:'2017-09-20T18:51:38-0600'))&amp;_a=(columns:!('Message%20ID',Summary),filters:!(),index:'emp_*',interval:auto,query:(query_string:(analyze_wildcard:!t,query:'Message%5C+ID:(*)+AND+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4041</v>
      </c>
      <c r="C122" s="21" t="s">
        <v>196</v>
      </c>
      <c r="D122" s="21" t="s">
        <v>873</v>
      </c>
      <c r="E122" s="13">
        <v>42998.748796296299</v>
      </c>
      <c r="F122" s="13">
        <v>42998.759293981479</v>
      </c>
      <c r="G122" s="7">
        <v>59</v>
      </c>
      <c r="H122" s="21" t="s">
        <v>337</v>
      </c>
      <c r="I122" s="13">
        <v>42998.784259259257</v>
      </c>
      <c r="J122" s="7">
        <v>0</v>
      </c>
      <c r="K122" s="89" t="str">
        <f t="shared" si="32"/>
        <v>4041/4042</v>
      </c>
      <c r="L122" s="185" t="str">
        <f>VLOOKUP(A122,'Trips&amp;Operators'!$C$1:$G$99911,5,FALSE)</f>
        <v>LEVIN SCOTT</v>
      </c>
      <c r="M122" s="6">
        <f t="shared" si="33"/>
        <v>2.4965277778392192E-2</v>
      </c>
      <c r="N122" s="7">
        <f t="shared" si="46"/>
        <v>35.950000000884756</v>
      </c>
      <c r="O122" s="7"/>
      <c r="P122" s="7"/>
      <c r="Q122" s="22"/>
      <c r="R122" s="174"/>
      <c r="S122" s="221">
        <f t="shared" si="35"/>
        <v>1</v>
      </c>
      <c r="T122" s="174" t="str">
        <f t="shared" si="36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7"/>
        <v>https://d0f6bd738d7f1b3e5a7ca70fe4ff75f0.us-east-1.aws.found.io/app/kibana#/discover/Steve-Slow-Train-Analysis-(2080s-and-2083s)?_g=(refreshInterval:(display:Off,pause:!f,section:0,value:0),time:(from:'2017-09-20T16:58:16-0600',mode:absolute,to:'2017-09-20T19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>IF(AA122&lt;VLOOKUP(AG122,Variables!$AC$3:$AD$8,2,FALSE),"Y","N")</f>
        <v>N</v>
      </c>
      <c r="X122" s="204">
        <f t="shared" si="38"/>
        <v>1</v>
      </c>
      <c r="Y122" s="204">
        <f t="shared" si="52"/>
        <v>23.302600000000002</v>
      </c>
      <c r="Z122" s="204">
        <f t="shared" si="53"/>
        <v>1.4999999999999999E-2</v>
      </c>
      <c r="AA122" s="204">
        <f t="shared" si="41"/>
        <v>23.287600000000001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2"/>
        <v>210</v>
      </c>
      <c r="AE122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22" s="74" t="str">
        <f t="shared" si="44"/>
        <v>"C:\Program Files (x86)\AstroGrep\AstroGrep.exe" /e /r /s /spath="%USERPROFILE%\AppData\Local\Temp\OnboardLogs" /stypes="app*4041*20170921*" /stext=" 00:.+((SYSTEM_STATE.+slice.+state.+changed )|(ment ac)|(multiple cpu faults)|(system.+state.+changed )|(\[timeout)|(PRM\|1\|D)|(kpr)|(kdp)|(train st.+moving)|(\|lc)|(penalty))"</v>
      </c>
      <c r="AG122" s="182" t="str">
        <f t="shared" si="45"/>
        <v>EC</v>
      </c>
      <c r="AH122" s="78" t="str">
        <f t="shared" si="27"/>
        <v>"%USERPROFILE%\Documents\GitHub\eaglep3\Utilities\RefineRTDCRunTimes.py" --tripid 210-20 --locoid 4041 --swversion DE.1.0.9.0 --startMP 204:233026 --initTime 2017-09-20T17:58:16 --startdatetime 2017-09-20T18:13:23 --delay 59 --endMP 204:150 --enddatetime 2017-09-20T18:49:20 --enforcementcount 0 &gt;&gt;c:\users\tmcdowell\Documents\GitHub\eaglep3-reporting\EC\2017-09-20-refined-times.txt</v>
      </c>
      <c r="AI12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ID","value":"210-20"},{"id":16,"name":"Locomotive ID","value":"4041"},{"id":130,"name":"Impact","value":""},{"id":150,"name":"Time of Event (Mountain Time)","value":"18:49:20"},{"id":151,"name":"Denver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29"/>
        <v>start /low /b %USERPROFILE%\Documents\GitHub\eaglep3\Utilities\DownloadLogsFromS3.py --loco 4041 --day 2017-09-20</v>
      </c>
      <c r="AN122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1"/>
        <v>https://d0f6bd738d7f1b3e5a7ca70fe4ff75f0.us-east-1.aws.found.io/app/kibana#/discover/Steve-Slow-Train-Analysis-(2080s-and-2083s)?_g=(refreshInterval:(display:Off,pause:!f,section:0,value:0),time:(from:'2017-09-20T16:58:16-0600',mode:absolute,to:'2017-09-20T19:49:20-0600'))&amp;_a=(columns:!('Message%20ID',Summary),filters:!(),index:'emp_*',interval:auto,query:(query_string:(analyze_wildcard:!t,query:'Message%5C+ID:(*)+AND+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4058</v>
      </c>
      <c r="C123" s="21" t="s">
        <v>196</v>
      </c>
      <c r="D123" s="21" t="s">
        <v>359</v>
      </c>
      <c r="E123" s="13">
        <v>42998.723506944443</v>
      </c>
      <c r="F123" s="13">
        <v>42998.729328703703</v>
      </c>
      <c r="G123" s="7">
        <v>74</v>
      </c>
      <c r="H123" s="21" t="s">
        <v>495</v>
      </c>
      <c r="I123" s="13">
        <v>42998.754016203704</v>
      </c>
      <c r="J123" s="7">
        <v>0</v>
      </c>
      <c r="K123" s="89" t="str">
        <f t="shared" si="32"/>
        <v>4057/4058</v>
      </c>
      <c r="L123" s="185" t="str">
        <f>VLOOKUP(A123,'Trips&amp;Operators'!$C$1:$G$99911,5,FALSE)</f>
        <v>BERLING GARY</v>
      </c>
      <c r="M123" s="6">
        <f t="shared" si="33"/>
        <v>2.4687500001164153E-2</v>
      </c>
      <c r="N123" s="7">
        <f t="shared" si="46"/>
        <v>35.550000001676381</v>
      </c>
      <c r="O123" s="7"/>
      <c r="P123" s="7"/>
      <c r="Q123" s="22"/>
      <c r="R123" s="174"/>
      <c r="S123" s="221">
        <f t="shared" si="35"/>
        <v>1</v>
      </c>
      <c r="T123" s="174" t="str">
        <f t="shared" si="36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7"/>
        <v>https://d0f6bd738d7f1b3e5a7ca70fe4ff75f0.us-east-1.aws.found.io/app/kibana#/discover/Steve-Slow-Train-Analysis-(2080s-and-2083s)?_g=(refreshInterval:(display:Off,pause:!f,section:0,value:0),time:(from:'2017-09-20T16:21:51-0600',mode:absolute,to:'2017-09-20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204" t="str">
        <f>IF(AA123&lt;VLOOKUP(AG123,Variables!$AC$3:$AD$8,2,FALSE),"Y","N")</f>
        <v>N</v>
      </c>
      <c r="X123" s="204">
        <f t="shared" si="38"/>
        <v>1</v>
      </c>
      <c r="Y123" s="204">
        <f t="shared" si="52"/>
        <v>4.4900000000000002E-2</v>
      </c>
      <c r="Z123" s="204">
        <f t="shared" si="53"/>
        <v>23.331700000000001</v>
      </c>
      <c r="AA123" s="204">
        <f t="shared" si="41"/>
        <v>23.286800000000003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2"/>
        <v>211</v>
      </c>
      <c r="AE123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123" s="74" t="str">
        <f t="shared" si="44"/>
        <v>"C:\Program Files (x86)\AstroGrep\AstroGrep.exe" /e /r /s /spath="%USERPROFILE%\AppData\Local\Temp\OnboardLogs" /stypes="app*4058*20170921*" /stext=" 00:.+((SYSTEM_STATE.+slice.+state.+changed )|(ment ac)|(multiple cpu faults)|(system.+state.+changed )|(\[timeout)|(PRM\|1\|D)|(kpr)|(kdp)|(train st.+moving)|(\|lc)|(penalty))"</v>
      </c>
      <c r="AG123" s="182" t="str">
        <f t="shared" si="45"/>
        <v>EC</v>
      </c>
      <c r="AH123" s="78" t="str">
        <f t="shared" si="27"/>
        <v>"%USERPROFILE%\Documents\GitHub\eaglep3\Utilities\RefineRTDCRunTimes.py" --tripid 211-20 --locoid 4058 --swversion DE.1.0.9.0 --startMP 204:449 --initTime 2017-09-20T17:21:51 --startdatetime 2017-09-20T17:30:14 --delay 74 --endMP 204:233317 --enddatetime 2017-09-20T18:05:47 --enforcementcount 0 &gt;&gt;c:\users\tmcdowell\Documents\GitHub\eaglep3-reporting\EC\2017-09-20-refined-times.txt</v>
      </c>
      <c r="AI12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{"issue":{"subject":"","project_id":79,"tracker_id":40,"status_id":1,"priority_id":2,"assigned_to_id":338,"start_date":"2017-09-20","description":"","custom_fields":[{"id":1,"name":"Subdivision","value":"EC"},{"id":4,"name":"Milepost","value":"23.3317"},{"id":17,"name":"Train ID","value":"211-20"},{"id":16,"name":"Locomotive ID","value":"4058"},{"id":130,"name":"Impact","value":""},{"id":150,"name":"Time of Event (Mountain Time)","value":"18:05:47"},{"id":151,"name":"Denver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29"/>
        <v>start /low /b %USERPROFILE%\Documents\GitHub\eaglep3\Utilities\DownloadLogsFromS3.py --loco 4058 --day 2017-09-20</v>
      </c>
      <c r="AN123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1"/>
        <v>https://d0f6bd738d7f1b3e5a7ca70fe4ff75f0.us-east-1.aws.found.io/app/kibana#/discover/Steve-Slow-Train-Analysis-(2080s-and-2083s)?_g=(refreshInterval:(display:Off,pause:!f,section:0,value:0),time:(from:'2017-09-20T16:21:51-0600',mode:absolute,to:'2017-09-20T19:05:47-0600'))&amp;_a=(columns:!('Message%20ID',Summary),filters:!(),index:'emp_*',interval:auto,query:(query_string:(analyze_wildcard:!t,query:'Message%5C+ID:(*)+AND+%22rtdc.l.rtdc.4058%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612</v>
      </c>
      <c r="B124" s="7">
        <v>4057</v>
      </c>
      <c r="C124" s="21" t="s">
        <v>196</v>
      </c>
      <c r="D124" s="21" t="s">
        <v>487</v>
      </c>
      <c r="E124" s="13">
        <v>42998.76289351852</v>
      </c>
      <c r="F124" s="13">
        <v>42998.768900462965</v>
      </c>
      <c r="G124" s="7">
        <v>54</v>
      </c>
      <c r="H124" s="21" t="s">
        <v>376</v>
      </c>
      <c r="I124" s="13">
        <v>42998.795138888891</v>
      </c>
      <c r="J124" s="7">
        <v>0</v>
      </c>
      <c r="K124" s="89" t="str">
        <f t="shared" si="32"/>
        <v>4057/4058</v>
      </c>
      <c r="L124" s="185" t="str">
        <f>VLOOKUP(A124,'Trips&amp;Operators'!$C$1:$G$99911,5,FALSE)</f>
        <v>BERLING GARY</v>
      </c>
      <c r="M124" s="6">
        <f t="shared" si="33"/>
        <v>2.6238425925839692E-2</v>
      </c>
      <c r="N124" s="7">
        <f t="shared" si="46"/>
        <v>37.783333333209157</v>
      </c>
      <c r="O124" s="7"/>
      <c r="P124" s="7"/>
      <c r="Q124" s="22"/>
      <c r="R124" s="174"/>
      <c r="S124" s="221">
        <f t="shared" si="35"/>
        <v>1</v>
      </c>
      <c r="T124" s="174" t="str">
        <f t="shared" si="36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7"/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04" t="str">
        <f>IF(AA124&lt;VLOOKUP(AG124,Variables!$AC$3:$AD$8,2,FALSE),"Y","N")</f>
        <v>N</v>
      </c>
      <c r="X124" s="204">
        <f t="shared" si="38"/>
        <v>1</v>
      </c>
      <c r="Y124" s="204">
        <f t="shared" si="52"/>
        <v>23.2987</v>
      </c>
      <c r="Z124" s="204">
        <f t="shared" si="53"/>
        <v>1.61E-2</v>
      </c>
      <c r="AA124" s="204">
        <f t="shared" si="41"/>
        <v>23.282599999999999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2"/>
        <v>212</v>
      </c>
      <c r="AE124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124" s="74" t="str">
        <f t="shared" si="44"/>
        <v>"C:\Program Files (x86)\AstroGrep\AstroGrep.exe" /e /r /s /spath="%USERPROFILE%\AppData\Local\Temp\OnboardLogs" /stypes="app*4057*20170921*" /stext=" 01:.+((SYSTEM_STATE.+slice.+state.+changed )|(ment ac)|(multiple cpu faults)|(system.+state.+changed )|(\[timeout)|(PRM\|1\|D)|(kpr)|(kdp)|(train st.+moving)|(\|lc)|(penalty))"</v>
      </c>
      <c r="AG124" s="182" t="str">
        <f t="shared" si="45"/>
        <v>EC</v>
      </c>
      <c r="AH124" s="78" t="str">
        <f t="shared" si="27"/>
        <v>"%USERPROFILE%\Documents\GitHub\eaglep3\Utilities\RefineRTDCRunTimes.py" --tripid 212-20 --locoid 4057 --swversion DE.1.0.9.0 --startMP 204:232987 --initTime 2017-09-20T18:18:34 --startdatetime 2017-09-20T18:27:13 --delay 54 --endMP 204:161 --enddatetime 2017-09-20T19:05:00 --enforcementcount 0 &gt;&gt;c:\users\tmcdowell\Documents\GitHub\eaglep3-reporting\EC\2017-09-20-refined-times.txt</v>
      </c>
      <c r="AI12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{"issue":{"subject":"","project_id":79,"tracker_id":40,"status_id":1,"priority_id":2,"assigned_to_id":338,"start_date":"2017-09-20","description":"","custom_fields":[{"id":1,"name":"Subdivision","value":"EC"},{"id":4,"name":"Milepost","value":"0.0161"},{"id":17,"name":"Train ID","value":"212-20"},{"id":16,"name":"Locomotive ID","value":"4057"},{"id":130,"name":"Impact","value":""},{"id":150,"name":"Time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29"/>
        <v>start /low /b %USERPROFILE%\Documents\GitHub\eaglep3\Utilities\DownloadLogsFromS3.py --loco 4057 --day 2017-09-20</v>
      </c>
      <c r="AN124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1"/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Message%20ID',Summary),filters:!(),index:'emp_*',interval:auto,query:(query_string:(analyze_wildcard:!t,query:'Message%5C+ID:(*)+AND+%22rtdc.l.rtdc.4057%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609</v>
      </c>
      <c r="B125" s="7">
        <v>4064</v>
      </c>
      <c r="C125" s="21" t="s">
        <v>196</v>
      </c>
      <c r="D125" s="21" t="s">
        <v>547</v>
      </c>
      <c r="E125" s="13">
        <v>42998.735925925925</v>
      </c>
      <c r="F125" s="13">
        <v>42998.74019675926</v>
      </c>
      <c r="G125" s="7">
        <v>79</v>
      </c>
      <c r="H125" s="21" t="s">
        <v>419</v>
      </c>
      <c r="I125" s="13">
        <v>42998.765173611115</v>
      </c>
      <c r="J125" s="7">
        <v>0</v>
      </c>
      <c r="K125" s="89" t="str">
        <f t="shared" si="32"/>
        <v>4063/4064</v>
      </c>
      <c r="L125" s="185" t="str">
        <f>VLOOKUP(A125,'Trips&amp;Operators'!$C$1:$G$99911,5,FALSE)</f>
        <v>DUNCAN SHEILA</v>
      </c>
      <c r="M125" s="6">
        <f t="shared" si="33"/>
        <v>2.4976851855171844E-2</v>
      </c>
      <c r="N125" s="7">
        <f t="shared" si="46"/>
        <v>35.966666671447456</v>
      </c>
      <c r="O125" s="7"/>
      <c r="P125" s="7"/>
      <c r="Q125" s="22"/>
      <c r="R125" s="174"/>
      <c r="S125" s="221">
        <f t="shared" si="35"/>
        <v>1</v>
      </c>
      <c r="T125" s="174" t="str">
        <f t="shared" si="36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7"/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204" t="str">
        <f>IF(AA125&lt;VLOOKUP(AG125,Variables!$AC$3:$AD$8,2,FALSE),"Y","N")</f>
        <v>N</v>
      </c>
      <c r="X125" s="204">
        <f t="shared" si="38"/>
        <v>1</v>
      </c>
      <c r="Y125" s="204">
        <f t="shared" si="52"/>
        <v>4.2700000000000002E-2</v>
      </c>
      <c r="Z125" s="204">
        <f t="shared" si="53"/>
        <v>23.3293</v>
      </c>
      <c r="AA125" s="204">
        <f t="shared" si="41"/>
        <v>23.2866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2"/>
        <v>213</v>
      </c>
      <c r="AE125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25" s="74" t="str">
        <f t="shared" si="44"/>
        <v>"C:\Program Files (x86)\AstroGrep\AstroGrep.exe" /e /r /s /spath="%USERPROFILE%\AppData\Local\Temp\OnboardLogs" /stypes="app*4064*20170921*" /stext=" 00:.+((SYSTEM_STATE.+slice.+state.+changed )|(ment ac)|(multiple cpu faults)|(system.+state.+changed )|(\[timeout)|(PRM\|1\|D)|(kpr)|(kdp)|(train st.+moving)|(\|lc)|(penalty))"</v>
      </c>
      <c r="AG125" s="182" t="str">
        <f t="shared" si="45"/>
        <v>EC</v>
      </c>
      <c r="AH125" s="78" t="str">
        <f t="shared" si="27"/>
        <v>"%USERPROFILE%\Documents\GitHub\eaglep3\Utilities\RefineRTDCRunTimes.py" --tripid 213-20 --locoid 4064 --swversion DE.1.0.9.0 --startMP 204:427 --initTime 2017-09-20T17:39:44 --startdatetime 2017-09-20T17:45:53 --delay 79 --endMP 204:233293 --enddatetime 2017-09-20T18:21:51 --enforcementcount 0 &gt;&gt;c:\users\tmcdowell\Documents\GitHub\eaglep3-reporting\EC\2017-09-20-refined-times.txt</v>
      </c>
      <c r="AI12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{"issue":{"subject":"","project_id":79,"tracker_id":40,"status_id":1,"priority_id":2,"assigned_to_id":338,"start_date":"2017-09-20","description":"","custom_fields":[{"id":1,"name":"Subdivision","value":"EC"},{"id":4,"name":"Milepost","value":"23.3293"},{"id":17,"name":"Train ID","value":"213-20"},{"id":16,"name":"Locomotive ID","value":"4064"},{"id":130,"name":"Impact","value":""},{"id":150,"name":"Time of Event (Mountain Time)","value":"18:21:51"},{"id":151,"name":"Denver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29"/>
        <v>start /low /b %USERPROFILE%\Documents\GitHub\eaglep3\Utilities\DownloadLogsFromS3.py --loco 4064 --day 2017-09-20</v>
      </c>
      <c r="AN125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1"/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Message%20ID',Summary),filters:!(),index:'emp_*',interval:auto,query:(query_string:(analyze_wildcard:!t,query:'Message%5C+ID:(*)+AND+%22rtdc.l.rtdc.4064%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792</v>
      </c>
      <c r="B126" s="7">
        <v>4063</v>
      </c>
      <c r="C126" s="21" t="s">
        <v>196</v>
      </c>
      <c r="D126" s="21" t="s">
        <v>874</v>
      </c>
      <c r="E126" s="13">
        <v>42998.769212962965</v>
      </c>
      <c r="F126" s="13">
        <v>42998.779328703706</v>
      </c>
      <c r="G126" s="7">
        <v>56</v>
      </c>
      <c r="H126" s="21" t="s">
        <v>391</v>
      </c>
      <c r="I126" s="13">
        <v>42998.804942129631</v>
      </c>
      <c r="J126" s="7">
        <v>0</v>
      </c>
      <c r="K126" s="89" t="str">
        <f t="shared" si="32"/>
        <v>4063/4064</v>
      </c>
      <c r="L126" s="185" t="str">
        <f>VLOOKUP(A126,'Trips&amp;Operators'!$C$1:$G$99911,5,FALSE)</f>
        <v>DUNCAN SHEILA</v>
      </c>
      <c r="M126" s="6">
        <f t="shared" si="33"/>
        <v>2.5613425925257616E-2</v>
      </c>
      <c r="N126" s="7">
        <f t="shared" si="46"/>
        <v>36.883333332370967</v>
      </c>
      <c r="O126" s="7"/>
      <c r="P126" s="7"/>
      <c r="Q126" s="22"/>
      <c r="R126" s="174"/>
      <c r="S126" s="221">
        <f t="shared" si="35"/>
        <v>1</v>
      </c>
      <c r="T126" s="174" t="str">
        <f t="shared" si="36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7"/>
        <v>https://d0f6bd738d7f1b3e5a7ca70fe4ff75f0.us-east-1.aws.found.io/app/kibana#/discover/Steve-Slow-Train-Analysis-(2080s-and-2083s)?_g=(refreshInterval:(display:Off,pause:!f,section:0,value:0),time:(from:'2017-09-20T17:27:40-0600',mode:absolute,to:'2017-09-20T20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204" t="str">
        <f>IF(AA126&lt;VLOOKUP(AG126,Variables!$AC$3:$AD$8,2,FALSE),"Y","N")</f>
        <v>N</v>
      </c>
      <c r="X126" s="204">
        <f t="shared" si="38"/>
        <v>1</v>
      </c>
      <c r="Y126" s="204">
        <f t="shared" si="52"/>
        <v>23.296900000000001</v>
      </c>
      <c r="Z126" s="204">
        <f t="shared" si="53"/>
        <v>1.3899999999999999E-2</v>
      </c>
      <c r="AA126" s="204">
        <f t="shared" si="41"/>
        <v>23.283000000000001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2"/>
        <v>214</v>
      </c>
      <c r="AE126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26" s="74" t="str">
        <f t="shared" si="44"/>
        <v>"C:\Program Files (x86)\AstroGrep\AstroGrep.exe" /e /r /s /spath="%USERPROFILE%\AppData\Local\Temp\OnboardLogs" /stypes="app*4063*20170921*" /stext=" 01:.+((SYSTEM_STATE.+slice.+state.+changed )|(ment ac)|(multiple cpu faults)|(system.+state.+changed )|(\[timeout)|(PRM\|1\|D)|(kpr)|(kdp)|(train st.+moving)|(\|lc)|(penalty))"</v>
      </c>
      <c r="AG126" s="182" t="str">
        <f t="shared" si="45"/>
        <v>EC</v>
      </c>
      <c r="AH126" s="78" t="str">
        <f t="shared" si="27"/>
        <v>"%USERPROFILE%\Documents\GitHub\eaglep3\Utilities\RefineRTDCRunTimes.py" --tripid 214-20 --locoid 4063 --swversion DE.1.0.9.0 --startMP 204:232969 --initTime 2017-09-20T18:27:40 --startdatetime 2017-09-20T18:42:14 --delay 56 --endMP 204:139 --enddatetime 2017-09-20T19:19:07 --enforcementcount 0 &gt;&gt;c:\users\tmcdowell\Documents\GitHub\eaglep3-reporting\EC\2017-09-20-refined-times.txt</v>
      </c>
      <c r="AI12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ID","value":"214-20"},{"id":16,"name":"Locomotive ID","value":"4063"},{"id":130,"name":"Impact","value":""},{"id":150,"name":"Time of Event (Mountain Time)","value":"19:19:07"},{"id":151,"name":"Denver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29"/>
        <v>start /low /b %USERPROFILE%\Documents\GitHub\eaglep3\Utilities\DownloadLogsFromS3.py --loco 4063 --day 2017-09-20</v>
      </c>
      <c r="AN12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1"/>
        <v>https://d0f6bd738d7f1b3e5a7ca70fe4ff75f0.us-east-1.aws.found.io/app/kibana#/discover/Steve-Slow-Train-Analysis-(2080s-and-2083s)?_g=(refreshInterval:(display:Off,pause:!f,section:0,value:0),time:(from:'2017-09-20T17:27:40-0600',mode:absolute,to:'2017-09-20T20:19:07-0600'))&amp;_a=(columns:!('Message%20ID',Summary),filters:!(),index:'emp_*',interval:auto,query:(query_string:(analyze_wildcard:!t,query:'Message%5C+ID:(*)+AND+%22rtdc.l.rtdc.4063%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607</v>
      </c>
      <c r="B127" s="7">
        <v>4062</v>
      </c>
      <c r="C127" s="21" t="s">
        <v>196</v>
      </c>
      <c r="D127" s="21" t="s">
        <v>359</v>
      </c>
      <c r="E127" s="13">
        <v>42998.747141203705</v>
      </c>
      <c r="F127" s="13">
        <v>42998.750428240739</v>
      </c>
      <c r="G127" s="7">
        <v>49</v>
      </c>
      <c r="H127" s="21" t="s">
        <v>542</v>
      </c>
      <c r="I127" s="13">
        <v>42998.774918981479</v>
      </c>
      <c r="J127" s="7">
        <v>0</v>
      </c>
      <c r="K127" s="89" t="str">
        <f t="shared" si="32"/>
        <v>4061/4062</v>
      </c>
      <c r="L127" s="185" t="str">
        <f>VLOOKUP(A127,'Trips&amp;Operators'!$C$1:$G$99911,5,FALSE)</f>
        <v>HOLCOMB KAMDEN</v>
      </c>
      <c r="M127" s="6">
        <f t="shared" si="33"/>
        <v>2.4490740739565808E-2</v>
      </c>
      <c r="N127" s="7">
        <f t="shared" si="46"/>
        <v>35.266666664974764</v>
      </c>
      <c r="O127" s="7"/>
      <c r="P127" s="7"/>
      <c r="Q127" s="22"/>
      <c r="R127" s="174"/>
      <c r="S127" s="221">
        <f t="shared" si="35"/>
        <v>1</v>
      </c>
      <c r="T127" s="174" t="str">
        <f t="shared" si="36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7"/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7" s="204" t="str">
        <f>IF(AA127&lt;VLOOKUP(AG127,Variables!$AC$3:$AD$8,2,FALSE),"Y","N")</f>
        <v>N</v>
      </c>
      <c r="X127" s="204">
        <f t="shared" si="38"/>
        <v>1</v>
      </c>
      <c r="Y127" s="204">
        <f t="shared" si="52"/>
        <v>4.4900000000000002E-2</v>
      </c>
      <c r="Z127" s="204">
        <f t="shared" si="53"/>
        <v>23.334599999999998</v>
      </c>
      <c r="AA127" s="204">
        <f t="shared" si="41"/>
        <v>23.2897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2"/>
        <v>215</v>
      </c>
      <c r="AE127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127" s="74" t="str">
        <f t="shared" si="44"/>
        <v>"C:\Program Files (x86)\AstroGrep\AstroGrep.exe" /e /r /s /spath="%USERPROFILE%\AppData\Local\Temp\OnboardLogs" /stypes="app*4062*20170921*" /stext=" 00:.+((SYSTEM_STATE.+slice.+state.+changed )|(ment ac)|(multiple cpu faults)|(system.+state.+changed )|(\[timeout)|(PRM\|1\|D)|(kpr)|(kdp)|(train st.+moving)|(\|lc)|(penalty))"</v>
      </c>
      <c r="AG127" s="182" t="str">
        <f t="shared" si="45"/>
        <v>EC</v>
      </c>
      <c r="AH127" s="78" t="str">
        <f t="shared" si="27"/>
        <v>"%USERPROFILE%\Documents\GitHub\eaglep3\Utilities\RefineRTDCRunTimes.py" --tripid 215-20 --locoid 4062 --swversion DE.1.0.9.0 --startMP 204:449 --initTime 2017-09-20T17:55:53 --startdatetime 2017-09-20T18:00:37 --delay 49 --endMP 204:233346 --enddatetime 2017-09-20T18:35:53 --enforcementcount 0 &gt;&gt;c:\users\tmcdowell\Documents\GitHub\eaglep3-reporting\EC\2017-09-20-refined-times.txt</v>
      </c>
      <c r="AI12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{"issue":{"subject":"","project_id":79,"tracker_id":40,"status_id":1,"priority_id":2,"assigned_to_id":338,"start_date":"2017-09-20","description":"","custom_fields":[{"id":1,"name":"Subdivision","value":"EC"},{"id":4,"name":"Milepost","value":"23.3346"},{"id":17,"name":"Train ID","value":"215-20"},{"id":16,"name":"Locomotive ID","value":"4062"},{"id":130,"name":"Impact","value":""},{"id":150,"name":"Time of Event (Mountain Time)","value":"18:35:53"},{"id":151,"name":"Denver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29"/>
        <v>start /low /b %USERPROFILE%\Documents\GitHub\eaglep3\Utilities\DownloadLogsFromS3.py --loco 4062 --day 2017-09-20</v>
      </c>
      <c r="AN127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1"/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Message%20ID',Summary),filters:!(),index:'emp_*',interval:auto,query:(query_string:(analyze_wildcard:!t,query:'Message%5C+ID:(*)+AND+%22rtdc.l.rtdc.4062%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613</v>
      </c>
      <c r="B128" s="7">
        <v>4061</v>
      </c>
      <c r="C128" s="21" t="s">
        <v>196</v>
      </c>
      <c r="D128" s="21" t="s">
        <v>438</v>
      </c>
      <c r="E128" s="13">
        <v>42998.786759259259</v>
      </c>
      <c r="F128" s="13">
        <v>42998.790300925924</v>
      </c>
      <c r="G128" s="7">
        <v>49</v>
      </c>
      <c r="H128" s="21" t="s">
        <v>875</v>
      </c>
      <c r="I128" s="13">
        <v>42998.813599537039</v>
      </c>
      <c r="J128" s="7">
        <v>0</v>
      </c>
      <c r="K128" s="89" t="str">
        <f t="shared" si="32"/>
        <v>4061/4062</v>
      </c>
      <c r="L128" s="185" t="str">
        <f>VLOOKUP(A128,'Trips&amp;Operators'!$C$1:$G$99911,5,FALSE)</f>
        <v>HOLCOMB KAMDEN</v>
      </c>
      <c r="M128" s="6">
        <f t="shared" si="33"/>
        <v>2.3298611115023959E-2</v>
      </c>
      <c r="N128" s="7"/>
      <c r="O128" s="7"/>
      <c r="P128" s="7">
        <f>24*60*SUM($M128:$M128)</f>
        <v>33.550000005634502</v>
      </c>
      <c r="Q128" s="22"/>
      <c r="R128" s="174" t="s">
        <v>1023</v>
      </c>
      <c r="S128" s="221">
        <f t="shared" si="35"/>
        <v>1</v>
      </c>
      <c r="T128" s="174" t="str">
        <f t="shared" si="36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7"/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8" s="204" t="str">
        <f>IF(AA128&lt;VLOOKUP(AG128,Variables!$AC$3:$AD$8,2,FALSE),"Y","N")</f>
        <v>Y</v>
      </c>
      <c r="X128" s="204">
        <f t="shared" si="38"/>
        <v>1</v>
      </c>
      <c r="Y128" s="204">
        <f t="shared" si="52"/>
        <v>23.299299999999999</v>
      </c>
      <c r="Z128" s="204">
        <f t="shared" si="53"/>
        <v>1.3545</v>
      </c>
      <c r="AA128" s="204">
        <f t="shared" si="41"/>
        <v>21.944799999999997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2"/>
        <v>216</v>
      </c>
      <c r="AE128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28" s="74" t="str">
        <f t="shared" si="44"/>
        <v>"C:\Program Files (x86)\AstroGrep\AstroGrep.exe" /e /r /s /spath="%USERPROFILE%\AppData\Local\Temp\OnboardLogs" /stypes="app*4061*20170921*" /stext=" 01:.+((SYSTEM_STATE.+slice.+state.+changed )|(ment ac)|(multiple cpu faults)|(system.+state.+changed )|(\[timeout)|(PRM\|1\|D)|(kpr)|(kdp)|(train st.+moving)|(\|lc)|(penalty))"</v>
      </c>
      <c r="AG128" s="182" t="str">
        <f t="shared" si="45"/>
        <v>EC</v>
      </c>
      <c r="AH128" s="78" t="str">
        <f t="shared" si="27"/>
        <v>"%USERPROFILE%\Documents\GitHub\eaglep3\Utilities\RefineRTDCRunTimes.py" --tripid 216-20 --locoid 4061 --swversion DE.1.0.9.0 --startMP 204:232993 --initTime 2017-09-20T18:52:56 --startdatetime 2017-09-20T18:58:02 --delay 49 --endMP 204:13545 --enddatetime 2017-09-20T19:31:35 --enforcementcount 0 &gt;&gt;c:\users\tmcdowell\Documents\GitHub\eaglep3-reporting\EC\2017-09-20-refined-times.txt</v>
      </c>
      <c r="AI128" s="96" t="str">
        <f t="shared" si="28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drop","project_id":79,"tracker_id":40,"status_id":1,"priority_id":2,"assigned_to_id":338,"start_date":"2017-09-20","description":"","custom_fields":[{"id":1,"name":"Subdivision","value":"EC"},{"id":4,"name":"Milepost","value":"1.3545"},{"id":17,"name":"Train ID","value":"216-20"},{"id":16,"name":"Locomotive ID","value":"4061"},{"id":130,"name":"Impact","value":""},{"id":150,"name":"Time of Event (Mountain Time)","value":"19:31:35"},{"id":151,"name":"Denver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29"/>
        <v>start /low /b %USERPROFILE%\Documents\GitHub\eaglep3\Utilities\DownloadLogsFromS3.py --loco 4061 --day 2017-09-20</v>
      </c>
      <c r="AN128" s="151" t="str">
        <f t="shared" si="30"/>
        <v>echo {"issue":{"subject":"WI-MAX data drop","project_id":30,"tracker_id":4,"status_id":1,"priority_id":1,"assigned_to_id":10,"start_date":"2017-09-21","description":"","custom_fields":[{"id":30,"name":"Category","value":"Issue"},{"id":3,"name":"Functional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1"/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Message%20ID',Summary),filters:!(),index:'emp_*',interval:auto,query:(query_string:(analyze_wildcard:!t,query:'Message%5C+ID:(*)+AND+%22rtdc.l.rtdc.4061%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790</v>
      </c>
      <c r="B129" s="7">
        <v>4040</v>
      </c>
      <c r="C129" s="21" t="s">
        <v>196</v>
      </c>
      <c r="D129" s="21" t="s">
        <v>370</v>
      </c>
      <c r="E129" s="13">
        <v>42998.756284722222</v>
      </c>
      <c r="F129" s="13">
        <v>42998.760613425926</v>
      </c>
      <c r="G129" s="7">
        <v>107</v>
      </c>
      <c r="H129" s="21" t="s">
        <v>496</v>
      </c>
      <c r="I129" s="13">
        <v>42998.785219907404</v>
      </c>
      <c r="J129" s="7">
        <v>0</v>
      </c>
      <c r="K129" s="89" t="str">
        <f t="shared" si="32"/>
        <v>4039/4040</v>
      </c>
      <c r="L129" s="185" t="str">
        <f>VLOOKUP(A129,'Trips&amp;Operators'!$C$1:$G$99911,5,FALSE)</f>
        <v>LOZA FIDEL</v>
      </c>
      <c r="M129" s="6">
        <f t="shared" si="33"/>
        <v>2.4606481478258502E-2</v>
      </c>
      <c r="N129" s="7">
        <f t="shared" ref="N129:N155" si="54">24*60*SUM($M129:$M129)</f>
        <v>35.433333328692243</v>
      </c>
      <c r="O129" s="7"/>
      <c r="P129" s="7"/>
      <c r="Q129" s="22"/>
      <c r="R129" s="174"/>
      <c r="S129" s="221">
        <f t="shared" si="35"/>
        <v>1</v>
      </c>
      <c r="T129" s="174" t="str">
        <f t="shared" si="36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7"/>
        <v>https://d0f6bd738d7f1b3e5a7ca70fe4ff75f0.us-east-1.aws.found.io/app/kibana#/discover/Steve-Slow-Train-Analysis-(2080s-and-2083s)?_g=(refreshInterval:(display:Off,pause:!f,section:0,value:0),time:(from:'2017-09-20T17:09:03-0600',mode:absolute,to:'2017-09-20T19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 t="shared" si="38"/>
        <v>1</v>
      </c>
      <c r="Y129" s="204">
        <f t="shared" si="52"/>
        <v>4.6699999999999998E-2</v>
      </c>
      <c r="Z129" s="204">
        <f t="shared" si="53"/>
        <v>23.331099999999999</v>
      </c>
      <c r="AA129" s="204">
        <f t="shared" si="41"/>
        <v>23.284399999999998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2"/>
        <v>217</v>
      </c>
      <c r="AE129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29" s="74" t="str">
        <f t="shared" si="44"/>
        <v>"C:\Program Files (x86)\AstroGrep\AstroGrep.exe" /e /r /s /spath="%USERPROFILE%\AppData\Local\Temp\OnboardLogs" /stypes="app*4040*20170921*" /stext=" 00:.+((SYSTEM_STATE.+slice.+state.+changed )|(ment ac)|(multiple cpu faults)|(system.+state.+changed )|(\[timeout)|(PRM\|1\|D)|(kpr)|(kdp)|(train st.+moving)|(\|lc)|(penalty))"</v>
      </c>
      <c r="AG129" s="182" t="str">
        <f t="shared" si="45"/>
        <v>EC</v>
      </c>
      <c r="AH129" s="78" t="str">
        <f t="shared" si="27"/>
        <v>"%USERPROFILE%\Documents\GitHub\eaglep3\Utilities\RefineRTDCRunTimes.py" --tripid 217-20 --locoid 4040 --swversion DE.1.0.9.0 --startMP 204:467 --initTime 2017-09-20T18:09:03 --startdatetime 2017-09-20T18:15:17 --delay 107 --endMP 204:233311 --enddatetime 2017-09-20T18:50:43 --enforcementcount 0 &gt;&gt;c:\users\tmcdowell\Documents\GitHub\eaglep3-reporting\EC\2017-09-20-refined-times.txt</v>
      </c>
      <c r="AI12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ID","value":"217-20"},{"id":16,"name":"Locomotive ID","value":"4040"},{"id":130,"name":"Impact","value":""},{"id":150,"name":"Time of Event (Mountain Time)","value":"18:50:43"},{"id":151,"name":"Denver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29"/>
        <v>start /low /b %USERPROFILE%\Documents\GitHub\eaglep3\Utilities\DownloadLogsFromS3.py --loco 4040 --day 2017-09-20</v>
      </c>
      <c r="AN129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1"/>
        <v>https://d0f6bd738d7f1b3e5a7ca70fe4ff75f0.us-east-1.aws.found.io/app/kibana#/discover/Steve-Slow-Train-Analysis-(2080s-and-2083s)?_g=(refreshInterval:(display:Off,pause:!f,section:0,value:0),time:(from:'2017-09-20T17:09:03-0600',mode:absolute,to:'2017-09-20T19:50:43-0600'))&amp;_a=(columns:!('Message%20ID',Summary),filters:!(),index:'emp_*',interval:auto,query:(query_string:(analyze_wildcard:!t,query:'Message%5C+ID:(*)+AND+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797</v>
      </c>
      <c r="B130" s="7">
        <v>4039</v>
      </c>
      <c r="C130" s="21" t="s">
        <v>196</v>
      </c>
      <c r="D130" s="21" t="s">
        <v>373</v>
      </c>
      <c r="E130" s="13">
        <v>42998.795925925922</v>
      </c>
      <c r="F130" s="13">
        <v>42998.800185185188</v>
      </c>
      <c r="G130" s="7">
        <v>139</v>
      </c>
      <c r="H130" s="21" t="s">
        <v>363</v>
      </c>
      <c r="I130" s="13">
        <v>42998.825173611112</v>
      </c>
      <c r="J130" s="7">
        <v>0</v>
      </c>
      <c r="K130" s="89" t="str">
        <f t="shared" si="32"/>
        <v>4039/4040</v>
      </c>
      <c r="L130" s="185" t="str">
        <f>VLOOKUP(A130,'Trips&amp;Operators'!$C$1:$G$99911,5,FALSE)</f>
        <v>LOZA FIDEL</v>
      </c>
      <c r="M130" s="6">
        <f t="shared" si="33"/>
        <v>2.4988425924675539E-2</v>
      </c>
      <c r="N130" s="7">
        <f t="shared" si="54"/>
        <v>35.983333331532776</v>
      </c>
      <c r="O130" s="7"/>
      <c r="P130" s="7"/>
      <c r="Q130" s="22"/>
      <c r="R130" s="174"/>
      <c r="S130" s="221">
        <f t="shared" si="35"/>
        <v>1</v>
      </c>
      <c r="T130" s="174" t="str">
        <f t="shared" si="36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7"/>
        <v>https://d0f6bd738d7f1b3e5a7ca70fe4ff75f0.us-east-1.aws.found.io/app/kibana#/discover/Steve-Slow-Train-Analysis-(2080s-and-2083s)?_g=(refreshInterval:(display:Off,pause:!f,section:0,value:0),time:(from:'2017-09-20T18:06:08-0600',mode:absolute,to:'2017-09-20T20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 t="shared" si="38"/>
        <v>1</v>
      </c>
      <c r="Y130" s="204">
        <f t="shared" si="52"/>
        <v>23.297699999999999</v>
      </c>
      <c r="Z130" s="204">
        <f t="shared" si="53"/>
        <v>1.4500000000000001E-2</v>
      </c>
      <c r="AA130" s="204">
        <f t="shared" si="41"/>
        <v>23.283199999999997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2"/>
        <v>218</v>
      </c>
      <c r="AE130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30" s="74" t="str">
        <f t="shared" si="44"/>
        <v>"C:\Program Files (x86)\AstroGrep\AstroGrep.exe" /e /r /s /spath="%USERPROFILE%\AppData\Local\Temp\OnboardLogs" /stypes="app*4039*20170921*" /stext=" 01:.+((SYSTEM_STATE.+slice.+state.+changed )|(ment ac)|(multiple cpu faults)|(system.+state.+changed )|(\[timeout)|(PRM\|1\|D)|(kpr)|(kdp)|(train st.+moving)|(\|lc)|(penalty))"</v>
      </c>
      <c r="AG130" s="182" t="str">
        <f t="shared" si="45"/>
        <v>EC</v>
      </c>
      <c r="AH130" s="78" t="str">
        <f t="shared" si="27"/>
        <v>"%USERPROFILE%\Documents\GitHub\eaglep3\Utilities\RefineRTDCRunTimes.py" --tripid 218-20 --locoid 4039 --swversion DE.1.0.9.0 --startMP 204:232977 --initTime 2017-09-20T19:06:08 --startdatetime 2017-09-20T19:12:16 --delay 139 --endMP 204:145 --enddatetime 2017-09-20T19:48:15 --enforcementcount 0 &gt;&gt;c:\users\tmcdowell\Documents\GitHub\eaglep3-reporting\EC\2017-09-20-refined-times.txt</v>
      </c>
      <c r="AI13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ID","value":"218-20"},{"id":16,"name":"Locomotive ID","value":"4039"},{"id":130,"name":"Impact","value":""},{"id":150,"name":"Time of Event (Mountain Time)","value":"19:48:15"},{"id":151,"name":"Denver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29"/>
        <v>start /low /b %USERPROFILE%\Documents\GitHub\eaglep3\Utilities\DownloadLogsFromS3.py --loco 4039 --day 2017-09-20</v>
      </c>
      <c r="AN13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1"/>
        <v>https://d0f6bd738d7f1b3e5a7ca70fe4ff75f0.us-east-1.aws.found.io/app/kibana#/discover/Steve-Slow-Train-Analysis-(2080s-and-2083s)?_g=(refreshInterval:(display:Off,pause:!f,section:0,value:0),time:(from:'2017-09-20T18:06:08-0600',mode:absolute,to:'2017-09-20T20:48:15-0600'))&amp;_a=(columns:!('Message%20ID',Summary),filters:!(),index:'emp_*',interval:auto,query:(query_string:(analyze_wildcard:!t,query:'Message%5C+ID:(*)+AND+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791</v>
      </c>
      <c r="B131" s="7">
        <v>4044</v>
      </c>
      <c r="C131" s="21" t="s">
        <v>196</v>
      </c>
      <c r="D131" s="21" t="s">
        <v>340</v>
      </c>
      <c r="E131" s="13">
        <v>42998.767789351848</v>
      </c>
      <c r="F131" s="13">
        <v>42998.771006944444</v>
      </c>
      <c r="G131" s="7">
        <v>71</v>
      </c>
      <c r="H131" s="21" t="s">
        <v>508</v>
      </c>
      <c r="I131" s="13">
        <v>42998.795671296299</v>
      </c>
      <c r="J131" s="7">
        <v>0</v>
      </c>
      <c r="K131" s="89" t="str">
        <f t="shared" si="32"/>
        <v>4043/4044</v>
      </c>
      <c r="L131" s="185" t="str">
        <f>VLOOKUP(A131,'Trips&amp;Operators'!$C$1:$G$99911,5,FALSE)</f>
        <v>HART KEVIN</v>
      </c>
      <c r="M131" s="6">
        <f t="shared" si="33"/>
        <v>2.4664351854880806E-2</v>
      </c>
      <c r="N131" s="7">
        <f t="shared" si="54"/>
        <v>35.516666671028361</v>
      </c>
      <c r="O131" s="7"/>
      <c r="P131" s="7"/>
      <c r="Q131" s="22"/>
      <c r="R131" s="174"/>
      <c r="S131" s="221">
        <f t="shared" si="35"/>
        <v>1</v>
      </c>
      <c r="T131" s="174" t="str">
        <f t="shared" si="36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7"/>
        <v>https://d0f6bd738d7f1b3e5a7ca70fe4ff75f0.us-east-1.aws.found.io/app/kibana#/discover/Steve-Slow-Train-Analysis-(2080s-and-2083s)?_g=(refreshInterval:(display:Off,pause:!f,section:0,value:0),time:(from:'2017-09-20T17:25:37-0600',mode:absolute,to:'2017-09-20T20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204" t="str">
        <f>IF(AA131&lt;VLOOKUP(AG131,Variables!$AC$3:$AD$8,2,FALSE),"Y","N")</f>
        <v>N</v>
      </c>
      <c r="X131" s="204">
        <f t="shared" si="38"/>
        <v>1</v>
      </c>
      <c r="Y131" s="204">
        <f t="shared" si="52"/>
        <v>4.53E-2</v>
      </c>
      <c r="Z131" s="204">
        <f t="shared" si="53"/>
        <v>23.332100000000001</v>
      </c>
      <c r="AA131" s="204">
        <f t="shared" si="41"/>
        <v>23.286799999999999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2"/>
        <v>219</v>
      </c>
      <c r="AE131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31" s="74" t="str">
        <f t="shared" si="44"/>
        <v>"C:\Program Files (x86)\AstroGrep\AstroGrep.exe" /e /r /s /spath="%USERPROFILE%\AppData\Local\Temp\OnboardLogs" /stypes="app*4044*20170921*" /stext=" 01:.+((SYSTEM_STATE.+slice.+state.+changed )|(ment ac)|(multiple cpu faults)|(system.+state.+changed )|(\[timeout)|(PRM\|1\|D)|(kpr)|(kdp)|(train st.+moving)|(\|lc)|(penalty))"</v>
      </c>
      <c r="AG131" s="182" t="str">
        <f t="shared" si="45"/>
        <v>EC</v>
      </c>
      <c r="AH131" s="78" t="str">
        <f t="shared" si="27"/>
        <v>"%USERPROFILE%\Documents\GitHub\eaglep3\Utilities\RefineRTDCRunTimes.py" --tripid 219-20 --locoid 4044 --swversion DE.1.0.9.0 --startMP 204:453 --initTime 2017-09-20T18:25:37 --startdatetime 2017-09-20T18:30:15 --delay 71 --endMP 204:233321 --enddatetime 2017-09-20T19:05:46 --enforcementcount 0 &gt;&gt;c:\users\tmcdowell\Documents\GitHub\eaglep3-reporting\EC\2017-09-20-refined-times.txt</v>
      </c>
      <c r="AI13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{"issue":{"subject":"","project_id":79,"tracker_id":40,"status_id":1,"priority_id":2,"assigned_to_id":338,"start_date":"2017-09-20","description":"","custom_fields":[{"id":1,"name":"Subdivision","value":"EC"},{"id":4,"name":"Milepost","value":"23.3321"},{"id":17,"name":"Train ID","value":"219-20"},{"id":16,"name":"Locomotive ID","value":"4044"},{"id":130,"name":"Impact","value":""},{"id":150,"name":"Time of Event (Mountain Time)","value":"19:05:46"},{"id":151,"name":"Denver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29"/>
        <v>start /low /b %USERPROFILE%\Documents\GitHub\eaglep3\Utilities\DownloadLogsFromS3.py --loco 4044 --day 2017-09-20</v>
      </c>
      <c r="AN131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1"/>
        <v>https://d0f6bd738d7f1b3e5a7ca70fe4ff75f0.us-east-1.aws.found.io/app/kibana#/discover/Steve-Slow-Train-Analysis-(2080s-and-2083s)?_g=(refreshInterval:(display:Off,pause:!f,section:0,value:0),time:(from:'2017-09-20T17:25:37-0600',mode:absolute,to:'2017-09-20T20:05:46-0600'))&amp;_a=(columns:!('Message%20ID',Summary),filters:!(),index:'emp_*',interval:auto,query:(query_string:(analyze_wildcard:!t,query:'Message%5C+ID:(*)+AND+%22rtdc.l.rtdc.4044%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799</v>
      </c>
      <c r="B132" s="7">
        <v>4043</v>
      </c>
      <c r="C132" s="21" t="s">
        <v>196</v>
      </c>
      <c r="D132" s="21" t="s">
        <v>464</v>
      </c>
      <c r="E132" s="13">
        <v>42998.807384259257</v>
      </c>
      <c r="F132" s="13">
        <v>42998.810671296298</v>
      </c>
      <c r="G132" s="7">
        <v>67</v>
      </c>
      <c r="H132" s="21" t="s">
        <v>412</v>
      </c>
      <c r="I132" s="13">
        <v>42998.835844907408</v>
      </c>
      <c r="J132" s="7">
        <v>0</v>
      </c>
      <c r="K132" s="89" t="str">
        <f t="shared" si="32"/>
        <v>4043/4044</v>
      </c>
      <c r="L132" s="185" t="str">
        <f>VLOOKUP(A132,'Trips&amp;Operators'!$C$1:$G$99911,5,FALSE)</f>
        <v>HART KEVIN</v>
      </c>
      <c r="M132" s="6">
        <f t="shared" si="33"/>
        <v>2.5173611109494232E-2</v>
      </c>
      <c r="N132" s="7">
        <f t="shared" si="54"/>
        <v>36.249999997671694</v>
      </c>
      <c r="O132" s="7"/>
      <c r="P132" s="7"/>
      <c r="Q132" s="22"/>
      <c r="R132" s="174"/>
      <c r="S132" s="221">
        <f t="shared" si="35"/>
        <v>1</v>
      </c>
      <c r="T132" s="174" t="str">
        <f t="shared" si="36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7"/>
        <v>https://d0f6bd738d7f1b3e5a7ca70fe4ff75f0.us-east-1.aws.found.io/app/kibana#/discover/Steve-Slow-Train-Analysis-(2080s-and-2083s)?_g=(refreshInterval:(display:Off,pause:!f,section:0,value:0),time:(from:'2017-09-20T18:22:38-0600',mode:absolute,to:'2017-09-20T21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204" t="str">
        <f>IF(AA132&lt;VLOOKUP(AG132,Variables!$AC$3:$AD$8,2,FALSE),"Y","N")</f>
        <v>N</v>
      </c>
      <c r="X132" s="204">
        <f t="shared" si="38"/>
        <v>1</v>
      </c>
      <c r="Y132" s="204">
        <f t="shared" si="52"/>
        <v>23.301500000000001</v>
      </c>
      <c r="Z132" s="204">
        <f t="shared" si="53"/>
        <v>1.54E-2</v>
      </c>
      <c r="AA132" s="204">
        <f t="shared" si="41"/>
        <v>23.286100000000001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2"/>
        <v>220</v>
      </c>
      <c r="AE132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32" s="74" t="str">
        <f t="shared" si="44"/>
        <v>"C:\Program Files (x86)\AstroGrep\AstroGrep.exe" /e /r /s /spath="%USERPROFILE%\AppData\Local\Temp\OnboardLogs" /stypes="app*4043*20170921*" /stext=" 02:.+((SYSTEM_STATE.+slice.+state.+changed )|(ment ac)|(multiple cpu faults)|(system.+state.+changed )|(\[timeout)|(PRM\|1\|D)|(kpr)|(kdp)|(train st.+moving)|(\|lc)|(penalty))"</v>
      </c>
      <c r="AG132" s="182" t="str">
        <f t="shared" si="45"/>
        <v>EC</v>
      </c>
      <c r="AH132" s="78" t="str">
        <f t="shared" si="27"/>
        <v>"%USERPROFILE%\Documents\GitHub\eaglep3\Utilities\RefineRTDCRunTimes.py" --tripid 220-20 --locoid 4043 --swversion DE.1.0.9.0 --startMP 204:233015 --initTime 2017-09-20T19:22:38 --startdatetime 2017-09-20T19:27:22 --delay 67 --endMP 204:154 --enddatetime 2017-09-20T20:03:37 --enforcementcount 0 &gt;&gt;c:\users\tmcdowell\Documents\GitHub\eaglep3-reporting\EC\2017-09-20-refined-times.txt</v>
      </c>
      <c r="AI13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ID","value":"220-20"},{"id":16,"name":"Locomotive ID","value":"4043"},{"id":130,"name":"Impact","value":""},{"id":150,"name":"Time of Event (Mountain Time)","value":"20:03:37"},{"id":151,"name":"Denver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29"/>
        <v>start /low /b %USERPROFILE%\Documents\GitHub\eaglep3\Utilities\DownloadLogsFromS3.py --loco 4043 --day 2017-09-20</v>
      </c>
      <c r="AN132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1"/>
        <v>https://d0f6bd738d7f1b3e5a7ca70fe4ff75f0.us-east-1.aws.found.io/app/kibana#/discover/Steve-Slow-Train-Analysis-(2080s-and-2083s)?_g=(refreshInterval:(display:Off,pause:!f,section:0,value:0),time:(from:'2017-09-20T18:22:38-0600',mode:absolute,to:'2017-09-20T21:03:37-0600'))&amp;_a=(columns:!('Message%20ID',Summary),filters:!(),index:'emp_*',interval:auto,query:(query_string:(analyze_wildcard:!t,query:'Message%5C+ID:(*)+AND+%22rtdc.l.rtdc.4043%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795</v>
      </c>
      <c r="B133" s="7">
        <v>4042</v>
      </c>
      <c r="C133" s="21" t="s">
        <v>196</v>
      </c>
      <c r="D133" s="21" t="s">
        <v>437</v>
      </c>
      <c r="E133" s="13">
        <v>42998.78634259259</v>
      </c>
      <c r="F133" s="13">
        <v>42998.791851851849</v>
      </c>
      <c r="G133" s="7">
        <v>80</v>
      </c>
      <c r="H133" s="21" t="s">
        <v>490</v>
      </c>
      <c r="I133" s="13">
        <v>42998.816979166666</v>
      </c>
      <c r="J133" s="7">
        <v>0</v>
      </c>
      <c r="K133" s="89" t="str">
        <f t="shared" si="32"/>
        <v>4041/4042</v>
      </c>
      <c r="L133" s="185" t="str">
        <f>VLOOKUP(A133,'Trips&amp;Operators'!$C$1:$G$99911,5,FALSE)</f>
        <v>PERKINS DARREN</v>
      </c>
      <c r="M133" s="6">
        <f t="shared" si="33"/>
        <v>2.5127314816927537E-2</v>
      </c>
      <c r="N133" s="7">
        <f t="shared" si="54"/>
        <v>36.183333336375654</v>
      </c>
      <c r="O133" s="7"/>
      <c r="P133" s="7"/>
      <c r="Q133" s="22"/>
      <c r="R133" s="174"/>
      <c r="S133" s="221">
        <f t="shared" si="35"/>
        <v>1</v>
      </c>
      <c r="T133" s="174" t="str">
        <f t="shared" si="36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7"/>
        <v>https://d0f6bd738d7f1b3e5a7ca70fe4ff75f0.us-east-1.aws.found.io/app/kibana#/discover/Steve-Slow-Train-Analysis-(2080s-and-2083s)?_g=(refreshInterval:(display:Off,pause:!f,section:0,value:0),time:(from:'2017-09-20T17:52:20-0600',mode:absolute,to:'2017-09-20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04" t="str">
        <f>IF(AA133&lt;VLOOKUP(AG133,Variables!$AC$3:$AD$8,2,FALSE),"Y","N")</f>
        <v>N</v>
      </c>
      <c r="X133" s="204">
        <f t="shared" si="38"/>
        <v>1</v>
      </c>
      <c r="Y133" s="204">
        <f t="shared" ref="Y133:Y164" si="55">RIGHT(D133,LEN(D133)-4)/10000</f>
        <v>4.7500000000000001E-2</v>
      </c>
      <c r="Z133" s="204">
        <f t="shared" ref="Z133:Z164" si="56">RIGHT(H133,LEN(H133)-4)/10000</f>
        <v>23.329499999999999</v>
      </c>
      <c r="AA133" s="204">
        <f t="shared" si="41"/>
        <v>23.282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2"/>
        <v>221</v>
      </c>
      <c r="AE133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33" s="74" t="str">
        <f t="shared" si="44"/>
        <v>"C:\Program Files (x86)\AstroGrep\AstroGrep.exe" /e /r /s /spath="%USERPROFILE%\AppData\Local\Temp\OnboardLogs" /stypes="app*4042*20170921*" /stext=" 01:.+((SYSTEM_STATE.+slice.+state.+changed )|(ment ac)|(multiple cpu faults)|(system.+state.+changed )|(\[timeout)|(PRM\|1\|D)|(kpr)|(kdp)|(train st.+moving)|(\|lc)|(penalty))"</v>
      </c>
      <c r="AG133" s="182" t="str">
        <f t="shared" si="45"/>
        <v>EC</v>
      </c>
      <c r="AH133" s="78" t="str">
        <f t="shared" si="27"/>
        <v>"%USERPROFILE%\Documents\GitHub\eaglep3\Utilities\RefineRTDCRunTimes.py" --tripid 221-20 --locoid 4042 --swversion DE.1.0.9.0 --startMP 204:475 --initTime 2017-09-20T18:52:20 --startdatetime 2017-09-20T19:00:16 --delay 80 --endMP 204:233295 --enddatetime 2017-09-20T19:36:27 --enforcementcount 0 &gt;&gt;c:\users\tmcdowell\Documents\GitHub\eaglep3-reporting\EC\2017-09-20-refined-times.txt</v>
      </c>
      <c r="AI13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{"issue":{"subject":"","project_id":79,"tracker_id":40,"status_id":1,"priority_id":2,"assigned_to_id":338,"start_date":"2017-09-20","description":"","custom_fields":[{"id":1,"name":"Subdivision","value":"EC"},{"id":4,"name":"Milepost","value":"23.3295"},{"id":17,"name":"Train ID","value":"221-20"},{"id":16,"name":"Locomotive ID","value":"4042"},{"id":130,"name":"Impact","value":""},{"id":150,"name":"Time of Event (Mountain Time)","value":"19:36:27"},{"id":151,"name":"Denver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29"/>
        <v>start /low /b %USERPROFILE%\Documents\GitHub\eaglep3\Utilities\DownloadLogsFromS3.py --loco 4042 --day 2017-09-20</v>
      </c>
      <c r="AN133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1"/>
        <v>https://d0f6bd738d7f1b3e5a7ca70fe4ff75f0.us-east-1.aws.found.io/app/kibana#/discover/Steve-Slow-Train-Analysis-(2080s-and-2083s)?_g=(refreshInterval:(display:Off,pause:!f,section:0,value:0),time:(from:'2017-09-20T17:52:20-0600',mode:absolute,to:'2017-09-20T20:36:27-0600'))&amp;_a=(columns:!('Message%20ID',Summary),filters:!(),index:'emp_*',interval:auto,query:(query_string:(analyze_wildcard:!t,query:'Message%5C+ID:(*)+AND+%22rtdc.l.rtdc.4042%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805</v>
      </c>
      <c r="B134" s="7">
        <v>4041</v>
      </c>
      <c r="C134" s="21" t="s">
        <v>196</v>
      </c>
      <c r="D134" s="21" t="s">
        <v>423</v>
      </c>
      <c r="E134" s="13">
        <v>42998.820509259262</v>
      </c>
      <c r="F134" s="13">
        <v>42998.831458333334</v>
      </c>
      <c r="G134" s="7">
        <v>69</v>
      </c>
      <c r="H134" s="21" t="s">
        <v>465</v>
      </c>
      <c r="I134" s="13">
        <v>42998.858101851853</v>
      </c>
      <c r="J134" s="7">
        <v>0</v>
      </c>
      <c r="K134" s="89" t="str">
        <f t="shared" si="32"/>
        <v>4041/4042</v>
      </c>
      <c r="L134" s="185" t="str">
        <f>VLOOKUP(A134,'Trips&amp;Operators'!$C$1:$G$99911,5,FALSE)</f>
        <v>PERKINS DARREN</v>
      </c>
      <c r="M134" s="6">
        <f t="shared" si="33"/>
        <v>2.6643518518540077E-2</v>
      </c>
      <c r="N134" s="7">
        <f t="shared" si="54"/>
        <v>38.366666666697711</v>
      </c>
      <c r="O134" s="7"/>
      <c r="P134" s="7"/>
      <c r="Q134" s="22"/>
      <c r="R134" s="174"/>
      <c r="S134" s="221">
        <f t="shared" si="35"/>
        <v>1</v>
      </c>
      <c r="T134" s="174" t="str">
        <f t="shared" si="36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7"/>
        <v>https://d0f6bd738d7f1b3e5a7ca70fe4ff75f0.us-east-1.aws.found.io/app/kibana#/discover/Steve-Slow-Train-Analysis-(2080s-and-2083s)?_g=(refreshInterval:(display:Off,pause:!f,section:0,value:0),time:(from:'2017-09-20T18:41:32-0600',mode:absolute,to:'2017-09-20T21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04" t="str">
        <f>IF(AA134&lt;VLOOKUP(AG134,Variables!$AC$3:$AD$8,2,FALSE),"Y","N")</f>
        <v>N</v>
      </c>
      <c r="X134" s="204">
        <f t="shared" si="38"/>
        <v>1</v>
      </c>
      <c r="Y134" s="204">
        <f t="shared" si="55"/>
        <v>23.299099999999999</v>
      </c>
      <c r="Z134" s="204">
        <f t="shared" si="56"/>
        <v>1.2999999999999999E-2</v>
      </c>
      <c r="AA134" s="204">
        <f t="shared" si="41"/>
        <v>23.286099999999998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2"/>
        <v>222</v>
      </c>
      <c r="AE134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34" s="74" t="str">
        <f t="shared" si="44"/>
        <v>"C:\Program Files (x86)\AstroGrep\AstroGrep.exe" /e /r /s /spath="%USERPROFILE%\AppData\Local\Temp\OnboardLogs" /stypes="app*4041*20170921*" /stext=" 02:.+((SYSTEM_STATE.+slice.+state.+changed )|(ment ac)|(multiple cpu faults)|(system.+state.+changed )|(\[timeout)|(PRM\|1\|D)|(kpr)|(kdp)|(train st.+moving)|(\|lc)|(penalty))"</v>
      </c>
      <c r="AG134" s="182" t="str">
        <f t="shared" si="45"/>
        <v>EC</v>
      </c>
      <c r="AH134" s="78" t="str">
        <f t="shared" si="27"/>
        <v>"%USERPROFILE%\Documents\GitHub\eaglep3\Utilities\RefineRTDCRunTimes.py" --tripid 222-20 --locoid 4041 --swversion DE.1.0.9.0 --startMP 204:232991 --initTime 2017-09-20T19:41:32 --startdatetime 2017-09-20T19:57:18 --delay 69 --endMP 204:130 --enddatetime 2017-09-20T20:35:40 --enforcementcount 0 &gt;&gt;c:\users\tmcdowell\Documents\GitHub\eaglep3-reporting\EC\2017-09-20-refined-times.txt</v>
      </c>
      <c r="AI13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{"issue":{"subject":"","project_id":79,"tracker_id":40,"status_id":1,"priority_id":2,"assigned_to_id":338,"start_date":"2017-09-20","description":"","custom_fields":[{"id":1,"name":"Subdivision","value":"EC"},{"id":4,"name":"Milepost","value":"0.013"},{"id":17,"name":"Train ID","value":"222-20"},{"id":16,"name":"Locomotive ID","value":"4041"},{"id":130,"name":"Impact","value":""},{"id":150,"name":"Time of Event (Mountain Time)","value":"20:35:40"},{"id":151,"name":"Denver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29"/>
        <v>start /low /b %USERPROFILE%\Documents\GitHub\eaglep3\Utilities\DownloadLogsFromS3.py --loco 4041 --day 2017-09-20</v>
      </c>
      <c r="AN134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1"/>
        <v>https://d0f6bd738d7f1b3e5a7ca70fe4ff75f0.us-east-1.aws.found.io/app/kibana#/discover/Steve-Slow-Train-Analysis-(2080s-and-2083s)?_g=(refreshInterval:(display:Off,pause:!f,section:0,value:0),time:(from:'2017-09-20T18:41:32-0600',mode:absolute,to:'2017-09-20T21:35:40-0600'))&amp;_a=(columns:!('Message%20ID',Summary),filters:!(),index:'emp_*',interval:auto,query:(query_string:(analyze_wildcard:!t,query:'Message%5C+ID:(*)+AND+%22rtdc.l.rtdc.4041%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800</v>
      </c>
      <c r="B135" s="7">
        <v>4064</v>
      </c>
      <c r="C135" s="21" t="s">
        <v>196</v>
      </c>
      <c r="D135" s="21" t="s">
        <v>348</v>
      </c>
      <c r="E135" s="13">
        <v>42998.808483796296</v>
      </c>
      <c r="F135" s="13">
        <v>42998.812731481485</v>
      </c>
      <c r="G135" s="7">
        <v>118</v>
      </c>
      <c r="H135" s="21" t="s">
        <v>876</v>
      </c>
      <c r="I135" s="13">
        <v>42998.838229166664</v>
      </c>
      <c r="J135" s="7">
        <v>0</v>
      </c>
      <c r="K135" s="89" t="str">
        <f t="shared" si="32"/>
        <v>4063/4064</v>
      </c>
      <c r="L135" s="185" t="str">
        <f>VLOOKUP(A135,'Trips&amp;Operators'!$C$1:$G$99911,5,FALSE)</f>
        <v>NICHOLSON WESLEY</v>
      </c>
      <c r="M135" s="6">
        <f t="shared" si="33"/>
        <v>2.5497685179288965E-2</v>
      </c>
      <c r="N135" s="7">
        <f t="shared" si="54"/>
        <v>36.716666658176109</v>
      </c>
      <c r="O135" s="7"/>
      <c r="P135" s="7"/>
      <c r="Q135" s="22"/>
      <c r="R135" s="174"/>
      <c r="S135" s="221">
        <f t="shared" si="35"/>
        <v>1</v>
      </c>
      <c r="T135" s="174" t="str">
        <f t="shared" si="36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7"/>
        <v>https://d0f6bd738d7f1b3e5a7ca70fe4ff75f0.us-east-1.aws.found.io/app/kibana#/discover/Steve-Slow-Train-Analysis-(2080s-and-2083s)?_g=(refreshInterval:(display:Off,pause:!f,section:0,value:0),time:(from:'2017-09-20T18:24:13-0600',mode:absolute,to:'2017-09-20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04" t="str">
        <f>IF(AA135&lt;VLOOKUP(AG135,Variables!$AC$3:$AD$8,2,FALSE),"Y","N")</f>
        <v>N</v>
      </c>
      <c r="X135" s="204">
        <f t="shared" si="38"/>
        <v>1</v>
      </c>
      <c r="Y135" s="204">
        <f t="shared" si="55"/>
        <v>4.5499999999999999E-2</v>
      </c>
      <c r="Z135" s="204">
        <f t="shared" si="56"/>
        <v>23.327400000000001</v>
      </c>
      <c r="AA135" s="204">
        <f t="shared" si="41"/>
        <v>23.2819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2"/>
        <v>223</v>
      </c>
      <c r="AE135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35" s="74" t="str">
        <f t="shared" si="44"/>
        <v>"C:\Program Files (x86)\AstroGrep\AstroGrep.exe" /e /r /s /spath="%USERPROFILE%\AppData\Local\Temp\OnboardLogs" /stypes="app*4064*20170921*" /stext=" 02:.+((SYSTEM_STATE.+slice.+state.+changed )|(ment ac)|(multiple cpu faults)|(system.+state.+changed )|(\[timeout)|(PRM\|1\|D)|(kpr)|(kdp)|(train st.+moving)|(\|lc)|(penalty))"</v>
      </c>
      <c r="AG135" s="182" t="str">
        <f t="shared" si="45"/>
        <v>EC</v>
      </c>
      <c r="AH135" s="78" t="str">
        <f t="shared" si="27"/>
        <v>"%USERPROFILE%\Documents\GitHub\eaglep3\Utilities\RefineRTDCRunTimes.py" --tripid 223-20 --locoid 4064 --swversion DE.1.0.9.0 --startMP 204:455 --initTime 2017-09-20T19:24:13 --startdatetime 2017-09-20T19:30:20 --delay 118 --endMP 204:233274 --enddatetime 2017-09-20T20:07:03 --enforcementcount 0 &gt;&gt;c:\users\tmcdowell\Documents\GitHub\eaglep3-reporting\EC\2017-09-20-refined-times.txt</v>
      </c>
      <c r="AI13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{"issue":{"subject":"","project_id":79,"tracker_id":40,"status_id":1,"priority_id":2,"assigned_to_id":338,"start_date":"2017-09-20","description":"","custom_fields":[{"id":1,"name":"Subdivision","value":"EC"},{"id":4,"name":"Milepost","value":"23.3274"},{"id":17,"name":"Train ID","value":"223-20"},{"id":16,"name":"Locomotive ID","value":"4064"},{"id":130,"name":"Impact","value":""},{"id":150,"name":"Time of Event (Mountain Time)","value":"20:07:03"},{"id":151,"name":"Denver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29"/>
        <v>start /low /b %USERPROFILE%\Documents\GitHub\eaglep3\Utilities\DownloadLogsFromS3.py --loco 4064 --day 2017-09-20</v>
      </c>
      <c r="AN135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1"/>
        <v>https://d0f6bd738d7f1b3e5a7ca70fe4ff75f0.us-east-1.aws.found.io/app/kibana#/discover/Steve-Slow-Train-Analysis-(2080s-and-2083s)?_g=(refreshInterval:(display:Off,pause:!f,section:0,value:0),time:(from:'2017-09-20T18:24:13-0600',mode:absolute,to:'2017-09-20T21:07:03-0600'))&amp;_a=(columns:!('Message%20ID',Summary),filters:!(),index:'emp_*',interval:auto,query:(query_string:(analyze_wildcard:!t,query:'Message%5C+ID:(*)+AND+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809</v>
      </c>
      <c r="B136" s="7">
        <v>4063</v>
      </c>
      <c r="C136" s="21" t="s">
        <v>196</v>
      </c>
      <c r="D136" s="21" t="s">
        <v>439</v>
      </c>
      <c r="E136" s="13">
        <v>42998.84784722222</v>
      </c>
      <c r="F136" s="13">
        <v>42998.852337962962</v>
      </c>
      <c r="G136" s="7">
        <v>122</v>
      </c>
      <c r="H136" s="21" t="s">
        <v>379</v>
      </c>
      <c r="I136" s="13">
        <v>42998.882256944446</v>
      </c>
      <c r="J136" s="7">
        <v>0</v>
      </c>
      <c r="K136" s="89" t="str">
        <f t="shared" si="32"/>
        <v>4063/4064</v>
      </c>
      <c r="L136" s="185" t="str">
        <f>VLOOKUP(A136,'Trips&amp;Operators'!$C$1:$G$99911,5,FALSE)</f>
        <v>NICHOLSON WESLEY</v>
      </c>
      <c r="M136" s="6">
        <f t="shared" si="33"/>
        <v>2.9918981483206153E-2</v>
      </c>
      <c r="N136" s="7">
        <f t="shared" si="54"/>
        <v>43.08333333581686</v>
      </c>
      <c r="O136" s="7"/>
      <c r="P136" s="7"/>
      <c r="Q136" s="22"/>
      <c r="R136" s="174"/>
      <c r="S136" s="221">
        <f t="shared" si="35"/>
        <v>1</v>
      </c>
      <c r="T136" s="174" t="str">
        <f t="shared" si="36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7"/>
        <v>https://d0f6bd738d7f1b3e5a7ca70fe4ff75f0.us-east-1.aws.found.io/app/kibana#/discover/Steve-Slow-Train-Analysis-(2080s-and-2083s)?_g=(refreshInterval:(display:Off,pause:!f,section:0,value:0),time:(from:'2017-09-20T19:20:54-0600',mode:absolute,to:'2017-09-20T22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04" t="str">
        <f>IF(AA136&lt;VLOOKUP(AG136,Variables!$AC$3:$AD$8,2,FALSE),"Y","N")</f>
        <v>N</v>
      </c>
      <c r="X136" s="204">
        <f t="shared" si="38"/>
        <v>1</v>
      </c>
      <c r="Y136" s="204">
        <f t="shared" si="55"/>
        <v>23.298500000000001</v>
      </c>
      <c r="Z136" s="204">
        <f t="shared" si="56"/>
        <v>1.6E-2</v>
      </c>
      <c r="AA136" s="204">
        <f t="shared" si="41"/>
        <v>23.282500000000002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2"/>
        <v>224</v>
      </c>
      <c r="AE136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36" s="74" t="str">
        <f t="shared" si="44"/>
        <v>"C:\Program Files (x86)\AstroGrep\AstroGrep.exe" /e /r /s /spath="%USERPROFILE%\AppData\Local\Temp\OnboardLogs" /stypes="app*4063*20170921*" /stext=" 03:.+((SYSTEM_STATE.+slice.+state.+changed )|(ment ac)|(multiple cpu faults)|(system.+state.+changed )|(\[timeout)|(PRM\|1\|D)|(kpr)|(kdp)|(train st.+moving)|(\|lc)|(penalty))"</v>
      </c>
      <c r="AG136" s="182" t="str">
        <f t="shared" si="45"/>
        <v>EC</v>
      </c>
      <c r="AH136" s="78" t="str">
        <f t="shared" si="27"/>
        <v>"%USERPROFILE%\Documents\GitHub\eaglep3\Utilities\RefineRTDCRunTimes.py" --tripid 224-20 --locoid 4063 --swversion DE.1.0.9.0 --startMP 204:232985 --initTime 2017-09-20T20:20:54 --startdatetime 2017-09-20T20:27:22 --delay 122 --endMP 204:160 --enddatetime 2017-09-20T21:10:27 --enforcementcount 0 &gt;&gt;c:\users\tmcdowell\Documents\GitHub\eaglep3-reporting\EC\2017-09-20-refined-times.txt</v>
      </c>
      <c r="AI13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{"issue":{"subject":"","project_id":79,"tracker_id":40,"status_id":1,"priority_id":2,"assigned_to_id":338,"start_date":"2017-09-20","description":"","custom_fields":[{"id":1,"name":"Subdivision","value":"EC"},{"id":4,"name":"Milepost","value":"0.016"},{"id":17,"name":"Train ID","value":"224-20"},{"id":16,"name":"Locomotive ID","value":"4063"},{"id":130,"name":"Impact","value":""},{"id":150,"name":"Time of Event (Mountain Time)","value":"21:10:27"},{"id":151,"name":"Denver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29"/>
        <v>start /low /b %USERPROFILE%\Documents\GitHub\eaglep3\Utilities\DownloadLogsFromS3.py --loco 4063 --day 2017-09-20</v>
      </c>
      <c r="AN13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1"/>
        <v>https://d0f6bd738d7f1b3e5a7ca70fe4ff75f0.us-east-1.aws.found.io/app/kibana#/discover/Steve-Slow-Train-Analysis-(2080s-and-2083s)?_g=(refreshInterval:(display:Off,pause:!f,section:0,value:0),time:(from:'2017-09-20T19:20:54-0600',mode:absolute,to:'2017-09-20T22:10:27-0600'))&amp;_a=(columns:!('Message%20ID',Summary),filters:!(),index:'emp_*',interval:auto,query:(query_string:(analyze_wildcard:!t,query:'Message%5C+ID:(*)+AND+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4040</v>
      </c>
      <c r="C137" s="21" t="s">
        <v>196</v>
      </c>
      <c r="D137" s="21" t="s">
        <v>375</v>
      </c>
      <c r="E137" s="13">
        <v>42998.83048611111</v>
      </c>
      <c r="F137" s="13">
        <v>42998.83353009259</v>
      </c>
      <c r="G137" s="7">
        <v>73</v>
      </c>
      <c r="H137" s="21" t="s">
        <v>469</v>
      </c>
      <c r="I137" s="13">
        <v>42998.858368055553</v>
      </c>
      <c r="J137" s="7">
        <v>0</v>
      </c>
      <c r="K137" s="89" t="str">
        <f t="shared" si="32"/>
        <v>4039/4040</v>
      </c>
      <c r="L137" s="185" t="str">
        <f>VLOOKUP(A137,'Trips&amp;Operators'!$C$1:$G$99911,5,FALSE)</f>
        <v>LOZA FIDEL</v>
      </c>
      <c r="M137" s="6">
        <f t="shared" si="33"/>
        <v>2.4837962962919846E-2</v>
      </c>
      <c r="N137" s="7">
        <f t="shared" si="54"/>
        <v>35.766666666604578</v>
      </c>
      <c r="O137" s="7"/>
      <c r="P137" s="7"/>
      <c r="Q137" s="22"/>
      <c r="R137" s="174"/>
      <c r="S137" s="221">
        <f t="shared" si="35"/>
        <v>1</v>
      </c>
      <c r="T137" s="174" t="str">
        <f t="shared" si="36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7"/>
        <v>https://d0f6bd738d7f1b3e5a7ca70fe4ff75f0.us-east-1.aws.found.io/app/kibana#/discover/Steve-Slow-Train-Analysis-(2080s-and-2083s)?_g=(refreshInterval:(display:Off,pause:!f,section:0,value:0),time:(from:'2017-09-20T18:55:54-0600',mode:absolute,to:'2017-09-20T21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204" t="str">
        <f>IF(AA137&lt;VLOOKUP(AG137,Variables!$AC$3:$AD$8,2,FALSE),"Y","N")</f>
        <v>N</v>
      </c>
      <c r="X137" s="204">
        <f t="shared" si="38"/>
        <v>1</v>
      </c>
      <c r="Y137" s="204">
        <f t="shared" si="55"/>
        <v>4.6899999999999997E-2</v>
      </c>
      <c r="Z137" s="204">
        <f t="shared" si="56"/>
        <v>23.332899999999999</v>
      </c>
      <c r="AA137" s="204">
        <f t="shared" si="41"/>
        <v>23.285999999999998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2"/>
        <v>225</v>
      </c>
      <c r="AE137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37" s="74" t="str">
        <f t="shared" si="44"/>
        <v>"C:\Program Files (x86)\AstroGrep\AstroGrep.exe" /e /r /s /spath="%USERPROFILE%\AppData\Local\Temp\OnboardLogs" /stypes="app*4040*20170921*" /stext=" 02:.+((SYSTEM_STATE.+slice.+state.+changed )|(ment ac)|(multiple cpu faults)|(system.+state.+changed )|(\[timeout)|(PRM\|1\|D)|(kpr)|(kdp)|(train st.+moving)|(\|lc)|(penalty))"</v>
      </c>
      <c r="AG137" s="182" t="str">
        <f t="shared" si="45"/>
        <v>EC</v>
      </c>
      <c r="AH137" s="78" t="str">
        <f t="shared" si="27"/>
        <v>"%USERPROFILE%\Documents\GitHub\eaglep3\Utilities\RefineRTDCRunTimes.py" --tripid 225-20 --locoid 4040 --swversion DE.1.0.9.0 --startMP 204:469 --initTime 2017-09-20T19:55:54 --startdatetime 2017-09-20T20:00:17 --delay 73 --endMP 204:233329 --enddatetime 2017-09-20T20:36:03 --enforcementcount 0 &gt;&gt;c:\users\tmcdowell\Documents\GitHub\eaglep3-reporting\EC\2017-09-20-refined-times.txt</v>
      </c>
      <c r="AI13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{"issue":{"subject":"","project_id":79,"tracker_id":40,"status_id":1,"priority_id":2,"assigned_to_id":338,"start_date":"2017-09-20","description":"","custom_fields":[{"id":1,"name":"Subdivision","value":"EC"},{"id":4,"name":"Milepost","value":"23.3329"},{"id":17,"name":"Train ID","value":"225-20"},{"id":16,"name":"Locomotive ID","value":"4040"},{"id":130,"name":"Impact","value":""},{"id":150,"name":"Time of Event (Mountain Time)","value":"20:36:03"},{"id":151,"name":"Denver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29"/>
        <v>start /low /b %USERPROFILE%\Documents\GitHub\eaglep3\Utilities\DownloadLogsFromS3.py --loco 4040 --day 2017-09-20</v>
      </c>
      <c r="AN137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1"/>
        <v>https://d0f6bd738d7f1b3e5a7ca70fe4ff75f0.us-east-1.aws.found.io/app/kibana#/discover/Steve-Slow-Train-Analysis-(2080s-and-2083s)?_g=(refreshInterval:(display:Off,pause:!f,section:0,value:0),time:(from:'2017-09-20T18:55:54-0600',mode:absolute,to:'2017-09-20T21:36:03-0600'))&amp;_a=(columns:!('Message%20ID',Summary),filters:!(),index:'emp_*',interval:auto,query:(query_string:(analyze_wildcard:!t,query:'Message%5C+ID:(*)+AND+%22rtdc.l.rtdc.4040%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813</v>
      </c>
      <c r="B138" s="7">
        <v>4039</v>
      </c>
      <c r="C138" s="21" t="s">
        <v>196</v>
      </c>
      <c r="D138" s="21" t="s">
        <v>540</v>
      </c>
      <c r="E138" s="13">
        <v>42998.871041666665</v>
      </c>
      <c r="F138" s="13">
        <v>42998.873113425929</v>
      </c>
      <c r="G138" s="7">
        <v>49</v>
      </c>
      <c r="H138" s="21" t="s">
        <v>358</v>
      </c>
      <c r="I138" s="13">
        <v>42998.900787037041</v>
      </c>
      <c r="J138" s="7">
        <v>0</v>
      </c>
      <c r="K138" s="89" t="str">
        <f t="shared" si="32"/>
        <v>4039/4040</v>
      </c>
      <c r="L138" s="185" t="str">
        <f>VLOOKUP(A138,'Trips&amp;Operators'!$C$1:$G$99911,5,FALSE)</f>
        <v>LOZA FIDEL</v>
      </c>
      <c r="M138" s="6">
        <f t="shared" si="33"/>
        <v>2.7673611111822538E-2</v>
      </c>
      <c r="N138" s="7">
        <f t="shared" si="54"/>
        <v>39.850000001024455</v>
      </c>
      <c r="O138" s="7"/>
      <c r="P138" s="7"/>
      <c r="Q138" s="22"/>
      <c r="R138" s="174"/>
      <c r="S138" s="221">
        <f t="shared" si="35"/>
        <v>1</v>
      </c>
      <c r="T138" s="174" t="str">
        <f t="shared" si="36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7"/>
        <v>https://d0f6bd738d7f1b3e5a7ca70fe4ff75f0.us-east-1.aws.found.io/app/kibana#/discover/Steve-Slow-Train-Analysis-(2080s-and-2083s)?_g=(refreshInterval:(display:Off,pause:!f,section:0,value:0),time:(from:'2017-09-20T19:54:18-0600',mode:absolute,to:'2017-09-20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204" t="str">
        <f>IF(AA138&lt;VLOOKUP(AG138,Variables!$AC$3:$AD$8,2,FALSE),"Y","N")</f>
        <v>N</v>
      </c>
      <c r="X138" s="204">
        <f t="shared" si="38"/>
        <v>1</v>
      </c>
      <c r="Y138" s="204">
        <f t="shared" si="55"/>
        <v>23.300799999999999</v>
      </c>
      <c r="Z138" s="204">
        <f t="shared" si="56"/>
        <v>1.52E-2</v>
      </c>
      <c r="AA138" s="204">
        <f t="shared" si="41"/>
        <v>23.285599999999999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2"/>
        <v>226</v>
      </c>
      <c r="AE138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38" s="74" t="str">
        <f t="shared" si="44"/>
        <v>"C:\Program Files (x86)\AstroGrep\AstroGrep.exe" /e /r /s /spath="%USERPROFILE%\AppData\Local\Temp\OnboardLogs" /stypes="app*4039*20170921*" /stext=" 03:.+((SYSTEM_STATE.+slice.+state.+changed )|(ment ac)|(multiple cpu faults)|(system.+state.+changed )|(\[timeout)|(PRM\|1\|D)|(kpr)|(kdp)|(train st.+moving)|(\|lc)|(penalty))"</v>
      </c>
      <c r="AG138" s="182" t="str">
        <f t="shared" si="45"/>
        <v>EC</v>
      </c>
      <c r="AH138" s="78" t="str">
        <f t="shared" si="27"/>
        <v>"%USERPROFILE%\Documents\GitHub\eaglep3\Utilities\RefineRTDCRunTimes.py" --tripid 226-20 --locoid 4039 --swversion DE.1.0.9.0 --startMP 204:233008 --initTime 2017-09-20T20:54:18 --startdatetime 2017-09-20T20:57:17 --delay 49 --endMP 204:152 --enddatetime 2017-09-20T21:37:08 --enforcementcount 0 &gt;&gt;c:\users\tmcdowell\Documents\GitHub\eaglep3-reporting\EC\2017-09-20-refined-times.txt</v>
      </c>
      <c r="AI13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ID","value":"226-20"},{"id":16,"name":"Locomotive ID","value":"4039"},{"id":130,"name":"Impact","value":""},{"id":150,"name":"Time of Event (Mountain Time)","value":"21:37:08"},{"id":151,"name":"Denver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29"/>
        <v>start /low /b %USERPROFILE%\Documents\GitHub\eaglep3\Utilities\DownloadLogsFromS3.py --loco 4039 --day 2017-09-20</v>
      </c>
      <c r="AN138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1"/>
        <v>https://d0f6bd738d7f1b3e5a7ca70fe4ff75f0.us-east-1.aws.found.io/app/kibana#/discover/Steve-Slow-Train-Analysis-(2080s-and-2083s)?_g=(refreshInterval:(display:Off,pause:!f,section:0,value:0),time:(from:'2017-09-20T19:54:18-0600',mode:absolute,to:'2017-09-20T22:37:08-0600'))&amp;_a=(columns:!('Message%20ID',Summary),filters:!(),index:'emp_*',interval:auto,query:(query_string:(analyze_wildcard:!t,query:'Message%5C+ID:(*)+AND+%22rtdc.l.rtdc.4039%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810</v>
      </c>
      <c r="B139" s="7">
        <v>4044</v>
      </c>
      <c r="C139" s="21" t="s">
        <v>196</v>
      </c>
      <c r="D139" s="21" t="s">
        <v>380</v>
      </c>
      <c r="E139" s="13">
        <v>42998.850497685184</v>
      </c>
      <c r="F139" s="13">
        <v>42998.854351851849</v>
      </c>
      <c r="G139" s="7">
        <v>54</v>
      </c>
      <c r="H139" s="21" t="s">
        <v>486</v>
      </c>
      <c r="I139" s="13">
        <v>42998.879965277774</v>
      </c>
      <c r="J139" s="7">
        <v>0</v>
      </c>
      <c r="K139" s="89" t="str">
        <f t="shared" si="32"/>
        <v>4043/4044</v>
      </c>
      <c r="L139" s="185" t="str">
        <f>VLOOKUP(A139,'Trips&amp;Operators'!$C$1:$G$99911,5,FALSE)</f>
        <v>HART KEVIN</v>
      </c>
      <c r="M139" s="6">
        <f t="shared" si="33"/>
        <v>2.5613425925257616E-2</v>
      </c>
      <c r="N139" s="7">
        <f t="shared" si="54"/>
        <v>36.883333332370967</v>
      </c>
      <c r="O139" s="7"/>
      <c r="P139" s="7"/>
      <c r="Q139" s="22"/>
      <c r="R139" s="174"/>
      <c r="S139" s="221">
        <f t="shared" si="35"/>
        <v>1</v>
      </c>
      <c r="T139" s="174" t="str">
        <f t="shared" si="36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7"/>
        <v>https://d0f6bd738d7f1b3e5a7ca70fe4ff75f0.us-east-1.aws.found.io/app/kibana#/discover/Steve-Slow-Train-Analysis-(2080s-and-2083s)?_g=(refreshInterval:(display:Off,pause:!f,section:0,value:0),time:(from:'2017-09-20T19:24:43-0600',mode:absolute,to:'2017-09-20T22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204" t="str">
        <f>IF(AA139&lt;VLOOKUP(AG139,Variables!$AC$3:$AD$8,2,FALSE),"Y","N")</f>
        <v>N</v>
      </c>
      <c r="X139" s="204">
        <f t="shared" si="38"/>
        <v>1</v>
      </c>
      <c r="Y139" s="204">
        <f t="shared" si="55"/>
        <v>4.5999999999999999E-2</v>
      </c>
      <c r="Z139" s="204">
        <f t="shared" si="56"/>
        <v>23.3306</v>
      </c>
      <c r="AA139" s="204">
        <f t="shared" si="41"/>
        <v>23.284600000000001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2"/>
        <v>227</v>
      </c>
      <c r="AE139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39" s="74" t="str">
        <f t="shared" si="44"/>
        <v>"C:\Program Files (x86)\AstroGrep\AstroGrep.exe" /e /r /s /spath="%USERPROFILE%\AppData\Local\Temp\OnboardLogs" /stypes="app*4044*20170921*" /stext=" 03:.+((SYSTEM_STATE.+slice.+state.+changed )|(ment ac)|(multiple cpu faults)|(system.+state.+changed )|(\[timeout)|(PRM\|1\|D)|(kpr)|(kdp)|(train st.+moving)|(\|lc)|(penalty))"</v>
      </c>
      <c r="AG139" s="182" t="str">
        <f t="shared" si="45"/>
        <v>EC</v>
      </c>
      <c r="AH139" s="78" t="str">
        <f t="shared" si="27"/>
        <v>"%USERPROFILE%\Documents\GitHub\eaglep3\Utilities\RefineRTDCRunTimes.py" --tripid 227-20 --locoid 4044 --swversion DE.1.0.9.0 --startMP 204:460 --initTime 2017-09-20T20:24:43 --startdatetime 2017-09-20T20:30:16 --delay 54 --endMP 204:233306 --enddatetime 2017-09-20T21:07:09 --enforcementcount 0 &gt;&gt;c:\users\tmcdowell\Documents\GitHub\eaglep3-reporting\EC\2017-09-20-refined-times.txt</v>
      </c>
      <c r="AI13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{"issue":{"subject":"","project_id":79,"tracker_id":40,"status_id":1,"priority_id":2,"assigned_to_id":338,"start_date":"2017-09-20","description":"","custom_fields":[{"id":1,"name":"Subdivision","value":"EC"},{"id":4,"name":"Milepost","value":"23.3306"},{"id":17,"name":"Train ID","value":"227-20"},{"id":16,"name":"Locomotive ID","value":"4044"},{"id":130,"name":"Impact","value":""},{"id":150,"name":"Time of Event (Mountain Time)","value":"21:07:09"},{"id":151,"name":"Denver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29"/>
        <v>start /low /b %USERPROFILE%\Documents\GitHub\eaglep3\Utilities\DownloadLogsFromS3.py --loco 4044 --day 2017-09-20</v>
      </c>
      <c r="AN139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1"/>
        <v>https://d0f6bd738d7f1b3e5a7ca70fe4ff75f0.us-east-1.aws.found.io/app/kibana#/discover/Steve-Slow-Train-Analysis-(2080s-and-2083s)?_g=(refreshInterval:(display:Off,pause:!f,section:0,value:0),time:(from:'2017-09-20T19:24:43-0600',mode:absolute,to:'2017-09-20T22:07:09-0600'))&amp;_a=(columns:!('Message%20ID',Summary),filters:!(),index:'emp_*',interval:auto,query:(query_string:(analyze_wildcard:!t,query:'Message%5C+ID:(*)+AND+%22rtdc.l.rtdc.4044%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816</v>
      </c>
      <c r="B140" s="7">
        <v>4043</v>
      </c>
      <c r="C140" s="21" t="s">
        <v>196</v>
      </c>
      <c r="D140" s="21" t="s">
        <v>408</v>
      </c>
      <c r="E140" s="13">
        <v>42998.890856481485</v>
      </c>
      <c r="F140" s="13">
        <v>42998.894004629627</v>
      </c>
      <c r="G140" s="7">
        <v>72</v>
      </c>
      <c r="H140" s="21" t="s">
        <v>339</v>
      </c>
      <c r="I140" s="13">
        <v>42998.922673611109</v>
      </c>
      <c r="J140" s="7">
        <v>0</v>
      </c>
      <c r="K140" s="89" t="str">
        <f t="shared" si="32"/>
        <v>4043/4044</v>
      </c>
      <c r="L140" s="185" t="str">
        <f>VLOOKUP(A140,'Trips&amp;Operators'!$C$1:$G$99911,5,FALSE)</f>
        <v>HART KEVIN</v>
      </c>
      <c r="M140" s="6">
        <f t="shared" si="33"/>
        <v>2.8668981482042E-2</v>
      </c>
      <c r="N140" s="7">
        <f t="shared" si="54"/>
        <v>41.28333333414048</v>
      </c>
      <c r="O140" s="7"/>
      <c r="P140" s="7"/>
      <c r="Q140" s="22"/>
      <c r="R140" s="174"/>
      <c r="S140" s="221">
        <f t="shared" si="35"/>
        <v>1</v>
      </c>
      <c r="T140" s="174" t="str">
        <f t="shared" si="36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7"/>
        <v>https://d0f6bd738d7f1b3e5a7ca70fe4ff75f0.us-east-1.aws.found.io/app/kibana#/discover/Steve-Slow-Train-Analysis-(2080s-and-2083s)?_g=(refreshInterval:(display:Off,pause:!f,section:0,value:0),time:(from:'2017-09-20T20:22:50-0600',mode:absolute,to:'2017-09-20T23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204" t="str">
        <f>IF(AA140&lt;VLOOKUP(AG140,Variables!$AC$3:$AD$8,2,FALSE),"Y","N")</f>
        <v>N</v>
      </c>
      <c r="X140" s="204">
        <f t="shared" si="38"/>
        <v>1</v>
      </c>
      <c r="Y140" s="204">
        <f t="shared" si="55"/>
        <v>23.299800000000001</v>
      </c>
      <c r="Z140" s="204">
        <f t="shared" si="56"/>
        <v>1.43E-2</v>
      </c>
      <c r="AA140" s="204">
        <f t="shared" si="41"/>
        <v>23.285500000000003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2"/>
        <v>228</v>
      </c>
      <c r="AE140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40" s="74" t="str">
        <f t="shared" si="44"/>
        <v>"C:\Program Files (x86)\AstroGrep\AstroGrep.exe" /e /r /s /spath="%USERPROFILE%\AppData\Local\Temp\OnboardLogs" /stypes="app*4043*20170921*" /stext=" 04:.+((SYSTEM_STATE.+slice.+state.+changed )|(ment ac)|(multiple cpu faults)|(system.+state.+changed )|(\[timeout)|(PRM\|1\|D)|(kpr)|(kdp)|(train st.+moving)|(\|lc)|(penalty))"</v>
      </c>
      <c r="AG140" s="182" t="str">
        <f t="shared" si="45"/>
        <v>EC</v>
      </c>
      <c r="AH140" s="78" t="str">
        <f t="shared" si="27"/>
        <v>"%USERPROFILE%\Documents\GitHub\eaglep3\Utilities\RefineRTDCRunTimes.py" --tripid 228-20 --locoid 4043 --swversion DE.1.0.9.0 --startMP 204:232998 --initTime 2017-09-20T21:22:50 --startdatetime 2017-09-20T21:27:22 --delay 72 --endMP 204:143 --enddatetime 2017-09-20T22:08:39 --enforcementcount 0 &gt;&gt;c:\users\tmcdowell\Documents\GitHub\eaglep3-reporting\EC\2017-09-20-refined-times.txt</v>
      </c>
      <c r="AI14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ID","value":"228-20"},{"id":16,"name":"Locomotive ID","value":"4043"},{"id":130,"name":"Impact","value":""},{"id":150,"name":"Time of Event (Mountain Time)","value":"22:08:39"},{"id":151,"name":"Denver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29"/>
        <v>start /low /b %USERPROFILE%\Documents\GitHub\eaglep3\Utilities\DownloadLogsFromS3.py --loco 4043 --day 2017-09-20</v>
      </c>
      <c r="AN14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1"/>
        <v>https://d0f6bd738d7f1b3e5a7ca70fe4ff75f0.us-east-1.aws.found.io/app/kibana#/discover/Steve-Slow-Train-Analysis-(2080s-and-2083s)?_g=(refreshInterval:(display:Off,pause:!f,section:0,value:0),time:(from:'2017-09-20T20:22:50-0600',mode:absolute,to:'2017-09-20T23:08:39-0600'))&amp;_a=(columns:!('Message%20ID',Summary),filters:!(),index:'emp_*',interval:auto,query:(query_string:(analyze_wildcard:!t,query:'Message%5C+ID:(*)+AND+%22rtdc.l.rtdc.4043%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812</v>
      </c>
      <c r="B141" s="7">
        <v>4042</v>
      </c>
      <c r="C141" s="21" t="s">
        <v>196</v>
      </c>
      <c r="D141" s="21" t="s">
        <v>359</v>
      </c>
      <c r="E141" s="13">
        <v>42998.862164351849</v>
      </c>
      <c r="F141" s="13">
        <v>42998.8752662037</v>
      </c>
      <c r="G141" s="7">
        <v>61</v>
      </c>
      <c r="H141" s="21" t="s">
        <v>456</v>
      </c>
      <c r="I141" s="13">
        <v>42998.903379629628</v>
      </c>
      <c r="J141" s="7">
        <v>0</v>
      </c>
      <c r="K141" s="89" t="str">
        <f t="shared" ref="K141:K204" si="57">IF(ISEVEN(B141),(B141-1)&amp;"/"&amp;B141,B141&amp;"/"&amp;(B141+1))</f>
        <v>4041/4042</v>
      </c>
      <c r="L141" s="185" t="str">
        <f>VLOOKUP(A141,'Trips&amp;Operators'!$C$1:$G$99911,5,FALSE)</f>
        <v>PERKINS DARREN</v>
      </c>
      <c r="M141" s="6">
        <f t="shared" ref="M141:M204" si="58">I141-F141</f>
        <v>2.8113425927585922E-2</v>
      </c>
      <c r="N141" s="7">
        <f t="shared" si="54"/>
        <v>40.483333335723728</v>
      </c>
      <c r="O141" s="7"/>
      <c r="P141" s="7"/>
      <c r="Q141" s="22"/>
      <c r="R141" s="174"/>
      <c r="S141" s="221">
        <f t="shared" ref="S141:S204" si="59">1/IF(AG141="EC",12,1)*SUM(U141:U141)</f>
        <v>1</v>
      </c>
      <c r="T141" s="174" t="str">
        <f t="shared" ref="T141:T204" si="60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-20T19:41:31-0600',mode:absolute,to:'2017-09-20T22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04" t="str">
        <f>IF(AA141&lt;VLOOKUP(AG141,Variables!$AC$3:$AD$8,2,FALSE),"Y","N")</f>
        <v>N</v>
      </c>
      <c r="X141" s="204">
        <f t="shared" ref="X141:X204" si="62">VALUE(LEFT(AD141,4))-VALUE(LEFT(AD140,4))</f>
        <v>1</v>
      </c>
      <c r="Y141" s="204">
        <f t="shared" si="55"/>
        <v>4.4900000000000002E-2</v>
      </c>
      <c r="Z141" s="204">
        <f t="shared" si="56"/>
        <v>23.330200000000001</v>
      </c>
      <c r="AA141" s="204">
        <f t="shared" ref="AA141:AA204" si="63">ABS(Z141-Y141)</f>
        <v>23.285300000000003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4">VALUE(LEFT(A141,LEN(A141)-3))</f>
        <v>229</v>
      </c>
      <c r="AE141" s="77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41" s="74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/stypes="app*4042*20170921*"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67">DetSubdiv(A141)</f>
        <v>EC</v>
      </c>
      <c r="AH141" s="78" t="str">
        <f t="shared" ref="AH141:AH204" si="6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4042 --swversion DE.1.0.9.0 --startMP 204:449 --initTime 2017-09-20T20:41:31 --startdatetime 2017-09-20T21:00:23 --delay 61 --endMP 204:233302 --enddatetime 2017-09-20T21:40:52 --enforcementcount 0 &gt;&gt;c:\users\tmcdowell\Documents\GitHub\eaglep3-reporting\EC\2017-09-20-refined-times.txt</v>
      </c>
      <c r="AI141" s="96" t="str">
        <f t="shared" ref="AI141:AI204" si="6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{"issue":{"subject":"","project_id":79,"tracker_id":40,"status_id":1,"priority_id":2,"assigned_to_id":338,"start_date":"2017-09-20","description":"","custom_fields":[{"id":1,"name":"Subdivision","value":"EC"},{"id":4,"name":"Milepost","value":"23.3302"},{"id":17,"name":"Train ID","value":"229-20"},{"id":16,"name":"Locomotive ID","value":"4042"},{"id":130,"name":"Impact","value":""},{"id":150,"name":"Time of Event (Mountain Time)","value":"21:40:52"},{"id":151,"name":"Denver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0">"start /low /b "&amp;dls3logs&amp;" --loco "&amp;B141&amp;" --day "&amp;TEXT(F141,"YYYY-MM-DD")</f>
        <v>start /low /b %USERPROFILE%\Documents\GitHub\eaglep3\Utilities\DownloadLogsFromS3.py --loco 4042 --day 2017-09-20</v>
      </c>
      <c r="AN141" s="151" t="str">
        <f t="shared" ref="AN141:AN204" si="7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4" si="7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Message%5C+ID:(*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-20T19:41:31-0600',mode:absolute,to:'2017-09-20T22:40:52-0600'))&amp;_a=(columns:!('Message%20ID',Summary),filters:!(),index:'emp_*',interval:auto,query:(query_string:(analyze_wildcard:!t,query:'Message%5C+ID:(*)+AND+%22rtdc.l.rtdc.4042%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818</v>
      </c>
      <c r="B142" s="7">
        <v>4041</v>
      </c>
      <c r="C142" s="21" t="s">
        <v>196</v>
      </c>
      <c r="D142" s="21" t="s">
        <v>413</v>
      </c>
      <c r="E142" s="13">
        <v>42998.904803240737</v>
      </c>
      <c r="F142" s="13">
        <v>42998.914988425924</v>
      </c>
      <c r="G142" s="7">
        <v>53</v>
      </c>
      <c r="H142" s="21" t="s">
        <v>342</v>
      </c>
      <c r="I142" s="13">
        <v>42998.942696759259</v>
      </c>
      <c r="J142" s="7">
        <v>0</v>
      </c>
      <c r="K142" s="89" t="str">
        <f t="shared" si="57"/>
        <v>4041/4042</v>
      </c>
      <c r="L142" s="185" t="str">
        <f>VLOOKUP(A142,'Trips&amp;Operators'!$C$1:$G$99911,5,FALSE)</f>
        <v>PERKINS DARREN</v>
      </c>
      <c r="M142" s="6">
        <f t="shared" si="58"/>
        <v>2.7708333334885538E-2</v>
      </c>
      <c r="N142" s="7">
        <f t="shared" si="54"/>
        <v>39.900000002235174</v>
      </c>
      <c r="O142" s="7"/>
      <c r="P142" s="7"/>
      <c r="Q142" s="22"/>
      <c r="R142" s="174"/>
      <c r="S142" s="221">
        <f t="shared" si="59"/>
        <v>1</v>
      </c>
      <c r="T142" s="174" t="str">
        <f t="shared" si="6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1"/>
        <v>https://d0f6bd738d7f1b3e5a7ca70fe4ff75f0.us-east-1.aws.found.io/app/kibana#/discover/Steve-Slow-Train-Analysis-(2080s-and-2083s)?_g=(refreshInterval:(display:Off,pause:!f,section:0,value:0),time:(from:'2017-09-20T20:42:55-0600',mode:absolute,to:'2017-09-20T23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04" t="str">
        <f>IF(AA142&lt;VLOOKUP(AG142,Variables!$AC$3:$AD$8,2,FALSE),"Y","N")</f>
        <v>N</v>
      </c>
      <c r="X142" s="204">
        <f t="shared" si="62"/>
        <v>1</v>
      </c>
      <c r="Y142" s="204">
        <f t="shared" si="55"/>
        <v>23.298100000000002</v>
      </c>
      <c r="Z142" s="204">
        <f t="shared" si="56"/>
        <v>1.47E-2</v>
      </c>
      <c r="AA142" s="204">
        <f t="shared" si="63"/>
        <v>23.2834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4"/>
        <v>230</v>
      </c>
      <c r="AE142" s="77" t="str">
        <f t="shared" si="65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42" s="74" t="str">
        <f t="shared" si="66"/>
        <v>"C:\Program Files (x86)\AstroGrep\AstroGrep.exe" /e /r /s /spath="%USERPROFILE%\AppData\Local\Temp\OnboardLogs" /stypes="app*4041*20170921*" /stext=" 04:.+((SYSTEM_STATE.+slice.+state.+changed )|(ment ac)|(multiple cpu faults)|(system.+state.+changed )|(\[timeout)|(PRM\|1\|D)|(kpr)|(kdp)|(train st.+moving)|(\|lc)|(penalty))"</v>
      </c>
      <c r="AG142" s="182" t="str">
        <f t="shared" si="67"/>
        <v>EC</v>
      </c>
      <c r="AH142" s="78" t="str">
        <f t="shared" si="68"/>
        <v>"%USERPROFILE%\Documents\GitHub\eaglep3\Utilities\RefineRTDCRunTimes.py" --tripid 230-20 --locoid 4041 --swversion DE.1.0.9.0 --startMP 204:232981 --initTime 2017-09-20T21:42:55 --startdatetime 2017-09-20T21:57:35 --delay 53 --endMP 204:147 --enddatetime 2017-09-20T22:37:29 --enforcementcount 0 &gt;&gt;c:\users\tmcdowell\Documents\GitHub\eaglep3-reporting\EC\2017-09-20-refined-times.txt</v>
      </c>
      <c r="AI142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ID","value":"230-20"},{"id":16,"name":"Locomotive ID","value":"4041"},{"id":130,"name":"Impact","value":""},{"id":150,"name":"Time of Event (Mountain Time)","value":"22:37:29"},{"id":151,"name":"Denver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0"/>
        <v>start /low /b %USERPROFILE%\Documents\GitHub\eaglep3\Utilities\DownloadLogsFromS3.py --loco 4041 --day 2017-09-20</v>
      </c>
      <c r="AN14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72"/>
        <v>https://d0f6bd738d7f1b3e5a7ca70fe4ff75f0.us-east-1.aws.found.io/app/kibana#/discover/Steve-Slow-Train-Analysis-(2080s-and-2083s)?_g=(refreshInterval:(display:Off,pause:!f,section:0,value:0),time:(from:'2017-09-20T20:42:55-0600',mode:absolute,to:'2017-09-20T23:37:29-0600'))&amp;_a=(columns:!('Message%20ID',Summary),filters:!(),index:'emp_*',interval:auto,query:(query_string:(analyze_wildcard:!t,query:'Message%5C+ID:(*)+AND+%22rtdc.l.rtdc.4041%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4064</v>
      </c>
      <c r="C143" s="21" t="s">
        <v>196</v>
      </c>
      <c r="D143" s="21" t="s">
        <v>877</v>
      </c>
      <c r="E143" s="13">
        <v>42998.886250000003</v>
      </c>
      <c r="F143" s="13">
        <v>42998.897175925929</v>
      </c>
      <c r="G143" s="7">
        <v>84</v>
      </c>
      <c r="H143" s="21" t="s">
        <v>442</v>
      </c>
      <c r="I143" s="13">
        <v>42998.923020833332</v>
      </c>
      <c r="J143" s="7">
        <v>0</v>
      </c>
      <c r="K143" s="89" t="str">
        <f t="shared" si="57"/>
        <v>4063/4064</v>
      </c>
      <c r="L143" s="185" t="str">
        <f>VLOOKUP(A143,'Trips&amp;Operators'!$C$1:$G$99911,5,FALSE)</f>
        <v>DUNCAN SHEILA</v>
      </c>
      <c r="M143" s="6">
        <f t="shared" si="58"/>
        <v>2.5844907402643003E-2</v>
      </c>
      <c r="N143" s="7">
        <f t="shared" si="54"/>
        <v>37.216666659805924</v>
      </c>
      <c r="O143" s="7"/>
      <c r="P143" s="7"/>
      <c r="Q143" s="22"/>
      <c r="R143" s="174"/>
      <c r="S143" s="221">
        <f t="shared" si="59"/>
        <v>1</v>
      </c>
      <c r="T143" s="174" t="str">
        <f t="shared" si="60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1"/>
        <v>https://d0f6bd738d7f1b3e5a7ca70fe4ff75f0.us-east-1.aws.found.io/app/kibana#/discover/Steve-Slow-Train-Analysis-(2080s-and-2083s)?_g=(refreshInterval:(display:Off,pause:!f,section:0,value:0),time:(from:'2017-09-20T20:16:12-0600',mode:absolute,to:'2017-09-20T23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04" t="str">
        <f>IF(AA143&lt;VLOOKUP(AG143,Variables!$AC$3:$AD$8,2,FALSE),"Y","N")</f>
        <v>N</v>
      </c>
      <c r="X143" s="204">
        <f t="shared" si="62"/>
        <v>1</v>
      </c>
      <c r="Y143" s="204">
        <f t="shared" si="55"/>
        <v>4.9799999999999997E-2</v>
      </c>
      <c r="Z143" s="204">
        <f t="shared" si="56"/>
        <v>23.3325</v>
      </c>
      <c r="AA143" s="204">
        <f t="shared" si="63"/>
        <v>23.282699999999998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4"/>
        <v>231</v>
      </c>
      <c r="AE143" s="77" t="str">
        <f t="shared" si="65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43" s="74" t="str">
        <f t="shared" si="66"/>
        <v>"C:\Program Files (x86)\AstroGrep\AstroGrep.exe" /e /r /s /spath="%USERPROFILE%\AppData\Local\Temp\OnboardLogs" /stypes="app*4064*20170921*" /stext=" 04:.+((SYSTEM_STATE.+slice.+state.+changed )|(ment ac)|(multiple cpu faults)|(system.+state.+changed )|(\[timeout)|(PRM\|1\|D)|(kpr)|(kdp)|(train st.+moving)|(\|lc)|(penalty))"</v>
      </c>
      <c r="AG143" s="182" t="str">
        <f t="shared" si="67"/>
        <v>EC</v>
      </c>
      <c r="AH143" s="78" t="str">
        <f t="shared" si="68"/>
        <v>"%USERPROFILE%\Documents\GitHub\eaglep3\Utilities\RefineRTDCRunTimes.py" --tripid 231-20 --locoid 4064 --swversion DE.1.0.9.0 --startMP 204:498 --initTime 2017-09-20T21:16:12 --startdatetime 2017-09-20T21:31:56 --delay 84 --endMP 204:233325 --enddatetime 2017-09-20T22:09:09 --enforcementcount 0 &gt;&gt;c:\users\tmcdowell\Documents\GitHub\eaglep3-reporting\EC\2017-09-20-refined-times.txt</v>
      </c>
      <c r="AI143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{"issue":{"subject":"","project_id":79,"tracker_id":40,"status_id":1,"priority_id":2,"assigned_to_id":338,"start_date":"2017-09-20","description":"","custom_fields":[{"id":1,"name":"Subdivision","value":"EC"},{"id":4,"name":"Milepost","value":"23.3325"},{"id":17,"name":"Train ID","value":"231-20"},{"id":16,"name":"Locomotive ID","value":"4064"},{"id":130,"name":"Impact","value":""},{"id":150,"name":"Time of Event (Mountain Time)","value":"22:09:09"},{"id":151,"name":"Denver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0"/>
        <v>start /low /b %USERPROFILE%\Documents\GitHub\eaglep3\Utilities\DownloadLogsFromS3.py --loco 4064 --day 2017-09-20</v>
      </c>
      <c r="AN14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2"/>
        <v>https://d0f6bd738d7f1b3e5a7ca70fe4ff75f0.us-east-1.aws.found.io/app/kibana#/discover/Steve-Slow-Train-Analysis-(2080s-and-2083s)?_g=(refreshInterval:(display:Off,pause:!f,section:0,value:0),time:(from:'2017-09-20T20:16:12-0600',mode:absolute,to:'2017-09-20T23:09:09-0600'))&amp;_a=(columns:!('Message%20ID',Summary),filters:!(),index:'emp_*',interval:auto,query:(query_string:(analyze_wildcard:!t,query:'Message%5C+ID:(*)+AND+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820</v>
      </c>
      <c r="B144" s="7">
        <v>4063</v>
      </c>
      <c r="C144" s="21" t="s">
        <v>196</v>
      </c>
      <c r="D144" s="21" t="s">
        <v>868</v>
      </c>
      <c r="E144" s="13">
        <v>42998.925706018519</v>
      </c>
      <c r="F144" s="13">
        <v>42998.979317129626</v>
      </c>
      <c r="G144" s="7">
        <v>134</v>
      </c>
      <c r="H144" s="21" t="s">
        <v>391</v>
      </c>
      <c r="I144" s="13">
        <v>42999.003379629627</v>
      </c>
      <c r="J144" s="7">
        <v>0</v>
      </c>
      <c r="K144" s="89" t="str">
        <f t="shared" si="57"/>
        <v>4063/4064</v>
      </c>
      <c r="L144" s="185" t="str">
        <f>VLOOKUP(A144,'Trips&amp;Operators'!$C$1:$G$99911,5,FALSE)</f>
        <v>DUNCAN SHEILA</v>
      </c>
      <c r="M144" s="6">
        <f t="shared" si="58"/>
        <v>2.4062500000582077E-2</v>
      </c>
      <c r="N144" s="7">
        <f t="shared" si="54"/>
        <v>34.65000000083819</v>
      </c>
      <c r="O144" s="7"/>
      <c r="P144" s="7"/>
      <c r="Q144" s="22"/>
      <c r="R144" s="174"/>
      <c r="S144" s="221">
        <f t="shared" si="59"/>
        <v>1</v>
      </c>
      <c r="T144" s="174" t="str">
        <f t="shared" si="60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1"/>
        <v>https://d0f6bd738d7f1b3e5a7ca70fe4ff75f0.us-east-1.aws.found.io/app/kibana#/discover/Steve-Slow-Train-Analysis-(2080s-and-2083s)?_g=(refreshInterval:(display:Off,pause:!f,section:0,value:0),time:(from:'2017-09-20T21:13:01-0600',mode:absolute,to:'2017-09-21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04" t="str">
        <f>IF(AA144&lt;VLOOKUP(AG144,Variables!$AC$3:$AD$8,2,FALSE),"Y","N")</f>
        <v>N</v>
      </c>
      <c r="X144" s="204">
        <f t="shared" si="62"/>
        <v>1</v>
      </c>
      <c r="Y144" s="204">
        <f t="shared" si="55"/>
        <v>23.301100000000002</v>
      </c>
      <c r="Z144" s="204">
        <f t="shared" si="56"/>
        <v>1.3899999999999999E-2</v>
      </c>
      <c r="AA144" s="204">
        <f t="shared" si="63"/>
        <v>23.287200000000002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4"/>
        <v>232</v>
      </c>
      <c r="AE144" s="77" t="str">
        <f t="shared" si="65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44" s="74" t="str">
        <f t="shared" si="66"/>
        <v>"C:\Program Files (x86)\AstroGrep\AstroGrep.exe" /e /r /s /spath="%USERPROFILE%\AppData\Local\Temp\OnboardLogs" /stypes="app*4063*20170921*" /stext=" 06:.+((SYSTEM_STATE.+slice.+state.+changed )|(ment ac)|(multiple cpu faults)|(system.+state.+changed )|(\[timeout)|(PRM\|1\|D)|(kpr)|(kdp)|(train st.+moving)|(\|lc)|(penalty))"</v>
      </c>
      <c r="AG144" s="182" t="str">
        <f t="shared" si="67"/>
        <v>EC</v>
      </c>
      <c r="AH144" s="78" t="str">
        <f t="shared" si="68"/>
        <v>"%USERPROFILE%\Documents\GitHub\eaglep3\Utilities\RefineRTDCRunTimes.py" --tripid 232-20 --locoid 4063 --swversion DE.1.0.9.0 --startMP 204:233011 --initTime 2017-09-20T22:13:01 --startdatetime 2017-09-20T23:30:13 --delay 134 --endMP 204:139 --enddatetime 2017-09-21T00:04:52 --enforcementcount 0 &gt;&gt;c:\users\tmcdowell\Documents\GitHub\eaglep3-reporting\EC\2017-09-20-refined-times.txt</v>
      </c>
      <c r="AI144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{"issue":{"subject":"","project_id":79,"tracker_id":40,"status_id":1,"priority_id":2,"assigned_to_id":338,"start_date":"2017-09-21","description":"","custom_fields":[{"id":1,"name":"Subdivision","value":"EC"},{"id":4,"name":"Milepost","value":"0.0139"},{"id":17,"name":"Train ID","value":"232-20"},{"id":16,"name":"Locomotive ID","value":"4063"},{"id":130,"name":"Impact","value":""},{"id":150,"name":"Time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0"/>
        <v>start /low /b %USERPROFILE%\Documents\GitHub\eaglep3\Utilities\DownloadLogsFromS3.py --loco 4063 --day 2017-09-20</v>
      </c>
      <c r="AN14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2"/>
        <v>https://d0f6bd738d7f1b3e5a7ca70fe4ff75f0.us-east-1.aws.found.io/app/kibana#/discover/Steve-Slow-Train-Analysis-(2080s-and-2083s)?_g=(refreshInterval:(display:Off,pause:!f,section:0,value:0),time:(from:'2017-09-20T21:13:01-0600',mode:absolute,to:'2017-09-21T01:04:52-0600'))&amp;_a=(columns:!('Message%20ID',Summary),filters:!(),index:'emp_*',interval:auto,query:(query_string:(analyze_wildcard:!t,query:'Message%5C+ID:(*)+AND+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819</v>
      </c>
      <c r="B145" s="7">
        <v>4040</v>
      </c>
      <c r="C145" s="21" t="s">
        <v>196</v>
      </c>
      <c r="D145" s="21" t="s">
        <v>424</v>
      </c>
      <c r="E145" s="13">
        <v>42998.905648148146</v>
      </c>
      <c r="F145" s="13">
        <v>42998.916979166665</v>
      </c>
      <c r="G145" s="7">
        <v>70</v>
      </c>
      <c r="H145" s="21" t="s">
        <v>549</v>
      </c>
      <c r="I145" s="13">
        <v>42998.941342592596</v>
      </c>
      <c r="J145" s="7">
        <v>0</v>
      </c>
      <c r="K145" s="89" t="str">
        <f t="shared" si="57"/>
        <v>4039/4040</v>
      </c>
      <c r="L145" s="185" t="str">
        <f>VLOOKUP(A145,'Trips&amp;Operators'!$C$1:$G$99911,5,FALSE)</f>
        <v>LOZA FIDEL</v>
      </c>
      <c r="M145" s="6">
        <f t="shared" si="58"/>
        <v>2.436342593136942E-2</v>
      </c>
      <c r="N145" s="7">
        <f t="shared" si="54"/>
        <v>35.083333341171965</v>
      </c>
      <c r="O145" s="7"/>
      <c r="P145" s="7"/>
      <c r="Q145" s="22"/>
      <c r="R145" s="174"/>
      <c r="S145" s="221">
        <f t="shared" si="59"/>
        <v>1</v>
      </c>
      <c r="T145" s="174" t="str">
        <f t="shared" si="60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1"/>
        <v>https://d0f6bd738d7f1b3e5a7ca70fe4ff75f0.us-east-1.aws.found.io/app/kibana#/discover/Steve-Slow-Train-Analysis-(2080s-and-2083s)?_g=(refreshInterval:(display:Off,pause:!f,section:0,value:0),time:(from:'2017-09-20T20:44:08-0600',mode:absolute,to:'2017-09-20T23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204" t="str">
        <f>IF(AA145&lt;VLOOKUP(AG145,Variables!$AC$3:$AD$8,2,FALSE),"Y","N")</f>
        <v>N</v>
      </c>
      <c r="X145" s="204">
        <f t="shared" si="62"/>
        <v>1</v>
      </c>
      <c r="Y145" s="204">
        <f t="shared" si="55"/>
        <v>4.3299999999999998E-2</v>
      </c>
      <c r="Z145" s="204">
        <f t="shared" si="56"/>
        <v>23.333100000000002</v>
      </c>
      <c r="AA145" s="204">
        <f t="shared" si="63"/>
        <v>23.289800000000003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4"/>
        <v>233</v>
      </c>
      <c r="AE145" s="77" t="str">
        <f t="shared" si="65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45" s="74" t="str">
        <f t="shared" si="66"/>
        <v>"C:\Program Files (x86)\AstroGrep\AstroGrep.exe" /e /r /s /spath="%USERPROFILE%\AppData\Local\Temp\OnboardLogs" /stypes="app*4040*20170921*" /stext=" 04:.+((SYSTEM_STATE.+slice.+state.+changed )|(ment ac)|(multiple cpu faults)|(system.+state.+changed )|(\[timeout)|(PRM\|1\|D)|(kpr)|(kdp)|(train st.+moving)|(\|lc)|(penalty))"</v>
      </c>
      <c r="AG145" s="182" t="str">
        <f t="shared" si="67"/>
        <v>EC</v>
      </c>
      <c r="AH145" s="78" t="str">
        <f t="shared" si="68"/>
        <v>"%USERPROFILE%\Documents\GitHub\eaglep3\Utilities\RefineRTDCRunTimes.py" --tripid 233-20 --locoid 4040 --swversion DE.1.0.9.0 --startMP 204:433 --initTime 2017-09-20T21:44:08 --startdatetime 2017-09-20T22:00:27 --delay 70 --endMP 204:233331 --enddatetime 2017-09-20T22:35:32 --enforcementcount 0 &gt;&gt;c:\users\tmcdowell\Documents\GitHub\eaglep3-reporting\EC\2017-09-20-refined-times.txt</v>
      </c>
      <c r="AI145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{"issue":{"subject":"","project_id":79,"tracker_id":40,"status_id":1,"priority_id":2,"assigned_to_id":338,"start_date":"2017-09-20","description":"","custom_fields":[{"id":1,"name":"Subdivision","value":"EC"},{"id":4,"name":"Milepost","value":"23.3331"},{"id":17,"name":"Train ID","value":"233-20"},{"id":16,"name":"Locomotive ID","value":"4040"},{"id":130,"name":"Impact","value":""},{"id":150,"name":"Time of Event (Mountain Time)","value":"22:35:32"},{"id":151,"name":"Denver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0"/>
        <v>start /low /b %USERPROFILE%\Documents\GitHub\eaglep3\Utilities\DownloadLogsFromS3.py --loco 4040 --day 2017-09-20</v>
      </c>
      <c r="AN14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2"/>
        <v>https://d0f6bd738d7f1b3e5a7ca70fe4ff75f0.us-east-1.aws.found.io/app/kibana#/discover/Steve-Slow-Train-Analysis-(2080s-and-2083s)?_g=(refreshInterval:(display:Off,pause:!f,section:0,value:0),time:(from:'2017-09-20T20:44:08-0600',mode:absolute,to:'2017-09-20T23:35:32-0600'))&amp;_a=(columns:!('Message%20ID',Summary),filters:!(),index:'emp_*',interval:auto,query:(query_string:(analyze_wildcard:!t,query:'Message%5C+ID:(*)+AND+%22rtdc.l.rtdc.4040%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823</v>
      </c>
      <c r="B146" s="7">
        <v>4039</v>
      </c>
      <c r="C146" s="21" t="s">
        <v>196</v>
      </c>
      <c r="D146" s="21" t="s">
        <v>455</v>
      </c>
      <c r="E146" s="13">
        <v>42998.954467592594</v>
      </c>
      <c r="F146" s="13">
        <v>42998.956493055557</v>
      </c>
      <c r="G146" s="7">
        <v>52</v>
      </c>
      <c r="H146" s="21" t="s">
        <v>398</v>
      </c>
      <c r="I146" s="13">
        <v>42998.982094907406</v>
      </c>
      <c r="J146" s="7">
        <v>0</v>
      </c>
      <c r="K146" s="89" t="str">
        <f t="shared" si="57"/>
        <v>4039/4040</v>
      </c>
      <c r="L146" s="185" t="str">
        <f>VLOOKUP(A146,'Trips&amp;Operators'!$C$1:$G$99911,5,FALSE)</f>
        <v>LOZA FIDEL</v>
      </c>
      <c r="M146" s="6">
        <f t="shared" si="58"/>
        <v>2.5601851848477963E-2</v>
      </c>
      <c r="N146" s="7">
        <f t="shared" si="54"/>
        <v>36.866666661808267</v>
      </c>
      <c r="O146" s="7"/>
      <c r="P146" s="7"/>
      <c r="Q146" s="22"/>
      <c r="R146" s="174"/>
      <c r="S146" s="221">
        <f t="shared" si="59"/>
        <v>1</v>
      </c>
      <c r="T146" s="174" t="str">
        <f t="shared" si="60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1"/>
        <v>https://d0f6bd738d7f1b3e5a7ca70fe4ff75f0.us-east-1.aws.found.io/app/kibana#/discover/Steve-Slow-Train-Analysis-(2080s-and-2083s)?_g=(refreshInterval:(display:Off,pause:!f,section:0,value:0),time:(from:'2017-09-20T21:54:26-0600',mode:absolute,to:'2017-09-21T00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204" t="str">
        <f>IF(AA146&lt;VLOOKUP(AG146,Variables!$AC$3:$AD$8,2,FALSE),"Y","N")</f>
        <v>N</v>
      </c>
      <c r="X146" s="204">
        <f t="shared" si="62"/>
        <v>1</v>
      </c>
      <c r="Y146" s="204">
        <f t="shared" si="55"/>
        <v>23.3017</v>
      </c>
      <c r="Z146" s="204">
        <f t="shared" si="56"/>
        <v>1.6299999999999999E-2</v>
      </c>
      <c r="AA146" s="204">
        <f t="shared" si="63"/>
        <v>23.285399999999999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4"/>
        <v>234</v>
      </c>
      <c r="AE146" s="77" t="str">
        <f t="shared" si="65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46" s="74" t="str">
        <f t="shared" si="66"/>
        <v>"C:\Program Files (x86)\AstroGrep\AstroGrep.exe" /e /r /s /spath="%USERPROFILE%\AppData\Local\Temp\OnboardLogs" /stypes="app*4039*20170921*" /stext=" 05:.+((SYSTEM_STATE.+slice.+state.+changed )|(ment ac)|(multiple cpu faults)|(system.+state.+changed )|(\[timeout)|(PRM\|1\|D)|(kpr)|(kdp)|(train st.+moving)|(\|lc)|(penalty))"</v>
      </c>
      <c r="AG146" s="182" t="str">
        <f t="shared" si="67"/>
        <v>EC</v>
      </c>
      <c r="AH146" s="78" t="str">
        <f t="shared" si="68"/>
        <v>"%USERPROFILE%\Documents\GitHub\eaglep3\Utilities\RefineRTDCRunTimes.py" --tripid 234-20 --locoid 4039 --swversion DE.1.0.9.0 --startMP 204:233017 --initTime 2017-09-20T22:54:26 --startdatetime 2017-09-20T22:57:21 --delay 52 --endMP 204:163 --enddatetime 2017-09-20T23:34:13 --enforcementcount 0 &gt;&gt;c:\users\tmcdowell\Documents\GitHub\eaglep3-reporting\EC\2017-09-20-refined-times.txt</v>
      </c>
      <c r="AI146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{"issue":{"subject":"","project_id":79,"tracker_id":40,"status_id":1,"priority_id":2,"assigned_to_id":338,"start_date":"2017-09-20","description":"","custom_fields":[{"id":1,"name":"Subdivision","value":"EC"},{"id":4,"name":"Milepost","value":"0.0163"},{"id":17,"name":"Train ID","value":"234-20"},{"id":16,"name":"Locomotive ID","value":"4039"},{"id":130,"name":"Impact","value":""},{"id":150,"name":"Time of Event (Mountain Time)","value":"23:34:13"},{"id":151,"name":"Denver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0"/>
        <v>start /low /b %USERPROFILE%\Documents\GitHub\eaglep3\Utilities\DownloadLogsFromS3.py --loco 4039 --day 2017-09-20</v>
      </c>
      <c r="AN146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2"/>
        <v>https://d0f6bd738d7f1b3e5a7ca70fe4ff75f0.us-east-1.aws.found.io/app/kibana#/discover/Steve-Slow-Train-Analysis-(2080s-and-2083s)?_g=(refreshInterval:(display:Off,pause:!f,section:0,value:0),time:(from:'2017-09-20T21:54:26-0600',mode:absolute,to:'2017-09-21T00:34:13-0600'))&amp;_a=(columns:!('Message%20ID',Summary),filters:!(),index:'emp_*',interval:auto,query:(query_string:(analyze_wildcard:!t,query:'Message%5C+ID:(*)+AND+%22rtdc.l.rtdc.4039%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821</v>
      </c>
      <c r="B147" s="7">
        <v>4044</v>
      </c>
      <c r="C147" s="21" t="s">
        <v>196</v>
      </c>
      <c r="D147" s="21" t="s">
        <v>340</v>
      </c>
      <c r="E147" s="13">
        <v>42998.926307870373</v>
      </c>
      <c r="F147" s="13">
        <v>42998.937673611108</v>
      </c>
      <c r="G147" s="7">
        <v>81</v>
      </c>
      <c r="H147" s="21" t="s">
        <v>494</v>
      </c>
      <c r="I147" s="13">
        <v>42998.96193287037</v>
      </c>
      <c r="J147" s="7">
        <v>0</v>
      </c>
      <c r="K147" s="89" t="str">
        <f t="shared" si="57"/>
        <v>4043/4044</v>
      </c>
      <c r="L147" s="185" t="str">
        <f>VLOOKUP(A147,'Trips&amp;Operators'!$C$1:$G$99911,5,FALSE)</f>
        <v>RESPASS AARON</v>
      </c>
      <c r="M147" s="6">
        <f t="shared" si="58"/>
        <v>2.4259259262180422E-2</v>
      </c>
      <c r="N147" s="7">
        <f t="shared" si="54"/>
        <v>34.933333337539807</v>
      </c>
      <c r="O147" s="7"/>
      <c r="P147" s="7"/>
      <c r="Q147" s="22"/>
      <c r="R147" s="174"/>
      <c r="S147" s="221">
        <f t="shared" si="59"/>
        <v>1</v>
      </c>
      <c r="T147" s="174" t="str">
        <f t="shared" si="60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1"/>
        <v>https://d0f6bd738d7f1b3e5a7ca70fe4ff75f0.us-east-1.aws.found.io/app/kibana#/discover/Steve-Slow-Train-Analysis-(2080s-and-2083s)?_g=(refreshInterval:(display:Off,pause:!f,section:0,value:0),time:(from:'2017-09-20T21:13:53-0600',mode:absolute,to:'2017-09-21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204" t="str">
        <f>IF(AA147&lt;VLOOKUP(AG147,Variables!$AC$3:$AD$8,2,FALSE),"Y","N")</f>
        <v>N</v>
      </c>
      <c r="X147" s="204">
        <f t="shared" si="62"/>
        <v>1</v>
      </c>
      <c r="Y147" s="204">
        <f t="shared" si="55"/>
        <v>4.53E-2</v>
      </c>
      <c r="Z147" s="204">
        <f t="shared" si="56"/>
        <v>23.329799999999999</v>
      </c>
      <c r="AA147" s="204">
        <f t="shared" si="63"/>
        <v>23.284499999999998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4"/>
        <v>235</v>
      </c>
      <c r="AE147" s="77" t="str">
        <f t="shared" si="65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47" s="74" t="str">
        <f t="shared" si="66"/>
        <v>"C:\Program Files (x86)\AstroGrep\AstroGrep.exe" /e /r /s /spath="%USERPROFILE%\AppData\Local\Temp\OnboardLogs" /stypes="app*4044*20170921*" /stext=" 05:.+((SYSTEM_STATE.+slice.+state.+changed )|(ment ac)|(multiple cpu faults)|(system.+state.+changed )|(\[timeout)|(PRM\|1\|D)|(kpr)|(kdp)|(train st.+moving)|(\|lc)|(penalty))"</v>
      </c>
      <c r="AG147" s="182" t="str">
        <f t="shared" si="67"/>
        <v>EC</v>
      </c>
      <c r="AH147" s="78" t="str">
        <f t="shared" si="68"/>
        <v>"%USERPROFILE%\Documents\GitHub\eaglep3\Utilities\RefineRTDCRunTimes.py" --tripid 235-20 --locoid 4044 --swversion DE.1.0.9.0 --startMP 204:453 --initTime 2017-09-20T22:13:53 --startdatetime 2017-09-20T22:30:15 --delay 81 --endMP 204:233298 --enddatetime 2017-09-20T23:05:11 --enforcementcount 0 &gt;&gt;c:\users\tmcdowell\Documents\GitHub\eaglep3-reporting\EC\2017-09-20-refined-times.txt</v>
      </c>
      <c r="AI147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{"issue":{"subject":"","project_id":79,"tracker_id":40,"status_id":1,"priority_id":2,"assigned_to_id":338,"start_date":"2017-09-20","description":"","custom_fields":[{"id":1,"name":"Subdivision","value":"EC"},{"id":4,"name":"Milepost","value":"23.3298"},{"id":17,"name":"Train ID","value":"235-20"},{"id":16,"name":"Locomotive ID","value":"4044"},{"id":130,"name":"Impact","value":""},{"id":150,"name":"Time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0"/>
        <v>start /low /b %USERPROFILE%\Documents\GitHub\eaglep3\Utilities\DownloadLogsFromS3.py --loco 4044 --day 2017-09-20</v>
      </c>
      <c r="AN147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2"/>
        <v>https://d0f6bd738d7f1b3e5a7ca70fe4ff75f0.us-east-1.aws.found.io/app/kibana#/discover/Steve-Slow-Train-Analysis-(2080s-and-2083s)?_g=(refreshInterval:(display:Off,pause:!f,section:0,value:0),time:(from:'2017-09-20T21:13:53-0600',mode:absolute,to:'2017-09-21T00:05:11-0600'))&amp;_a=(columns:!('Message%20ID',Summary),filters:!(),index:'emp_*',interval:auto,query:(query_string:(analyze_wildcard:!t,query:'Message%5C+ID:(*)+AND+%22rtdc.l.rtdc.4044%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614</v>
      </c>
      <c r="B148" s="7">
        <v>4043</v>
      </c>
      <c r="C148" s="21" t="s">
        <v>196</v>
      </c>
      <c r="D148" s="21" t="s">
        <v>535</v>
      </c>
      <c r="E148" s="13">
        <v>42998.963773148149</v>
      </c>
      <c r="F148" s="13">
        <v>42998.977268518516</v>
      </c>
      <c r="G148" s="7">
        <v>74</v>
      </c>
      <c r="H148" s="21" t="s">
        <v>369</v>
      </c>
      <c r="I148" s="13">
        <v>42999.00476851852</v>
      </c>
      <c r="J148" s="7">
        <v>0</v>
      </c>
      <c r="K148" s="89" t="str">
        <f t="shared" si="57"/>
        <v>4043/4044</v>
      </c>
      <c r="L148" s="185" t="str">
        <f>VLOOKUP(A148,'Trips&amp;Operators'!$C$1:$G$99911,5,FALSE)</f>
        <v>RESPASS AARON</v>
      </c>
      <c r="M148" s="6">
        <f t="shared" si="58"/>
        <v>2.7500000003783498E-2</v>
      </c>
      <c r="N148" s="7">
        <f t="shared" si="54"/>
        <v>39.600000005448237</v>
      </c>
      <c r="O148" s="7"/>
      <c r="P148" s="7"/>
      <c r="Q148" s="22"/>
      <c r="R148" s="174"/>
      <c r="S148" s="221">
        <f t="shared" si="59"/>
        <v>1</v>
      </c>
      <c r="T148" s="174" t="str">
        <f t="shared" si="60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1"/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204" t="str">
        <f>IF(AA148&lt;VLOOKUP(AG148,Variables!$AC$3:$AD$8,2,FALSE),"Y","N")</f>
        <v>N</v>
      </c>
      <c r="X148" s="204">
        <f t="shared" si="62"/>
        <v>1</v>
      </c>
      <c r="Y148" s="204">
        <f t="shared" si="55"/>
        <v>23.2989</v>
      </c>
      <c r="Z148" s="204">
        <f t="shared" si="56"/>
        <v>1.5599999999999999E-2</v>
      </c>
      <c r="AA148" s="204">
        <f t="shared" si="63"/>
        <v>23.283300000000001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4"/>
        <v>236</v>
      </c>
      <c r="AE148" s="77" t="str">
        <f t="shared" si="65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48" s="74" t="str">
        <f t="shared" si="66"/>
        <v>"C:\Program Files (x86)\AstroGrep\AstroGrep.exe" /e /r /s /spath="%USERPROFILE%\AppData\Local\Temp\OnboardLogs" /stypes="app*4043*20170921*" /stext=" 06:.+((SYSTEM_STATE.+slice.+state.+changed )|(ment ac)|(multiple cpu faults)|(system.+state.+changed )|(\[timeout)|(PRM\|1\|D)|(kpr)|(kdp)|(train st.+moving)|(\|lc)|(penalty))"</v>
      </c>
      <c r="AG148" s="182" t="str">
        <f t="shared" si="67"/>
        <v>EC</v>
      </c>
      <c r="AH148" s="78" t="str">
        <f t="shared" si="68"/>
        <v>"%USERPROFILE%\Documents\GitHub\eaglep3\Utilities\RefineRTDCRunTimes.py" --tripid 236-20 --locoid 4043 --swversion DE.1.0.9.0 --startMP 204:232989 --initTime 2017-09-20T23:07:50 --startdatetime 2017-09-20T23:27:16 --delay 74 --endMP 204:156 --enddatetime 2017-09-21T00:06:52 --enforcementcount 0 &gt;&gt;c:\users\tmcdowell\Documents\GitHub\eaglep3-reporting\EC\2017-09-20-refined-times.txt</v>
      </c>
      <c r="AI148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ID","value":"236-20"},{"id":16,"name":"Locomotive ID","value":"4043"},{"id":130,"name":"Impact","value":""},{"id":150,"name":"Time of Event (Mountain Time)","value":"00:06:52"},{"id":151,"name":"Denver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0"/>
        <v>start /low /b %USERPROFILE%\Documents\GitHub\eaglep3\Utilities\DownloadLogsFromS3.py --loco 4043 --day 2017-09-20</v>
      </c>
      <c r="AN148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2"/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Message%20ID',Summary),filters:!(),index:'emp_*',interval:auto,query:(query_string:(analyze_wildcard:!t,query:'Message%5C+ID:(*)+AND+%22rtdc.l.rtdc.4043%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822</v>
      </c>
      <c r="B149" s="7">
        <v>4042</v>
      </c>
      <c r="C149" s="21" t="s">
        <v>196</v>
      </c>
      <c r="D149" s="21" t="s">
        <v>421</v>
      </c>
      <c r="E149" s="13">
        <v>42998.944363425922</v>
      </c>
      <c r="F149" s="13">
        <v>42998.95853009259</v>
      </c>
      <c r="G149" s="7">
        <v>57</v>
      </c>
      <c r="H149" s="21" t="s">
        <v>458</v>
      </c>
      <c r="I149" s="13">
        <v>42998.983252314814</v>
      </c>
      <c r="J149" s="7">
        <v>0</v>
      </c>
      <c r="K149" s="89" t="str">
        <f t="shared" si="57"/>
        <v>4041/4042</v>
      </c>
      <c r="L149" s="185" t="str">
        <f>VLOOKUP(A149,'Trips&amp;Operators'!$C$1:$G$99911,5,FALSE)</f>
        <v>PERKINS DARREN</v>
      </c>
      <c r="M149" s="6">
        <f t="shared" si="58"/>
        <v>2.4722222224227153E-2</v>
      </c>
      <c r="N149" s="7">
        <f t="shared" si="54"/>
        <v>35.6000000028871</v>
      </c>
      <c r="O149" s="7"/>
      <c r="P149" s="7"/>
      <c r="Q149" s="22"/>
      <c r="R149" s="174"/>
      <c r="S149" s="221">
        <f t="shared" si="59"/>
        <v>1</v>
      </c>
      <c r="T149" s="174" t="str">
        <f t="shared" si="60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1"/>
        <v>https://d0f6bd738d7f1b3e5a7ca70fe4ff75f0.us-east-1.aws.found.io/app/kibana#/discover/Steve-Slow-Train-Analysis-(2080s-and-2083s)?_g=(refreshInterval:(display:Off,pause:!f,section:0,value:0),time:(from:'2017-09-20T21:39:53-0600',mode:absolute,to:'2017-09-21T00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>IF(AA149&lt;VLOOKUP(AG149,Variables!$AC$3:$AD$8,2,FALSE),"Y","N")</f>
        <v>N</v>
      </c>
      <c r="X149" s="204">
        <f t="shared" si="62"/>
        <v>1</v>
      </c>
      <c r="Y149" s="204">
        <f t="shared" si="55"/>
        <v>4.3799999999999999E-2</v>
      </c>
      <c r="Z149" s="204">
        <f t="shared" si="56"/>
        <v>23.331800000000001</v>
      </c>
      <c r="AA149" s="204">
        <f t="shared" si="63"/>
        <v>23.288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4"/>
        <v>237</v>
      </c>
      <c r="AE149" s="77" t="str">
        <f t="shared" si="65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49" s="74" t="str">
        <f t="shared" si="66"/>
        <v>"C:\Program Files (x86)\AstroGrep\AstroGrep.exe" /e /r /s /spath="%USERPROFILE%\AppData\Local\Temp\OnboardLogs" /stypes="app*4042*20170921*" /stext=" 05:.+((SYSTEM_STATE.+slice.+state.+changed )|(ment ac)|(multiple cpu faults)|(system.+state.+changed )|(\[timeout)|(PRM\|1\|D)|(kpr)|(kdp)|(train st.+moving)|(\|lc)|(penalty))"</v>
      </c>
      <c r="AG149" s="182" t="str">
        <f t="shared" si="67"/>
        <v>EC</v>
      </c>
      <c r="AH149" s="78" t="str">
        <f t="shared" si="68"/>
        <v>"%USERPROFILE%\Documents\GitHub\eaglep3\Utilities\RefineRTDCRunTimes.py" --tripid 237-20 --locoid 4042 --swversion DE.1.0.9.0 --startMP 204:438 --initTime 2017-09-20T22:39:53 --startdatetime 2017-09-20T23:00:17 --delay 57 --endMP 204:233318 --enddatetime 2017-09-20T23:35:53 --enforcementcount 0 &gt;&gt;c:\users\tmcdowell\Documents\GitHub\eaglep3-reporting\EC\2017-09-20-refined-times.txt</v>
      </c>
      <c r="AI149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{"issue":{"subject":"","project_id":79,"tracker_id":40,"status_id":1,"priority_id":2,"assigned_to_id":338,"start_date":"2017-09-20","description":"","custom_fields":[{"id":1,"name":"Subdivision","value":"EC"},{"id":4,"name":"Milepost","value":"23.3318"},{"id":17,"name":"Train ID","value":"237-20"},{"id":16,"name":"Locomotive ID","value":"4042"},{"id":130,"name":"Impact","value":""},{"id":150,"name":"Time of Event (Mountain Time)","value":"23:35:53"},{"id":151,"name":"Denver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0"/>
        <v>start /low /b %USERPROFILE%\Documents\GitHub\eaglep3\Utilities\DownloadLogsFromS3.py --loco 4042 --day 2017-09-20</v>
      </c>
      <c r="AN149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2"/>
        <v>https://d0f6bd738d7f1b3e5a7ca70fe4ff75f0.us-east-1.aws.found.io/app/kibana#/discover/Steve-Slow-Train-Analysis-(2080s-and-2083s)?_g=(refreshInterval:(display:Off,pause:!f,section:0,value:0),time:(from:'2017-09-20T21:39:53-0600',mode:absolute,to:'2017-09-21T00:35:53-0600'))&amp;_a=(columns:!('Message%20ID',Summary),filters:!(),index:'emp_*',interval:auto,query:(query_string:(analyze_wildcard:!t,query:'Message%5C+ID:(*)+AND+%22rtdc.l.rtdc.4042%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616</v>
      </c>
      <c r="B150" s="7">
        <v>4041</v>
      </c>
      <c r="C150" s="21" t="s">
        <v>196</v>
      </c>
      <c r="D150" s="21" t="s">
        <v>436</v>
      </c>
      <c r="E150" s="13">
        <v>42998.98510416667</v>
      </c>
      <c r="F150" s="13">
        <v>42998.998159722221</v>
      </c>
      <c r="G150" s="7">
        <v>57</v>
      </c>
      <c r="H150" s="21" t="s">
        <v>878</v>
      </c>
      <c r="I150" s="13">
        <v>42999.024548611109</v>
      </c>
      <c r="J150" s="7">
        <v>0</v>
      </c>
      <c r="K150" s="89" t="str">
        <f t="shared" si="57"/>
        <v>4041/4042</v>
      </c>
      <c r="L150" s="185" t="str">
        <f>VLOOKUP(A150,'Trips&amp;Operators'!$C$1:$G$99911,5,FALSE)</f>
        <v>PERKINS DARREN</v>
      </c>
      <c r="M150" s="6">
        <f t="shared" si="58"/>
        <v>2.6388888887595385E-2</v>
      </c>
      <c r="N150" s="7">
        <f t="shared" si="54"/>
        <v>37.999999998137355</v>
      </c>
      <c r="O150" s="7"/>
      <c r="P150" s="7"/>
      <c r="Q150" s="22"/>
      <c r="R150" s="174"/>
      <c r="S150" s="221">
        <f t="shared" si="59"/>
        <v>1</v>
      </c>
      <c r="T150" s="174" t="str">
        <f t="shared" si="60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1"/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>IF(AA150&lt;VLOOKUP(AG150,Variables!$AC$3:$AD$8,2,FALSE),"Y","N")</f>
        <v>N</v>
      </c>
      <c r="X150" s="204">
        <f t="shared" si="62"/>
        <v>1</v>
      </c>
      <c r="Y150" s="204">
        <f t="shared" si="55"/>
        <v>23.298200000000001</v>
      </c>
      <c r="Z150" s="204">
        <f t="shared" si="56"/>
        <v>1.06E-2</v>
      </c>
      <c r="AA150" s="204">
        <f t="shared" si="63"/>
        <v>23.287600000000001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64"/>
        <v>238</v>
      </c>
      <c r="AE150" s="77" t="str">
        <f t="shared" si="65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50" s="74" t="str">
        <f t="shared" si="66"/>
        <v>"C:\Program Files (x86)\AstroGrep\AstroGrep.exe" /e /r /s /spath="%USERPROFILE%\AppData\Local\Temp\OnboardLogs" /stypes="app*4041*20170921*" /stext=" 06:.+((SYSTEM_STATE.+slice.+state.+changed )|(ment ac)|(multiple cpu faults)|(system.+state.+changed )|(\[timeout)|(PRM\|1\|D)|(kpr)|(kdp)|(train st.+moving)|(\|lc)|(penalty))"</v>
      </c>
      <c r="AG150" s="182" t="str">
        <f t="shared" si="67"/>
        <v>EC</v>
      </c>
      <c r="AH150" s="78" t="str">
        <f t="shared" si="68"/>
        <v>"%USERPROFILE%\Documents\GitHub\eaglep3\Utilities\RefineRTDCRunTimes.py" --tripid 238-20 --locoid 4041 --swversion DE.1.0.9.0 --startMP 204:232982 --initTime 2017-09-20T23:38:33 --startdatetime 2017-09-20T23:57:21 --delay 57 --endMP 204:106 --enddatetime 2017-09-21T00:35:21 --enforcementcount 0 &gt;&gt;c:\users\tmcdowell\Documents\GitHub\eaglep3-reporting\EC\2017-09-20-refined-times.txt</v>
      </c>
      <c r="AI150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{"issue":{"subject":"","project_id":79,"tracker_id":40,"status_id":1,"priority_id":2,"assigned_to_id":338,"start_date":"2017-09-21","description":"","custom_fields":[{"id":1,"name":"Subdivision","value":"EC"},{"id":4,"name":"Milepost","value":"0.0106"},{"id":17,"name":"Train ID","value":"238-20"},{"id":16,"name":"Locomotive ID","value":"4041"},{"id":130,"name":"Impact","value":""},{"id":150,"name":"Time of Event (Mountain Time)","value":"00:35:21"},{"id":151,"name":"Denver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0"/>
        <v>start /low /b %USERPROFILE%\Documents\GitHub\eaglep3\Utilities\DownloadLogsFromS3.py --loco 4041 --day 2017-09-20</v>
      </c>
      <c r="AN150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2"/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Message%20ID',Summary),filters:!(),index:'emp_*',interval:auto,query:(query_string:(analyze_wildcard:!t,query:'Message%5C+ID:(*)+AND+%22rtdc.l.rtdc.4041%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824</v>
      </c>
      <c r="B151" s="7">
        <v>4064</v>
      </c>
      <c r="C151" s="21" t="s">
        <v>196</v>
      </c>
      <c r="D151" s="21" t="s">
        <v>357</v>
      </c>
      <c r="E151" s="13">
        <v>42998.964490740742</v>
      </c>
      <c r="F151" s="13">
        <v>42998.979317129626</v>
      </c>
      <c r="G151" s="7">
        <v>57</v>
      </c>
      <c r="H151" s="21" t="s">
        <v>440</v>
      </c>
      <c r="I151" s="13">
        <v>42999.003379629627</v>
      </c>
      <c r="J151" s="7">
        <v>0</v>
      </c>
      <c r="K151" s="89" t="str">
        <f t="shared" si="57"/>
        <v>4063/4064</v>
      </c>
      <c r="L151" s="185" t="str">
        <f>VLOOKUP(A151,'Trips&amp;Operators'!$C$1:$G$99911,5,FALSE)</f>
        <v>DUNCAN SHEILA</v>
      </c>
      <c r="M151" s="6">
        <f t="shared" si="58"/>
        <v>2.4062500000582077E-2</v>
      </c>
      <c r="N151" s="7">
        <f t="shared" si="54"/>
        <v>34.65000000083819</v>
      </c>
      <c r="O151" s="7"/>
      <c r="P151" s="7"/>
      <c r="Q151" s="22"/>
      <c r="R151" s="174"/>
      <c r="S151" s="221">
        <f t="shared" si="59"/>
        <v>1</v>
      </c>
      <c r="T151" s="174" t="str">
        <f t="shared" si="60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1"/>
        <v>https://d0f6bd738d7f1b3e5a7ca70fe4ff75f0.us-east-1.aws.found.io/app/kibana#/discover/Steve-Slow-Train-Analysis-(2080s-and-2083s)?_g=(refreshInterval:(display:Off,pause:!f,section:0,value:0),time:(from:'2017-09-20T22:08:52-0600',mode:absolute,to:'2017-09-21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04" t="str">
        <f>IF(AA151&lt;VLOOKUP(AG151,Variables!$AC$3:$AD$8,2,FALSE),"Y","N")</f>
        <v>N</v>
      </c>
      <c r="X151" s="204">
        <f t="shared" si="62"/>
        <v>1</v>
      </c>
      <c r="Y151" s="204">
        <f t="shared" si="55"/>
        <v>4.58E-2</v>
      </c>
      <c r="Z151" s="204">
        <f t="shared" si="56"/>
        <v>23.333200000000001</v>
      </c>
      <c r="AA151" s="204">
        <f t="shared" si="63"/>
        <v>23.287400000000002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4"/>
        <v>239</v>
      </c>
      <c r="AE151" s="77" t="str">
        <f t="shared" si="65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51" s="74" t="str">
        <f t="shared" si="66"/>
        <v>"C:\Program Files (x86)\AstroGrep\AstroGrep.exe" /e /r /s /spath="%USERPROFILE%\AppData\Local\Temp\OnboardLogs" /stypes="app*4064*20170921*" /stext=" 06:.+((SYSTEM_STATE.+slice.+state.+changed )|(ment ac)|(multiple cpu faults)|(system.+state.+changed )|(\[timeout)|(PRM\|1\|D)|(kpr)|(kdp)|(train st.+moving)|(\|lc)|(penalty))"</v>
      </c>
      <c r="AG151" s="182" t="str">
        <f t="shared" si="67"/>
        <v>EC</v>
      </c>
      <c r="AH151" s="78" t="str">
        <f t="shared" si="68"/>
        <v>"%USERPROFILE%\Documents\GitHub\eaglep3\Utilities\RefineRTDCRunTimes.py" --tripid 239-20 --locoid 4064 --swversion DE.1.0.9.0 --startMP 204:458 --initTime 2017-09-20T23:08:52 --startdatetime 2017-09-20T23:30:13 --delay 57 --endMP 204:233332 --enddatetime 2017-09-21T00:04:52 --enforcementcount 0 &gt;&gt;c:\users\tmcdowell\Documents\GitHub\eaglep3-reporting\EC\2017-09-20-refined-times.txt</v>
      </c>
      <c r="AI151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{"issue":{"subject":"","project_id":79,"tracker_id":40,"status_id":1,"priority_id":2,"assigned_to_id":338,"start_date":"2017-09-21","description":"","custom_fields":[{"id":1,"name":"Subdivision","value":"EC"},{"id":4,"name":"Milepost","value":"23.3332"},{"id":17,"name":"Train ID","value":"239-20"},{"id":16,"name":"Locomotive ID","value":"4064"},{"id":130,"name":"Impact","value":""},{"id":150,"name":"Time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0"/>
        <v>start /low /b %USERPROFILE%\Documents\GitHub\eaglep3\Utilities\DownloadLogsFromS3.py --loco 4064 --day 2017-09-20</v>
      </c>
      <c r="AN151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2"/>
        <v>https://d0f6bd738d7f1b3e5a7ca70fe4ff75f0.us-east-1.aws.found.io/app/kibana#/discover/Steve-Slow-Train-Analysis-(2080s-and-2083s)?_g=(refreshInterval:(display:Off,pause:!f,section:0,value:0),time:(from:'2017-09-20T22:08:52-0600',mode:absolute,to:'2017-09-21T01:04:52-0600'))&amp;_a=(columns:!('Message%20ID',Summary),filters:!(),index:'emp_*',interval:auto,query:(query_string:(analyze_wildcard:!t,query:'Message%5C+ID:(*)+AND+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826</v>
      </c>
      <c r="B152" s="7">
        <v>4063</v>
      </c>
      <c r="C152" s="21" t="s">
        <v>196</v>
      </c>
      <c r="D152" s="21" t="s">
        <v>462</v>
      </c>
      <c r="E152" s="13">
        <v>42999.005590277775</v>
      </c>
      <c r="F152" s="13">
        <v>42999.01898148148</v>
      </c>
      <c r="G152" s="7">
        <v>54</v>
      </c>
      <c r="H152" s="21" t="s">
        <v>364</v>
      </c>
      <c r="I152" s="13">
        <v>42999.044594907406</v>
      </c>
      <c r="J152" s="7">
        <v>0</v>
      </c>
      <c r="K152" s="89" t="str">
        <f t="shared" si="57"/>
        <v>4063/4064</v>
      </c>
      <c r="L152" s="185" t="str">
        <f>VLOOKUP(A152,'Trips&amp;Operators'!$C$1:$G$99911,5,FALSE)</f>
        <v>DUNCAN SHEILA</v>
      </c>
      <c r="M152" s="6">
        <f t="shared" si="58"/>
        <v>2.5613425925257616E-2</v>
      </c>
      <c r="N152" s="7">
        <f t="shared" si="54"/>
        <v>36.883333332370967</v>
      </c>
      <c r="O152" s="7"/>
      <c r="P152" s="7"/>
      <c r="Q152" s="22"/>
      <c r="R152" s="174"/>
      <c r="S152" s="221">
        <f t="shared" si="59"/>
        <v>1</v>
      </c>
      <c r="T152" s="174" t="str">
        <f t="shared" si="60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1"/>
        <v>https://d0f6bd738d7f1b3e5a7ca70fe4ff75f0.us-east-1.aws.found.io/app/kibana#/discover/Steve-Slow-Train-Analysis-(2080s-and-2083s)?_g=(refreshInterval:(display:Off,pause:!f,section:0,value:0),time:(from:'2017-09-20T23:08:03-0600',mode:absolute,to:'2017-09-21T02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04" t="str">
        <f>IF(AA152&lt;VLOOKUP(AG152,Variables!$AC$3:$AD$8,2,FALSE),"Y","N")</f>
        <v>N</v>
      </c>
      <c r="X152" s="204">
        <f t="shared" si="62"/>
        <v>1</v>
      </c>
      <c r="Y152" s="204">
        <f t="shared" si="55"/>
        <v>23.3019</v>
      </c>
      <c r="Z152" s="204">
        <f t="shared" si="56"/>
        <v>1.38E-2</v>
      </c>
      <c r="AA152" s="204">
        <f t="shared" si="63"/>
        <v>23.2881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4"/>
        <v>240</v>
      </c>
      <c r="AE152" s="77" t="str">
        <f t="shared" si="65"/>
        <v>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 &amp; 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</v>
      </c>
      <c r="AF152" s="74" t="str">
        <f t="shared" si="66"/>
        <v>"C:\Program Files (x86)\AstroGrep\AstroGrep.exe" /e /r /s /spath="%USERPROFILE%\AppData\Local\Temp\OnboardLogs" /stypes="app*4063*20170921*" /stext=" 07:.+((SYSTEM_STATE.+slice.+state.+changed )|(ment ac)|(multiple cpu faults)|(system.+state.+changed )|(\[timeout)|(PRM\|1\|D)|(kpr)|(kdp)|(train st.+moving)|(\|lc)|(penalty))"</v>
      </c>
      <c r="AG152" s="182" t="str">
        <f t="shared" si="67"/>
        <v>EC</v>
      </c>
      <c r="AH152" s="78" t="str">
        <f t="shared" si="68"/>
        <v>"%USERPROFILE%\Documents\GitHub\eaglep3\Utilities\RefineRTDCRunTimes.py" --tripid 240-20 --locoid 4063 --swversion DE.1.0.9.0 --startMP 204:233019 --initTime 2017-09-21T00:08:03 --startdatetime 2017-09-21T00:27:20 --delay 54 --endMP 204:138 --enddatetime 2017-09-21T01:04:13 --enforcementcount 0 &gt;&gt;c:\users\tmcdowell\Documents\GitHub\eaglep3-reporting\EC\2017-09-20-refined-times.txt</v>
      </c>
      <c r="AI152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{"issue":{"subject":"","project_id":79,"tracker_id":40,"status_id":1,"priority_id":2,"assigned_to_id":338,"start_date":"2017-09-21","description":"","custom_fields":[{"id":1,"name":"Subdivision","value":"EC"},{"id":4,"name":"Milepost","value":"0.0138"},{"id":17,"name":"Train ID","value":"240-20"},{"id":16,"name":"Locomotive ID","value":"4063"},{"id":130,"name":"Impact","value":""},{"id":150,"name":"Time of Event (Mountain Time)","value":"01:04:13"},{"id":151,"name":"Denver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0"/>
        <v>start /low /b %USERPROFILE%\Documents\GitHub\eaglep3\Utilities\DownloadLogsFromS3.py --loco 4063 --day 2017-09-21</v>
      </c>
      <c r="AN15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2"/>
        <v>https://d0f6bd738d7f1b3e5a7ca70fe4ff75f0.us-east-1.aws.found.io/app/kibana#/discover/Steve-Slow-Train-Analysis-(2080s-and-2083s)?_g=(refreshInterval:(display:Off,pause:!f,section:0,value:0),time:(from:'2017-09-20T23:08:03-0600',mode:absolute,to:'2017-09-21T02:04:13-0600'))&amp;_a=(columns:!('Message%20ID',Summary),filters:!(),index:'emp_*',interval:auto,query:(query_string:(analyze_wildcard:!t,query:'Message%5C+ID:(*)+AND+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825</v>
      </c>
      <c r="B153" s="7">
        <v>4040</v>
      </c>
      <c r="C153" s="21" t="s">
        <v>196</v>
      </c>
      <c r="D153" s="21" t="s">
        <v>402</v>
      </c>
      <c r="E153" s="13">
        <v>42998.988877314812</v>
      </c>
      <c r="F153" s="13">
        <v>42999.000208333331</v>
      </c>
      <c r="G153" s="7">
        <v>55</v>
      </c>
      <c r="H153" s="21" t="s">
        <v>456</v>
      </c>
      <c r="I153" s="13">
        <v>42999.02443287037</v>
      </c>
      <c r="J153" s="7">
        <v>0</v>
      </c>
      <c r="K153" s="89" t="str">
        <f t="shared" si="57"/>
        <v>4039/4040</v>
      </c>
      <c r="L153" s="185" t="str">
        <f>VLOOKUP(A153,'Trips&amp;Operators'!$C$1:$G$99911,5,FALSE)</f>
        <v>LOZA FIDEL</v>
      </c>
      <c r="M153" s="6">
        <f t="shared" si="58"/>
        <v>2.4224537039117422E-2</v>
      </c>
      <c r="N153" s="7">
        <f t="shared" si="54"/>
        <v>34.883333336329088</v>
      </c>
      <c r="O153" s="7"/>
      <c r="P153" s="7"/>
      <c r="Q153" s="22"/>
      <c r="R153" s="174"/>
      <c r="S153" s="221">
        <f t="shared" si="59"/>
        <v>1</v>
      </c>
      <c r="T153" s="174" t="str">
        <f t="shared" si="60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1"/>
        <v>https://d0f6bd738d7f1b3e5a7ca70fe4ff75f0.us-east-1.aws.found.io/app/kibana#/discover/Steve-Slow-Train-Analysis-(2080s-and-2083s)?_g=(refreshInterval:(display:Off,pause:!f,section:0,value:0),time:(from:'2017-09-20T22:43:59-0600',mode:absolute,to:'2017-09-21T01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204" t="str">
        <f>IF(AA153&lt;VLOOKUP(AG153,Variables!$AC$3:$AD$8,2,FALSE),"Y","N")</f>
        <v>N</v>
      </c>
      <c r="X153" s="204">
        <f t="shared" si="62"/>
        <v>1</v>
      </c>
      <c r="Y153" s="204">
        <f t="shared" si="55"/>
        <v>4.4400000000000002E-2</v>
      </c>
      <c r="Z153" s="204">
        <f t="shared" si="56"/>
        <v>23.330200000000001</v>
      </c>
      <c r="AA153" s="204">
        <f t="shared" si="63"/>
        <v>23.285800000000002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4"/>
        <v>241</v>
      </c>
      <c r="AE153" s="77" t="str">
        <f t="shared" si="65"/>
        <v>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 &amp; 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</v>
      </c>
      <c r="AF153" s="74" t="str">
        <f t="shared" si="66"/>
        <v>"C:\Program Files (x86)\AstroGrep\AstroGrep.exe" /e /r /s /spath="%USERPROFILE%\AppData\Local\Temp\OnboardLogs" /stypes="app*4040*20170921*" /stext=" 06:.+((SYSTEM_STATE.+slice.+state.+changed )|(ment ac)|(multiple cpu faults)|(system.+state.+changed )|(\[timeout)|(PRM\|1\|D)|(kpr)|(kdp)|(train st.+moving)|(\|lc)|(penalty))"</v>
      </c>
      <c r="AG153" s="182" t="str">
        <f t="shared" si="67"/>
        <v>EC</v>
      </c>
      <c r="AH153" s="78" t="str">
        <f t="shared" si="68"/>
        <v>"%USERPROFILE%\Documents\GitHub\eaglep3\Utilities\RefineRTDCRunTimes.py" --tripid 241-20 --locoid 4040 --swversion DE.1.0.9.0 --startMP 204:444 --initTime 2017-09-20T23:43:59 --startdatetime 2017-09-21T00:00:18 --delay 55 --endMP 204:233302 --enddatetime 2017-09-21T00:35:11 --enforcementcount 0 &gt;&gt;c:\users\tmcdowell\Documents\GitHub\eaglep3-reporting\EC\2017-09-20-refined-times.txt</v>
      </c>
      <c r="AI153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ID","value":"241-20"},{"id":16,"name":"Locomotive ID","value":"4040"},{"id":130,"name":"Impact","value":""},{"id":150,"name":"Time of Event (Mountain Time)","value":"00:35:11"},{"id":151,"name":"Denver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0"/>
        <v>start /low /b %USERPROFILE%\Documents\GitHub\eaglep3\Utilities\DownloadLogsFromS3.py --loco 4040 --day 2017-09-21</v>
      </c>
      <c r="AN15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2"/>
        <v>https://d0f6bd738d7f1b3e5a7ca70fe4ff75f0.us-east-1.aws.found.io/app/kibana#/discover/Steve-Slow-Train-Analysis-(2080s-and-2083s)?_g=(refreshInterval:(display:Off,pause:!f,section:0,value:0),time:(from:'2017-09-20T22:43:59-0600',mode:absolute,to:'2017-09-21T01:35:11-0600'))&amp;_a=(columns:!('Message%20ID',Summary),filters:!(),index:'emp_*',interval:auto,query:(query_string:(analyze_wildcard:!t,query:'Message%5C+ID:(*)+AND+%22rtdc.l.rtdc.4040%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829</v>
      </c>
      <c r="B154" s="7">
        <v>4039</v>
      </c>
      <c r="C154" s="21" t="s">
        <v>196</v>
      </c>
      <c r="D154" s="21" t="s">
        <v>461</v>
      </c>
      <c r="E154" s="13">
        <v>42999.03765046296</v>
      </c>
      <c r="F154" s="13">
        <v>42999.039872685185</v>
      </c>
      <c r="G154" s="7">
        <v>68</v>
      </c>
      <c r="H154" s="21" t="s">
        <v>369</v>
      </c>
      <c r="I154" s="13">
        <v>42999.064699074072</v>
      </c>
      <c r="J154" s="7">
        <v>0</v>
      </c>
      <c r="K154" s="89" t="str">
        <f t="shared" si="57"/>
        <v>4039/4040</v>
      </c>
      <c r="L154" s="185" t="str">
        <f>VLOOKUP(A154,'Trips&amp;Operators'!$C$1:$G$99911,5,FALSE)</f>
        <v>LOZA FIDEL</v>
      </c>
      <c r="M154" s="6">
        <f t="shared" si="58"/>
        <v>2.4826388886140194E-2</v>
      </c>
      <c r="N154" s="7">
        <f t="shared" si="54"/>
        <v>35.749999996041879</v>
      </c>
      <c r="O154" s="7"/>
      <c r="P154" s="7"/>
      <c r="Q154" s="22"/>
      <c r="R154" s="174"/>
      <c r="S154" s="221">
        <f t="shared" si="59"/>
        <v>1</v>
      </c>
      <c r="T154" s="174" t="str">
        <f t="shared" si="60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1"/>
        <v>https://d0f6bd738d7f1b3e5a7ca70fe4ff75f0.us-east-1.aws.found.io/app/kibana#/discover/Steve-Slow-Train-Analysis-(2080s-and-2083s)?_g=(refreshInterval:(display:Off,pause:!f,section:0,value:0),time:(from:'2017-09-20T23:54:13-0600',mode:absolute,to:'2017-09-21T02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204" t="str">
        <f>IF(AA154&lt;VLOOKUP(AG154,Variables!$AC$3:$AD$8,2,FALSE),"Y","N")</f>
        <v>N</v>
      </c>
      <c r="X154" s="204">
        <f t="shared" si="62"/>
        <v>1</v>
      </c>
      <c r="Y154" s="204">
        <f t="shared" si="55"/>
        <v>23.300599999999999</v>
      </c>
      <c r="Z154" s="204">
        <f t="shared" si="56"/>
        <v>1.5599999999999999E-2</v>
      </c>
      <c r="AA154" s="204">
        <f t="shared" si="63"/>
        <v>23.285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4"/>
        <v>242</v>
      </c>
      <c r="AE154" s="77" t="str">
        <f t="shared" si="65"/>
        <v>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 &amp; 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</v>
      </c>
      <c r="AF154" s="74" t="str">
        <f t="shared" si="66"/>
        <v>"C:\Program Files (x86)\AstroGrep\AstroGrep.exe" /e /r /s /spath="%USERPROFILE%\AppData\Local\Temp\OnboardLogs" /stypes="app*4039*20170921*" /stext=" 07:.+((SYSTEM_STATE.+slice.+state.+changed )|(ment ac)|(multiple cpu faults)|(system.+state.+changed )|(\[timeout)|(PRM\|1\|D)|(kpr)|(kdp)|(train st.+moving)|(\|lc)|(penalty))"</v>
      </c>
      <c r="AG154" s="182" t="str">
        <f t="shared" si="67"/>
        <v>EC</v>
      </c>
      <c r="AH154" s="78" t="str">
        <f t="shared" si="68"/>
        <v>"%USERPROFILE%\Documents\GitHub\eaglep3\Utilities\RefineRTDCRunTimes.py" --tripid 242-20 --locoid 4039 --swversion DE.1.0.9.0 --startMP 204:233006 --initTime 2017-09-21T00:54:13 --startdatetime 2017-09-21T00:57:25 --delay 68 --endMP 204:156 --enddatetime 2017-09-21T01:33:10 --enforcementcount 0 &gt;&gt;c:\users\tmcdowell\Documents\GitHub\eaglep3-reporting\EC\2017-09-20-refined-times.txt</v>
      </c>
      <c r="AI154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ID","value":"242-20"},{"id":16,"name":"Locomotive ID","value":"4039"},{"id":130,"name":"Impact","value":""},{"id":150,"name":"Time of Event (Mountain Time)","value":"01:33:10"},{"id":151,"name":"Denver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0"/>
        <v>start /low /b %USERPROFILE%\Documents\GitHub\eaglep3\Utilities\DownloadLogsFromS3.py --loco 4039 --day 2017-09-21</v>
      </c>
      <c r="AN15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2"/>
        <v>https://d0f6bd738d7f1b3e5a7ca70fe4ff75f0.us-east-1.aws.found.io/app/kibana#/discover/Steve-Slow-Train-Analysis-(2080s-and-2083s)?_g=(refreshInterval:(display:Off,pause:!f,section:0,value:0),time:(from:'2017-09-20T23:54:13-0600',mode:absolute,to:'2017-09-21T02:33:10-0600'))&amp;_a=(columns:!('Message%20ID',Summary),filters:!(),index:'emp_*',interval:auto,query:(query_string:(analyze_wildcard:!t,query:'Message%5C+ID:(*)+AND+%22rtdc.l.rtdc.4039%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827</v>
      </c>
      <c r="B155" s="7">
        <v>4044</v>
      </c>
      <c r="C155" s="21" t="s">
        <v>196</v>
      </c>
      <c r="D155" s="21" t="s">
        <v>340</v>
      </c>
      <c r="E155" s="13">
        <v>42999.015613425923</v>
      </c>
      <c r="F155" s="13">
        <v>42999.021053240744</v>
      </c>
      <c r="G155" s="7">
        <v>83</v>
      </c>
      <c r="H155" s="21" t="s">
        <v>879</v>
      </c>
      <c r="I155" s="13">
        <v>42999.044710648152</v>
      </c>
      <c r="J155" s="7">
        <v>0</v>
      </c>
      <c r="K155" s="89" t="str">
        <f t="shared" si="57"/>
        <v>4043/4044</v>
      </c>
      <c r="L155" s="185" t="str">
        <f>VLOOKUP(A155,'Trips&amp;Operators'!$C$1:$G$99911,5,FALSE)</f>
        <v>HART KEVIN</v>
      </c>
      <c r="M155" s="6">
        <f t="shared" si="58"/>
        <v>2.3657407407881692E-2</v>
      </c>
      <c r="N155" s="7">
        <f t="shared" si="54"/>
        <v>34.066666667349637</v>
      </c>
      <c r="O155" s="7"/>
      <c r="P155" s="7"/>
      <c r="Q155" s="22"/>
      <c r="R155" s="174"/>
      <c r="S155" s="221">
        <f t="shared" si="59"/>
        <v>1</v>
      </c>
      <c r="T155" s="174" t="str">
        <f t="shared" si="60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1"/>
        <v>https://d0f6bd738d7f1b3e5a7ca70fe4ff75f0.us-east-1.aws.found.io/app/kibana#/discover/Steve-Slow-Train-Analysis-(2080s-and-2083s)?_g=(refreshInterval:(display:Off,pause:!f,section:0,value:0),time:(from:'2017-09-20T23:22:29-0600',mode:absolute,to:'2017-09-21T02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204" t="str">
        <f>IF(AA155&lt;VLOOKUP(AG155,Variables!$AC$3:$AD$8,2,FALSE),"Y","N")</f>
        <v>N</v>
      </c>
      <c r="X155" s="204">
        <f t="shared" si="62"/>
        <v>1</v>
      </c>
      <c r="Y155" s="204">
        <f t="shared" si="55"/>
        <v>4.53E-2</v>
      </c>
      <c r="Z155" s="204">
        <f t="shared" si="56"/>
        <v>23.3276</v>
      </c>
      <c r="AA155" s="204">
        <f t="shared" si="63"/>
        <v>23.282299999999999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4"/>
        <v>243</v>
      </c>
      <c r="AE155" s="77" t="str">
        <f t="shared" si="65"/>
        <v>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 &amp; 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</v>
      </c>
      <c r="AF155" s="74" t="str">
        <f t="shared" si="66"/>
        <v>"C:\Program Files (x86)\AstroGrep\AstroGrep.exe" /e /r /s /spath="%USERPROFILE%\AppData\Local\Temp\OnboardLogs" /stypes="app*4044*20170921*" /stext=" 07:.+((SYSTEM_STATE.+slice.+state.+changed )|(ment ac)|(multiple cpu faults)|(system.+state.+changed )|(\[timeout)|(PRM\|1\|D)|(kpr)|(kdp)|(train st.+moving)|(\|lc)|(penalty))"</v>
      </c>
      <c r="AG155" s="182" t="str">
        <f t="shared" si="67"/>
        <v>EC</v>
      </c>
      <c r="AH155" s="78" t="str">
        <f t="shared" si="68"/>
        <v>"%USERPROFILE%\Documents\GitHub\eaglep3\Utilities\RefineRTDCRunTimes.py" --tripid 243-20 --locoid 4044 --swversion DE.1.0.9.0 --startMP 204:453 --initTime 2017-09-21T00:22:29 --startdatetime 2017-09-21T00:30:19 --delay 83 --endMP 204:233276 --enddatetime 2017-09-21T01:04:23 --enforcementcount 0 &gt;&gt;c:\users\tmcdowell\Documents\GitHub\eaglep3-reporting\EC\2017-09-20-refined-times.txt</v>
      </c>
      <c r="AI155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{"issue":{"subject":"","project_id":79,"tracker_id":40,"status_id":1,"priority_id":2,"assigned_to_id":338,"start_date":"2017-09-21","description":"","custom_fields":[{"id":1,"name":"Subdivision","value":"EC"},{"id":4,"name":"Milepost","value":"23.3276"},{"id":17,"name":"Train ID","value":"243-20"},{"id":16,"name":"Locomotive ID","value":"4044"},{"id":130,"name":"Impact","value":""},{"id":150,"name":"Time of Event (Mountain Time)","value":"01:04:23"},{"id":151,"name":"Denver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0"/>
        <v>start /low /b %USERPROFILE%\Documents\GitHub\eaglep3\Utilities\DownloadLogsFromS3.py --loco 4044 --day 2017-09-21</v>
      </c>
      <c r="AN15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2"/>
        <v>https://d0f6bd738d7f1b3e5a7ca70fe4ff75f0.us-east-1.aws.found.io/app/kibana#/discover/Steve-Slow-Train-Analysis-(2080s-and-2083s)?_g=(refreshInterval:(display:Off,pause:!f,section:0,value:0),time:(from:'2017-09-20T23:22:29-0600',mode:absolute,to:'2017-09-21T02:04:23-0600'))&amp;_a=(columns:!('Message%20ID',Summary),filters:!(),index:'emp_*',interval:auto,query:(query_string:(analyze_wildcard:!t,query:'Message%5C+ID:(*)+AND+%22rtdc.l.rtdc.4044%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617</v>
      </c>
      <c r="B156" s="7">
        <v>4043</v>
      </c>
      <c r="C156" s="21" t="s">
        <v>196</v>
      </c>
      <c r="D156" s="21" t="s">
        <v>849</v>
      </c>
      <c r="E156" s="13">
        <v>42999.058368055557</v>
      </c>
      <c r="F156" s="13">
        <v>42999.071840277778</v>
      </c>
      <c r="G156" s="7">
        <v>67</v>
      </c>
      <c r="H156" s="21" t="s">
        <v>849</v>
      </c>
      <c r="I156" s="13">
        <v>42999.072002314817</v>
      </c>
      <c r="J156" s="7">
        <v>0</v>
      </c>
      <c r="K156" s="89" t="str">
        <f t="shared" si="57"/>
        <v>4043/4044</v>
      </c>
      <c r="L156" s="185" t="str">
        <f>VLOOKUP(A156,'Trips&amp;Operators'!$C$1:$G$99911,5,FALSE)</f>
        <v>HART KEVIN</v>
      </c>
      <c r="M156" s="6">
        <f t="shared" si="58"/>
        <v>1.6203703853534535E-4</v>
      </c>
      <c r="N156" s="7"/>
      <c r="O156" s="7"/>
      <c r="P156" s="7">
        <f>24*60*SUM($M156:$M156)</f>
        <v>0.2333333354908973</v>
      </c>
      <c r="Q156" s="22"/>
      <c r="R156" s="174" t="s">
        <v>1024</v>
      </c>
      <c r="S156" s="221">
        <f t="shared" si="59"/>
        <v>0</v>
      </c>
      <c r="T156" s="174" t="str">
        <f t="shared" si="60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 t="shared" si="61"/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204" t="str">
        <f>IF(AA156&lt;VLOOKUP(AG156,Variables!$AC$3:$AD$8,2,FALSE),"Y","N")</f>
        <v>Y</v>
      </c>
      <c r="X156" s="204">
        <f t="shared" si="62"/>
        <v>1</v>
      </c>
      <c r="Y156" s="204">
        <f t="shared" si="55"/>
        <v>23.296700000000001</v>
      </c>
      <c r="Z156" s="204">
        <f t="shared" si="56"/>
        <v>23.296700000000001</v>
      </c>
      <c r="AA156" s="204">
        <f t="shared" si="63"/>
        <v>0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4"/>
        <v>244</v>
      </c>
      <c r="AE156" s="77" t="str">
        <f t="shared" si="65"/>
        <v>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 &amp; 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</v>
      </c>
      <c r="AF156" s="74" t="str">
        <f t="shared" si="66"/>
        <v>"C:\Program Files (x86)\AstroGrep\AstroGrep.exe" /e /r /s /spath="%USERPROFILE%\AppData\Local\Temp\OnboardLogs" /stypes="app*4043*20170921*" /stext=" 07:.+((SYSTEM_STATE.+slice.+state.+changed )|(ment ac)|(multiple cpu faults)|(system.+state.+changed )|(\[timeout)|(PRM\|1\|D)|(kpr)|(kdp)|(train st.+moving)|(\|lc)|(penalty))"</v>
      </c>
      <c r="AG156" s="182" t="str">
        <f t="shared" si="67"/>
        <v>EC</v>
      </c>
      <c r="AH156" s="78" t="str">
        <f t="shared" si="68"/>
        <v>"%USERPROFILE%\Documents\GitHub\eaglep3\Utilities\RefineRTDCRunTimes.py" --tripid 244-20 --locoid 4043 --swversion DE.1.0.9.0 --startMP 204:232967 --initTime 2017-09-21T01:24:03 --startdatetime 2017-09-21T01:43:27 --delay 67 --endMP 204:232967 --enddatetime 2017-09-21T01:43:41 --enforcementcount 0 &gt;&gt;c:\users\tmcdowell\Documents\GitHub\eaglep3-reporting\EC\2017-09-20-refined-times.txt</v>
      </c>
      <c r="AI156" s="96" t="str">
        <f t="shared" si="69"/>
        <v>echo {"issue":{"subject":"Onboard en route failure","project_id":79,"tracker_id":40,"status_id":1,"priority_id":2,"assigned_to_id":338,"start_date":"2017-09-21","description":"","custom_fields":[{"id":1,"name":"Subdivision","value":"EC"},{"id":4,"name":"Milepost","value":"23.2967"},{"id":17,"name":"Train ID","value":"244-20"},{"id":16,"name":"Locomotive ID","value":"4043"},{"id":130,"name":"Impact","value":""},{"id":150,"name":"Time of Event (Mountain Time)","value":"01:43:41"},{"id":151,"name":"Denver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0"/>
        <v>start /low /b %USERPROFILE%\Documents\GitHub\eaglep3\Utilities\DownloadLogsFromS3.py --loco 4043 --day 2017-09-21</v>
      </c>
      <c r="AN156" s="151" t="str">
        <f t="shared" si="71"/>
        <v>echo {"issue":{"subject":"Onboard en route failure","project_id":30,"tracker_id":4,"status_id":1,"priority_id":1,"assigned_to_id":10,"start_date":"2017-09-21","description":"","custom_fields":[{"id":30,"name":"Category","value":"Issue"},{"id":3,"name":"Functional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2"/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Message%20ID',Summary),filters:!(),index:'emp_*',interval:auto,query:(query_string:(analyze_wildcard:!t,query:'Message%5C+ID:(*)+AND+%22rtdc.l.rtdc.4043%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639</v>
      </c>
      <c r="B157" s="7">
        <v>4059</v>
      </c>
      <c r="C157" s="21" t="s">
        <v>196</v>
      </c>
      <c r="D157" s="21" t="s">
        <v>954</v>
      </c>
      <c r="E157" s="13">
        <v>42998.214212962965</v>
      </c>
      <c r="F157" s="13">
        <v>42998.215902777774</v>
      </c>
      <c r="G157" s="7">
        <v>71</v>
      </c>
      <c r="H157" s="21" t="s">
        <v>955</v>
      </c>
      <c r="I157" s="13">
        <v>42998.225578703707</v>
      </c>
      <c r="J157" s="7">
        <v>0</v>
      </c>
      <c r="K157" s="89" t="str">
        <f t="shared" si="57"/>
        <v>4059/4060</v>
      </c>
      <c r="L157" s="185" t="str">
        <f>VLOOKUP(A157,'Trips&amp;Operators'!$C$1:$G$99911,5,FALSE)</f>
        <v>LAMAR NEKESHA</v>
      </c>
      <c r="M157" s="6">
        <f t="shared" si="58"/>
        <v>9.6759259322425351E-3</v>
      </c>
      <c r="N157" s="7">
        <f t="shared" ref="N157:N188" si="73">24*60*SUM($M157:$M157)</f>
        <v>13.93333334242925</v>
      </c>
      <c r="O157" s="7"/>
      <c r="P157" s="7"/>
      <c r="Q157" s="22"/>
      <c r="R157" s="174"/>
      <c r="S157" s="221">
        <f t="shared" si="59"/>
        <v>1</v>
      </c>
      <c r="T157" s="174" t="str">
        <f t="shared" si="6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61"/>
        <v>https://d0f6bd738d7f1b3e5a7ca70fe4ff75f0.us-east-1.aws.found.io/app/kibana#/discover/Steve-Slow-Train-Analysis-(2080s-and-2083s)?_g=(refreshInterval:(display:Off,pause:!f,section:0,value:0),time:(from:'2017-09-20T04:08:28-0600',mode:absolute,to:'2017-09-20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204" t="str">
        <f>IF(AA157&lt;VLOOKUP(AG157,Variables!$AC$3:$AD$8,2,FALSE),"Y","N")</f>
        <v>N</v>
      </c>
      <c r="X157" s="204">
        <f t="shared" si="62"/>
        <v>556</v>
      </c>
      <c r="Y157" s="204">
        <f t="shared" si="55"/>
        <v>5.8640999999999996</v>
      </c>
      <c r="Z157" s="204">
        <f t="shared" si="56"/>
        <v>6.4899999999999999E-2</v>
      </c>
      <c r="AA157" s="204">
        <f t="shared" si="63"/>
        <v>5.7991999999999999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4"/>
        <v>800</v>
      </c>
      <c r="AE157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57" s="74" t="str">
        <f t="shared" si="66"/>
        <v>"C:\Program Files (x86)\AstroGrep\AstroGrep.exe" /e /r /s /spath="%USERPROFILE%\AppData\Local\Temp\OnboardLogs" /stypes="app*4059*20170920*" /stext=" 11:.+((SYSTEM_STATE.+slice.+state.+changed )|(ment ac)|(multiple cpu faults)|(system.+state.+changed )|(\[timeout)|(PRM\|1\|D)|(kpr)|(kdp)|(train st.+moving)|(\|lc)|(penalty))"</v>
      </c>
      <c r="AG157" s="182" t="str">
        <f t="shared" si="67"/>
        <v>NW</v>
      </c>
      <c r="AH157" s="78" t="str">
        <f t="shared" si="68"/>
        <v>"%USERPROFILE%\Documents\GitHub\eaglep3\Utilities\RefineRTDCRunTimes.py" --tripid 800-20 --locoid 4059 --swversion DE.1.0.9.0 --startMP 300:58641 --initTime 2017-09-20T05:08:28 --startdatetime 2017-09-20T05:10:54 --delay 71 --endMP 204:649 --enddatetime 2017-09-20T05:24:50 --enforcementcount 0 &gt;&gt;c:\users\tmcdowell\Documents\GitHub\eaglep3-reporting\EC\2017-09-20-refined-times.txt</v>
      </c>
      <c r="AI15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{"issue":{"subject":"","project_id":79,"tracker_id":40,"status_id":1,"priority_id":2,"assigned_to_id":338,"start_date":"2017-09-20","description":"","custom_fields":[{"id":1,"name":"Subdivision","value":"NW"},{"id":4,"name":"Milepost","value":"0.0649"},{"id":17,"name":"Train ID","value":"800-20"},{"id":16,"name":"Locomotive ID","value":"4059"},{"id":130,"name":"Impact","value":""},{"id":150,"name":"Time of Event (Mountain Time)","value":"05:24:50"},{"id":151,"name":"Denver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0"/>
        <v>start /low /b %USERPROFILE%\Documents\GitHub\eaglep3\Utilities\DownloadLogsFromS3.py --loco 4059 --day 2017-09-20</v>
      </c>
      <c r="AN15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2"/>
        <v>https://d0f6bd738d7f1b3e5a7ca70fe4ff75f0.us-east-1.aws.found.io/app/kibana#/discover/Steve-Slow-Train-Analysis-(2080s-and-2083s)?_g=(refreshInterval:(display:Off,pause:!f,section:0,value:0),time:(from:'2017-09-20T04:08:28-0600',mode:absolute,to:'2017-09-20T06:24:50-0600'))&amp;_a=(columns:!('Message%20ID',Summary),filters:!(),index:'emp_*',interval:auto,query:(query_string:(analyze_wildcard:!t,query:'Message%5C+ID:(*)+AND+%22rtdc.l.rtdc.4059%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644</v>
      </c>
      <c r="B158" s="7">
        <v>4060</v>
      </c>
      <c r="C158" s="21" t="s">
        <v>196</v>
      </c>
      <c r="D158" s="21" t="s">
        <v>956</v>
      </c>
      <c r="E158" s="13">
        <v>42998.22797453704</v>
      </c>
      <c r="F158" s="13">
        <v>42998.235590277778</v>
      </c>
      <c r="G158" s="7">
        <v>53</v>
      </c>
      <c r="H158" s="21" t="s">
        <v>957</v>
      </c>
      <c r="I158" s="13">
        <v>42998.245208333334</v>
      </c>
      <c r="J158" s="7">
        <v>0</v>
      </c>
      <c r="K158" s="89" t="str">
        <f t="shared" si="57"/>
        <v>4059/4060</v>
      </c>
      <c r="L158" s="185" t="str">
        <f>VLOOKUP(A158,'Trips&amp;Operators'!$C$1:$G$99911,5,FALSE)</f>
        <v>LAMAR NEKESHA</v>
      </c>
      <c r="M158" s="6">
        <f t="shared" si="58"/>
        <v>9.6180555556202307E-3</v>
      </c>
      <c r="N158" s="7">
        <f t="shared" si="73"/>
        <v>13.850000000093132</v>
      </c>
      <c r="O158" s="7"/>
      <c r="P158" s="7"/>
      <c r="Q158" s="22"/>
      <c r="R158" s="174"/>
      <c r="S158" s="221">
        <f t="shared" si="59"/>
        <v>1</v>
      </c>
      <c r="T158" s="174" t="str">
        <f t="shared" si="60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61"/>
        <v>https://d0f6bd738d7f1b3e5a7ca70fe4ff75f0.us-east-1.aws.found.io/app/kibana#/discover/Steve-Slow-Train-Analysis-(2080s-and-2083s)?_g=(refreshInterval:(display:Off,pause:!f,section:0,value:0),time:(from:'2017-09-20T04:28:17-0600',mode:absolute,to:'2017-09-20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204" t="str">
        <f>IF(AA158&lt;VLOOKUP(AG158,Variables!$AC$3:$AD$8,2,FALSE),"Y","N")</f>
        <v>N</v>
      </c>
      <c r="X158" s="204">
        <f t="shared" si="62"/>
        <v>1</v>
      </c>
      <c r="Y158" s="204">
        <f t="shared" si="55"/>
        <v>9.4600000000000004E-2</v>
      </c>
      <c r="Z158" s="204">
        <f t="shared" si="56"/>
        <v>5.8993000000000002</v>
      </c>
      <c r="AA158" s="204">
        <f t="shared" si="63"/>
        <v>5.8047000000000004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4"/>
        <v>801</v>
      </c>
      <c r="AE158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58" s="74" t="str">
        <f t="shared" si="66"/>
        <v>"C:\Program Files (x86)\AstroGrep\AstroGrep.exe" /e /r /s /spath="%USERPROFILE%\AppData\Local\Temp\OnboardLogs" /stypes="app*4060*20170920*" /stext=" 11:.+((SYSTEM_STATE.+slice.+state.+changed )|(ment ac)|(multiple cpu faults)|(system.+state.+changed )|(\[timeout)|(PRM\|1\|D)|(kpr)|(kdp)|(train st.+moving)|(\|lc)|(penalty))"</v>
      </c>
      <c r="AG158" s="182" t="str">
        <f t="shared" si="67"/>
        <v>NW</v>
      </c>
      <c r="AH158" s="78" t="str">
        <f t="shared" si="68"/>
        <v>"%USERPROFILE%\Documents\GitHub\eaglep3\Utilities\RefineRTDCRunTimes.py" --tripid 801-20 --locoid 4060 --swversion DE.1.0.9.0 --startMP 204:946 --initTime 2017-09-20T05:28:17 --startdatetime 2017-09-20T05:39:15 --delay 53 --endMP 300:58993 --enddatetime 2017-09-20T05:53:06 --enforcementcount 0 &gt;&gt;c:\users\tmcdowell\Documents\GitHub\eaglep3-reporting\EC\2017-09-20-refined-times.txt</v>
      </c>
      <c r="AI15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{"issue":{"subject":"","project_id":79,"tracker_id":40,"status_id":1,"priority_id":2,"assigned_to_id":338,"start_date":"2017-09-20","description":"","custom_fields":[{"id":1,"name":"Subdivision","value":"NW"},{"id":4,"name":"Milepost","value":"5.8993"},{"id":17,"name":"Train ID","value":"801-20"},{"id":16,"name":"Locomotive ID","value":"4060"},{"id":130,"name":"Impact","value":""},{"id":150,"name":"Time of Event (Mountain Time)","value":"05:53:06"},{"id":151,"name":"Denver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0"/>
        <v>start /low /b %USERPROFILE%\Documents\GitHub\eaglep3\Utilities\DownloadLogsFromS3.py --loco 4060 --day 2017-09-20</v>
      </c>
      <c r="AN15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2"/>
        <v>https://d0f6bd738d7f1b3e5a7ca70fe4ff75f0.us-east-1.aws.found.io/app/kibana#/discover/Steve-Slow-Train-Analysis-(2080s-and-2083s)?_g=(refreshInterval:(display:Off,pause:!f,section:0,value:0),time:(from:'2017-09-20T04:28:17-0600',mode:absolute,to:'2017-09-20T06:53:06-0600'))&amp;_a=(columns:!('Message%20ID',Summary),filters:!(),index:'emp_*',interval:auto,query:(query_string:(analyze_wildcard:!t,query:'Message%5C+ID:(*)+AND+%22rtdc.l.rtdc.4060%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651</v>
      </c>
      <c r="B159" s="7">
        <v>4059</v>
      </c>
      <c r="C159" s="21" t="s">
        <v>196</v>
      </c>
      <c r="D159" s="21" t="s">
        <v>958</v>
      </c>
      <c r="E159" s="13">
        <v>42998.246307870373</v>
      </c>
      <c r="F159" s="13">
        <v>42998.257025462961</v>
      </c>
      <c r="G159" s="7">
        <v>53</v>
      </c>
      <c r="H159" s="21" t="s">
        <v>955</v>
      </c>
      <c r="I159" s="13">
        <v>42998.267569444448</v>
      </c>
      <c r="J159" s="7">
        <v>0</v>
      </c>
      <c r="K159" s="89" t="str">
        <f t="shared" si="57"/>
        <v>4059/4060</v>
      </c>
      <c r="L159" s="185" t="str">
        <f>VLOOKUP(A159,'Trips&amp;Operators'!$C$1:$G$99911,5,FALSE)</f>
        <v>LAMAR NEKESHA</v>
      </c>
      <c r="M159" s="6">
        <f t="shared" si="58"/>
        <v>1.0543981486989651E-2</v>
      </c>
      <c r="N159" s="7">
        <f t="shared" si="73"/>
        <v>15.183333341265097</v>
      </c>
      <c r="O159" s="7"/>
      <c r="P159" s="7"/>
      <c r="Q159" s="22"/>
      <c r="R159" s="174"/>
      <c r="S159" s="221">
        <f t="shared" si="59"/>
        <v>1</v>
      </c>
      <c r="T159" s="174" t="str">
        <f t="shared" si="60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1"/>
        <v>https://d0f6bd738d7f1b3e5a7ca70fe4ff75f0.us-east-1.aws.found.io/app/kibana#/discover/Steve-Slow-Train-Analysis-(2080s-and-2083s)?_g=(refreshInterval:(display:Off,pause:!f,section:0,value:0),time:(from:'2017-09-20T04:54:41-0600',mode:absolute,to:'2017-09-20T07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04" t="str">
        <f>IF(AA159&lt;VLOOKUP(AG159,Variables!$AC$3:$AD$8,2,FALSE),"Y","N")</f>
        <v>N</v>
      </c>
      <c r="X159" s="204">
        <f t="shared" si="62"/>
        <v>1</v>
      </c>
      <c r="Y159" s="204">
        <f t="shared" si="55"/>
        <v>5.8686999999999996</v>
      </c>
      <c r="Z159" s="204">
        <f t="shared" si="56"/>
        <v>6.4899999999999999E-2</v>
      </c>
      <c r="AA159" s="204">
        <f t="shared" si="63"/>
        <v>5.8037999999999998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4"/>
        <v>802</v>
      </c>
      <c r="AE159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59" s="74" t="str">
        <f t="shared" si="66"/>
        <v>"C:\Program Files (x86)\AstroGrep\AstroGrep.exe" /e /r /s /spath="%USERPROFILE%\AppData\Local\Temp\OnboardLogs" /stypes="app*4059*20170920*" /stext=" 12:.+((SYSTEM_STATE.+slice.+state.+changed )|(ment ac)|(multiple cpu faults)|(system.+state.+changed )|(\[timeout)|(PRM\|1\|D)|(kpr)|(kdp)|(train st.+moving)|(\|lc)|(penalty))"</v>
      </c>
      <c r="AG159" s="182" t="str">
        <f t="shared" si="67"/>
        <v>NW</v>
      </c>
      <c r="AH159" s="78" t="str">
        <f t="shared" si="68"/>
        <v>"%USERPROFILE%\Documents\GitHub\eaglep3\Utilities\RefineRTDCRunTimes.py" --tripid 802-20 --locoid 4059 --swversion DE.1.0.9.0 --startMP 300:58687 --initTime 2017-09-20T05:54:41 --startdatetime 2017-09-20T06:10:07 --delay 53 --endMP 204:649 --enddatetime 2017-09-20T06:25:18 --enforcementcount 0 &gt;&gt;c:\users\tmcdowell\Documents\GitHub\eaglep3-reporting\EC\2017-09-20-refined-times.txt</v>
      </c>
      <c r="AI15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{"issue":{"subject":"","project_id":79,"tracker_id":40,"status_id":1,"priority_id":2,"assigned_to_id":338,"start_date":"2017-09-20","description":"","custom_fields":[{"id":1,"name":"Subdivision","value":"NW"},{"id":4,"name":"Milepost","value":"0.0649"},{"id":17,"name":"Train ID","value":"802-20"},{"id":16,"name":"Locomotive ID","value":"4059"},{"id":130,"name":"Impact","value":""},{"id":150,"name":"Time of Event (Mountain Time)","value":"06:25:18"},{"id":151,"name":"Denver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0"/>
        <v>start /low /b %USERPROFILE%\Documents\GitHub\eaglep3\Utilities\DownloadLogsFromS3.py --loco 4059 --day 2017-09-20</v>
      </c>
      <c r="AN15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2"/>
        <v>https://d0f6bd738d7f1b3e5a7ca70fe4ff75f0.us-east-1.aws.found.io/app/kibana#/discover/Steve-Slow-Train-Analysis-(2080s-and-2083s)?_g=(refreshInterval:(display:Off,pause:!f,section:0,value:0),time:(from:'2017-09-20T04:54:41-0600',mode:absolute,to:'2017-09-20T07:25:18-0600'))&amp;_a=(columns:!('Message%20ID',Summary),filters:!(),index:'emp_*',interval:auto,query:(query_string:(analyze_wildcard:!t,query:'Message%5C+ID:(*)+AND+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653</v>
      </c>
      <c r="B160" s="7">
        <v>4016</v>
      </c>
      <c r="C160" s="21" t="s">
        <v>196</v>
      </c>
      <c r="D160" s="21" t="s">
        <v>501</v>
      </c>
      <c r="E160" s="13">
        <v>42998.249861111108</v>
      </c>
      <c r="F160" s="13">
        <v>42998.256435185183</v>
      </c>
      <c r="G160" s="7">
        <v>72</v>
      </c>
      <c r="H160" s="21" t="s">
        <v>562</v>
      </c>
      <c r="I160" s="13">
        <v>42998.266365740739</v>
      </c>
      <c r="J160" s="7">
        <v>0</v>
      </c>
      <c r="K160" s="89" t="str">
        <f t="shared" si="57"/>
        <v>4015/4016</v>
      </c>
      <c r="L160" s="185" t="str">
        <f>VLOOKUP(A160,'Trips&amp;Operators'!$C$1:$G$99911,5,FALSE)</f>
        <v>GEBRETEKLE DAGNEW</v>
      </c>
      <c r="M160" s="6">
        <f t="shared" si="58"/>
        <v>9.930555555911269E-3</v>
      </c>
      <c r="N160" s="7">
        <f t="shared" si="73"/>
        <v>14.300000000512227</v>
      </c>
      <c r="O160" s="7"/>
      <c r="P160" s="7"/>
      <c r="Q160" s="22"/>
      <c r="R160" s="174"/>
      <c r="S160" s="221">
        <f t="shared" si="59"/>
        <v>1</v>
      </c>
      <c r="T160" s="174" t="str">
        <f t="shared" si="60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1"/>
        <v>https://d0f6bd738d7f1b3e5a7ca70fe4ff75f0.us-east-1.aws.found.io/app/kibana#/discover/Steve-Slow-Train-Analysis-(2080s-and-2083s)?_g=(refreshInterval:(display:Off,pause:!f,section:0,value:0),time:(from:'2017-09-20T04:59:48-0600',mode:absolute,to:'2017-09-20T07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4" t="str">
        <f>IF(AA160&lt;VLOOKUP(AG160,Variables!$AC$3:$AD$8,2,FALSE),"Y","N")</f>
        <v>N</v>
      </c>
      <c r="X160" s="204">
        <f t="shared" si="62"/>
        <v>1</v>
      </c>
      <c r="Y160" s="204">
        <f t="shared" si="55"/>
        <v>9.7100000000000006E-2</v>
      </c>
      <c r="Z160" s="204">
        <f t="shared" si="56"/>
        <v>5.8975999999999997</v>
      </c>
      <c r="AA160" s="204">
        <f t="shared" si="63"/>
        <v>5.8004999999999995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4"/>
        <v>803</v>
      </c>
      <c r="AE16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0" s="74" t="str">
        <f t="shared" si="66"/>
        <v>"C:\Program Files (x86)\AstroGrep\AstroGrep.exe" /e /r /s /spath="%USERPROFILE%\AppData\Local\Temp\OnboardLogs" /stypes="app*4016*20170920*" /stext=" 12:.+((SYSTEM_STATE.+slice.+state.+changed )|(ment ac)|(multiple cpu faults)|(system.+state.+changed )|(\[timeout)|(PRM\|1\|D)|(kpr)|(kdp)|(train st.+moving)|(\|lc)|(penalty))"</v>
      </c>
      <c r="AG160" s="182" t="str">
        <f t="shared" si="67"/>
        <v>NW</v>
      </c>
      <c r="AH160" s="78" t="str">
        <f t="shared" si="68"/>
        <v>"%USERPROFILE%\Documents\GitHub\eaglep3\Utilities\RefineRTDCRunTimes.py" --tripid 803-20 --locoid 4016 --swversion DE.1.0.9.0 --startMP 204:971 --initTime 2017-09-20T05:59:48 --startdatetime 2017-09-20T06:09:16 --delay 72 --endMP 300:58976 --enddatetime 2017-09-20T06:23:34 --enforcementcount 0 &gt;&gt;c:\users\tmcdowell\Documents\GitHub\eaglep3-reporting\EC\2017-09-20-refined-times.txt</v>
      </c>
      <c r="AI16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{"issue":{"subject":"","project_id":79,"tracker_id":40,"status_id":1,"priority_id":2,"assigned_to_id":338,"start_date":"2017-09-20","description":"","custom_fields":[{"id":1,"name":"Subdivision","value":"NW"},{"id":4,"name":"Milepost","value":"5.8976"},{"id":17,"name":"Train ID","value":"803-20"},{"id":16,"name":"Locomotive ID","value":"4016"},{"id":130,"name":"Impact","value":""},{"id":150,"name":"Time of Event (Mountain Time)","value":"06:23:34"},{"id":151,"name":"Denver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0"/>
        <v>start /low /b %USERPROFILE%\Documents\GitHub\eaglep3\Utilities\DownloadLogsFromS3.py --loco 4016 --day 2017-09-20</v>
      </c>
      <c r="AN16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2"/>
        <v>https://d0f6bd738d7f1b3e5a7ca70fe4ff75f0.us-east-1.aws.found.io/app/kibana#/discover/Steve-Slow-Train-Analysis-(2080s-and-2083s)?_g=(refreshInterval:(display:Off,pause:!f,section:0,value:0),time:(from:'2017-09-20T04:59:48-0600',mode:absolute,to:'2017-09-20T07:23:34-0600'))&amp;_a=(columns:!('Message%20ID',Summary),filters:!(),index:'emp_*',interval:auto,query:(query_string:(analyze_wildcard:!t,query:'Message%5C+ID:(*)+AND+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658</v>
      </c>
      <c r="B161" s="7">
        <v>4015</v>
      </c>
      <c r="C161" s="21" t="s">
        <v>196</v>
      </c>
      <c r="D161" s="21" t="s">
        <v>567</v>
      </c>
      <c r="E161" s="13">
        <v>42998.268125000002</v>
      </c>
      <c r="F161" s="13">
        <v>42998.27616898148</v>
      </c>
      <c r="G161" s="7">
        <v>52</v>
      </c>
      <c r="H161" s="21" t="s">
        <v>573</v>
      </c>
      <c r="I161" s="13">
        <v>42998.287939814814</v>
      </c>
      <c r="J161" s="7">
        <v>0</v>
      </c>
      <c r="K161" s="89" t="str">
        <f t="shared" si="57"/>
        <v>4015/4016</v>
      </c>
      <c r="L161" s="185" t="str">
        <f>VLOOKUP(A161,'Trips&amp;Operators'!$C$1:$G$99911,5,FALSE)</f>
        <v>GEBRETEKLE DAGNEW</v>
      </c>
      <c r="M161" s="6">
        <f t="shared" si="58"/>
        <v>1.1770833334594499E-2</v>
      </c>
      <c r="N161" s="7">
        <f t="shared" si="73"/>
        <v>16.950000001816079</v>
      </c>
      <c r="O161" s="7"/>
      <c r="P161" s="7"/>
      <c r="Q161" s="22"/>
      <c r="R161" s="174"/>
      <c r="S161" s="221">
        <f t="shared" si="59"/>
        <v>1</v>
      </c>
      <c r="T161" s="174" t="str">
        <f t="shared" si="60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1"/>
        <v>https://d0f6bd738d7f1b3e5a7ca70fe4ff75f0.us-east-1.aws.found.io/app/kibana#/discover/Steve-Slow-Train-Analysis-(2080s-and-2083s)?_g=(refreshInterval:(display:Off,pause:!f,section:0,value:0),time:(from:'2017-09-20T05:26:06-0600',mode:absolute,to:'2017-09-20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4" t="str">
        <f>IF(AA161&lt;VLOOKUP(AG161,Variables!$AC$3:$AD$8,2,FALSE),"Y","N")</f>
        <v>N</v>
      </c>
      <c r="X161" s="204">
        <f t="shared" si="62"/>
        <v>1</v>
      </c>
      <c r="Y161" s="204">
        <f t="shared" si="55"/>
        <v>5.8662000000000001</v>
      </c>
      <c r="Z161" s="204">
        <f t="shared" si="56"/>
        <v>7.0300000000000001E-2</v>
      </c>
      <c r="AA161" s="204">
        <f t="shared" si="63"/>
        <v>5.7959000000000005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4"/>
        <v>804</v>
      </c>
      <c r="AE16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1" s="74" t="str">
        <f t="shared" si="66"/>
        <v>"C:\Program Files (x86)\AstroGrep\AstroGrep.exe" /e /r /s /spath="%USERPROFILE%\AppData\Local\Temp\OnboardLogs" /stypes="app*4015*20170920*" /stext=" 12:.+((SYSTEM_STATE.+slice.+state.+changed )|(ment ac)|(multiple cpu faults)|(system.+state.+changed )|(\[timeout)|(PRM\|1\|D)|(kpr)|(kdp)|(train st.+moving)|(\|lc)|(penalty))"</v>
      </c>
      <c r="AG161" s="182" t="str">
        <f t="shared" si="67"/>
        <v>NW</v>
      </c>
      <c r="AH161" s="78" t="str">
        <f t="shared" si="68"/>
        <v>"%USERPROFILE%\Documents\GitHub\eaglep3\Utilities\RefineRTDCRunTimes.py" --tripid 804-20 --locoid 4015 --swversion DE.1.0.9.0 --startMP 300:58662 --initTime 2017-09-20T06:26:06 --startdatetime 2017-09-20T06:37:41 --delay 52 --endMP 204:703 --enddatetime 2017-09-20T06:54:38 --enforcementcount 0 &gt;&gt;c:\users\tmcdowell\Documents\GitHub\eaglep3-reporting\EC\2017-09-20-refined-times.txt</v>
      </c>
      <c r="AI16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{"issue":{"subject":"","project_id":79,"tracker_id":40,"status_id":1,"priority_id":2,"assigned_to_id":338,"start_date":"2017-09-20","description":"","custom_fields":[{"id":1,"name":"Subdivision","value":"NW"},{"id":4,"name":"Milepost","value":"0.0703"},{"id":17,"name":"Train ID","value":"804-20"},{"id":16,"name":"Locomotive ID","value":"4015"},{"id":130,"name":"Impact","value":""},{"id":150,"name":"Time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0"/>
        <v>start /low /b %USERPROFILE%\Documents\GitHub\eaglep3\Utilities\DownloadLogsFromS3.py --loco 4015 --day 2017-09-20</v>
      </c>
      <c r="AN16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2"/>
        <v>https://d0f6bd738d7f1b3e5a7ca70fe4ff75f0.us-east-1.aws.found.io/app/kibana#/discover/Steve-Slow-Train-Analysis-(2080s-and-2083s)?_g=(refreshInterval:(display:Off,pause:!f,section:0,value:0),time:(from:'2017-09-20T05:26:06-0600',mode:absolute,to:'2017-09-20T07:54:38-0600'))&amp;_a=(columns:!('Message%20ID',Summary),filters:!(),index:'emp_*',interval:auto,query:(query_string:(analyze_wildcard:!t,query:'Message%5C+ID:(*)+AND+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659</v>
      </c>
      <c r="B162" s="7">
        <v>4060</v>
      </c>
      <c r="C162" s="21" t="s">
        <v>196</v>
      </c>
      <c r="D162" s="21" t="s">
        <v>956</v>
      </c>
      <c r="E162" s="13">
        <v>42998.270196759258</v>
      </c>
      <c r="F162" s="13">
        <v>42998.277291666665</v>
      </c>
      <c r="G162" s="7">
        <v>56</v>
      </c>
      <c r="H162" s="21" t="s">
        <v>959</v>
      </c>
      <c r="I162" s="13">
        <v>42998.28733796296</v>
      </c>
      <c r="J162" s="7">
        <v>0</v>
      </c>
      <c r="K162" s="89" t="str">
        <f t="shared" si="57"/>
        <v>4059/4060</v>
      </c>
      <c r="L162" s="185" t="str">
        <f>VLOOKUP(A162,'Trips&amp;Operators'!$C$1:$G$99911,5,FALSE)</f>
        <v>LAMAR NEKESHA</v>
      </c>
      <c r="M162" s="6">
        <f t="shared" si="58"/>
        <v>1.0046296294603962E-2</v>
      </c>
      <c r="N162" s="7">
        <f t="shared" si="73"/>
        <v>14.466666664229706</v>
      </c>
      <c r="O162" s="7"/>
      <c r="P162" s="7"/>
      <c r="Q162" s="22"/>
      <c r="R162" s="174"/>
      <c r="S162" s="221">
        <f t="shared" si="59"/>
        <v>1</v>
      </c>
      <c r="T162" s="174" t="str">
        <f t="shared" si="60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1"/>
        <v>https://d0f6bd738d7f1b3e5a7ca70fe4ff75f0.us-east-1.aws.found.io/app/kibana#/discover/Steve-Slow-Train-Analysis-(2080s-and-2083s)?_g=(refreshInterval:(display:Off,pause:!f,section:0,value:0),time:(from:'2017-09-20T05:29:05-0600',mode:absolute,to:'2017-09-20T07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2" s="204" t="str">
        <f>IF(AA162&lt;VLOOKUP(AG162,Variables!$AC$3:$AD$8,2,FALSE),"Y","N")</f>
        <v>N</v>
      </c>
      <c r="X162" s="204">
        <f t="shared" si="62"/>
        <v>1</v>
      </c>
      <c r="Y162" s="204">
        <f t="shared" si="55"/>
        <v>9.4600000000000004E-2</v>
      </c>
      <c r="Z162" s="204">
        <f t="shared" si="56"/>
        <v>5.8959999999999999</v>
      </c>
      <c r="AA162" s="204">
        <f t="shared" si="63"/>
        <v>5.8014000000000001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4"/>
        <v>805</v>
      </c>
      <c r="AE162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62" s="74" t="str">
        <f t="shared" si="66"/>
        <v>"C:\Program Files (x86)\AstroGrep\AstroGrep.exe" /e /r /s /spath="%USERPROFILE%\AppData\Local\Temp\OnboardLogs" /stypes="app*4060*20170920*" /stext=" 12:.+((SYSTEM_STATE.+slice.+state.+changed )|(ment ac)|(multiple cpu faults)|(system.+state.+changed )|(\[timeout)|(PRM\|1\|D)|(kpr)|(kdp)|(train st.+moving)|(\|lc)|(penalty))"</v>
      </c>
      <c r="AG162" s="182" t="str">
        <f t="shared" si="67"/>
        <v>NW</v>
      </c>
      <c r="AH162" s="78" t="str">
        <f t="shared" si="68"/>
        <v>"%USERPROFILE%\Documents\GitHub\eaglep3\Utilities\RefineRTDCRunTimes.py" --tripid 805-20 --locoid 4060 --swversion DE.1.0.9.0 --startMP 204:946 --initTime 2017-09-20T06:29:05 --startdatetime 2017-09-20T06:39:18 --delay 56 --endMP 300:58960 --enddatetime 2017-09-20T06:53:46 --enforcementcount 0 &gt;&gt;c:\users\tmcdowell\Documents\GitHub\eaglep3-reporting\EC\2017-09-20-refined-times.txt</v>
      </c>
      <c r="AI16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{"issue":{"subject":"","project_id":79,"tracker_id":40,"status_id":1,"priority_id":2,"assigned_to_id":338,"start_date":"2017-09-20","description":"","custom_fields":[{"id":1,"name":"Subdivision","value":"NW"},{"id":4,"name":"Milepost","value":"5.896"},{"id":17,"name":"Train ID","value":"805-20"},{"id":16,"name":"Locomotive ID","value":"4060"},{"id":130,"name":"Impact","value":""},{"id":150,"name":"Time of Event (Mountain Time)","value":"06:53:46"},{"id":151,"name":"Denver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0"/>
        <v>start /low /b %USERPROFILE%\Documents\GitHub\eaglep3\Utilities\DownloadLogsFromS3.py --loco 4060 --day 2017-09-20</v>
      </c>
      <c r="AN16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2"/>
        <v>https://d0f6bd738d7f1b3e5a7ca70fe4ff75f0.us-east-1.aws.found.io/app/kibana#/discover/Steve-Slow-Train-Analysis-(2080s-and-2083s)?_g=(refreshInterval:(display:Off,pause:!f,section:0,value:0),time:(from:'2017-09-20T05:29:05-0600',mode:absolute,to:'2017-09-20T07:53:46-0600'))&amp;_a=(columns:!('Message%20ID',Summary),filters:!(),index:'emp_*',interval:auto,query:(query_string:(analyze_wildcard:!t,query:'Message%5C+ID:(*)+AND+%22rtdc.l.rtdc.4060%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662</v>
      </c>
      <c r="B163" s="7">
        <v>4059</v>
      </c>
      <c r="C163" s="21" t="s">
        <v>196</v>
      </c>
      <c r="D163" s="21" t="s">
        <v>554</v>
      </c>
      <c r="E163" s="13">
        <v>42998.288553240738</v>
      </c>
      <c r="F163" s="13">
        <v>42998.298715277779</v>
      </c>
      <c r="G163" s="7">
        <v>50</v>
      </c>
      <c r="H163" s="21" t="s">
        <v>960</v>
      </c>
      <c r="I163" s="13">
        <v>42998.308923611112</v>
      </c>
      <c r="J163" s="7">
        <v>0</v>
      </c>
      <c r="K163" s="89" t="str">
        <f t="shared" si="57"/>
        <v>4059/4060</v>
      </c>
      <c r="L163" s="185" t="str">
        <f>VLOOKUP(A163,'Trips&amp;Operators'!$C$1:$G$99911,5,FALSE)</f>
        <v>LAMAR NEKESHA</v>
      </c>
      <c r="M163" s="6">
        <f t="shared" si="58"/>
        <v>1.0208333333139308E-2</v>
      </c>
      <c r="N163" s="7">
        <f t="shared" si="73"/>
        <v>14.699999999720603</v>
      </c>
      <c r="O163" s="7"/>
      <c r="P163" s="7"/>
      <c r="Q163" s="22"/>
      <c r="R163" s="174"/>
      <c r="S163" s="221">
        <f t="shared" si="59"/>
        <v>1</v>
      </c>
      <c r="T163" s="174" t="str">
        <f t="shared" si="60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1"/>
        <v>https://d0f6bd738d7f1b3e5a7ca70fe4ff75f0.us-east-1.aws.found.io/app/kibana#/discover/Steve-Slow-Train-Analysis-(2080s-and-2083s)?_g=(refreshInterval:(display:Off,pause:!f,section:0,value:0),time:(from:'2017-09-20T05:55:31-0600',mode:absolute,to:'2017-09-20T08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3" s="204" t="str">
        <f>IF(AA163&lt;VLOOKUP(AG163,Variables!$AC$3:$AD$8,2,FALSE),"Y","N")</f>
        <v>N</v>
      </c>
      <c r="X163" s="204">
        <f t="shared" si="62"/>
        <v>1</v>
      </c>
      <c r="Y163" s="204">
        <f t="shared" si="55"/>
        <v>5.8647</v>
      </c>
      <c r="Z163" s="204">
        <f t="shared" si="56"/>
        <v>6.3299999999999995E-2</v>
      </c>
      <c r="AA163" s="204">
        <f t="shared" si="63"/>
        <v>5.8014000000000001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4"/>
        <v>806</v>
      </c>
      <c r="AE163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63" s="74" t="str">
        <f t="shared" si="66"/>
        <v>"C:\Program Files (x86)\AstroGrep\AstroGrep.exe" /e /r /s /spath="%USERPROFILE%\AppData\Local\Temp\OnboardLogs" /stypes="app*4059*20170920*" /stext=" 13:.+((SYSTEM_STATE.+slice.+state.+changed )|(ment ac)|(multiple cpu faults)|(system.+state.+changed )|(\[timeout)|(PRM\|1\|D)|(kpr)|(kdp)|(train st.+moving)|(\|lc)|(penalty))"</v>
      </c>
      <c r="AG163" s="182" t="str">
        <f t="shared" si="67"/>
        <v>NW</v>
      </c>
      <c r="AH163" s="78" t="str">
        <f t="shared" si="68"/>
        <v>"%USERPROFILE%\Documents\GitHub\eaglep3\Utilities\RefineRTDCRunTimes.py" --tripid 806-20 --locoid 4059 --swversion DE.1.0.9.0 --startMP 300:58647 --initTime 2017-09-20T06:55:31 --startdatetime 2017-09-20T07:10:09 --delay 50 --endMP 204:633 --enddatetime 2017-09-20T07:24:51 --enforcementcount 0 &gt;&gt;c:\users\tmcdowell\Documents\GitHub\eaglep3-reporting\EC\2017-09-20-refined-times.txt</v>
      </c>
      <c r="AI16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{"issue":{"subject":"","project_id":79,"tracker_id":40,"status_id":1,"priority_id":2,"assigned_to_id":338,"start_date":"2017-09-20","description":"","custom_fields":[{"id":1,"name":"Subdivision","value":"NW"},{"id":4,"name":"Milepost","value":"0.0633"},{"id":17,"name":"Train ID","value":"806-20"},{"id":16,"name":"Locomotive ID","value":"4059"},{"id":130,"name":"Impact","value":""},{"id":150,"name":"Time of Event (Mountain Time)","value":"07:24:51"},{"id":151,"name":"Denver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0"/>
        <v>start /low /b %USERPROFILE%\Documents\GitHub\eaglep3\Utilities\DownloadLogsFromS3.py --loco 4059 --day 2017-09-20</v>
      </c>
      <c r="AN16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2"/>
        <v>https://d0f6bd738d7f1b3e5a7ca70fe4ff75f0.us-east-1.aws.found.io/app/kibana#/discover/Steve-Slow-Train-Analysis-(2080s-and-2083s)?_g=(refreshInterval:(display:Off,pause:!f,section:0,value:0),time:(from:'2017-09-20T05:55:31-0600',mode:absolute,to:'2017-09-20T08:24:51-0600'))&amp;_a=(columns:!('Message%20ID',Summary),filters:!(),index:'emp_*',interval:auto,query:(query_string:(analyze_wildcard:!t,query:'Message%5C+ID:(*)+AND+%22rtdc.l.rtdc.4059%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582</v>
      </c>
      <c r="B164" s="7">
        <v>4016</v>
      </c>
      <c r="C164" s="21" t="s">
        <v>196</v>
      </c>
      <c r="D164" s="21" t="s">
        <v>556</v>
      </c>
      <c r="E164" s="13">
        <v>42998.290023148147</v>
      </c>
      <c r="F164" s="13">
        <v>42998.298101851855</v>
      </c>
      <c r="G164" s="7">
        <v>52</v>
      </c>
      <c r="H164" s="21" t="s">
        <v>571</v>
      </c>
      <c r="I164" s="13">
        <v>42998.307893518519</v>
      </c>
      <c r="J164" s="7">
        <v>0</v>
      </c>
      <c r="K164" s="89" t="str">
        <f t="shared" si="57"/>
        <v>4015/4016</v>
      </c>
      <c r="L164" s="185" t="str">
        <f>VLOOKUP(A164,'Trips&amp;Operators'!$C$1:$G$99911,5,FALSE)</f>
        <v>GEBRETEKLE DAGNEW</v>
      </c>
      <c r="M164" s="6">
        <f t="shared" si="58"/>
        <v>9.7916666636592709E-3</v>
      </c>
      <c r="N164" s="7">
        <f t="shared" si="73"/>
        <v>14.09999999566935</v>
      </c>
      <c r="O164" s="7"/>
      <c r="P164" s="7"/>
      <c r="Q164" s="22"/>
      <c r="R164" s="174"/>
      <c r="S164" s="221">
        <f t="shared" si="59"/>
        <v>1</v>
      </c>
      <c r="T164" s="174" t="str">
        <f t="shared" si="60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1"/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04" t="str">
        <f>IF(AA164&lt;VLOOKUP(AG164,Variables!$AC$3:$AD$8,2,FALSE),"Y","N")</f>
        <v>N</v>
      </c>
      <c r="X164" s="204">
        <f t="shared" si="62"/>
        <v>1</v>
      </c>
      <c r="Y164" s="204">
        <f t="shared" si="55"/>
        <v>9.9000000000000005E-2</v>
      </c>
      <c r="Z164" s="204">
        <f t="shared" si="56"/>
        <v>5.8978000000000002</v>
      </c>
      <c r="AA164" s="204">
        <f t="shared" si="63"/>
        <v>5.7988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4"/>
        <v>807</v>
      </c>
      <c r="AE16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4" s="74" t="str">
        <f t="shared" si="66"/>
        <v>"C:\Program Files (x86)\AstroGrep\AstroGrep.exe" /e /r /s /spath="%USERPROFILE%\AppData\Local\Temp\OnboardLogs" /stypes="app*4016*20170920*" /stext=" 13:.+((SYSTEM_STATE.+slice.+state.+changed )|(ment ac)|(multiple cpu faults)|(system.+state.+changed )|(\[timeout)|(PRM\|1\|D)|(kpr)|(kdp)|(train st.+moving)|(\|lc)|(penalty))"</v>
      </c>
      <c r="AG164" s="182" t="str">
        <f t="shared" si="67"/>
        <v>NW</v>
      </c>
      <c r="AH164" s="78" t="str">
        <f t="shared" si="68"/>
        <v>"%USERPROFILE%\Documents\GitHub\eaglep3\Utilities\RefineRTDCRunTimes.py" --tripid 807-20 --locoid 4016 --swversion DE.1.0.9.0 --startMP 204:990 --initTime 2017-09-20T06:57:38 --startdatetime 2017-09-20T07:09:16 --delay 52 --endMP 300:58978 --enddatetime 2017-09-20T07:23:22 --enforcementcount 0 &gt;&gt;c:\users\tmcdowell\Documents\GitHub\eaglep3-reporting\EC\2017-09-20-refined-times.txt</v>
      </c>
      <c r="AI16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{"issue":{"subject":"","project_id":79,"tracker_id":40,"status_id":1,"priority_id":2,"assigned_to_id":338,"start_date":"2017-09-20","description":"","custom_fields":[{"id":1,"name":"Subdivision","value":"NW"},{"id":4,"name":"Milepost","value":"5.8978"},{"id":17,"name":"Train ID","value":"807-20"},{"id":16,"name":"Locomotive ID","value":"4016"},{"id":130,"name":"Impact","value":""},{"id":150,"name":"Time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0"/>
        <v>start /low /b %USERPROFILE%\Documents\GitHub\eaglep3\Utilities\DownloadLogsFromS3.py --loco 4016 --day 2017-09-20</v>
      </c>
      <c r="AN16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2"/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Message%20ID',Summary),filters:!(),index:'emp_*',interval:auto,query:(query_string:(analyze_wildcard:!t,query:'Message%5C+ID:(*)+AND+%22rtdc.l.rtdc.4016%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1026</v>
      </c>
      <c r="B165" s="7">
        <v>4015</v>
      </c>
      <c r="C165" s="21" t="s">
        <v>1027</v>
      </c>
      <c r="D165" s="21" t="s">
        <v>1028</v>
      </c>
      <c r="E165" s="13">
        <v>42998.290023148147</v>
      </c>
      <c r="F165" s="13">
        <v>42998.316006944442</v>
      </c>
      <c r="G165" s="7">
        <v>53</v>
      </c>
      <c r="H165" s="21" t="s">
        <v>1029</v>
      </c>
      <c r="I165" s="13">
        <v>42998.329629629632</v>
      </c>
      <c r="J165" s="7">
        <v>1</v>
      </c>
      <c r="K165" s="89" t="str">
        <f t="shared" si="57"/>
        <v>4015/4016</v>
      </c>
      <c r="L165" s="185" t="s">
        <v>1030</v>
      </c>
      <c r="M165" s="6">
        <f t="shared" si="58"/>
        <v>1.3622685190057382E-2</v>
      </c>
      <c r="N165" s="7">
        <f t="shared" si="73"/>
        <v>19.61666667368263</v>
      </c>
      <c r="O165" s="7"/>
      <c r="P165" s="7"/>
      <c r="Q165" s="22"/>
      <c r="R165" s="174"/>
      <c r="S165" s="221">
        <f t="shared" si="59"/>
        <v>1</v>
      </c>
      <c r="T165" s="174" t="str">
        <f t="shared" si="60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1"/>
        <v>https://d0f6bd738d7f1b3e5a7ca70fe4ff75f0.us-east-1.aws.found.io/app/kibana#/discover/Steve-Slow-Train-Analysis-(2080s-and-2083s)?_g=(refreshInterval:(display:Off,pause:!f,section:0,value:0),time:(from:'2017-09-20T05:57:38-0600',mode:absolute,to:'2017-09-20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04" t="str">
        <f>IF(AA165&lt;VLOOKUP(AG165,Variables!$AC$3:$AD$8,2,FALSE),"Y","N")</f>
        <v>N</v>
      </c>
      <c r="X165" s="204">
        <f t="shared" si="62"/>
        <v>1</v>
      </c>
      <c r="Y165" s="204">
        <v>5.8647</v>
      </c>
      <c r="Z165" s="204">
        <v>6.3299999999999995E-2</v>
      </c>
      <c r="AA165" s="204">
        <f t="shared" si="63"/>
        <v>5.8014000000000001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4"/>
        <v>808</v>
      </c>
      <c r="AE16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5" s="74" t="str">
        <f t="shared" si="66"/>
        <v>"C:\Program Files (x86)\AstroGrep\AstroGrep.exe" /e /r /s /spath="%USERPROFILE%\AppData\Local\Temp\OnboardLogs" /stypes="app*4015*20170920*" /stext=" 13:.+((SYSTEM_STATE.+slice.+state.+changed )|(ment ac)|(multiple cpu faults)|(system.+state.+changed )|(\[timeout)|(PRM\|1\|D)|(kpr)|(kdp)|(train st.+moving)|(\|lc)|(penalty))"</v>
      </c>
      <c r="AG165" s="182" t="str">
        <f t="shared" si="67"/>
        <v>NW</v>
      </c>
      <c r="AH165" s="78" t="str">
        <f t="shared" ref="AH165" si="74"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808-20 --locoid 4015 --swversion DE.1.0.9.1 --startMP 204:991 --initTime 2017-09-20T06:57:38 --startdatetime 2017-09-20T07:35:03 --delay 53 --endMP 300:58979 --enddatetime 2017-09-20T07:54:40 --enforcementcount 1 &gt;&gt;c:\users\tmcdowell\Documents\GitHub\eaglep3-reporting\EC\2017-09-20-refined-times.txt</v>
      </c>
      <c r="AI165" s="96" t="str">
        <f t="shared" ref="AI165" si="75"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{"issue":{"subject":"","project_id":79,"tracker_id":40,"status_id":1,"priority_id":2,"assigned_to_id":338,"start_date":"2017-09-20","description":"","custom_fields":[{"id":1,"name":"Subdivision","value":"NW"},{"id":4,"name":"Milepost","value":"0.0633"},{"id":17,"name":"Train ID","value":"808-20"},{"id":16,"name":"Locomotive ID","value":"4015"},{"id":130,"name":"Impact","value":""},{"id":150,"name":"Time of Event (Mountain Time)","value":"07:54:40"},{"id":151,"name":"Denver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ref="AM165" si="76">"start /low /b "&amp;dls3logs&amp;" --loco "&amp;B165&amp;" --day "&amp;TEXT(F165,"YYYY-MM-DD")</f>
        <v>start /low /b %USERPROFILE%\Documents\GitHub\eaglep3\Utilities\DownloadLogsFromS3.py --loco 4015 --day 2017-09-20</v>
      </c>
      <c r="AN165" s="151" t="str">
        <f t="shared" ref="AN165" si="77"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ref="AO165" si="78"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Message%5C+ID:(*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-20T05:57:38-0600',mode:absolute,to:'2017-09-20T08:54:40-0600'))&amp;_a=(columns:!('Message%20ID',Summary),filters:!(),index:'emp_*',interval:auto,query:(query_string:(analyze_wildcard:!t,query:'Message%5C+ID:(*)+AND+%22rtdc.l.rtdc.4015%22')),sort:!(Time.ISO8601,asc))</v>
      </c>
    </row>
    <row r="166" spans="1:91" s="20" customFormat="1" x14ac:dyDescent="0.25">
      <c r="A166" s="32" t="s">
        <v>583</v>
      </c>
      <c r="B166" s="7">
        <v>4060</v>
      </c>
      <c r="C166" s="21" t="s">
        <v>196</v>
      </c>
      <c r="D166" s="21" t="s">
        <v>961</v>
      </c>
      <c r="E166" s="13">
        <v>42998.313634259262</v>
      </c>
      <c r="F166" s="13">
        <v>42998.319004629629</v>
      </c>
      <c r="G166" s="7">
        <v>112</v>
      </c>
      <c r="H166" s="21" t="s">
        <v>553</v>
      </c>
      <c r="I166" s="13">
        <v>42998.329409722224</v>
      </c>
      <c r="J166" s="7">
        <v>0</v>
      </c>
      <c r="K166" s="89" t="str">
        <f t="shared" si="57"/>
        <v>4059/4060</v>
      </c>
      <c r="L166" s="185" t="str">
        <f>VLOOKUP(A166,'Trips&amp;Operators'!$C$1:$G$99911,5,FALSE)</f>
        <v>LAMAR NEKESHA</v>
      </c>
      <c r="M166" s="6">
        <f t="shared" si="58"/>
        <v>1.0405092594737653E-2</v>
      </c>
      <c r="N166" s="7">
        <f t="shared" si="73"/>
        <v>14.98333333642222</v>
      </c>
      <c r="O166" s="7"/>
      <c r="P166" s="7"/>
      <c r="Q166" s="22"/>
      <c r="R166" s="174"/>
      <c r="S166" s="221">
        <f t="shared" si="59"/>
        <v>1</v>
      </c>
      <c r="T166" s="174" t="str">
        <f t="shared" si="60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1"/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204" t="str">
        <f>IF(AA166&lt;VLOOKUP(AG166,Variables!$AC$3:$AD$8,2,FALSE),"Y","N")</f>
        <v>N</v>
      </c>
      <c r="X166" s="204">
        <f t="shared" si="62"/>
        <v>1</v>
      </c>
      <c r="Y166" s="204">
        <f t="shared" ref="Y166:Y197" si="79">RIGHT(D166,LEN(D166)-4)/10000</f>
        <v>9.2700000000000005E-2</v>
      </c>
      <c r="Z166" s="204">
        <f t="shared" ref="Z166:Z197" si="80">RIGHT(H166,LEN(H166)-4)/10000</f>
        <v>5.8952</v>
      </c>
      <c r="AA166" s="204">
        <f t="shared" si="63"/>
        <v>5.8025000000000002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4"/>
        <v>809</v>
      </c>
      <c r="AE166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66" s="74" t="str">
        <f t="shared" si="66"/>
        <v>"C:\Program Files (x86)\AstroGrep\AstroGrep.exe" /e /r /s /spath="%USERPROFILE%\AppData\Local\Temp\OnboardLogs" /stypes="app*4060*20170920*" /stext=" 13:.+((SYSTEM_STATE.+slice.+state.+changed )|(ment ac)|(multiple cpu faults)|(system.+state.+changed )|(\[timeout)|(PRM\|1\|D)|(kpr)|(kdp)|(train st.+moving)|(\|lc)|(penalty))"</v>
      </c>
      <c r="AG166" s="182" t="str">
        <f t="shared" si="67"/>
        <v>NW</v>
      </c>
      <c r="AH166" s="78" t="str">
        <f t="shared" si="68"/>
        <v>"%USERPROFILE%\Documents\GitHub\eaglep3\Utilities\RefineRTDCRunTimes.py" --tripid 809-20 --locoid 4060 --swversion DE.1.0.9.0 --startMP 204:927 --initTime 2017-09-20T07:31:38 --startdatetime 2017-09-20T07:39:22 --delay 112 --endMP 300:58952 --enddatetime 2017-09-20T07:54:21 --enforcementcount 0 &gt;&gt;c:\users\tmcdowell\Documents\GitHub\eaglep3-reporting\EC\2017-09-20-refined-times.txt</v>
      </c>
      <c r="AI16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{"issue":{"subject":"","project_id":79,"tracker_id":40,"status_id":1,"priority_id":2,"assigned_to_id":338,"start_date":"2017-09-20","description":"","custom_fields":[{"id":1,"name":"Subdivision","value":"NW"},{"id":4,"name":"Milepost","value":"5.8952"},{"id":17,"name":"Train ID","value":"809-20"},{"id":16,"name":"Locomotive ID","value":"4060"},{"id":130,"name":"Impact","value":""},{"id":150,"name":"Time of Event (Mountain Time)","value":"07:54:21"},{"id":151,"name":"Denver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0"/>
        <v>start /low /b %USERPROFILE%\Documents\GitHub\eaglep3\Utilities\DownloadLogsFromS3.py --loco 4060 --day 2017-09-20</v>
      </c>
      <c r="AN16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2"/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Message%20ID',Summary),filters:!(),index:'emp_*',interval:auto,query:(query_string:(analyze_wildcard:!t,query:'Message%5C+ID:(*)+AND+%22rtdc.l.rtdc.4060%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585</v>
      </c>
      <c r="B167" s="7">
        <v>4059</v>
      </c>
      <c r="C167" s="21" t="s">
        <v>196</v>
      </c>
      <c r="D167" s="21" t="s">
        <v>962</v>
      </c>
      <c r="E167" s="13">
        <v>42998.337754629632</v>
      </c>
      <c r="F167" s="13">
        <v>42998.339849537035</v>
      </c>
      <c r="G167" s="7">
        <v>66</v>
      </c>
      <c r="H167" s="21" t="s">
        <v>963</v>
      </c>
      <c r="I167" s="13">
        <v>42998.351990740739</v>
      </c>
      <c r="J167" s="7">
        <v>0</v>
      </c>
      <c r="K167" s="89" t="str">
        <f t="shared" si="57"/>
        <v>4059/4060</v>
      </c>
      <c r="L167" s="185" t="str">
        <f>VLOOKUP(A167,'Trips&amp;Operators'!$C$1:$G$99911,5,FALSE)</f>
        <v>LAMAR NEKESHA</v>
      </c>
      <c r="M167" s="6">
        <f t="shared" si="58"/>
        <v>1.2141203704231884E-2</v>
      </c>
      <c r="N167" s="7">
        <f t="shared" si="73"/>
        <v>17.483333334093913</v>
      </c>
      <c r="O167" s="7"/>
      <c r="P167" s="7"/>
      <c r="Q167" s="22"/>
      <c r="R167" s="174"/>
      <c r="S167" s="221">
        <f t="shared" si="59"/>
        <v>1</v>
      </c>
      <c r="T167" s="174" t="str">
        <f t="shared" si="60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1"/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204" t="str">
        <f>IF(AA167&lt;VLOOKUP(AG167,Variables!$AC$3:$AD$8,2,FALSE),"Y","N")</f>
        <v>N</v>
      </c>
      <c r="X167" s="204">
        <f t="shared" si="62"/>
        <v>1</v>
      </c>
      <c r="Y167" s="204">
        <f t="shared" si="79"/>
        <v>5.8635999999999999</v>
      </c>
      <c r="Z167" s="204">
        <f t="shared" si="80"/>
        <v>7.0599999999999996E-2</v>
      </c>
      <c r="AA167" s="204">
        <f t="shared" si="63"/>
        <v>5.7930000000000001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4"/>
        <v>810</v>
      </c>
      <c r="AE167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67" s="74" t="str">
        <f t="shared" si="66"/>
        <v>"C:\Program Files (x86)\AstroGrep\AstroGrep.exe" /e /r /s /spath="%USERPROFILE%\AppData\Local\Temp\OnboardLogs" /stypes="app*4059*20170920*" /stext=" 14:.+((SYSTEM_STATE.+slice.+state.+changed )|(ment ac)|(multiple cpu faults)|(system.+state.+changed )|(\[timeout)|(PRM\|1\|D)|(kpr)|(kdp)|(train st.+moving)|(\|lc)|(penalty))"</v>
      </c>
      <c r="AG167" s="182" t="str">
        <f t="shared" si="67"/>
        <v>NW</v>
      </c>
      <c r="AH167" s="78" t="str">
        <f t="shared" si="68"/>
        <v>"%USERPROFILE%\Documents\GitHub\eaglep3\Utilities\RefineRTDCRunTimes.py" --tripid 810-20 --locoid 4059 --swversion DE.1.0.9.0 --startMP 300:58636 --initTime 2017-09-20T08:06:22 --startdatetime 2017-09-20T08:09:23 --delay 66 --endMP 204:706 --enddatetime 2017-09-20T08:26:52 --enforcementcount 0 &gt;&gt;c:\users\tmcdowell\Documents\GitHub\eaglep3-reporting\EC\2017-09-20-refined-times.txt</v>
      </c>
      <c r="AI16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{"issue":{"subject":"","project_id":79,"tracker_id":40,"status_id":1,"priority_id":2,"assigned_to_id":338,"start_date":"2017-09-20","description":"","custom_fields":[{"id":1,"name":"Subdivision","value":"NW"},{"id":4,"name":"Milepost","value":"0.0706"},{"id":17,"name":"Train ID","value":"810-20"},{"id":16,"name":"Locomotive ID","value":"4059"},{"id":130,"name":"Impact","value":""},{"id":150,"name":"Time of Event (Mountain Time)","value":"08:26:52"},{"id":151,"name":"Denver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0"/>
        <v>start /low /b %USERPROFILE%\Documents\GitHub\eaglep3\Utilities\DownloadLogsFromS3.py --loco 4059 --day 2017-09-20</v>
      </c>
      <c r="AN16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14:26:52"},{"id":29,"name":"Sharepoint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2"/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Message%20ID',Summary),filters:!(),index:'emp_*',interval:auto,query:(query_string:(analyze_wildcard:!t,query:'Message%5C+ID:(*)+AND+%22rtdc.l.rtdc.4059%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676</v>
      </c>
      <c r="B168" s="7">
        <v>4016</v>
      </c>
      <c r="C168" s="21" t="s">
        <v>196</v>
      </c>
      <c r="D168" s="21" t="s">
        <v>964</v>
      </c>
      <c r="E168" s="13">
        <v>42998.331261574072</v>
      </c>
      <c r="F168" s="13">
        <v>42998.339814814812</v>
      </c>
      <c r="G168" s="7">
        <v>54</v>
      </c>
      <c r="H168" s="21" t="s">
        <v>965</v>
      </c>
      <c r="I168" s="13">
        <v>42998.351030092592</v>
      </c>
      <c r="J168" s="7">
        <v>0</v>
      </c>
      <c r="K168" s="89" t="str">
        <f t="shared" si="57"/>
        <v>4015/4016</v>
      </c>
      <c r="L168" s="185" t="str">
        <f>VLOOKUP(A168,'Trips&amp;Operators'!$C$1:$G$99911,5,FALSE)</f>
        <v>GEBRETEKLE DAGNEW</v>
      </c>
      <c r="M168" s="6">
        <f t="shared" si="58"/>
        <v>1.1215277780138422E-2</v>
      </c>
      <c r="N168" s="7">
        <f t="shared" si="73"/>
        <v>16.150000003399327</v>
      </c>
      <c r="O168" s="7"/>
      <c r="P168" s="7"/>
      <c r="Q168" s="22"/>
      <c r="R168" s="174"/>
      <c r="S168" s="221">
        <f t="shared" si="59"/>
        <v>1</v>
      </c>
      <c r="T168" s="174" t="str">
        <f t="shared" si="60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1"/>
        <v>https://d0f6bd738d7f1b3e5a7ca70fe4ff75f0.us-east-1.aws.found.io/app/kibana#/discover/Steve-Slow-Train-Analysis-(2080s-and-2083s)?_g=(refreshInterval:(display:Off,pause:!f,section:0,value:0),time:(from:'2017-09-20T06:57:01-0600',mode:absolute,to:'2017-09-20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>IF(AA168&lt;VLOOKUP(AG168,Variables!$AC$3:$AD$8,2,FALSE),"Y","N")</f>
        <v>N</v>
      </c>
      <c r="X168" s="204">
        <f t="shared" si="62"/>
        <v>1</v>
      </c>
      <c r="Y168" s="204">
        <f t="shared" si="79"/>
        <v>0.10059999999999999</v>
      </c>
      <c r="Z168" s="204">
        <f t="shared" si="80"/>
        <v>5.8973000000000004</v>
      </c>
      <c r="AA168" s="204">
        <f t="shared" si="63"/>
        <v>5.7967000000000004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4"/>
        <v>811</v>
      </c>
      <c r="AE16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8" s="74" t="str">
        <f t="shared" si="66"/>
        <v>"C:\Program Files (x86)\AstroGrep\AstroGrep.exe" /e /r /s /spath="%USERPROFILE%\AppData\Local\Temp\OnboardLogs" /stypes="app*4016*20170920*" /stext=" 14:.+((SYSTEM_STATE.+slice.+state.+changed )|(ment ac)|(multiple cpu faults)|(system.+state.+changed )|(\[timeout)|(PRM\|1\|D)|(kpr)|(kdp)|(train st.+moving)|(\|lc)|(penalty))"</v>
      </c>
      <c r="AG168" s="182" t="str">
        <f t="shared" si="67"/>
        <v>NW</v>
      </c>
      <c r="AH168" s="78" t="str">
        <f t="shared" si="68"/>
        <v>"%USERPROFILE%\Documents\GitHub\eaglep3\Utilities\RefineRTDCRunTimes.py" --tripid 811-20 --locoid 4016 --swversion DE.1.0.9.0 --startMP 204:1006 --initTime 2017-09-20T07:57:01 --startdatetime 2017-09-20T08:09:20 --delay 54 --endMP 300:58973 --enddatetime 2017-09-20T08:25:29 --enforcementcount 0 &gt;&gt;c:\users\tmcdowell\Documents\GitHub\eaglep3-reporting\EC\2017-09-20-refined-times.txt</v>
      </c>
      <c r="AI16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ID","value":"811-20"},{"id":16,"name":"Locomotive ID","value":"4016"},{"id":130,"name":"Impact","value":""},{"id":150,"name":"Time of Event (Mountain Time)","value":"08:25:29"},{"id":151,"name":"Denver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0"/>
        <v>start /low /b %USERPROFILE%\Documents\GitHub\eaglep3\Utilities\DownloadLogsFromS3.py --loco 4016 --day 2017-09-20</v>
      </c>
      <c r="AN16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2"/>
        <v>https://d0f6bd738d7f1b3e5a7ca70fe4ff75f0.us-east-1.aws.found.io/app/kibana#/discover/Steve-Slow-Train-Analysis-(2080s-and-2083s)?_g=(refreshInterval:(display:Off,pause:!f,section:0,value:0),time:(from:'2017-09-20T06:57:01-0600',mode:absolute,to:'2017-09-20T09:25:29-0600'))&amp;_a=(columns:!('Message%20ID',Summary),filters:!(),index:'emp_*',interval:auto,query:(query_string:(analyze_wildcard:!t,query:'Message%5C+ID:(*)+AND+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682</v>
      </c>
      <c r="B169" s="7">
        <v>4015</v>
      </c>
      <c r="C169" s="21" t="s">
        <v>196</v>
      </c>
      <c r="D169" s="21" t="s">
        <v>561</v>
      </c>
      <c r="E169" s="13">
        <v>42998.352754629632</v>
      </c>
      <c r="F169" s="13">
        <v>42998.358252314814</v>
      </c>
      <c r="G169" s="7">
        <v>70</v>
      </c>
      <c r="H169" s="21" t="s">
        <v>966</v>
      </c>
      <c r="I169" s="13">
        <v>42998.371134259258</v>
      </c>
      <c r="J169" s="7">
        <v>0</v>
      </c>
      <c r="K169" s="89" t="str">
        <f t="shared" si="57"/>
        <v>4015/4016</v>
      </c>
      <c r="L169" s="185" t="str">
        <f>VLOOKUP(A169,'Trips&amp;Operators'!$C$1:$G$99911,5,FALSE)</f>
        <v>GEBRETEKLE DAGNEW</v>
      </c>
      <c r="M169" s="6">
        <f t="shared" si="58"/>
        <v>1.2881944443506654E-2</v>
      </c>
      <c r="N169" s="7">
        <f t="shared" si="73"/>
        <v>18.549999998649582</v>
      </c>
      <c r="O169" s="7"/>
      <c r="P169" s="7"/>
      <c r="Q169" s="22"/>
      <c r="R169" s="174"/>
      <c r="S169" s="221">
        <f t="shared" si="59"/>
        <v>1</v>
      </c>
      <c r="T169" s="174" t="str">
        <f t="shared" si="60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1"/>
        <v>https://d0f6bd738d7f1b3e5a7ca70fe4ff75f0.us-east-1.aws.found.io/app/kibana#/discover/Steve-Slow-Train-Analysis-(2080s-and-2083s)?_g=(refreshInterval:(display:Off,pause:!f,section:0,value:0),time:(from:'2017-09-20T07:27:58-0600',mode:absolute,to:'2017-09-20T09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>IF(AA169&lt;VLOOKUP(AG169,Variables!$AC$3:$AD$8,2,FALSE),"Y","N")</f>
        <v>N</v>
      </c>
      <c r="X169" s="204">
        <f t="shared" si="62"/>
        <v>1</v>
      </c>
      <c r="Y169" s="204">
        <f t="shared" si="79"/>
        <v>5.8653000000000004</v>
      </c>
      <c r="Z169" s="204">
        <f t="shared" si="80"/>
        <v>7.1199999999999999E-2</v>
      </c>
      <c r="AA169" s="204">
        <f t="shared" si="63"/>
        <v>5.7941000000000003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4"/>
        <v>812</v>
      </c>
      <c r="AE16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9" s="74" t="str">
        <f t="shared" si="66"/>
        <v>"C:\Program Files (x86)\AstroGrep\AstroGrep.exe" /e /r /s /spath="%USERPROFILE%\AppData\Local\Temp\OnboardLogs" /stypes="app*4015*20170920*" /stext=" 14:.+((SYSTEM_STATE.+slice.+state.+changed )|(ment ac)|(multiple cpu faults)|(system.+state.+changed )|(\[timeout)|(PRM\|1\|D)|(kpr)|(kdp)|(train st.+moving)|(\|lc)|(penalty))"</v>
      </c>
      <c r="AG169" s="182" t="str">
        <f t="shared" si="67"/>
        <v>NW</v>
      </c>
      <c r="AH169" s="78" t="str">
        <f t="shared" si="68"/>
        <v>"%USERPROFILE%\Documents\GitHub\eaglep3\Utilities\RefineRTDCRunTimes.py" --tripid 812-20 --locoid 4015 --swversion DE.1.0.9.0 --startMP 300:58653 --initTime 2017-09-20T08:27:58 --startdatetime 2017-09-20T08:35:53 --delay 70 --endMP 204:712 --enddatetime 2017-09-20T08:54:26 --enforcementcount 0 &gt;&gt;c:\users\tmcdowell\Documents\GitHub\eaglep3-reporting\EC\2017-09-20-refined-times.txt</v>
      </c>
      <c r="AI16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{"issue":{"subject":"","project_id":79,"tracker_id":40,"status_id":1,"priority_id":2,"assigned_to_id":338,"start_date":"2017-09-20","description":"","custom_fields":[{"id":1,"name":"Subdivision","value":"NW"},{"id":4,"name":"Milepost","value":"0.0712"},{"id":17,"name":"Train ID","value":"812-20"},{"id":16,"name":"Locomotive ID","value":"4015"},{"id":130,"name":"Impact","value":""},{"id":150,"name":"Time of Event (Mountain Time)","value":"08:54:26"},{"id":151,"name":"Denver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0"/>
        <v>start /low /b %USERPROFILE%\Documents\GitHub\eaglep3\Utilities\DownloadLogsFromS3.py --loco 4015 --day 2017-09-20</v>
      </c>
      <c r="AN16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2"/>
        <v>https://d0f6bd738d7f1b3e5a7ca70fe4ff75f0.us-east-1.aws.found.io/app/kibana#/discover/Steve-Slow-Train-Analysis-(2080s-and-2083s)?_g=(refreshInterval:(display:Off,pause:!f,section:0,value:0),time:(from:'2017-09-20T07:27:58-0600',mode:absolute,to:'2017-09-20T09:54:26-0600'))&amp;_a=(columns:!('Message%20ID',Summary),filters:!(),index:'emp_*',interval:auto,query:(query_string:(analyze_wildcard:!t,query:'Message%5C+ID:(*)+AND+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688</v>
      </c>
      <c r="B170" s="7">
        <v>4016</v>
      </c>
      <c r="C170" s="21" t="s">
        <v>196</v>
      </c>
      <c r="D170" s="21" t="s">
        <v>967</v>
      </c>
      <c r="E170" s="13">
        <v>42998.373263888891</v>
      </c>
      <c r="F170" s="13">
        <v>42998.381458333337</v>
      </c>
      <c r="G170" s="7">
        <v>58</v>
      </c>
      <c r="H170" s="21" t="s">
        <v>558</v>
      </c>
      <c r="I170" s="13">
        <v>42998.390717592592</v>
      </c>
      <c r="J170" s="7">
        <v>0</v>
      </c>
      <c r="K170" s="89" t="str">
        <f t="shared" si="57"/>
        <v>4015/4016</v>
      </c>
      <c r="L170" s="185" t="str">
        <f>VLOOKUP(A170,'Trips&amp;Operators'!$C$1:$G$99911,5,FALSE)</f>
        <v>GEBRETEKLE DAGNEW</v>
      </c>
      <c r="M170" s="6">
        <f t="shared" si="58"/>
        <v>9.2592592554865405E-3</v>
      </c>
      <c r="N170" s="7">
        <f t="shared" si="73"/>
        <v>13.333333327900618</v>
      </c>
      <c r="O170" s="7"/>
      <c r="P170" s="7"/>
      <c r="Q170" s="22"/>
      <c r="R170" s="174"/>
      <c r="S170" s="221">
        <f t="shared" si="59"/>
        <v>1</v>
      </c>
      <c r="T170" s="174" t="str">
        <f t="shared" si="60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1"/>
        <v>https://d0f6bd738d7f1b3e5a7ca70fe4ff75f0.us-east-1.aws.found.io/app/kibana#/discover/Steve-Slow-Train-Analysis-(2080s-and-2083s)?_g=(refreshInterval:(display:Off,pause:!f,section:0,value:0),time:(from:'2017-09-20T07:57:30-0600',mode:absolute,to:'2017-09-20T10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04" t="str">
        <f>IF(AA170&lt;VLOOKUP(AG170,Variables!$AC$3:$AD$8,2,FALSE),"Y","N")</f>
        <v>N</v>
      </c>
      <c r="X170" s="204">
        <f t="shared" si="62"/>
        <v>1</v>
      </c>
      <c r="Y170" s="204">
        <f t="shared" si="79"/>
        <v>9.9199999999999997E-2</v>
      </c>
      <c r="Z170" s="204">
        <f t="shared" si="80"/>
        <v>5.8945999999999996</v>
      </c>
      <c r="AA170" s="204">
        <f t="shared" si="63"/>
        <v>5.7953999999999999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4"/>
        <v>813</v>
      </c>
      <c r="AE17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0" s="74" t="str">
        <f t="shared" si="66"/>
        <v>"C:\Program Files (x86)\AstroGrep\AstroGrep.exe" /e /r /s /spath="%USERPROFILE%\AppData\Local\Temp\OnboardLogs" /stypes="app*4016*20170920*" /stext=" 15:.+((SYSTEM_STATE.+slice.+state.+changed )|(ment ac)|(multiple cpu faults)|(system.+state.+changed )|(\[timeout)|(PRM\|1\|D)|(kpr)|(kdp)|(train st.+moving)|(\|lc)|(penalty))"</v>
      </c>
      <c r="AG170" s="182" t="str">
        <f t="shared" si="67"/>
        <v>NW</v>
      </c>
      <c r="AH170" s="78" t="str">
        <f t="shared" si="68"/>
        <v>"%USERPROFILE%\Documents\GitHub\eaglep3\Utilities\RefineRTDCRunTimes.py" --tripid 813-20 --locoid 4016 --swversion DE.1.0.9.0 --startMP 204:992 --initTime 2017-09-20T08:57:30 --startdatetime 2017-09-20T09:09:18 --delay 58 --endMP 300:58946 --enddatetime 2017-09-20T09:22:38 --enforcementcount 0 &gt;&gt;c:\users\tmcdowell\Documents\GitHub\eaglep3-reporting\EC\2017-09-20-refined-times.txt</v>
      </c>
      <c r="AI17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{"issue":{"subject":"","project_id":79,"tracker_id":40,"status_id":1,"priority_id":2,"assigned_to_id":338,"start_date":"2017-09-20","description":"","custom_fields":[{"id":1,"name":"Subdivision","value":"NW"},{"id":4,"name":"Milepost","value":"5.8946"},{"id":17,"name":"Train ID","value":"813-20"},{"id":16,"name":"Locomotive ID","value":"4016"},{"id":130,"name":"Impact","value":""},{"id":150,"name":"Time of Event (Mountain Time)","value":"09:22:38"},{"id":151,"name":"Denver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0"/>
        <v>start /low /b %USERPROFILE%\Documents\GitHub\eaglep3\Utilities\DownloadLogsFromS3.py --loco 4016 --day 2017-09-20</v>
      </c>
      <c r="AN17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2"/>
        <v>https://d0f6bd738d7f1b3e5a7ca70fe4ff75f0.us-east-1.aws.found.io/app/kibana#/discover/Steve-Slow-Train-Analysis-(2080s-and-2083s)?_g=(refreshInterval:(display:Off,pause:!f,section:0,value:0),time:(from:'2017-09-20T07:57:30-0600',mode:absolute,to:'2017-09-20T10:22:38-0600'))&amp;_a=(columns:!('Message%20ID',Summary),filters:!(),index:'emp_*',interval:auto,query:(query_string:(analyze_wildcard:!t,query:'Message%5C+ID:(*)+AND+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692</v>
      </c>
      <c r="B171" s="7">
        <v>4015</v>
      </c>
      <c r="C171" s="21" t="s">
        <v>196</v>
      </c>
      <c r="D171" s="21" t="s">
        <v>968</v>
      </c>
      <c r="E171" s="13">
        <v>42998.392326388886</v>
      </c>
      <c r="F171" s="13">
        <v>42998.395740740743</v>
      </c>
      <c r="G171" s="7">
        <v>50</v>
      </c>
      <c r="H171" s="21" t="s">
        <v>503</v>
      </c>
      <c r="I171" s="13">
        <v>42998.412731481483</v>
      </c>
      <c r="J171" s="7">
        <v>0</v>
      </c>
      <c r="K171" s="89" t="str">
        <f t="shared" si="57"/>
        <v>4015/4016</v>
      </c>
      <c r="L171" s="185" t="str">
        <f>VLOOKUP(A171,'Trips&amp;Operators'!$C$1:$G$99911,5,FALSE)</f>
        <v>GEBRETEKLE DAGNEW</v>
      </c>
      <c r="M171" s="6">
        <f t="shared" si="58"/>
        <v>1.6990740739856847E-2</v>
      </c>
      <c r="N171" s="7">
        <f t="shared" si="73"/>
        <v>24.466666665393859</v>
      </c>
      <c r="O171" s="7"/>
      <c r="P171" s="7"/>
      <c r="Q171" s="22"/>
      <c r="R171" s="174"/>
      <c r="S171" s="221">
        <f t="shared" si="59"/>
        <v>1</v>
      </c>
      <c r="T171" s="174" t="str">
        <f t="shared" si="60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1"/>
        <v>https://d0f6bd738d7f1b3e5a7ca70fe4ff75f0.us-east-1.aws.found.io/app/kibana#/discover/Steve-Slow-Train-Analysis-(2080s-and-2083s)?_g=(refreshInterval:(display:Off,pause:!f,section:0,value:0),time:(from:'2017-09-20T08:24:57-0600',mode:absolute,to:'2017-09-20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04" t="str">
        <f>IF(AA171&lt;VLOOKUP(AG171,Variables!$AC$3:$AD$8,2,FALSE),"Y","N")</f>
        <v>N</v>
      </c>
      <c r="X171" s="204">
        <f t="shared" si="62"/>
        <v>1</v>
      </c>
      <c r="Y171" s="204">
        <f t="shared" si="79"/>
        <v>5.8638000000000003</v>
      </c>
      <c r="Z171" s="204">
        <f t="shared" si="80"/>
        <v>7.0999999999999994E-2</v>
      </c>
      <c r="AA171" s="204">
        <f t="shared" si="63"/>
        <v>5.7928000000000006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4"/>
        <v>814</v>
      </c>
      <c r="AE17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1" s="74" t="str">
        <f t="shared" si="66"/>
        <v>"C:\Program Files (x86)\AstroGrep\AstroGrep.exe" /e /r /s /spath="%USERPROFILE%\AppData\Local\Temp\OnboardLogs" /stypes="app*4015*20170920*" /stext=" 15:.+((SYSTEM_STATE.+slice.+state.+changed )|(ment ac)|(multiple cpu faults)|(system.+state.+changed )|(\[timeout)|(PRM\|1\|D)|(kpr)|(kdp)|(train st.+moving)|(\|lc)|(penalty))"</v>
      </c>
      <c r="AG171" s="182" t="str">
        <f t="shared" si="67"/>
        <v>NW</v>
      </c>
      <c r="AH171" s="78" t="str">
        <f t="shared" si="68"/>
        <v>"%USERPROFILE%\Documents\GitHub\eaglep3\Utilities\RefineRTDCRunTimes.py" --tripid 814-20 --locoid 4015 --swversion DE.1.0.9.0 --startMP 300:58638 --initTime 2017-09-20T09:24:57 --startdatetime 2017-09-20T09:29:52 --delay 50 --endMP 204:710 --enddatetime 2017-09-20T09:54:20 --enforcementcount 0 &gt;&gt;c:\users\tmcdowell\Documents\GitHub\eaglep3-reporting\EC\2017-09-20-refined-times.txt</v>
      </c>
      <c r="AI17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{"issue":{"subject":"","project_id":79,"tracker_id":40,"status_id":1,"priority_id":2,"assigned_to_id":338,"start_date":"2017-09-20","description":"","custom_fields":[{"id":1,"name":"Subdivision","value":"NW"},{"id":4,"name":"Milepost","value":"0.071"},{"id":17,"name":"Train ID","value":"814-20"},{"id":16,"name":"Locomotive ID","value":"4015"},{"id":130,"name":"Impact","value":""},{"id":150,"name":"Time of Event (Mountain Time)","value":"09:54:20"},{"id":151,"name":"Denver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0"/>
        <v>start /low /b %USERPROFILE%\Documents\GitHub\eaglep3\Utilities\DownloadLogsFromS3.py --loco 4015 --day 2017-09-20</v>
      </c>
      <c r="AN17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2"/>
        <v>https://d0f6bd738d7f1b3e5a7ca70fe4ff75f0.us-east-1.aws.found.io/app/kibana#/discover/Steve-Slow-Train-Analysis-(2080s-and-2083s)?_g=(refreshInterval:(display:Off,pause:!f,section:0,value:0),time:(from:'2017-09-20T08:24:57-0600',mode:absolute,to:'2017-09-20T10:54:20-0600'))&amp;_a=(columns:!('Message%20ID',Summary),filters:!(),index:'emp_*',interval:auto,query:(query_string:(analyze_wildcard:!t,query:'Message%5C+ID:(*)+AND+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697</v>
      </c>
      <c r="B172" s="7">
        <v>4016</v>
      </c>
      <c r="C172" s="21" t="s">
        <v>196</v>
      </c>
      <c r="D172" s="21" t="s">
        <v>501</v>
      </c>
      <c r="E172" s="13">
        <v>42998.414247685185</v>
      </c>
      <c r="F172" s="13">
        <v>42998.423472222225</v>
      </c>
      <c r="G172" s="7">
        <v>55</v>
      </c>
      <c r="H172" s="21" t="s">
        <v>969</v>
      </c>
      <c r="I172" s="13">
        <v>42998.432592592595</v>
      </c>
      <c r="J172" s="7">
        <v>0</v>
      </c>
      <c r="K172" s="89" t="str">
        <f t="shared" si="57"/>
        <v>4015/4016</v>
      </c>
      <c r="L172" s="185" t="str">
        <f>VLOOKUP(A172,'Trips&amp;Operators'!$C$1:$G$99911,5,FALSE)</f>
        <v>GEBRETEKLE DAGNEW</v>
      </c>
      <c r="M172" s="6">
        <f t="shared" si="58"/>
        <v>9.1203703705104999E-3</v>
      </c>
      <c r="N172" s="7">
        <f t="shared" si="73"/>
        <v>13.13333333353512</v>
      </c>
      <c r="O172" s="7"/>
      <c r="P172" s="7"/>
      <c r="Q172" s="22"/>
      <c r="R172" s="174"/>
      <c r="S172" s="221">
        <f t="shared" si="59"/>
        <v>1</v>
      </c>
      <c r="T172" s="174" t="str">
        <f t="shared" si="60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1"/>
        <v>https://d0f6bd738d7f1b3e5a7ca70fe4ff75f0.us-east-1.aws.found.io/app/kibana#/discover/Steve-Slow-Train-Analysis-(2080s-and-2083s)?_g=(refreshInterval:(display:Off,pause:!f,section:0,value:0),time:(from:'2017-09-20T08:56:31-0600',mode:absolute,to:'2017-09-20T11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>IF(AA172&lt;VLOOKUP(AG172,Variables!$AC$3:$AD$8,2,FALSE),"Y","N")</f>
        <v>N</v>
      </c>
      <c r="X172" s="204">
        <f t="shared" si="62"/>
        <v>1</v>
      </c>
      <c r="Y172" s="204">
        <f t="shared" si="79"/>
        <v>9.7100000000000006E-2</v>
      </c>
      <c r="Z172" s="204">
        <f t="shared" si="80"/>
        <v>5.8968999999999996</v>
      </c>
      <c r="AA172" s="204">
        <f t="shared" si="63"/>
        <v>5.7997999999999994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4"/>
        <v>815</v>
      </c>
      <c r="AE17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2" s="74" t="str">
        <f t="shared" si="66"/>
        <v>"C:\Program Files (x86)\AstroGrep\AstroGrep.exe" /e /r /s /spath="%USERPROFILE%\AppData\Local\Temp\OnboardLogs" /stypes="app*4016*20170920*" /stext=" 16:.+((SYSTEM_STATE.+slice.+state.+changed )|(ment ac)|(multiple cpu faults)|(system.+state.+changed )|(\[timeout)|(PRM\|1\|D)|(kpr)|(kdp)|(train st.+moving)|(\|lc)|(penalty))"</v>
      </c>
      <c r="AG172" s="182" t="str">
        <f t="shared" si="67"/>
        <v>NW</v>
      </c>
      <c r="AH172" s="78" t="str">
        <f t="shared" si="68"/>
        <v>"%USERPROFILE%\Documents\GitHub\eaglep3\Utilities\RefineRTDCRunTimes.py" --tripid 815-20 --locoid 4016 --swversion DE.1.0.9.0 --startMP 204:971 --initTime 2017-09-20T09:56:31 --startdatetime 2017-09-20T10:09:48 --delay 55 --endMP 300:58969 --enddatetime 2017-09-20T10:22:56 --enforcementcount 0 &gt;&gt;c:\users\tmcdowell\Documents\GitHub\eaglep3-reporting\EC\2017-09-20-refined-times.txt</v>
      </c>
      <c r="AI17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{"issue":{"subject":"","project_id":79,"tracker_id":40,"status_id":1,"priority_id":2,"assigned_to_id":338,"start_date":"2017-09-20","description":"","custom_fields":[{"id":1,"name":"Subdivision","value":"NW"},{"id":4,"name":"Milepost","value":"5.8969"},{"id":17,"name":"Train ID","value":"815-20"},{"id":16,"name":"Locomotive ID","value":"4016"},{"id":130,"name":"Impact","value":""},{"id":150,"name":"Time of Event (Mountain Time)","value":"10:22:56"},{"id":151,"name":"Denver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0"/>
        <v>start /low /b %USERPROFILE%\Documents\GitHub\eaglep3\Utilities\DownloadLogsFromS3.py --loco 4016 --day 2017-09-20</v>
      </c>
      <c r="AN17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2"/>
        <v>https://d0f6bd738d7f1b3e5a7ca70fe4ff75f0.us-east-1.aws.found.io/app/kibana#/discover/Steve-Slow-Train-Analysis-(2080s-and-2083s)?_g=(refreshInterval:(display:Off,pause:!f,section:0,value:0),time:(from:'2017-09-20T08:56:31-0600',mode:absolute,to:'2017-09-20T11:22:56-0600'))&amp;_a=(columns:!('Message%20ID',Summary),filters:!(),index:'emp_*',interval:auto,query:(query_string:(analyze_wildcard:!t,query:'Message%5C+ID:(*)+AND+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701</v>
      </c>
      <c r="B173" s="7">
        <v>4015</v>
      </c>
      <c r="C173" s="21" t="s">
        <v>196</v>
      </c>
      <c r="D173" s="21" t="s">
        <v>569</v>
      </c>
      <c r="E173" s="13">
        <v>42998.434305555558</v>
      </c>
      <c r="F173" s="13">
        <v>42998.439583333333</v>
      </c>
      <c r="G173" s="7">
        <v>70</v>
      </c>
      <c r="H173" s="21" t="s">
        <v>970</v>
      </c>
      <c r="I173" s="13">
        <v>42998.454618055555</v>
      </c>
      <c r="J173" s="7">
        <v>0</v>
      </c>
      <c r="K173" s="89" t="str">
        <f t="shared" si="57"/>
        <v>4015/4016</v>
      </c>
      <c r="L173" s="185" t="str">
        <f>VLOOKUP(A173,'Trips&amp;Operators'!$C$1:$G$99911,5,FALSE)</f>
        <v>GEBRETEKLE DAGNEW</v>
      </c>
      <c r="M173" s="6">
        <f t="shared" si="58"/>
        <v>1.5034722222480923E-2</v>
      </c>
      <c r="N173" s="7">
        <f t="shared" si="73"/>
        <v>21.650000000372529</v>
      </c>
      <c r="O173" s="7"/>
      <c r="P173" s="7"/>
      <c r="Q173" s="22"/>
      <c r="R173" s="174"/>
      <c r="S173" s="221">
        <f t="shared" si="59"/>
        <v>1</v>
      </c>
      <c r="T173" s="174" t="str">
        <f t="shared" si="60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1"/>
        <v>https://d0f6bd738d7f1b3e5a7ca70fe4ff75f0.us-east-1.aws.found.io/app/kibana#/discover/Steve-Slow-Train-Analysis-(2080s-and-2083s)?_g=(refreshInterval:(display:Off,pause:!f,section:0,value:0),time:(from:'2017-09-20T09:25:24-0600',mode:absolute,to:'2017-09-20T11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>IF(AA173&lt;VLOOKUP(AG173,Variables!$AC$3:$AD$8,2,FALSE),"Y","N")</f>
        <v>N</v>
      </c>
      <c r="X173" s="204">
        <f t="shared" si="62"/>
        <v>1</v>
      </c>
      <c r="Y173" s="204">
        <f t="shared" si="79"/>
        <v>5.8651</v>
      </c>
      <c r="Z173" s="204">
        <f t="shared" si="80"/>
        <v>7.1300000000000002E-2</v>
      </c>
      <c r="AA173" s="204">
        <f t="shared" si="63"/>
        <v>5.7938000000000001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4"/>
        <v>816</v>
      </c>
      <c r="AE173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3" s="74" t="str">
        <f t="shared" si="66"/>
        <v>"C:\Program Files (x86)\AstroGrep\AstroGrep.exe" /e /r /s /spath="%USERPROFILE%\AppData\Local\Temp\OnboardLogs" /stypes="app*4015*20170920*" /stext=" 16:.+((SYSTEM_STATE.+slice.+state.+changed )|(ment ac)|(multiple cpu faults)|(system.+state.+changed )|(\[timeout)|(PRM\|1\|D)|(kpr)|(kdp)|(train st.+moving)|(\|lc)|(penalty))"</v>
      </c>
      <c r="AG173" s="182" t="str">
        <f t="shared" si="67"/>
        <v>NW</v>
      </c>
      <c r="AH173" s="78" t="str">
        <f t="shared" si="68"/>
        <v>"%USERPROFILE%\Documents\GitHub\eaglep3\Utilities\RefineRTDCRunTimes.py" --tripid 816-20 --locoid 4015 --swversion DE.1.0.9.0 --startMP 300:58651 --initTime 2017-09-20T10:25:24 --startdatetime 2017-09-20T10:33:00 --delay 70 --endMP 204:713 --enddatetime 2017-09-20T10:54:39 --enforcementcount 0 &gt;&gt;c:\users\tmcdowell\Documents\GitHub\eaglep3-reporting\EC\2017-09-20-refined-times.txt</v>
      </c>
      <c r="AI17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{"issue":{"subject":"","project_id":79,"tracker_id":40,"status_id":1,"priority_id":2,"assigned_to_id":338,"start_date":"2017-09-20","description":"","custom_fields":[{"id":1,"name":"Subdivision","value":"NW"},{"id":4,"name":"Milepost","value":"0.0713"},{"id":17,"name":"Train ID","value":"816-20"},{"id":16,"name":"Locomotive ID","value":"4015"},{"id":130,"name":"Impact","value":""},{"id":150,"name":"Time of Event (Mountain Time)","value":"10:54:39"},{"id":151,"name":"Denver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0"/>
        <v>start /low /b %USERPROFILE%\Documents\GitHub\eaglep3\Utilities\DownloadLogsFromS3.py --loco 4015 --day 2017-09-20</v>
      </c>
      <c r="AN17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2"/>
        <v>https://d0f6bd738d7f1b3e5a7ca70fe4ff75f0.us-east-1.aws.found.io/app/kibana#/discover/Steve-Slow-Train-Analysis-(2080s-and-2083s)?_g=(refreshInterval:(display:Off,pause:!f,section:0,value:0),time:(from:'2017-09-20T09:25:24-0600',mode:absolute,to:'2017-09-20T11:54:39-0600'))&amp;_a=(columns:!('Message%20ID',Summary),filters:!(),index:'emp_*',interval:auto,query:(query_string:(analyze_wildcard:!t,query:'Message%5C+ID:(*)+AND+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594</v>
      </c>
      <c r="B174" s="7">
        <v>4016</v>
      </c>
      <c r="C174" s="21" t="s">
        <v>196</v>
      </c>
      <c r="D174" s="21" t="s">
        <v>971</v>
      </c>
      <c r="E174" s="13">
        <v>42998.455914351849</v>
      </c>
      <c r="F174" s="13">
        <v>42998.464872685188</v>
      </c>
      <c r="G174" s="7">
        <v>56</v>
      </c>
      <c r="H174" s="21" t="s">
        <v>965</v>
      </c>
      <c r="I174" s="13">
        <v>42998.474722222221</v>
      </c>
      <c r="J174" s="7">
        <v>0</v>
      </c>
      <c r="K174" s="89" t="str">
        <f t="shared" si="57"/>
        <v>4015/4016</v>
      </c>
      <c r="L174" s="185" t="str">
        <f>VLOOKUP(A174,'Trips&amp;Operators'!$C$1:$G$99911,5,FALSE)</f>
        <v>GEBRETEKLE DAGNEW</v>
      </c>
      <c r="M174" s="6">
        <f t="shared" si="58"/>
        <v>9.8495370330056176E-3</v>
      </c>
      <c r="N174" s="7">
        <f t="shared" si="73"/>
        <v>14.183333327528089</v>
      </c>
      <c r="O174" s="7"/>
      <c r="P174" s="7"/>
      <c r="Q174" s="22"/>
      <c r="R174" s="174"/>
      <c r="S174" s="221">
        <f t="shared" si="59"/>
        <v>1</v>
      </c>
      <c r="T174" s="174" t="str">
        <f t="shared" si="60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1"/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04" t="str">
        <f>IF(AA174&lt;VLOOKUP(AG174,Variables!$AC$3:$AD$8,2,FALSE),"Y","N")</f>
        <v>N</v>
      </c>
      <c r="X174" s="204">
        <f t="shared" si="62"/>
        <v>1</v>
      </c>
      <c r="Y174" s="204">
        <f t="shared" si="79"/>
        <v>0.1027</v>
      </c>
      <c r="Z174" s="204">
        <f t="shared" si="80"/>
        <v>5.8973000000000004</v>
      </c>
      <c r="AA174" s="204">
        <f t="shared" si="63"/>
        <v>5.7946000000000009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4"/>
        <v>817</v>
      </c>
      <c r="AE17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4" s="74" t="str">
        <f t="shared" si="66"/>
        <v>"C:\Program Files (x86)\AstroGrep\AstroGrep.exe" /e /r /s /spath="%USERPROFILE%\AppData\Local\Temp\OnboardLogs" /stypes="app*4016*20170920*" /stext=" 17:.+((SYSTEM_STATE.+slice.+state.+changed )|(ment ac)|(multiple cpu faults)|(system.+state.+changed )|(\[timeout)|(PRM\|1\|D)|(kpr)|(kdp)|(train st.+moving)|(\|lc)|(penalty))"</v>
      </c>
      <c r="AG174" s="182" t="str">
        <f t="shared" si="67"/>
        <v>NW</v>
      </c>
      <c r="AH174" s="78" t="str">
        <f t="shared" si="68"/>
        <v>"%USERPROFILE%\Documents\GitHub\eaglep3\Utilities\RefineRTDCRunTimes.py" --tripid 817-20 --locoid 4016 --swversion DE.1.0.9.0 --startMP 204:1027 --initTime 2017-09-20T10:56:31 --startdatetime 2017-09-20T11:09:25 --delay 56 --endMP 300:58973 --enddatetime 2017-09-20T11:23:36 --enforcementcount 0 &gt;&gt;c:\users\tmcdowell\Documents\GitHub\eaglep3-reporting\EC\2017-09-20-refined-times.txt</v>
      </c>
      <c r="AI17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ID","value":"817-20"},{"id":16,"name":"Locomotive ID","value":"4016"},{"id":130,"name":"Impact","value":""},{"id":150,"name":"Time of Event (Mountain Time)","value":"11:23:36"},{"id":151,"name":"Denver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0"/>
        <v>start /low /b %USERPROFILE%\Documents\GitHub\eaglep3\Utilities\DownloadLogsFromS3.py --loco 4016 --day 2017-09-20</v>
      </c>
      <c r="AN17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2"/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Message%20ID',Summary),filters:!(),index:'emp_*',interval:auto,query:(query_string:(analyze_wildcard:!t,query:'Message%5C+ID:(*)+AND+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710</v>
      </c>
      <c r="B175" s="7">
        <v>4015</v>
      </c>
      <c r="C175" s="21" t="s">
        <v>196</v>
      </c>
      <c r="D175" s="21" t="s">
        <v>569</v>
      </c>
      <c r="E175" s="13">
        <v>42998.476226851853</v>
      </c>
      <c r="F175" s="13">
        <v>42998.484722222223</v>
      </c>
      <c r="G175" s="7">
        <v>64</v>
      </c>
      <c r="H175" s="21" t="s">
        <v>972</v>
      </c>
      <c r="I175" s="13">
        <v>42998.496481481481</v>
      </c>
      <c r="J175" s="7">
        <v>0</v>
      </c>
      <c r="K175" s="89" t="str">
        <f t="shared" si="57"/>
        <v>4015/4016</v>
      </c>
      <c r="L175" s="185" t="str">
        <f>VLOOKUP(A175,'Trips&amp;Operators'!$C$1:$G$99911,5,FALSE)</f>
        <v>GEBRETEKLE DAGNEW</v>
      </c>
      <c r="M175" s="6">
        <f t="shared" si="58"/>
        <v>1.1759259257814847E-2</v>
      </c>
      <c r="N175" s="7">
        <f t="shared" si="73"/>
        <v>16.93333333125338</v>
      </c>
      <c r="O175" s="7"/>
      <c r="P175" s="7"/>
      <c r="Q175" s="22"/>
      <c r="R175" s="174"/>
      <c r="S175" s="221">
        <f t="shared" si="59"/>
        <v>1</v>
      </c>
      <c r="T175" s="174" t="str">
        <f t="shared" si="60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1"/>
        <v>https://d0f6bd738d7f1b3e5a7ca70fe4ff75f0.us-east-1.aws.found.io/app/kibana#/discover/Steve-Slow-Train-Analysis-(2080s-and-2083s)?_g=(refreshInterval:(display:Off,pause:!f,section:0,value:0),time:(from:'2017-09-20T10:25:46-0600',mode:absolute,to:'2017-09-20T12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04" t="str">
        <f>IF(AA175&lt;VLOOKUP(AG175,Variables!$AC$3:$AD$8,2,FALSE),"Y","N")</f>
        <v>N</v>
      </c>
      <c r="X175" s="204">
        <f t="shared" si="62"/>
        <v>1</v>
      </c>
      <c r="Y175" s="204">
        <f t="shared" si="79"/>
        <v>5.8651</v>
      </c>
      <c r="Z175" s="204">
        <f t="shared" si="80"/>
        <v>7.17E-2</v>
      </c>
      <c r="AA175" s="204">
        <f t="shared" si="63"/>
        <v>5.7934000000000001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4"/>
        <v>818</v>
      </c>
      <c r="AE17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5" s="74" t="str">
        <f t="shared" si="66"/>
        <v>"C:\Program Files (x86)\AstroGrep\AstroGrep.exe" /e /r /s /spath="%USERPROFILE%\AppData\Local\Temp\OnboardLogs" /stypes="app*4015*20170920*" /stext=" 17:.+((SYSTEM_STATE.+slice.+state.+changed )|(ment ac)|(multiple cpu faults)|(system.+state.+changed )|(\[timeout)|(PRM\|1\|D)|(kpr)|(kdp)|(train st.+moving)|(\|lc)|(penalty))"</v>
      </c>
      <c r="AG175" s="182" t="str">
        <f t="shared" si="67"/>
        <v>NW</v>
      </c>
      <c r="AH175" s="78" t="str">
        <f t="shared" si="68"/>
        <v>"%USERPROFILE%\Documents\GitHub\eaglep3\Utilities\RefineRTDCRunTimes.py" --tripid 818-20 --locoid 4015 --swversion DE.1.0.9.0 --startMP 300:58651 --initTime 2017-09-20T11:25:46 --startdatetime 2017-09-20T11:38:00 --delay 64 --endMP 204:717 --enddatetime 2017-09-20T11:54:56 --enforcementcount 0 &gt;&gt;c:\users\tmcdowell\Documents\GitHub\eaglep3-reporting\EC\2017-09-20-refined-times.txt</v>
      </c>
      <c r="AI17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{"issue":{"subject":"","project_id":79,"tracker_id":40,"status_id":1,"priority_id":2,"assigned_to_id":338,"start_date":"2017-09-20","description":"","custom_fields":[{"id":1,"name":"Subdivision","value":"NW"},{"id":4,"name":"Milepost","value":"0.0717"},{"id":17,"name":"Train ID","value":"818-20"},{"id":16,"name":"Locomotive ID","value":"4015"},{"id":130,"name":"Impact","value":""},{"id":150,"name":"Time of Event (Mountain Time)","value":"11:54:56"},{"id":151,"name":"Denver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0"/>
        <v>start /low /b %USERPROFILE%\Documents\GitHub\eaglep3\Utilities\DownloadLogsFromS3.py --loco 4015 --day 2017-09-20</v>
      </c>
      <c r="AN175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2"/>
        <v>https://d0f6bd738d7f1b3e5a7ca70fe4ff75f0.us-east-1.aws.found.io/app/kibana#/discover/Steve-Slow-Train-Analysis-(2080s-and-2083s)?_g=(refreshInterval:(display:Off,pause:!f,section:0,value:0),time:(from:'2017-09-20T10:25:46-0600',mode:absolute,to:'2017-09-20T12:54:56-0600'))&amp;_a=(columns:!('Message%20ID',Summary),filters:!(),index:'emp_*',interval:auto,query:(query_string:(analyze_wildcard:!t,query:'Message%5C+ID:(*)+AND+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4016</v>
      </c>
      <c r="C176" s="21" t="s">
        <v>196</v>
      </c>
      <c r="D176" s="21" t="s">
        <v>556</v>
      </c>
      <c r="E176" s="13">
        <v>42998.500162037039</v>
      </c>
      <c r="F176" s="13">
        <v>42998.506493055553</v>
      </c>
      <c r="G176" s="7">
        <v>108</v>
      </c>
      <c r="H176" s="21" t="s">
        <v>507</v>
      </c>
      <c r="I176" s="13">
        <v>42998.516805555555</v>
      </c>
      <c r="J176" s="7">
        <v>0</v>
      </c>
      <c r="K176" s="89" t="str">
        <f t="shared" si="57"/>
        <v>4015/4016</v>
      </c>
      <c r="L176" s="185" t="str">
        <f>VLOOKUP(A176,'Trips&amp;Operators'!$C$1:$G$99911,5,FALSE)</f>
        <v>WEST BRYAN</v>
      </c>
      <c r="M176" s="6">
        <f t="shared" si="58"/>
        <v>1.0312500002328306E-2</v>
      </c>
      <c r="N176" s="7">
        <f t="shared" si="73"/>
        <v>14.850000003352761</v>
      </c>
      <c r="O176" s="7"/>
      <c r="P176" s="7"/>
      <c r="Q176" s="22"/>
      <c r="R176" s="174"/>
      <c r="S176" s="221">
        <f t="shared" si="59"/>
        <v>1</v>
      </c>
      <c r="T176" s="174" t="str">
        <f t="shared" si="60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1"/>
        <v>https://d0f6bd738d7f1b3e5a7ca70fe4ff75f0.us-east-1.aws.found.io/app/kibana#/discover/Steve-Slow-Train-Analysis-(2080s-and-2083s)?_g=(refreshInterval:(display:Off,pause:!f,section:0,value:0),time:(from:'2017-09-20T11:00:14-0600',mode:absolute,to:'2017-09-20T13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04" t="str">
        <f>IF(AA176&lt;VLOOKUP(AG176,Variables!$AC$3:$AD$8,2,FALSE),"Y","N")</f>
        <v>N</v>
      </c>
      <c r="X176" s="204">
        <f t="shared" si="62"/>
        <v>1</v>
      </c>
      <c r="Y176" s="204">
        <f t="shared" si="79"/>
        <v>9.9000000000000005E-2</v>
      </c>
      <c r="Z176" s="204">
        <f t="shared" si="80"/>
        <v>5.8939000000000004</v>
      </c>
      <c r="AA176" s="204">
        <f t="shared" si="63"/>
        <v>5.7949000000000002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4"/>
        <v>819</v>
      </c>
      <c r="AE176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6" s="74" t="str">
        <f t="shared" si="66"/>
        <v>"C:\Program Files (x86)\AstroGrep\AstroGrep.exe" /e /r /s /spath="%USERPROFILE%\AppData\Local\Temp\OnboardLogs" /stypes="app*4016*20170920*" /stext=" 18:.+((SYSTEM_STATE.+slice.+state.+changed )|(ment ac)|(multiple cpu faults)|(system.+state.+changed )|(\[timeout)|(PRM\|1\|D)|(kpr)|(kdp)|(train st.+moving)|(\|lc)|(penalty))"</v>
      </c>
      <c r="AG176" s="182" t="str">
        <f t="shared" si="67"/>
        <v>NW</v>
      </c>
      <c r="AH176" s="78" t="str">
        <f t="shared" si="68"/>
        <v>"%USERPROFILE%\Documents\GitHub\eaglep3\Utilities\RefineRTDCRunTimes.py" --tripid 819-20 --locoid 4016 --swversion DE.1.0.9.0 --startMP 204:990 --initTime 2017-09-20T12:00:14 --startdatetime 2017-09-20T12:09:21 --delay 108 --endMP 300:58939 --enddatetime 2017-09-20T12:24:12 --enforcementcount 0 &gt;&gt;c:\users\tmcdowell\Documents\GitHub\eaglep3-reporting\EC\2017-09-20-refined-times.txt</v>
      </c>
      <c r="AI17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{"issue":{"subject":"","project_id":79,"tracker_id":40,"status_id":1,"priority_id":2,"assigned_to_id":338,"start_date":"2017-09-20","description":"","custom_fields":[{"id":1,"name":"Subdivision","value":"NW"},{"id":4,"name":"Milepost","value":"5.8939"},{"id":17,"name":"Train ID","value":"819-20"},{"id":16,"name":"Locomotive ID","value":"4016"},{"id":130,"name":"Impact","value":""},{"id":150,"name":"Time of Event (Mountain Time)","value":"12:24:12"},{"id":151,"name":"Denver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0"/>
        <v>start /low /b %USERPROFILE%\Documents\GitHub\eaglep3\Utilities\DownloadLogsFromS3.py --loco 4016 --day 2017-09-20</v>
      </c>
      <c r="AN17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2"/>
        <v>https://d0f6bd738d7f1b3e5a7ca70fe4ff75f0.us-east-1.aws.found.io/app/kibana#/discover/Steve-Slow-Train-Analysis-(2080s-and-2083s)?_g=(refreshInterval:(display:Off,pause:!f,section:0,value:0),time:(from:'2017-09-20T11:00:14-0600',mode:absolute,to:'2017-09-20T13:24:12-0600'))&amp;_a=(columns:!('Message%20ID',Summary),filters:!(),index:'emp_*',interval:auto,query:(query_string:(analyze_wildcard:!t,query:'Message%5C+ID:(*)+AND+%22rtdc.l.rtdc.4016%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723</v>
      </c>
      <c r="B177" s="7">
        <v>4015</v>
      </c>
      <c r="C177" s="21" t="s">
        <v>196</v>
      </c>
      <c r="D177" s="21" t="s">
        <v>559</v>
      </c>
      <c r="E177" s="13">
        <v>42998.518807870372</v>
      </c>
      <c r="F177" s="13">
        <v>42998.524143518516</v>
      </c>
      <c r="G177" s="7">
        <v>84</v>
      </c>
      <c r="H177" s="21" t="s">
        <v>557</v>
      </c>
      <c r="I177" s="13">
        <v>42998.538483796299</v>
      </c>
      <c r="J177" s="7">
        <v>0</v>
      </c>
      <c r="K177" s="89" t="str">
        <f t="shared" si="57"/>
        <v>4015/4016</v>
      </c>
      <c r="L177" s="185" t="str">
        <f>VLOOKUP(A177,'Trips&amp;Operators'!$C$1:$G$99911,5,FALSE)</f>
        <v>WEST BRYAN</v>
      </c>
      <c r="M177" s="6">
        <f t="shared" si="58"/>
        <v>1.4340277783048805E-2</v>
      </c>
      <c r="N177" s="7">
        <f t="shared" si="73"/>
        <v>20.650000007590279</v>
      </c>
      <c r="O177" s="7"/>
      <c r="P177" s="7"/>
      <c r="Q177" s="22"/>
      <c r="R177" s="174"/>
      <c r="S177" s="221">
        <f t="shared" si="59"/>
        <v>1</v>
      </c>
      <c r="T177" s="174" t="str">
        <f t="shared" si="60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1"/>
        <v>https://d0f6bd738d7f1b3e5a7ca70fe4ff75f0.us-east-1.aws.found.io/app/kibana#/discover/Steve-Slow-Train-Analysis-(2080s-and-2083s)?_g=(refreshInterval:(display:Off,pause:!f,section:0,value:0),time:(from:'2017-09-20T11:27:05-0600',mode:absolute,to:'2017-09-20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04" t="str">
        <f>IF(AA177&lt;VLOOKUP(AG177,Variables!$AC$3:$AD$8,2,FALSE),"Y","N")</f>
        <v>N</v>
      </c>
      <c r="X177" s="204">
        <f t="shared" si="62"/>
        <v>1</v>
      </c>
      <c r="Y177" s="204">
        <f t="shared" si="79"/>
        <v>5.8632</v>
      </c>
      <c r="Z177" s="204">
        <f t="shared" si="80"/>
        <v>6.9099999999999995E-2</v>
      </c>
      <c r="AA177" s="204">
        <f t="shared" si="63"/>
        <v>5.7941000000000003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4"/>
        <v>820</v>
      </c>
      <c r="AE17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7" s="74" t="str">
        <f t="shared" si="66"/>
        <v>"C:\Program Files (x86)\AstroGrep\AstroGrep.exe" /e /r /s /spath="%USERPROFILE%\AppData\Local\Temp\OnboardLogs" /stypes="app*4015*20170920*" /stext=" 18:.+((SYSTEM_STATE.+slice.+state.+changed )|(ment ac)|(multiple cpu faults)|(system.+state.+changed )|(\[timeout)|(PRM\|1\|D)|(kpr)|(kdp)|(train st.+moving)|(\|lc)|(penalty))"</v>
      </c>
      <c r="AG177" s="182" t="str">
        <f t="shared" si="67"/>
        <v>NW</v>
      </c>
      <c r="AH177" s="78" t="str">
        <f t="shared" si="68"/>
        <v>"%USERPROFILE%\Documents\GitHub\eaglep3\Utilities\RefineRTDCRunTimes.py" --tripid 820-20 --locoid 4015 --swversion DE.1.0.9.0 --startMP 300:58632 --initTime 2017-09-20T12:27:05 --startdatetime 2017-09-20T12:34:46 --delay 84 --endMP 204:691 --enddatetime 2017-09-20T12:55:25 --enforcementcount 0 &gt;&gt;c:\users\tmcdowell\Documents\GitHub\eaglep3-reporting\EC\2017-09-20-refined-times.txt</v>
      </c>
      <c r="AI17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{"issue":{"subject":"","project_id":79,"tracker_id":40,"status_id":1,"priority_id":2,"assigned_to_id":338,"start_date":"2017-09-20","description":"","custom_fields":[{"id":1,"name":"Subdivision","value":"NW"},{"id":4,"name":"Milepost","value":"0.0691"},{"id":17,"name":"Train ID","value":"820-20"},{"id":16,"name":"Locomotive ID","value":"4015"},{"id":130,"name":"Impact","value":""},{"id":150,"name":"Time of Event (Mountain Time)","value":"12:55:25"},{"id":151,"name":"Denver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0"/>
        <v>start /low /b %USERPROFILE%\Documents\GitHub\eaglep3\Utilities\DownloadLogsFromS3.py --loco 4015 --day 2017-09-20</v>
      </c>
      <c r="AN17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2"/>
        <v>https://d0f6bd738d7f1b3e5a7ca70fe4ff75f0.us-east-1.aws.found.io/app/kibana#/discover/Steve-Slow-Train-Analysis-(2080s-and-2083s)?_g=(refreshInterval:(display:Off,pause:!f,section:0,value:0),time:(from:'2017-09-20T11:27:05-0600',mode:absolute,to:'2017-09-20T13:55:25-0600'))&amp;_a=(columns:!('Message%20ID',Summary),filters:!(),index:'emp_*',interval:auto,query:(query_string:(analyze_wildcard:!t,query:'Message%5C+ID:(*)+AND+%22rtdc.l.rtdc.4015%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730</v>
      </c>
      <c r="B178" s="7">
        <v>4016</v>
      </c>
      <c r="C178" s="21" t="s">
        <v>196</v>
      </c>
      <c r="D178" s="21" t="s">
        <v>888</v>
      </c>
      <c r="E178" s="13">
        <v>42998.542048611111</v>
      </c>
      <c r="F178" s="13">
        <v>42998.548113425924</v>
      </c>
      <c r="G178" s="7">
        <v>68</v>
      </c>
      <c r="H178" s="21" t="s">
        <v>506</v>
      </c>
      <c r="I178" s="13">
        <v>42998.55777777778</v>
      </c>
      <c r="J178" s="7">
        <v>0</v>
      </c>
      <c r="K178" s="89" t="str">
        <f t="shared" si="57"/>
        <v>4015/4016</v>
      </c>
      <c r="L178" s="185" t="str">
        <f>VLOOKUP(A178,'Trips&amp;Operators'!$C$1:$G$99911,5,FALSE)</f>
        <v>LEVERE CRAIG</v>
      </c>
      <c r="M178" s="6">
        <f t="shared" si="58"/>
        <v>9.6643518554628827E-3</v>
      </c>
      <c r="N178" s="7">
        <f t="shared" si="73"/>
        <v>13.916666671866551</v>
      </c>
      <c r="O178" s="7"/>
      <c r="P178" s="7"/>
      <c r="Q178" s="22"/>
      <c r="R178" s="174"/>
      <c r="S178" s="221">
        <f t="shared" si="59"/>
        <v>1</v>
      </c>
      <c r="T178" s="174" t="str">
        <f t="shared" si="60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1"/>
        <v>https://d0f6bd738d7f1b3e5a7ca70fe4ff75f0.us-east-1.aws.found.io/app/kibana#/discover/Steve-Slow-Train-Analysis-(2080s-and-2083s)?_g=(refreshInterval:(display:Off,pause:!f,section:0,value:0),time:(from:'2017-09-20T12:00:33-0600',mode:absolute,to:'2017-09-20T14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04" t="str">
        <f>IF(AA178&lt;VLOOKUP(AG178,Variables!$AC$3:$AD$8,2,FALSE),"Y","N")</f>
        <v>N</v>
      </c>
      <c r="X178" s="204">
        <f t="shared" si="62"/>
        <v>1</v>
      </c>
      <c r="Y178" s="204">
        <f t="shared" si="79"/>
        <v>9.7600000000000006E-2</v>
      </c>
      <c r="Z178" s="204">
        <f t="shared" si="80"/>
        <v>5.8964999999999996</v>
      </c>
      <c r="AA178" s="204">
        <f t="shared" si="63"/>
        <v>5.7988999999999997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4"/>
        <v>821</v>
      </c>
      <c r="AE17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8" s="74" t="str">
        <f t="shared" si="66"/>
        <v>"C:\Program Files (x86)\AstroGrep\AstroGrep.exe" /e /r /s /spath="%USERPROFILE%\AppData\Local\Temp\OnboardLogs" /stypes="app*4016*20170920*" /stext=" 19:.+((SYSTEM_STATE.+slice.+state.+changed )|(ment ac)|(multiple cpu faults)|(system.+state.+changed )|(\[timeout)|(PRM\|1\|D)|(kpr)|(kdp)|(train st.+moving)|(\|lc)|(penalty))"</v>
      </c>
      <c r="AG178" s="182" t="str">
        <f t="shared" si="67"/>
        <v>NW</v>
      </c>
      <c r="AH178" s="78" t="str">
        <f t="shared" si="68"/>
        <v>"%USERPROFILE%\Documents\GitHub\eaglep3\Utilities\RefineRTDCRunTimes.py" --tripid 821-20 --locoid 4016 --swversion DE.1.0.9.0 --startMP 204:976 --initTime 2017-09-20T13:00:33 --startdatetime 2017-09-20T13:09:17 --delay 68 --endMP 300:58965 --enddatetime 2017-09-20T13:23:12 --enforcementcount 0 &gt;&gt;c:\users\tmcdowell\Documents\GitHub\eaglep3-reporting\EC\2017-09-20-refined-times.txt</v>
      </c>
      <c r="AI17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{"issue":{"subject":"","project_id":79,"tracker_id":40,"status_id":1,"priority_id":2,"assigned_to_id":338,"start_date":"2017-09-20","description":"","custom_fields":[{"id":1,"name":"Subdivision","value":"NW"},{"id":4,"name":"Milepost","value":"5.8965"},{"id":17,"name":"Train ID","value":"821-20"},{"id":16,"name":"Locomotive ID","value":"4016"},{"id":130,"name":"Impact","value":""},{"id":150,"name":"Time of Event (Mountain Time)","value":"13:23:12"},{"id":151,"name":"Denver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0"/>
        <v>start /low /b %USERPROFILE%\Documents\GitHub\eaglep3\Utilities\DownloadLogsFromS3.py --loco 4016 --day 2017-09-20</v>
      </c>
      <c r="AN17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2"/>
        <v>https://d0f6bd738d7f1b3e5a7ca70fe4ff75f0.us-east-1.aws.found.io/app/kibana#/discover/Steve-Slow-Train-Analysis-(2080s-and-2083s)?_g=(refreshInterval:(display:Off,pause:!f,section:0,value:0),time:(from:'2017-09-20T12:00:33-0600',mode:absolute,to:'2017-09-20T14:23:12-0600'))&amp;_a=(columns:!('Message%20ID',Summary),filters:!(),index:'emp_*',interval:auto,query:(query_string:(analyze_wildcard:!t,query:'Message%5C+ID:(*)+AND+%22rtdc.l.rtdc.4016%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734</v>
      </c>
      <c r="B179" s="7">
        <v>4015</v>
      </c>
      <c r="C179" s="21" t="s">
        <v>196</v>
      </c>
      <c r="D179" s="21" t="s">
        <v>566</v>
      </c>
      <c r="E179" s="13">
        <v>42998.561921296299</v>
      </c>
      <c r="F179" s="13">
        <v>42998.567488425928</v>
      </c>
      <c r="G179" s="7">
        <v>68</v>
      </c>
      <c r="H179" s="21" t="s">
        <v>973</v>
      </c>
      <c r="I179" s="13">
        <v>42998.580520833333</v>
      </c>
      <c r="J179" s="7">
        <v>0</v>
      </c>
      <c r="K179" s="89" t="str">
        <f t="shared" si="57"/>
        <v>4015/4016</v>
      </c>
      <c r="L179" s="185" t="str">
        <f>VLOOKUP(A179,'Trips&amp;Operators'!$C$1:$G$99911,5,FALSE)</f>
        <v>LEVERE CRAIG</v>
      </c>
      <c r="M179" s="6">
        <f t="shared" si="58"/>
        <v>1.3032407405262347E-2</v>
      </c>
      <c r="N179" s="7">
        <f t="shared" si="73"/>
        <v>18.76666666357778</v>
      </c>
      <c r="O179" s="7"/>
      <c r="P179" s="7"/>
      <c r="Q179" s="22"/>
      <c r="R179" s="174"/>
      <c r="S179" s="221">
        <f t="shared" si="59"/>
        <v>1</v>
      </c>
      <c r="T179" s="174" t="str">
        <f t="shared" si="60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1"/>
        <v>https://d0f6bd738d7f1b3e5a7ca70fe4ff75f0.us-east-1.aws.found.io/app/kibana#/discover/Steve-Slow-Train-Analysis-(2080s-and-2083s)?_g=(refreshInterval:(display:Off,pause:!f,section:0,value:0),time:(from:'2017-09-20T12:29:10-0600',mode:absolute,to:'2017-09-20T14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04" t="str">
        <f>IF(AA179&lt;VLOOKUP(AG179,Variables!$AC$3:$AD$8,2,FALSE),"Y","N")</f>
        <v>N</v>
      </c>
      <c r="X179" s="204">
        <f t="shared" si="62"/>
        <v>1</v>
      </c>
      <c r="Y179" s="204">
        <f t="shared" si="79"/>
        <v>5.8643000000000001</v>
      </c>
      <c r="Z179" s="204">
        <f t="shared" si="80"/>
        <v>6.6799999999999998E-2</v>
      </c>
      <c r="AA179" s="204">
        <f t="shared" si="63"/>
        <v>5.7975000000000003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4"/>
        <v>822</v>
      </c>
      <c r="AE17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9" s="74" t="str">
        <f t="shared" si="66"/>
        <v>"C:\Program Files (x86)\AstroGrep\AstroGrep.exe" /e /r /s /spath="%USERPROFILE%\AppData\Local\Temp\OnboardLogs" /stypes="app*4015*20170920*" /stext=" 19:.+((SYSTEM_STATE.+slice.+state.+changed )|(ment ac)|(multiple cpu faults)|(system.+state.+changed )|(\[timeout)|(PRM\|1\|D)|(kpr)|(kdp)|(train st.+moving)|(\|lc)|(penalty))"</v>
      </c>
      <c r="AG179" s="182" t="str">
        <f t="shared" si="67"/>
        <v>NW</v>
      </c>
      <c r="AH179" s="78" t="str">
        <f t="shared" si="68"/>
        <v>"%USERPROFILE%\Documents\GitHub\eaglep3\Utilities\RefineRTDCRunTimes.py" --tripid 822-20 --locoid 4015 --swversion DE.1.0.9.0 --startMP 300:58643 --initTime 2017-09-20T13:29:10 --startdatetime 2017-09-20T13:37:11 --delay 68 --endMP 204:668 --enddatetime 2017-09-20T13:55:57 --enforcementcount 0 &gt;&gt;c:\users\tmcdowell\Documents\GitHub\eaglep3-reporting\EC\2017-09-20-refined-times.txt</v>
      </c>
      <c r="AI17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{"issue":{"subject":"","project_id":79,"tracker_id":40,"status_id":1,"priority_id":2,"assigned_to_id":338,"start_date":"2017-09-20","description":"","custom_fields":[{"id":1,"name":"Subdivision","value":"NW"},{"id":4,"name":"Milepost","value":"0.0668"},{"id":17,"name":"Train ID","value":"822-20"},{"id":16,"name":"Locomotive ID","value":"4015"},{"id":130,"name":"Impact","value":""},{"id":150,"name":"Time of Event (Mountain Time)","value":"13:55:57"},{"id":151,"name":"Denver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0"/>
        <v>start /low /b %USERPROFILE%\Documents\GitHub\eaglep3\Utilities\DownloadLogsFromS3.py --loco 4015 --day 2017-09-20</v>
      </c>
      <c r="AN17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2"/>
        <v>https://d0f6bd738d7f1b3e5a7ca70fe4ff75f0.us-east-1.aws.found.io/app/kibana#/discover/Steve-Slow-Train-Analysis-(2080s-and-2083s)?_g=(refreshInterval:(display:Off,pause:!f,section:0,value:0),time:(from:'2017-09-20T12:29:10-0600',mode:absolute,to:'2017-09-20T14:55:57-0600'))&amp;_a=(columns:!('Message%20ID',Summary),filters:!(),index:'emp_*',interval:auto,query:(query_string:(analyze_wildcard:!t,query:'Message%5C+ID:(*)+AND+%22rtdc.l.rtdc.4015%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741</v>
      </c>
      <c r="B180" s="7">
        <v>4016</v>
      </c>
      <c r="C180" s="21" t="s">
        <v>196</v>
      </c>
      <c r="D180" s="21" t="s">
        <v>974</v>
      </c>
      <c r="E180" s="13">
        <v>42998.585289351853</v>
      </c>
      <c r="F180" s="13">
        <v>42998.589780092596</v>
      </c>
      <c r="G180" s="7">
        <v>52</v>
      </c>
      <c r="H180" s="21" t="s">
        <v>965</v>
      </c>
      <c r="I180" s="13">
        <v>42998.6</v>
      </c>
      <c r="J180" s="7">
        <v>0</v>
      </c>
      <c r="K180" s="89" t="str">
        <f t="shared" si="57"/>
        <v>4015/4016</v>
      </c>
      <c r="L180" s="185" t="str">
        <f>VLOOKUP(A180,'Trips&amp;Operators'!$C$1:$G$99911,5,FALSE)</f>
        <v>LEVERE CRAIG</v>
      </c>
      <c r="M180" s="6">
        <f t="shared" si="58"/>
        <v>1.0219907402643003E-2</v>
      </c>
      <c r="N180" s="7">
        <f t="shared" si="73"/>
        <v>14.716666659805924</v>
      </c>
      <c r="O180" s="7"/>
      <c r="P180" s="7"/>
      <c r="Q180" s="22"/>
      <c r="R180" s="174"/>
      <c r="S180" s="221">
        <f t="shared" si="59"/>
        <v>1</v>
      </c>
      <c r="T180" s="174" t="str">
        <f t="shared" si="60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1"/>
        <v>https://d0f6bd738d7f1b3e5a7ca70fe4ff75f0.us-east-1.aws.found.io/app/kibana#/discover/Steve-Slow-Train-Analysis-(2080s-and-2083s)?_g=(refreshInterval:(display:Off,pause:!f,section:0,value:0),time:(from:'2017-09-20T13:02:49-0600',mode:absolute,to:'2017-09-20T15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04" t="str">
        <f>IF(AA180&lt;VLOOKUP(AG180,Variables!$AC$3:$AD$8,2,FALSE),"Y","N")</f>
        <v>N</v>
      </c>
      <c r="X180" s="204">
        <f t="shared" si="62"/>
        <v>1</v>
      </c>
      <c r="Y180" s="204">
        <f t="shared" si="79"/>
        <v>0.1007</v>
      </c>
      <c r="Z180" s="204">
        <f t="shared" si="80"/>
        <v>5.8973000000000004</v>
      </c>
      <c r="AA180" s="204">
        <f t="shared" si="63"/>
        <v>5.7966000000000006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4"/>
        <v>823</v>
      </c>
      <c r="AE18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0" s="74" t="str">
        <f t="shared" si="66"/>
        <v>"C:\Program Files (x86)\AstroGrep\AstroGrep.exe" /e /r /s /spath="%USERPROFILE%\AppData\Local\Temp\OnboardLogs" /stypes="app*4016*20170920*" /stext=" 20:.+((SYSTEM_STATE.+slice.+state.+changed )|(ment ac)|(multiple cpu faults)|(system.+state.+changed )|(\[timeout)|(PRM\|1\|D)|(kpr)|(kdp)|(train st.+moving)|(\|lc)|(penalty))"</v>
      </c>
      <c r="AG180" s="182" t="str">
        <f t="shared" si="67"/>
        <v>NW</v>
      </c>
      <c r="AH180" s="78" t="str">
        <f t="shared" si="68"/>
        <v>"%USERPROFILE%\Documents\GitHub\eaglep3\Utilities\RefineRTDCRunTimes.py" --tripid 823-20 --locoid 4016 --swversion DE.1.0.9.0 --startMP 204:1007 --initTime 2017-09-20T14:02:49 --startdatetime 2017-09-20T14:09:17 --delay 52 --endMP 300:58973 --enddatetime 2017-09-20T14:24:00 --enforcementcount 0 &gt;&gt;c:\users\tmcdowell\Documents\GitHub\eaglep3-reporting\EC\2017-09-20-refined-times.txt</v>
      </c>
      <c r="AI18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ID","value":"823-20"},{"id":16,"name":"Locomotive ID","value":"4016"},{"id":130,"name":"Impact","value":""},{"id":150,"name":"Time of Event (Mountain Time)","value":"14:24:00"},{"id":151,"name":"Denver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0"/>
        <v>start /low /b %USERPROFILE%\Documents\GitHub\eaglep3\Utilities\DownloadLogsFromS3.py --loco 4016 --day 2017-09-20</v>
      </c>
      <c r="AN18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2"/>
        <v>https://d0f6bd738d7f1b3e5a7ca70fe4ff75f0.us-east-1.aws.found.io/app/kibana#/discover/Steve-Slow-Train-Analysis-(2080s-and-2083s)?_g=(refreshInterval:(display:Off,pause:!f,section:0,value:0),time:(from:'2017-09-20T13:02:49-0600',mode:absolute,to:'2017-09-20T15:24:00-0600'))&amp;_a=(columns:!('Message%20ID',Summary),filters:!(),index:'emp_*',interval:auto,query:(query_string:(analyze_wildcard:!t,query:'Message%5C+ID:(*)+AND+%22rtdc.l.rtdc.4016%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744</v>
      </c>
      <c r="B181" s="7">
        <v>4015</v>
      </c>
      <c r="C181" s="21" t="s">
        <v>196</v>
      </c>
      <c r="D181" s="21" t="s">
        <v>568</v>
      </c>
      <c r="E181" s="13">
        <v>42998.601817129631</v>
      </c>
      <c r="F181" s="13">
        <v>42998.6096412037</v>
      </c>
      <c r="G181" s="7">
        <v>55</v>
      </c>
      <c r="H181" s="21" t="s">
        <v>966</v>
      </c>
      <c r="I181" s="13">
        <v>42998.622106481482</v>
      </c>
      <c r="J181" s="7">
        <v>0</v>
      </c>
      <c r="K181" s="89" t="str">
        <f t="shared" si="57"/>
        <v>4015/4016</v>
      </c>
      <c r="L181" s="185" t="str">
        <f>VLOOKUP(A181,'Trips&amp;Operators'!$C$1:$G$99911,5,FALSE)</f>
        <v>LEVERE CRAIG</v>
      </c>
      <c r="M181" s="6">
        <f t="shared" si="58"/>
        <v>1.2465277781302575E-2</v>
      </c>
      <c r="N181" s="7">
        <f t="shared" si="73"/>
        <v>17.950000005075708</v>
      </c>
      <c r="O181" s="7"/>
      <c r="P181" s="7"/>
      <c r="Q181" s="22"/>
      <c r="R181" s="174"/>
      <c r="S181" s="221">
        <f t="shared" si="59"/>
        <v>1</v>
      </c>
      <c r="T181" s="174" t="str">
        <f t="shared" si="60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1"/>
        <v>https://d0f6bd738d7f1b3e5a7ca70fe4ff75f0.us-east-1.aws.found.io/app/kibana#/discover/Steve-Slow-Train-Analysis-(2080s-and-2083s)?_g=(refreshInterval:(display:Off,pause:!f,section:0,value:0),time:(from:'2017-09-20T13:26:37-0600',mode:absolute,to:'2017-09-20T15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04" t="str">
        <f>IF(AA181&lt;VLOOKUP(AG181,Variables!$AC$3:$AD$8,2,FALSE),"Y","N")</f>
        <v>N</v>
      </c>
      <c r="X181" s="204">
        <f t="shared" si="62"/>
        <v>1</v>
      </c>
      <c r="Y181" s="204">
        <f t="shared" si="79"/>
        <v>5.8655999999999997</v>
      </c>
      <c r="Z181" s="204">
        <f t="shared" si="80"/>
        <v>7.1199999999999999E-2</v>
      </c>
      <c r="AA181" s="204">
        <f t="shared" si="63"/>
        <v>5.7943999999999996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4"/>
        <v>824</v>
      </c>
      <c r="AE18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1" s="74" t="str">
        <f t="shared" si="66"/>
        <v>"C:\Program Files (x86)\AstroGrep\AstroGrep.exe" /e /r /s /spath="%USERPROFILE%\AppData\Local\Temp\OnboardLogs" /stypes="app*4015*20170920*" /stext=" 20:.+((SYSTEM_STATE.+slice.+state.+changed )|(ment ac)|(multiple cpu faults)|(system.+state.+changed )|(\[timeout)|(PRM\|1\|D)|(kpr)|(kdp)|(train st.+moving)|(\|lc)|(penalty))"</v>
      </c>
      <c r="AG181" s="182" t="str">
        <f t="shared" si="67"/>
        <v>NW</v>
      </c>
      <c r="AH181" s="78" t="str">
        <f t="shared" si="68"/>
        <v>"%USERPROFILE%\Documents\GitHub\eaglep3\Utilities\RefineRTDCRunTimes.py" --tripid 824-20 --locoid 4015 --swversion DE.1.0.9.0 --startMP 300:58656 --initTime 2017-09-20T14:26:37 --startdatetime 2017-09-20T14:37:53 --delay 55 --endMP 204:712 --enddatetime 2017-09-20T14:55:50 --enforcementcount 0 &gt;&gt;c:\users\tmcdowell\Documents\GitHub\eaglep3-reporting\EC\2017-09-20-refined-times.txt</v>
      </c>
      <c r="AI18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{"issue":{"subject":"","project_id":79,"tracker_id":40,"status_id":1,"priority_id":2,"assigned_to_id":338,"start_date":"2017-09-20","description":"","custom_fields":[{"id":1,"name":"Subdivision","value":"NW"},{"id":4,"name":"Milepost","value":"0.0712"},{"id":17,"name":"Train ID","value":"824-20"},{"id":16,"name":"Locomotive ID","value":"4015"},{"id":130,"name":"Impact","value":""},{"id":150,"name":"Time of Event (Mountain Time)","value":"14:55:50"},{"id":151,"name":"Denver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0"/>
        <v>start /low /b %USERPROFILE%\Documents\GitHub\eaglep3\Utilities\DownloadLogsFromS3.py --loco 4015 --day 2017-09-20</v>
      </c>
      <c r="AN18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2"/>
        <v>https://d0f6bd738d7f1b3e5a7ca70fe4ff75f0.us-east-1.aws.found.io/app/kibana#/discover/Steve-Slow-Train-Analysis-(2080s-and-2083s)?_g=(refreshInterval:(display:Off,pause:!f,section:0,value:0),time:(from:'2017-09-20T13:26:37-0600',mode:absolute,to:'2017-09-20T15:55:50-0600'))&amp;_a=(columns:!('Message%20ID',Summary),filters:!(),index:'emp_*',interval:auto,query:(query_string:(analyze_wildcard:!t,query:'Message%5C+ID:(*)+AND+%22rtdc.l.rtdc.4015%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750</v>
      </c>
      <c r="B182" s="7">
        <v>4016</v>
      </c>
      <c r="C182" s="21" t="s">
        <v>196</v>
      </c>
      <c r="D182" s="21" t="s">
        <v>500</v>
      </c>
      <c r="E182" s="13">
        <v>42998.624803240738</v>
      </c>
      <c r="F182" s="13">
        <v>42998.631678240738</v>
      </c>
      <c r="G182" s="7">
        <v>56</v>
      </c>
      <c r="H182" s="21" t="s">
        <v>565</v>
      </c>
      <c r="I182" s="13">
        <v>42998.642395833333</v>
      </c>
      <c r="J182" s="7">
        <v>0</v>
      </c>
      <c r="K182" s="89" t="str">
        <f t="shared" si="57"/>
        <v>4015/4016</v>
      </c>
      <c r="L182" s="185" t="str">
        <f>VLOOKUP(A182,'Trips&amp;Operators'!$C$1:$G$99911,5,FALSE)</f>
        <v>LEVERE CRAIG</v>
      </c>
      <c r="M182" s="6">
        <f t="shared" si="58"/>
        <v>1.0717592595028691E-2</v>
      </c>
      <c r="N182" s="7">
        <f t="shared" si="73"/>
        <v>15.433333336841315</v>
      </c>
      <c r="O182" s="7"/>
      <c r="P182" s="7"/>
      <c r="Q182" s="22"/>
      <c r="R182" s="174"/>
      <c r="S182" s="221">
        <f t="shared" si="59"/>
        <v>1</v>
      </c>
      <c r="T182" s="174" t="str">
        <f t="shared" si="60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1"/>
        <v>https://d0f6bd738d7f1b3e5a7ca70fe4ff75f0.us-east-1.aws.found.io/app/kibana#/discover/Steve-Slow-Train-Analysis-(2080s-and-2083s)?_g=(refreshInterval:(display:Off,pause:!f,section:0,value:0),time:(from:'2017-09-20T13:59:43-0600',mode:absolute,to:'2017-09-20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04" t="str">
        <f>IF(AA182&lt;VLOOKUP(AG182,Variables!$AC$3:$AD$8,2,FALSE),"Y","N")</f>
        <v>N</v>
      </c>
      <c r="X182" s="204">
        <f t="shared" si="62"/>
        <v>1</v>
      </c>
      <c r="Y182" s="204">
        <f t="shared" si="79"/>
        <v>9.8100000000000007E-2</v>
      </c>
      <c r="Z182" s="204">
        <f t="shared" si="80"/>
        <v>5.8967000000000001</v>
      </c>
      <c r="AA182" s="204">
        <f t="shared" si="63"/>
        <v>5.7986000000000004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4"/>
        <v>825</v>
      </c>
      <c r="AE18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2" s="74" t="str">
        <f t="shared" si="66"/>
        <v>"C:\Program Files (x86)\AstroGrep\AstroGrep.exe" /e /r /s /spath="%USERPROFILE%\AppData\Local\Temp\OnboardLogs" /stypes="app*4016*20170920*" /stext=" 21:.+((SYSTEM_STATE.+slice.+state.+changed )|(ment ac)|(multiple cpu faults)|(system.+state.+changed )|(\[timeout)|(PRM\|1\|D)|(kpr)|(kdp)|(train st.+moving)|(\|lc)|(penalty))"</v>
      </c>
      <c r="AG182" s="182" t="str">
        <f t="shared" si="67"/>
        <v>NW</v>
      </c>
      <c r="AH182" s="78" t="str">
        <f t="shared" si="68"/>
        <v>"%USERPROFILE%\Documents\GitHub\eaglep3\Utilities\RefineRTDCRunTimes.py" --tripid 825-20 --locoid 4016 --swversion DE.1.0.9.0 --startMP 204:981 --initTime 2017-09-20T14:59:43 --startdatetime 2017-09-20T15:09:37 --delay 56 --endMP 300:58967 --enddatetime 2017-09-20T15:25:03 --enforcementcount 0 &gt;&gt;c:\users\tmcdowell\Documents\GitHub\eaglep3-reporting\EC\2017-09-20-refined-times.txt</v>
      </c>
      <c r="AI18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{"issue":{"subject":"","project_id":79,"tracker_id":40,"status_id":1,"priority_id":2,"assigned_to_id":338,"start_date":"2017-09-20","description":"","custom_fields":[{"id":1,"name":"Subdivision","value":"NW"},{"id":4,"name":"Milepost","value":"5.8967"},{"id":17,"name":"Train ID","value":"825-20"},{"id":16,"name":"Locomotive ID","value":"4016"},{"id":130,"name":"Impact","value":""},{"id":150,"name":"Time of Event (Mountain Time)","value":"15:25:03"},{"id":151,"name":"Denver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0"/>
        <v>start /low /b %USERPROFILE%\Documents\GitHub\eaglep3\Utilities\DownloadLogsFromS3.py --loco 4016 --day 2017-09-20</v>
      </c>
      <c r="AN18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2"/>
        <v>https://d0f6bd738d7f1b3e5a7ca70fe4ff75f0.us-east-1.aws.found.io/app/kibana#/discover/Steve-Slow-Train-Analysis-(2080s-and-2083s)?_g=(refreshInterval:(display:Off,pause:!f,section:0,value:0),time:(from:'2017-09-20T13:59:43-0600',mode:absolute,to:'2017-09-20T16:25:03-0600'))&amp;_a=(columns:!('Message%20ID',Summary),filters:!(),index:'emp_*',interval:auto,query:(query_string:(analyze_wildcard:!t,query:'Message%5C+ID:(*)+AND+%22rtdc.l.rtdc.4016%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756</v>
      </c>
      <c r="B183" s="7">
        <v>4015</v>
      </c>
      <c r="C183" s="21" t="s">
        <v>196</v>
      </c>
      <c r="D183" s="21" t="s">
        <v>568</v>
      </c>
      <c r="E183" s="13">
        <v>42998.644583333335</v>
      </c>
      <c r="F183" s="13">
        <v>42998.651342592595</v>
      </c>
      <c r="G183" s="7">
        <v>61</v>
      </c>
      <c r="H183" s="21" t="s">
        <v>557</v>
      </c>
      <c r="I183" s="13">
        <v>42998.663784722223</v>
      </c>
      <c r="J183" s="7">
        <v>0</v>
      </c>
      <c r="K183" s="89" t="str">
        <f t="shared" si="57"/>
        <v>4015/4016</v>
      </c>
      <c r="L183" s="185" t="str">
        <f>VLOOKUP(A183,'Trips&amp;Operators'!$C$1:$G$99911,5,FALSE)</f>
        <v>LEVERE CRAIG</v>
      </c>
      <c r="M183" s="6">
        <f t="shared" si="58"/>
        <v>1.244212962774327E-2</v>
      </c>
      <c r="N183" s="7">
        <f t="shared" si="73"/>
        <v>17.916666663950309</v>
      </c>
      <c r="O183" s="7"/>
      <c r="P183" s="7"/>
      <c r="Q183" s="22"/>
      <c r="R183" s="174"/>
      <c r="S183" s="221">
        <f t="shared" si="59"/>
        <v>1</v>
      </c>
      <c r="T183" s="174" t="str">
        <f t="shared" si="60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1"/>
        <v>https://d0f6bd738d7f1b3e5a7ca70fe4ff75f0.us-east-1.aws.found.io/app/kibana#/discover/Steve-Slow-Train-Analysis-(2080s-and-2083s)?_g=(refreshInterval:(display:Off,pause:!f,section:0,value:0),time:(from:'2017-09-20T14:28:12-0600',mode:absolute,to:'2017-09-20T16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04" t="str">
        <f>IF(AA183&lt;VLOOKUP(AG183,Variables!$AC$3:$AD$8,2,FALSE),"Y","N")</f>
        <v>N</v>
      </c>
      <c r="X183" s="204">
        <f t="shared" si="62"/>
        <v>1</v>
      </c>
      <c r="Y183" s="204">
        <f t="shared" si="79"/>
        <v>5.8655999999999997</v>
      </c>
      <c r="Z183" s="204">
        <f t="shared" si="80"/>
        <v>6.9099999999999995E-2</v>
      </c>
      <c r="AA183" s="204">
        <f t="shared" si="63"/>
        <v>5.7965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4"/>
        <v>826</v>
      </c>
      <c r="AE183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3" s="74" t="str">
        <f t="shared" si="66"/>
        <v>"C:\Program Files (x86)\AstroGrep\AstroGrep.exe" /e /r /s /spath="%USERPROFILE%\AppData\Local\Temp\OnboardLogs" /stypes="app*4015*20170920*" /stext=" 21:.+((SYSTEM_STATE.+slice.+state.+changed )|(ment ac)|(multiple cpu faults)|(system.+state.+changed )|(\[timeout)|(PRM\|1\|D)|(kpr)|(kdp)|(train st.+moving)|(\|lc)|(penalty))"</v>
      </c>
      <c r="AG183" s="182" t="str">
        <f t="shared" si="67"/>
        <v>NW</v>
      </c>
      <c r="AH183" s="78" t="str">
        <f t="shared" si="68"/>
        <v>"%USERPROFILE%\Documents\GitHub\eaglep3\Utilities\RefineRTDCRunTimes.py" --tripid 826-20 --locoid 4015 --swversion DE.1.0.9.0 --startMP 300:58656 --initTime 2017-09-20T15:28:12 --startdatetime 2017-09-20T15:37:56 --delay 61 --endMP 204:691 --enddatetime 2017-09-20T15:55:51 --enforcementcount 0 &gt;&gt;c:\users\tmcdowell\Documents\GitHub\eaglep3-reporting\EC\2017-09-20-refined-times.txt</v>
      </c>
      <c r="AI18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{"issue":{"subject":"","project_id":79,"tracker_id":40,"status_id":1,"priority_id":2,"assigned_to_id":338,"start_date":"2017-09-20","description":"","custom_fields":[{"id":1,"name":"Subdivision","value":"NW"},{"id":4,"name":"Milepost","value":"0.0691"},{"id":17,"name":"Train ID","value":"826-20"},{"id":16,"name":"Locomotive ID","value":"4015"},{"id":130,"name":"Impact","value":""},{"id":150,"name":"Time of Event (Mountain Time)","value":"15:55:51"},{"id":151,"name":"Denver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0"/>
        <v>start /low /b %USERPROFILE%\Documents\GitHub\eaglep3\Utilities\DownloadLogsFromS3.py --loco 4015 --day 2017-09-20</v>
      </c>
      <c r="AN18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2"/>
        <v>https://d0f6bd738d7f1b3e5a7ca70fe4ff75f0.us-east-1.aws.found.io/app/kibana#/discover/Steve-Slow-Train-Analysis-(2080s-and-2083s)?_g=(refreshInterval:(display:Off,pause:!f,section:0,value:0),time:(from:'2017-09-20T14:28:12-0600',mode:absolute,to:'2017-09-20T16:55:51-0600'))&amp;_a=(columns:!('Message%20ID',Summary),filters:!(),index:'emp_*',interval:auto,query:(query_string:(analyze_wildcard:!t,query:'Message%5C+ID:(*)+AND+%22rtdc.l.rtdc.4015%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758</v>
      </c>
      <c r="B184" s="7">
        <v>4060</v>
      </c>
      <c r="C184" s="21" t="s">
        <v>196</v>
      </c>
      <c r="D184" s="21" t="s">
        <v>563</v>
      </c>
      <c r="E184" s="13">
        <v>42998.650405092594</v>
      </c>
      <c r="F184" s="13">
        <v>42998.652453703704</v>
      </c>
      <c r="G184" s="7">
        <v>74</v>
      </c>
      <c r="H184" s="21" t="s">
        <v>504</v>
      </c>
      <c r="I184" s="13">
        <v>42998.662210648145</v>
      </c>
      <c r="J184" s="7">
        <v>0</v>
      </c>
      <c r="K184" s="89" t="str">
        <f t="shared" si="57"/>
        <v>4059/4060</v>
      </c>
      <c r="L184" s="185" t="str">
        <f>VLOOKUP(A184,'Trips&amp;Operators'!$C$1:$G$99911,5,FALSE)</f>
        <v>STAMBAUGH JAMES</v>
      </c>
      <c r="M184" s="6">
        <f t="shared" si="58"/>
        <v>9.7569444405962713E-3</v>
      </c>
      <c r="N184" s="7">
        <f t="shared" si="73"/>
        <v>14.049999994458631</v>
      </c>
      <c r="O184" s="7"/>
      <c r="P184" s="7"/>
      <c r="Q184" s="22"/>
      <c r="R184" s="174"/>
      <c r="S184" s="221">
        <f t="shared" si="59"/>
        <v>1</v>
      </c>
      <c r="T184" s="174" t="str">
        <f t="shared" si="60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1"/>
        <v>https://d0f6bd738d7f1b3e5a7ca70fe4ff75f0.us-east-1.aws.found.io/app/kibana#/discover/Steve-Slow-Train-Analysis-(2080s-and-2083s)?_g=(refreshInterval:(display:Off,pause:!f,section:0,value:0),time:(from:'2017-09-20T14:36:35-0600',mode:absolute,to:'2017-09-20T16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204" t="str">
        <f>IF(AA184&lt;VLOOKUP(AG184,Variables!$AC$3:$AD$8,2,FALSE),"Y","N")</f>
        <v>N</v>
      </c>
      <c r="X184" s="204">
        <f t="shared" si="62"/>
        <v>1</v>
      </c>
      <c r="Y184" s="204">
        <f t="shared" si="79"/>
        <v>9.6500000000000002E-2</v>
      </c>
      <c r="Z184" s="204">
        <f t="shared" si="80"/>
        <v>5.8944000000000001</v>
      </c>
      <c r="AA184" s="204">
        <f t="shared" si="63"/>
        <v>5.7979000000000003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4"/>
        <v>827</v>
      </c>
      <c r="AE184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84" s="74" t="str">
        <f t="shared" si="66"/>
        <v>"C:\Program Files (x86)\AstroGrep\AstroGrep.exe" /e /r /s /spath="%USERPROFILE%\AppData\Local\Temp\OnboardLogs" /stypes="app*4060*20170920*" /stext=" 21:.+((SYSTEM_STATE.+slice.+state.+changed )|(ment ac)|(multiple cpu faults)|(system.+state.+changed )|(\[timeout)|(PRM\|1\|D)|(kpr)|(kdp)|(train st.+moving)|(\|lc)|(penalty))"</v>
      </c>
      <c r="AG184" s="182" t="str">
        <f t="shared" si="67"/>
        <v>NW</v>
      </c>
      <c r="AH184" s="78" t="str">
        <f t="shared" si="68"/>
        <v>"%USERPROFILE%\Documents\GitHub\eaglep3\Utilities\RefineRTDCRunTimes.py" --tripid 827-20 --locoid 4060 --swversion DE.1.0.9.0 --startMP 204:965 --initTime 2017-09-20T15:36:35 --startdatetime 2017-09-20T15:39:32 --delay 74 --endMP 300:58944 --enddatetime 2017-09-20T15:53:35 --enforcementcount 0 &gt;&gt;c:\users\tmcdowell\Documents\GitHub\eaglep3-reporting\EC\2017-09-20-refined-times.txt</v>
      </c>
      <c r="AI18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ID","value":"827-20"},{"id":16,"name":"Locomotive ID","value":"4060"},{"id":130,"name":"Impact","value":""},{"id":150,"name":"Time of Event (Mountain Time)","value":"15:53:35"},{"id":151,"name":"Denver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0"/>
        <v>start /low /b %USERPROFILE%\Documents\GitHub\eaglep3\Utilities\DownloadLogsFromS3.py --loco 4060 --day 2017-09-20</v>
      </c>
      <c r="AN18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2"/>
        <v>https://d0f6bd738d7f1b3e5a7ca70fe4ff75f0.us-east-1.aws.found.io/app/kibana#/discover/Steve-Slow-Train-Analysis-(2080s-and-2083s)?_g=(refreshInterval:(display:Off,pause:!f,section:0,value:0),time:(from:'2017-09-20T14:36:35-0600',mode:absolute,to:'2017-09-20T16:53:35-0600'))&amp;_a=(columns:!('Message%20ID',Summary),filters:!(),index:'emp_*',interval:auto,query:(query_string:(analyze_wildcard:!t,query:'Message%5C+ID:(*)+AND+%22rtdc.l.rtdc.4060%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761</v>
      </c>
      <c r="B185" s="7">
        <v>4059</v>
      </c>
      <c r="C185" s="21" t="s">
        <v>196</v>
      </c>
      <c r="D185" s="21" t="s">
        <v>505</v>
      </c>
      <c r="E185" s="13">
        <v>42998.663171296299</v>
      </c>
      <c r="F185" s="13">
        <v>42998.674502314818</v>
      </c>
      <c r="G185" s="7">
        <v>57</v>
      </c>
      <c r="H185" s="21" t="s">
        <v>975</v>
      </c>
      <c r="I185" s="13">
        <v>42998.683587962965</v>
      </c>
      <c r="J185" s="7">
        <v>0</v>
      </c>
      <c r="K185" s="89" t="str">
        <f t="shared" si="57"/>
        <v>4059/4060</v>
      </c>
      <c r="L185" s="185" t="str">
        <f>VLOOKUP(A185,'Trips&amp;Operators'!$C$1:$G$99911,5,FALSE)</f>
        <v>STAMBAUGH JAMES</v>
      </c>
      <c r="M185" s="6">
        <f t="shared" si="58"/>
        <v>9.0856481474475004E-3</v>
      </c>
      <c r="N185" s="7">
        <f t="shared" si="73"/>
        <v>13.083333332324401</v>
      </c>
      <c r="O185" s="7"/>
      <c r="P185" s="7"/>
      <c r="Q185" s="22"/>
      <c r="R185" s="174"/>
      <c r="S185" s="221">
        <f t="shared" si="59"/>
        <v>1</v>
      </c>
      <c r="T185" s="174" t="str">
        <f t="shared" si="60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1"/>
        <v>https://d0f6bd738d7f1b3e5a7ca70fe4ff75f0.us-east-1.aws.found.io/app/kibana#/discover/Steve-Slow-Train-Analysis-(2080s-and-2083s)?_g=(refreshInterval:(display:Off,pause:!f,section:0,value:0),time:(from:'2017-09-20T14:54:58-0600',mode:absolute,to:'2017-09-20T17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204" t="str">
        <f>IF(AA185&lt;VLOOKUP(AG185,Variables!$AC$3:$AD$8,2,FALSE),"Y","N")</f>
        <v>N</v>
      </c>
      <c r="X185" s="204">
        <f t="shared" si="62"/>
        <v>1</v>
      </c>
      <c r="Y185" s="204">
        <f t="shared" si="79"/>
        <v>5.8628</v>
      </c>
      <c r="Z185" s="204">
        <f t="shared" si="80"/>
        <v>6.7299999999999999E-2</v>
      </c>
      <c r="AA185" s="204">
        <f t="shared" si="63"/>
        <v>5.7954999999999997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4"/>
        <v>828</v>
      </c>
      <c r="AE185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85" s="74" t="str">
        <f t="shared" si="66"/>
        <v>"C:\Program Files (x86)\AstroGrep\AstroGrep.exe" /e /r /s /spath="%USERPROFILE%\AppData\Local\Temp\OnboardLogs" /stypes="app*4059*20170920*" /stext=" 22:.+((SYSTEM_STATE.+slice.+state.+changed )|(ment ac)|(multiple cpu faults)|(system.+state.+changed )|(\[timeout)|(PRM\|1\|D)|(kpr)|(kdp)|(train st.+moving)|(\|lc)|(penalty))"</v>
      </c>
      <c r="AG185" s="182" t="str">
        <f t="shared" si="67"/>
        <v>NW</v>
      </c>
      <c r="AH185" s="78" t="str">
        <f t="shared" si="68"/>
        <v>"%USERPROFILE%\Documents\GitHub\eaglep3\Utilities\RefineRTDCRunTimes.py" --tripid 828-20 --locoid 4059 --swversion DE.1.0.9.0 --startMP 300:58628 --initTime 2017-09-20T15:54:58 --startdatetime 2017-09-20T16:11:17 --delay 57 --endMP 204:673 --enddatetime 2017-09-20T16:24:22 --enforcementcount 0 &gt;&gt;c:\users\tmcdowell\Documents\GitHub\eaglep3-reporting\EC\2017-09-20-refined-times.txt</v>
      </c>
      <c r="AI18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{"issue":{"subject":"","project_id":79,"tracker_id":40,"status_id":1,"priority_id":2,"assigned_to_id":338,"start_date":"2017-09-20","description":"","custom_fields":[{"id":1,"name":"Subdivision","value":"NW"},{"id":4,"name":"Milepost","value":"0.0673"},{"id":17,"name":"Train ID","value":"828-20"},{"id":16,"name":"Locomotive ID","value":"4059"},{"id":130,"name":"Impact","value":""},{"id":150,"name":"Time of Event (Mountain Time)","value":"16:24:22"},{"id":151,"name":"Denver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0"/>
        <v>start /low /b %USERPROFILE%\Documents\GitHub\eaglep3\Utilities\DownloadLogsFromS3.py --loco 4059 --day 2017-09-20</v>
      </c>
      <c r="AN185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2"/>
        <v>https://d0f6bd738d7f1b3e5a7ca70fe4ff75f0.us-east-1.aws.found.io/app/kibana#/discover/Steve-Slow-Train-Analysis-(2080s-and-2083s)?_g=(refreshInterval:(display:Off,pause:!f,section:0,value:0),time:(from:'2017-09-20T14:54:58-0600',mode:absolute,to:'2017-09-20T17:24:22-0600'))&amp;_a=(columns:!('Message%20ID',Summary),filters:!(),index:'emp_*',interval:auto,query:(query_string:(analyze_wildcard:!t,query:'Message%5C+ID:(*)+AND+%22rtdc.l.rtdc.4059%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764</v>
      </c>
      <c r="B186" s="7">
        <v>4016</v>
      </c>
      <c r="C186" s="21" t="s">
        <v>196</v>
      </c>
      <c r="D186" s="21" t="s">
        <v>976</v>
      </c>
      <c r="E186" s="13">
        <v>42998.670057870368</v>
      </c>
      <c r="F186" s="13">
        <v>42998.673217592594</v>
      </c>
      <c r="G186" s="7">
        <v>76</v>
      </c>
      <c r="H186" s="21" t="s">
        <v>977</v>
      </c>
      <c r="I186" s="13">
        <v>42998.683935185189</v>
      </c>
      <c r="J186" s="7">
        <v>0</v>
      </c>
      <c r="K186" s="89" t="str">
        <f t="shared" si="57"/>
        <v>4015/4016</v>
      </c>
      <c r="L186" s="185" t="str">
        <f>VLOOKUP(A186,'Trips&amp;Operators'!$C$1:$G$99911,5,FALSE)</f>
        <v>LEVERE CRAIG</v>
      </c>
      <c r="M186" s="6">
        <f t="shared" si="58"/>
        <v>1.0717592595028691E-2</v>
      </c>
      <c r="N186" s="7">
        <f t="shared" si="73"/>
        <v>15.433333336841315</v>
      </c>
      <c r="O186" s="7"/>
      <c r="P186" s="7"/>
      <c r="Q186" s="22"/>
      <c r="R186" s="174"/>
      <c r="S186" s="221">
        <f t="shared" si="59"/>
        <v>1</v>
      </c>
      <c r="T186" s="174" t="str">
        <f t="shared" si="60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1"/>
        <v>https://d0f6bd738d7f1b3e5a7ca70fe4ff75f0.us-east-1.aws.found.io/app/kibana#/discover/Steve-Slow-Train-Analysis-(2080s-and-2083s)?_g=(refreshInterval:(display:Off,pause:!f,section:0,value:0),time:(from:'2017-09-20T15:04:53-0600',mode:absolute,to:'2017-09-20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204" t="str">
        <f>IF(AA186&lt;VLOOKUP(AG186,Variables!$AC$3:$AD$8,2,FALSE),"Y","N")</f>
        <v>N</v>
      </c>
      <c r="X186" s="204">
        <f t="shared" si="62"/>
        <v>1</v>
      </c>
      <c r="Y186" s="204">
        <f t="shared" si="79"/>
        <v>9.8799999999999999E-2</v>
      </c>
      <c r="Z186" s="204">
        <f t="shared" si="80"/>
        <v>5.8975</v>
      </c>
      <c r="AA186" s="204">
        <f t="shared" si="63"/>
        <v>5.7987000000000002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4"/>
        <v>829</v>
      </c>
      <c r="AE186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6" s="74" t="str">
        <f t="shared" si="66"/>
        <v>"C:\Program Files (x86)\AstroGrep\AstroGrep.exe" /e /r /s /spath="%USERPROFILE%\AppData\Local\Temp\OnboardLogs" /stypes="app*4016*20170920*" /stext=" 22:.+((SYSTEM_STATE.+slice.+state.+changed )|(ment ac)|(multiple cpu faults)|(system.+state.+changed )|(\[timeout)|(PRM\|1\|D)|(kpr)|(kdp)|(train st.+moving)|(\|lc)|(penalty))"</v>
      </c>
      <c r="AG186" s="182" t="str">
        <f t="shared" si="67"/>
        <v>NW</v>
      </c>
      <c r="AH186" s="78" t="str">
        <f t="shared" si="68"/>
        <v>"%USERPROFILE%\Documents\GitHub\eaglep3\Utilities\RefineRTDCRunTimes.py" --tripid 829-20 --locoid 4016 --swversion DE.1.0.9.0 --startMP 204:988 --initTime 2017-09-20T16:04:53 --startdatetime 2017-09-20T16:09:26 --delay 76 --endMP 300:58975 --enddatetime 2017-09-20T16:24:52 --enforcementcount 0 &gt;&gt;c:\users\tmcdowell\Documents\GitHub\eaglep3-reporting\EC\2017-09-20-refined-times.txt</v>
      </c>
      <c r="AI18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{"issue":{"subject":"","project_id":79,"tracker_id":40,"status_id":1,"priority_id":2,"assigned_to_id":338,"start_date":"2017-09-20","description":"","custom_fields":[{"id":1,"name":"Subdivision","value":"NW"},{"id":4,"name":"Milepost","value":"5.8975"},{"id":17,"name":"Train ID","value":"829-20"},{"id":16,"name":"Locomotive ID","value":"4016"},{"id":130,"name":"Impact","value":""},{"id":150,"name":"Time of Event (Mountain Time)","value":"16:24:52"},{"id":151,"name":"Denver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0"/>
        <v>start /low /b %USERPROFILE%\Documents\GitHub\eaglep3\Utilities\DownloadLogsFromS3.py --loco 4016 --day 2017-09-20</v>
      </c>
      <c r="AN18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2"/>
        <v>https://d0f6bd738d7f1b3e5a7ca70fe4ff75f0.us-east-1.aws.found.io/app/kibana#/discover/Steve-Slow-Train-Analysis-(2080s-and-2083s)?_g=(refreshInterval:(display:Off,pause:!f,section:0,value:0),time:(from:'2017-09-20T15:04:53-0600',mode:absolute,to:'2017-09-20T17:24:52-0600'))&amp;_a=(columns:!('Message%20ID',Summary),filters:!(),index:'emp_*',interval:auto,query:(query_string:(analyze_wildcard:!t,query:'Message%5C+ID:(*)+AND+%22rtdc.l.rtdc.4016%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770</v>
      </c>
      <c r="B187" s="7">
        <v>4015</v>
      </c>
      <c r="C187" s="21" t="s">
        <v>196</v>
      </c>
      <c r="D187" s="21" t="s">
        <v>564</v>
      </c>
      <c r="E187" s="13">
        <v>42998.685810185183</v>
      </c>
      <c r="F187" s="13">
        <v>42998.692187499997</v>
      </c>
      <c r="G187" s="7">
        <v>58</v>
      </c>
      <c r="H187" s="21" t="s">
        <v>978</v>
      </c>
      <c r="I187" s="13">
        <v>42998.705810185187</v>
      </c>
      <c r="J187" s="7">
        <v>0</v>
      </c>
      <c r="K187" s="89" t="str">
        <f t="shared" si="57"/>
        <v>4015/4016</v>
      </c>
      <c r="L187" s="185" t="str">
        <f>VLOOKUP(A187,'Trips&amp;Operators'!$C$1:$G$99911,5,FALSE)</f>
        <v>LEVERE CRAIG</v>
      </c>
      <c r="M187" s="6">
        <f t="shared" si="58"/>
        <v>1.3622685190057382E-2</v>
      </c>
      <c r="N187" s="7">
        <f t="shared" si="73"/>
        <v>19.61666667368263</v>
      </c>
      <c r="O187" s="7"/>
      <c r="P187" s="7"/>
      <c r="Q187" s="22"/>
      <c r="R187" s="174"/>
      <c r="S187" s="221">
        <f t="shared" si="59"/>
        <v>1</v>
      </c>
      <c r="T187" s="174" t="str">
        <f t="shared" si="60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1"/>
        <v>https://d0f6bd738d7f1b3e5a7ca70fe4ff75f0.us-east-1.aws.found.io/app/kibana#/discover/Steve-Slow-Train-Analysis-(2080s-and-2083s)?_g=(refreshInterval:(display:Off,pause:!f,section:0,value:0),time:(from:'2017-09-20T15:27:34-0600',mode:absolute,to:'2017-09-20T17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204" t="str">
        <f>IF(AA187&lt;VLOOKUP(AG187,Variables!$AC$3:$AD$8,2,FALSE),"Y","N")</f>
        <v>N</v>
      </c>
      <c r="X187" s="204">
        <f t="shared" si="62"/>
        <v>1</v>
      </c>
      <c r="Y187" s="204">
        <f t="shared" si="79"/>
        <v>5.8667999999999996</v>
      </c>
      <c r="Z187" s="204">
        <f t="shared" si="80"/>
        <v>6.9199999999999998E-2</v>
      </c>
      <c r="AA187" s="204">
        <f t="shared" si="63"/>
        <v>5.7975999999999992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4"/>
        <v>830</v>
      </c>
      <c r="AE18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7" s="74" t="str">
        <f t="shared" si="66"/>
        <v>"C:\Program Files (x86)\AstroGrep\AstroGrep.exe" /e /r /s /spath="%USERPROFILE%\AppData\Local\Temp\OnboardLogs" /stypes="app*4015*20170920*" /stext=" 22:.+((SYSTEM_STATE.+slice.+state.+changed )|(ment ac)|(multiple cpu faults)|(system.+state.+changed )|(\[timeout)|(PRM\|1\|D)|(kpr)|(kdp)|(train st.+moving)|(\|lc)|(penalty))"</v>
      </c>
      <c r="AG187" s="182" t="str">
        <f t="shared" si="67"/>
        <v>NW</v>
      </c>
      <c r="AH187" s="78" t="str">
        <f t="shared" si="68"/>
        <v>"%USERPROFILE%\Documents\GitHub\eaglep3\Utilities\RefineRTDCRunTimes.py" --tripid 830-20 --locoid 4015 --swversion DE.1.0.9.0 --startMP 300:58668 --initTime 2017-09-20T16:27:34 --startdatetime 2017-09-20T16:36:45 --delay 58 --endMP 204:692 --enddatetime 2017-09-20T16:56:22 --enforcementcount 0 &gt;&gt;c:\users\tmcdowell\Documents\GitHub\eaglep3-reporting\EC\2017-09-20-refined-times.txt</v>
      </c>
      <c r="AI18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{"issue":{"subject":"","project_id":79,"tracker_id":40,"status_id":1,"priority_id":2,"assigned_to_id":338,"start_date":"2017-09-20","description":"","custom_fields":[{"id":1,"name":"Subdivision","value":"NW"},{"id":4,"name":"Milepost","value":"0.0692"},{"id":17,"name":"Train ID","value":"830-20"},{"id":16,"name":"Locomotive ID","value":"4015"},{"id":130,"name":"Impact","value":""},{"id":150,"name":"Time of Event (Mountain Time)","value":"16:56:22"},{"id":151,"name":"Denver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0"/>
        <v>start /low /b %USERPROFILE%\Documents\GitHub\eaglep3\Utilities\DownloadLogsFromS3.py --loco 4015 --day 2017-09-20</v>
      </c>
      <c r="AN18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2"/>
        <v>https://d0f6bd738d7f1b3e5a7ca70fe4ff75f0.us-east-1.aws.found.io/app/kibana#/discover/Steve-Slow-Train-Analysis-(2080s-and-2083s)?_g=(refreshInterval:(display:Off,pause:!f,section:0,value:0),time:(from:'2017-09-20T15:27:34-0600',mode:absolute,to:'2017-09-20T17:56:22-0600'))&amp;_a=(columns:!('Message%20ID',Summary),filters:!(),index:'emp_*',interval:auto,query:(query_string:(analyze_wildcard:!t,query:'Message%5C+ID:(*)+AND+%22rtdc.l.rtdc.4015%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771</v>
      </c>
      <c r="B188" s="7">
        <v>4060</v>
      </c>
      <c r="C188" s="21" t="s">
        <v>196</v>
      </c>
      <c r="D188" s="21" t="s">
        <v>467</v>
      </c>
      <c r="E188" s="13">
        <v>42998.691550925927</v>
      </c>
      <c r="F188" s="13">
        <v>42998.694027777776</v>
      </c>
      <c r="G188" s="7">
        <v>63</v>
      </c>
      <c r="H188" s="21" t="s">
        <v>504</v>
      </c>
      <c r="I188" s="13">
        <v>42998.704791666663</v>
      </c>
      <c r="J188" s="7">
        <v>0</v>
      </c>
      <c r="K188" s="89" t="str">
        <f t="shared" si="57"/>
        <v>4059/4060</v>
      </c>
      <c r="L188" s="185" t="str">
        <f>VLOOKUP(A188,'Trips&amp;Operators'!$C$1:$G$99911,5,FALSE)</f>
        <v>STAMBAUGH JAMES</v>
      </c>
      <c r="M188" s="6">
        <f t="shared" si="58"/>
        <v>1.0763888887595385E-2</v>
      </c>
      <c r="N188" s="7">
        <f t="shared" si="73"/>
        <v>15.499999998137355</v>
      </c>
      <c r="O188" s="7"/>
      <c r="P188" s="7"/>
      <c r="Q188" s="22"/>
      <c r="R188" s="174"/>
      <c r="S188" s="221">
        <f t="shared" si="59"/>
        <v>1</v>
      </c>
      <c r="T188" s="174" t="str">
        <f t="shared" si="60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1"/>
        <v>https://d0f6bd738d7f1b3e5a7ca70fe4ff75f0.us-east-1.aws.found.io/app/kibana#/discover/Steve-Slow-Train-Analysis-(2080s-and-2083s)?_g=(refreshInterval:(display:Off,pause:!f,section:0,value:0),time:(from:'2017-09-20T15:35:50-0600',mode:absolute,to:'2017-09-20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204" t="str">
        <f>IF(AA188&lt;VLOOKUP(AG188,Variables!$AC$3:$AD$8,2,FALSE),"Y","N")</f>
        <v>N</v>
      </c>
      <c r="X188" s="204">
        <f t="shared" si="62"/>
        <v>1</v>
      </c>
      <c r="Y188" s="204">
        <f t="shared" si="79"/>
        <v>9.6699999999999994E-2</v>
      </c>
      <c r="Z188" s="204">
        <f t="shared" si="80"/>
        <v>5.8944000000000001</v>
      </c>
      <c r="AA188" s="204">
        <f t="shared" si="63"/>
        <v>5.7976999999999999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4"/>
        <v>831</v>
      </c>
      <c r="AE188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88" s="74" t="str">
        <f t="shared" si="66"/>
        <v>"C:\Program Files (x86)\AstroGrep\AstroGrep.exe" /e /r /s /spath="%USERPROFILE%\AppData\Local\Temp\OnboardLogs" /stypes="app*4060*20170920*" /stext=" 22:.+((SYSTEM_STATE.+slice.+state.+changed )|(ment ac)|(multiple cpu faults)|(system.+state.+changed )|(\[timeout)|(PRM\|1\|D)|(kpr)|(kdp)|(train st.+moving)|(\|lc)|(penalty))"</v>
      </c>
      <c r="AG188" s="182" t="str">
        <f t="shared" si="67"/>
        <v>NW</v>
      </c>
      <c r="AH188" s="78" t="str">
        <f t="shared" si="68"/>
        <v>"%USERPROFILE%\Documents\GitHub\eaglep3\Utilities\RefineRTDCRunTimes.py" --tripid 831-20 --locoid 4060 --swversion DE.1.0.9.0 --startMP 204:967 --initTime 2017-09-20T16:35:50 --startdatetime 2017-09-20T16:39:24 --delay 63 --endMP 300:58944 --enddatetime 2017-09-20T16:54:54 --enforcementcount 0 &gt;&gt;c:\users\tmcdowell\Documents\GitHub\eaglep3-reporting\EC\2017-09-20-refined-times.txt</v>
      </c>
      <c r="AI18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ID","value":"831-20"},{"id":16,"name":"Locomotive ID","value":"4060"},{"id":130,"name":"Impact","value":""},{"id":150,"name":"Time of Event (Mountain Time)","value":"16:54:54"},{"id":151,"name":"Denver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0"/>
        <v>start /low /b %USERPROFILE%\Documents\GitHub\eaglep3\Utilities\DownloadLogsFromS3.py --loco 4060 --day 2017-09-20</v>
      </c>
      <c r="AN18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2"/>
        <v>https://d0f6bd738d7f1b3e5a7ca70fe4ff75f0.us-east-1.aws.found.io/app/kibana#/discover/Steve-Slow-Train-Analysis-(2080s-and-2083s)?_g=(refreshInterval:(display:Off,pause:!f,section:0,value:0),time:(from:'2017-09-20T15:35:50-0600',mode:absolute,to:'2017-09-20T17:54:54-0600'))&amp;_a=(columns:!('Message%20ID',Summary),filters:!(),index:'emp_*',interval:auto,query:(query_string:(analyze_wildcard:!t,query:'Message%5C+ID:(*)+AND+%22rtdc.l.rtdc.4060%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775</v>
      </c>
      <c r="B189" s="7">
        <v>4059</v>
      </c>
      <c r="C189" s="21" t="s">
        <v>196</v>
      </c>
      <c r="D189" s="21" t="s">
        <v>979</v>
      </c>
      <c r="E189" s="13">
        <v>42998.706192129626</v>
      </c>
      <c r="F189" s="13">
        <v>42998.716828703706</v>
      </c>
      <c r="G189" s="7">
        <v>48</v>
      </c>
      <c r="H189" s="21" t="s">
        <v>980</v>
      </c>
      <c r="I189" s="13">
        <v>42998.726226851853</v>
      </c>
      <c r="J189" s="7">
        <v>0</v>
      </c>
      <c r="K189" s="89" t="str">
        <f t="shared" si="57"/>
        <v>4059/4060</v>
      </c>
      <c r="L189" s="185" t="str">
        <f>VLOOKUP(A189,'Trips&amp;Operators'!$C$1:$G$99911,5,FALSE)</f>
        <v>STAMBAUGH JAMES</v>
      </c>
      <c r="M189" s="6">
        <f t="shared" si="58"/>
        <v>9.3981481477385387E-3</v>
      </c>
      <c r="N189" s="7">
        <f t="shared" ref="N189:P220" si="81">24*60*SUM($M189:$M189)</f>
        <v>13.533333332743496</v>
      </c>
      <c r="O189" s="7"/>
      <c r="P189" s="7"/>
      <c r="Q189" s="22"/>
      <c r="R189" s="174"/>
      <c r="S189" s="221">
        <f t="shared" si="59"/>
        <v>1</v>
      </c>
      <c r="T189" s="174" t="str">
        <f t="shared" si="60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1"/>
        <v>https://d0f6bd738d7f1b3e5a7ca70fe4ff75f0.us-east-1.aws.found.io/app/kibana#/discover/Steve-Slow-Train-Analysis-(2080s-and-2083s)?_g=(refreshInterval:(display:Off,pause:!f,section:0,value:0),time:(from:'2017-09-20T15:56:55-0600',mode:absolute,to:'2017-09-20T18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204" t="str">
        <f>IF(AA189&lt;VLOOKUP(AG189,Variables!$AC$3:$AD$8,2,FALSE),"Y","N")</f>
        <v>N</v>
      </c>
      <c r="X189" s="204">
        <f t="shared" si="62"/>
        <v>1</v>
      </c>
      <c r="Y189" s="204">
        <f t="shared" si="79"/>
        <v>5.8625999999999996</v>
      </c>
      <c r="Z189" s="204">
        <f t="shared" si="80"/>
        <v>6.9900000000000004E-2</v>
      </c>
      <c r="AA189" s="204">
        <f t="shared" si="63"/>
        <v>5.7927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4"/>
        <v>832</v>
      </c>
      <c r="AE189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89" s="74" t="str">
        <f t="shared" si="66"/>
        <v>"C:\Program Files (x86)\AstroGrep\AstroGrep.exe" /e /r /s /spath="%USERPROFILE%\AppData\Local\Temp\OnboardLogs" /stypes="app*4059*20170920*" /stext=" 23:.+((SYSTEM_STATE.+slice.+state.+changed )|(ment ac)|(multiple cpu faults)|(system.+state.+changed )|(\[timeout)|(PRM\|1\|D)|(kpr)|(kdp)|(train st.+moving)|(\|lc)|(penalty))"</v>
      </c>
      <c r="AG189" s="182" t="str">
        <f t="shared" si="67"/>
        <v>NW</v>
      </c>
      <c r="AH189" s="78" t="str">
        <f t="shared" si="68"/>
        <v>"%USERPROFILE%\Documents\GitHub\eaglep3\Utilities\RefineRTDCRunTimes.py" --tripid 832-20 --locoid 4059 --swversion DE.1.0.9.0 --startMP 300:58626 --initTime 2017-09-20T16:56:55 --startdatetime 2017-09-20T17:12:14 --delay 48 --endMP 204:699 --enddatetime 2017-09-20T17:25:46 --enforcementcount 0 &gt;&gt;c:\users\tmcdowell\Documents\GitHub\eaglep3-reporting\EC\2017-09-20-refined-times.txt</v>
      </c>
      <c r="AI18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{"issue":{"subject":"","project_id":79,"tracker_id":40,"status_id":1,"priority_id":2,"assigned_to_id":338,"start_date":"2017-09-20","description":"","custom_fields":[{"id":1,"name":"Subdivision","value":"NW"},{"id":4,"name":"Milepost","value":"0.0699"},{"id":17,"name":"Train ID","value":"832-20"},{"id":16,"name":"Locomotive ID","value":"4059"},{"id":130,"name":"Impact","value":""},{"id":150,"name":"Time of Event (Mountain Time)","value":"17:25:46"},{"id":151,"name":"Denver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0"/>
        <v>start /low /b %USERPROFILE%\Documents\GitHub\eaglep3\Utilities\DownloadLogsFromS3.py --loco 4059 --day 2017-09-20</v>
      </c>
      <c r="AN18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2"/>
        <v>https://d0f6bd738d7f1b3e5a7ca70fe4ff75f0.us-east-1.aws.found.io/app/kibana#/discover/Steve-Slow-Train-Analysis-(2080s-and-2083s)?_g=(refreshInterval:(display:Off,pause:!f,section:0,value:0),time:(from:'2017-09-20T15:56:55-0600',mode:absolute,to:'2017-09-20T18:25:46-0600'))&amp;_a=(columns:!('Message%20ID',Summary),filters:!(),index:'emp_*',interval:auto,query:(query_string:(analyze_wildcard:!t,query:'Message%5C+ID:(*)+AND+%22rtdc.l.rtdc.4059%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776</v>
      </c>
      <c r="B190" s="7">
        <v>4016</v>
      </c>
      <c r="C190" s="21" t="s">
        <v>196</v>
      </c>
      <c r="D190" s="21" t="s">
        <v>888</v>
      </c>
      <c r="E190" s="13">
        <v>42998.709189814814</v>
      </c>
      <c r="F190" s="13">
        <v>42998.714826388888</v>
      </c>
      <c r="G190" s="7">
        <v>102</v>
      </c>
      <c r="H190" s="21" t="s">
        <v>981</v>
      </c>
      <c r="I190" s="13">
        <v>42998.725821759261</v>
      </c>
      <c r="J190" s="7">
        <v>0</v>
      </c>
      <c r="K190" s="89" t="str">
        <f t="shared" si="57"/>
        <v>4015/4016</v>
      </c>
      <c r="L190" s="185" t="str">
        <f>VLOOKUP(A190,'Trips&amp;Operators'!$C$1:$G$99911,5,FALSE)</f>
        <v>BIRKHOLZ NADINE</v>
      </c>
      <c r="M190" s="6">
        <f t="shared" si="58"/>
        <v>1.099537037225673E-2</v>
      </c>
      <c r="N190" s="7">
        <f t="shared" si="81"/>
        <v>15.833333336049691</v>
      </c>
      <c r="O190" s="7"/>
      <c r="P190" s="7"/>
      <c r="Q190" s="22"/>
      <c r="R190" s="174"/>
      <c r="S190" s="221">
        <f t="shared" si="59"/>
        <v>1</v>
      </c>
      <c r="T190" s="174" t="str">
        <f t="shared" si="60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1"/>
        <v>https://d0f6bd738d7f1b3e5a7ca70fe4ff75f0.us-east-1.aws.found.io/app/kibana#/discover/Steve-Slow-Train-Analysis-(2080s-and-2083s)?_g=(refreshInterval:(display:Off,pause:!f,section:0,value:0),time:(from:'2017-09-20T16:01:14-0600',mode:absolute,to:'2017-09-20T18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04" t="str">
        <f>IF(AA190&lt;VLOOKUP(AG190,Variables!$AC$3:$AD$8,2,FALSE),"Y","N")</f>
        <v>N</v>
      </c>
      <c r="X190" s="204">
        <f t="shared" si="62"/>
        <v>1</v>
      </c>
      <c r="Y190" s="204">
        <f t="shared" si="79"/>
        <v>9.7600000000000006E-2</v>
      </c>
      <c r="Z190" s="204">
        <f t="shared" si="80"/>
        <v>5.8933</v>
      </c>
      <c r="AA190" s="204">
        <f t="shared" si="63"/>
        <v>5.7957000000000001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4"/>
        <v>833</v>
      </c>
      <c r="AE19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0" s="74" t="str">
        <f t="shared" si="66"/>
        <v>"C:\Program Files (x86)\AstroGrep\AstroGrep.exe" /e /r /s /spath="%USERPROFILE%\AppData\Local\Temp\OnboardLogs" /stypes="app*4016*20170920*" /stext=" 23:.+((SYSTEM_STATE.+slice.+state.+changed )|(ment ac)|(multiple cpu faults)|(system.+state.+changed )|(\[timeout)|(PRM\|1\|D)|(kpr)|(kdp)|(train st.+moving)|(\|lc)|(penalty))"</v>
      </c>
      <c r="AG190" s="182" t="str">
        <f t="shared" si="67"/>
        <v>NW</v>
      </c>
      <c r="AH190" s="78" t="str">
        <f t="shared" si="68"/>
        <v>"%USERPROFILE%\Documents\GitHub\eaglep3\Utilities\RefineRTDCRunTimes.py" --tripid 833-20 --locoid 4016 --swversion DE.1.0.9.0 --startMP 204:976 --initTime 2017-09-20T17:01:14 --startdatetime 2017-09-20T17:09:21 --delay 102 --endMP 300:58933 --enddatetime 2017-09-20T17:25:11 --enforcementcount 0 &gt;&gt;c:\users\tmcdowell\Documents\GitHub\eaglep3-reporting\EC\2017-09-20-refined-times.txt</v>
      </c>
      <c r="AI19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{"issue":{"subject":"","project_id":79,"tracker_id":40,"status_id":1,"priority_id":2,"assigned_to_id":338,"start_date":"2017-09-20","description":"","custom_fields":[{"id":1,"name":"Subdivision","value":"NW"},{"id":4,"name":"Milepost","value":"5.8933"},{"id":17,"name":"Train ID","value":"833-20"},{"id":16,"name":"Locomotive ID","value":"4016"},{"id":130,"name":"Impact","value":""},{"id":150,"name":"Time of Event (Mountain Time)","value":"17:25:11"},{"id":151,"name":"Denver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0"/>
        <v>start /low /b %USERPROFILE%\Documents\GitHub\eaglep3\Utilities\DownloadLogsFromS3.py --loco 4016 --day 2017-09-20</v>
      </c>
      <c r="AN19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2"/>
        <v>https://d0f6bd738d7f1b3e5a7ca70fe4ff75f0.us-east-1.aws.found.io/app/kibana#/discover/Steve-Slow-Train-Analysis-(2080s-and-2083s)?_g=(refreshInterval:(display:Off,pause:!f,section:0,value:0),time:(from:'2017-09-20T16:01:14-0600',mode:absolute,to:'2017-09-20T18:25:11-0600'))&amp;_a=(columns:!('Message%20ID',Summary),filters:!(),index:'emp_*',interval:auto,query:(query_string:(analyze_wildcard:!t,query:'Message%5C+ID:(*)+AND+%22rtdc.l.rtdc.4016%22')),sort:!(Time.ISO8601,asc))</v>
      </c>
    </row>
    <row r="191" spans="1:91" s="20" customFormat="1" x14ac:dyDescent="0.25">
      <c r="A191" s="32" t="s">
        <v>606</v>
      </c>
      <c r="B191" s="7">
        <v>4015</v>
      </c>
      <c r="C191" s="21" t="s">
        <v>196</v>
      </c>
      <c r="D191" s="21" t="s">
        <v>982</v>
      </c>
      <c r="E191" s="13">
        <v>42998.727384259262</v>
      </c>
      <c r="F191" s="13">
        <v>42998.734178240738</v>
      </c>
      <c r="G191" s="7">
        <v>82</v>
      </c>
      <c r="H191" s="21" t="s">
        <v>975</v>
      </c>
      <c r="I191" s="13">
        <v>42998.747094907405</v>
      </c>
      <c r="J191" s="7">
        <v>0</v>
      </c>
      <c r="K191" s="89" t="str">
        <f t="shared" si="57"/>
        <v>4015/4016</v>
      </c>
      <c r="L191" s="185" t="str">
        <f>VLOOKUP(A191,'Trips&amp;Operators'!$C$1:$G$99911,5,FALSE)</f>
        <v>BIRKHOLZ NADINE</v>
      </c>
      <c r="M191" s="6">
        <f t="shared" si="58"/>
        <v>1.2916666666569654E-2</v>
      </c>
      <c r="N191" s="7">
        <f t="shared" si="81"/>
        <v>18.599999999860302</v>
      </c>
      <c r="O191" s="7"/>
      <c r="P191" s="7"/>
      <c r="Q191" s="22"/>
      <c r="R191" s="174"/>
      <c r="S191" s="221">
        <f t="shared" si="59"/>
        <v>1</v>
      </c>
      <c r="T191" s="174" t="str">
        <f t="shared" si="60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1"/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04" t="str">
        <f>IF(AA191&lt;VLOOKUP(AG191,Variables!$AC$3:$AD$8,2,FALSE),"Y","N")</f>
        <v>N</v>
      </c>
      <c r="X191" s="204">
        <f t="shared" si="62"/>
        <v>1</v>
      </c>
      <c r="Y191" s="204">
        <f t="shared" si="79"/>
        <v>5.8613</v>
      </c>
      <c r="Z191" s="204">
        <f t="shared" si="80"/>
        <v>6.7299999999999999E-2</v>
      </c>
      <c r="AA191" s="204">
        <f t="shared" si="63"/>
        <v>5.7939999999999996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4"/>
        <v>834</v>
      </c>
      <c r="AE19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1" s="74" t="str">
        <f t="shared" si="66"/>
        <v>"C:\Program Files (x86)\AstroGrep\AstroGrep.exe" /e /r /s /spath="%USERPROFILE%\AppData\Local\Temp\OnboardLogs" /stypes="app*4015*20170920*" /stext=" 23:.+((SYSTEM_STATE.+slice.+state.+changed )|(ment ac)|(multiple cpu faults)|(system.+state.+changed )|(\[timeout)|(PRM\|1\|D)|(kpr)|(kdp)|(train st.+moving)|(\|lc)|(penalty))"</v>
      </c>
      <c r="AG191" s="182" t="str">
        <f t="shared" si="67"/>
        <v>NW</v>
      </c>
      <c r="AH191" s="78" t="str">
        <f t="shared" si="68"/>
        <v>"%USERPROFILE%\Documents\GitHub\eaglep3\Utilities\RefineRTDCRunTimes.py" --tripid 834-20 --locoid 4015 --swversion DE.1.0.9.0 --startMP 300:58613 --initTime 2017-09-20T17:27:26 --startdatetime 2017-09-20T17:37:13 --delay 82 --endMP 204:673 --enddatetime 2017-09-20T17:55:49 --enforcementcount 0 &gt;&gt;c:\users\tmcdowell\Documents\GitHub\eaglep3-reporting\EC\2017-09-20-refined-times.txt</v>
      </c>
      <c r="AI19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{"issue":{"subject":"","project_id":79,"tracker_id":40,"status_id":1,"priority_id":2,"assigned_to_id":338,"start_date":"2017-09-20","description":"","custom_fields":[{"id":1,"name":"Subdivision","value":"NW"},{"id":4,"name":"Milepost","value":"0.0673"},{"id":17,"name":"Train ID","value":"834-20"},{"id":16,"name":"Locomotive ID","value":"4015"},{"id":130,"name":"Impact","value":""},{"id":150,"name":"Time of Event (Mountain Time)","value":"17:55:49"},{"id":151,"name":"Denver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0"/>
        <v>start /low /b %USERPROFILE%\Documents\GitHub\eaglep3\Utilities\DownloadLogsFromS3.py --loco 4015 --day 2017-09-20</v>
      </c>
      <c r="AN19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2"/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Message%20ID',Summary),filters:!(),index:'emp_*',interval:auto,query:(query_string:(analyze_wildcard:!t,query:'Message%5C+ID:(*)+AND+%22rtdc.l.rtdc.4015%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784</v>
      </c>
      <c r="B192" s="7">
        <v>4060</v>
      </c>
      <c r="C192" s="21" t="s">
        <v>196</v>
      </c>
      <c r="D192" s="21" t="s">
        <v>560</v>
      </c>
      <c r="E192" s="13">
        <v>42998.733287037037</v>
      </c>
      <c r="F192" s="13">
        <v>42998.735717592594</v>
      </c>
      <c r="G192" s="7">
        <v>55</v>
      </c>
      <c r="H192" s="21" t="s">
        <v>983</v>
      </c>
      <c r="I192" s="13">
        <v>42998.74591435185</v>
      </c>
      <c r="J192" s="7">
        <v>0</v>
      </c>
      <c r="K192" s="89" t="str">
        <f t="shared" si="57"/>
        <v>4059/4060</v>
      </c>
      <c r="L192" s="185" t="str">
        <f>VLOOKUP(A192,'Trips&amp;Operators'!$C$1:$G$99911,5,FALSE)</f>
        <v>STAMBAUGH JAMES</v>
      </c>
      <c r="M192" s="6">
        <f t="shared" si="58"/>
        <v>1.0196759256359655E-2</v>
      </c>
      <c r="N192" s="7">
        <f t="shared" si="81"/>
        <v>14.683333329157904</v>
      </c>
      <c r="O192" s="7"/>
      <c r="P192" s="7"/>
      <c r="Q192" s="22"/>
      <c r="R192" s="174"/>
      <c r="S192" s="221">
        <f t="shared" si="59"/>
        <v>1</v>
      </c>
      <c r="T192" s="174" t="str">
        <f t="shared" si="60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1"/>
        <v>https://d0f6bd738d7f1b3e5a7ca70fe4ff75f0.us-east-1.aws.found.io/app/kibana#/discover/Steve-Slow-Train-Analysis-(2080s-and-2083s)?_g=(refreshInterval:(display:Off,pause:!f,section:0,value:0),time:(from:'2017-09-20T16:35:56-0600',mode:absolute,to:'2017-09-20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2" s="204" t="str">
        <f>IF(AA192&lt;VLOOKUP(AG192,Variables!$AC$3:$AD$8,2,FALSE),"Y","N")</f>
        <v>N</v>
      </c>
      <c r="X192" s="204">
        <f t="shared" si="62"/>
        <v>1</v>
      </c>
      <c r="Y192" s="204">
        <f t="shared" si="79"/>
        <v>9.7199999999999995E-2</v>
      </c>
      <c r="Z192" s="204">
        <f t="shared" si="80"/>
        <v>5.8935000000000004</v>
      </c>
      <c r="AA192" s="204">
        <f t="shared" si="63"/>
        <v>5.7963000000000005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4"/>
        <v>835</v>
      </c>
      <c r="AE192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92" s="74" t="str">
        <f t="shared" si="66"/>
        <v>"C:\Program Files (x86)\AstroGrep\AstroGrep.exe" /e /r /s /spath="%USERPROFILE%\AppData\Local\Temp\OnboardLogs" /stypes="app*4060*20170920*" /stext=" 23:.+((SYSTEM_STATE.+slice.+state.+changed )|(ment ac)|(multiple cpu faults)|(system.+state.+changed )|(\[timeout)|(PRM\|1\|D)|(kpr)|(kdp)|(train st.+moving)|(\|lc)|(penalty))"</v>
      </c>
      <c r="AG192" s="182" t="str">
        <f t="shared" si="67"/>
        <v>NW</v>
      </c>
      <c r="AH192" s="78" t="str">
        <f t="shared" si="68"/>
        <v>"%USERPROFILE%\Documents\GitHub\eaglep3\Utilities\RefineRTDCRunTimes.py" --tripid 835-20 --locoid 4060 --swversion DE.1.0.9.0 --startMP 204:972 --initTime 2017-09-20T17:35:56 --startdatetime 2017-09-20T17:39:26 --delay 55 --endMP 300:58935 --enddatetime 2017-09-20T17:54:07 --enforcementcount 0 &gt;&gt;c:\users\tmcdowell\Documents\GitHub\eaglep3-reporting\EC\2017-09-20-refined-times.txt</v>
      </c>
      <c r="AI19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{"issue":{"subject":"","project_id":79,"tracker_id":40,"status_id":1,"priority_id":2,"assigned_to_id":338,"start_date":"2017-09-20","description":"","custom_fields":[{"id":1,"name":"Subdivision","value":"NW"},{"id":4,"name":"Milepost","value":"5.8935"},{"id":17,"name":"Train ID","value":"835-20"},{"id":16,"name":"Locomotive ID","value":"4060"},{"id":130,"name":"Impact","value":""},{"id":150,"name":"Time of Event (Mountain Time)","value":"17:54:07"},{"id":151,"name":"Denver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0"/>
        <v>start /low /b %USERPROFILE%\Documents\GitHub\eaglep3\Utilities\DownloadLogsFromS3.py --loco 4060 --day 2017-09-20</v>
      </c>
      <c r="AN19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2"/>
        <v>https://d0f6bd738d7f1b3e5a7ca70fe4ff75f0.us-east-1.aws.found.io/app/kibana#/discover/Steve-Slow-Train-Analysis-(2080s-and-2083s)?_g=(refreshInterval:(display:Off,pause:!f,section:0,value:0),time:(from:'2017-09-20T16:35:56-0600',mode:absolute,to:'2017-09-20T18:54:07-0600'))&amp;_a=(columns:!('Message%20ID',Summary),filters:!(),index:'emp_*',interval:auto,query:(query_string:(analyze_wildcard:!t,query:'Message%5C+ID:(*)+AND+%22rtdc.l.rtdc.4060%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787</v>
      </c>
      <c r="B193" s="7">
        <v>4059</v>
      </c>
      <c r="C193" s="21" t="s">
        <v>196</v>
      </c>
      <c r="D193" s="21" t="s">
        <v>984</v>
      </c>
      <c r="E193" s="13">
        <v>42998.746817129628</v>
      </c>
      <c r="F193" s="13">
        <v>42998.758449074077</v>
      </c>
      <c r="G193" s="7">
        <v>82</v>
      </c>
      <c r="H193" s="21" t="s">
        <v>985</v>
      </c>
      <c r="I193" s="13">
        <v>42998.766782407409</v>
      </c>
      <c r="J193" s="7">
        <v>0</v>
      </c>
      <c r="K193" s="89" t="str">
        <f t="shared" si="57"/>
        <v>4059/4060</v>
      </c>
      <c r="L193" s="185" t="str">
        <f>VLOOKUP(A193,'Trips&amp;Operators'!$C$1:$G$99911,5,FALSE)</f>
        <v>STAMBAUGH JAMES</v>
      </c>
      <c r="M193" s="6">
        <f t="shared" si="58"/>
        <v>8.333333331393078E-3</v>
      </c>
      <c r="N193" s="7">
        <f t="shared" si="81"/>
        <v>11.999999997206032</v>
      </c>
      <c r="O193" s="7"/>
      <c r="P193" s="7"/>
      <c r="Q193" s="22"/>
      <c r="R193" s="174"/>
      <c r="S193" s="221">
        <f t="shared" si="59"/>
        <v>1</v>
      </c>
      <c r="T193" s="174" t="str">
        <f t="shared" si="60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1"/>
        <v>https://d0f6bd738d7f1b3e5a7ca70fe4ff75f0.us-east-1.aws.found.io/app/kibana#/discover/Steve-Slow-Train-Analysis-(2080s-and-2083s)?_g=(refreshInterval:(display:Off,pause:!f,section:0,value:0),time:(from:'2017-09-20T16:55:25-0600',mode:absolute,to:'2017-09-20T19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204" t="str">
        <f>IF(AA193&lt;VLOOKUP(AG193,Variables!$AC$3:$AD$8,2,FALSE),"Y","N")</f>
        <v>N</v>
      </c>
      <c r="X193" s="204">
        <f t="shared" si="62"/>
        <v>1</v>
      </c>
      <c r="Y193" s="204">
        <f t="shared" si="79"/>
        <v>5.8619000000000003</v>
      </c>
      <c r="Z193" s="204">
        <f t="shared" si="80"/>
        <v>6.6600000000000006E-2</v>
      </c>
      <c r="AA193" s="204">
        <f t="shared" si="63"/>
        <v>5.7953000000000001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4"/>
        <v>836</v>
      </c>
      <c r="AE193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93" s="74" t="str">
        <f t="shared" si="66"/>
        <v>"C:\Program Files (x86)\AstroGrep\AstroGrep.exe" /e /r /s /spath="%USERPROFILE%\AppData\Local\Temp\OnboardLogs" /stypes="app*4059*20170921*" /stext=" 00:.+((SYSTEM_STATE.+slice.+state.+changed )|(ment ac)|(multiple cpu faults)|(system.+state.+changed )|(\[timeout)|(PRM\|1\|D)|(kpr)|(kdp)|(train st.+moving)|(\|lc)|(penalty))"</v>
      </c>
      <c r="AG193" s="182" t="str">
        <f t="shared" si="67"/>
        <v>NW</v>
      </c>
      <c r="AH193" s="78" t="str">
        <f t="shared" si="68"/>
        <v>"%USERPROFILE%\Documents\GitHub\eaglep3\Utilities\RefineRTDCRunTimes.py" --tripid 836-20 --locoid 4059 --swversion DE.1.0.9.0 --startMP 300:58619 --initTime 2017-09-20T17:55:25 --startdatetime 2017-09-20T18:12:10 --delay 82 --endMP 204:666 --enddatetime 2017-09-20T18:24:10 --enforcementcount 0 &gt;&gt;c:\users\tmcdowell\Documents\GitHub\eaglep3-reporting\EC\2017-09-20-refined-times.txt</v>
      </c>
      <c r="AI19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{"issue":{"subject":"","project_id":79,"tracker_id":40,"status_id":1,"priority_id":2,"assigned_to_id":338,"start_date":"2017-09-20","description":"","custom_fields":[{"id":1,"name":"Subdivision","value":"NW"},{"id":4,"name":"Milepost","value":"0.0666"},{"id":17,"name":"Train ID","value":"836-20"},{"id":16,"name":"Locomotive ID","value":"4059"},{"id":130,"name":"Impact","value":""},{"id":150,"name":"Time of Event (Mountain Time)","value":"18:24:10"},{"id":151,"name":"Denver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0"/>
        <v>start /low /b %USERPROFILE%\Documents\GitHub\eaglep3\Utilities\DownloadLogsFromS3.py --loco 4059 --day 2017-09-20</v>
      </c>
      <c r="AN19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2"/>
        <v>https://d0f6bd738d7f1b3e5a7ca70fe4ff75f0.us-east-1.aws.found.io/app/kibana#/discover/Steve-Slow-Train-Analysis-(2080s-and-2083s)?_g=(refreshInterval:(display:Off,pause:!f,section:0,value:0),time:(from:'2017-09-20T16:55:25-0600',mode:absolute,to:'2017-09-20T19:24:10-0600'))&amp;_a=(columns:!('Message%20ID',Summary),filters:!(),index:'emp_*',interval:auto,query:(query_string:(analyze_wildcard:!t,query:'Message%5C+ID:(*)+AND+%22rtdc.l.rtdc.4059%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789</v>
      </c>
      <c r="B194" s="7">
        <v>4016</v>
      </c>
      <c r="C194" s="21" t="s">
        <v>196</v>
      </c>
      <c r="D194" s="21" t="s">
        <v>570</v>
      </c>
      <c r="E194" s="13">
        <v>42998.752881944441</v>
      </c>
      <c r="F194" s="13">
        <v>42998.756527777776</v>
      </c>
      <c r="G194" s="7">
        <v>61</v>
      </c>
      <c r="H194" s="21" t="s">
        <v>981</v>
      </c>
      <c r="I194" s="13">
        <v>42998.766979166663</v>
      </c>
      <c r="J194" s="7">
        <v>0</v>
      </c>
      <c r="K194" s="89" t="str">
        <f t="shared" si="57"/>
        <v>4015/4016</v>
      </c>
      <c r="L194" s="185" t="str">
        <f>VLOOKUP(A194,'Trips&amp;Operators'!$C$1:$G$99911,5,FALSE)</f>
        <v>BIRKHOLZ NADINE</v>
      </c>
      <c r="M194" s="6">
        <f t="shared" si="58"/>
        <v>1.0451388887304347E-2</v>
      </c>
      <c r="N194" s="7">
        <f t="shared" si="81"/>
        <v>15.04999999771826</v>
      </c>
      <c r="O194" s="7"/>
      <c r="P194" s="7"/>
      <c r="Q194" s="22"/>
      <c r="R194" s="174"/>
      <c r="S194" s="221">
        <f t="shared" si="59"/>
        <v>1</v>
      </c>
      <c r="T194" s="174" t="str">
        <f t="shared" si="60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1"/>
        <v>https://d0f6bd738d7f1b3e5a7ca70fe4ff75f0.us-east-1.aws.found.io/app/kibana#/discover/Steve-Slow-Train-Analysis-(2080s-and-2083s)?_g=(refreshInterval:(display:Off,pause:!f,section:0,value:0),time:(from:'2017-09-20T17:04:09-0600',mode:absolute,to:'2017-09-20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04" t="str">
        <f>IF(AA194&lt;VLOOKUP(AG194,Variables!$AC$3:$AD$8,2,FALSE),"Y","N")</f>
        <v>N</v>
      </c>
      <c r="X194" s="204">
        <f t="shared" si="62"/>
        <v>1</v>
      </c>
      <c r="Y194" s="204">
        <f t="shared" si="79"/>
        <v>9.64E-2</v>
      </c>
      <c r="Z194" s="204">
        <f t="shared" si="80"/>
        <v>5.8933</v>
      </c>
      <c r="AA194" s="204">
        <f t="shared" si="63"/>
        <v>5.7968999999999999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4"/>
        <v>837</v>
      </c>
      <c r="AE19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4" s="74" t="str">
        <f t="shared" si="66"/>
        <v>"C:\Program Files (x86)\AstroGrep\AstroGrep.exe" /e /r /s /spath="%USERPROFILE%\AppData\Local\Temp\OnboardLogs" /stypes="app*4016*20170921*" /stext=" 00:.+((SYSTEM_STATE.+slice.+state.+changed )|(ment ac)|(multiple cpu faults)|(system.+state.+changed )|(\[timeout)|(PRM\|1\|D)|(kpr)|(kdp)|(train st.+moving)|(\|lc)|(penalty))"</v>
      </c>
      <c r="AG194" s="182" t="str">
        <f t="shared" si="67"/>
        <v>NW</v>
      </c>
      <c r="AH194" s="78" t="str">
        <f t="shared" si="68"/>
        <v>"%USERPROFILE%\Documents\GitHub\eaglep3\Utilities\RefineRTDCRunTimes.py" --tripid 837-20 --locoid 4016 --swversion DE.1.0.9.0 --startMP 204:964 --initTime 2017-09-20T18:04:09 --startdatetime 2017-09-20T18:09:24 --delay 61 --endMP 300:58933 --enddatetime 2017-09-20T18:24:27 --enforcementcount 0 &gt;&gt;c:\users\tmcdowell\Documents\GitHub\eaglep3-reporting\EC\2017-09-20-refined-times.txt</v>
      </c>
      <c r="AI19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{"issue":{"subject":"","project_id":79,"tracker_id":40,"status_id":1,"priority_id":2,"assigned_to_id":338,"start_date":"2017-09-20","description":"","custom_fields":[{"id":1,"name":"Subdivision","value":"NW"},{"id":4,"name":"Milepost","value":"5.8933"},{"id":17,"name":"Train ID","value":"837-20"},{"id":16,"name":"Locomotive ID","value":"4016"},{"id":130,"name":"Impact","value":""},{"id":150,"name":"Time of Event (Mountain Time)","value":"18:24:27"},{"id":151,"name":"Denver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0"/>
        <v>start /low /b %USERPROFILE%\Documents\GitHub\eaglep3\Utilities\DownloadLogsFromS3.py --loco 4016 --day 2017-09-20</v>
      </c>
      <c r="AN19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2"/>
        <v>https://d0f6bd738d7f1b3e5a7ca70fe4ff75f0.us-east-1.aws.found.io/app/kibana#/discover/Steve-Slow-Train-Analysis-(2080s-and-2083s)?_g=(refreshInterval:(display:Off,pause:!f,section:0,value:0),time:(from:'2017-09-20T17:04:09-0600',mode:absolute,to:'2017-09-20T19:24:27-0600'))&amp;_a=(columns:!('Message%20ID',Summary),filters:!(),index:'emp_*',interval:auto,query:(query_string:(analyze_wildcard:!t,query:'Message%5C+ID:(*)+AND+%22rtdc.l.rtdc.4016%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793</v>
      </c>
      <c r="B195" s="7">
        <v>4015</v>
      </c>
      <c r="C195" s="21" t="s">
        <v>196</v>
      </c>
      <c r="D195" s="21" t="s">
        <v>984</v>
      </c>
      <c r="E195" s="13">
        <v>42998.774456018517</v>
      </c>
      <c r="F195" s="13">
        <v>42998.778287037036</v>
      </c>
      <c r="G195" s="7">
        <v>64</v>
      </c>
      <c r="H195" s="21" t="s">
        <v>985</v>
      </c>
      <c r="I195" s="13">
        <v>42998.788946759261</v>
      </c>
      <c r="J195" s="7">
        <v>0</v>
      </c>
      <c r="K195" s="89" t="str">
        <f t="shared" si="57"/>
        <v>4015/4016</v>
      </c>
      <c r="L195" s="185" t="str">
        <f>VLOOKUP(A195,'Trips&amp;Operators'!$C$1:$G$99911,5,FALSE)</f>
        <v>BIRKHOLZ NADINE</v>
      </c>
      <c r="M195" s="6">
        <f t="shared" si="58"/>
        <v>1.0659722225682344E-2</v>
      </c>
      <c r="N195" s="7">
        <f t="shared" si="81"/>
        <v>15.350000004982576</v>
      </c>
      <c r="O195" s="7"/>
      <c r="P195" s="7"/>
      <c r="Q195" s="22"/>
      <c r="R195" s="174"/>
      <c r="S195" s="221">
        <f t="shared" si="59"/>
        <v>1</v>
      </c>
      <c r="T195" s="174" t="str">
        <f t="shared" si="60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13-0600',mode:absolute,to:'2017-09-20T19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04" t="str">
        <f>IF(AA195&lt;VLOOKUP(AG195,Variables!$AC$3:$AD$8,2,FALSE),"Y","N")</f>
        <v>N</v>
      </c>
      <c r="X195" s="204">
        <f t="shared" si="62"/>
        <v>1</v>
      </c>
      <c r="Y195" s="204">
        <f t="shared" si="79"/>
        <v>5.8619000000000003</v>
      </c>
      <c r="Z195" s="204">
        <f t="shared" si="80"/>
        <v>6.6600000000000006E-2</v>
      </c>
      <c r="AA195" s="204">
        <f t="shared" si="63"/>
        <v>5.7953000000000001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4"/>
        <v>838</v>
      </c>
      <c r="AE19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5" s="74" t="str">
        <f t="shared" si="66"/>
        <v>"C:\Program Files (x86)\AstroGrep\AstroGrep.exe" /e /r /s /spath="%USERPROFILE%\AppData\Local\Temp\OnboardLogs" /stypes="app*4015*20170921*" /stext=" 00:.+((SYSTEM_STATE.+slice.+state.+changed )|(ment ac)|(multiple cpu faults)|(system.+state.+changed )|(\[timeout)|(PRM\|1\|D)|(kpr)|(kdp)|(train st.+moving)|(\|lc)|(penalty))"</v>
      </c>
      <c r="AG195" s="182" t="str">
        <f t="shared" si="67"/>
        <v>NW</v>
      </c>
      <c r="AH195" s="78" t="str">
        <f t="shared" si="68"/>
        <v>"%USERPROFILE%\Documents\GitHub\eaglep3\Utilities\RefineRTDCRunTimes.py" --tripid 838-20 --locoid 4015 --swversion DE.1.0.9.0 --startMP 300:58619 --initTime 2017-09-20T18:35:13 --startdatetime 2017-09-20T18:40:44 --delay 64 --endMP 204:666 --enddatetime 2017-09-20T18:56:05 --enforcementcount 0 &gt;&gt;c:\users\tmcdowell\Documents\GitHub\eaglep3-reporting\EC\2017-09-20-refined-times.txt</v>
      </c>
      <c r="AI19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{"issue":{"subject":"","project_id":79,"tracker_id":40,"status_id":1,"priority_id":2,"assigned_to_id":338,"start_date":"2017-09-20","description":"","custom_fields":[{"id":1,"name":"Subdivision","value":"NW"},{"id":4,"name":"Milepost","value":"0.0666"},{"id":17,"name":"Train ID","value":"838-20"},{"id":16,"name":"Locomotive ID","value":"4015"},{"id":130,"name":"Impact","value":""},{"id":150,"name":"Time of Event (Mountain Time)","value":"18:56:05"},{"id":151,"name":"Denver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0"/>
        <v>start /low /b %USERPROFILE%\Documents\GitHub\eaglep3\Utilities\DownloadLogsFromS3.py --loco 4015 --day 2017-09-20</v>
      </c>
      <c r="AN19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13-0600',mode:absolute,to:'2017-09-20T19:56:05-0600'))&amp;_a=(columns:!('Message%20ID',Summary),filters:!(),index:'emp_*',interval:auto,query:(query_string:(analyze_wildcard:!t,query:'Message%5C+ID:(*)+AND+%22rtdc.l.rtdc.4015%22')),sort:!(Time.ISO8601,asc))</v>
      </c>
    </row>
    <row r="196" spans="1:91" x14ac:dyDescent="0.25">
      <c r="A196" s="32" t="s">
        <v>610</v>
      </c>
      <c r="B196" s="7">
        <v>4060</v>
      </c>
      <c r="C196" s="21" t="s">
        <v>196</v>
      </c>
      <c r="D196" s="21" t="s">
        <v>986</v>
      </c>
      <c r="E196" s="13">
        <v>42998.774525462963</v>
      </c>
      <c r="F196" s="13">
        <v>42998.777407407404</v>
      </c>
      <c r="G196" s="7">
        <v>58</v>
      </c>
      <c r="H196" s="21" t="s">
        <v>504</v>
      </c>
      <c r="I196" s="13">
        <v>42998.787488425929</v>
      </c>
      <c r="J196" s="7">
        <v>0</v>
      </c>
      <c r="K196" s="89" t="str">
        <f t="shared" si="57"/>
        <v>4059/4060</v>
      </c>
      <c r="L196" s="185" t="str">
        <f>VLOOKUP(A196,'Trips&amp;Operators'!$C$1:$G$99911,5,FALSE)</f>
        <v>STAMBAUGH JAMES</v>
      </c>
      <c r="M196" s="6">
        <f t="shared" si="58"/>
        <v>1.008101852494292E-2</v>
      </c>
      <c r="N196" s="7">
        <f t="shared" si="81"/>
        <v>14.516666675917804</v>
      </c>
      <c r="O196" s="7"/>
      <c r="P196" s="7"/>
      <c r="Q196" s="22"/>
      <c r="R196" s="174"/>
      <c r="S196" s="221">
        <f t="shared" si="59"/>
        <v>1</v>
      </c>
      <c r="T196" s="174" t="str">
        <f t="shared" si="60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6" s="204" t="str">
        <f>IF(AA196&lt;VLOOKUP(AG196,Variables!$AC$3:$AD$8,2,FALSE),"Y","N")</f>
        <v>N</v>
      </c>
      <c r="X196" s="204">
        <f t="shared" si="62"/>
        <v>1</v>
      </c>
      <c r="Y196" s="204">
        <f t="shared" si="79"/>
        <v>9.6000000000000002E-2</v>
      </c>
      <c r="Z196" s="204">
        <f t="shared" si="80"/>
        <v>5.8944000000000001</v>
      </c>
      <c r="AA196" s="204">
        <f t="shared" si="63"/>
        <v>5.7984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4"/>
        <v>839</v>
      </c>
      <c r="AE196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96" s="74" t="str">
        <f t="shared" si="66"/>
        <v>"C:\Program Files (x86)\AstroGrep\AstroGrep.exe" /e /r /s /spath="%USERPROFILE%\AppData\Local\Temp\OnboardLogs" /stypes="app*4060*20170921*" /stext=" 00:.+((SYSTEM_STATE.+slice.+state.+changed )|(ment ac)|(multiple cpu faults)|(system.+state.+changed )|(\[timeout)|(PRM\|1\|D)|(kpr)|(kdp)|(train st.+moving)|(\|lc)|(penalty))"</v>
      </c>
      <c r="AG196" s="182" t="str">
        <f t="shared" si="67"/>
        <v>NW</v>
      </c>
      <c r="AH196" s="78" t="str">
        <f t="shared" si="68"/>
        <v>"%USERPROFILE%\Documents\GitHub\eaglep3\Utilities\RefineRTDCRunTimes.py" --tripid 839-20 --locoid 4060 --swversion DE.1.0.9.0 --startMP 204:960 --initTime 2017-09-20T18:35:19 --startdatetime 2017-09-20T18:39:28 --delay 58 --endMP 300:58944 --enddatetime 2017-09-20T18:53:59 --enforcementcount 0 &gt;&gt;c:\users\tmcdowell\Documents\GitHub\eaglep3-reporting\EC\2017-09-20-refined-times.txt</v>
      </c>
      <c r="AI19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ID","value":"839-20"},{"id":16,"name":"Locomotive ID","value":"4060"},{"id":130,"name":"Impact","value":""},{"id":150,"name":"Time of Event (Mountain Time)","value":"18:53:59"},{"id":151,"name":"Denver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0"/>
        <v>start /low /b %USERPROFILE%\Documents\GitHub\eaglep3\Utilities\DownloadLogsFromS3.py --loco 4060 --day 2017-09-20</v>
      </c>
      <c r="AN196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Message%20ID',Summary),filters:!(),index:'emp_*',interval:auto,query:(query_string:(analyze_wildcard:!t,query:'Message%5C+ID:(*)+AND+%22rtdc.l.rtdc.4060%22')),sort:!(Time.ISO8601,asc))</v>
      </c>
    </row>
    <row r="197" spans="1:91" s="20" customFormat="1" x14ac:dyDescent="0.25">
      <c r="A197" s="32" t="s">
        <v>804</v>
      </c>
      <c r="B197" s="7">
        <v>4015</v>
      </c>
      <c r="C197" s="21" t="s">
        <v>196</v>
      </c>
      <c r="D197" s="21" t="s">
        <v>987</v>
      </c>
      <c r="E197" s="13">
        <v>42998.817337962966</v>
      </c>
      <c r="F197" s="13">
        <v>42998.819814814815</v>
      </c>
      <c r="G197" s="7">
        <v>61</v>
      </c>
      <c r="H197" s="21" t="s">
        <v>555</v>
      </c>
      <c r="I197" s="13">
        <v>42998.83079861111</v>
      </c>
      <c r="J197" s="7">
        <v>0</v>
      </c>
      <c r="K197" s="89" t="str">
        <f t="shared" si="57"/>
        <v>4015/4016</v>
      </c>
      <c r="L197" s="185" t="str">
        <f>VLOOKUP(A197,'Trips&amp;Operators'!$C$1:$G$99911,5,FALSE)</f>
        <v>BIRKHOLZ NADINE</v>
      </c>
      <c r="M197" s="6">
        <f t="shared" si="58"/>
        <v>1.0983796295477077E-2</v>
      </c>
      <c r="N197" s="7">
        <f t="shared" si="81"/>
        <v>15.816666665486991</v>
      </c>
      <c r="O197" s="7"/>
      <c r="P197" s="7"/>
      <c r="Q197" s="22"/>
      <c r="R197" s="174"/>
      <c r="S197" s="221">
        <f t="shared" si="59"/>
        <v>1</v>
      </c>
      <c r="T197" s="174" t="str">
        <f t="shared" si="60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1"/>
        <v>https://d0f6bd738d7f1b3e5a7ca70fe4ff75f0.us-east-1.aws.found.io/app/kibana#/discover/Steve-Slow-Train-Analysis-(2080s-and-2083s)?_g=(refreshInterval:(display:Off,pause:!f,section:0,value:0),time:(from:'2017-09-20T18:36:58-0600',mode:absolute,to:'2017-09-20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04" t="str">
        <f>IF(AA197&lt;VLOOKUP(AG197,Variables!$AC$3:$AD$8,2,FALSE),"Y","N")</f>
        <v>N</v>
      </c>
      <c r="X197" s="204">
        <f t="shared" si="62"/>
        <v>1</v>
      </c>
      <c r="Y197" s="204">
        <f t="shared" si="79"/>
        <v>5.8615000000000004</v>
      </c>
      <c r="Z197" s="204">
        <f t="shared" si="80"/>
        <v>6.8900000000000003E-2</v>
      </c>
      <c r="AA197" s="204">
        <f t="shared" si="63"/>
        <v>5.7926000000000002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4"/>
        <v>840</v>
      </c>
      <c r="AE19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7" s="74" t="str">
        <f t="shared" si="66"/>
        <v>"C:\Program Files (x86)\AstroGrep\AstroGrep.exe" /e /r /s /spath="%USERPROFILE%\AppData\Local\Temp\OnboardLogs" /stypes="app*4015*20170921*" /stext=" 01:.+((SYSTEM_STATE.+slice.+state.+changed )|(ment ac)|(multiple cpu faults)|(system.+state.+changed )|(\[timeout)|(PRM\|1\|D)|(kpr)|(kdp)|(train st.+moving)|(\|lc)|(penalty))"</v>
      </c>
      <c r="AG197" s="182" t="str">
        <f t="shared" si="67"/>
        <v>NW</v>
      </c>
      <c r="AH197" s="78" t="str">
        <f t="shared" si="68"/>
        <v>"%USERPROFILE%\Documents\GitHub\eaglep3\Utilities\RefineRTDCRunTimes.py" --tripid 840-20 --locoid 4015 --swversion DE.1.0.9.0 --startMP 300:58615 --initTime 2017-09-20T19:36:58 --startdatetime 2017-09-20T19:40:32 --delay 61 --endMP 204:689 --enddatetime 2017-09-20T19:56:21 --enforcementcount 0 &gt;&gt;c:\users\tmcdowell\Documents\GitHub\eaglep3-reporting\EC\2017-09-20-refined-times.txt</v>
      </c>
      <c r="AI19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{"issue":{"subject":"","project_id":79,"tracker_id":40,"status_id":1,"priority_id":2,"assigned_to_id":338,"start_date":"2017-09-20","description":"","custom_fields":[{"id":1,"name":"Subdivision","value":"NW"},{"id":4,"name":"Milepost","value":"0.0689"},{"id":17,"name":"Train ID","value":"840-20"},{"id":16,"name":"Locomotive ID","value":"4015"},{"id":130,"name":"Impact","value":""},{"id":150,"name":"Time of Event (Mountain Time)","value":"19:56:21"},{"id":151,"name":"Denver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0"/>
        <v>start /low /b %USERPROFILE%\Documents\GitHub\eaglep3\Utilities\DownloadLogsFromS3.py --loco 4015 --day 2017-09-20</v>
      </c>
      <c r="AN197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2"/>
        <v>https://d0f6bd738d7f1b3e5a7ca70fe4ff75f0.us-east-1.aws.found.io/app/kibana#/discover/Steve-Slow-Train-Analysis-(2080s-and-2083s)?_g=(refreshInterval:(display:Off,pause:!f,section:0,value:0),time:(from:'2017-09-20T18:36:58-0600',mode:absolute,to:'2017-09-20T20:56:21-0600'))&amp;_a=(columns:!('Message%20ID',Summary),filters:!(),index:'emp_*',interval:auto,query:(query_string:(analyze_wildcard:!t,query:'Message%5C+ID:(*)+AND+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796</v>
      </c>
      <c r="B198" s="7">
        <v>4016</v>
      </c>
      <c r="C198" s="21" t="s">
        <v>196</v>
      </c>
      <c r="D198" s="21" t="s">
        <v>563</v>
      </c>
      <c r="E198" s="13">
        <v>42998.793668981481</v>
      </c>
      <c r="F198" s="13">
        <v>42998.798136574071</v>
      </c>
      <c r="G198" s="7">
        <v>51</v>
      </c>
      <c r="H198" s="21" t="s">
        <v>988</v>
      </c>
      <c r="I198" s="13">
        <v>42998.807696759257</v>
      </c>
      <c r="J198" s="7">
        <v>0</v>
      </c>
      <c r="K198" s="89" t="str">
        <f t="shared" si="57"/>
        <v>4015/4016</v>
      </c>
      <c r="L198" s="185" t="str">
        <f>VLOOKUP(A198,'Trips&amp;Operators'!$C$1:$G$99911,5,FALSE)</f>
        <v>BIRKHOLZ NADINE</v>
      </c>
      <c r="M198" s="6">
        <f t="shared" si="58"/>
        <v>9.560185186273884E-3</v>
      </c>
      <c r="N198" s="7">
        <f t="shared" si="81"/>
        <v>13.766666668234393</v>
      </c>
      <c r="O198" s="7"/>
      <c r="P198" s="7"/>
      <c r="Q198" s="22"/>
      <c r="R198" s="174"/>
      <c r="S198" s="221">
        <f t="shared" si="59"/>
        <v>1</v>
      </c>
      <c r="T198" s="174" t="str">
        <f t="shared" si="60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1"/>
        <v>https://d0f6bd738d7f1b3e5a7ca70fe4ff75f0.us-east-1.aws.found.io/app/kibana#/discover/Steve-Slow-Train-Analysis-(2080s-and-2083s)?_g=(refreshInterval:(display:Off,pause:!f,section:0,value:0),time:(from:'2017-09-20T18:02:53-0600',mode:absolute,to:'2017-09-20T20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204" t="str">
        <f>IF(AA198&lt;VLOOKUP(AG198,Variables!$AC$3:$AD$8,2,FALSE),"Y","N")</f>
        <v>N</v>
      </c>
      <c r="X198" s="204">
        <f t="shared" si="62"/>
        <v>1</v>
      </c>
      <c r="Y198" s="204">
        <f t="shared" ref="Y198:Y229" si="82">RIGHT(D198,LEN(D198)-4)/10000</f>
        <v>9.6500000000000002E-2</v>
      </c>
      <c r="Z198" s="204">
        <f t="shared" ref="Z198:Z229" si="83">RIGHT(H198,LEN(H198)-4)/10000</f>
        <v>5.8930999999999996</v>
      </c>
      <c r="AA198" s="204">
        <f t="shared" si="63"/>
        <v>5.7965999999999998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4"/>
        <v>841</v>
      </c>
      <c r="AE19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8" s="74" t="str">
        <f t="shared" si="66"/>
        <v>"C:\Program Files (x86)\AstroGrep\AstroGrep.exe" /e /r /s /spath="%USERPROFILE%\AppData\Local\Temp\OnboardLogs" /stypes="app*4016*20170921*" /stext=" 01:.+((SYSTEM_STATE.+slice.+state.+changed )|(ment ac)|(multiple cpu faults)|(system.+state.+changed )|(\[timeout)|(PRM\|1\|D)|(kpr)|(kdp)|(train st.+moving)|(\|lc)|(penalty))"</v>
      </c>
      <c r="AG198" s="182" t="str">
        <f t="shared" si="67"/>
        <v>NW</v>
      </c>
      <c r="AH198" s="78" t="str">
        <f t="shared" si="68"/>
        <v>"%USERPROFILE%\Documents\GitHub\eaglep3\Utilities\RefineRTDCRunTimes.py" --tripid 841-20 --locoid 4016 --swversion DE.1.0.9.0 --startMP 204:965 --initTime 2017-09-20T19:02:53 --startdatetime 2017-09-20T19:09:19 --delay 51 --endMP 300:58931 --enddatetime 2017-09-20T19:23:05 --enforcementcount 0 &gt;&gt;c:\users\tmcdowell\Documents\GitHub\eaglep3-reporting\EC\2017-09-20-refined-times.txt</v>
      </c>
      <c r="AI19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{"issue":{"subject":"","project_id":79,"tracker_id":40,"status_id":1,"priority_id":2,"assigned_to_id":338,"start_date":"2017-09-20","description":"","custom_fields":[{"id":1,"name":"Subdivision","value":"NW"},{"id":4,"name":"Milepost","value":"5.8931"},{"id":17,"name":"Train ID","value":"841-20"},{"id":16,"name":"Locomotive ID","value":"4016"},{"id":130,"name":"Impact","value":""},{"id":150,"name":"Time of Event (Mountain Time)","value":"19:23:05"},{"id":151,"name":"Denver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0"/>
        <v>start /low /b %USERPROFILE%\Documents\GitHub\eaglep3\Utilities\DownloadLogsFromS3.py --loco 4016 --day 2017-09-20</v>
      </c>
      <c r="AN198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2"/>
        <v>https://d0f6bd738d7f1b3e5a7ca70fe4ff75f0.us-east-1.aws.found.io/app/kibana#/discover/Steve-Slow-Train-Analysis-(2080s-and-2083s)?_g=(refreshInterval:(display:Off,pause:!f,section:0,value:0),time:(from:'2017-09-20T18:02:53-0600',mode:absolute,to:'2017-09-20T20:23:05-0600'))&amp;_a=(columns:!('Message%20ID',Summary),filters:!(),index:'emp_*',interval:auto,query:(query_string:(analyze_wildcard:!t,query:'Message%5C+ID:(*)+AND+%22rtdc.l.rtdc.4016%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811</v>
      </c>
      <c r="B199" s="7">
        <v>4015</v>
      </c>
      <c r="C199" s="21" t="s">
        <v>196</v>
      </c>
      <c r="D199" s="21" t="s">
        <v>572</v>
      </c>
      <c r="E199" s="13">
        <v>42998.852418981478</v>
      </c>
      <c r="F199" s="13">
        <v>42998.859398148146</v>
      </c>
      <c r="G199" s="7">
        <v>76</v>
      </c>
      <c r="H199" s="21" t="s">
        <v>989</v>
      </c>
      <c r="I199" s="13">
        <v>42998.872453703705</v>
      </c>
      <c r="J199" s="7">
        <v>0</v>
      </c>
      <c r="K199" s="89" t="str">
        <f t="shared" si="57"/>
        <v>4015/4016</v>
      </c>
      <c r="L199" s="185" t="str">
        <f>VLOOKUP(A199,'Trips&amp;Operators'!$C$1:$G$99911,5,FALSE)</f>
        <v>LEVERE CRAIG</v>
      </c>
      <c r="M199" s="6">
        <f t="shared" si="58"/>
        <v>1.3055555558821652E-2</v>
      </c>
      <c r="N199" s="7">
        <f t="shared" si="81"/>
        <v>18.800000004703179</v>
      </c>
      <c r="O199" s="7"/>
      <c r="P199" s="7"/>
      <c r="Q199" s="22"/>
      <c r="R199" s="174"/>
      <c r="S199" s="221">
        <f t="shared" si="59"/>
        <v>1</v>
      </c>
      <c r="T199" s="174" t="str">
        <f t="shared" si="60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1"/>
        <v>https://d0f6bd738d7f1b3e5a7ca70fe4ff75f0.us-east-1.aws.found.io/app/kibana#/discover/Steve-Slow-Train-Analysis-(2080s-and-2083s)?_g=(refreshInterval:(display:Off,pause:!f,section:0,value:0),time:(from:'2017-09-20T19:27:29-0600',mode:absolute,to:'2017-09-20T21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04" t="str">
        <f>IF(AA199&lt;VLOOKUP(AG199,Variables!$AC$3:$AD$8,2,FALSE),"Y","N")</f>
        <v>N</v>
      </c>
      <c r="X199" s="204">
        <f t="shared" si="62"/>
        <v>1</v>
      </c>
      <c r="Y199" s="204">
        <f t="shared" si="82"/>
        <v>5.8654999999999999</v>
      </c>
      <c r="Z199" s="204">
        <f t="shared" si="83"/>
        <v>6.9800000000000001E-2</v>
      </c>
      <c r="AA199" s="204">
        <f t="shared" si="63"/>
        <v>5.7957000000000001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4"/>
        <v>842</v>
      </c>
      <c r="AE19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9" s="74" t="str">
        <f t="shared" si="66"/>
        <v>"C:\Program Files (x86)\AstroGrep\AstroGrep.exe" /e /r /s /spath="%USERPROFILE%\AppData\Local\Temp\OnboardLogs" /stypes="app*4015*20170921*" /stext=" 02:.+((SYSTEM_STATE.+slice.+state.+changed )|(ment ac)|(multiple cpu faults)|(system.+state.+changed )|(\[timeout)|(PRM\|1\|D)|(kpr)|(kdp)|(train st.+moving)|(\|lc)|(penalty))"</v>
      </c>
      <c r="AG199" s="182" t="str">
        <f t="shared" si="67"/>
        <v>NW</v>
      </c>
      <c r="AH199" s="78" t="str">
        <f t="shared" si="68"/>
        <v>"%USERPROFILE%\Documents\GitHub\eaglep3\Utilities\RefineRTDCRunTimes.py" --tripid 842-20 --locoid 4015 --swversion DE.1.0.9.0 --startMP 300:58655 --initTime 2017-09-20T20:27:29 --startdatetime 2017-09-20T20:37:32 --delay 76 --endMP 204:698 --enddatetime 2017-09-20T20:56:20 --enforcementcount 0 &gt;&gt;c:\users\tmcdowell\Documents\GitHub\eaglep3-reporting\EC\2017-09-20-refined-times.txt</v>
      </c>
      <c r="AI19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{"issue":{"subject":"","project_id":79,"tracker_id":40,"status_id":1,"priority_id":2,"assigned_to_id":338,"start_date":"2017-09-20","description":"","custom_fields":[{"id":1,"name":"Subdivision","value":"NW"},{"id":4,"name":"Milepost","value":"0.0698"},{"id":17,"name":"Train ID","value":"842-20"},{"id":16,"name":"Locomotive ID","value":"4015"},{"id":130,"name":"Impact","value":""},{"id":150,"name":"Time of Event (Mountain Time)","value":"20:56:20"},{"id":151,"name":"Denver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0"/>
        <v>start /low /b %USERPROFILE%\Documents\GitHub\eaglep3\Utilities\DownloadLogsFromS3.py --loco 4015 --day 2017-09-20</v>
      </c>
      <c r="AN199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2"/>
        <v>https://d0f6bd738d7f1b3e5a7ca70fe4ff75f0.us-east-1.aws.found.io/app/kibana#/discover/Steve-Slow-Train-Analysis-(2080s-and-2083s)?_g=(refreshInterval:(display:Off,pause:!f,section:0,value:0),time:(from:'2017-09-20T19:27:29-0600',mode:absolute,to:'2017-09-20T21:56:20-0600'))&amp;_a=(columns:!('Message%20ID',Summary),filters:!(),index:'emp_*',interval:auto,query:(query_string:(analyze_wildcard:!t,query:'Message%5C+ID:(*)+AND+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808</v>
      </c>
      <c r="B200" s="7">
        <v>4016</v>
      </c>
      <c r="C200" s="21" t="s">
        <v>196</v>
      </c>
      <c r="D200" s="21" t="s">
        <v>888</v>
      </c>
      <c r="E200" s="13">
        <v>42998.833101851851</v>
      </c>
      <c r="F200" s="13">
        <v>42998.839814814812</v>
      </c>
      <c r="G200" s="7">
        <v>109</v>
      </c>
      <c r="H200" s="21" t="s">
        <v>565</v>
      </c>
      <c r="I200" s="13">
        <v>42998.85056712963</v>
      </c>
      <c r="J200" s="7">
        <v>0</v>
      </c>
      <c r="K200" s="89" t="str">
        <f t="shared" si="57"/>
        <v>4015/4016</v>
      </c>
      <c r="L200" s="185" t="str">
        <f>VLOOKUP(A200,'Trips&amp;Operators'!$C$1:$G$99911,5,FALSE)</f>
        <v>LEVERE CRAIG</v>
      </c>
      <c r="M200" s="6">
        <f t="shared" si="58"/>
        <v>1.0752314818091691E-2</v>
      </c>
      <c r="N200" s="7">
        <f t="shared" si="81"/>
        <v>15.483333338052034</v>
      </c>
      <c r="O200" s="7"/>
      <c r="P200" s="7"/>
      <c r="Q200" s="22"/>
      <c r="R200" s="174"/>
      <c r="S200" s="221">
        <f t="shared" si="59"/>
        <v>1</v>
      </c>
      <c r="T200" s="174" t="str">
        <f t="shared" si="60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1"/>
        <v>https://d0f6bd738d7f1b3e5a7ca70fe4ff75f0.us-east-1.aws.found.io/app/kibana#/discover/Steve-Slow-Train-Analysis-(2080s-and-2083s)?_g=(refreshInterval:(display:Off,pause:!f,section:0,value:0),time:(from:'2017-09-20T18:59:40-0600',mode:absolute,to:'2017-09-20T21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04" t="str">
        <f>IF(AA200&lt;VLOOKUP(AG200,Variables!$AC$3:$AD$8,2,FALSE),"Y","N")</f>
        <v>N</v>
      </c>
      <c r="X200" s="204">
        <f t="shared" si="62"/>
        <v>1</v>
      </c>
      <c r="Y200" s="204">
        <f t="shared" si="82"/>
        <v>9.7600000000000006E-2</v>
      </c>
      <c r="Z200" s="204">
        <f t="shared" si="83"/>
        <v>5.8967000000000001</v>
      </c>
      <c r="AA200" s="204">
        <f t="shared" si="63"/>
        <v>5.7991000000000001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4"/>
        <v>843</v>
      </c>
      <c r="AE20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200" s="74" t="str">
        <f t="shared" si="66"/>
        <v>"C:\Program Files (x86)\AstroGrep\AstroGrep.exe" /e /r /s /spath="%USERPROFILE%\AppData\Local\Temp\OnboardLogs" /stypes="app*4016*20170921*" /stext=" 02:.+((SYSTEM_STATE.+slice.+state.+changed )|(ment ac)|(multiple cpu faults)|(system.+state.+changed )|(\[timeout)|(PRM\|1\|D)|(kpr)|(kdp)|(train st.+moving)|(\|lc)|(penalty))"</v>
      </c>
      <c r="AG200" s="182" t="str">
        <f t="shared" si="67"/>
        <v>NW</v>
      </c>
      <c r="AH200" s="78" t="str">
        <f t="shared" si="68"/>
        <v>"%USERPROFILE%\Documents\GitHub\eaglep3\Utilities\RefineRTDCRunTimes.py" --tripid 843-20 --locoid 4016 --swversion DE.1.0.9.0 --startMP 204:976 --initTime 2017-09-20T19:59:40 --startdatetime 2017-09-20T20:09:20 --delay 109 --endMP 300:58967 --enddatetime 2017-09-20T20:24:49 --enforcementcount 0 &gt;&gt;c:\users\tmcdowell\Documents\GitHub\eaglep3-reporting\EC\2017-09-20-refined-times.txt</v>
      </c>
      <c r="AI20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{"issue":{"subject":"","project_id":79,"tracker_id":40,"status_id":1,"priority_id":2,"assigned_to_id":338,"start_date":"2017-09-20","description":"","custom_fields":[{"id":1,"name":"Subdivision","value":"NW"},{"id":4,"name":"Milepost","value":"5.8967"},{"id":17,"name":"Train ID","value":"843-20"},{"id":16,"name":"Locomotive ID","value":"4016"},{"id":130,"name":"Impact","value":""},{"id":150,"name":"Time of Event (Mountain Time)","value":"20:24:49"},{"id":151,"name":"Denver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0"/>
        <v>start /low /b %USERPROFILE%\Documents\GitHub\eaglep3\Utilities\DownloadLogsFromS3.py --loco 4016 --day 2017-09-20</v>
      </c>
      <c r="AN200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2"/>
        <v>https://d0f6bd738d7f1b3e5a7ca70fe4ff75f0.us-east-1.aws.found.io/app/kibana#/discover/Steve-Slow-Train-Analysis-(2080s-and-2083s)?_g=(refreshInterval:(display:Off,pause:!f,section:0,value:0),time:(from:'2017-09-20T18:59:40-0600',mode:absolute,to:'2017-09-20T21:24:49-0600'))&amp;_a=(columns:!('Message%20ID',Summary),filters:!(),index:'emp_*',interval:auto,query:(query_string:(analyze_wildcard:!t,query:'Message%5C+ID:(*)+AND+%22rtdc.l.rtdc.4016%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817</v>
      </c>
      <c r="B201" s="7">
        <v>4015</v>
      </c>
      <c r="C201" s="21" t="s">
        <v>196</v>
      </c>
      <c r="D201" s="21" t="s">
        <v>574</v>
      </c>
      <c r="E201" s="13">
        <v>42998.891863425924</v>
      </c>
      <c r="F201" s="13">
        <v>42998.893587962964</v>
      </c>
      <c r="G201" s="7">
        <v>94</v>
      </c>
      <c r="H201" s="21" t="s">
        <v>990</v>
      </c>
      <c r="I201" s="13">
        <v>42998.899722222224</v>
      </c>
      <c r="J201" s="7">
        <v>0</v>
      </c>
      <c r="K201" s="89" t="str">
        <f t="shared" si="57"/>
        <v>4015/4016</v>
      </c>
      <c r="L201" s="185" t="str">
        <f>VLOOKUP(A201,'Trips&amp;Operators'!$C$1:$G$99911,5,FALSE)</f>
        <v>STAMBAUGH JAMES</v>
      </c>
      <c r="M201" s="6">
        <f t="shared" si="58"/>
        <v>6.1342592598521151E-3</v>
      </c>
      <c r="N201" s="7">
        <f t="shared" si="81"/>
        <v>8.8333333341870457</v>
      </c>
      <c r="O201" s="7"/>
      <c r="P201" s="7"/>
      <c r="Q201" s="22"/>
      <c r="R201" s="174" t="s">
        <v>1031</v>
      </c>
      <c r="S201" s="221">
        <f t="shared" si="59"/>
        <v>0</v>
      </c>
      <c r="T201" s="174" t="str">
        <f t="shared" si="60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216" t="str">
        <f t="shared" si="61"/>
        <v>https://d0f6bd738d7f1b3e5a7ca70fe4ff75f0.us-east-1.aws.found.io/app/kibana#/discover/Steve-Slow-Train-Analysis-(2080s-and-2083s)?_g=(refreshInterval:(display:Off,pause:!f,section:0,value:0),time:(from:'2017-09-20T20:24:17-0600',mode:absolute,to:'2017-09-20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>IF(AA201&lt;VLOOKUP(AG201,Variables!$AC$3:$AD$8,2,FALSE),"Y","N")</f>
        <v>Y</v>
      </c>
      <c r="X201" s="204">
        <f t="shared" si="62"/>
        <v>1</v>
      </c>
      <c r="Y201" s="204">
        <f t="shared" si="82"/>
        <v>5.8634000000000004</v>
      </c>
      <c r="Z201" s="204">
        <f t="shared" si="83"/>
        <v>2.8788</v>
      </c>
      <c r="AA201" s="204">
        <f t="shared" si="63"/>
        <v>2.9846000000000004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4"/>
        <v>844</v>
      </c>
      <c r="AE20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201" s="74" t="str">
        <f t="shared" si="66"/>
        <v>"C:\Program Files (x86)\AstroGrep\AstroGrep.exe" /e /r /s /spath="%USERPROFILE%\AppData\Local\Temp\OnboardLogs" /stypes="app*4015*20170921*" /stext=" 03:.+((SYSTEM_STATE.+slice.+state.+changed )|(ment ac)|(multiple cpu faults)|(system.+state.+changed )|(\[timeout)|(PRM\|1\|D)|(kpr)|(kdp)|(train st.+moving)|(\|lc)|(penalty))"</v>
      </c>
      <c r="AG201" s="182" t="str">
        <f t="shared" si="67"/>
        <v>NW</v>
      </c>
      <c r="AH201" s="78" t="str">
        <f t="shared" si="68"/>
        <v>"%USERPROFILE%\Documents\GitHub\eaglep3\Utilities\RefineRTDCRunTimes.py" --tripid 844-20 --locoid 4015 --swversion DE.1.0.9.0 --startMP 300:58634 --initTime 2017-09-20T21:24:17 --startdatetime 2017-09-20T21:26:46 --delay 94 --endMP 300:28788 --enddatetime 2017-09-20T21:35:36 --enforcementcount 0 &gt;&gt;c:\users\tmcdowell\Documents\GitHub\eaglep3-reporting\EC\2017-09-20-refined-times.txt</v>
      </c>
      <c r="AI201" s="96" t="str">
        <f t="shared" si="69"/>
        <v>echo {"issue":{"subject":"Half-run, ending at CRMF due to track maintenance","project_id":79,"tracker_id":40,"status_id":1,"priority_id":2,"assigned_to_id":338,"start_date":"2017-09-20","description":"","custom_fields":[{"id":1,"name":"Subdivision","value":"NW"},{"id":4,"name":"Milepost","value":"2.8788"},{"id":17,"name":"Train ID","value":"844-20"},{"id":16,"name":"Locomotive ID","value":"4015"},{"id":130,"name":"Impact","value":""},{"id":150,"name":"Time of Event (Mountain Time)","value":"21:35:36"},{"id":151,"name":"Denver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0"/>
        <v>start /low /b %USERPROFILE%\Documents\GitHub\eaglep3\Utilities\DownloadLogsFromS3.py --loco 4015 --day 2017-09-20</v>
      </c>
      <c r="AN201" s="151" t="str">
        <f t="shared" si="71"/>
        <v>echo {"issue":{"subject":"Half-run, ending at CRMF due to track maintenance","project_id":30,"tracker_id":4,"status_id":1,"priority_id":1,"assigned_to_id":10,"start_date":"2017-09-21","description":"","custom_fields":[{"id":30,"name":"Category","value":"Issue"},{"id":3,"name":"Functional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2"/>
        <v>https://d0f6bd738d7f1b3e5a7ca70fe4ff75f0.us-east-1.aws.found.io/app/kibana#/discover/Steve-Slow-Train-Analysis-(2080s-and-2083s)?_g=(refreshInterval:(display:Off,pause:!f,section:0,value:0),time:(from:'2017-09-20T20:24:17-0600',mode:absolute,to:'2017-09-20T22:35:36-0600'))&amp;_a=(columns:!('Message%20ID',Summary),filters:!(),index:'emp_*',interval:auto,query:(query_string:(analyze_wildcard:!t,query:'Message%5C+ID:(*)+AND+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814</v>
      </c>
      <c r="B202" s="7">
        <v>4016</v>
      </c>
      <c r="C202" s="21" t="s">
        <v>196</v>
      </c>
      <c r="D202" s="21" t="s">
        <v>502</v>
      </c>
      <c r="E202" s="13">
        <v>42998.874594907407</v>
      </c>
      <c r="F202" s="13">
        <v>42998.881898148145</v>
      </c>
      <c r="G202" s="7">
        <v>91</v>
      </c>
      <c r="H202" s="21" t="s">
        <v>991</v>
      </c>
      <c r="I202" s="13">
        <v>42998.891226851854</v>
      </c>
      <c r="J202" s="7">
        <v>0</v>
      </c>
      <c r="K202" s="89" t="str">
        <f t="shared" si="57"/>
        <v>4015/4016</v>
      </c>
      <c r="L202" s="185" t="str">
        <f>VLOOKUP(A202,'Trips&amp;Operators'!$C$1:$G$99911,5,FALSE)</f>
        <v>STAMBAUGH JAMES</v>
      </c>
      <c r="M202" s="6">
        <f t="shared" si="58"/>
        <v>9.3287037088884972E-3</v>
      </c>
      <c r="N202" s="7">
        <f t="shared" si="81"/>
        <v>13.433333340799436</v>
      </c>
      <c r="O202" s="7"/>
      <c r="P202" s="7"/>
      <c r="Q202" s="22"/>
      <c r="R202" s="174"/>
      <c r="S202" s="221">
        <f t="shared" si="59"/>
        <v>1</v>
      </c>
      <c r="T202" s="174" t="str">
        <f t="shared" si="60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1"/>
        <v>https://d0f6bd738d7f1b3e5a7ca70fe4ff75f0.us-east-1.aws.found.io/app/kibana#/discover/Steve-Slow-Train-Analysis-(2080s-and-2083s)?_g=(refreshInterval:(display:Off,pause:!f,section:0,value:0),time:(from:'2017-09-20T19:59:25-0600',mode:absolute,to:'2017-09-20T22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04" t="str">
        <f>IF(AA202&lt;VLOOKUP(AG202,Variables!$AC$3:$AD$8,2,FALSE),"Y","N")</f>
        <v>N</v>
      </c>
      <c r="X202" s="204">
        <f t="shared" si="62"/>
        <v>1</v>
      </c>
      <c r="Y202" s="204">
        <f t="shared" si="82"/>
        <v>0.1002</v>
      </c>
      <c r="Z202" s="204">
        <f t="shared" si="83"/>
        <v>5.8948</v>
      </c>
      <c r="AA202" s="204">
        <f t="shared" si="63"/>
        <v>5.7946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4"/>
        <v>845</v>
      </c>
      <c r="AE20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202" s="74" t="str">
        <f t="shared" si="66"/>
        <v>"C:\Program Files (x86)\AstroGrep\AstroGrep.exe" /e /r /s /spath="%USERPROFILE%\AppData\Local\Temp\OnboardLogs" /stypes="app*4016*20170921*" /stext=" 03:.+((SYSTEM_STATE.+slice.+state.+changed )|(ment ac)|(multiple cpu faults)|(system.+state.+changed )|(\[timeout)|(PRM\|1\|D)|(kpr)|(kdp)|(train st.+moving)|(\|lc)|(penalty))"</v>
      </c>
      <c r="AG202" s="182" t="str">
        <f t="shared" si="67"/>
        <v>NW</v>
      </c>
      <c r="AH202" s="78" t="str">
        <f t="shared" si="68"/>
        <v>"%USERPROFILE%\Documents\GitHub\eaglep3\Utilities\RefineRTDCRunTimes.py" --tripid 845-20 --locoid 4016 --swversion DE.1.0.9.0 --startMP 204:1002 --initTime 2017-09-20T20:59:25 --startdatetime 2017-09-20T21:09:56 --delay 91 --endMP 300:58948 --enddatetime 2017-09-20T21:23:22 --enforcementcount 0 &gt;&gt;c:\users\tmcdowell\Documents\GitHub\eaglep3-reporting\EC\2017-09-20-refined-times.txt</v>
      </c>
      <c r="AI20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{"issue":{"subject":"","project_id":79,"tracker_id":40,"status_id":1,"priority_id":2,"assigned_to_id":338,"start_date":"2017-09-20","description":"","custom_fields":[{"id":1,"name":"Subdivision","value":"NW"},{"id":4,"name":"Milepost","value":"5.8948"},{"id":17,"name":"Train ID","value":"845-20"},{"id":16,"name":"Locomotive ID","value":"4016"},{"id":130,"name":"Impact","value":""},{"id":150,"name":"Time of Event (Mountain Time)","value":"21:23:22"},{"id":151,"name":"Denver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0"/>
        <v>start /low /b %USERPROFILE%\Documents\GitHub\eaglep3\Utilities\DownloadLogsFromS3.py --loco 4016 --day 2017-09-20</v>
      </c>
      <c r="AN20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2"/>
        <v>https://d0f6bd738d7f1b3e5a7ca70fe4ff75f0.us-east-1.aws.found.io/app/kibana#/discover/Steve-Slow-Train-Analysis-(2080s-and-2083s)?_g=(refreshInterval:(display:Off,pause:!f,section:0,value:0),time:(from:'2017-09-20T19:59:25-0600',mode:absolute,to:'2017-09-20T22:23:22-0600'))&amp;_a=(columns:!('Message%20ID',Summary),filters:!(),index:'emp_*',interval:auto,query:(query_string:(analyze_wildcard:!t,query:'Message%5C+ID:(*)+AND+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618</v>
      </c>
      <c r="B203" s="7">
        <v>4017</v>
      </c>
      <c r="C203" s="21" t="s">
        <v>196</v>
      </c>
      <c r="D203" s="21" t="s">
        <v>880</v>
      </c>
      <c r="E203" s="13">
        <v>42998.118159722224</v>
      </c>
      <c r="F203" s="13">
        <v>42998.124768518515</v>
      </c>
      <c r="G203" s="7">
        <v>147</v>
      </c>
      <c r="H203" s="21" t="s">
        <v>363</v>
      </c>
      <c r="I203" s="13">
        <v>42998.129965277774</v>
      </c>
      <c r="J203" s="7">
        <v>0</v>
      </c>
      <c r="K203" s="89" t="str">
        <f t="shared" si="57"/>
        <v>4017/4018</v>
      </c>
      <c r="L203" s="185" t="str">
        <f>VLOOKUP(A203,'Trips&amp;Operators'!$C$1:$G$99911,5,FALSE)</f>
        <v>ROCHA YAOTL</v>
      </c>
      <c r="M203" s="6">
        <f t="shared" si="58"/>
        <v>5.1967592589790002E-3</v>
      </c>
      <c r="N203" s="7">
        <f t="shared" si="81"/>
        <v>7.4833333329297602</v>
      </c>
      <c r="O203" s="7"/>
      <c r="P203" s="7"/>
      <c r="Q203" s="22"/>
      <c r="R203" s="174"/>
      <c r="S203" s="221">
        <f t="shared" si="59"/>
        <v>1</v>
      </c>
      <c r="T203" s="174" t="str">
        <f t="shared" si="60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1"/>
        <v>https://d0f6bd738d7f1b3e5a7ca70fe4ff75f0.us-east-1.aws.found.io/app/kibana#/discover/Steve-Slow-Train-Analysis-(2080s-and-2083s)?_g=(refreshInterval:(display:Off,pause:!f,section:0,value:0),time:(from:'2017-09-20T01:50:09-0600',mode:absolute,to:'2017-09-20T04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>IF(AA203&lt;VLOOKUP(AG203,Variables!$AC$3:$AD$8,2,FALSE),"Y","N")</f>
        <v>Y</v>
      </c>
      <c r="X203" s="204">
        <f t="shared" si="62"/>
        <v>-545</v>
      </c>
      <c r="Y203" s="204">
        <f t="shared" si="82"/>
        <v>2.3296000000000001</v>
      </c>
      <c r="Z203" s="204">
        <f t="shared" si="83"/>
        <v>1.4500000000000001E-2</v>
      </c>
      <c r="AA203" s="204">
        <f t="shared" si="63"/>
        <v>2.3151000000000002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4"/>
        <v>300</v>
      </c>
      <c r="AE203" s="77" t="str">
        <f t="shared" si="65"/>
        <v>aws s3 cp s3://rtdc.mdm.uploadarchive.raw/RTDC4017/ "%USERPROFILE%\AppData\Local\Temp\OnboardLogs"\RTDC4017\2017-09-20 --exclude "*" --recursive --include "*20170920*" &amp; "%USERPROFILE%\Documents\GitHub\mrs-test-scripts\Headless Mode &amp; Sideloading\WalkAndUnGZ.bat" "%USERPROFILE%\AppData\Local\Temp\OnboardLogs"\RTDC4017\2017-09-20 &amp; 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</v>
      </c>
      <c r="AF203" s="74" t="str">
        <f t="shared" si="66"/>
        <v>"C:\Program Files (x86)\AstroGrep\AstroGrep.exe" /e /r /s /spath="%USERPROFILE%\AppData\Local\Temp\OnboardLogs" /stypes="app*4017*20170920*" /stext=" 09:.+((SYSTEM_STATE.+slice.+state.+changed )|(ment ac)|(multiple cpu faults)|(system.+state.+changed )|(\[timeout)|(PRM\|1\|D)|(kpr)|(kdp)|(train st.+moving)|(\|lc)|(penalty))"</v>
      </c>
      <c r="AG203" s="182" t="str">
        <f t="shared" si="67"/>
        <v>Other</v>
      </c>
      <c r="AH203" s="78" t="str">
        <f t="shared" si="68"/>
        <v>"%USERPROFILE%\Documents\GitHub\eaglep3\Utilities\RefineRTDCRunTimes.py" --tripid 300-20 --locoid 4017 --swversion DE.1.0.9.0 --startMP 300:23296 --initTime 2017-09-20T02:50:09 --startdatetime 2017-09-20T02:59:40 --delay 147 --endMP 204:145 --enddatetime 2017-09-20T03:07:09 --enforcementcount 0 &gt;&gt;c:\users\tmcdowell\Documents\GitHub\eaglep3-reporting\EC\2017-09-20-refined-times.txt</v>
      </c>
      <c r="AI203" s="96" t="str">
        <f t="shared" si="69"/>
        <v>echo {"issue":{"subject":"","project_id":79,"tracker_id":40,"status_id":1,"priority_id":2,"assigned_to_id":338,"start_date":"2017-09-20","description":"","custom_fields":[{"id":1,"name":"Subdivision","value":"Other"},{"id":4,"name":"Milepost","value":"0.0145"},{"id":17,"name":"Train ID","value":"300-20"},{"id":16,"name":"Locomotive ID","value":"4017"},{"id":130,"name":"Impact","value":""},{"id":150,"name":"Time of Event (Mountain Time)","value":"03:07:09"},{"id":151,"name":"Denver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0"/>
        <v>start /low /b %USERPROFILE%\Documents\GitHub\eaglep3\Utilities\DownloadLogsFromS3.py --loco 4017 --day 2017-09-20</v>
      </c>
      <c r="AN20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2"/>
        <v>https://d0f6bd738d7f1b3e5a7ca70fe4ff75f0.us-east-1.aws.found.io/app/kibana#/discover/Steve-Slow-Train-Analysis-(2080s-and-2083s)?_g=(refreshInterval:(display:Off,pause:!f,section:0,value:0),time:(from:'2017-09-20T01:50:09-0600',mode:absolute,to:'2017-09-20T04:07:09-0600'))&amp;_a=(columns:!('Message%20ID',Summary),filters:!(),index:'emp_*',interval:auto,query:(query_string:(analyze_wildcard:!t,query:'Message%5C+ID:(*)+AND+%22rtdc.l.rtdc.4017%22')),sort:!(Time.ISO8601,asc))</v>
      </c>
    </row>
    <row r="204" spans="1:91" s="20" customFormat="1" x14ac:dyDescent="0.25">
      <c r="A204" s="32" t="s">
        <v>794</v>
      </c>
      <c r="B204" s="7">
        <v>4002</v>
      </c>
      <c r="C204" s="21" t="s">
        <v>196</v>
      </c>
      <c r="D204" s="21" t="s">
        <v>401</v>
      </c>
      <c r="E204" s="13">
        <v>42998.774930555555</v>
      </c>
      <c r="F204" s="13">
        <v>42998.776747685188</v>
      </c>
      <c r="G204" s="7">
        <v>67</v>
      </c>
      <c r="H204" s="21" t="s">
        <v>550</v>
      </c>
      <c r="I204" s="13">
        <v>42998.78497685185</v>
      </c>
      <c r="J204" s="7">
        <v>0</v>
      </c>
      <c r="K204" s="89" t="str">
        <f t="shared" si="57"/>
        <v>4001/4002</v>
      </c>
      <c r="L204" s="185" t="str">
        <f>VLOOKUP(A204,'Trips&amp;Operators'!$C$1:$G$99911,5,FALSE)</f>
        <v>DELGADO DIANAH</v>
      </c>
      <c r="M204" s="6">
        <f t="shared" si="58"/>
        <v>8.2291666622040793E-3</v>
      </c>
      <c r="N204" s="7">
        <f t="shared" si="81"/>
        <v>11.849999993573874</v>
      </c>
      <c r="O204" s="7"/>
      <c r="P204" s="7"/>
      <c r="Q204" s="22"/>
      <c r="R204" s="174"/>
      <c r="S204" s="221">
        <f t="shared" si="59"/>
        <v>1</v>
      </c>
      <c r="T204" s="174" t="str">
        <f t="shared" si="60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54-0600',mode:absolute,to:'2017-09-20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204" t="str">
        <f>IF(AA204&lt;VLOOKUP(AG204,Variables!$AC$3:$AD$8,2,FALSE),"Y","N")</f>
        <v>Y</v>
      </c>
      <c r="X204" s="204">
        <f t="shared" si="62"/>
        <v>1</v>
      </c>
      <c r="Y204" s="204">
        <f t="shared" si="82"/>
        <v>4.5100000000000001E-2</v>
      </c>
      <c r="Z204" s="204">
        <f t="shared" si="83"/>
        <v>2.3306</v>
      </c>
      <c r="AA204" s="204">
        <f t="shared" si="63"/>
        <v>2.2854999999999999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4"/>
        <v>301</v>
      </c>
      <c r="AE204" s="77" t="str">
        <f t="shared" si="65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204" s="74" t="str">
        <f t="shared" si="66"/>
        <v>"C:\Program Files (x86)\AstroGrep\AstroGrep.exe" /e /r /s /spath="%USERPROFILE%\AppData\Local\Temp\OnboardLogs" /stypes="app*4002*20170921*" /stext=" 00:.+((SYSTEM_STATE.+slice.+state.+changed )|(ment ac)|(multiple cpu faults)|(system.+state.+changed )|(\[timeout)|(PRM\|1\|D)|(kpr)|(kdp)|(train st.+moving)|(\|lc)|(penalty))"</v>
      </c>
      <c r="AG204" s="182" t="str">
        <f t="shared" si="67"/>
        <v>Other</v>
      </c>
      <c r="AH204" s="78" t="str">
        <f t="shared" si="68"/>
        <v>"%USERPROFILE%\Documents\GitHub\eaglep3\Utilities\RefineRTDCRunTimes.py" --tripid 301-20 --locoid 4002 --swversion DE.1.0.9.0 --startMP 204:451 --initTime 2017-09-20T18:35:54 --startdatetime 2017-09-20T18:38:31 --delay 67 --endMP 300:23306 --enddatetime 2017-09-20T18:50:22 --enforcementcount 0 &gt;&gt;c:\users\tmcdowell\Documents\GitHub\eaglep3-reporting\EC\2017-09-20-refined-times.txt</v>
      </c>
      <c r="AI204" s="96" t="str">
        <f t="shared" si="69"/>
        <v>echo {"issue":{"subject":"","project_id":79,"tracker_id":40,"status_id":1,"priority_id":2,"assigned_to_id":338,"start_date":"2017-09-20","description":"","custom_fields":[{"id":1,"name":"Subdivision","value":"Other"},{"id":4,"name":"Milepost","value":"2.3306"},{"id":17,"name":"Train ID","value":"301-20"},{"id":16,"name":"Locomotive ID","value":"4002"},{"id":130,"name":"Impact","value":""},{"id":150,"name":"Time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0"/>
        <v>start /low /b %USERPROFILE%\Documents\GitHub\eaglep3\Utilities\DownloadLogsFromS3.py --loco 4002 --day 2017-09-20</v>
      </c>
      <c r="AN20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54-0600',mode:absolute,to:'2017-09-20T19:50:22-0600'))&amp;_a=(columns:!('Message%20ID',Summary),filters:!(),index:'emp_*',interval:auto,query:(query_string:(analyze_wildcard:!t,query:'Message%5C+ID:(*)+AND+%22rtdc.l.rtdc.4002%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623</v>
      </c>
      <c r="B205" s="7">
        <v>4063</v>
      </c>
      <c r="C205" s="21" t="s">
        <v>196</v>
      </c>
      <c r="D205" s="21" t="s">
        <v>881</v>
      </c>
      <c r="E205" s="13">
        <v>42998.141006944446</v>
      </c>
      <c r="F205" s="13">
        <v>42998.144502314812</v>
      </c>
      <c r="G205" s="7">
        <v>77</v>
      </c>
      <c r="H205" s="21" t="s">
        <v>882</v>
      </c>
      <c r="I205" s="13">
        <v>42998.152037037034</v>
      </c>
      <c r="J205" s="7">
        <v>0</v>
      </c>
      <c r="K205" s="89" t="str">
        <f t="shared" ref="K205:K258" si="84">IF(ISEVEN(B205),(B205-1)&amp;"/"&amp;B205,B205&amp;"/"&amp;(B205+1))</f>
        <v>4063/4064</v>
      </c>
      <c r="L205" s="185" t="str">
        <f>VLOOKUP(A205,'Trips&amp;Operators'!$C$1:$G$99911,5,FALSE)</f>
        <v>THOMPSON LESTER</v>
      </c>
      <c r="M205" s="6">
        <f t="shared" ref="M205:M258" si="85">I205-F205</f>
        <v>7.5347222227719612E-3</v>
      </c>
      <c r="N205" s="7">
        <f t="shared" si="81"/>
        <v>10.850000000791624</v>
      </c>
      <c r="O205" s="7"/>
      <c r="P205" s="7"/>
      <c r="Q205" s="22"/>
      <c r="R205" s="174"/>
      <c r="S205" s="221">
        <f t="shared" ref="S205:S258" si="86">1/IF(AG205="EC",12,1)*SUM(U205:U205)</f>
        <v>1</v>
      </c>
      <c r="T205" s="174" t="str">
        <f t="shared" ref="T205:T258" si="87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58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-20T02:23:03-0600',mode:absolute,to:'2017-09-20T04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04" t="str">
        <f>IF(AA205&lt;VLOOKUP(AG205,Variables!$AC$3:$AD$8,2,FALSE),"Y","N")</f>
        <v>Y</v>
      </c>
      <c r="X205" s="204">
        <f t="shared" ref="X205:X258" si="89">VALUE(LEFT(AD205,4))-VALUE(LEFT(AD204,4))</f>
        <v>1</v>
      </c>
      <c r="Y205" s="204">
        <f t="shared" si="82"/>
        <v>2.3426999999999998</v>
      </c>
      <c r="Z205" s="204">
        <f t="shared" si="83"/>
        <v>1.7000000000000001E-2</v>
      </c>
      <c r="AA205" s="204">
        <f t="shared" ref="AA205:AA258" si="90">ABS(Z205-Y205)</f>
        <v>2.3256999999999999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58" si="91">VALUE(LEFT(A205,LEN(A205)-3))</f>
        <v>302</v>
      </c>
      <c r="AE205" s="77" t="str">
        <f t="shared" ref="AE205:AE258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205" s="74" t="str">
        <f t="shared" ref="AF205:AF258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/stypes="app*4063*20170920*" /stext=" 09:.+((SYSTEM_STATE.+slice.+state.+changed )|(ment ac)|(multiple cpu faults)|(system.+state.+changed )|(\[timeout)|(PRM\|1\|D)|(kpr)|(kdp)|(train st.+moving)|(\|lc)|(penalty))"</v>
      </c>
      <c r="AG205" s="182" t="str">
        <f t="shared" ref="AG205:AG258" si="94">DetSubdiv(A205)</f>
        <v>Other</v>
      </c>
      <c r="AH205" s="78" t="str">
        <f t="shared" ref="AH205:AH258" si="9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302-20 --locoid 4063 --swversion DE.1.0.9.0 --startMP 300:23427 --initTime 2017-09-20T03:23:03 --startdatetime 2017-09-20T03:28:05 --delay 77 --endMP 204:170 --enddatetime 2017-09-20T03:38:56 --enforcementcount 0 &gt;&gt;c:\users\tmcdowell\Documents\GitHub\eaglep3-reporting\EC\2017-09-20-refined-times.txt</v>
      </c>
      <c r="AI205" s="96" t="str">
        <f t="shared" ref="AI205:AI258" si="9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{"issue":{"subject":"","project_id":79,"tracker_id":40,"status_id":1,"priority_id":2,"assigned_to_id":338,"start_date":"2017-09-20","description":"","custom_fields":[{"id":1,"name":"Subdivision","value":"Other"},{"id":4,"name":"Milepost","value":"0.017"},{"id":17,"name":"Train ID","value":"302-20"},{"id":16,"name":"Locomotive ID","value":"4063"},{"id":130,"name":"Impact","value":""},{"id":150,"name":"Time of Event (Mountain Time)","value":"03:38:56"},{"id":151,"name":"Denver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58" si="97">"start /low /b "&amp;dls3logs&amp;" --loco "&amp;B205&amp;" --day "&amp;TEXT(F205,"YYYY-MM-DD")</f>
        <v>start /low /b %USERPROFILE%\Documents\GitHub\eaglep3\Utilities\DownloadLogsFromS3.py --loco 4063 --day 2017-09-20</v>
      </c>
      <c r="AN205" s="151" t="str">
        <f t="shared" ref="AN205:AN258" si="9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:AO258" si="9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Message%5C+ID:(*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-20T02:23:03-0600',mode:absolute,to:'2017-09-20T04:38:56-0600'))&amp;_a=(columns:!('Message%20ID',Summary),filters:!(),index:'emp_*',interval:auto,query:(query_string:(analyze_wildcard:!t,query:'Message%5C+ID:(*)+AND+%22rtdc.l.rtdc.4063%22')),sort:!(Time.ISO8601,asc))</v>
      </c>
    </row>
    <row r="206" spans="1:91" s="20" customFormat="1" x14ac:dyDescent="0.25">
      <c r="A206" s="32" t="s">
        <v>798</v>
      </c>
      <c r="B206" s="7">
        <v>4058</v>
      </c>
      <c r="C206" s="21" t="s">
        <v>196</v>
      </c>
      <c r="D206" s="21" t="s">
        <v>883</v>
      </c>
      <c r="E206" s="13">
        <v>42998.797361111108</v>
      </c>
      <c r="F206" s="13">
        <v>42998.803391203706</v>
      </c>
      <c r="G206" s="7">
        <v>52</v>
      </c>
      <c r="H206" s="21" t="s">
        <v>551</v>
      </c>
      <c r="I206" s="13">
        <v>42998.810115740744</v>
      </c>
      <c r="J206" s="7">
        <v>0</v>
      </c>
      <c r="K206" s="89" t="str">
        <f t="shared" si="84"/>
        <v>4057/4058</v>
      </c>
      <c r="L206" s="185" t="str">
        <f>VLOOKUP(A206,'Trips&amp;Operators'!$C$1:$G$99911,5,FALSE)</f>
        <v>BERLING GARY</v>
      </c>
      <c r="M206" s="6">
        <f t="shared" si="85"/>
        <v>6.7245370373711921E-3</v>
      </c>
      <c r="N206" s="7">
        <f t="shared" si="81"/>
        <v>9.6833333338145167</v>
      </c>
      <c r="O206" s="7"/>
      <c r="P206" s="7"/>
      <c r="Q206" s="22"/>
      <c r="R206" s="174"/>
      <c r="S206" s="221">
        <f t="shared" si="86"/>
        <v>1</v>
      </c>
      <c r="T206" s="174" t="str">
        <f t="shared" si="8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88"/>
        <v>https://d0f6bd738d7f1b3e5a7ca70fe4ff75f0.us-east-1.aws.found.io/app/kibana#/discover/Steve-Slow-Train-Analysis-(2080s-and-2083s)?_g=(refreshInterval:(display:Off,pause:!f,section:0,value:0),time:(from:'2017-09-20T18:08:12-0600',mode:absolute,to:'2017-09-20T20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6" s="204" t="str">
        <f>IF(AA206&lt;VLOOKUP(AG206,Variables!$AC$3:$AD$8,2,FALSE),"Y","N")</f>
        <v>Y</v>
      </c>
      <c r="X206" s="204">
        <f t="shared" si="89"/>
        <v>1</v>
      </c>
      <c r="Y206" s="204">
        <f t="shared" si="82"/>
        <v>4.8399999999999999E-2</v>
      </c>
      <c r="Z206" s="204">
        <f t="shared" si="83"/>
        <v>2.3346</v>
      </c>
      <c r="AA206" s="204">
        <f t="shared" si="90"/>
        <v>2.2862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91"/>
        <v>303</v>
      </c>
      <c r="AE206" s="77" t="str">
        <f t="shared" si="92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206" s="74" t="str">
        <f t="shared" si="93"/>
        <v>"C:\Program Files (x86)\AstroGrep\AstroGrep.exe" /e /r /s /spath="%USERPROFILE%\AppData\Local\Temp\OnboardLogs" /stypes="app*4058*20170921*" /stext=" 01:.+((SYSTEM_STATE.+slice.+state.+changed )|(ment ac)|(multiple cpu faults)|(system.+state.+changed )|(\[timeout)|(PRM\|1\|D)|(kpr)|(kdp)|(train st.+moving)|(\|lc)|(penalty))"</v>
      </c>
      <c r="AG206" s="182" t="str">
        <f t="shared" si="94"/>
        <v>Other</v>
      </c>
      <c r="AH206" s="78" t="str">
        <f t="shared" si="95"/>
        <v>"%USERPROFILE%\Documents\GitHub\eaglep3\Utilities\RefineRTDCRunTimes.py" --tripid 303-20 --locoid 4058 --swversion DE.1.0.9.0 --startMP 204:484 --initTime 2017-09-20T19:08:12 --startdatetime 2017-09-20T19:16:53 --delay 52 --endMP 300:23346 --enddatetime 2017-09-20T19:26:34 --enforcementcount 0 &gt;&gt;c:\users\tmcdowell\Documents\GitHub\eaglep3-reporting\EC\2017-09-20-refined-times.txt</v>
      </c>
      <c r="AI206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{"issue":{"subject":"","project_id":79,"tracker_id":40,"status_id":1,"priority_id":2,"assigned_to_id":338,"start_date":"2017-09-20","description":"","custom_fields":[{"id":1,"name":"Subdivision","value":"Other"},{"id":4,"name":"Milepost","value":"2.3346"},{"id":17,"name":"Train ID","value":"303-20"},{"id":16,"name":"Locomotive ID","value":"4058"},{"id":130,"name":"Impact","value":""},{"id":150,"name":"Time of Event (Mountain Time)","value":"19:26:34"},{"id":151,"name":"Denver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7"/>
        <v>start /low /b %USERPROFILE%\Documents\GitHub\eaglep3\Utilities\DownloadLogsFromS3.py --loco 4058 --day 2017-09-20</v>
      </c>
      <c r="AN206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9"/>
        <v>https://d0f6bd738d7f1b3e5a7ca70fe4ff75f0.us-east-1.aws.found.io/app/kibana#/discover/Steve-Slow-Train-Analysis-(2080s-and-2083s)?_g=(refreshInterval:(display:Off,pause:!f,section:0,value:0),time:(from:'2017-09-20T18:08:12-0600',mode:absolute,to:'2017-09-20T20:26:34-0600'))&amp;_a=(columns:!('Message%20ID',Summary),filters:!(),index:'emp_*',interval:auto,query:(query_string:(analyze_wildcard:!t,query:'Message%5C+ID:(*)+AND+%22rtdc.l.rtdc.4058%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626</v>
      </c>
      <c r="B207" s="7">
        <v>4039</v>
      </c>
      <c r="C207" s="21" t="s">
        <v>196</v>
      </c>
      <c r="D207" s="21" t="s">
        <v>884</v>
      </c>
      <c r="E207" s="13">
        <v>42998.155451388891</v>
      </c>
      <c r="F207" s="13">
        <v>42998.160208333335</v>
      </c>
      <c r="G207" s="7">
        <v>54</v>
      </c>
      <c r="H207" s="21" t="s">
        <v>338</v>
      </c>
      <c r="I207" s="13">
        <v>42998.165092592593</v>
      </c>
      <c r="J207" s="7">
        <v>0</v>
      </c>
      <c r="K207" s="89" t="str">
        <f t="shared" si="84"/>
        <v>4039/4040</v>
      </c>
      <c r="L207" s="185" t="str">
        <f>VLOOKUP(A207,'Trips&amp;Operators'!$C$1:$G$99911,5,FALSE)</f>
        <v>YORK EDGAR</v>
      </c>
      <c r="M207" s="6">
        <f t="shared" si="85"/>
        <v>4.8842592586879618E-3</v>
      </c>
      <c r="N207" s="7">
        <f t="shared" si="81"/>
        <v>7.0333333325106651</v>
      </c>
      <c r="O207" s="7"/>
      <c r="P207" s="7"/>
      <c r="Q207" s="22"/>
      <c r="R207" s="174"/>
      <c r="S207" s="221">
        <f t="shared" si="86"/>
        <v>1</v>
      </c>
      <c r="T207" s="174" t="str">
        <f t="shared" si="87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88"/>
        <v>https://d0f6bd738d7f1b3e5a7ca70fe4ff75f0.us-east-1.aws.found.io/app/kibana#/discover/Steve-Slow-Train-Analysis-(2080s-and-2083s)?_g=(refreshInterval:(display:Off,pause:!f,section:0,value:0),time:(from:'2017-09-20T02:43:51-0600',mode:absolute,to:'2017-09-20T04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204" t="str">
        <f>IF(AA207&lt;VLOOKUP(AG207,Variables!$AC$3:$AD$8,2,FALSE),"Y","N")</f>
        <v>Y</v>
      </c>
      <c r="X207" s="204">
        <f t="shared" si="89"/>
        <v>1</v>
      </c>
      <c r="Y207" s="204">
        <f t="shared" si="82"/>
        <v>2.3025000000000002</v>
      </c>
      <c r="Z207" s="204">
        <f t="shared" si="83"/>
        <v>1.49E-2</v>
      </c>
      <c r="AA207" s="204">
        <f t="shared" si="90"/>
        <v>2.2876000000000003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91"/>
        <v>304</v>
      </c>
      <c r="AE207" s="77" t="str">
        <f t="shared" si="92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207" s="74" t="str">
        <f t="shared" si="93"/>
        <v>"C:\Program Files (x86)\AstroGrep\AstroGrep.exe" /e /r /s /spath="%USERPROFILE%\AppData\Local\Temp\OnboardLogs" /stypes="app*4039*20170920*" /stext=" 09:.+((SYSTEM_STATE.+slice.+state.+changed )|(ment ac)|(multiple cpu faults)|(system.+state.+changed )|(\[timeout)|(PRM\|1\|D)|(kpr)|(kdp)|(train st.+moving)|(\|lc)|(penalty))"</v>
      </c>
      <c r="AG207" s="182" t="str">
        <f t="shared" si="94"/>
        <v>Other</v>
      </c>
      <c r="AH207" s="78" t="str">
        <f t="shared" si="95"/>
        <v>"%USERPROFILE%\Documents\GitHub\eaglep3\Utilities\RefineRTDCRunTimes.py" --tripid 304-20 --locoid 4039 --swversion DE.1.0.9.0 --startMP 300:23025 --initTime 2017-09-20T03:43:51 --startdatetime 2017-09-20T03:50:42 --delay 54 --endMP 204:149 --enddatetime 2017-09-20T03:57:44 --enforcementcount 0 &gt;&gt;c:\users\tmcdowell\Documents\GitHub\eaglep3-reporting\EC\2017-09-20-refined-times.txt</v>
      </c>
      <c r="AI207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{"issue":{"subject":"","project_id":79,"tracker_id":40,"status_id":1,"priority_id":2,"assigned_to_id":338,"start_date":"2017-09-20","description":"","custom_fields":[{"id":1,"name":"Subdivision","value":"Other"},{"id":4,"name":"Milepost","value":"0.0149"},{"id":17,"name":"Train ID","value":"304-20"},{"id":16,"name":"Locomotive ID","value":"4039"},{"id":130,"name":"Impact","value":""},{"id":150,"name":"Time of Event (Mountain Time)","value":"03:57:44"},{"id":151,"name":"Denver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7"/>
        <v>start /low /b %USERPROFILE%\Documents\GitHub\eaglep3\Utilities\DownloadLogsFromS3.py --loco 4039 --day 2017-09-20</v>
      </c>
      <c r="AN20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09:57:44"},{"id":29,"name":"Sharepoint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9"/>
        <v>https://d0f6bd738d7f1b3e5a7ca70fe4ff75f0.us-east-1.aws.found.io/app/kibana#/discover/Steve-Slow-Train-Analysis-(2080s-and-2083s)?_g=(refreshInterval:(display:Off,pause:!f,section:0,value:0),time:(from:'2017-09-20T02:43:51-0600',mode:absolute,to:'2017-09-20T04:57:44-0600'))&amp;_a=(columns:!('Message%20ID',Summary),filters:!(),index:'emp_*',interval:auto,query:(query_string:(analyze_wildcard:!t,query:'Message%5C+ID:(*)+AND+%22rtdc.l.rtdc.4039%22')),sort:!(Time.ISO8601,asc))</v>
      </c>
    </row>
    <row r="208" spans="1:91" s="20" customFormat="1" x14ac:dyDescent="0.25">
      <c r="A208" s="32" t="s">
        <v>806</v>
      </c>
      <c r="B208" s="7">
        <v>4062</v>
      </c>
      <c r="C208" s="21" t="s">
        <v>196</v>
      </c>
      <c r="D208" s="21" t="s">
        <v>359</v>
      </c>
      <c r="E208" s="13">
        <v>42998.820960648147</v>
      </c>
      <c r="F208" s="13">
        <v>42998.823437500003</v>
      </c>
      <c r="G208" s="7">
        <v>60</v>
      </c>
      <c r="H208" s="21" t="s">
        <v>443</v>
      </c>
      <c r="I208" s="13">
        <v>42998.829560185186</v>
      </c>
      <c r="J208" s="7">
        <v>0</v>
      </c>
      <c r="K208" s="89" t="str">
        <f t="shared" si="84"/>
        <v>4061/4062</v>
      </c>
      <c r="L208" s="185" t="str">
        <f>VLOOKUP(A208,'Trips&amp;Operators'!$C$1:$G$99911,5,FALSE)</f>
        <v>HOLCOMB KAMDEN</v>
      </c>
      <c r="M208" s="6">
        <f t="shared" si="85"/>
        <v>6.1226851830724627E-3</v>
      </c>
      <c r="N208" s="7">
        <f t="shared" si="81"/>
        <v>8.8166666636243463</v>
      </c>
      <c r="O208" s="7"/>
      <c r="P208" s="7"/>
      <c r="Q208" s="22"/>
      <c r="R208" s="174"/>
      <c r="S208" s="221">
        <f t="shared" si="86"/>
        <v>1</v>
      </c>
      <c r="T208" s="174" t="str">
        <f t="shared" si="87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88"/>
        <v>https://d0f6bd738d7f1b3e5a7ca70fe4ff75f0.us-east-1.aws.found.io/app/kibana#/discover/Steve-Slow-Train-Analysis-(2080s-and-2083s)?_g=(refreshInterval:(display:Off,pause:!f,section:0,value:0),time:(from:'2017-09-20T18:42:11-0600',mode:absolute,to:'2017-09-20T20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8" s="204" t="str">
        <f>IF(AA208&lt;VLOOKUP(AG208,Variables!$AC$3:$AD$8,2,FALSE),"Y","N")</f>
        <v>Y</v>
      </c>
      <c r="X208" s="204">
        <f t="shared" si="89"/>
        <v>1</v>
      </c>
      <c r="Y208" s="204">
        <f t="shared" si="82"/>
        <v>4.4900000000000002E-2</v>
      </c>
      <c r="Z208" s="204">
        <f t="shared" si="83"/>
        <v>2.3308</v>
      </c>
      <c r="AA208" s="204">
        <f t="shared" si="90"/>
        <v>2.2858999999999998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91"/>
        <v>305</v>
      </c>
      <c r="AE208" s="77" t="str">
        <f t="shared" si="92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208" s="74" t="str">
        <f t="shared" si="93"/>
        <v>"C:\Program Files (x86)\AstroGrep\AstroGrep.exe" /e /r /s /spath="%USERPROFILE%\AppData\Local\Temp\OnboardLogs" /stypes="app*4062*20170921*" /stext=" 01:.+((SYSTEM_STATE.+slice.+state.+changed )|(ment ac)|(multiple cpu faults)|(system.+state.+changed )|(\[timeout)|(PRM\|1\|D)|(kpr)|(kdp)|(train st.+moving)|(\|lc)|(penalty))"</v>
      </c>
      <c r="AG208" s="182" t="str">
        <f t="shared" si="94"/>
        <v>Other</v>
      </c>
      <c r="AH208" s="78" t="str">
        <f t="shared" si="95"/>
        <v>"%USERPROFILE%\Documents\GitHub\eaglep3\Utilities\RefineRTDCRunTimes.py" --tripid 305-20 --locoid 4062 --swversion DE.1.0.9.0 --startMP 204:449 --initTime 2017-09-20T19:42:11 --startdatetime 2017-09-20T19:45:45 --delay 60 --endMP 300:23308 --enddatetime 2017-09-20T19:54:34 --enforcementcount 0 &gt;&gt;c:\users\tmcdowell\Documents\GitHub\eaglep3-reporting\EC\2017-09-20-refined-times.txt</v>
      </c>
      <c r="AI208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{"issue":{"subject":"","project_id":79,"tracker_id":40,"status_id":1,"priority_id":2,"assigned_to_id":338,"start_date":"2017-09-20","description":"","custom_fields":[{"id":1,"name":"Subdivision","value":"Other"},{"id":4,"name":"Milepost","value":"2.3308"},{"id":17,"name":"Train ID","value":"305-20"},{"id":16,"name":"Locomotive ID","value":"4062"},{"id":130,"name":"Impact","value":""},{"id":150,"name":"Time of Event (Mountain Time)","value":"19:54:34"},{"id":151,"name":"Denver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97"/>
        <v>start /low /b %USERPROFILE%\Documents\GitHub\eaglep3\Utilities\DownloadLogsFromS3.py --loco 4062 --day 2017-09-20</v>
      </c>
      <c r="AN208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9"/>
        <v>https://d0f6bd738d7f1b3e5a7ca70fe4ff75f0.us-east-1.aws.found.io/app/kibana#/discover/Steve-Slow-Train-Analysis-(2080s-and-2083s)?_g=(refreshInterval:(display:Off,pause:!f,section:0,value:0),time:(from:'2017-09-20T18:42:11-0600',mode:absolute,to:'2017-09-20T20:54:34-0600'))&amp;_a=(columns:!('Message%20ID',Summary),filters:!(),index:'emp_*',interval:auto,query:(query_string:(analyze_wildcard:!t,query:'Message%5C+ID:(*)+AND+%22rtdc.l.rtdc.4062%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628</v>
      </c>
      <c r="B209" s="7">
        <v>4043</v>
      </c>
      <c r="C209" s="21" t="s">
        <v>196</v>
      </c>
      <c r="D209" s="21" t="s">
        <v>885</v>
      </c>
      <c r="E209" s="13">
        <v>42998.167164351849</v>
      </c>
      <c r="F209" s="13">
        <v>42998.172418981485</v>
      </c>
      <c r="G209" s="7">
        <v>158</v>
      </c>
      <c r="H209" s="21" t="s">
        <v>859</v>
      </c>
      <c r="I209" s="13">
        <v>42998.180381944447</v>
      </c>
      <c r="J209" s="7">
        <v>0</v>
      </c>
      <c r="K209" s="89" t="str">
        <f t="shared" si="84"/>
        <v>4043/4044</v>
      </c>
      <c r="L209" s="185" t="str">
        <f>VLOOKUP(A209,'Trips&amp;Operators'!$C$1:$G$99911,5,FALSE)</f>
        <v>WEST BRYAN</v>
      </c>
      <c r="M209" s="6">
        <f t="shared" si="85"/>
        <v>7.962962961755693E-3</v>
      </c>
      <c r="N209" s="7">
        <f t="shared" si="81"/>
        <v>11.466666664928198</v>
      </c>
      <c r="O209" s="7"/>
      <c r="P209" s="7"/>
      <c r="Q209" s="22"/>
      <c r="R209" s="174"/>
      <c r="S209" s="221">
        <f t="shared" si="86"/>
        <v>1</v>
      </c>
      <c r="T209" s="174" t="str">
        <f t="shared" si="87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88"/>
        <v>https://d0f6bd738d7f1b3e5a7ca70fe4ff75f0.us-east-1.aws.found.io/app/kibana#/discover/Steve-Slow-Train-Analysis-(2080s-and-2083s)?_g=(refreshInterval:(display:Off,pause:!f,section:0,value:0),time:(from:'2017-09-20T03:00:43-0600',mode:absolute,to:'2017-09-20T05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04" t="str">
        <f>IF(AA209&lt;VLOOKUP(AG209,Variables!$AC$3:$AD$8,2,FALSE),"Y","N")</f>
        <v>Y</v>
      </c>
      <c r="X209" s="204">
        <f t="shared" si="89"/>
        <v>1</v>
      </c>
      <c r="Y209" s="204">
        <f t="shared" si="82"/>
        <v>2.3532999999999999</v>
      </c>
      <c r="Z209" s="204">
        <f t="shared" si="83"/>
        <v>1.6899999999999998E-2</v>
      </c>
      <c r="AA209" s="204">
        <f t="shared" si="90"/>
        <v>2.3363999999999998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91"/>
        <v>306</v>
      </c>
      <c r="AE209" s="77" t="str">
        <f t="shared" si="92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209" s="74" t="str">
        <f t="shared" si="93"/>
        <v>"C:\Program Files (x86)\AstroGrep\AstroGrep.exe" /e /r /s /spath="%USERPROFILE%\AppData\Local\Temp\OnboardLogs" /stypes="app*4043*20170920*" /stext=" 10:.+((SYSTEM_STATE.+slice.+state.+changed )|(ment ac)|(multiple cpu faults)|(system.+state.+changed )|(\[timeout)|(PRM\|1\|D)|(kpr)|(kdp)|(train st.+moving)|(\|lc)|(penalty))"</v>
      </c>
      <c r="AG209" s="182" t="str">
        <f t="shared" si="94"/>
        <v>Other</v>
      </c>
      <c r="AH209" s="78" t="str">
        <f t="shared" si="95"/>
        <v>"%USERPROFILE%\Documents\GitHub\eaglep3\Utilities\RefineRTDCRunTimes.py" --tripid 306-20 --locoid 4043 --swversion DE.1.0.9.0 --startMP 300:23533 --initTime 2017-09-20T04:00:43 --startdatetime 2017-09-20T04:08:17 --delay 158 --endMP 204:169 --enddatetime 2017-09-20T04:19:45 --enforcementcount 0 &gt;&gt;c:\users\tmcdowell\Documents\GitHub\eaglep3-reporting\EC\2017-09-20-refined-times.txt</v>
      </c>
      <c r="AI209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{"issue":{"subject":"","project_id":79,"tracker_id":40,"status_id":1,"priority_id":2,"assigned_to_id":338,"start_date":"2017-09-20","description":"","custom_fields":[{"id":1,"name":"Subdivision","value":"Other"},{"id":4,"name":"Milepost","value":"0.0169"},{"id":17,"name":"Train ID","value":"306-20"},{"id":16,"name":"Locomotive ID","value":"4043"},{"id":130,"name":"Impact","value":""},{"id":150,"name":"Time of Event (Mountain Time)","value":"04:19:45"},{"id":151,"name":"Denver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7"/>
        <v>start /low /b %USERPROFILE%\Documents\GitHub\eaglep3\Utilities\DownloadLogsFromS3.py --loco 4043 --day 2017-09-20</v>
      </c>
      <c r="AN20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9"/>
        <v>https://d0f6bd738d7f1b3e5a7ca70fe4ff75f0.us-east-1.aws.found.io/app/kibana#/discover/Steve-Slow-Train-Analysis-(2080s-and-2083s)?_g=(refreshInterval:(display:Off,pause:!f,section:0,value:0),time:(from:'2017-09-20T03:00:43-0600',mode:absolute,to:'2017-09-20T05:19:45-0600'))&amp;_a=(columns:!('Message%20ID',Summary),filters:!(),index:'emp_*',interval:auto,query:(query_string:(analyze_wildcard:!t,query:'Message%5C+ID:(*)+AND+%22rtdc.l.rtdc.4043%22')),sort:!(Time.ISO8601,asc))</v>
      </c>
    </row>
    <row r="210" spans="1:91" s="20" customFormat="1" x14ac:dyDescent="0.25">
      <c r="A210" s="32" t="s">
        <v>830</v>
      </c>
      <c r="B210" s="7">
        <v>4063</v>
      </c>
      <c r="C210" s="21" t="s">
        <v>196</v>
      </c>
      <c r="D210" s="21" t="s">
        <v>886</v>
      </c>
      <c r="E210" s="13">
        <v>42999.055625000001</v>
      </c>
      <c r="F210" s="13">
        <v>42999.072881944441</v>
      </c>
      <c r="G210" s="7">
        <v>62</v>
      </c>
      <c r="H210" s="21" t="s">
        <v>887</v>
      </c>
      <c r="I210" s="13">
        <v>42999.082800925928</v>
      </c>
      <c r="J210" s="7">
        <v>0</v>
      </c>
      <c r="K210" s="89" t="str">
        <f t="shared" si="84"/>
        <v>4063/4064</v>
      </c>
      <c r="L210" s="185" t="str">
        <f>VLOOKUP(A210,'Trips&amp;Operators'!$C$1:$G$99911,5,FALSE)</f>
        <v>DUNCAN SHEILA</v>
      </c>
      <c r="M210" s="6">
        <f t="shared" si="85"/>
        <v>9.9189814864075743E-3</v>
      </c>
      <c r="N210" s="7">
        <f t="shared" si="81"/>
        <v>14.283333340426907</v>
      </c>
      <c r="O210" s="7"/>
      <c r="P210" s="7"/>
      <c r="Q210" s="22"/>
      <c r="R210" s="174"/>
      <c r="S210" s="221">
        <f t="shared" si="86"/>
        <v>0</v>
      </c>
      <c r="T210" s="174" t="str">
        <f t="shared" si="87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88"/>
        <v>https://d0f6bd738d7f1b3e5a7ca70fe4ff75f0.us-east-1.aws.found.io/app/kibana#/discover/Steve-Slow-Train-Analysis-(2080s-and-2083s)?_g=(refreshInterval:(display:Off,pause:!f,section:0,value:0),time:(from:'2017-09-21T00:20:06-0600',mode:absolute,to:'2017-09-21T02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0" s="204" t="str">
        <f>IF(AA210&lt;VLOOKUP(AG210,Variables!$AC$3:$AD$8,2,FALSE),"Y","N")</f>
        <v>Y</v>
      </c>
      <c r="X210" s="204">
        <f t="shared" si="89"/>
        <v>1</v>
      </c>
      <c r="Y210" s="204">
        <f t="shared" si="82"/>
        <v>2.6375999999999999</v>
      </c>
      <c r="Z210" s="204">
        <f t="shared" si="83"/>
        <v>0.52149999999999996</v>
      </c>
      <c r="AA210" s="204">
        <f t="shared" si="90"/>
        <v>2.1160999999999999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91"/>
        <v>307</v>
      </c>
      <c r="AE210" s="77" t="str">
        <f t="shared" si="92"/>
        <v>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 &amp; 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</v>
      </c>
      <c r="AF210" s="74" t="str">
        <f t="shared" si="93"/>
        <v>"C:\Program Files (x86)\AstroGrep\AstroGrep.exe" /e /r /s /spath="%USERPROFILE%\AppData\Local\Temp\OnboardLogs" /stypes="app*4063*20170921*" /stext=" 07:.+((SYSTEM_STATE.+slice.+state.+changed )|(ment ac)|(multiple cpu faults)|(system.+state.+changed )|(\[timeout)|(PRM\|1\|D)|(kpr)|(kdp)|(train st.+moving)|(\|lc)|(penalty))"</v>
      </c>
      <c r="AG210" s="182" t="str">
        <f t="shared" si="94"/>
        <v>Other</v>
      </c>
      <c r="AH210" s="78" t="str">
        <f t="shared" si="95"/>
        <v>"%USERPROFILE%\Documents\GitHub\eaglep3\Utilities\RefineRTDCRunTimes.py" --tripid 307-20 --locoid 4063 --swversion DE.1.0.9.0 --startMP 300:26376 --initTime 2017-09-21T01:20:06 --startdatetime 2017-09-21T01:44:57 --delay 62 --endMP 300:5215 --enddatetime 2017-09-21T01:59:14 --enforcementcount 0 &gt;&gt;c:\users\tmcdowell\Documents\GitHub\eaglep3-reporting\EC\2017-09-20-refined-times.txt</v>
      </c>
      <c r="AI210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{"issue":{"subject":"","project_id":79,"tracker_id":40,"status_id":1,"priority_id":2,"assigned_to_id":338,"start_date":"2017-09-21","description":"","custom_fields":[{"id":1,"name":"Subdivision","value":"Other"},{"id":4,"name":"Milepost","value":"0.5215"},{"id":17,"name":"Train ID","value":"307-20"},{"id":16,"name":"Locomotive ID","value":"4063"},{"id":130,"name":"Impact","value":""},{"id":150,"name":"Time of Event (Mountain Time)","value":"01:59:14"},{"id":151,"name":"Denver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97"/>
        <v>start /low /b %USERPROFILE%\Documents\GitHub\eaglep3\Utilities\DownloadLogsFromS3.py --loco 4063 --day 2017-09-21</v>
      </c>
      <c r="AN210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9"/>
        <v>https://d0f6bd738d7f1b3e5a7ca70fe4ff75f0.us-east-1.aws.found.io/app/kibana#/discover/Steve-Slow-Train-Analysis-(2080s-and-2083s)?_g=(refreshInterval:(display:Off,pause:!f,section:0,value:0),time:(from:'2017-09-21T00:20:06-0600',mode:absolute,to:'2017-09-21T02:59:14-0600'))&amp;_a=(columns:!('Message%20ID',Summary),filters:!(),index:'emp_*',interval:auto,query:(query_string:(analyze_wildcard:!t,query:'Message%5C+ID:(*)+AND+%22rtdc.l.rtdc.4063%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830</v>
      </c>
      <c r="B211" s="7">
        <v>4064</v>
      </c>
      <c r="C211" s="21" t="s">
        <v>196</v>
      </c>
      <c r="D211" s="21" t="s">
        <v>888</v>
      </c>
      <c r="E211" s="13">
        <v>42999.070567129631</v>
      </c>
      <c r="F211" s="13">
        <v>42999.072881944441</v>
      </c>
      <c r="G211" s="7">
        <v>46</v>
      </c>
      <c r="H211" s="21" t="s">
        <v>551</v>
      </c>
      <c r="I211" s="13">
        <v>42999.082800925928</v>
      </c>
      <c r="J211" s="7">
        <v>0</v>
      </c>
      <c r="K211" s="89" t="str">
        <f t="shared" si="84"/>
        <v>4063/4064</v>
      </c>
      <c r="L211" s="185" t="str">
        <f>VLOOKUP(A211,'Trips&amp;Operators'!$C$1:$G$99911,5,FALSE)</f>
        <v>DUNCAN SHEILA</v>
      </c>
      <c r="M211" s="6">
        <f t="shared" si="85"/>
        <v>9.9189814864075743E-3</v>
      </c>
      <c r="N211" s="7">
        <f t="shared" si="81"/>
        <v>14.283333340426907</v>
      </c>
      <c r="O211" s="7"/>
      <c r="P211" s="7"/>
      <c r="Q211" s="22"/>
      <c r="R211" s="174"/>
      <c r="S211" s="221">
        <f t="shared" si="86"/>
        <v>1</v>
      </c>
      <c r="T211" s="174" t="str">
        <f t="shared" si="87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88"/>
        <v>https://d0f6bd738d7f1b3e5a7ca70fe4ff75f0.us-east-1.aws.found.io/app/kibana#/discover/Steve-Slow-Train-Analysis-(2080s-and-2083s)?_g=(refreshInterval:(display:Off,pause:!f,section:0,value:0),time:(from:'2017-09-21T00:41:37-0600',mode:absolute,to:'2017-09-21T02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04" t="str">
        <f>IF(AA211&lt;VLOOKUP(AG211,Variables!$AC$3:$AD$8,2,FALSE),"Y","N")</f>
        <v>Y</v>
      </c>
      <c r="X211" s="204">
        <f t="shared" si="89"/>
        <v>0</v>
      </c>
      <c r="Y211" s="204">
        <f t="shared" si="82"/>
        <v>9.7600000000000006E-2</v>
      </c>
      <c r="Z211" s="204">
        <f t="shared" si="83"/>
        <v>2.3346</v>
      </c>
      <c r="AA211" s="204">
        <f t="shared" si="90"/>
        <v>2.2370000000000001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91"/>
        <v>307</v>
      </c>
      <c r="AE211" s="77" t="str">
        <f t="shared" si="92"/>
        <v>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 &amp; 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</v>
      </c>
      <c r="AF211" s="74" t="str">
        <f t="shared" si="93"/>
        <v>"C:\Program Files (x86)\AstroGrep\AstroGrep.exe" /e /r /s /spath="%USERPROFILE%\AppData\Local\Temp\OnboardLogs" /stypes="app*4064*20170921*" /stext=" 07:.+((SYSTEM_STATE.+slice.+state.+changed )|(ment ac)|(multiple cpu faults)|(system.+state.+changed )|(\[timeout)|(PRM\|1\|D)|(kpr)|(kdp)|(train st.+moving)|(\|lc)|(penalty))"</v>
      </c>
      <c r="AG211" s="182" t="str">
        <f t="shared" si="94"/>
        <v>Other</v>
      </c>
      <c r="AH211" s="78" t="str">
        <f t="shared" si="95"/>
        <v>"%USERPROFILE%\Documents\GitHub\eaglep3\Utilities\RefineRTDCRunTimes.py" --tripid 307-20 --locoid 4064 --swversion DE.1.0.9.0 --startMP 204:976 --initTime 2017-09-21T01:41:37 --startdatetime 2017-09-21T01:44:57 --delay 46 --endMP 300:23346 --enddatetime 2017-09-21T01:59:14 --enforcementcount 0 &gt;&gt;c:\users\tmcdowell\Documents\GitHub\eaglep3-reporting\EC\2017-09-20-refined-times.txt</v>
      </c>
      <c r="AI211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{"issue":{"subject":"","project_id":79,"tracker_id":40,"status_id":1,"priority_id":2,"assigned_to_id":338,"start_date":"2017-09-21","description":"","custom_fields":[{"id":1,"name":"Subdivision","value":"Other"},{"id":4,"name":"Milepost","value":"2.3346"},{"id":17,"name":"Train ID","value":"307-20"},{"id":16,"name":"Locomotive ID","value":"4064"},{"id":130,"name":"Impact","value":""},{"id":150,"name":"Time of Event (Mountain Time)","value":"01:59:14"},{"id":151,"name":"Denver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7"/>
        <v>start /low /b %USERPROFILE%\Documents\GitHub\eaglep3\Utilities\DownloadLogsFromS3.py --loco 4064 --day 2017-09-21</v>
      </c>
      <c r="AN211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9"/>
        <v>https://d0f6bd738d7f1b3e5a7ca70fe4ff75f0.us-east-1.aws.found.io/app/kibana#/discover/Steve-Slow-Train-Analysis-(2080s-and-2083s)?_g=(refreshInterval:(display:Off,pause:!f,section:0,value:0),time:(from:'2017-09-21T00:41:37-0600',mode:absolute,to:'2017-09-21T02:59:14-0600'))&amp;_a=(columns:!('Message%20ID',Summary),filters:!(),index:'emp_*',interval:auto,query:(query_string:(analyze_wildcard:!t,query:'Message%5C+ID:(*)+AND+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632</v>
      </c>
      <c r="B212" s="7">
        <v>4001</v>
      </c>
      <c r="C212" s="21" t="s">
        <v>196</v>
      </c>
      <c r="D212" s="21" t="s">
        <v>889</v>
      </c>
      <c r="E212" s="13">
        <v>42998.182743055557</v>
      </c>
      <c r="F212" s="13">
        <v>42998.187581018516</v>
      </c>
      <c r="G212" s="7">
        <v>74</v>
      </c>
      <c r="H212" s="21" t="s">
        <v>339</v>
      </c>
      <c r="I212" s="13">
        <v>42998.19326388889</v>
      </c>
      <c r="J212" s="7">
        <v>0</v>
      </c>
      <c r="K212" s="89" t="str">
        <f t="shared" si="84"/>
        <v>4001/4002</v>
      </c>
      <c r="L212" s="185" t="str">
        <f>VLOOKUP(A212,'Trips&amp;Operators'!$C$1:$G$99911,5,FALSE)</f>
        <v>DAVIS WENDY</v>
      </c>
      <c r="M212" s="6">
        <f t="shared" si="85"/>
        <v>5.6828703745850362E-3</v>
      </c>
      <c r="N212" s="7">
        <f t="shared" si="81"/>
        <v>8.1833333394024521</v>
      </c>
      <c r="O212" s="7"/>
      <c r="P212" s="7"/>
      <c r="Q212" s="22"/>
      <c r="R212" s="174"/>
      <c r="S212" s="221">
        <f t="shared" si="86"/>
        <v>1</v>
      </c>
      <c r="T212" s="174" t="str">
        <f t="shared" si="87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88"/>
        <v>https://d0f6bd738d7f1b3e5a7ca70fe4ff75f0.us-east-1.aws.found.io/app/kibana#/discover/Steve-Slow-Train-Analysis-(2080s-and-2083s)?_g=(refreshInterval:(display:Off,pause:!f,section:0,value:0),time:(from:'2017-09-20T03:23:09-0600',mode:absolute,to:'2017-09-20T05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04" t="str">
        <f>IF(AA212&lt;VLOOKUP(AG212,Variables!$AC$3:$AD$8,2,FALSE),"Y","N")</f>
        <v>Y</v>
      </c>
      <c r="X212" s="204">
        <f t="shared" si="89"/>
        <v>1</v>
      </c>
      <c r="Y212" s="204">
        <f t="shared" si="82"/>
        <v>2.2645</v>
      </c>
      <c r="Z212" s="204">
        <f t="shared" si="83"/>
        <v>1.43E-2</v>
      </c>
      <c r="AA212" s="204">
        <f t="shared" si="90"/>
        <v>2.2502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91"/>
        <v>308</v>
      </c>
      <c r="AE212" s="77" t="str">
        <f t="shared" si="92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212" s="74" t="str">
        <f t="shared" si="93"/>
        <v>"C:\Program Files (x86)\AstroGrep\AstroGrep.exe" /e /r /s /spath="%USERPROFILE%\AppData\Local\Temp\OnboardLogs" /stypes="app*4001*20170920*" /stext=" 10:.+((SYSTEM_STATE.+slice.+state.+changed )|(ment ac)|(multiple cpu faults)|(system.+state.+changed )|(\[timeout)|(PRM\|1\|D)|(kpr)|(kdp)|(train st.+moving)|(\|lc)|(penalty))"</v>
      </c>
      <c r="AG212" s="182" t="str">
        <f t="shared" si="94"/>
        <v>Other</v>
      </c>
      <c r="AH212" s="78" t="str">
        <f t="shared" si="95"/>
        <v>"%USERPROFILE%\Documents\GitHub\eaglep3\Utilities\RefineRTDCRunTimes.py" --tripid 308-20 --locoid 4001 --swversion DE.1.0.9.0 --startMP 300:22645 --initTime 2017-09-20T04:23:09 --startdatetime 2017-09-20T04:30:07 --delay 74 --endMP 204:143 --enddatetime 2017-09-20T04:38:18 --enforcementcount 0 &gt;&gt;c:\users\tmcdowell\Documents\GitHub\eaglep3-reporting\EC\2017-09-20-refined-times.txt</v>
      </c>
      <c r="AI212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{"issue":{"subject":"","project_id":79,"tracker_id":40,"status_id":1,"priority_id":2,"assigned_to_id":338,"start_date":"2017-09-20","description":"","custom_fields":[{"id":1,"name":"Subdivision","value":"Other"},{"id":4,"name":"Milepost","value":"0.0143"},{"id":17,"name":"Train ID","value":"308-20"},{"id":16,"name":"Locomotive ID","value":"4001"},{"id":130,"name":"Impact","value":""},{"id":150,"name":"Time of Event (Mountain Time)","value":"04:38:18"},{"id":151,"name":"Denver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7"/>
        <v>start /low /b %USERPROFILE%\Documents\GitHub\eaglep3\Utilities\DownloadLogsFromS3.py --loco 4001 --day 2017-09-20</v>
      </c>
      <c r="AN21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9"/>
        <v>https://d0f6bd738d7f1b3e5a7ca70fe4ff75f0.us-east-1.aws.found.io/app/kibana#/discover/Steve-Slow-Train-Analysis-(2080s-and-2083s)?_g=(refreshInterval:(display:Off,pause:!f,section:0,value:0),time:(from:'2017-09-20T03:23:09-0600',mode:absolute,to:'2017-09-20T05:38:18-0600'))&amp;_a=(columns:!('Message%20ID',Summary),filters:!(),index:'emp_*',interval:auto,query:(query_string:(analyze_wildcard:!t,query:'Message%5C+ID:(*)+AND+%22rtdc.l.rtdc.4001%22')),sort:!(Time.ISO8601,asc))</v>
      </c>
    </row>
    <row r="213" spans="1:91" s="20" customFormat="1" x14ac:dyDescent="0.25">
      <c r="A213" s="32" t="s">
        <v>831</v>
      </c>
      <c r="B213" s="7">
        <v>4040</v>
      </c>
      <c r="C213" s="21" t="s">
        <v>196</v>
      </c>
      <c r="D213" s="21" t="s">
        <v>402</v>
      </c>
      <c r="E213" s="13">
        <v>42999.066712962966</v>
      </c>
      <c r="F213" s="13">
        <v>42999.068506944444</v>
      </c>
      <c r="G213" s="7">
        <v>55</v>
      </c>
      <c r="H213" s="21" t="s">
        <v>890</v>
      </c>
      <c r="I213" s="13">
        <v>42999.116574074076</v>
      </c>
      <c r="J213" s="7">
        <v>0</v>
      </c>
      <c r="K213" s="89" t="str">
        <f t="shared" si="84"/>
        <v>4039/4040</v>
      </c>
      <c r="L213" s="185" t="str">
        <f>VLOOKUP(A213,'Trips&amp;Operators'!$C$1:$G$99911,5,FALSE)</f>
        <v>LOZA FIDEL</v>
      </c>
      <c r="M213" s="6">
        <f t="shared" si="85"/>
        <v>4.8067129631817807E-2</v>
      </c>
      <c r="N213" s="7">
        <f t="shared" si="81"/>
        <v>69.216666669817641</v>
      </c>
      <c r="O213" s="7"/>
      <c r="P213" s="7"/>
      <c r="Q213" s="22"/>
      <c r="R213" s="174"/>
      <c r="S213" s="221">
        <f t="shared" si="86"/>
        <v>1</v>
      </c>
      <c r="T213" s="174" t="str">
        <f t="shared" si="87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88"/>
        <v>https://d0f6bd738d7f1b3e5a7ca70fe4ff75f0.us-east-1.aws.found.io/app/kibana#/discover/Steve-Slow-Train-Analysis-(2080s-and-2083s)?_g=(refreshInterval:(display:Off,pause:!f,section:0,value:0),time:(from:'2017-09-21T00:36:04-0600',mode:absolute,to:'2017-09-21T03:47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IF(AA213&lt;VLOOKUP(AG213,Variables!$AC$3:$AD$8,2,FALSE),"Y","N")</f>
        <v>Y</v>
      </c>
      <c r="X213" s="204">
        <f t="shared" si="89"/>
        <v>1</v>
      </c>
      <c r="Y213" s="204">
        <f t="shared" si="82"/>
        <v>4.4400000000000002E-2</v>
      </c>
      <c r="Z213" s="204">
        <f t="shared" si="83"/>
        <v>2.3300999999999998</v>
      </c>
      <c r="AA213" s="204">
        <f t="shared" si="90"/>
        <v>2.2856999999999998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91"/>
        <v>309</v>
      </c>
      <c r="AE213" s="77" t="str">
        <f t="shared" si="92"/>
        <v>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 &amp; 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</v>
      </c>
      <c r="AF213" s="74" t="str">
        <f t="shared" si="93"/>
        <v>"C:\Program Files (x86)\AstroGrep\AstroGrep.exe" /e /r /s /spath="%USERPROFILE%\AppData\Local\Temp\OnboardLogs" /stypes="app*4040*20170921*" /stext=" 08:.+((SYSTEM_STATE.+slice.+state.+changed )|(ment ac)|(multiple cpu faults)|(system.+state.+changed )|(\[timeout)|(PRM\|1\|D)|(kpr)|(kdp)|(train st.+moving)|(\|lc)|(penalty))"</v>
      </c>
      <c r="AG213" s="182" t="str">
        <f t="shared" si="94"/>
        <v>Other</v>
      </c>
      <c r="AH213" s="78" t="str">
        <f t="shared" si="95"/>
        <v>"%USERPROFILE%\Documents\GitHub\eaglep3\Utilities\RefineRTDCRunTimes.py" --tripid 309-20 --locoid 4040 --swversion DE.1.0.9.0 --startMP 204:444 --initTime 2017-09-21T01:36:04 --startdatetime 2017-09-21T01:38:39 --delay 55 --endMP 300:23301 --enddatetime 2017-09-21T02:47:52 --enforcementcount 0 &gt;&gt;c:\users\tmcdowell\Documents\GitHub\eaglep3-reporting\EC\2017-09-20-refined-times.txt</v>
      </c>
      <c r="AI213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{"issue":{"subject":"","project_id":79,"tracker_id":40,"status_id":1,"priority_id":2,"assigned_to_id":338,"start_date":"2017-09-21","description":"","custom_fields":[{"id":1,"name":"Subdivision","value":"Other"},{"id":4,"name":"Milepost","value":"2.3301"},{"id":17,"name":"Train ID","value":"309-20"},{"id":16,"name":"Locomotive ID","value":"4040"},{"id":130,"name":"Impact","value":""},{"id":150,"name":"Time of Event (Mountain Time)","value":"02:47:52"},{"id":151,"name":"Denver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97"/>
        <v>start /low /b %USERPROFILE%\Documents\GitHub\eaglep3\Utilities\DownloadLogsFromS3.py --loco 4040 --day 2017-09-21</v>
      </c>
      <c r="AN213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08:47:52"},{"id":29,"name":"Sharepoint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9"/>
        <v>https://d0f6bd738d7f1b3e5a7ca70fe4ff75f0.us-east-1.aws.found.io/app/kibana#/discover/Steve-Slow-Train-Analysis-(2080s-and-2083s)?_g=(refreshInterval:(display:Off,pause:!f,section:0,value:0),time:(from:'2017-09-21T00:36:04-0600',mode:absolute,to:'2017-09-21T03:47:52-0600'))&amp;_a=(columns:!('Message%20ID',Summary),filters:!(),index:'emp_*',interval:auto,query:(query_string:(analyze_wildcard:!t,query:'Message%5C+ID:(*)+AND+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636</v>
      </c>
      <c r="B214" s="7">
        <v>4057</v>
      </c>
      <c r="C214" s="21" t="s">
        <v>196</v>
      </c>
      <c r="D214" s="21" t="s">
        <v>891</v>
      </c>
      <c r="E214" s="13">
        <v>42998.195509259262</v>
      </c>
      <c r="F214" s="13">
        <v>42998.198495370372</v>
      </c>
      <c r="G214" s="7">
        <v>112</v>
      </c>
      <c r="H214" s="21" t="s">
        <v>852</v>
      </c>
      <c r="I214" s="13">
        <v>42998.20380787037</v>
      </c>
      <c r="J214" s="7">
        <v>0</v>
      </c>
      <c r="K214" s="89" t="str">
        <f t="shared" si="84"/>
        <v>4057/4058</v>
      </c>
      <c r="L214" s="185" t="str">
        <f>VLOOKUP(A214,'Trips&amp;Operators'!$C$1:$G$99911,5,FALSE)</f>
        <v>BARRON PERLA</v>
      </c>
      <c r="M214" s="6">
        <f t="shared" si="85"/>
        <v>5.3124999976716936E-3</v>
      </c>
      <c r="N214" s="7">
        <f t="shared" si="81"/>
        <v>7.6499999966472387</v>
      </c>
      <c r="O214" s="7"/>
      <c r="P214" s="7"/>
      <c r="Q214" s="22"/>
      <c r="R214" s="174"/>
      <c r="S214" s="221">
        <f t="shared" si="86"/>
        <v>1</v>
      </c>
      <c r="T214" s="174" t="str">
        <f t="shared" si="87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88"/>
        <v>https://d0f6bd738d7f1b3e5a7ca70fe4ff75f0.us-east-1.aws.found.io/app/kibana#/discover/Steve-Slow-Train-Analysis-(2080s-and-2083s)?_g=(refreshInterval:(display:Off,pause:!f,section:0,value:0),time:(from:'2017-09-20T03:41:32-0600',mode:absolute,to:'2017-09-20T05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4" s="204" t="str">
        <f>IF(AA214&lt;VLOOKUP(AG214,Variables!$AC$3:$AD$8,2,FALSE),"Y","N")</f>
        <v>Y</v>
      </c>
      <c r="X214" s="204">
        <f t="shared" si="89"/>
        <v>1</v>
      </c>
      <c r="Y214" s="204">
        <f t="shared" si="82"/>
        <v>2.3683999999999998</v>
      </c>
      <c r="Z214" s="204">
        <f t="shared" si="83"/>
        <v>1.67E-2</v>
      </c>
      <c r="AA214" s="204">
        <f t="shared" si="90"/>
        <v>2.3516999999999997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91"/>
        <v>310</v>
      </c>
      <c r="AE214" s="77" t="str">
        <f t="shared" si="92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214" s="74" t="str">
        <f t="shared" si="93"/>
        <v>"C:\Program Files (x86)\AstroGrep\AstroGrep.exe" /e /r /s /spath="%USERPROFILE%\AppData\Local\Temp\OnboardLogs" /stypes="app*4057*20170920*" /stext=" 10:.+((SYSTEM_STATE.+slice.+state.+changed )|(ment ac)|(multiple cpu faults)|(system.+state.+changed )|(\[timeout)|(PRM\|1\|D)|(kpr)|(kdp)|(train st.+moving)|(\|lc)|(penalty))"</v>
      </c>
      <c r="AG214" s="182" t="str">
        <f t="shared" si="94"/>
        <v>Other</v>
      </c>
      <c r="AH214" s="78" t="str">
        <f t="shared" si="95"/>
        <v>"%USERPROFILE%\Documents\GitHub\eaglep3\Utilities\RefineRTDCRunTimes.py" --tripid 310-20 --locoid 4057 --swversion DE.1.0.9.0 --startMP 300:23684 --initTime 2017-09-20T04:41:32 --startdatetime 2017-09-20T04:45:50 --delay 112 --endMP 204:167 --enddatetime 2017-09-20T04:53:29 --enforcementcount 0 &gt;&gt;c:\users\tmcdowell\Documents\GitHub\eaglep3-reporting\EC\2017-09-20-refined-times.txt</v>
      </c>
      <c r="AI214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{"issue":{"subject":"","project_id":79,"tracker_id":40,"status_id":1,"priority_id":2,"assigned_to_id":338,"start_date":"2017-09-20","description":"","custom_fields":[{"id":1,"name":"Subdivision","value":"Other"},{"id":4,"name":"Milepost","value":"0.0167"},{"id":17,"name":"Train ID","value":"310-20"},{"id":16,"name":"Locomotive ID","value":"4057"},{"id":130,"name":"Impact","value":""},{"id":150,"name":"Time of Event (Mountain Time)","value":"04:53:29"},{"id":151,"name":"Denver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7"/>
        <v>start /low /b %USERPROFILE%\Documents\GitHub\eaglep3\Utilities\DownloadLogsFromS3.py --loco 4057 --day 2017-09-20</v>
      </c>
      <c r="AN21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9"/>
        <v>https://d0f6bd738d7f1b3e5a7ca70fe4ff75f0.us-east-1.aws.found.io/app/kibana#/discover/Steve-Slow-Train-Analysis-(2080s-and-2083s)?_g=(refreshInterval:(display:Off,pause:!f,section:0,value:0),time:(from:'2017-09-20T03:41:32-0600',mode:absolute,to:'2017-09-20T05:53:29-0600'))&amp;_a=(columns:!('Message%20ID',Summary),filters:!(),index:'emp_*',interval:auto,query:(query_string:(analyze_wildcard:!t,query:'Message%5C+ID:(*)+AND+%22rtdc.l.rtdc.4057%22')),sort:!(Time.ISO8601,asc))</v>
      </c>
    </row>
    <row r="215" spans="1:91" s="20" customFormat="1" x14ac:dyDescent="0.25">
      <c r="A215" s="32" t="s">
        <v>832</v>
      </c>
      <c r="B215" s="7">
        <v>4044</v>
      </c>
      <c r="C215" s="21" t="s">
        <v>196</v>
      </c>
      <c r="D215" s="21" t="s">
        <v>892</v>
      </c>
      <c r="E215" s="13">
        <v>42999.089548611111</v>
      </c>
      <c r="F215" s="13">
        <v>42999.090844907405</v>
      </c>
      <c r="G215" s="7">
        <v>48</v>
      </c>
      <c r="H215" s="21" t="s">
        <v>443</v>
      </c>
      <c r="I215" s="13">
        <v>42999.098449074074</v>
      </c>
      <c r="J215" s="7">
        <v>0</v>
      </c>
      <c r="K215" s="89" t="str">
        <f t="shared" si="84"/>
        <v>4043/4044</v>
      </c>
      <c r="L215" s="185" t="str">
        <f>VLOOKUP(A215,'Trips&amp;Operators'!$C$1:$G$99911,5,FALSE)</f>
        <v>HART KEVIN</v>
      </c>
      <c r="M215" s="6">
        <f t="shared" si="85"/>
        <v>7.6041666688979603E-3</v>
      </c>
      <c r="N215" s="7">
        <f t="shared" si="81"/>
        <v>10.950000003213063</v>
      </c>
      <c r="O215" s="7"/>
      <c r="P215" s="7"/>
      <c r="Q215" s="22"/>
      <c r="R215" s="174"/>
      <c r="S215" s="221">
        <f t="shared" si="86"/>
        <v>1</v>
      </c>
      <c r="T215" s="174" t="str">
        <f t="shared" si="87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88"/>
        <v>https://d0f6bd738d7f1b3e5a7ca70fe4ff75f0.us-east-1.aws.found.io/app/kibana#/discover/Steve-Slow-Train-Analysis-(2080s-and-2083s)?_g=(refreshInterval:(display:Off,pause:!f,section:0,value:0),time:(from:'2017-09-21T01:08:57-0600',mode:absolute,to:'2017-09-21T03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04" t="str">
        <f>IF(AA215&lt;VLOOKUP(AG215,Variables!$AC$3:$AD$8,2,FALSE),"Y","N")</f>
        <v>Y</v>
      </c>
      <c r="X215" s="204">
        <f t="shared" si="89"/>
        <v>1</v>
      </c>
      <c r="Y215" s="204">
        <f t="shared" si="82"/>
        <v>4.1200000000000001E-2</v>
      </c>
      <c r="Z215" s="204">
        <f t="shared" si="83"/>
        <v>2.3308</v>
      </c>
      <c r="AA215" s="204">
        <f t="shared" si="90"/>
        <v>2.2896000000000001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91"/>
        <v>311</v>
      </c>
      <c r="AE215" s="77" t="str">
        <f t="shared" si="92"/>
        <v>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 &amp; 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</v>
      </c>
      <c r="AF215" s="74" t="str">
        <f t="shared" si="93"/>
        <v>"C:\Program Files (x86)\AstroGrep\AstroGrep.exe" /e /r /s /spath="%USERPROFILE%\AppData\Local\Temp\OnboardLogs" /stypes="app*4044*20170921*" /stext=" 08:.+((SYSTEM_STATE.+slice.+state.+changed )|(ment ac)|(multiple cpu faults)|(system.+state.+changed )|(\[timeout)|(PRM\|1\|D)|(kpr)|(kdp)|(train st.+moving)|(\|lc)|(penalty))"</v>
      </c>
      <c r="AG215" s="182" t="str">
        <f t="shared" si="94"/>
        <v>Other</v>
      </c>
      <c r="AH215" s="78" t="str">
        <f t="shared" si="95"/>
        <v>"%USERPROFILE%\Documents\GitHub\eaglep3\Utilities\RefineRTDCRunTimes.py" --tripid 311-20 --locoid 4044 --swversion DE.1.0.9.0 --startMP 204:412 --initTime 2017-09-21T02:08:57 --startdatetime 2017-09-21T02:10:49 --delay 48 --endMP 300:23308 --enddatetime 2017-09-21T02:21:46 --enforcementcount 0 &gt;&gt;c:\users\tmcdowell\Documents\GitHub\eaglep3-reporting\EC\2017-09-20-refined-times.txt</v>
      </c>
      <c r="AI215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{"issue":{"subject":"","project_id":79,"tracker_id":40,"status_id":1,"priority_id":2,"assigned_to_id":338,"start_date":"2017-09-21","description":"","custom_fields":[{"id":1,"name":"Subdivision","value":"Other"},{"id":4,"name":"Milepost","value":"2.3308"},{"id":17,"name":"Train ID","value":"311-20"},{"id":16,"name":"Locomotive ID","value":"4044"},{"id":130,"name":"Impact","value":""},{"id":150,"name":"Time of Event (Mountain Time)","value":"02:21:46"},{"id":151,"name":"Denver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97"/>
        <v>start /low /b %USERPROFILE%\Documents\GitHub\eaglep3\Utilities\DownloadLogsFromS3.py --loco 4044 --day 2017-09-21</v>
      </c>
      <c r="AN215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9"/>
        <v>https://d0f6bd738d7f1b3e5a7ca70fe4ff75f0.us-east-1.aws.found.io/app/kibana#/discover/Steve-Slow-Train-Analysis-(2080s-and-2083s)?_g=(refreshInterval:(display:Off,pause:!f,section:0,value:0),time:(from:'2017-09-21T01:08:57-0600',mode:absolute,to:'2017-09-21T03:21:46-0600'))&amp;_a=(columns:!('Message%20ID',Summary),filters:!(),index:'emp_*',interval:auto,query:(query_string:(analyze_wildcard:!t,query:'Message%5C+ID:(*)+AND+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640</v>
      </c>
      <c r="B216" s="7">
        <v>4061</v>
      </c>
      <c r="C216" s="21" t="s">
        <v>196</v>
      </c>
      <c r="D216" s="21" t="s">
        <v>893</v>
      </c>
      <c r="E216" s="13">
        <v>42998.217222222222</v>
      </c>
      <c r="F216" s="13">
        <v>42998.222812499997</v>
      </c>
      <c r="G216" s="7">
        <v>67</v>
      </c>
      <c r="H216" s="21" t="s">
        <v>338</v>
      </c>
      <c r="I216" s="13">
        <v>42998.22928240741</v>
      </c>
      <c r="J216" s="7">
        <v>0</v>
      </c>
      <c r="K216" s="89" t="str">
        <f t="shared" si="84"/>
        <v>4061/4062</v>
      </c>
      <c r="L216" s="185" t="str">
        <f>VLOOKUP(A216,'Trips&amp;Operators'!$C$1:$G$99911,5,FALSE)</f>
        <v>FORTUNATO FRANK</v>
      </c>
      <c r="M216" s="6">
        <f t="shared" si="85"/>
        <v>6.4699074137024581E-3</v>
      </c>
      <c r="N216" s="7">
        <f t="shared" si="81"/>
        <v>9.3166666757315397</v>
      </c>
      <c r="O216" s="7"/>
      <c r="P216" s="7"/>
      <c r="Q216" s="22"/>
      <c r="R216" s="174"/>
      <c r="S216" s="221">
        <f t="shared" si="86"/>
        <v>1</v>
      </c>
      <c r="T216" s="174" t="str">
        <f t="shared" si="87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88"/>
        <v>https://d0f6bd738d7f1b3e5a7ca70fe4ff75f0.us-east-1.aws.found.io/app/kibana#/discover/Steve-Slow-Train-Analysis-(2080s-and-2083s)?_g=(refreshInterval:(display:Off,pause:!f,section:0,value:0),time:(from:'2017-09-20T04:12:48-0600',mode:absolute,to:'2017-09-20T06:30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04" t="str">
        <f>IF(AA216&lt;VLOOKUP(AG216,Variables!$AC$3:$AD$8,2,FALSE),"Y","N")</f>
        <v>Y</v>
      </c>
      <c r="X216" s="204">
        <f t="shared" si="89"/>
        <v>1</v>
      </c>
      <c r="Y216" s="204">
        <f t="shared" si="82"/>
        <v>2.3607999999999998</v>
      </c>
      <c r="Z216" s="204">
        <f t="shared" si="83"/>
        <v>1.49E-2</v>
      </c>
      <c r="AA216" s="204">
        <f t="shared" si="90"/>
        <v>2.3458999999999999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91"/>
        <v>312</v>
      </c>
      <c r="AE216" s="77" t="str">
        <f t="shared" si="92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216" s="74" t="str">
        <f t="shared" si="93"/>
        <v>"C:\Program Files (x86)\AstroGrep\AstroGrep.exe" /e /r /s /spath="%USERPROFILE%\AppData\Local\Temp\OnboardLogs" /stypes="app*4061*20170920*" /stext=" 11:.+((SYSTEM_STATE.+slice.+state.+changed )|(ment ac)|(multiple cpu faults)|(system.+state.+changed )|(\[timeout)|(PRM\|1\|D)|(kpr)|(kdp)|(train st.+moving)|(\|lc)|(penalty))"</v>
      </c>
      <c r="AG216" s="182" t="str">
        <f t="shared" si="94"/>
        <v>Other</v>
      </c>
      <c r="AH216" s="78" t="str">
        <f t="shared" si="95"/>
        <v>"%USERPROFILE%\Documents\GitHub\eaglep3\Utilities\RefineRTDCRunTimes.py" --tripid 312-20 --locoid 4061 --swversion DE.1.0.9.0 --startMP 300:23608 --initTime 2017-09-20T05:12:48 --startdatetime 2017-09-20T05:20:51 --delay 67 --endMP 204:149 --enddatetime 2017-09-20T05:30:10 --enforcementcount 0 &gt;&gt;c:\users\tmcdowell\Documents\GitHub\eaglep3-reporting\EC\2017-09-20-refined-times.txt</v>
      </c>
      <c r="AI216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{"issue":{"subject":"","project_id":79,"tracker_id":40,"status_id":1,"priority_id":2,"assigned_to_id":338,"start_date":"2017-09-20","description":"","custom_fields":[{"id":1,"name":"Subdivision","value":"Other"},{"id":4,"name":"Milepost","value":"0.0149"},{"id":17,"name":"Train ID","value":"312-20"},{"id":16,"name":"Locomotive ID","value":"4061"},{"id":130,"name":"Impact","value":""},{"id":150,"name":"Time of Event (Mountain Time)","value":"05:30:10"},{"id":151,"name":"Denver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97"/>
        <v>start /low /b %USERPROFILE%\Documents\GitHub\eaglep3\Utilities\DownloadLogsFromS3.py --loco 4061 --day 2017-09-20</v>
      </c>
      <c r="AN21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11:30:10"},{"id":29,"name":"Sharepoint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9"/>
        <v>https://d0f6bd738d7f1b3e5a7ca70fe4ff75f0.us-east-1.aws.found.io/app/kibana#/discover/Steve-Slow-Train-Analysis-(2080s-and-2083s)?_g=(refreshInterval:(display:Off,pause:!f,section:0,value:0),time:(from:'2017-09-20T04:12:48-0600',mode:absolute,to:'2017-09-20T06:30:10-0600'))&amp;_a=(columns:!('Message%20ID',Summary),filters:!(),index:'emp_*',interval:auto,query:(query_string:(analyze_wildcard:!t,query:'Message%5C+ID:(*)+AND+%22rtdc.l.rtdc.4061%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828</v>
      </c>
      <c r="B217" s="7">
        <v>4042</v>
      </c>
      <c r="C217" s="21" t="s">
        <v>196</v>
      </c>
      <c r="D217" s="21" t="s">
        <v>894</v>
      </c>
      <c r="E217" s="13">
        <v>42999.026377314818</v>
      </c>
      <c r="F217" s="13">
        <v>42999.032650462963</v>
      </c>
      <c r="G217" s="7">
        <v>68</v>
      </c>
      <c r="H217" s="21" t="s">
        <v>895</v>
      </c>
      <c r="I217" s="13">
        <v>42999.046724537038</v>
      </c>
      <c r="J217" s="7">
        <v>0</v>
      </c>
      <c r="K217" s="89" t="str">
        <f t="shared" si="84"/>
        <v>4041/4042</v>
      </c>
      <c r="L217" s="185" t="str">
        <f>VLOOKUP(A217,'Trips&amp;Operators'!$C$1:$G$99911,5,FALSE)</f>
        <v>PERKINS DARREN</v>
      </c>
      <c r="M217" s="6">
        <f t="shared" si="85"/>
        <v>1.4074074075324461E-2</v>
      </c>
      <c r="N217" s="7">
        <f t="shared" si="81"/>
        <v>20.266666668467224</v>
      </c>
      <c r="O217" s="7"/>
      <c r="P217" s="7"/>
      <c r="Q217" s="22"/>
      <c r="R217" s="174"/>
      <c r="S217" s="221">
        <f t="shared" si="86"/>
        <v>1</v>
      </c>
      <c r="T217" s="174" t="str">
        <f t="shared" si="87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88"/>
        <v>https://d0f6bd738d7f1b3e5a7ca70fe4ff75f0.us-east-1.aws.found.io/app/kibana#/discover/Steve-Slow-Train-Analysis-(2080s-and-2083s)?_g=(refreshInterval:(display:Off,pause:!f,section:0,value:0),time:(from:'2017-09-20T23:37:59-0600',mode:absolute,to:'2017-09-21T02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204" t="str">
        <f>IF(AA217&lt;VLOOKUP(AG217,Variables!$AC$3:$AD$8,2,FALSE),"Y","N")</f>
        <v>Y</v>
      </c>
      <c r="X217" s="204">
        <f t="shared" si="89"/>
        <v>1</v>
      </c>
      <c r="Y217" s="204">
        <f t="shared" si="82"/>
        <v>4.1700000000000001E-2</v>
      </c>
      <c r="Z217" s="204">
        <f t="shared" si="83"/>
        <v>2.331</v>
      </c>
      <c r="AA217" s="204">
        <f t="shared" si="90"/>
        <v>2.2892999999999999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91"/>
        <v>313</v>
      </c>
      <c r="AE217" s="77" t="str">
        <f t="shared" si="92"/>
        <v>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 &amp; 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</v>
      </c>
      <c r="AF217" s="74" t="str">
        <f t="shared" si="93"/>
        <v>"C:\Program Files (x86)\AstroGrep\AstroGrep.exe" /e /r /s /spath="%USERPROFILE%\AppData\Local\Temp\OnboardLogs" /stypes="app*4042*20170921*" /stext=" 07:.+((SYSTEM_STATE.+slice.+state.+changed )|(ment ac)|(multiple cpu faults)|(system.+state.+changed )|(\[timeout)|(PRM\|1\|D)|(kpr)|(kdp)|(train st.+moving)|(\|lc)|(penalty))"</v>
      </c>
      <c r="AG217" s="182" t="str">
        <f t="shared" si="94"/>
        <v>Other</v>
      </c>
      <c r="AH217" s="78" t="str">
        <f t="shared" si="95"/>
        <v>"%USERPROFILE%\Documents\GitHub\eaglep3\Utilities\RefineRTDCRunTimes.py" --tripid 313-20 --locoid 4042 --swversion DE.1.0.9.0 --startMP 204:417 --initTime 2017-09-21T00:37:59 --startdatetime 2017-09-21T00:47:01 --delay 68 --endMP 300:23310 --enddatetime 2017-09-21T01:07:17 --enforcementcount 0 &gt;&gt;c:\users\tmcdowell\Documents\GitHub\eaglep3-reporting\EC\2017-09-20-refined-times.txt</v>
      </c>
      <c r="AI217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{"issue":{"subject":"","project_id":79,"tracker_id":40,"status_id":1,"priority_id":2,"assigned_to_id":338,"start_date":"2017-09-21","description":"","custom_fields":[{"id":1,"name":"Subdivision","value":"Other"},{"id":4,"name":"Milepost","value":"2.331"},{"id":17,"name":"Train ID","value":"313-20"},{"id":16,"name":"Locomotive ID","value":"4042"},{"id":130,"name":"Impact","value":""},{"id":150,"name":"Time of Event (Mountain Time)","value":"01:07:17"},{"id":151,"name":"Denver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97"/>
        <v>start /low /b %USERPROFILE%\Documents\GitHub\eaglep3\Utilities\DownloadLogsFromS3.py --loco 4042 --day 2017-09-21</v>
      </c>
      <c r="AN217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9"/>
        <v>https://d0f6bd738d7f1b3e5a7ca70fe4ff75f0.us-east-1.aws.found.io/app/kibana#/discover/Steve-Slow-Train-Analysis-(2080s-and-2083s)?_g=(refreshInterval:(display:Off,pause:!f,section:0,value:0),time:(from:'2017-09-20T23:37:59-0600',mode:absolute,to:'2017-09-21T02:07:17-0600'))&amp;_a=(columns:!('Message%20ID',Summary),filters:!(),index:'emp_*',interval:auto,query:(query_string:(analyze_wildcard:!t,query:'Message%5C+ID:(*)+AND+%22rtdc.l.rtdc.4042%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577</v>
      </c>
      <c r="B218" s="7">
        <v>4060</v>
      </c>
      <c r="C218" s="21" t="s">
        <v>196</v>
      </c>
      <c r="D218" s="21" t="s">
        <v>992</v>
      </c>
      <c r="E218" s="13">
        <v>42998.199386574073</v>
      </c>
      <c r="F218" s="13">
        <v>42998.205706018518</v>
      </c>
      <c r="G218" s="7">
        <v>74</v>
      </c>
      <c r="H218" s="21" t="s">
        <v>993</v>
      </c>
      <c r="I218" s="13">
        <v>42998.208101851851</v>
      </c>
      <c r="J218" s="7">
        <v>0</v>
      </c>
      <c r="K218" s="89" t="str">
        <f t="shared" si="84"/>
        <v>4059/4060</v>
      </c>
      <c r="L218" s="185" t="str">
        <f>VLOOKUP(A218,'Trips&amp;Operators'!$C$1:$G$99911,5,FALSE)</f>
        <v>LAMAR NEKESHA</v>
      </c>
      <c r="M218" s="6">
        <f t="shared" si="85"/>
        <v>2.3958333331393078E-3</v>
      </c>
      <c r="N218" s="7"/>
      <c r="O218" s="7"/>
      <c r="P218" s="7">
        <f t="shared" si="81"/>
        <v>3.4499999997206032</v>
      </c>
      <c r="Q218" s="22"/>
      <c r="R218" s="174" t="s">
        <v>1034</v>
      </c>
      <c r="S218" s="221">
        <f t="shared" si="86"/>
        <v>0</v>
      </c>
      <c r="T218" s="174" t="str">
        <f t="shared" si="87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88"/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8" s="204" t="str">
        <f>IF(AA218&lt;VLOOKUP(AG218,Variables!$AC$3:$AD$8,2,FALSE),"Y","N")</f>
        <v>Y</v>
      </c>
      <c r="X218" s="204">
        <f t="shared" si="89"/>
        <v>588</v>
      </c>
      <c r="Y218" s="204">
        <f t="shared" si="82"/>
        <v>2.9317000000000002</v>
      </c>
      <c r="Z218" s="204">
        <f t="shared" si="83"/>
        <v>3.3199000000000001</v>
      </c>
      <c r="AA218" s="204">
        <f t="shared" si="90"/>
        <v>0.38819999999999988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91"/>
        <v>901</v>
      </c>
      <c r="AE218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18" s="74" t="str">
        <f t="shared" si="93"/>
        <v>"C:\Program Files (x86)\AstroGrep\AstroGrep.exe" /e /r /s /spath="%USERPROFILE%\AppData\Local\Temp\OnboardLogs" /stypes="app*4060*20170920*" /stext=" 10:.+((SYSTEM_STATE.+slice.+state.+changed )|(ment ac)|(multiple cpu faults)|(system.+state.+changed )|(\[timeout)|(PRM\|1\|D)|(kpr)|(kdp)|(train st.+moving)|(\|lc)|(penalty))"</v>
      </c>
      <c r="AG218" s="182" t="str">
        <f t="shared" si="94"/>
        <v>Other</v>
      </c>
      <c r="AH218" s="78" t="str">
        <f t="shared" si="95"/>
        <v>"%USERPROFILE%\Documents\GitHub\eaglep3\Utilities\RefineRTDCRunTimes.py" --tripid 901-20 --locoid 4060 --swversion DE.1.0.9.0 --startMP 300:29317 --initTime 2017-09-20T04:47:07 --startdatetime 2017-09-20T04:56:13 --delay 74 --endMP 300:33199 --enddatetime 2017-09-20T04:59:40 --enforcementcount 0 &gt;&gt;c:\users\tmcdowell\Documents\GitHub\eaglep3-reporting\EC\2017-09-20-refined-times.txt</v>
      </c>
      <c r="AI218" s="96" t="str">
        <f t="shared" si="96"/>
        <v>echo {"issue":{"subject":"Mid-block initialization","project_id":79,"tracker_id":40,"status_id":1,"priority_id":2,"assigned_to_id":338,"start_date":"2017-09-20","description":"","custom_fields":[{"id":1,"name":"Subdivision","value":"Other"},{"id":4,"name":"Milepost","value":"3.3199"},{"id":17,"name":"Train ID","value":"901-20"},{"id":16,"name":"Locomotive ID","value":"4060"},{"id":130,"name":"Impact","value":""},{"id":150,"name":"Time of Event (Mountain Time)","value":"04:59:40"},{"id":151,"name":"Denver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7"/>
        <v>start /low /b %USERPROFILE%\Documents\GitHub\eaglep3\Utilities\DownloadLogsFromS3.py --loco 4060 --day 2017-09-20</v>
      </c>
      <c r="AN218" s="151" t="str">
        <f t="shared" si="98"/>
        <v>echo {"issue":{"subject":"Mid-block initialization","project_id":30,"tracker_id":4,"status_id":1,"priority_id":1,"assigned_to_id":10,"start_date":"2017-09-20","description":"","custom_fields":[{"id":30,"name":"Category","value":"Issue"},{"id":3,"name":"Functional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9"/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Message%20ID',Summary),filters:!(),index:'emp_*',interval:auto,query:(query_string:(analyze_wildcard:!t,query:'Message%5C+ID:(*)+AND+%22rtdc.l.rtdc.4060%22')),sort:!(Time.ISO8601,asc))</v>
      </c>
    </row>
    <row r="219" spans="1:91" s="20" customFormat="1" x14ac:dyDescent="0.25">
      <c r="A219" s="32" t="s">
        <v>646</v>
      </c>
      <c r="B219" s="7">
        <v>4015</v>
      </c>
      <c r="C219" s="21" t="s">
        <v>196</v>
      </c>
      <c r="D219" s="21" t="s">
        <v>994</v>
      </c>
      <c r="E219" s="13">
        <v>42998.237766203703</v>
      </c>
      <c r="F219" s="13">
        <v>42998.241469907407</v>
      </c>
      <c r="G219" s="7">
        <v>73</v>
      </c>
      <c r="H219" s="21" t="s">
        <v>425</v>
      </c>
      <c r="I219" s="13">
        <v>42998.246805555558</v>
      </c>
      <c r="J219" s="7">
        <v>0</v>
      </c>
      <c r="K219" s="89" t="str">
        <f t="shared" si="84"/>
        <v>4015/4016</v>
      </c>
      <c r="L219" s="185" t="str">
        <f>VLOOKUP(A219,'Trips&amp;Operators'!$C$1:$G$99911,5,FALSE)</f>
        <v>GEBRETEKLE DAGNEW</v>
      </c>
      <c r="M219" s="6">
        <f t="shared" si="85"/>
        <v>5.3356481512309983E-3</v>
      </c>
      <c r="N219" s="7">
        <f t="shared" si="81"/>
        <v>7.6833333377726376</v>
      </c>
      <c r="O219" s="7"/>
      <c r="P219" s="7"/>
      <c r="Q219" s="22"/>
      <c r="R219" s="174"/>
      <c r="S219" s="221">
        <f t="shared" si="86"/>
        <v>1</v>
      </c>
      <c r="T219" s="174" t="str">
        <f t="shared" si="87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88"/>
        <v>https://d0f6bd738d7f1b3e5a7ca70fe4ff75f0.us-east-1.aws.found.io/app/kibana#/discover/Steve-Slow-Train-Analysis-(2080s-and-2083s)?_g=(refreshInterval:(display:Off,pause:!f,section:0,value:0),time:(from:'2017-09-20T04:42:23-0600',mode:absolute,to:'2017-09-20T06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4" t="str">
        <f>IF(AA219&lt;VLOOKUP(AG219,Variables!$AC$3:$AD$8,2,FALSE),"Y","N")</f>
        <v>Y</v>
      </c>
      <c r="X219" s="204">
        <f t="shared" si="89"/>
        <v>1</v>
      </c>
      <c r="Y219" s="204">
        <f t="shared" si="82"/>
        <v>2.3610000000000002</v>
      </c>
      <c r="Z219" s="204">
        <f t="shared" si="83"/>
        <v>6.8500000000000005E-2</v>
      </c>
      <c r="AA219" s="204">
        <f t="shared" si="90"/>
        <v>2.2925000000000004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91"/>
        <v>902</v>
      </c>
      <c r="AE219" s="77" t="str">
        <f t="shared" si="92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219" s="74" t="str">
        <f t="shared" si="93"/>
        <v>"C:\Program Files (x86)\AstroGrep\AstroGrep.exe" /e /r /s /spath="%USERPROFILE%\AppData\Local\Temp\OnboardLogs" /stypes="app*4015*20170920*" /stext=" 11:.+((SYSTEM_STATE.+slice.+state.+changed )|(ment ac)|(multiple cpu faults)|(system.+state.+changed )|(\[timeout)|(PRM\|1\|D)|(kpr)|(kdp)|(train st.+moving)|(\|lc)|(penalty))"</v>
      </c>
      <c r="AG219" s="182" t="str">
        <f t="shared" si="94"/>
        <v>Other</v>
      </c>
      <c r="AH219" s="78" t="str">
        <f t="shared" si="95"/>
        <v>"%USERPROFILE%\Documents\GitHub\eaglep3\Utilities\RefineRTDCRunTimes.py" --tripid 902-20 --locoid 4015 --swversion DE.1.0.9.0 --startMP 300:23610 --initTime 2017-09-20T05:42:23 --startdatetime 2017-09-20T05:47:43 --delay 73 --endMP 204:685 --enddatetime 2017-09-20T05:55:24 --enforcementcount 0 &gt;&gt;c:\users\tmcdowell\Documents\GitHub\eaglep3-reporting\EC\2017-09-20-refined-times.txt</v>
      </c>
      <c r="AI219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{"issue":{"subject":"","project_id":79,"tracker_id":40,"status_id":1,"priority_id":2,"assigned_to_id":338,"start_date":"2017-09-20","description":"","custom_fields":[{"id":1,"name":"Subdivision","value":"Other"},{"id":4,"name":"Milepost","value":"0.0685"},{"id":17,"name":"Train ID","value":"902-20"},{"id":16,"name":"Locomotive ID","value":"4015"},{"id":130,"name":"Impact","value":""},{"id":150,"name":"Time of Event (Mountain Time)","value":"05:55:24"},{"id":151,"name":"Denver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7"/>
        <v>start /low /b %USERPROFILE%\Documents\GitHub\eaglep3\Utilities\DownloadLogsFromS3.py --loco 4015 --day 2017-09-20</v>
      </c>
      <c r="AN21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9"/>
        <v>https://d0f6bd738d7f1b3e5a7ca70fe4ff75f0.us-east-1.aws.found.io/app/kibana#/discover/Steve-Slow-Train-Analysis-(2080s-and-2083s)?_g=(refreshInterval:(display:Off,pause:!f,section:0,value:0),time:(from:'2017-09-20T04:42:23-0600',mode:absolute,to:'2017-09-20T06:55:24-0600'))&amp;_a=(columns:!('Message%20ID',Summary),filters:!(),index:'emp_*',interval:auto,query:(query_string:(analyze_wildcard:!t,query:'Message%5C+ID:(*)+AND+%22rtdc.l.rtdc.4015%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683</v>
      </c>
      <c r="B220" s="7">
        <v>4060</v>
      </c>
      <c r="C220" s="21" t="s">
        <v>196</v>
      </c>
      <c r="D220" s="21" t="s">
        <v>995</v>
      </c>
      <c r="E220" s="13">
        <v>42998.353541666664</v>
      </c>
      <c r="F220" s="13">
        <v>42998.355486111112</v>
      </c>
      <c r="G220" s="7">
        <v>76</v>
      </c>
      <c r="H220" s="21" t="s">
        <v>996</v>
      </c>
      <c r="I220" s="13">
        <v>42998.361574074072</v>
      </c>
      <c r="J220" s="7">
        <v>0</v>
      </c>
      <c r="K220" s="89" t="str">
        <f t="shared" si="84"/>
        <v>4059/4060</v>
      </c>
      <c r="L220" s="185" t="str">
        <f>VLOOKUP(A220,'Trips&amp;Operators'!$C$1:$G$99911,5,FALSE)</f>
        <v>LAMAR NEKESHA</v>
      </c>
      <c r="M220" s="6">
        <f t="shared" si="85"/>
        <v>6.0879629600094631E-3</v>
      </c>
      <c r="N220" s="7">
        <f t="shared" si="81"/>
        <v>8.7666666624136269</v>
      </c>
      <c r="O220" s="7"/>
      <c r="P220" s="7"/>
      <c r="Q220" s="22"/>
      <c r="R220" s="174"/>
      <c r="S220" s="221">
        <f t="shared" si="86"/>
        <v>1</v>
      </c>
      <c r="T220" s="174" t="str">
        <f t="shared" si="87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88"/>
        <v>https://d0f6bd738d7f1b3e5a7ca70fe4ff75f0.us-east-1.aws.found.io/app/kibana#/discover/Steve-Slow-Train-Analysis-(2080s-and-2083s)?_g=(refreshInterval:(display:Off,pause:!f,section:0,value:0),time:(from:'2017-09-20T07:29:06-0600',mode:absolute,to:'2017-09-20T09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204" t="str">
        <f>IF(AA220&lt;VLOOKUP(AG220,Variables!$AC$3:$AD$8,2,FALSE),"Y","N")</f>
        <v>Y</v>
      </c>
      <c r="X220" s="204">
        <f t="shared" si="89"/>
        <v>1</v>
      </c>
      <c r="Y220" s="204">
        <f t="shared" si="82"/>
        <v>0.1011</v>
      </c>
      <c r="Z220" s="204">
        <f t="shared" si="83"/>
        <v>2.4249999999999998</v>
      </c>
      <c r="AA220" s="204">
        <f t="shared" si="90"/>
        <v>2.3238999999999996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91"/>
        <v>903</v>
      </c>
      <c r="AE220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20" s="74" t="str">
        <f t="shared" si="93"/>
        <v>"C:\Program Files (x86)\AstroGrep\AstroGrep.exe" /e /r /s /spath="%USERPROFILE%\AppData\Local\Temp\OnboardLogs" /stypes="app*4060*20170920*" /stext=" 14:.+((SYSTEM_STATE.+slice.+state.+changed )|(ment ac)|(multiple cpu faults)|(system.+state.+changed )|(\[timeout)|(PRM\|1\|D)|(kpr)|(kdp)|(train st.+moving)|(\|lc)|(penalty))"</v>
      </c>
      <c r="AG220" s="182" t="str">
        <f t="shared" si="94"/>
        <v>Other</v>
      </c>
      <c r="AH220" s="78" t="str">
        <f t="shared" si="95"/>
        <v>"%USERPROFILE%\Documents\GitHub\eaglep3\Utilities\RefineRTDCRunTimes.py" --tripid 903-20 --locoid 4060 --swversion DE.1.0.9.0 --startMP 204:1011 --initTime 2017-09-20T08:29:06 --startdatetime 2017-09-20T08:31:54 --delay 76 --endMP 300:24250 --enddatetime 2017-09-20T08:40:40 --enforcementcount 0 &gt;&gt;c:\users\tmcdowell\Documents\GitHub\eaglep3-reporting\EC\2017-09-20-refined-times.txt</v>
      </c>
      <c r="AI220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{"issue":{"subject":"","project_id":79,"tracker_id":40,"status_id":1,"priority_id":2,"assigned_to_id":338,"start_date":"2017-09-20","description":"","custom_fields":[{"id":1,"name":"Subdivision","value":"Other"},{"id":4,"name":"Milepost","value":"2.425"},{"id":17,"name":"Train ID","value":"903-20"},{"id":16,"name":"Locomotive ID","value":"4060"},{"id":130,"name":"Impact","value":""},{"id":150,"name":"Time of Event (Mountain Time)","value":"08:40:40"},{"id":151,"name":"Denver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97"/>
        <v>start /low /b %USERPROFILE%\Documents\GitHub\eaglep3\Utilities\DownloadLogsFromS3.py --loco 4060 --day 2017-09-20</v>
      </c>
      <c r="AN22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9"/>
        <v>https://d0f6bd738d7f1b3e5a7ca70fe4ff75f0.us-east-1.aws.found.io/app/kibana#/discover/Steve-Slow-Train-Analysis-(2080s-and-2083s)?_g=(refreshInterval:(display:Off,pause:!f,section:0,value:0),time:(from:'2017-09-20T07:29:06-0600',mode:absolute,to:'2017-09-20T09:40:40-0600'))&amp;_a=(columns:!('Message%20ID',Summary),filters:!(),index:'emp_*',interval:auto,query:(query_string:(analyze_wildcard:!t,query:'Message%5C+ID:(*)+AND+%22rtdc.l.rtdc.4060%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753</v>
      </c>
      <c r="B221" s="7">
        <v>4059</v>
      </c>
      <c r="C221" s="21" t="s">
        <v>196</v>
      </c>
      <c r="D221" s="21" t="s">
        <v>997</v>
      </c>
      <c r="E221" s="13">
        <v>42998.637187499997</v>
      </c>
      <c r="F221" s="13">
        <v>42998.640393518515</v>
      </c>
      <c r="G221" s="7">
        <v>85</v>
      </c>
      <c r="H221" s="21" t="s">
        <v>998</v>
      </c>
      <c r="I221" s="13">
        <v>42998.64571759259</v>
      </c>
      <c r="J221" s="7">
        <v>0</v>
      </c>
      <c r="K221" s="89" t="str">
        <f t="shared" si="84"/>
        <v>4059/4060</v>
      </c>
      <c r="L221" s="185" t="str">
        <f>VLOOKUP(A221,'Trips&amp;Operators'!$C$1:$G$99911,5,FALSE)</f>
        <v>STAMBAUGH JAMES</v>
      </c>
      <c r="M221" s="6">
        <f t="shared" si="85"/>
        <v>5.324074074451346E-3</v>
      </c>
      <c r="N221" s="7">
        <f t="shared" ref="N221:N252" si="100">24*60*SUM($M221:$M221)</f>
        <v>7.6666666672099382</v>
      </c>
      <c r="O221" s="7"/>
      <c r="P221" s="7"/>
      <c r="Q221" s="22"/>
      <c r="R221" s="174"/>
      <c r="S221" s="221">
        <f t="shared" si="86"/>
        <v>1</v>
      </c>
      <c r="T221" s="174" t="str">
        <f t="shared" si="87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88"/>
        <v>https://d0f6bd738d7f1b3e5a7ca70fe4ff75f0.us-east-1.aws.found.io/app/kibana#/discover/Steve-Slow-Train-Analysis-(2080s-and-2083s)?_g=(refreshInterval:(display:Off,pause:!f,section:0,value:0),time:(from:'2017-09-20T14:17:33-0600',mode:absolute,to:'2017-09-20T16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1" s="204" t="str">
        <f>IF(AA221&lt;VLOOKUP(AG221,Variables!$AC$3:$AD$8,2,FALSE),"Y","N")</f>
        <v>Y</v>
      </c>
      <c r="X221" s="204">
        <f t="shared" si="89"/>
        <v>1</v>
      </c>
      <c r="Y221" s="204">
        <f t="shared" si="82"/>
        <v>2.3603000000000001</v>
      </c>
      <c r="Z221" s="204">
        <f t="shared" si="83"/>
        <v>6.7500000000000004E-2</v>
      </c>
      <c r="AA221" s="204">
        <f t="shared" si="90"/>
        <v>2.2928000000000002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91"/>
        <v>904</v>
      </c>
      <c r="AE221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21" s="74" t="str">
        <f t="shared" si="93"/>
        <v>"C:\Program Files (x86)\AstroGrep\AstroGrep.exe" /e /r /s /spath="%USERPROFILE%\AppData\Local\Temp\OnboardLogs" /stypes="app*4059*20170920*" /stext=" 21:.+((SYSTEM_STATE.+slice.+state.+changed )|(ment ac)|(multiple cpu faults)|(system.+state.+changed )|(\[timeout)|(PRM\|1\|D)|(kpr)|(kdp)|(train st.+moving)|(\|lc)|(penalty))"</v>
      </c>
      <c r="AG221" s="182" t="str">
        <f t="shared" si="94"/>
        <v>Other</v>
      </c>
      <c r="AH221" s="78" t="str">
        <f t="shared" si="95"/>
        <v>"%USERPROFILE%\Documents\GitHub\eaglep3\Utilities\RefineRTDCRunTimes.py" --tripid 904-20 --locoid 4059 --swversion DE.1.0.9.0 --startMP 300:23603 --initTime 2017-09-20T15:17:33 --startdatetime 2017-09-20T15:22:10 --delay 85 --endMP 204:675 --enddatetime 2017-09-20T15:29:50 --enforcementcount 0 &gt;&gt;c:\users\tmcdowell\Documents\GitHub\eaglep3-reporting\EC\2017-09-20-refined-times.txt</v>
      </c>
      <c r="AI221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{"issue":{"subject":"","project_id":79,"tracker_id":40,"status_id":1,"priority_id":2,"assigned_to_id":338,"start_date":"2017-09-20","description":"","custom_fields":[{"id":1,"name":"Subdivision","value":"Other"},{"id":4,"name":"Milepost","value":"0.0675"},{"id":17,"name":"Train ID","value":"904-20"},{"id":16,"name":"Locomotive ID","value":"4059"},{"id":130,"name":"Impact","value":""},{"id":150,"name":"Time of Event (Mountain Time)","value":"15:29:50"},{"id":151,"name":"Denver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7"/>
        <v>start /low /b %USERPROFILE%\Documents\GitHub\eaglep3\Utilities\DownloadLogsFromS3.py --loco 4059 --day 2017-09-20</v>
      </c>
      <c r="AN22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9"/>
        <v>https://d0f6bd738d7f1b3e5a7ca70fe4ff75f0.us-east-1.aws.found.io/app/kibana#/discover/Steve-Slow-Train-Analysis-(2080s-and-2083s)?_g=(refreshInterval:(display:Off,pause:!f,section:0,value:0),time:(from:'2017-09-20T14:17:33-0600',mode:absolute,to:'2017-09-20T16:29:50-0600'))&amp;_a=(columns:!('Message%20ID',Summary),filters:!(),index:'emp_*',interval:auto,query:(query_string:(analyze_wildcard:!t,query:'Message%5C+ID:(*)+AND+%22rtdc.l.rtdc.4059%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611</v>
      </c>
      <c r="B222" s="7">
        <v>4059</v>
      </c>
      <c r="C222" s="21" t="s">
        <v>196</v>
      </c>
      <c r="D222" s="21" t="s">
        <v>999</v>
      </c>
      <c r="E222" s="13">
        <v>42998.788391203707</v>
      </c>
      <c r="F222" s="13">
        <v>42998.789687500001</v>
      </c>
      <c r="G222" s="7">
        <v>46</v>
      </c>
      <c r="H222" s="21" t="s">
        <v>1000</v>
      </c>
      <c r="I222" s="13">
        <v>42998.796076388891</v>
      </c>
      <c r="J222" s="7">
        <v>0</v>
      </c>
      <c r="K222" s="89" t="str">
        <f t="shared" si="84"/>
        <v>4059/4060</v>
      </c>
      <c r="L222" s="185" t="str">
        <f>VLOOKUP(A222,'Trips&amp;Operators'!$C$1:$G$99911,5,FALSE)</f>
        <v>STAMBAUGH JAMES</v>
      </c>
      <c r="M222" s="6">
        <f t="shared" si="85"/>
        <v>6.3888888907968067E-3</v>
      </c>
      <c r="N222" s="7">
        <f t="shared" si="100"/>
        <v>9.2000000027474016</v>
      </c>
      <c r="O222" s="7"/>
      <c r="P222" s="7"/>
      <c r="Q222" s="22"/>
      <c r="R222" s="174"/>
      <c r="S222" s="221">
        <f t="shared" si="86"/>
        <v>0</v>
      </c>
      <c r="T222" s="174" t="str">
        <f t="shared" si="8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88"/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204" t="str">
        <f>IF(AA222&lt;VLOOKUP(AG222,Variables!$AC$3:$AD$8,2,FALSE),"Y","N")</f>
        <v>Y</v>
      </c>
      <c r="X222" s="204">
        <f t="shared" si="89"/>
        <v>2</v>
      </c>
      <c r="Y222" s="204">
        <f t="shared" si="82"/>
        <v>5.8624000000000001</v>
      </c>
      <c r="Z222" s="204">
        <f t="shared" si="83"/>
        <v>2.8767</v>
      </c>
      <c r="AA222" s="204">
        <f t="shared" si="90"/>
        <v>2.9857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91"/>
        <v>906</v>
      </c>
      <c r="AE222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22" s="74" t="str">
        <f t="shared" si="93"/>
        <v>"C:\Program Files (x86)\AstroGrep\AstroGrep.exe" /e /r /s /spath="%USERPROFILE%\AppData\Local\Temp\OnboardLogs" /stypes="app*4059*20170921*" /stext=" 01:.+((SYSTEM_STATE.+slice.+state.+changed )|(ment ac)|(multiple cpu faults)|(system.+state.+changed )|(\[timeout)|(PRM\|1\|D)|(kpr)|(kdp)|(train st.+moving)|(\|lc)|(penalty))"</v>
      </c>
      <c r="AG222" s="182" t="str">
        <f t="shared" si="94"/>
        <v>Other</v>
      </c>
      <c r="AH222" s="78" t="str">
        <f t="shared" si="95"/>
        <v>"%USERPROFILE%\Documents\GitHub\eaglep3\Utilities\RefineRTDCRunTimes.py" --tripid 906-20 --locoid 4059 --swversion DE.1.0.9.0 --startMP 300:58624 --initTime 2017-09-20T18:55:17 --startdatetime 2017-09-20T18:57:09 --delay 46 --endMP 300:28767 --enddatetime 2017-09-20T19:06:21 --enforcementcount 0 &gt;&gt;c:\users\tmcdowell\Documents\GitHub\eaglep3-reporting\EC\2017-09-20-refined-times.txt</v>
      </c>
      <c r="AI222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{"issue":{"subject":"","project_id":79,"tracker_id":40,"status_id":1,"priority_id":2,"assigned_to_id":338,"start_date":"2017-09-20","description":"","custom_fields":[{"id":1,"name":"Subdivision","value":"Other"},{"id":4,"name":"Milepost","value":"2.8767"},{"id":17,"name":"Train ID","value":"906-20"},{"id":16,"name":"Locomotive ID","value":"4059"},{"id":130,"name":"Impact","value":""},{"id":150,"name":"Time of Event (Mountain Time)","value":"19:06:21"},{"id":151,"name":"Denver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7"/>
        <v>start /low /b %USERPROFILE%\Documents\GitHub\eaglep3\Utilities\DownloadLogsFromS3.py --loco 4059 --day 2017-09-20</v>
      </c>
      <c r="AN222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9"/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Message%20ID',Summary),filters:!(),index:'emp_*',interval:auto,query:(query_string:(analyze_wildcard:!t,query:'Message%5C+ID:(*)+AND+%22rtdc.l.rtdc.4059%22')),sort:!(Time.ISO8601,asc))</v>
      </c>
    </row>
    <row r="223" spans="1:91" s="20" customFormat="1" x14ac:dyDescent="0.25">
      <c r="A223" s="32" t="s">
        <v>801</v>
      </c>
      <c r="B223" s="7">
        <v>4023</v>
      </c>
      <c r="C223" s="21" t="s">
        <v>196</v>
      </c>
      <c r="D223" s="21" t="s">
        <v>896</v>
      </c>
      <c r="E223" s="13">
        <v>42998.81453703704</v>
      </c>
      <c r="F223" s="13">
        <v>42998.817384259259</v>
      </c>
      <c r="G223" s="7">
        <v>111</v>
      </c>
      <c r="H223" s="21" t="s">
        <v>897</v>
      </c>
      <c r="I223" s="13">
        <v>42998.822939814818</v>
      </c>
      <c r="J223" s="7">
        <v>0</v>
      </c>
      <c r="K223" s="89" t="str">
        <f t="shared" si="84"/>
        <v>4023/4024</v>
      </c>
      <c r="L223" s="185" t="str">
        <f>VLOOKUP(A223,'Trips&amp;Operators'!$C$1:$G$99911,5,FALSE)</f>
        <v>ANDERS STEVEN</v>
      </c>
      <c r="M223" s="6">
        <f t="shared" si="85"/>
        <v>5.5555555591126904E-3</v>
      </c>
      <c r="N223" s="7">
        <f t="shared" si="100"/>
        <v>8.0000000051222742</v>
      </c>
      <c r="O223" s="7"/>
      <c r="P223" s="7"/>
      <c r="Q223" s="22"/>
      <c r="R223" s="174"/>
      <c r="S223" s="221">
        <f t="shared" si="86"/>
        <v>1</v>
      </c>
      <c r="T223" s="174" t="str">
        <f t="shared" si="87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88"/>
        <v>https://d0f6bd738d7f1b3e5a7ca70fe4ff75f0.us-east-1.aws.found.io/app/kibana#/discover/Steve-Slow-Train-Analysis-(2080s-and-2083s)?_g=(refreshInterval:(display:Off,pause:!f,section:0,value:0),time:(from:'2017-09-20T18:32:56-0600',mode:absolute,to:'2017-09-20T20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204" t="str">
        <f>IF(AA223&lt;VLOOKUP(AG223,Variables!$AC$3:$AD$8,2,FALSE),"Y","N")</f>
        <v>Y</v>
      </c>
      <c r="X223" s="204">
        <f t="shared" si="89"/>
        <v>-856</v>
      </c>
      <c r="Y223" s="204">
        <f t="shared" si="82"/>
        <v>2.3380999999999998</v>
      </c>
      <c r="Z223" s="204">
        <f t="shared" si="83"/>
        <v>0.21360000000000001</v>
      </c>
      <c r="AA223" s="204">
        <f t="shared" si="90"/>
        <v>2.1244999999999998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91"/>
        <v>50</v>
      </c>
      <c r="AE223" s="77" t="str">
        <f t="shared" si="92"/>
        <v>aws s3 cp s3://rtdc.mdm.uploadarchive.raw/RTDC4023/ "%USERPROFILE%\AppData\Local\Temp\OnboardLogs"\RTDC4023\2017-09-20 --exclude "*" --recursive --include "*20170920*" &amp; "%USERPROFILE%\Documents\GitHub\mrs-test-scripts\Headless Mode &amp; Sideloading\WalkAndUnGZ.bat" "%USERPROFILE%\AppData\Local\Temp\OnboardLogs"\RTDC4023\2017-09-20 &amp; 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</v>
      </c>
      <c r="AF223" s="74" t="str">
        <f t="shared" si="93"/>
        <v>"C:\Program Files (x86)\AstroGrep\AstroGrep.exe" /e /r /s /spath="%USERPROFILE%\AppData\Local\Temp\OnboardLogs" /stypes="app*4023*20170921*" /stext=" 01:.+((SYSTEM_STATE.+slice.+state.+changed )|(ment ac)|(multiple cpu faults)|(system.+state.+changed )|(\[timeout)|(PRM\|1\|D)|(kpr)|(kdp)|(train st.+moving)|(\|lc)|(penalty))"</v>
      </c>
      <c r="AG223" s="182" t="str">
        <f t="shared" si="94"/>
        <v>Shuttle/Test</v>
      </c>
      <c r="AH223" s="78" t="str">
        <f t="shared" si="95"/>
        <v>"%USERPROFILE%\Documents\GitHub\eaglep3\Utilities\RefineRTDCRunTimes.py" --tripid 50-20 --locoid 4023 --swversion DE.1.0.9.0 --startMP 300:23381 --initTime 2017-09-20T19:32:56 --startdatetime 2017-09-20T19:37:02 --delay 111 --endMP 204:2136 --enddatetime 2017-09-20T19:45:02 --enforcementcount 0 &gt;&gt;c:\users\tmcdowell\Documents\GitHub\eaglep3-reporting\EC\2017-09-20-refined-times.txt</v>
      </c>
      <c r="AI22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0.2136"},{"id":17,"name":"Train ID","value":"50-20"},{"id":16,"name":"Locomotive ID","value":"4023"},{"id":130,"name":"Impact","value":""},{"id":150,"name":"Time of Event (Mountain Time)","value":"19:45:02"},{"id":151,"name":"Denver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97"/>
        <v>start /low /b %USERPROFILE%\Documents\GitHub\eaglep3\Utilities\DownloadLogsFromS3.py --loco 4023 --day 2017-09-20</v>
      </c>
      <c r="AN223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9"/>
        <v>https://d0f6bd738d7f1b3e5a7ca70fe4ff75f0.us-east-1.aws.found.io/app/kibana#/discover/Steve-Slow-Train-Analysis-(2080s-and-2083s)?_g=(refreshInterval:(display:Off,pause:!f,section:0,value:0),time:(from:'2017-09-20T18:32:56-0600',mode:absolute,to:'2017-09-20T20:45:02-0600'))&amp;_a=(columns:!('Message%20ID',Summary),filters:!(),index:'emp_*',interval:auto,query:(query_string:(analyze_wildcard:!t,query:'Message%5C+ID:(*)+AND+%22rtdc.l.rtdc.4023%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615</v>
      </c>
      <c r="B224" s="7">
        <v>4018</v>
      </c>
      <c r="C224" s="21" t="s">
        <v>196</v>
      </c>
      <c r="D224" s="21" t="s">
        <v>493</v>
      </c>
      <c r="E224" s="13">
        <v>42998.132013888891</v>
      </c>
      <c r="F224" s="13">
        <v>42998.136643518519</v>
      </c>
      <c r="G224" s="7">
        <v>130</v>
      </c>
      <c r="H224" s="21" t="s">
        <v>898</v>
      </c>
      <c r="I224" s="13">
        <v>42998.138090277775</v>
      </c>
      <c r="J224" s="7">
        <v>0</v>
      </c>
      <c r="K224" s="89" t="str">
        <f t="shared" si="84"/>
        <v>4017/4018</v>
      </c>
      <c r="L224" s="185" t="str">
        <f>VLOOKUP(A224,'Trips&amp;Operators'!$C$1:$G$99911,5,FALSE)</f>
        <v>ACKERMAN JARED</v>
      </c>
      <c r="M224" s="6">
        <f t="shared" si="85"/>
        <v>1.4467592554865405E-3</v>
      </c>
      <c r="N224" s="7">
        <f t="shared" si="100"/>
        <v>2.0833333279006183</v>
      </c>
      <c r="O224" s="7"/>
      <c r="P224" s="7"/>
      <c r="Q224" s="22"/>
      <c r="R224" s="174"/>
      <c r="S224" s="221">
        <f t="shared" si="86"/>
        <v>0</v>
      </c>
      <c r="T224" s="174" t="str">
        <f t="shared" si="87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88"/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204" t="str">
        <f>IF(AA224&lt;VLOOKUP(AG224,Variables!$AC$3:$AD$8,2,FALSE),"Y","N")</f>
        <v>Y</v>
      </c>
      <c r="X224" s="204">
        <f t="shared" si="89"/>
        <v>1</v>
      </c>
      <c r="Y224" s="204">
        <f t="shared" si="82"/>
        <v>4.3499999999999997E-2</v>
      </c>
      <c r="Z224" s="204">
        <f t="shared" si="83"/>
        <v>0.39079999999999998</v>
      </c>
      <c r="AA224" s="204">
        <f t="shared" si="90"/>
        <v>0.3473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91"/>
        <v>51</v>
      </c>
      <c r="AE224" s="77" t="str">
        <f t="shared" si="92"/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AF224" s="74" t="str">
        <f t="shared" si="93"/>
        <v>"C:\Program Files (x86)\AstroGrep\AstroGrep.exe" /e /r /s /spath="%USERPROFILE%\AppData\Local\Temp\OnboardLogs" /stypes="app*4018*20170920*" /stext=" 09:.+((SYSTEM_STATE.+slice.+state.+changed )|(ment ac)|(multiple cpu faults)|(system.+state.+changed )|(\[timeout)|(PRM\|1\|D)|(kpr)|(kdp)|(train st.+moving)|(\|lc)|(penalty))"</v>
      </c>
      <c r="AG224" s="182" t="str">
        <f t="shared" si="94"/>
        <v>Shuttle/Test</v>
      </c>
      <c r="AH224" s="78" t="str">
        <f t="shared" si="95"/>
        <v>"%USERPROFILE%\Documents\GitHub\eaglep3\Utilities\RefineRTDCRunTimes.py" --tripid 51-20 --locoid 4018 --swversion DE.1.0.9.0 --startMP 204:435 --initTime 2017-09-20T03:10:06 --startdatetime 2017-09-20T03:16:46 --delay 130 --endMP 204:3908 --enddatetime 2017-09-20T03:18:51 --enforcementcount 0 &gt;&gt;c:\users\tmcdowell\Documents\GitHub\eaglep3-reporting\EC\2017-09-20-refined-times.txt</v>
      </c>
      <c r="AI22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0.3908"},{"id":17,"name":"Train ID","value":"51-20"},{"id":16,"name":"Locomotive ID","value":"4018"},{"id":130,"name":"Impact","value":""},{"id":150,"name":"Time of Event (Mountain Time)","value":"03:18:51"},{"id":151,"name":"Denver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97"/>
        <v>start /low /b %USERPROFILE%\Documents\GitHub\eaglep3\Utilities\DownloadLogsFromS3.py --loco 4018 --day 2017-09-20</v>
      </c>
      <c r="AN22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9"/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Message%20ID',Summary),filters:!(),index:'emp_*',interval:auto,query:(query_string:(analyze_wildcard:!t,query:'Message%5C+ID:(*)+AND+%22rtdc.l.rtdc.4018%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615</v>
      </c>
      <c r="B225" s="7">
        <v>4024</v>
      </c>
      <c r="C225" s="21" t="s">
        <v>196</v>
      </c>
      <c r="D225" s="21" t="s">
        <v>899</v>
      </c>
      <c r="E225" s="13">
        <v>42998.82476851852</v>
      </c>
      <c r="F225" s="13">
        <v>42998.826990740738</v>
      </c>
      <c r="G225" s="7">
        <v>59</v>
      </c>
      <c r="H225" s="21" t="s">
        <v>900</v>
      </c>
      <c r="I225" s="13">
        <v>42998.855381944442</v>
      </c>
      <c r="J225" s="7">
        <v>0</v>
      </c>
      <c r="K225" s="89" t="str">
        <f t="shared" si="84"/>
        <v>4023/4024</v>
      </c>
      <c r="L225" s="185" t="str">
        <f>VLOOKUP(A225,'Trips&amp;Operators'!$C$1:$G$99911,5,FALSE)</f>
        <v>ACKERMAN JARED</v>
      </c>
      <c r="M225" s="6">
        <f t="shared" si="85"/>
        <v>2.8391203704813961E-2</v>
      </c>
      <c r="N225" s="7">
        <f t="shared" si="100"/>
        <v>40.883333334932104</v>
      </c>
      <c r="O225" s="7"/>
      <c r="P225" s="7"/>
      <c r="Q225" s="22"/>
      <c r="R225" s="174"/>
      <c r="S225" s="221">
        <f t="shared" si="86"/>
        <v>1</v>
      </c>
      <c r="T225" s="174" t="str">
        <f t="shared" si="87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88"/>
        <v>https://d0f6bd738d7f1b3e5a7ca70fe4ff75f0.us-east-1.aws.found.io/app/kibana#/discover/Steve-Slow-Train-Analysis-(2080s-and-2083s)?_g=(refreshInterval:(display:Off,pause:!f,section:0,value:0),time:(from:'2017-09-20T18:47:40-0600',mode:absolute,to:'2017-09-20T21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204" t="str">
        <f>IF(AA225&lt;VLOOKUP(AG225,Variables!$AC$3:$AD$8,2,FALSE),"Y","N")</f>
        <v>Y</v>
      </c>
      <c r="X225" s="204">
        <f t="shared" si="89"/>
        <v>0</v>
      </c>
      <c r="Y225" s="204">
        <f t="shared" si="82"/>
        <v>0.24560000000000001</v>
      </c>
      <c r="Z225" s="204">
        <f t="shared" si="83"/>
        <v>23.335999999999999</v>
      </c>
      <c r="AA225" s="204">
        <f t="shared" si="90"/>
        <v>23.090399999999999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91"/>
        <v>51</v>
      </c>
      <c r="AE225" s="77" t="str">
        <f t="shared" si="92"/>
        <v>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 &amp; 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</v>
      </c>
      <c r="AF225" s="74" t="str">
        <f t="shared" si="93"/>
        <v>"C:\Program Files (x86)\AstroGrep\AstroGrep.exe" /e /r /s /spath="%USERPROFILE%\AppData\Local\Temp\OnboardLogs" /stypes="app*4024*20170921*" /stext=" 02:.+((SYSTEM_STATE.+slice.+state.+changed )|(ment ac)|(multiple cpu faults)|(system.+state.+changed )|(\[timeout)|(PRM\|1\|D)|(kpr)|(kdp)|(train st.+moving)|(\|lc)|(penalty))"</v>
      </c>
      <c r="AG225" s="182" t="str">
        <f t="shared" si="94"/>
        <v>Shuttle/Test</v>
      </c>
      <c r="AH225" s="78" t="str">
        <f t="shared" si="95"/>
        <v>"%USERPROFILE%\Documents\GitHub\eaglep3\Utilities\RefineRTDCRunTimes.py" --tripid 51-20 --locoid 4024 --swversion DE.1.0.9.0 --startMP 204:2456 --initTime 2017-09-20T19:47:40 --startdatetime 2017-09-20T19:50:52 --delay 59 --endMP 204:233360 --enddatetime 2017-09-20T20:31:45 --enforcementcount 0 &gt;&gt;c:\users\tmcdowell\Documents\GitHub\eaglep3-reporting\EC\2017-09-20-refined-times.txt</v>
      </c>
      <c r="AI22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23.336"},{"id":17,"name":"Train ID","value":"51-20"},{"id":16,"name":"Locomotive ID","value":"4024"},{"id":130,"name":"Impact","value":""},{"id":150,"name":"Time of Event (Mountain Time)","value":"20:31:45"},{"id":151,"name":"Denver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97"/>
        <v>start /low /b %USERPROFILE%\Documents\GitHub\eaglep3\Utilities\DownloadLogsFromS3.py --loco 4024 --day 2017-09-20</v>
      </c>
      <c r="AN225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9"/>
        <v>https://d0f6bd738d7f1b3e5a7ca70fe4ff75f0.us-east-1.aws.found.io/app/kibana#/discover/Steve-Slow-Train-Analysis-(2080s-and-2083s)?_g=(refreshInterval:(display:Off,pause:!f,section:0,value:0),time:(from:'2017-09-20T18:47:40-0600',mode:absolute,to:'2017-09-20T21:31:45-0600'))&amp;_a=(columns:!('Message%20ID',Summary),filters:!(),index:'emp_*',interval:auto,query:(query_string:(analyze_wildcard:!t,query:'Message%5C+ID:(*)+AND+%22rtdc.l.rtdc.4024%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615</v>
      </c>
      <c r="B226" s="7">
        <v>4023</v>
      </c>
      <c r="C226" s="21" t="s">
        <v>196</v>
      </c>
      <c r="D226" s="21" t="s">
        <v>901</v>
      </c>
      <c r="E226" s="13">
        <v>42998.970011574071</v>
      </c>
      <c r="F226" s="13">
        <v>42998.993055555555</v>
      </c>
      <c r="G226" s="7">
        <v>62</v>
      </c>
      <c r="H226" s="21" t="s">
        <v>902</v>
      </c>
      <c r="I226" s="13">
        <v>42998.996863425928</v>
      </c>
      <c r="J226" s="7">
        <v>0</v>
      </c>
      <c r="K226" s="89" t="str">
        <f t="shared" si="84"/>
        <v>4023/4024</v>
      </c>
      <c r="L226" s="185" t="str">
        <f>VLOOKUP(A226,'Trips&amp;Operators'!$C$1:$G$99911,5,FALSE)</f>
        <v>ACKERMAN JARED</v>
      </c>
      <c r="M226" s="6">
        <f t="shared" si="85"/>
        <v>3.8078703728388064E-3</v>
      </c>
      <c r="N226" s="7">
        <f t="shared" si="100"/>
        <v>5.4833333368878812</v>
      </c>
      <c r="O226" s="7"/>
      <c r="P226" s="7"/>
      <c r="Q226" s="22"/>
      <c r="R226" s="174"/>
      <c r="S226" s="221">
        <f t="shared" si="86"/>
        <v>0</v>
      </c>
      <c r="T226" s="174" t="str">
        <f t="shared" si="87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88"/>
        <v>https://d0f6bd738d7f1b3e5a7ca70fe4ff75f0.us-east-1.aws.found.io/app/kibana#/discover/Steve-Slow-Train-Analysis-(2080s-and-2083s)?_g=(refreshInterval:(display:Off,pause:!f,section:0,value:0),time:(from:'2017-09-20T22:16:49-0600',mode:absolute,to:'2017-09-21T00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 t="shared" si="89"/>
        <v>0</v>
      </c>
      <c r="Y226" s="204">
        <f t="shared" si="82"/>
        <v>3.0613999999999999</v>
      </c>
      <c r="Z226" s="204">
        <f t="shared" si="83"/>
        <v>1.2997000000000001</v>
      </c>
      <c r="AA226" s="204">
        <f t="shared" si="90"/>
        <v>1.7616999999999998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91"/>
        <v>51</v>
      </c>
      <c r="AE226" s="77" t="str">
        <f t="shared" si="92"/>
        <v>aws s3 cp s3://rtdc.mdm.uploadarchive.raw/RTDC4023/ "%USERPROFILE%\AppData\Local\Temp\OnboardLogs"\RTDC4023\2017-09-20 --exclude "*" --recursive --include "*20170920*" &amp; "%USERPROFILE%\Documents\GitHub\mrs-test-scripts\Headless Mode &amp; Sideloading\WalkAndUnGZ.bat" "%USERPROFILE%\AppData\Local\Temp\OnboardLogs"\RTDC4023\2017-09-20 &amp; 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</v>
      </c>
      <c r="AF226" s="74" t="str">
        <f t="shared" si="93"/>
        <v>"C:\Program Files (x86)\AstroGrep\AstroGrep.exe" /e /r /s /spath="%USERPROFILE%\AppData\Local\Temp\OnboardLogs" /stypes="app*4023*20170921*" /stext=" 05:.+((SYSTEM_STATE.+slice.+state.+changed )|(ment ac)|(multiple cpu faults)|(system.+state.+changed )|(\[timeout)|(PRM\|1\|D)|(kpr)|(kdp)|(train st.+moving)|(\|lc)|(penalty))"</v>
      </c>
      <c r="AG226" s="182" t="str">
        <f t="shared" si="94"/>
        <v>Shuttle/Test</v>
      </c>
      <c r="AH226" s="78" t="str">
        <f t="shared" si="95"/>
        <v>"%USERPROFILE%\Documents\GitHub\eaglep3\Utilities\RefineRTDCRunTimes.py" --tripid 51-20 --locoid 4023 --swversion DE.1.0.9.0 --startMP 300:30614 --initTime 2017-09-20T23:16:49 --startdatetime 2017-09-20T23:50:00 --delay 62 --endMP 300:12997 --enddatetime 2017-09-20T23:55:29 --enforcementcount 0 &gt;&gt;c:\users\tmcdowell\Documents\GitHub\eaglep3-reporting\EC\2017-09-20-refined-times.txt</v>
      </c>
      <c r="AI22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1.2997"},{"id":17,"name":"Train ID","value":"51-20"},{"id":16,"name":"Locomotive ID","value":"4023"},{"id":130,"name":"Impact","value":""},{"id":150,"name":"Time of Event (Mountain Time)","value":"23:55:29"},{"id":151,"name":"Denver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97"/>
        <v>start /low /b %USERPROFILE%\Documents\GitHub\eaglep3\Utilities\DownloadLogsFromS3.py --loco 4023 --day 2017-09-20</v>
      </c>
      <c r="AN226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9"/>
        <v>https://d0f6bd738d7f1b3e5a7ca70fe4ff75f0.us-east-1.aws.found.io/app/kibana#/discover/Steve-Slow-Train-Analysis-(2080s-and-2083s)?_g=(refreshInterval:(display:Off,pause:!f,section:0,value:0),time:(from:'2017-09-20T22:16:49-0600',mode:absolute,to:'2017-09-21T00:55:29-0600'))&amp;_a=(columns:!('Message%20ID',Summary),filters:!(),index:'emp_*',interval:auto,query:(query_string:(analyze_wildcard:!t,query:'Message%5C+ID:(*)+AND+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615</v>
      </c>
      <c r="B227" s="7">
        <v>4023</v>
      </c>
      <c r="C227" s="21" t="s">
        <v>196</v>
      </c>
      <c r="D227" s="21" t="s">
        <v>903</v>
      </c>
      <c r="E227" s="13">
        <v>42998.984305555554</v>
      </c>
      <c r="F227" s="13">
        <v>42999.00640046296</v>
      </c>
      <c r="G227" s="7">
        <v>78</v>
      </c>
      <c r="H227" s="21" t="s">
        <v>904</v>
      </c>
      <c r="I227" s="13">
        <v>42999.010208333333</v>
      </c>
      <c r="J227" s="7">
        <v>0</v>
      </c>
      <c r="K227" s="89" t="str">
        <f t="shared" si="84"/>
        <v>4023/4024</v>
      </c>
      <c r="L227" s="185" t="str">
        <f>VLOOKUP(A227,'Trips&amp;Operators'!$C$1:$G$99911,5,FALSE)</f>
        <v>ACKERMAN JARED</v>
      </c>
      <c r="M227" s="6">
        <f t="shared" si="85"/>
        <v>3.8078703728388064E-3</v>
      </c>
      <c r="N227" s="7">
        <f t="shared" si="100"/>
        <v>5.4833333368878812</v>
      </c>
      <c r="O227" s="7"/>
      <c r="P227" s="7"/>
      <c r="Q227" s="22"/>
      <c r="R227" s="174"/>
      <c r="S227" s="221">
        <f t="shared" si="86"/>
        <v>0</v>
      </c>
      <c r="T227" s="174" t="str">
        <f t="shared" si="87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88"/>
        <v>https://d0f6bd738d7f1b3e5a7ca70fe4ff75f0.us-east-1.aws.found.io/app/kibana#/discover/Steve-Slow-Train-Analysis-(2080s-and-2083s)?_g=(refreshInterval:(display:Off,pause:!f,section:0,value:0),time:(from:'2017-09-20T22:37:24-0600',mode:absolute,to:'2017-09-21T01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7" s="204" t="str">
        <f>IF(AA227&lt;VLOOKUP(AG227,Variables!$AC$3:$AD$8,2,FALSE),"Y","N")</f>
        <v>Y</v>
      </c>
      <c r="X227" s="204">
        <f t="shared" si="89"/>
        <v>0</v>
      </c>
      <c r="Y227" s="204">
        <f t="shared" si="82"/>
        <v>3.0888</v>
      </c>
      <c r="Z227" s="204">
        <f t="shared" si="83"/>
        <v>1.2698</v>
      </c>
      <c r="AA227" s="204">
        <f t="shared" si="90"/>
        <v>1.819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91"/>
        <v>51</v>
      </c>
      <c r="AE227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27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27" s="182" t="str">
        <f t="shared" si="94"/>
        <v>Shuttle/Test</v>
      </c>
      <c r="AH227" s="78" t="str">
        <f t="shared" si="95"/>
        <v>"%USERPROFILE%\Documents\GitHub\eaglep3\Utilities\RefineRTDCRunTimes.py" --tripid 51-20 --locoid 4023 --swversion DE.1.0.9.0 --startMP 300:30888 --initTime 2017-09-20T23:37:24 --startdatetime 2017-09-21T00:09:13 --delay 78 --endMP 300:12698 --enddatetime 2017-09-21T00:14:42 --enforcementcount 0 &gt;&gt;c:\users\tmcdowell\Documents\GitHub\eaglep3-reporting\EC\2017-09-20-refined-times.txt</v>
      </c>
      <c r="AI227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1.2698"},{"id":17,"name":"Train ID","value":"51-20"},{"id":16,"name":"Locomotive ID","value":"4023"},{"id":130,"name":"Impact","value":""},{"id":150,"name":"Time of Event (Mountain Time)","value":"00:14:42"},{"id":151,"name":"Denver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7"/>
        <v>start /low /b %USERPROFILE%\Documents\GitHub\eaglep3\Utilities\DownloadLogsFromS3.py --loco 4023 --day 2017-09-21</v>
      </c>
      <c r="AN227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06:14:42"},{"id":29,"name":"Sharepoint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9"/>
        <v>https://d0f6bd738d7f1b3e5a7ca70fe4ff75f0.us-east-1.aws.found.io/app/kibana#/discover/Steve-Slow-Train-Analysis-(2080s-and-2083s)?_g=(refreshInterval:(display:Off,pause:!f,section:0,value:0),time:(from:'2017-09-20T22:37:24-0600',mode:absolute,to:'2017-09-21T01:14:42-0600'))&amp;_a=(columns:!('Message%20ID',Summary),filters:!(),index:'emp_*',interval:auto,query:(query_string:(analyze_wildcard:!t,query:'Message%5C+ID:(*)+AND+%22rtdc.l.rtdc.4023%22')),sort:!(Time.ISO8601,asc))</v>
      </c>
    </row>
    <row r="228" spans="1:91" x14ac:dyDescent="0.25">
      <c r="A228" s="32" t="s">
        <v>615</v>
      </c>
      <c r="B228" s="7">
        <v>4024</v>
      </c>
      <c r="C228" s="21" t="s">
        <v>196</v>
      </c>
      <c r="D228" s="21" t="s">
        <v>905</v>
      </c>
      <c r="E228" s="13">
        <v>42998.963900462964</v>
      </c>
      <c r="F228" s="13">
        <v>42998.986307870371</v>
      </c>
      <c r="G228" s="7">
        <v>50</v>
      </c>
      <c r="H228" s="21" t="s">
        <v>906</v>
      </c>
      <c r="I228" s="13">
        <v>42998.989351851851</v>
      </c>
      <c r="J228" s="7">
        <v>0</v>
      </c>
      <c r="K228" s="89" t="str">
        <f t="shared" si="84"/>
        <v>4023/4024</v>
      </c>
      <c r="L228" s="185" t="str">
        <f>VLOOKUP(A228,'Trips&amp;Operators'!$C$1:$G$99911,5,FALSE)</f>
        <v>ACKERMAN JARED</v>
      </c>
      <c r="M228" s="6">
        <f t="shared" si="85"/>
        <v>3.0439814800047316E-3</v>
      </c>
      <c r="N228" s="7">
        <f t="shared" si="100"/>
        <v>4.3833333312068135</v>
      </c>
      <c r="O228" s="7"/>
      <c r="P228" s="7"/>
      <c r="Q228" s="22"/>
      <c r="R228" s="174"/>
      <c r="S228" s="221">
        <f t="shared" si="86"/>
        <v>0</v>
      </c>
      <c r="T228" s="174" t="str">
        <f t="shared" si="87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88"/>
        <v>https://d0f6bd738d7f1b3e5a7ca70fe4ff75f0.us-east-1.aws.found.io/app/kibana#/discover/Steve-Slow-Train-Analysis-(2080s-and-2083s)?_g=(refreshInterval:(display:Off,pause:!f,section:0,value:0),time:(from:'2017-09-20T22:08:01-0600',mode:absolute,to:'2017-09-21T00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204" t="str">
        <f>IF(AA228&lt;VLOOKUP(AG228,Variables!$AC$3:$AD$8,2,FALSE),"Y","N")</f>
        <v>Y</v>
      </c>
      <c r="X228" s="204">
        <f t="shared" si="89"/>
        <v>0</v>
      </c>
      <c r="Y228" s="204">
        <f t="shared" si="82"/>
        <v>3.0108000000000001</v>
      </c>
      <c r="Z228" s="204">
        <f t="shared" si="83"/>
        <v>3.093</v>
      </c>
      <c r="AA228" s="204">
        <f t="shared" si="90"/>
        <v>8.2199999999999829E-2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91"/>
        <v>51</v>
      </c>
      <c r="AE228" s="77" t="str">
        <f t="shared" si="92"/>
        <v>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 &amp; 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</v>
      </c>
      <c r="AF228" s="74" t="str">
        <f t="shared" si="93"/>
        <v>"C:\Program Files (x86)\AstroGrep\AstroGrep.exe" /e /r /s /spath="%USERPROFILE%\AppData\Local\Temp\OnboardLogs" /stypes="app*4024*20170921*" /stext=" 05:.+((SYSTEM_STATE.+slice.+state.+changed )|(ment ac)|(multiple cpu faults)|(system.+state.+changed )|(\[timeout)|(PRM\|1\|D)|(kpr)|(kdp)|(train st.+moving)|(\|lc)|(penalty))"</v>
      </c>
      <c r="AG228" s="182" t="str">
        <f t="shared" si="94"/>
        <v>Shuttle/Test</v>
      </c>
      <c r="AH228" s="78" t="str">
        <f t="shared" si="95"/>
        <v>"%USERPROFILE%\Documents\GitHub\eaglep3\Utilities\RefineRTDCRunTimes.py" --tripid 51-20 --locoid 4024 --swversion DE.1.0.9.0 --startMP 300:30108 --initTime 2017-09-20T23:08:01 --startdatetime 2017-09-20T23:40:17 --delay 50 --endMP 300:30930 --enddatetime 2017-09-20T23:44:40 --enforcementcount 0 &gt;&gt;c:\users\tmcdowell\Documents\GitHub\eaglep3-reporting\EC\2017-09-20-refined-times.txt</v>
      </c>
      <c r="AI22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3.093"},{"id":17,"name":"Train ID","value":"51-20"},{"id":16,"name":"Locomotive ID","value":"4024"},{"id":130,"name":"Impact","value":""},{"id":150,"name":"Time of Event (Mountain Time)","value":"23:44:40"},{"id":151,"name":"Denver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7"/>
        <v>start /low /b %USERPROFILE%\Documents\GitHub\eaglep3\Utilities\DownloadLogsFromS3.py --loco 4024 --day 2017-09-20</v>
      </c>
      <c r="AN228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05:44:40"},{"id":29,"name":"Sharepoint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9"/>
        <v>https://d0f6bd738d7f1b3e5a7ca70fe4ff75f0.us-east-1.aws.found.io/app/kibana#/discover/Steve-Slow-Train-Analysis-(2080s-and-2083s)?_g=(refreshInterval:(display:Off,pause:!f,section:0,value:0),time:(from:'2017-09-20T22:08:01-0600',mode:absolute,to:'2017-09-21T00:44:40-0600'))&amp;_a=(columns:!('Message%20ID',Summary),filters:!(),index:'emp_*',interval:auto,query:(query_string:(analyze_wildcard:!t,query:'Message%5C+ID:(*)+AND+%22rtdc.l.rtdc.4024%22')),sort:!(Time.ISO8601,asc))</v>
      </c>
    </row>
    <row r="229" spans="1:91" s="20" customFormat="1" x14ac:dyDescent="0.25">
      <c r="A229" s="32" t="s">
        <v>615</v>
      </c>
      <c r="B229" s="7">
        <v>4023</v>
      </c>
      <c r="C229" s="21" t="s">
        <v>196</v>
      </c>
      <c r="D229" s="21" t="s">
        <v>907</v>
      </c>
      <c r="E229" s="13">
        <v>42999.030798611115</v>
      </c>
      <c r="F229" s="13">
        <v>42999.033564814818</v>
      </c>
      <c r="G229" s="7">
        <v>51</v>
      </c>
      <c r="H229" s="21" t="s">
        <v>908</v>
      </c>
      <c r="I229" s="13">
        <v>42999.037199074075</v>
      </c>
      <c r="J229" s="7">
        <v>0</v>
      </c>
      <c r="K229" s="89" t="str">
        <f t="shared" si="84"/>
        <v>4023/4024</v>
      </c>
      <c r="L229" s="185" t="str">
        <f>VLOOKUP(A229,'Trips&amp;Operators'!$C$1:$G$99911,5,FALSE)</f>
        <v>ACKERMAN JARED</v>
      </c>
      <c r="M229" s="6">
        <f t="shared" si="85"/>
        <v>3.6342592575238086E-3</v>
      </c>
      <c r="N229" s="7">
        <f t="shared" si="100"/>
        <v>5.2333333308342844</v>
      </c>
      <c r="O229" s="7"/>
      <c r="P229" s="7"/>
      <c r="Q229" s="22"/>
      <c r="R229" s="174"/>
      <c r="S229" s="221">
        <f t="shared" si="86"/>
        <v>0</v>
      </c>
      <c r="T229" s="174" t="str">
        <f t="shared" si="87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88"/>
        <v>https://d0f6bd738d7f1b3e5a7ca70fe4ff75f0.us-east-1.aws.found.io/app/kibana#/discover/Steve-Slow-Train-Analysis-(2080s-and-2083s)?_g=(refreshInterval:(display:Off,pause:!f,section:0,value:0),time:(from:'2017-09-20T23:44:21-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9" s="204" t="str">
        <f>IF(AA229&lt;VLOOKUP(AG229,Variables!$AC$3:$AD$8,2,FALSE),"Y","N")</f>
        <v>Y</v>
      </c>
      <c r="X229" s="204">
        <f t="shared" si="89"/>
        <v>0</v>
      </c>
      <c r="Y229" s="204">
        <f t="shared" si="82"/>
        <v>3.0699000000000001</v>
      </c>
      <c r="Z229" s="204">
        <f t="shared" si="83"/>
        <v>2.8778000000000001</v>
      </c>
      <c r="AA229" s="204">
        <f t="shared" si="90"/>
        <v>0.19209999999999994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91"/>
        <v>51</v>
      </c>
      <c r="AE229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29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29" s="182" t="str">
        <f t="shared" si="94"/>
        <v>Shuttle/Test</v>
      </c>
      <c r="AH229" s="78" t="str">
        <f t="shared" si="95"/>
        <v>"%USERPROFILE%\Documents\GitHub\eaglep3\Utilities\RefineRTDCRunTimes.py" --tripid 51-20 --locoid 4023 --swversion DE.1.0.9.0 --startMP 300:30699 --initTime 2017-09-21T00:44:21 --startdatetime 2017-09-21T00:48:20 --delay 51 --endMP 300:28778 --enddatetime 2017-09-21T00:53:34 --enforcementcount 0 &gt;&gt;c:\users\tmcdowell\Documents\GitHub\eaglep3-reporting\EC\2017-09-20-refined-times.txt</v>
      </c>
      <c r="AI229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2.8778"},{"id":17,"name":"Train ID","value":"51-20"},{"id":16,"name":"Locomotive ID","value":"4023"},{"id":130,"name":"Impact","value":""},{"id":150,"name":"Time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97"/>
        <v>start /low /b %USERPROFILE%\Documents\GitHub\eaglep3\Utilities\DownloadLogsFromS3.py --loco 4023 --day 2017-09-21</v>
      </c>
      <c r="AN229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9"/>
        <v>https://d0f6bd738d7f1b3e5a7ca70fe4ff75f0.us-east-1.aws.found.io/app/kibana#/discover/Steve-Slow-Train-Analysis-(2080s-and-2083s)?_g=(refreshInterval:(display:Off,pause:!f,section:0,value:0),time:(from:'2017-09-20T23:44:21-0600',mode:absolute,to:'2017-09-21T01:53:34-0600'))&amp;_a=(columns:!('Message%20ID',Summary),filters:!(),index:'emp_*',interval:auto,query:(query_string:(analyze_wildcard:!t,query:'Message%5C+ID:(*)+AND+%22rtdc.l.rtdc.4023%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615</v>
      </c>
      <c r="B230" s="7">
        <v>4024</v>
      </c>
      <c r="C230" s="21" t="s">
        <v>196</v>
      </c>
      <c r="D230" s="21" t="s">
        <v>909</v>
      </c>
      <c r="E230" s="13">
        <v>42998.991261574076</v>
      </c>
      <c r="F230" s="13">
        <v>42999.015763888892</v>
      </c>
      <c r="G230" s="7">
        <v>48</v>
      </c>
      <c r="H230" s="21" t="s">
        <v>910</v>
      </c>
      <c r="I230" s="13">
        <v>42999.017048611109</v>
      </c>
      <c r="J230" s="7">
        <v>0</v>
      </c>
      <c r="K230" s="89" t="str">
        <f t="shared" si="84"/>
        <v>4023/4024</v>
      </c>
      <c r="L230" s="185" t="str">
        <f>VLOOKUP(A230,'Trips&amp;Operators'!$C$1:$G$99911,5,FALSE)</f>
        <v>ACKERMAN JARED</v>
      </c>
      <c r="M230" s="6">
        <f t="shared" si="85"/>
        <v>1.2847222169511952E-3</v>
      </c>
      <c r="N230" s="7">
        <f t="shared" si="100"/>
        <v>1.849999992409721</v>
      </c>
      <c r="O230" s="7"/>
      <c r="P230" s="7"/>
      <c r="Q230" s="22"/>
      <c r="R230" s="174"/>
      <c r="S230" s="221">
        <f t="shared" si="86"/>
        <v>0</v>
      </c>
      <c r="T230" s="174" t="str">
        <f t="shared" si="87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88"/>
        <v>https://d0f6bd738d7f1b3e5a7ca70fe4ff75f0.us-east-1.aws.found.io/app/kibana#/discover/Steve-Slow-Train-Analysis-(2080s-and-2083s)?_g=(refreshInterval:(display:Off,pause:!f,section:0,value:0),time:(from:'2017-09-20T22:47:25-0600',mode:absolute,to:'2017-09-21T01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204" t="str">
        <f>IF(AA230&lt;VLOOKUP(AG230,Variables!$AC$3:$AD$8,2,FALSE),"Y","N")</f>
        <v>Y</v>
      </c>
      <c r="X230" s="204">
        <f t="shared" si="89"/>
        <v>0</v>
      </c>
      <c r="Y230" s="204">
        <f t="shared" ref="Y230:Y258" si="101">RIGHT(D230,LEN(D230)-4)/10000</f>
        <v>1.3028999999999999</v>
      </c>
      <c r="Z230" s="204">
        <f t="shared" ref="Z230:Z258" si="102">RIGHT(H230,LEN(H230)-4)/10000</f>
        <v>3.1004</v>
      </c>
      <c r="AA230" s="204">
        <f t="shared" si="90"/>
        <v>1.7975000000000001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91"/>
        <v>51</v>
      </c>
      <c r="AE230" s="77" t="str">
        <f t="shared" si="92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0" s="74" t="str">
        <f t="shared" si="93"/>
        <v>"C:\Program Files (x86)\AstroGrep\AstroGrep.exe" /e /r /s /spath="%USERPROFILE%\AppData\Local\Temp\OnboardLogs" /stypes="app*4024*20170921*" /stext=" 06:.+((SYSTEM_STATE.+slice.+state.+changed )|(ment ac)|(multiple cpu faults)|(system.+state.+changed )|(\[timeout)|(PRM\|1\|D)|(kpr)|(kdp)|(train st.+moving)|(\|lc)|(penalty))"</v>
      </c>
      <c r="AG230" s="182" t="str">
        <f t="shared" si="94"/>
        <v>Shuttle/Test</v>
      </c>
      <c r="AH230" s="78" t="str">
        <f t="shared" si="95"/>
        <v>"%USERPROFILE%\Documents\GitHub\eaglep3\Utilities\RefineRTDCRunTimes.py" --tripid 51-20 --locoid 4024 --swversion DE.1.0.9.0 --startMP 300:13029 --initTime 2017-09-20T23:47:25 --startdatetime 2017-09-21T00:22:42 --delay 48 --endMP 300:31004 --enddatetime 2017-09-21T00:24:33 --enforcementcount 0 &gt;&gt;c:\users\tmcdowell\Documents\GitHub\eaglep3-reporting\EC\2017-09-20-refined-times.txt</v>
      </c>
      <c r="AI230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3.1004"},{"id":17,"name":"Train ID","value":"51-20"},{"id":16,"name":"Locomotive ID","value":"4024"},{"id":130,"name":"Impact","value":""},{"id":150,"name":"Time of Event (Mountain Time)","value":"00:24:33"},{"id":151,"name":"Denver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7"/>
        <v>start /low /b %USERPROFILE%\Documents\GitHub\eaglep3\Utilities\DownloadLogsFromS3.py --loco 4024 --day 2017-09-21</v>
      </c>
      <c r="AN230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9"/>
        <v>https://d0f6bd738d7f1b3e5a7ca70fe4ff75f0.us-east-1.aws.found.io/app/kibana#/discover/Steve-Slow-Train-Analysis-(2080s-and-2083s)?_g=(refreshInterval:(display:Off,pause:!f,section:0,value:0),time:(from:'2017-09-20T22:47:25-0600',mode:absolute,to:'2017-09-21T01:24:33-0600'))&amp;_a=(columns:!('Message%20ID',Summary),filters:!(),index:'emp_*',interval:auto,query:(query_string:(analyze_wildcard:!t,query:'Message%5C+ID:(*)+AND+%22rtdc.l.rtdc.4024%22')),sort:!(Time.ISO8601,asc))</v>
      </c>
    </row>
    <row r="231" spans="1:91" s="20" customFormat="1" x14ac:dyDescent="0.25">
      <c r="A231" s="32" t="s">
        <v>615</v>
      </c>
      <c r="B231" s="7">
        <v>4024</v>
      </c>
      <c r="C231" s="21" t="s">
        <v>196</v>
      </c>
      <c r="D231" s="21" t="s">
        <v>911</v>
      </c>
      <c r="E231" s="13">
        <v>42999.023946759262</v>
      </c>
      <c r="F231" s="13">
        <v>42999.033564814818</v>
      </c>
      <c r="G231" s="7">
        <v>45</v>
      </c>
      <c r="H231" s="21" t="s">
        <v>912</v>
      </c>
      <c r="I231" s="13">
        <v>42999.037199074075</v>
      </c>
      <c r="J231" s="7">
        <v>0</v>
      </c>
      <c r="K231" s="89" t="str">
        <f t="shared" si="84"/>
        <v>4023/4024</v>
      </c>
      <c r="L231" s="185" t="str">
        <f>VLOOKUP(A231,'Trips&amp;Operators'!$C$1:$G$99911,5,FALSE)</f>
        <v>ACKERMAN JARED</v>
      </c>
      <c r="M231" s="6">
        <f t="shared" si="85"/>
        <v>3.6342592575238086E-3</v>
      </c>
      <c r="N231" s="7">
        <f t="shared" si="100"/>
        <v>5.2333333308342844</v>
      </c>
      <c r="O231" s="7"/>
      <c r="P231" s="7"/>
      <c r="Q231" s="22"/>
      <c r="R231" s="174"/>
      <c r="S231" s="221">
        <f t="shared" si="86"/>
        <v>0</v>
      </c>
      <c r="T231" s="174" t="str">
        <f t="shared" si="8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88"/>
        <v>https://d0f6bd738d7f1b3e5a7ca70fe4ff75f0.us-east-1.aws.found.io/app/kibana#/discover/Steve-Slow-Train-Analysis-(2080s-and-2083s)?_g=(refreshInterval:(display:Off,pause:!f,section:0,value:0),time:(from:'2017-09-20T23:34:29-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204" t="str">
        <f>IF(AA231&lt;VLOOKUP(AG231,Variables!$AC$3:$AD$8,2,FALSE),"Y","N")</f>
        <v>Y</v>
      </c>
      <c r="X231" s="204">
        <f t="shared" si="89"/>
        <v>0</v>
      </c>
      <c r="Y231" s="204">
        <f t="shared" si="101"/>
        <v>2.1956000000000002</v>
      </c>
      <c r="Z231" s="204">
        <f t="shared" si="102"/>
        <v>3.1021000000000001</v>
      </c>
      <c r="AA231" s="204">
        <f t="shared" si="90"/>
        <v>0.90649999999999986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91"/>
        <v>51</v>
      </c>
      <c r="AE231" s="77" t="str">
        <f t="shared" si="92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1" s="74" t="str">
        <f t="shared" si="93"/>
        <v>"C:\Program Files (x86)\AstroGrep\AstroGrep.exe" /e /r /s /spath="%USERPROFILE%\AppData\Local\Temp\OnboardLogs" /stypes="app*4024*20170921*" /stext=" 06:.+((SYSTEM_STATE.+slice.+state.+changed )|(ment ac)|(multiple cpu faults)|(system.+state.+changed )|(\[timeout)|(PRM\|1\|D)|(kpr)|(kdp)|(train st.+moving)|(\|lc)|(penalty))"</v>
      </c>
      <c r="AG231" s="182" t="str">
        <f t="shared" si="94"/>
        <v>Shuttle/Test</v>
      </c>
      <c r="AH231" s="78" t="str">
        <f t="shared" si="95"/>
        <v>"%USERPROFILE%\Documents\GitHub\eaglep3\Utilities\RefineRTDCRunTimes.py" --tripid 51-20 --locoid 4024 --swversion DE.1.0.9.0 --startMP 300:21956 --initTime 2017-09-21T00:34:29 --startdatetime 2017-09-21T00:48:20 --delay 45 --endMP 300:31021 --enddatetime 2017-09-21T00:53:34 --enforcementcount 0 &gt;&gt;c:\users\tmcdowell\Documents\GitHub\eaglep3-reporting\EC\2017-09-20-refined-times.txt</v>
      </c>
      <c r="AI231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3.1021"},{"id":17,"name":"Train ID","value":"51-20"},{"id":16,"name":"Locomotive ID","value":"4024"},{"id":130,"name":"Impact","value":""},{"id":150,"name":"Time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97"/>
        <v>start /low /b %USERPROFILE%\Documents\GitHub\eaglep3\Utilities\DownloadLogsFromS3.py --loco 4024 --day 2017-09-21</v>
      </c>
      <c r="AN231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9"/>
        <v>https://d0f6bd738d7f1b3e5a7ca70fe4ff75f0.us-east-1.aws.found.io/app/kibana#/discover/Steve-Slow-Train-Analysis-(2080s-and-2083s)?_g=(refreshInterval:(display:Off,pause:!f,section:0,value:0),time:(from:'2017-09-20T23:34:29-0600',mode:absolute,to:'2017-09-21T01:53:34-0600'))&amp;_a=(columns:!('Message%20ID',Summary),filters:!(),index:'emp_*',interval:auto,query:(query_string:(analyze_wildcard:!t,query:'Message%5C+ID:(*)+AND+%22rtdc.l.rtdc.4024%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615</v>
      </c>
      <c r="B232" s="7">
        <v>4023</v>
      </c>
      <c r="C232" s="21" t="s">
        <v>196</v>
      </c>
      <c r="D232" s="21" t="s">
        <v>913</v>
      </c>
      <c r="E232" s="13">
        <v>42999.01394675926</v>
      </c>
      <c r="F232" s="13">
        <v>42999.033564814818</v>
      </c>
      <c r="G232" s="7">
        <v>90</v>
      </c>
      <c r="H232" s="21" t="s">
        <v>914</v>
      </c>
      <c r="I232" s="13">
        <v>42999.037199074075</v>
      </c>
      <c r="J232" s="7">
        <v>0</v>
      </c>
      <c r="K232" s="89" t="str">
        <f t="shared" si="84"/>
        <v>4023/4024</v>
      </c>
      <c r="L232" s="185" t="str">
        <f>VLOOKUP(A232,'Trips&amp;Operators'!$C$1:$G$99911,5,FALSE)</f>
        <v>ACKERMAN JARED</v>
      </c>
      <c r="M232" s="6">
        <f t="shared" si="85"/>
        <v>3.6342592575238086E-3</v>
      </c>
      <c r="N232" s="7">
        <f t="shared" si="100"/>
        <v>5.2333333308342844</v>
      </c>
      <c r="O232" s="7"/>
      <c r="P232" s="7"/>
      <c r="Q232" s="22"/>
      <c r="R232" s="174"/>
      <c r="S232" s="221">
        <f t="shared" si="86"/>
        <v>0</v>
      </c>
      <c r="T232" s="174" t="str">
        <f t="shared" si="87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88"/>
        <v>https://d0f6bd738d7f1b3e5a7ca70fe4ff75f0.us-east-1.aws.found.io/app/kibana#/discover/Steve-Slow-Train-Analysis-(2080s-and-2083s)?_g=(refreshInterval:(display:Off,pause:!f,section:0,value:0),time:(from:'2017-09-20T23:20:05-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204" t="str">
        <f>IF(AA232&lt;VLOOKUP(AG232,Variables!$AC$3:$AD$8,2,FALSE),"Y","N")</f>
        <v>Y</v>
      </c>
      <c r="X232" s="204">
        <f t="shared" si="89"/>
        <v>0</v>
      </c>
      <c r="Y232" s="204">
        <f t="shared" si="101"/>
        <v>3.0665</v>
      </c>
      <c r="Z232" s="204">
        <f t="shared" si="102"/>
        <v>2.2517999999999998</v>
      </c>
      <c r="AA232" s="204">
        <f t="shared" si="90"/>
        <v>0.8147000000000002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91"/>
        <v>51</v>
      </c>
      <c r="AE232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32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32" s="182" t="str">
        <f t="shared" si="94"/>
        <v>Shuttle/Test</v>
      </c>
      <c r="AH232" s="78" t="str">
        <f t="shared" si="95"/>
        <v>"%USERPROFILE%\Documents\GitHub\eaglep3\Utilities\RefineRTDCRunTimes.py" --tripid 51-20 --locoid 4023 --swversion DE.1.0.9.0 --startMP 300:30665 --initTime 2017-09-21T00:20:05 --startdatetime 2017-09-21T00:48:20 --delay 90 --endMP 300:22518 --enddatetime 2017-09-21T00:53:34 --enforcementcount 0 &gt;&gt;c:\users\tmcdowell\Documents\GitHub\eaglep3-reporting\EC\2017-09-20-refined-times.txt</v>
      </c>
      <c r="AI232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2.2518"},{"id":17,"name":"Train ID","value":"51-20"},{"id":16,"name":"Locomotive ID","value":"4023"},{"id":130,"name":"Impact","value":""},{"id":150,"name":"Time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97"/>
        <v>start /low /b %USERPROFILE%\Documents\GitHub\eaglep3\Utilities\DownloadLogsFromS3.py --loco 4023 --day 2017-09-21</v>
      </c>
      <c r="AN232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9"/>
        <v>https://d0f6bd738d7f1b3e5a7ca70fe4ff75f0.us-east-1.aws.found.io/app/kibana#/discover/Steve-Slow-Train-Analysis-(2080s-and-2083s)?_g=(refreshInterval:(display:Off,pause:!f,section:0,value:0),time:(from:'2017-09-20T23:20:05-0600',mode:absolute,to:'2017-09-21T01:53:34-0600'))&amp;_a=(columns:!('Message%20ID',Summary),filters:!(),index:'emp_*',interval:auto,query:(query_string:(analyze_wildcard:!t,query:'Message%5C+ID:(*)+AND+%22rtdc.l.rtdc.4023%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622</v>
      </c>
      <c r="B233" s="7">
        <v>4017</v>
      </c>
      <c r="C233" s="21" t="s">
        <v>196</v>
      </c>
      <c r="D233" s="21" t="s">
        <v>915</v>
      </c>
      <c r="E233" s="13">
        <v>42998.139108796298</v>
      </c>
      <c r="F233" s="13">
        <v>42998.140648148146</v>
      </c>
      <c r="G233" s="7">
        <v>71</v>
      </c>
      <c r="H233" s="21" t="s">
        <v>916</v>
      </c>
      <c r="I233" s="13">
        <v>42998.141712962963</v>
      </c>
      <c r="J233" s="7">
        <v>0</v>
      </c>
      <c r="K233" s="89" t="str">
        <f t="shared" si="84"/>
        <v>4017/4018</v>
      </c>
      <c r="L233" s="185" t="str">
        <f>VLOOKUP(A233,'Trips&amp;Operators'!$C$1:$G$99911,5,FALSE)</f>
        <v>ACKERMAN JARED</v>
      </c>
      <c r="M233" s="6">
        <f t="shared" si="85"/>
        <v>1.0648148163454607E-3</v>
      </c>
      <c r="N233" s="7">
        <f t="shared" si="100"/>
        <v>1.5333333355374634</v>
      </c>
      <c r="O233" s="7"/>
      <c r="P233" s="7"/>
      <c r="Q233" s="22"/>
      <c r="R233" s="174"/>
      <c r="S233" s="221">
        <f t="shared" si="86"/>
        <v>0</v>
      </c>
      <c r="T233" s="174" t="str">
        <f t="shared" si="87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88"/>
        <v>https://d0f6bd738d7f1b3e5a7ca70fe4ff75f0.us-east-1.aws.found.io/app/kibana#/discover/Steve-Slow-Train-Analysis-(2080s-and-2083s)?_g=(refreshInterval:(display:Off,pause:!f,section:0,value:0),time:(from:'2017-09-20T02:20:19-0600',mode:absolute,to:'2017-09-20T04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89"/>
        <v>1</v>
      </c>
      <c r="Y233" s="204">
        <f t="shared" si="101"/>
        <v>0.36249999999999999</v>
      </c>
      <c r="Z233" s="204">
        <f t="shared" si="102"/>
        <v>0.1152</v>
      </c>
      <c r="AA233" s="204">
        <f t="shared" si="90"/>
        <v>0.24729999999999999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91"/>
        <v>52</v>
      </c>
      <c r="AE233" s="77" t="str">
        <f t="shared" si="92"/>
        <v>aws s3 cp s3://rtdc.mdm.uploadarchive.raw/RTDC4017/ "%USERPROFILE%\AppData\Local\Temp\OnboardLogs"\RTDC4017\2017-09-20 --exclude "*" --recursive --include "*20170920*" &amp; "%USERPROFILE%\Documents\GitHub\mrs-test-scripts\Headless Mode &amp; Sideloading\WalkAndUnGZ.bat" "%USERPROFILE%\AppData\Local\Temp\OnboardLogs"\RTDC4017\2017-09-20 &amp; 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</v>
      </c>
      <c r="AF233" s="74" t="str">
        <f t="shared" si="93"/>
        <v>"C:\Program Files (x86)\AstroGrep\AstroGrep.exe" /e /r /s /spath="%USERPROFILE%\AppData\Local\Temp\OnboardLogs" /stypes="app*4017*20170920*" /stext=" 09:.+((SYSTEM_STATE.+slice.+state.+changed )|(ment ac)|(multiple cpu faults)|(system.+state.+changed )|(\[timeout)|(PRM\|1\|D)|(kpr)|(kdp)|(train st.+moving)|(\|lc)|(penalty))"</v>
      </c>
      <c r="AG233" s="182" t="str">
        <f t="shared" si="94"/>
        <v>Shuttle/Test</v>
      </c>
      <c r="AH233" s="78" t="str">
        <f t="shared" si="95"/>
        <v>"%USERPROFILE%\Documents\GitHub\eaglep3\Utilities\RefineRTDCRunTimes.py" --tripid 52-20 --locoid 4017 --swversion DE.1.0.9.0 --startMP 204:3625 --initTime 2017-09-20T03:20:19 --startdatetime 2017-09-20T03:22:32 --delay 71 --endMP 204:1152 --enddatetime 2017-09-20T03:24:04 --enforcementcount 0 &gt;&gt;c:\users\tmcdowell\Documents\GitHub\eaglep3-reporting\EC\2017-09-20-refined-times.txt</v>
      </c>
      <c r="AI23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0.1152"},{"id":17,"name":"Train ID","value":"52-20"},{"id":16,"name":"Locomotive ID","value":"4017"},{"id":130,"name":"Impact","value":""},{"id":150,"name":"Time of Event (Mountain Time)","value":"03:24:04"},{"id":151,"name":"Denver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97"/>
        <v>start /low /b %USERPROFILE%\Documents\GitHub\eaglep3\Utilities\DownloadLogsFromS3.py --loco 4017 --day 2017-09-20</v>
      </c>
      <c r="AN23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9"/>
        <v>https://d0f6bd738d7f1b3e5a7ca70fe4ff75f0.us-east-1.aws.found.io/app/kibana#/discover/Steve-Slow-Train-Analysis-(2080s-and-2083s)?_g=(refreshInterval:(display:Off,pause:!f,section:0,value:0),time:(from:'2017-09-20T02:20:19-0600',mode:absolute,to:'2017-09-20T04:24:04-0600'))&amp;_a=(columns:!('Message%20ID',Summary),filters:!(),index:'emp_*',interval:auto,query:(query_string:(analyze_wildcard:!t,query:'Message%5C+ID:(*)+AND+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786</v>
      </c>
      <c r="B234" s="7">
        <v>4027</v>
      </c>
      <c r="C234" s="21" t="s">
        <v>196</v>
      </c>
      <c r="D234" s="21" t="s">
        <v>917</v>
      </c>
      <c r="E234" s="13">
        <v>42998.739988425928</v>
      </c>
      <c r="F234" s="13">
        <v>42998.748437499999</v>
      </c>
      <c r="G234" s="7">
        <v>543</v>
      </c>
      <c r="H234" s="21" t="s">
        <v>918</v>
      </c>
      <c r="I234" s="13">
        <v>42998.753518518519</v>
      </c>
      <c r="J234" s="7">
        <v>0</v>
      </c>
      <c r="K234" s="89" t="str">
        <f t="shared" si="84"/>
        <v>4027/4028</v>
      </c>
      <c r="L234" s="185" t="str">
        <f>VLOOKUP(A234,'Trips&amp;Operators'!$C$1:$G$99911,5,FALSE)</f>
        <v>NICHOLSON WESLEY</v>
      </c>
      <c r="M234" s="6">
        <f t="shared" si="85"/>
        <v>5.0810185202863067E-3</v>
      </c>
      <c r="N234" s="7">
        <f t="shared" si="100"/>
        <v>7.3166666692122817</v>
      </c>
      <c r="O234" s="7"/>
      <c r="P234" s="7"/>
      <c r="Q234" s="22"/>
      <c r="R234" s="174"/>
      <c r="S234" s="221">
        <f t="shared" si="86"/>
        <v>1</v>
      </c>
      <c r="T234" s="174" t="str">
        <f t="shared" si="87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88"/>
        <v>https://d0f6bd738d7f1b3e5a7ca70fe4ff75f0.us-east-1.aws.found.io/app/kibana#/discover/Steve-Slow-Train-Analysis-(2080s-and-2083s)?_g=(refreshInterval:(display:Off,pause:!f,section:0,value:0),time:(from:'2017-09-20T16:45:35-0600',mode:absolute,to:'2017-09-20T19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4" s="204" t="str">
        <f>IF(AA234&lt;VLOOKUP(AG234,Variables!$AC$3:$AD$8,2,FALSE),"Y","N")</f>
        <v>Y</v>
      </c>
      <c r="X234" s="204">
        <f t="shared" si="89"/>
        <v>2</v>
      </c>
      <c r="Y234" s="204">
        <f t="shared" si="101"/>
        <v>2.3370000000000002</v>
      </c>
      <c r="Z234" s="204">
        <f t="shared" si="102"/>
        <v>0.17469999999999999</v>
      </c>
      <c r="AA234" s="204">
        <f t="shared" si="90"/>
        <v>2.1623000000000001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91"/>
        <v>54</v>
      </c>
      <c r="AE234" s="77" t="str">
        <f t="shared" si="92"/>
        <v>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 &amp; 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</v>
      </c>
      <c r="AF234" s="74" t="str">
        <f t="shared" si="93"/>
        <v>"C:\Program Files (x86)\AstroGrep\AstroGrep.exe" /e /r /s /spath="%USERPROFILE%\AppData\Local\Temp\OnboardLogs" /stypes="app*4027*20170921*" /stext=" 00:.+((SYSTEM_STATE.+slice.+state.+changed )|(ment ac)|(multiple cpu faults)|(system.+state.+changed )|(\[timeout)|(PRM\|1\|D)|(kpr)|(kdp)|(train st.+moving)|(\|lc)|(penalty))"</v>
      </c>
      <c r="AG234" s="182" t="str">
        <f t="shared" si="94"/>
        <v>Shuttle/Test</v>
      </c>
      <c r="AH234" s="78" t="str">
        <f t="shared" si="95"/>
        <v>"%USERPROFILE%\Documents\GitHub\eaglep3\Utilities\RefineRTDCRunTimes.py" --tripid 54-20 --locoid 4027 --swversion DE.1.0.9.0 --startMP 300:23370 --initTime 2017-09-20T17:45:35 --startdatetime 2017-09-20T17:57:45 --delay 543 --endMP 204:1747 --enddatetime 2017-09-20T18:05:04 --enforcementcount 0 &gt;&gt;c:\users\tmcdowell\Documents\GitHub\eaglep3-reporting\EC\2017-09-20-refined-times.txt</v>
      </c>
      <c r="AI23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0.1747"},{"id":17,"name":"Train ID","value":"54-20"},{"id":16,"name":"Locomotive ID","value":"4027"},{"id":130,"name":"Impact","value":""},{"id":150,"name":"Time of Event (Mountain Time)","value":"18:05:04"},{"id":151,"name":"Denver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7"/>
        <v>start /low /b %USERPROFILE%\Documents\GitHub\eaglep3\Utilities\DownloadLogsFromS3.py --loco 4027 --day 2017-09-20</v>
      </c>
      <c r="AN234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9"/>
        <v>https://d0f6bd738d7f1b3e5a7ca70fe4ff75f0.us-east-1.aws.found.io/app/kibana#/discover/Steve-Slow-Train-Analysis-(2080s-and-2083s)?_g=(refreshInterval:(display:Off,pause:!f,section:0,value:0),time:(from:'2017-09-20T16:45:35-0600',mode:absolute,to:'2017-09-20T19:05:04-0600'))&amp;_a=(columns:!('Message%20ID',Summary),filters:!(),index:'emp_*',interval:auto,query:(query_string:(analyze_wildcard:!t,query:'Message%5C+ID:(*)+AND+%22rtdc.l.rtdc.4027%22')),sort:!(Time.ISO8601,asc))</v>
      </c>
    </row>
    <row r="235" spans="1:91" x14ac:dyDescent="0.25">
      <c r="A235" s="32" t="s">
        <v>704</v>
      </c>
      <c r="B235" s="7">
        <v>4059</v>
      </c>
      <c r="C235" s="21" t="s">
        <v>196</v>
      </c>
      <c r="D235" s="21" t="s">
        <v>919</v>
      </c>
      <c r="E235" s="13">
        <v>42998.450474537036</v>
      </c>
      <c r="F235" s="13">
        <v>42998.453460648147</v>
      </c>
      <c r="G235" s="7">
        <v>53</v>
      </c>
      <c r="H235" s="21" t="s">
        <v>920</v>
      </c>
      <c r="I235" s="13">
        <v>42998.458692129629</v>
      </c>
      <c r="J235" s="7">
        <v>0</v>
      </c>
      <c r="K235" s="89" t="str">
        <f t="shared" si="84"/>
        <v>4059/4060</v>
      </c>
      <c r="L235" s="185" t="str">
        <f>VLOOKUP(A235,'Trips&amp;Operators'!$C$1:$G$99911,5,FALSE)</f>
        <v>MOSES BRADLEY</v>
      </c>
      <c r="M235" s="6">
        <f t="shared" si="85"/>
        <v>5.2314814820419997E-3</v>
      </c>
      <c r="N235" s="7">
        <f t="shared" si="100"/>
        <v>7.5333333341404796</v>
      </c>
      <c r="O235" s="7"/>
      <c r="P235" s="7"/>
      <c r="Q235" s="22"/>
      <c r="R235" s="174"/>
      <c r="S235" s="221">
        <f t="shared" si="86"/>
        <v>1</v>
      </c>
      <c r="T235" s="174" t="str">
        <f t="shared" si="87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88"/>
        <v>https://d0f6bd738d7f1b3e5a7ca70fe4ff75f0.us-east-1.aws.found.io/app/kibana#/discover/Steve-Slow-Train-Analysis-(2080s-and-2083s)?_g=(refreshInterval:(display:Off,pause:!f,section:0,value:0),time:(from:'2017-09-20T09:48:41-0600',mode:absolute,to:'2017-09-20T12:00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04" t="str">
        <f>IF(AA235&lt;VLOOKUP(AG235,Variables!$AC$3:$AD$8,2,FALSE),"Y","N")</f>
        <v>Y</v>
      </c>
      <c r="X235" s="204">
        <f t="shared" si="89"/>
        <v>2</v>
      </c>
      <c r="Y235" s="204">
        <f t="shared" si="101"/>
        <v>2.2166000000000001</v>
      </c>
      <c r="Z235" s="204">
        <f t="shared" si="102"/>
        <v>8.9499999999999996E-2</v>
      </c>
      <c r="AA235" s="204">
        <f t="shared" si="90"/>
        <v>2.1271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91"/>
        <v>56</v>
      </c>
      <c r="AE235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35" s="74" t="str">
        <f t="shared" si="93"/>
        <v>"C:\Program Files (x86)\AstroGrep\AstroGrep.exe" /e /r /s /spath="%USERPROFILE%\AppData\Local\Temp\OnboardLogs" /stypes="app*4059*20170920*" /stext=" 17:.+((SYSTEM_STATE.+slice.+state.+changed )|(ment ac)|(multiple cpu faults)|(system.+state.+changed )|(\[timeout)|(PRM\|1\|D)|(kpr)|(kdp)|(train st.+moving)|(\|lc)|(penalty))"</v>
      </c>
      <c r="AG235" s="182" t="str">
        <f t="shared" si="94"/>
        <v>Shuttle/Test</v>
      </c>
      <c r="AH235" s="78" t="str">
        <f t="shared" si="95"/>
        <v>"%USERPROFILE%\Documents\GitHub\eaglep3\Utilities\RefineRTDCRunTimes.py" --tripid 56-20 --locoid 4059 --swversion DE.1.0.9.0 --startMP 300:22166 --initTime 2017-09-20T10:48:41 --startdatetime 2017-09-20T10:52:59 --delay 53 --endMP 204:895 --enddatetime 2017-09-20T11:00:31 --enforcementcount 0 &gt;&gt;c:\users\tmcdowell\Documents\GitHub\eaglep3-reporting\EC\2017-09-20-refined-times.txt</v>
      </c>
      <c r="AI23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0.0895"},{"id":17,"name":"Train ID","value":"56-20"},{"id":16,"name":"Locomotive ID","value":"4059"},{"id":130,"name":"Impact","value":""},{"id":150,"name":"Time of Event (Mountain Time)","value":"11:00:31"},{"id":151,"name":"Denver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7"/>
        <v>start /low /b %USERPROFILE%\Documents\GitHub\eaglep3\Utilities\DownloadLogsFromS3.py --loco 4059 --day 2017-09-20</v>
      </c>
      <c r="AN23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99"/>
        <v>https://d0f6bd738d7f1b3e5a7ca70fe4ff75f0.us-east-1.aws.found.io/app/kibana#/discover/Steve-Slow-Train-Analysis-(2080s-and-2083s)?_g=(refreshInterval:(display:Off,pause:!f,section:0,value:0),time:(from:'2017-09-20T09:48:41-0600',mode:absolute,to:'2017-09-20T12:00:31-0600'))&amp;_a=(columns:!('Message%20ID',Summary),filters:!(),index:'emp_*',interval:auto,query:(query_string:(analyze_wildcard:!t,query:'Message%5C+ID:(*)+AND+%22rtdc.l.rtdc.4059%22')),sort:!(Time.ISO8601,asc))</v>
      </c>
    </row>
    <row r="236" spans="1:91" x14ac:dyDescent="0.25">
      <c r="A236" s="32" t="s">
        <v>709</v>
      </c>
      <c r="B236" s="7">
        <v>4060</v>
      </c>
      <c r="C236" s="21" t="s">
        <v>196</v>
      </c>
      <c r="D236" s="21" t="s">
        <v>921</v>
      </c>
      <c r="E236" s="13">
        <v>42998.474062499998</v>
      </c>
      <c r="F236" s="13">
        <v>42998.477280092593</v>
      </c>
      <c r="G236" s="7">
        <v>165</v>
      </c>
      <c r="H236" s="21" t="s">
        <v>922</v>
      </c>
      <c r="I236" s="13">
        <v>42998.482048611113</v>
      </c>
      <c r="J236" s="7">
        <v>0</v>
      </c>
      <c r="K236" s="89" t="str">
        <f t="shared" si="84"/>
        <v>4059/4060</v>
      </c>
      <c r="L236" s="185" t="str">
        <f>VLOOKUP(A236,'Trips&amp;Operators'!$C$1:$G$99911,5,FALSE)</f>
        <v>YORK EDGAR</v>
      </c>
      <c r="M236" s="6">
        <f t="shared" si="85"/>
        <v>4.7685185199952684E-3</v>
      </c>
      <c r="N236" s="7">
        <f t="shared" si="100"/>
        <v>6.8666666687931865</v>
      </c>
      <c r="O236" s="7"/>
      <c r="P236" s="7"/>
      <c r="Q236" s="22"/>
      <c r="R236" s="174"/>
      <c r="S236" s="221">
        <f t="shared" si="86"/>
        <v>1</v>
      </c>
      <c r="T236" s="174" t="str">
        <f t="shared" si="87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88"/>
        <v>https://d0f6bd738d7f1b3e5a7ca70fe4ff75f0.us-east-1.aws.found.io/app/kibana#/discover/Steve-Slow-Train-Analysis-(2080s-and-2083s)?_g=(refreshInterval:(display:Off,pause:!f,section:0,value:0),time:(from:'2017-09-20T10:22:39-0600',mode:absolute,to:'2017-09-20T12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04" t="str">
        <f>IF(AA236&lt;VLOOKUP(AG236,Variables!$AC$3:$AD$8,2,FALSE),"Y","N")</f>
        <v>Y</v>
      </c>
      <c r="X236" s="204">
        <f t="shared" si="89"/>
        <v>1</v>
      </c>
      <c r="Y236" s="204">
        <f t="shared" si="101"/>
        <v>0.121</v>
      </c>
      <c r="Z236" s="204">
        <f t="shared" si="102"/>
        <v>2.4251999999999998</v>
      </c>
      <c r="AA236" s="204">
        <f t="shared" si="90"/>
        <v>2.3041999999999998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91"/>
        <v>57</v>
      </c>
      <c r="AE236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36" s="74" t="str">
        <f t="shared" si="93"/>
        <v>"C:\Program Files (x86)\AstroGrep\AstroGrep.exe" /e /r /s /spath="%USERPROFILE%\AppData\Local\Temp\OnboardLogs" /stypes="app*4060*20170920*" /stext=" 17:.+((SYSTEM_STATE.+slice.+state.+changed )|(ment ac)|(multiple cpu faults)|(system.+state.+changed )|(\[timeout)|(PRM\|1\|D)|(kpr)|(kdp)|(train st.+moving)|(\|lc)|(penalty))"</v>
      </c>
      <c r="AG236" s="182" t="str">
        <f t="shared" si="94"/>
        <v>Shuttle/Test</v>
      </c>
      <c r="AH236" s="78" t="str">
        <f t="shared" si="95"/>
        <v>"%USERPROFILE%\Documents\GitHub\eaglep3\Utilities\RefineRTDCRunTimes.py" --tripid 57-20 --locoid 4060 --swversion DE.1.0.9.0 --startMP 204:1210 --initTime 2017-09-20T11:22:39 --startdatetime 2017-09-20T11:27:17 --delay 165 --endMP 300:24252 --enddatetime 2017-09-20T11:34:09 --enforcementcount 0 &gt;&gt;c:\users\tmcdowell\Documents\GitHub\eaglep3-reporting\EC\2017-09-20-refined-times.txt</v>
      </c>
      <c r="AI23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2.4252"},{"id":17,"name":"Train ID","value":"57-20"},{"id":16,"name":"Locomotive ID","value":"4060"},{"id":130,"name":"Impact","value":""},{"id":150,"name":"Time of Event (Mountain Time)","value":"11:34:09"},{"id":151,"name":"Denver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7"/>
        <v>start /low /b %USERPROFILE%\Documents\GitHub\eaglep3\Utilities\DownloadLogsFromS3.py --loco 4060 --day 2017-09-20</v>
      </c>
      <c r="AN23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99"/>
        <v>https://d0f6bd738d7f1b3e5a7ca70fe4ff75f0.us-east-1.aws.found.io/app/kibana#/discover/Steve-Slow-Train-Analysis-(2080s-and-2083s)?_g=(refreshInterval:(display:Off,pause:!f,section:0,value:0),time:(from:'2017-09-20T10:22:39-0600',mode:absolute,to:'2017-09-20T12:34:09-0600'))&amp;_a=(columns:!('Message%20ID',Summary),filters:!(),index:'emp_*',interval:auto,query:(query_string:(analyze_wildcard:!t,query:'Message%5C+ID:(*)+AND+%22rtdc.l.rtdc.4060%22')),sort:!(Time.ISO8601,asc))</v>
      </c>
    </row>
    <row r="237" spans="1:91" s="20" customFormat="1" x14ac:dyDescent="0.25">
      <c r="A237" s="32" t="s">
        <v>597</v>
      </c>
      <c r="B237" s="7">
        <v>4011</v>
      </c>
      <c r="C237" s="21" t="s">
        <v>196</v>
      </c>
      <c r="D237" s="21" t="s">
        <v>923</v>
      </c>
      <c r="E237" s="13">
        <v>42998.445185185185</v>
      </c>
      <c r="F237" s="13">
        <v>42998.449641203704</v>
      </c>
      <c r="G237" s="7">
        <v>160</v>
      </c>
      <c r="H237" s="21" t="s">
        <v>548</v>
      </c>
      <c r="I237" s="13">
        <v>42998.467662037037</v>
      </c>
      <c r="J237" s="7">
        <v>0</v>
      </c>
      <c r="K237" s="89" t="str">
        <f t="shared" si="84"/>
        <v>4011/4012</v>
      </c>
      <c r="L237" s="185" t="str">
        <f>VLOOKUP(A237,'Trips&amp;Operators'!$C$1:$G$99911,5,FALSE)</f>
        <v>ROMERO CHAD</v>
      </c>
      <c r="M237" s="6">
        <f t="shared" si="85"/>
        <v>1.8020833333139308E-2</v>
      </c>
      <c r="N237" s="7">
        <f t="shared" si="100"/>
        <v>25.949999999720603</v>
      </c>
      <c r="O237" s="7"/>
      <c r="P237" s="7"/>
      <c r="Q237" s="22"/>
      <c r="R237" s="174"/>
      <c r="S237" s="221">
        <f t="shared" si="86"/>
        <v>1</v>
      </c>
      <c r="T237" s="174" t="str">
        <f t="shared" si="87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88"/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7" s="204" t="str">
        <f>IF(AA237&lt;VLOOKUP(AG237,Variables!$AC$3:$AD$8,2,FALSE),"Y","N")</f>
        <v>Y</v>
      </c>
      <c r="X237" s="204">
        <f t="shared" si="89"/>
        <v>3</v>
      </c>
      <c r="Y237" s="204">
        <f t="shared" si="101"/>
        <v>11.218500000000001</v>
      </c>
      <c r="Z237" s="204">
        <f t="shared" si="102"/>
        <v>1.37E-2</v>
      </c>
      <c r="AA237" s="204">
        <f t="shared" si="90"/>
        <v>11.204800000000001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91"/>
        <v>60</v>
      </c>
      <c r="AE237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37" s="74" t="str">
        <f t="shared" si="93"/>
        <v>"C:\Program Files (x86)\AstroGrep\AstroGrep.exe" /e /r /s /spath="%USERPROFILE%\AppData\Local\Temp\OnboardLogs" /stypes="app*4011*20170920*" /stext=" 17:.+((SYSTEM_STATE.+slice.+state.+changed )|(ment ac)|(multiple cpu faults)|(system.+state.+changed )|(\[timeout)|(PRM\|1\|D)|(kpr)|(kdp)|(train st.+moving)|(\|lc)|(penalty))"</v>
      </c>
      <c r="AG237" s="182" t="str">
        <f t="shared" si="94"/>
        <v>Shuttle/Test</v>
      </c>
      <c r="AH237" s="78" t="str">
        <f t="shared" si="95"/>
        <v>"%USERPROFILE%\Documents\GitHub\eaglep3\Utilities\RefineRTDCRunTimes.py" --tripid 60-20 --locoid 4011 --swversion DE.1.0.9.0 --startMP 300:112185 --initTime 2017-09-20T10:41:04 --startdatetime 2017-09-20T10:47:29 --delay 160 --endMP 204:137 --enddatetime 2017-09-20T11:13:26 --enforcementcount 0 &gt;&gt;c:\users\tmcdowell\Documents\GitHub\eaglep3-reporting\EC\2017-09-20-refined-times.txt</v>
      </c>
      <c r="AI23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0.0137"},{"id":17,"name":"Train ID","value":"60-20"},{"id":16,"name":"Locomotive ID","value":"4011"},{"id":130,"name":"Impact","value":""},{"id":150,"name":"Time of Event (Mountain Time)","value":"11:13:26"},{"id":151,"name":"Denver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97"/>
        <v>start /low /b %USERPROFILE%\Documents\GitHub\eaglep3\Utilities\DownloadLogsFromS3.py --loco 4011 --day 2017-09-20</v>
      </c>
      <c r="AN23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17:13:26"},{"id":29,"name":"Sharepoint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99"/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Message%20ID',Summary),filters:!(),index:'emp_*',interval:auto,query:(query_string:(analyze_wildcard:!t,query:'Message%5C+ID:(*)+AND+%22rtdc.l.rtdc.4011%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597</v>
      </c>
      <c r="B238" s="7">
        <v>4011</v>
      </c>
      <c r="C238" s="21" t="s">
        <v>196</v>
      </c>
      <c r="D238" s="21" t="s">
        <v>924</v>
      </c>
      <c r="E238" s="13">
        <v>42998.547847222224</v>
      </c>
      <c r="F238" s="13">
        <v>42998.550069444442</v>
      </c>
      <c r="G238" s="7">
        <v>87</v>
      </c>
      <c r="H238" s="21" t="s">
        <v>855</v>
      </c>
      <c r="I238" s="13">
        <v>42998.569305555553</v>
      </c>
      <c r="J238" s="7">
        <v>0</v>
      </c>
      <c r="K238" s="89" t="str">
        <f t="shared" si="84"/>
        <v>4011/4012</v>
      </c>
      <c r="L238" s="185" t="str">
        <f>VLOOKUP(A238,'Trips&amp;Operators'!$C$1:$G$99911,5,FALSE)</f>
        <v>ROMERO CHAD</v>
      </c>
      <c r="M238" s="6">
        <f t="shared" si="85"/>
        <v>1.9236111111240461E-2</v>
      </c>
      <c r="N238" s="7">
        <f t="shared" si="100"/>
        <v>27.700000000186265</v>
      </c>
      <c r="O238" s="7"/>
      <c r="P238" s="7"/>
      <c r="Q238" s="22"/>
      <c r="R238" s="174"/>
      <c r="S238" s="221">
        <f t="shared" si="86"/>
        <v>1</v>
      </c>
      <c r="T238" s="174" t="str">
        <f t="shared" si="87"/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88"/>
        <v>https://d0f6bd738d7f1b3e5a7ca70fe4ff75f0.us-east-1.aws.found.io/app/kibana#/discover/Steve-Slow-Train-Analysis-(2080s-and-2083s)?_g=(refreshInterval:(display:Off,pause:!f,section:0,value:0),time:(from:'2017-09-20T12:08:54-0600',mode:absolute,to:'2017-09-20T14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8" s="204" t="str">
        <f>IF(AA238&lt;VLOOKUP(AG238,Variables!$AC$3:$AD$8,2,FALSE),"Y","N")</f>
        <v>Y</v>
      </c>
      <c r="X238" s="204">
        <f t="shared" si="89"/>
        <v>0</v>
      </c>
      <c r="Y238" s="204">
        <f t="shared" si="101"/>
        <v>11.2189</v>
      </c>
      <c r="Z238" s="204">
        <f t="shared" si="102"/>
        <v>1.29E-2</v>
      </c>
      <c r="AA238" s="204">
        <f t="shared" si="90"/>
        <v>11.206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91"/>
        <v>60</v>
      </c>
      <c r="AE238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38" s="74" t="str">
        <f t="shared" si="93"/>
        <v>"C:\Program Files (x86)\AstroGrep\AstroGrep.exe" /e /r /s /spath="%USERPROFILE%\AppData\Local\Temp\OnboardLogs" /stypes="app*4011*20170920*" /stext=" 19:.+((SYSTEM_STATE.+slice.+state.+changed )|(ment ac)|(multiple cpu faults)|(system.+state.+changed )|(\[timeout)|(PRM\|1\|D)|(kpr)|(kdp)|(train st.+moving)|(\|lc)|(penalty))"</v>
      </c>
      <c r="AG238" s="182" t="str">
        <f t="shared" si="94"/>
        <v>Shuttle/Test</v>
      </c>
      <c r="AH238" s="78" t="str">
        <f t="shared" si="95"/>
        <v>"%USERPROFILE%\Documents\GitHub\eaglep3\Utilities\RefineRTDCRunTimes.py" --tripid 60-20 --locoid 4011 --swversion DE.1.0.9.0 --startMP 300:112189 --initTime 2017-09-20T13:08:54 --startdatetime 2017-09-20T13:12:06 --delay 87 --endMP 204:129 --enddatetime 2017-09-20T13:39:48 --enforcementcount 0 &gt;&gt;c:\users\tmcdowell\Documents\GitHub\eaglep3-reporting\EC\2017-09-20-refined-times.txt</v>
      </c>
      <c r="AI23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0.0129"},{"id":17,"name":"Train ID","value":"60-20"},{"id":16,"name":"Locomotive ID","value":"4011"},{"id":130,"name":"Impact","value":""},{"id":150,"name":"Time of Event (Mountain Time)","value":"13:39:48"},{"id":151,"name":"Denver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7"/>
        <v>start /low /b %USERPROFILE%\Documents\GitHub\eaglep3\Utilities\DownloadLogsFromS3.py --loco 4011 --day 2017-09-20</v>
      </c>
      <c r="AN23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99"/>
        <v>https://d0f6bd738d7f1b3e5a7ca70fe4ff75f0.us-east-1.aws.found.io/app/kibana#/discover/Steve-Slow-Train-Analysis-(2080s-and-2083s)?_g=(refreshInterval:(display:Off,pause:!f,section:0,value:0),time:(from:'2017-09-20T12:08:54-0600',mode:absolute,to:'2017-09-20T14:39:48-0600'))&amp;_a=(columns:!('Message%20ID',Summary),filters:!(),index:'emp_*',interval:auto,query:(query_string:(analyze_wildcard:!t,query:'Message%5C+ID:(*)+AND+%22rtdc.l.rtdc.4011%22')),sort:!(Time.ISO8601,asc))</v>
      </c>
    </row>
    <row r="239" spans="1:91" x14ac:dyDescent="0.25">
      <c r="A239" s="32" t="s">
        <v>592</v>
      </c>
      <c r="B239" s="7">
        <v>4012</v>
      </c>
      <c r="C239" s="21" t="s">
        <v>196</v>
      </c>
      <c r="D239" s="21" t="s">
        <v>925</v>
      </c>
      <c r="E239" s="13">
        <v>42998.422546296293</v>
      </c>
      <c r="F239" s="13">
        <v>42998.425509259258</v>
      </c>
      <c r="G239" s="7">
        <v>69</v>
      </c>
      <c r="H239" s="21" t="s">
        <v>926</v>
      </c>
      <c r="I239" s="13">
        <v>42998.444074074076</v>
      </c>
      <c r="J239" s="7">
        <v>0</v>
      </c>
      <c r="K239" s="89" t="str">
        <f t="shared" si="84"/>
        <v>4011/4012</v>
      </c>
      <c r="L239" s="185" t="str">
        <f>VLOOKUP(A239,'Trips&amp;Operators'!$C$1:$G$99911,5,FALSE)</f>
        <v>ROMERO CHAD</v>
      </c>
      <c r="M239" s="6">
        <f t="shared" si="85"/>
        <v>1.8564814818091691E-2</v>
      </c>
      <c r="N239" s="7">
        <f t="shared" si="100"/>
        <v>26.733333338052034</v>
      </c>
      <c r="O239" s="7"/>
      <c r="P239" s="7"/>
      <c r="Q239" s="22"/>
      <c r="R239" s="174"/>
      <c r="S239" s="221">
        <f t="shared" si="86"/>
        <v>1</v>
      </c>
      <c r="T239" s="174" t="str">
        <f t="shared" si="87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88"/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9" s="204" t="str">
        <f>IF(AA239&lt;VLOOKUP(AG239,Variables!$AC$3:$AD$8,2,FALSE),"Y","N")</f>
        <v>Y</v>
      </c>
      <c r="X239" s="204">
        <f t="shared" si="89"/>
        <v>1</v>
      </c>
      <c r="Y239" s="204">
        <f t="shared" si="101"/>
        <v>4.0300000000000002E-2</v>
      </c>
      <c r="Z239" s="204">
        <f t="shared" si="102"/>
        <v>11.251300000000001</v>
      </c>
      <c r="AA239" s="204">
        <f t="shared" si="90"/>
        <v>11.211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91"/>
        <v>61</v>
      </c>
      <c r="AE239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39" s="74" t="str">
        <f t="shared" si="93"/>
        <v>"C:\Program Files (x86)\AstroGrep\AstroGrep.exe" /e /r /s /spath="%USERPROFILE%\AppData\Local\Temp\OnboardLogs" /stypes="app*4012*20170920*" /stext=" 16:.+((SYSTEM_STATE.+slice.+state.+changed )|(ment ac)|(multiple cpu faults)|(system.+state.+changed )|(\[timeout)|(PRM\|1\|D)|(kpr)|(kdp)|(train st.+moving)|(\|lc)|(penalty))"</v>
      </c>
      <c r="AG239" s="182" t="str">
        <f t="shared" si="94"/>
        <v>Shuttle/Test</v>
      </c>
      <c r="AH239" s="78" t="str">
        <f t="shared" si="95"/>
        <v>"%USERPROFILE%\Documents\GitHub\eaglep3\Utilities\RefineRTDCRunTimes.py" --tripid 61-20 --locoid 4012 --swversion DE.1.0.9.0 --startMP 204:403 --initTime 2017-09-20T10:08:28 --startdatetime 2017-09-20T10:12:44 --delay 69 --endMP 300:112513 --enddatetime 2017-09-20T10:39:28 --enforcementcount 0 &gt;&gt;c:\users\tmcdowell\Documents\GitHub\eaglep3-reporting\EC\2017-09-20-refined-times.txt</v>
      </c>
      <c r="AI239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ID","value":"61-20"},{"id":16,"name":"Locomotive ID","value":"4012"},{"id":130,"name":"Impact","value":""},{"id":150,"name":"Time of Event (Mountain Time)","value":"10:39:28"},{"id":151,"name":"Denver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97"/>
        <v>start /low /b %USERPROFILE%\Documents\GitHub\eaglep3\Utilities\DownloadLogsFromS3.py --loco 4012 --day 2017-09-20</v>
      </c>
      <c r="AN23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99"/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Message%20ID',Summary),filters:!(),index:'emp_*',interval:auto,query:(query_string:(analyze_wildcard:!t,query:'Message%5C+ID:(*)+AND+%22rtdc.l.rtdc.4012%22')),sort:!(Time.ISO8601,asc))</v>
      </c>
    </row>
    <row r="240" spans="1:91" x14ac:dyDescent="0.25">
      <c r="A240" s="32" t="s">
        <v>592</v>
      </c>
      <c r="B240" s="7">
        <v>4012</v>
      </c>
      <c r="C240" s="21" t="s">
        <v>196</v>
      </c>
      <c r="D240" s="21" t="s">
        <v>927</v>
      </c>
      <c r="E240" s="13">
        <v>42998.522743055553</v>
      </c>
      <c r="F240" s="13">
        <v>42998.526006944441</v>
      </c>
      <c r="G240" s="7">
        <v>207</v>
      </c>
      <c r="H240" s="21" t="s">
        <v>928</v>
      </c>
      <c r="I240" s="13">
        <v>42998.546932870369</v>
      </c>
      <c r="J240" s="7">
        <v>0</v>
      </c>
      <c r="K240" s="89" t="str">
        <f t="shared" si="84"/>
        <v>4011/4012</v>
      </c>
      <c r="L240" s="185" t="str">
        <f>VLOOKUP(A240,'Trips&amp;Operators'!$C$1:$G$99911,5,FALSE)</f>
        <v>ROMERO CHAD</v>
      </c>
      <c r="M240" s="6">
        <f t="shared" si="85"/>
        <v>2.0925925928167999E-2</v>
      </c>
      <c r="N240" s="7">
        <f t="shared" si="100"/>
        <v>30.133333336561918</v>
      </c>
      <c r="O240" s="7"/>
      <c r="P240" s="7"/>
      <c r="Q240" s="22"/>
      <c r="R240" s="174"/>
      <c r="S240" s="221">
        <f t="shared" si="86"/>
        <v>1</v>
      </c>
      <c r="T240" s="174" t="str">
        <f t="shared" si="87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 t="shared" si="88"/>
        <v>https://d0f6bd738d7f1b3e5a7ca70fe4ff75f0.us-east-1.aws.found.io/app/kibana#/discover/Steve-Slow-Train-Analysis-(2080s-and-2083s)?_g=(refreshInterval:(display:Off,pause:!f,section:0,value:0),time:(from:'2017-09-20T11:32:45-0600',mode:absolute,to:'2017-09-20T14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0" s="204" t="str">
        <f>IF(AA240&lt;VLOOKUP(AG240,Variables!$AC$3:$AD$8,2,FALSE),"Y","N")</f>
        <v>Y</v>
      </c>
      <c r="X240" s="204">
        <f t="shared" si="89"/>
        <v>0</v>
      </c>
      <c r="Y240" s="204">
        <f t="shared" si="101"/>
        <v>4.2799999999999998E-2</v>
      </c>
      <c r="Z240" s="204">
        <f t="shared" si="102"/>
        <v>11.251099999999999</v>
      </c>
      <c r="AA240" s="204">
        <f t="shared" si="90"/>
        <v>11.208299999999999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91"/>
        <v>61</v>
      </c>
      <c r="AE240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0" s="74" t="str">
        <f t="shared" si="93"/>
        <v>"C:\Program Files (x86)\AstroGrep\AstroGrep.exe" /e /r /s /spath="%USERPROFILE%\AppData\Local\Temp\OnboardLogs" /stypes="app*4012*20170920*" /stext=" 19:.+((SYSTEM_STATE.+slice.+state.+changed )|(ment ac)|(multiple cpu faults)|(system.+state.+changed )|(\[timeout)|(PRM\|1\|D)|(kpr)|(kdp)|(train st.+moving)|(\|lc)|(penalty))"</v>
      </c>
      <c r="AG240" s="182" t="str">
        <f t="shared" si="94"/>
        <v>Shuttle/Test</v>
      </c>
      <c r="AH240" s="78" t="str">
        <f t="shared" si="95"/>
        <v>"%USERPROFILE%\Documents\GitHub\eaglep3\Utilities\RefineRTDCRunTimes.py" --tripid 61-20 --locoid 4012 --swversion DE.1.0.9.0 --startMP 204:428 --initTime 2017-09-20T12:32:45 --startdatetime 2017-09-20T12:37:27 --delay 207 --endMP 300:112511 --enddatetime 2017-09-20T13:07:35 --enforcementcount 0 &gt;&gt;c:\users\tmcdowell\Documents\GitHub\eaglep3-reporting\EC\2017-09-20-refined-times.txt</v>
      </c>
      <c r="AI240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11.2511"},{"id":17,"name":"Train ID","value":"61-20"},{"id":16,"name":"Locomotive ID","value":"4012"},{"id":130,"name":"Impact","value":""},{"id":150,"name":"Time of Event (Mountain Time)","value":"13:07:35"},{"id":151,"name":"Denver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7"/>
        <v>start /low /b %USERPROFILE%\Documents\GitHub\eaglep3\Utilities\DownloadLogsFromS3.py --loco 4012 --day 2017-09-20</v>
      </c>
      <c r="AN24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99"/>
        <v>https://d0f6bd738d7f1b3e5a7ca70fe4ff75f0.us-east-1.aws.found.io/app/kibana#/discover/Steve-Slow-Train-Analysis-(2080s-and-2083s)?_g=(refreshInterval:(display:Off,pause:!f,section:0,value:0),time:(from:'2017-09-20T11:32:45-0600',mode:absolute,to:'2017-09-20T14:07:35-0600'))&amp;_a=(columns:!('Message%20ID',Summary),filters:!(),index:'emp_*',interval:auto,query:(query_string:(analyze_wildcard:!t,query:'Message%5C+ID:(*)+AND+%22rtdc.l.rtdc.4012%22')),sort:!(Time.ISO8601,asc))</v>
      </c>
    </row>
    <row r="241" spans="1:91" x14ac:dyDescent="0.25">
      <c r="A241" s="32" t="s">
        <v>588</v>
      </c>
      <c r="B241" s="7">
        <v>4011</v>
      </c>
      <c r="C241" s="21" t="s">
        <v>196</v>
      </c>
      <c r="D241" s="21" t="s">
        <v>929</v>
      </c>
      <c r="E241" s="13">
        <v>42998.392384259256</v>
      </c>
      <c r="F241" s="13">
        <v>42998.394803240742</v>
      </c>
      <c r="G241" s="7">
        <v>75</v>
      </c>
      <c r="H241" s="21" t="s">
        <v>930</v>
      </c>
      <c r="I241" s="13">
        <v>42998.416921296295</v>
      </c>
      <c r="J241" s="7">
        <v>0</v>
      </c>
      <c r="K241" s="89" t="str">
        <f t="shared" si="84"/>
        <v>4011/4012</v>
      </c>
      <c r="L241" s="185" t="str">
        <f>VLOOKUP(A241,'Trips&amp;Operators'!$C$1:$G$99911,5,FALSE)</f>
        <v>HUFFSMITH MONTY</v>
      </c>
      <c r="M241" s="6">
        <f t="shared" si="85"/>
        <v>2.2118055552709848E-2</v>
      </c>
      <c r="N241" s="7">
        <f t="shared" si="100"/>
        <v>31.849999995902181</v>
      </c>
      <c r="O241" s="7"/>
      <c r="P241" s="7"/>
      <c r="Q241" s="22"/>
      <c r="R241" s="174"/>
      <c r="S241" s="221">
        <f t="shared" si="86"/>
        <v>1</v>
      </c>
      <c r="T241" s="174" t="str">
        <f t="shared" si="87"/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88"/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1" s="204" t="str">
        <f>IF(AA241&lt;VLOOKUP(AG241,Variables!$AC$3:$AD$8,2,FALSE),"Y","N")</f>
        <v>Y</v>
      </c>
      <c r="X241" s="204">
        <f t="shared" si="89"/>
        <v>1</v>
      </c>
      <c r="Y241" s="204">
        <f t="shared" si="101"/>
        <v>11.2202</v>
      </c>
      <c r="Z241" s="204">
        <f t="shared" si="102"/>
        <v>1.11E-2</v>
      </c>
      <c r="AA241" s="204">
        <f t="shared" si="90"/>
        <v>11.209099999999999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91"/>
        <v>62</v>
      </c>
      <c r="AE241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1" s="74" t="str">
        <f t="shared" si="93"/>
        <v>"C:\Program Files (x86)\AstroGrep\AstroGrep.exe" /e /r /s /spath="%USERPROFILE%\AppData\Local\Temp\OnboardLogs" /stypes="app*4011*20170920*" /stext=" 16:.+((SYSTEM_STATE.+slice.+state.+changed )|(ment ac)|(multiple cpu faults)|(system.+state.+changed )|(\[timeout)|(PRM\|1\|D)|(kpr)|(kdp)|(train st.+moving)|(\|lc)|(penalty))"</v>
      </c>
      <c r="AG241" s="182" t="str">
        <f t="shared" si="94"/>
        <v>Shuttle/Test</v>
      </c>
      <c r="AH241" s="78" t="str">
        <f t="shared" si="95"/>
        <v>"%USERPROFILE%\Documents\GitHub\eaglep3\Utilities\RefineRTDCRunTimes.py" --tripid 62-20 --locoid 4011 --swversion DE.1.0.9.0 --startMP 300:112202 --initTime 2017-09-20T09:25:02 --startdatetime 2017-09-20T09:28:31 --delay 75 --endMP 204:111 --enddatetime 2017-09-20T10:00:22 --enforcementcount 0 &gt;&gt;c:\users\tmcdowell\Documents\GitHub\eaglep3-reporting\EC\2017-09-20-refined-times.txt</v>
      </c>
      <c r="AI241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0.0111"},{"id":17,"name":"Train ID","value":"62-20"},{"id":16,"name":"Locomotive ID","value":"4011"},{"id":130,"name":"Impact","value":""},{"id":150,"name":"Time of Event (Mountain Time)","value":"10:00:22"},{"id":151,"name":"Denver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7"/>
        <v>start /low /b %USERPROFILE%\Documents\GitHub\eaglep3\Utilities\DownloadLogsFromS3.py --loco 4011 --day 2017-09-20</v>
      </c>
      <c r="AN24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99"/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Message%20ID',Summary),filters:!(),index:'emp_*',interval:auto,query:(query_string:(analyze_wildcard:!t,query:'Message%5C+ID:(*)+AND+%22rtdc.l.rtdc.4011%22')),sort:!(Time.ISO8601,asc))</v>
      </c>
    </row>
    <row r="242" spans="1:91" x14ac:dyDescent="0.25">
      <c r="A242" s="32" t="s">
        <v>588</v>
      </c>
      <c r="B242" s="7">
        <v>4011</v>
      </c>
      <c r="C242" s="21" t="s">
        <v>196</v>
      </c>
      <c r="D242" s="21" t="s">
        <v>931</v>
      </c>
      <c r="E242" s="13">
        <v>42998.495868055557</v>
      </c>
      <c r="F242" s="13">
        <v>42998.498472222222</v>
      </c>
      <c r="G242" s="7">
        <v>110</v>
      </c>
      <c r="H242" s="21" t="s">
        <v>932</v>
      </c>
      <c r="I242" s="13">
        <v>42998.521944444445</v>
      </c>
      <c r="J242" s="7">
        <v>0</v>
      </c>
      <c r="K242" s="89" t="str">
        <f t="shared" si="84"/>
        <v>4011/4012</v>
      </c>
      <c r="L242" s="185" t="str">
        <f>VLOOKUP(A242,'Trips&amp;Operators'!$C$1:$G$99911,5,FALSE)</f>
        <v>HUFFSMITH MONTY</v>
      </c>
      <c r="M242" s="6">
        <f t="shared" si="85"/>
        <v>2.3472222223063E-2</v>
      </c>
      <c r="N242" s="7">
        <f t="shared" si="100"/>
        <v>33.800000001210719</v>
      </c>
      <c r="O242" s="7"/>
      <c r="P242" s="7"/>
      <c r="Q242" s="22"/>
      <c r="R242" s="174"/>
      <c r="S242" s="221">
        <f t="shared" si="86"/>
        <v>1</v>
      </c>
      <c r="T242" s="174" t="str">
        <f t="shared" si="87"/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 t="shared" si="88"/>
        <v>https://d0f6bd738d7f1b3e5a7ca70fe4ff75f0.us-east-1.aws.found.io/app/kibana#/discover/Steve-Slow-Train-Analysis-(2080s-and-2083s)?_g=(refreshInterval:(display:Off,pause:!f,section:0,value:0),time:(from:'2017-09-20T10:54:03-0600',mode:absolute,to:'2017-09-20T13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2" s="204" t="str">
        <f>IF(AA242&lt;VLOOKUP(AG242,Variables!$AC$3:$AD$8,2,FALSE),"Y","N")</f>
        <v>Y</v>
      </c>
      <c r="X242" s="204">
        <f t="shared" si="89"/>
        <v>0</v>
      </c>
      <c r="Y242" s="204">
        <f t="shared" si="101"/>
        <v>11.219099999999999</v>
      </c>
      <c r="Z242" s="204">
        <f t="shared" si="102"/>
        <v>1.4200000000000001E-2</v>
      </c>
      <c r="AA242" s="204">
        <f t="shared" si="90"/>
        <v>11.204899999999999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91"/>
        <v>62</v>
      </c>
      <c r="AE242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2" s="74" t="str">
        <f t="shared" si="93"/>
        <v>"C:\Program Files (x86)\AstroGrep\AstroGrep.exe" /e /r /s /spath="%USERPROFILE%\AppData\Local\Temp\OnboardLogs" /stypes="app*4011*20170920*" /stext=" 18:.+((SYSTEM_STATE.+slice.+state.+changed )|(ment ac)|(multiple cpu faults)|(system.+state.+changed )|(\[timeout)|(PRM\|1\|D)|(kpr)|(kdp)|(train st.+moving)|(\|lc)|(penalty))"</v>
      </c>
      <c r="AG242" s="182" t="str">
        <f t="shared" si="94"/>
        <v>Shuttle/Test</v>
      </c>
      <c r="AH242" s="78" t="str">
        <f t="shared" si="95"/>
        <v>"%USERPROFILE%\Documents\GitHub\eaglep3\Utilities\RefineRTDCRunTimes.py" --tripid 62-20 --locoid 4011 --swversion DE.1.0.9.0 --startMP 300:112191 --initTime 2017-09-20T11:54:03 --startdatetime 2017-09-20T11:57:48 --delay 110 --endMP 204:142 --enddatetime 2017-09-20T12:31:36 --enforcementcount 0 &gt;&gt;c:\users\tmcdowell\Documents\GitHub\eaglep3-reporting\EC\2017-09-20-refined-times.txt</v>
      </c>
      <c r="AI242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0.0142"},{"id":17,"name":"Train ID","value":"62-20"},{"id":16,"name":"Locomotive ID","value":"4011"},{"id":130,"name":"Impact","value":""},{"id":150,"name":"Time of Event (Mountain Time)","value":"12:31:36"},{"id":151,"name":"Denver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7"/>
        <v>start /low /b %USERPROFILE%\Documents\GitHub\eaglep3\Utilities\DownloadLogsFromS3.py --loco 4011 --day 2017-09-20</v>
      </c>
      <c r="AN24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99"/>
        <v>https://d0f6bd738d7f1b3e5a7ca70fe4ff75f0.us-east-1.aws.found.io/app/kibana#/discover/Steve-Slow-Train-Analysis-(2080s-and-2083s)?_g=(refreshInterval:(display:Off,pause:!f,section:0,value:0),time:(from:'2017-09-20T10:54:03-0600',mode:absolute,to:'2017-09-20T13:31:36-0600'))&amp;_a=(columns:!('Message%20ID',Summary),filters:!(),index:'emp_*',interval:auto,query:(query_string:(analyze_wildcard:!t,query:'Message%5C+ID:(*)+AND+%22rtdc.l.rtdc.4011%22')),sort:!(Time.ISO8601,asc))</v>
      </c>
    </row>
    <row r="243" spans="1:91" s="20" customFormat="1" x14ac:dyDescent="0.25">
      <c r="A243" s="32" t="s">
        <v>587</v>
      </c>
      <c r="B243" s="7">
        <v>4012</v>
      </c>
      <c r="C243" s="21" t="s">
        <v>196</v>
      </c>
      <c r="D243" s="21" t="s">
        <v>933</v>
      </c>
      <c r="E243" s="13">
        <v>42998.360300925924</v>
      </c>
      <c r="F243" s="13">
        <v>42998.372407407405</v>
      </c>
      <c r="G243" s="7">
        <v>65</v>
      </c>
      <c r="H243" s="21" t="s">
        <v>926</v>
      </c>
      <c r="I243" s="13">
        <v>42998.390810185185</v>
      </c>
      <c r="J243" s="7">
        <v>0</v>
      </c>
      <c r="K243" s="89" t="str">
        <f t="shared" si="84"/>
        <v>4011/4012</v>
      </c>
      <c r="L243" s="185" t="str">
        <f>VLOOKUP(A243,'Trips&amp;Operators'!$C$1:$G$99911,5,FALSE)</f>
        <v>HUFFSMITH MONTY</v>
      </c>
      <c r="M243" s="6">
        <f t="shared" si="85"/>
        <v>1.8402777779556345E-2</v>
      </c>
      <c r="N243" s="7">
        <f t="shared" si="100"/>
        <v>26.500000002561137</v>
      </c>
      <c r="O243" s="7"/>
      <c r="P243" s="7"/>
      <c r="Q243" s="22"/>
      <c r="R243" s="174"/>
      <c r="S243" s="221">
        <f t="shared" si="86"/>
        <v>0</v>
      </c>
      <c r="T243" s="174" t="str">
        <f t="shared" si="87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88"/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3" s="204" t="str">
        <f>IF(AA243&lt;VLOOKUP(AG243,Variables!$AC$3:$AD$8,2,FALSE),"Y","N")</f>
        <v>Y</v>
      </c>
      <c r="X243" s="204">
        <f t="shared" si="89"/>
        <v>1</v>
      </c>
      <c r="Y243" s="204">
        <f t="shared" si="101"/>
        <v>3.0097</v>
      </c>
      <c r="Z243" s="204">
        <f t="shared" si="102"/>
        <v>11.251300000000001</v>
      </c>
      <c r="AA243" s="204">
        <f t="shared" si="90"/>
        <v>8.2416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91"/>
        <v>63</v>
      </c>
      <c r="AE243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3" s="74" t="str">
        <f t="shared" si="93"/>
        <v>"C:\Program Files (x86)\AstroGrep\AstroGrep.exe" /e /r /s /spath="%USERPROFILE%\AppData\Local\Temp\OnboardLogs" /stypes="app*4012*20170920*" /stext=" 15:.+((SYSTEM_STATE.+slice.+state.+changed )|(ment ac)|(multiple cpu faults)|(system.+state.+changed )|(\[timeout)|(PRM\|1\|D)|(kpr)|(kdp)|(train st.+moving)|(\|lc)|(penalty))"</v>
      </c>
      <c r="AG243" s="182" t="str">
        <f t="shared" si="94"/>
        <v>Shuttle/Test</v>
      </c>
      <c r="AH243" s="78" t="str">
        <f t="shared" si="95"/>
        <v>"%USERPROFILE%\Documents\GitHub\eaglep3\Utilities\RefineRTDCRunTimes.py" --tripid 63-20 --locoid 4012 --swversion DE.1.0.9.0 --startMP 300:30097 --initTime 2017-09-20T08:38:50 --startdatetime 2017-09-20T08:56:16 --delay 65 --endMP 300:112513 --enddatetime 2017-09-20T09:22:46 --enforcementcount 0 &gt;&gt;c:\users\tmcdowell\Documents\GitHub\eaglep3-reporting\EC\2017-09-20-refined-times.txt</v>
      </c>
      <c r="AI24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ID","value":"63-20"},{"id":16,"name":"Locomotive ID","value":"4012"},{"id":130,"name":"Impact","value":""},{"id":150,"name":"Time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3" s="47"/>
      <c r="AL243" s="47"/>
      <c r="AM243" s="142" t="str">
        <f t="shared" si="97"/>
        <v>start /low /b %USERPROFILE%\Documents\GitHub\eaglep3\Utilities\DownloadLogsFromS3.py --loco 4012 --day 2017-09-20</v>
      </c>
      <c r="AN24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99"/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Message%20ID',Summary),filters:!(),index:'emp_*',interval:auto,query:(query_string:(analyze_wildcard:!t,query:'Message%5C+ID:(*)+AND+%22rtdc.l.rtdc.4012%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587</v>
      </c>
      <c r="B244" s="7">
        <v>4012</v>
      </c>
      <c r="C244" s="21" t="s">
        <v>196</v>
      </c>
      <c r="D244" s="21" t="s">
        <v>933</v>
      </c>
      <c r="E244" s="13">
        <v>42998.358749999999</v>
      </c>
      <c r="F244" s="13">
        <v>42998.372407407405</v>
      </c>
      <c r="G244" s="7">
        <v>126</v>
      </c>
      <c r="H244" s="21" t="s">
        <v>926</v>
      </c>
      <c r="I244" s="13">
        <v>42998.390810185185</v>
      </c>
      <c r="J244" s="7">
        <v>0</v>
      </c>
      <c r="K244" s="89" t="str">
        <f t="shared" si="84"/>
        <v>4011/4012</v>
      </c>
      <c r="L244" s="185" t="str">
        <f>VLOOKUP(A244,'Trips&amp;Operators'!$C$1:$G$99911,5,FALSE)</f>
        <v>HUFFSMITH MONTY</v>
      </c>
      <c r="M244" s="6">
        <f t="shared" si="85"/>
        <v>1.8402777779556345E-2</v>
      </c>
      <c r="N244" s="7">
        <f t="shared" si="100"/>
        <v>26.500000002561137</v>
      </c>
      <c r="O244" s="7"/>
      <c r="P244" s="7"/>
      <c r="Q244" s="22"/>
      <c r="R244" s="174"/>
      <c r="S244" s="221">
        <f t="shared" si="86"/>
        <v>0</v>
      </c>
      <c r="T244" s="174" t="str">
        <f t="shared" si="87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 t="shared" si="88"/>
        <v>https://d0f6bd738d7f1b3e5a7ca70fe4ff75f0.us-east-1.aws.found.io/app/kibana#/discover/Steve-Slow-Train-Analysis-(2080s-and-2083s)?_g=(refreshInterval:(display:Off,pause:!f,section:0,value:0),time:(from:'2017-09-20T07:36:36-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4" s="204" t="str">
        <f>IF(AA244&lt;VLOOKUP(AG244,Variables!$AC$3:$AD$8,2,FALSE),"Y","N")</f>
        <v>Y</v>
      </c>
      <c r="X244" s="204">
        <f t="shared" si="89"/>
        <v>0</v>
      </c>
      <c r="Y244" s="204">
        <f t="shared" si="101"/>
        <v>3.0097</v>
      </c>
      <c r="Z244" s="204">
        <f t="shared" si="102"/>
        <v>11.251300000000001</v>
      </c>
      <c r="AA244" s="204">
        <f t="shared" si="90"/>
        <v>8.2416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91"/>
        <v>63</v>
      </c>
      <c r="AE244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4" s="74" t="str">
        <f t="shared" si="93"/>
        <v>"C:\Program Files (x86)\AstroGrep\AstroGrep.exe" /e /r /s /spath="%USERPROFILE%\AppData\Local\Temp\OnboardLogs" /stypes="app*4012*20170920*" /stext=" 15:.+((SYSTEM_STATE.+slice.+state.+changed )|(ment ac)|(multiple cpu faults)|(system.+state.+changed )|(\[timeout)|(PRM\|1\|D)|(kpr)|(kdp)|(train st.+moving)|(\|lc)|(penalty))"</v>
      </c>
      <c r="AG244" s="182" t="str">
        <f t="shared" si="94"/>
        <v>Shuttle/Test</v>
      </c>
      <c r="AH244" s="78" t="str">
        <f t="shared" si="95"/>
        <v>"%USERPROFILE%\Documents\GitHub\eaglep3\Utilities\RefineRTDCRunTimes.py" --tripid 63-20 --locoid 4012 --swversion DE.1.0.9.0 --startMP 300:30097 --initTime 2017-09-20T08:36:36 --startdatetime 2017-09-20T08:56:16 --delay 126 --endMP 300:112513 --enddatetime 2017-09-20T09:22:46 --enforcementcount 0 &gt;&gt;c:\users\tmcdowell\Documents\GitHub\eaglep3-reporting\EC\2017-09-20-refined-times.txt</v>
      </c>
      <c r="AI24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ID","value":"63-20"},{"id":16,"name":"Locomotive ID","value":"4012"},{"id":130,"name":"Impact","value":""},{"id":150,"name":"Time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 t="shared" si="97"/>
        <v>start /low /b %USERPROFILE%\Documents\GitHub\eaglep3\Utilities\DownloadLogsFromS3.py --loco 4012 --day 2017-09-20</v>
      </c>
      <c r="AN24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99"/>
        <v>https://d0f6bd738d7f1b3e5a7ca70fe4ff75f0.us-east-1.aws.found.io/app/kibana#/discover/Steve-Slow-Train-Analysis-(2080s-and-2083s)?_g=(refreshInterval:(display:Off,pause:!f,section:0,value:0),time:(from:'2017-09-20T07:36:36-0600',mode:absolute,to:'2017-09-20T10:22:46-0600'))&amp;_a=(columns:!('Message%20ID',Summary),filters:!(),index:'emp_*',interval:auto,query:(query_string:(analyze_wildcard:!t,query:'Message%5C+ID:(*)+AND+%22rtdc.l.rtdc.4012%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 s="32" t="s">
        <v>587</v>
      </c>
      <c r="B245" s="7">
        <v>4012</v>
      </c>
      <c r="C245" s="21" t="s">
        <v>196</v>
      </c>
      <c r="D245" s="21" t="s">
        <v>415</v>
      </c>
      <c r="E245" s="13">
        <v>42998.47246527778</v>
      </c>
      <c r="F245" s="13">
        <v>42998.474282407406</v>
      </c>
      <c r="G245" s="7">
        <v>69</v>
      </c>
      <c r="H245" s="21" t="s">
        <v>934</v>
      </c>
      <c r="I245" s="13">
        <v>42998.494525462964</v>
      </c>
      <c r="J245" s="7">
        <v>0</v>
      </c>
      <c r="K245" s="89" t="str">
        <f t="shared" si="84"/>
        <v>4011/4012</v>
      </c>
      <c r="L245" s="185" t="str">
        <f>VLOOKUP(A245,'Trips&amp;Operators'!$C$1:$G$99911,5,FALSE)</f>
        <v>HUFFSMITH MONTY</v>
      </c>
      <c r="M245" s="6">
        <f t="shared" si="85"/>
        <v>2.0243055558239575E-2</v>
      </c>
      <c r="N245" s="7">
        <f t="shared" si="100"/>
        <v>29.150000003864989</v>
      </c>
      <c r="O245" s="7"/>
      <c r="P245" s="7"/>
      <c r="Q245" s="22"/>
      <c r="R245" s="174"/>
      <c r="S245" s="221">
        <f t="shared" si="86"/>
        <v>1</v>
      </c>
      <c r="T245" s="174" t="str">
        <f t="shared" si="87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88"/>
        <v>https://d0f6bd738d7f1b3e5a7ca70fe4ff75f0.us-east-1.aws.found.io/app/kibana#/discover/Steve-Slow-Train-Analysis-(2080s-and-2083s)?_g=(refreshInterval:(display:Off,pause:!f,section:0,value:0),time:(from:'2017-09-20T10:20:21-0600',mode:absolute,to:'2017-09-20T12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5" s="204" t="str">
        <f>IF(AA245&lt;VLOOKUP(AG245,Variables!$AC$3:$AD$8,2,FALSE),"Y","N")</f>
        <v>Y</v>
      </c>
      <c r="X245" s="204">
        <f t="shared" si="89"/>
        <v>0</v>
      </c>
      <c r="Y245" s="204">
        <f t="shared" si="101"/>
        <v>4.3700000000000003E-2</v>
      </c>
      <c r="Z245" s="204">
        <f t="shared" si="102"/>
        <v>11.2515</v>
      </c>
      <c r="AA245" s="204">
        <f t="shared" si="90"/>
        <v>11.207800000000001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91"/>
        <v>63</v>
      </c>
      <c r="AE245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5" s="74" t="str">
        <f t="shared" si="93"/>
        <v>"C:\Program Files (x86)\AstroGrep\AstroGrep.exe" /e /r /s /spath="%USERPROFILE%\AppData\Local\Temp\OnboardLogs" /stypes="app*4012*20170920*" /stext=" 17:.+((SYSTEM_STATE.+slice.+state.+changed )|(ment ac)|(multiple cpu faults)|(system.+state.+changed )|(\[timeout)|(PRM\|1\|D)|(kpr)|(kdp)|(train st.+moving)|(\|lc)|(penalty))"</v>
      </c>
      <c r="AG245" s="182" t="str">
        <f t="shared" si="94"/>
        <v>Shuttle/Test</v>
      </c>
      <c r="AH245" s="78" t="str">
        <f t="shared" si="95"/>
        <v>"%USERPROFILE%\Documents\GitHub\eaglep3\Utilities\RefineRTDCRunTimes.py" --tripid 63-20 --locoid 4012 --swversion DE.1.0.9.0 --startMP 204:437 --initTime 2017-09-20T11:20:21 --startdatetime 2017-09-20T11:22:58 --delay 69 --endMP 300:112515 --enddatetime 2017-09-20T11:52:07 --enforcementcount 0 &gt;&gt;c:\users\tmcdowell\Documents\GitHub\eaglep3-reporting\EC\2017-09-20-refined-times.txt</v>
      </c>
      <c r="AI24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11.2515"},{"id":17,"name":"Train ID","value":"63-20"},{"id":16,"name":"Locomotive ID","value":"4012"},{"id":130,"name":"Impact","value":""},{"id":150,"name":"Time of Event (Mountain Time)","value":"11:52:07"},{"id":151,"name":"Denver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7"/>
        <v>start /low /b %USERPROFILE%\Documents\GitHub\eaglep3\Utilities\DownloadLogsFromS3.py --loco 4012 --day 2017-09-20</v>
      </c>
      <c r="AN24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99"/>
        <v>https://d0f6bd738d7f1b3e5a7ca70fe4ff75f0.us-east-1.aws.found.io/app/kibana#/discover/Steve-Slow-Train-Analysis-(2080s-and-2083s)?_g=(refreshInterval:(display:Off,pause:!f,section:0,value:0),time:(from:'2017-09-20T10:20:21-0600',mode:absolute,to:'2017-09-20T12:52:07-0600'))&amp;_a=(columns:!('Message%20ID',Summary),filters:!(),index:'emp_*',interval:auto,query:(query_string:(analyze_wildcard:!t,query:'Message%5C+ID:(*)+AND+%22rtdc.l.rtdc.4012%22')),sort:!(Time.ISO8601,asc))</v>
      </c>
    </row>
    <row r="246" spans="1:91" x14ac:dyDescent="0.25">
      <c r="A246" s="32" t="s">
        <v>746</v>
      </c>
      <c r="B246" s="7">
        <v>4011</v>
      </c>
      <c r="C246" s="21" t="s">
        <v>196</v>
      </c>
      <c r="D246" s="21" t="s">
        <v>935</v>
      </c>
      <c r="E246" s="13">
        <v>42998.606874999998</v>
      </c>
      <c r="F246" s="13">
        <v>42998.610254629632</v>
      </c>
      <c r="G246" s="7">
        <v>198</v>
      </c>
      <c r="H246" s="21" t="s">
        <v>338</v>
      </c>
      <c r="I246" s="13">
        <v>42998.629004629627</v>
      </c>
      <c r="J246" s="7">
        <v>0</v>
      </c>
      <c r="K246" s="89" t="str">
        <f t="shared" si="84"/>
        <v>4011/4012</v>
      </c>
      <c r="L246" s="185" t="str">
        <f>VLOOKUP(A246,'Trips&amp;Operators'!$C$1:$G$99911,5,FALSE)</f>
        <v>ZEWDU DEREJE</v>
      </c>
      <c r="M246" s="6">
        <f t="shared" si="85"/>
        <v>1.8749999995634425E-2</v>
      </c>
      <c r="N246" s="7">
        <f t="shared" si="100"/>
        <v>26.999999993713573</v>
      </c>
      <c r="O246" s="7"/>
      <c r="P246" s="7"/>
      <c r="Q246" s="22"/>
      <c r="R246" s="174"/>
      <c r="S246" s="221">
        <f t="shared" si="86"/>
        <v>1</v>
      </c>
      <c r="T246" s="174" t="str">
        <f t="shared" si="87"/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 t="shared" si="88"/>
        <v>https://d0f6bd738d7f1b3e5a7ca70fe4ff75f0.us-east-1.aws.found.io/app/kibana#/discover/Steve-Slow-Train-Analysis-(2080s-and-2083s)?_g=(refreshInterval:(display:Off,pause:!f,section:0,value:0),time:(from:'2017-09-20T13:33:54-0600',mode:absolute,to:'2017-09-20T16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6" s="204" t="str">
        <f>IF(AA246&lt;VLOOKUP(AG246,Variables!$AC$3:$AD$8,2,FALSE),"Y","N")</f>
        <v>Y</v>
      </c>
      <c r="X246" s="204">
        <f t="shared" si="89"/>
        <v>7</v>
      </c>
      <c r="Y246" s="204">
        <f t="shared" si="101"/>
        <v>11.2148</v>
      </c>
      <c r="Z246" s="204">
        <f t="shared" si="102"/>
        <v>1.49E-2</v>
      </c>
      <c r="AA246" s="204">
        <f t="shared" si="90"/>
        <v>11.1999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 t="shared" si="91"/>
        <v>70</v>
      </c>
      <c r="AE246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6" s="74" t="str">
        <f t="shared" si="93"/>
        <v>"C:\Program Files (x86)\AstroGrep\AstroGrep.exe" /e /r /s /spath="%USERPROFILE%\AppData\Local\Temp\OnboardLogs" /stypes="app*4011*20170920*" /stext=" 21:.+((SYSTEM_STATE.+slice.+state.+changed )|(ment ac)|(multiple cpu faults)|(system.+state.+changed )|(\[timeout)|(PRM\|1\|D)|(kpr)|(kdp)|(train st.+moving)|(\|lc)|(penalty))"</v>
      </c>
      <c r="AG246" s="182" t="str">
        <f t="shared" si="94"/>
        <v>Shuttle/Test</v>
      </c>
      <c r="AH246" s="78" t="str">
        <f t="shared" si="95"/>
        <v>"%USERPROFILE%\Documents\GitHub\eaglep3\Utilities\RefineRTDCRunTimes.py" --tripid 70-20 --locoid 4011 --swversion DE.1.0.9.0 --startMP 300:112148 --initTime 2017-09-20T14:33:54 --startdatetime 2017-09-20T14:38:46 --delay 198 --endMP 204:149 --enddatetime 2017-09-20T15:05:46 --enforcementcount 0 &gt;&gt;c:\users\tmcdowell\Documents\GitHub\eaglep3-reporting\EC\2017-09-20-refined-times.txt</v>
      </c>
      <c r="AI24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0.0149"},{"id":17,"name":"Train ID","value":"70-20"},{"id":16,"name":"Locomotive ID","value":"4011"},{"id":130,"name":"Impact","value":""},{"id":150,"name":"Time of Event (Mountain Time)","value":"15:05:46"},{"id":151,"name":"Denver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7"/>
        <v>start /low /b %USERPROFILE%\Documents\GitHub\eaglep3\Utilities\DownloadLogsFromS3.py --loco 4011 --day 2017-09-20</v>
      </c>
      <c r="AN24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99"/>
        <v>https://d0f6bd738d7f1b3e5a7ca70fe4ff75f0.us-east-1.aws.found.io/app/kibana#/discover/Steve-Slow-Train-Analysis-(2080s-and-2083s)?_g=(refreshInterval:(display:Off,pause:!f,section:0,value:0),time:(from:'2017-09-20T13:33:54-0600',mode:absolute,to:'2017-09-20T16:05:46-0600'))&amp;_a=(columns:!('Message%20ID',Summary),filters:!(),index:'emp_*',interval:auto,query:(query_string:(analyze_wildcard:!t,query:'Message%5C+ID:(*)+AND+%22rtdc.l.rtdc.4011%22')),sort:!(Time.ISO8601,asc))</v>
      </c>
    </row>
    <row r="247" spans="1:91" s="20" customFormat="1" x14ac:dyDescent="0.25">
      <c r="A247" s="32" t="s">
        <v>737</v>
      </c>
      <c r="B247" s="7">
        <v>4012</v>
      </c>
      <c r="C247" s="21" t="s">
        <v>196</v>
      </c>
      <c r="D247" s="21" t="s">
        <v>936</v>
      </c>
      <c r="E247" s="13">
        <v>42998.572881944441</v>
      </c>
      <c r="F247" s="13">
        <v>42998.581736111111</v>
      </c>
      <c r="G247" s="7">
        <v>206</v>
      </c>
      <c r="H247" s="21" t="s">
        <v>937</v>
      </c>
      <c r="I247" s="13">
        <v>42998.605266203704</v>
      </c>
      <c r="J247" s="7">
        <v>0</v>
      </c>
      <c r="K247" s="89" t="str">
        <f t="shared" si="84"/>
        <v>4011/4012</v>
      </c>
      <c r="L247" s="185" t="str">
        <f>VLOOKUP(A247,'Trips&amp;Operators'!$C$1:$G$99911,5,FALSE)</f>
        <v>ZEWDU DEREJE</v>
      </c>
      <c r="M247" s="6">
        <f t="shared" si="85"/>
        <v>2.3530092592409346E-2</v>
      </c>
      <c r="N247" s="7">
        <f t="shared" si="100"/>
        <v>33.883333333069459</v>
      </c>
      <c r="O247" s="7"/>
      <c r="P247" s="7"/>
      <c r="Q247" s="22"/>
      <c r="R247" s="174"/>
      <c r="S247" s="221">
        <f t="shared" si="86"/>
        <v>1</v>
      </c>
      <c r="T247" s="174" t="str">
        <f t="shared" si="87"/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16" t="str">
        <f t="shared" si="88"/>
        <v>https://d0f6bd738d7f1b3e5a7ca70fe4ff75f0.us-east-1.aws.found.io/app/kibana#/discover/Steve-Slow-Train-Analysis-(2080s-and-2083s)?_g=(refreshInterval:(display:Off,pause:!f,section:0,value:0),time:(from:'2017-09-20T12:44:57-0600',mode:absolute,to:'2017-09-20T15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7" s="204" t="str">
        <f>IF(AA247&lt;VLOOKUP(AG247,Variables!$AC$3:$AD$8,2,FALSE),"Y","N")</f>
        <v>Y</v>
      </c>
      <c r="X247" s="204">
        <f t="shared" si="89"/>
        <v>1</v>
      </c>
      <c r="Y247" s="204">
        <f t="shared" si="101"/>
        <v>4.41E-2</v>
      </c>
      <c r="Z247" s="204">
        <f t="shared" si="102"/>
        <v>11.247</v>
      </c>
      <c r="AA247" s="204">
        <f t="shared" si="90"/>
        <v>11.2029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 t="shared" si="91"/>
        <v>71</v>
      </c>
      <c r="AE247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7" s="74" t="str">
        <f t="shared" si="93"/>
        <v>"C:\Program Files (x86)\AstroGrep\AstroGrep.exe" /e /r /s /spath="%USERPROFILE%\AppData\Local\Temp\OnboardLogs" /stypes="app*4012*20170920*" /stext=" 20:.+((SYSTEM_STATE.+slice.+state.+changed )|(ment ac)|(multiple cpu faults)|(system.+state.+changed )|(\[timeout)|(PRM\|1\|D)|(kpr)|(kdp)|(train st.+moving)|(\|lc)|(penalty))"</v>
      </c>
      <c r="AG247" s="182" t="str">
        <f t="shared" si="94"/>
        <v>Shuttle/Test</v>
      </c>
      <c r="AH247" s="78" t="str">
        <f t="shared" si="95"/>
        <v>"%USERPROFILE%\Documents\GitHub\eaglep3\Utilities\RefineRTDCRunTimes.py" --tripid 71-20 --locoid 4012 --swversion DE.1.0.9.0 --startMP 204:441 --initTime 2017-09-20T13:44:57 --startdatetime 2017-09-20T13:57:42 --delay 206 --endMP 300:112470 --enddatetime 2017-09-20T14:31:35 --enforcementcount 0 &gt;&gt;c:\users\tmcdowell\Documents\GitHub\eaglep3-reporting\EC\2017-09-20-refined-times.txt</v>
      </c>
      <c r="AI24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11.247"},{"id":17,"name":"Train ID","value":"71-20"},{"id":16,"name":"Locomotive ID","value":"4012"},{"id":130,"name":"Impact","value":""},{"id":150,"name":"Time of Event (Mountain Time)","value":"14:31:35"},{"id":151,"name":"Denver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7" s="47"/>
      <c r="AL247" s="47"/>
      <c r="AM247" s="142" t="str">
        <f t="shared" si="97"/>
        <v>start /low /b %USERPROFILE%\Documents\GitHub\eaglep3\Utilities\DownloadLogsFromS3.py --loco 4012 --day 2017-09-20</v>
      </c>
      <c r="AN24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99"/>
        <v>https://d0f6bd738d7f1b3e5a7ca70fe4ff75f0.us-east-1.aws.found.io/app/kibana#/discover/Steve-Slow-Train-Analysis-(2080s-and-2083s)?_g=(refreshInterval:(display:Off,pause:!f,section:0,value:0),time:(from:'2017-09-20T12:44:57-0600',mode:absolute,to:'2017-09-20T15:31:35-0600'))&amp;_a=(columns:!('Message%20ID',Summary),filters:!(),index:'emp_*',interval:auto,query:(query_string:(analyze_wildcard:!t,query:'Message%5C+ID:(*)+AND+%22rtdc.l.rtdc.4012%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 s="32" t="s">
        <v>737</v>
      </c>
      <c r="B248" s="7">
        <v>4012</v>
      </c>
      <c r="C248" s="21" t="s">
        <v>196</v>
      </c>
      <c r="D248" s="21" t="s">
        <v>402</v>
      </c>
      <c r="E248" s="13">
        <v>42998.63082175926</v>
      </c>
      <c r="F248" s="13">
        <v>42998.63318287037</v>
      </c>
      <c r="G248" s="7">
        <v>82</v>
      </c>
      <c r="H248" s="21" t="s">
        <v>938</v>
      </c>
      <c r="I248" s="13">
        <v>42998.656238425923</v>
      </c>
      <c r="J248" s="7">
        <v>0</v>
      </c>
      <c r="K248" s="89" t="str">
        <f t="shared" si="84"/>
        <v>4011/4012</v>
      </c>
      <c r="L248" s="185" t="str">
        <f>VLOOKUP(A248,'Trips&amp;Operators'!$C$1:$G$99911,5,FALSE)</f>
        <v>ZEWDU DEREJE</v>
      </c>
      <c r="M248" s="6">
        <f t="shared" si="85"/>
        <v>2.3055555553582963E-2</v>
      </c>
      <c r="N248" s="7">
        <f t="shared" si="100"/>
        <v>33.199999997159466</v>
      </c>
      <c r="O248" s="7"/>
      <c r="P248" s="7"/>
      <c r="Q248" s="22"/>
      <c r="R248" s="174"/>
      <c r="S248" s="221">
        <f t="shared" si="86"/>
        <v>1</v>
      </c>
      <c r="T248" s="174" t="str">
        <f t="shared" si="87"/>
        <v>NorthBound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16" t="str">
        <f t="shared" si="88"/>
        <v>https://d0f6bd738d7f1b3e5a7ca70fe4ff75f0.us-east-1.aws.found.io/app/kibana#/discover/Steve-Slow-Train-Analysis-(2080s-and-2083s)?_g=(refreshInterval:(display:Off,pause:!f,section:0,value:0),time:(from:'2017-09-20T14:08:23-0600',mode:absolute,to:'2017-09-20T16:44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8" s="204" t="str">
        <f>IF(AA248&lt;VLOOKUP(AG248,Variables!$AC$3:$AD$8,2,FALSE),"Y","N")</f>
        <v>Y</v>
      </c>
      <c r="X248" s="204">
        <f t="shared" si="89"/>
        <v>0</v>
      </c>
      <c r="Y248" s="204">
        <f t="shared" si="101"/>
        <v>4.4400000000000002E-2</v>
      </c>
      <c r="Z248" s="204">
        <f t="shared" si="102"/>
        <v>11.2475</v>
      </c>
      <c r="AA248" s="204">
        <f t="shared" si="90"/>
        <v>11.203100000000001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 t="shared" si="91"/>
        <v>71</v>
      </c>
      <c r="AE248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8" s="74" t="str">
        <f t="shared" si="93"/>
        <v>"C:\Program Files (x86)\AstroGrep\AstroGrep.exe" /e /r /s /spath="%USERPROFILE%\AppData\Local\Temp\OnboardLogs" /stypes="app*4012*20170920*" /stext=" 21:.+((SYSTEM_STATE.+slice.+state.+changed )|(ment ac)|(multiple cpu faults)|(system.+state.+changed )|(\[timeout)|(PRM\|1\|D)|(kpr)|(kdp)|(train st.+moving)|(\|lc)|(penalty))"</v>
      </c>
      <c r="AG248" s="182" t="str">
        <f t="shared" si="94"/>
        <v>Shuttle/Test</v>
      </c>
      <c r="AH248" s="78" t="str">
        <f t="shared" si="95"/>
        <v>"%USERPROFILE%\Documents\GitHub\eaglep3\Utilities\RefineRTDCRunTimes.py" --tripid 71-20 --locoid 4012 --swversion DE.1.0.9.0 --startMP 204:444 --initTime 2017-09-20T15:08:23 --startdatetime 2017-09-20T15:11:47 --delay 82 --endMP 300:112475 --enddatetime 2017-09-20T15:44:59 --enforcementcount 0 &gt;&gt;c:\users\tmcdowell\Documents\GitHub\eaglep3-reporting\EC\2017-09-20-refined-times.txt</v>
      </c>
      <c r="AI24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11.2475"},{"id":17,"name":"Train ID","value":"71-20"},{"id":16,"name":"Locomotive ID","value":"4012"},{"id":130,"name":"Impact","value":""},{"id":150,"name":"Time of Event (Mountain Time)","value":"15:44:59"},{"id":151,"name":"Denver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97"/>
        <v>start /low /b %USERPROFILE%\Documents\GitHub\eaglep3\Utilities\DownloadLogsFromS3.py --loco 4012 --day 2017-09-20</v>
      </c>
      <c r="AN24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21:44:59"},{"id":29,"name":"Sharepoint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99"/>
        <v>https://d0f6bd738d7f1b3e5a7ca70fe4ff75f0.us-east-1.aws.found.io/app/kibana#/discover/Steve-Slow-Train-Analysis-(2080s-and-2083s)?_g=(refreshInterval:(display:Off,pause:!f,section:0,value:0),time:(from:'2017-09-20T14:08:23-0600',mode:absolute,to:'2017-09-20T16:44:59-0600'))&amp;_a=(columns:!('Message%20ID',Summary),filters:!(),index:'emp_*',interval:auto,query:(query_string:(analyze_wildcard:!t,query:'Message%5C+ID:(*)+AND+%22rtdc.l.rtdc.4012%22')),sort:!(Time.ISO8601,asc))</v>
      </c>
    </row>
    <row r="249" spans="1:91" x14ac:dyDescent="0.25">
      <c r="A249" s="32" t="s">
        <v>602</v>
      </c>
      <c r="B249" s="7">
        <v>4011</v>
      </c>
      <c r="C249" s="21" t="s">
        <v>196</v>
      </c>
      <c r="D249" s="21" t="s">
        <v>939</v>
      </c>
      <c r="E249" s="13">
        <v>42998.657372685186</v>
      </c>
      <c r="F249" s="13">
        <v>42998.65997685185</v>
      </c>
      <c r="G249" s="7">
        <v>135</v>
      </c>
      <c r="H249" s="21" t="s">
        <v>940</v>
      </c>
      <c r="I249" s="13">
        <v>42998.678888888891</v>
      </c>
      <c r="J249" s="7">
        <v>0</v>
      </c>
      <c r="K249" s="89" t="str">
        <f t="shared" si="84"/>
        <v>4011/4012</v>
      </c>
      <c r="L249" s="185" t="str">
        <f>VLOOKUP(A249,'Trips&amp;Operators'!$C$1:$G$99911,5,FALSE)</f>
        <v>SWANSON BRYCE</v>
      </c>
      <c r="M249" s="6">
        <f t="shared" si="85"/>
        <v>1.8912037041445728E-2</v>
      </c>
      <c r="N249" s="7">
        <f t="shared" si="100"/>
        <v>27.233333339681849</v>
      </c>
      <c r="O249" s="7"/>
      <c r="P249" s="7"/>
      <c r="Q249" s="22"/>
      <c r="R249" s="174"/>
      <c r="S249" s="221">
        <f t="shared" si="86"/>
        <v>1</v>
      </c>
      <c r="T249" s="174" t="str">
        <f t="shared" si="87"/>
        <v>Southbound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16" t="str">
        <f t="shared" si="88"/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9" s="204" t="str">
        <f>IF(AA249&lt;VLOOKUP(AG249,Variables!$AC$3:$AD$8,2,FALSE),"Y","N")</f>
        <v>Y</v>
      </c>
      <c r="X249" s="204">
        <f t="shared" si="89"/>
        <v>1</v>
      </c>
      <c r="Y249" s="204">
        <f t="shared" si="101"/>
        <v>11.215</v>
      </c>
      <c r="Z249" s="204">
        <f t="shared" si="102"/>
        <v>1.46E-2</v>
      </c>
      <c r="AA249" s="204">
        <f t="shared" si="90"/>
        <v>11.2004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 t="shared" si="91"/>
        <v>72</v>
      </c>
      <c r="AE249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9" s="74" t="str">
        <f t="shared" si="93"/>
        <v>"C:\Program Files (x86)\AstroGrep\AstroGrep.exe" /e /r /s /spath="%USERPROFILE%\AppData\Local\Temp\OnboardLogs" /stypes="app*4011*20170920*" /stext=" 22:.+((SYSTEM_STATE.+slice.+state.+changed )|(ment ac)|(multiple cpu faults)|(system.+state.+changed )|(\[timeout)|(PRM\|1\|D)|(kpr)|(kdp)|(train st.+moving)|(\|lc)|(penalty))"</v>
      </c>
      <c r="AG249" s="182" t="str">
        <f t="shared" si="94"/>
        <v>Shuttle/Test</v>
      </c>
      <c r="AH249" s="78" t="str">
        <f t="shared" si="95"/>
        <v>"%USERPROFILE%\Documents\GitHub\eaglep3\Utilities\RefineRTDCRunTimes.py" --tripid 72-20 --locoid 4011 --swversion DE.1.0.9.0 --startMP 300:112150 --initTime 2017-09-20T15:46:37 --startdatetime 2017-09-20T15:50:22 --delay 135 --endMP 204:146 --enddatetime 2017-09-20T16:17:36 --enforcementcount 0 &gt;&gt;c:\users\tmcdowell\Documents\GitHub\eaglep3-reporting\EC\2017-09-20-refined-times.txt</v>
      </c>
      <c r="AI249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0.0146"},{"id":17,"name":"Train ID","value":"72-20"},{"id":16,"name":"Locomotive ID","value":"4011"},{"id":130,"name":"Impact","value":""},{"id":150,"name":"Time of Event (Mountain Time)","value":"16:17:36"},{"id":151,"name":"Denver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97"/>
        <v>start /low /b %USERPROFILE%\Documents\GitHub\eaglep3\Utilities\DownloadLogsFromS3.py --loco 4011 --day 2017-09-20</v>
      </c>
      <c r="AN24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99"/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Message%20ID',Summary),filters:!(),index:'emp_*',interval:auto,query:(query_string:(analyze_wildcard:!t,query:'Message%5C+ID:(*)+AND+%22rtdc.l.rtdc.4011%22')),sort:!(Time.ISO8601,asc))</v>
      </c>
    </row>
    <row r="250" spans="1:91" x14ac:dyDescent="0.25">
      <c r="A250" s="32" t="s">
        <v>602</v>
      </c>
      <c r="B250" s="7">
        <v>4011</v>
      </c>
      <c r="C250" s="21" t="s">
        <v>196</v>
      </c>
      <c r="D250" s="21" t="s">
        <v>931</v>
      </c>
      <c r="E250" s="13">
        <v>42998.704456018517</v>
      </c>
      <c r="F250" s="13">
        <v>42998.706064814818</v>
      </c>
      <c r="G250" s="7">
        <v>62</v>
      </c>
      <c r="H250" s="21" t="s">
        <v>941</v>
      </c>
      <c r="I250" s="13">
        <v>42998.724826388891</v>
      </c>
      <c r="J250" s="7">
        <v>0</v>
      </c>
      <c r="K250" s="89" t="str">
        <f t="shared" si="84"/>
        <v>4011/4012</v>
      </c>
      <c r="L250" s="185" t="str">
        <f>VLOOKUP(A250,'Trips&amp;Operators'!$C$1:$G$99911,5,FALSE)</f>
        <v>SWANSON BRYCE</v>
      </c>
      <c r="M250" s="6">
        <f t="shared" si="85"/>
        <v>1.8761574072414078E-2</v>
      </c>
      <c r="N250" s="7">
        <f t="shared" si="100"/>
        <v>27.016666664276272</v>
      </c>
      <c r="O250" s="7"/>
      <c r="P250" s="7"/>
      <c r="Q250" s="22"/>
      <c r="R250" s="174"/>
      <c r="S250" s="221">
        <f t="shared" si="86"/>
        <v>1</v>
      </c>
      <c r="T250" s="174" t="str">
        <f t="shared" si="87"/>
        <v>Southbound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 t="shared" si="88"/>
        <v>https://d0f6bd738d7f1b3e5a7ca70fe4ff75f0.us-east-1.aws.found.io/app/kibana#/discover/Steve-Slow-Train-Analysis-(2080s-and-2083s)?_g=(refreshInterval:(display:Off,pause:!f,section:0,value:0),time:(from:'2017-09-20T15:54:25-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0" s="204" t="str">
        <f>IF(AA250&lt;VLOOKUP(AG250,Variables!$AC$3:$AD$8,2,FALSE),"Y","N")</f>
        <v>Y</v>
      </c>
      <c r="X250" s="204">
        <f t="shared" si="89"/>
        <v>0</v>
      </c>
      <c r="Y250" s="204">
        <f t="shared" si="101"/>
        <v>11.219099999999999</v>
      </c>
      <c r="Z250" s="204">
        <f t="shared" si="102"/>
        <v>9.3700000000000006E-2</v>
      </c>
      <c r="AA250" s="204">
        <f t="shared" si="90"/>
        <v>11.125399999999999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 t="shared" si="91"/>
        <v>72</v>
      </c>
      <c r="AE250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0" s="74" t="str">
        <f t="shared" si="93"/>
        <v>"C:\Program Files (x86)\AstroGrep\AstroGrep.exe" /e /r /s /spath="%USERPROFILE%\AppData\Local\Temp\OnboardLogs" /stypes="app*4011*20170920*" /stext=" 23:.+((SYSTEM_STATE.+slice.+state.+changed )|(ment ac)|(multiple cpu faults)|(system.+state.+changed )|(\[timeout)|(PRM\|1\|D)|(kpr)|(kdp)|(train st.+moving)|(\|lc)|(penalty))"</v>
      </c>
      <c r="AG250" s="182" t="str">
        <f t="shared" si="94"/>
        <v>Shuttle/Test</v>
      </c>
      <c r="AH250" s="78" t="str">
        <f t="shared" si="95"/>
        <v>"%USERPROFILE%\Documents\GitHub\eaglep3\Utilities\RefineRTDCRunTimes.py" --tripid 72-20 --locoid 4011 --swversion DE.1.0.9.0 --startMP 300:112191 --initTime 2017-09-20T16:54:25 --startdatetime 2017-09-20T16:56:44 --delay 62 --endMP 204:937 --enddatetime 2017-09-20T17:23:45 --enforcementcount 0 &gt;&gt;c:\users\tmcdowell\Documents\GitHub\eaglep3-reporting\EC\2017-09-20-refined-times.txt</v>
      </c>
      <c r="AI250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0.0937"},{"id":17,"name":"Train ID","value":"72-20"},{"id":16,"name":"Locomotive ID","value":"4011"},{"id":130,"name":"Impact","value":""},{"id":150,"name":"Time of Event (Mountain Time)","value":"17:23:45"},{"id":151,"name":"Denver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97"/>
        <v>start /low /b %USERPROFILE%\Documents\GitHub\eaglep3\Utilities\DownloadLogsFromS3.py --loco 4011 --day 2017-09-20</v>
      </c>
      <c r="AN25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99"/>
        <v>https://d0f6bd738d7f1b3e5a7ca70fe4ff75f0.us-east-1.aws.found.io/app/kibana#/discover/Steve-Slow-Train-Analysis-(2080s-and-2083s)?_g=(refreshInterval:(display:Off,pause:!f,section:0,value:0),time:(from:'2017-09-20T15:54:25-0600',mode:absolute,to:'2017-09-20T18:23:45-0600'))&amp;_a=(columns:!('Message%20ID',Summary),filters:!(),index:'emp_*',interval:auto,query:(query_string:(analyze_wildcard:!t,query:'Message%5C+ID:(*)+AND+%22rtdc.l.rtdc.4011%22')),sort:!(Time.ISO8601,asc))</v>
      </c>
    </row>
    <row r="251" spans="1:91" x14ac:dyDescent="0.25">
      <c r="A251" s="32" t="s">
        <v>603</v>
      </c>
      <c r="B251" s="7">
        <v>4012</v>
      </c>
      <c r="C251" s="21" t="s">
        <v>196</v>
      </c>
      <c r="D251" s="21" t="s">
        <v>942</v>
      </c>
      <c r="E251" s="13">
        <v>42998.680277777778</v>
      </c>
      <c r="F251" s="13">
        <v>42998.706064814818</v>
      </c>
      <c r="G251" s="7">
        <v>67</v>
      </c>
      <c r="H251" s="21" t="s">
        <v>943</v>
      </c>
      <c r="I251" s="13">
        <v>42998.724826388891</v>
      </c>
      <c r="J251" s="7">
        <v>0</v>
      </c>
      <c r="K251" s="89" t="str">
        <f t="shared" si="84"/>
        <v>4011/4012</v>
      </c>
      <c r="L251" s="185" t="str">
        <f>VLOOKUP(A251,'Trips&amp;Operators'!$C$1:$G$99911,5,FALSE)</f>
        <v>SWANSON BRYCE</v>
      </c>
      <c r="M251" s="6">
        <f t="shared" si="85"/>
        <v>1.8761574072414078E-2</v>
      </c>
      <c r="N251" s="7">
        <f t="shared" si="100"/>
        <v>27.016666664276272</v>
      </c>
      <c r="O251" s="7"/>
      <c r="P251" s="7"/>
      <c r="Q251" s="22"/>
      <c r="R251" s="174"/>
      <c r="S251" s="221">
        <f t="shared" si="86"/>
        <v>1</v>
      </c>
      <c r="T251" s="174" t="str">
        <f t="shared" si="87"/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16" t="str">
        <f t="shared" si="88"/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1" s="204" t="str">
        <f>IF(AA251&lt;VLOOKUP(AG251,Variables!$AC$3:$AD$8,2,FALSE),"Y","N")</f>
        <v>Y</v>
      </c>
      <c r="X251" s="204">
        <f t="shared" si="89"/>
        <v>1</v>
      </c>
      <c r="Y251" s="204">
        <f t="shared" si="101"/>
        <v>4.3200000000000002E-2</v>
      </c>
      <c r="Z251" s="204">
        <f t="shared" si="102"/>
        <v>11.2506</v>
      </c>
      <c r="AA251" s="204">
        <f t="shared" si="90"/>
        <v>11.2074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 t="shared" si="91"/>
        <v>73</v>
      </c>
      <c r="AE251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1" s="74" t="str">
        <f t="shared" si="93"/>
        <v>"C:\Program Files (x86)\AstroGrep\AstroGrep.exe" /e /r /s /spath="%USERPROFILE%\AppData\Local\Temp\OnboardLogs" /stypes="app*4012*20170920*" /stext=" 23:.+((SYSTEM_STATE.+slice.+state.+changed )|(ment ac)|(multiple cpu faults)|(system.+state.+changed )|(\[timeout)|(PRM\|1\|D)|(kpr)|(kdp)|(train st.+moving)|(\|lc)|(penalty))"</v>
      </c>
      <c r="AG251" s="182" t="str">
        <f t="shared" si="94"/>
        <v>Shuttle/Test</v>
      </c>
      <c r="AH251" s="78" t="str">
        <f t="shared" si="95"/>
        <v>"%USERPROFILE%\Documents\GitHub\eaglep3\Utilities\RefineRTDCRunTimes.py" --tripid 73-20 --locoid 4012 --swversion DE.1.0.9.0 --startMP 204:432 --initTime 2017-09-20T16:19:36 --startdatetime 2017-09-20T16:56:44 --delay 67 --endMP 300:112506 --enddatetime 2017-09-20T17:23:45 --enforcementcount 0 &gt;&gt;c:\users\tmcdowell\Documents\GitHub\eaglep3-reporting\EC\2017-09-20-refined-times.txt</v>
      </c>
      <c r="AI251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11.2506"},{"id":17,"name":"Train ID","value":"73-20"},{"id":16,"name":"Locomotive ID","value":"4012"},{"id":130,"name":"Impact","value":""},{"id":150,"name":"Time of Event (Mountain Time)","value":"17:23:45"},{"id":151,"name":"Denver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97"/>
        <v>start /low /b %USERPROFILE%\Documents\GitHub\eaglep3\Utilities\DownloadLogsFromS3.py --loco 4012 --day 2017-09-20</v>
      </c>
      <c r="AN25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99"/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Message%20ID',Summary),filters:!(),index:'emp_*',interval:auto,query:(query_string:(analyze_wildcard:!t,query:'Message%5C+ID:(*)+AND+%22rtdc.l.rtdc.4012%22')),sort:!(Time.ISO8601,asc))</v>
      </c>
    </row>
    <row r="252" spans="1:91" x14ac:dyDescent="0.25">
      <c r="A252" s="32" t="s">
        <v>603</v>
      </c>
      <c r="B252" s="7">
        <v>4012</v>
      </c>
      <c r="C252" s="21" t="s">
        <v>196</v>
      </c>
      <c r="D252" s="21" t="s">
        <v>944</v>
      </c>
      <c r="E252" s="13">
        <v>42998.726458333331</v>
      </c>
      <c r="F252" s="13">
        <v>42998.732743055552</v>
      </c>
      <c r="G252" s="7">
        <v>285</v>
      </c>
      <c r="H252" s="21" t="s">
        <v>551</v>
      </c>
      <c r="I252" s="13">
        <v>42998.740671296298</v>
      </c>
      <c r="J252" s="7">
        <v>0</v>
      </c>
      <c r="K252" s="89" t="str">
        <f t="shared" si="84"/>
        <v>4011/4012</v>
      </c>
      <c r="L252" s="185" t="str">
        <f>VLOOKUP(A252,'Trips&amp;Operators'!$C$1:$G$99911,5,FALSE)</f>
        <v>SWANSON BRYCE</v>
      </c>
      <c r="M252" s="6">
        <f t="shared" si="85"/>
        <v>7.928240745968651E-3</v>
      </c>
      <c r="N252" s="7">
        <f t="shared" si="100"/>
        <v>11.416666674194857</v>
      </c>
      <c r="O252" s="7"/>
      <c r="P252" s="7"/>
      <c r="Q252" s="22"/>
      <c r="R252" s="174"/>
      <c r="S252" s="221">
        <f t="shared" si="86"/>
        <v>1</v>
      </c>
      <c r="T252" s="174" t="str">
        <f t="shared" si="87"/>
        <v>NorthBound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16" t="str">
        <f t="shared" si="88"/>
        <v>https://d0f6bd738d7f1b3e5a7ca70fe4ff75f0.us-east-1.aws.found.io/app/kibana#/discover/Steve-Slow-Train-Analysis-(2080s-and-2083s)?_g=(refreshInterval:(display:Off,pause:!f,section:0,value:0),time:(from:'2017-09-20T16:26:06-0600',mode:absolute,to:'2017-09-20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2" s="204" t="str">
        <f>IF(AA252&lt;VLOOKUP(AG252,Variables!$AC$3:$AD$8,2,FALSE),"Y","N")</f>
        <v>Y</v>
      </c>
      <c r="X252" s="204">
        <f t="shared" si="89"/>
        <v>0</v>
      </c>
      <c r="Y252" s="204">
        <f t="shared" si="101"/>
        <v>0.12479999999999999</v>
      </c>
      <c r="Z252" s="204">
        <f t="shared" si="102"/>
        <v>2.3346</v>
      </c>
      <c r="AA252" s="204">
        <f t="shared" si="90"/>
        <v>2.2098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179">
        <f t="shared" si="91"/>
        <v>73</v>
      </c>
      <c r="AE252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2" s="74" t="str">
        <f t="shared" si="93"/>
        <v>"C:\Program Files (x86)\AstroGrep\AstroGrep.exe" /e /r /s /spath="%USERPROFILE%\AppData\Local\Temp\OnboardLogs" /stypes="app*4012*20170920*" /stext=" 23:.+((SYSTEM_STATE.+slice.+state.+changed )|(ment ac)|(multiple cpu faults)|(system.+state.+changed )|(\[timeout)|(PRM\|1\|D)|(kpr)|(kdp)|(train st.+moving)|(\|lc)|(penalty))"</v>
      </c>
      <c r="AG252" s="182" t="str">
        <f t="shared" si="94"/>
        <v>Shuttle/Test</v>
      </c>
      <c r="AH252" s="78" t="str">
        <f t="shared" si="95"/>
        <v>"%USERPROFILE%\Documents\GitHub\eaglep3\Utilities\RefineRTDCRunTimes.py" --tripid 73-20 --locoid 4012 --swversion DE.1.0.9.0 --startMP 204:1248 --initTime 2017-09-20T17:26:06 --startdatetime 2017-09-20T17:35:09 --delay 285 --endMP 300:23346 --enddatetime 2017-09-20T17:46:34 --enforcementcount 0 &gt;&gt;c:\users\tmcdowell\Documents\GitHub\eaglep3-reporting\EC\2017-09-20-refined-times.txt</v>
      </c>
      <c r="AI252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2.3346"},{"id":17,"name":"Train ID","value":"73-20"},{"id":16,"name":"Locomotive ID","value":"4012"},{"id":130,"name":"Impact","value":""},{"id":150,"name":"Time of Event (Mountain Time)","value":"17:46:34"},{"id":151,"name":"Denver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97"/>
        <v>start /low /b %USERPROFILE%\Documents\GitHub\eaglep3\Utilities\DownloadLogsFromS3.py --loco 4012 --day 2017-09-20</v>
      </c>
      <c r="AN25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99"/>
        <v>https://d0f6bd738d7f1b3e5a7ca70fe4ff75f0.us-east-1.aws.found.io/app/kibana#/discover/Steve-Slow-Train-Analysis-(2080s-and-2083s)?_g=(refreshInterval:(display:Off,pause:!f,section:0,value:0),time:(from:'2017-09-20T16:26:06-0600',mode:absolute,to:'2017-09-20T18:46:34-0600'))&amp;_a=(columns:!('Message%20ID',Summary),filters:!(),index:'emp_*',interval:auto,query:(query_string:(analyze_wildcard:!t,query:'Message%5C+ID:(*)+AND+%22rtdc.l.rtdc.4012%22')),sort:!(Time.ISO8601,asc))</v>
      </c>
    </row>
    <row r="253" spans="1:91" x14ac:dyDescent="0.25">
      <c r="A253" s="32" t="s">
        <v>624</v>
      </c>
      <c r="B253" s="7">
        <v>4011</v>
      </c>
      <c r="C253" s="21" t="s">
        <v>196</v>
      </c>
      <c r="D253" s="21" t="s">
        <v>945</v>
      </c>
      <c r="E253" s="13">
        <v>42998.158599537041</v>
      </c>
      <c r="F253" s="13">
        <v>42998.194675925923</v>
      </c>
      <c r="G253" s="7">
        <v>96</v>
      </c>
      <c r="H253" s="21" t="s">
        <v>946</v>
      </c>
      <c r="I253" s="13">
        <v>42998.197812500002</v>
      </c>
      <c r="J253" s="7">
        <v>0</v>
      </c>
      <c r="K253" s="89" t="str">
        <f t="shared" si="84"/>
        <v>4011/4012</v>
      </c>
      <c r="L253" s="185" t="str">
        <f>VLOOKUP(A253,'Trips&amp;Operators'!$C$1:$G$99911,5,FALSE)</f>
        <v>BEAM ROSS</v>
      </c>
      <c r="M253" s="6">
        <f t="shared" si="85"/>
        <v>3.1365740796900354E-3</v>
      </c>
      <c r="N253" s="7">
        <f t="shared" ref="N253:N258" si="103">24*60*SUM($M253:$M253)</f>
        <v>4.516666674753651</v>
      </c>
      <c r="O253" s="7"/>
      <c r="P253" s="7"/>
      <c r="Q253" s="22"/>
      <c r="R253" s="174"/>
      <c r="S253" s="221">
        <f t="shared" si="86"/>
        <v>0</v>
      </c>
      <c r="T253" s="174" t="str">
        <f t="shared" si="87"/>
        <v>NorthBound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16" t="str">
        <f t="shared" si="88"/>
        <v>https://d0f6bd738d7f1b3e5a7ca70fe4ff75f0.us-east-1.aws.found.io/app/kibana#/discover/Steve-Slow-Train-Analysis-(2080s-and-2083s)?_g=(refreshInterval:(display:Off,pause:!f,section:0,value:0),time:(from:'2017-09-20T02:48:23-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3" s="204" t="str">
        <f>IF(AA253&lt;VLOOKUP(AG253,Variables!$AC$3:$AD$8,2,FALSE),"Y","N")</f>
        <v>Y</v>
      </c>
      <c r="X253" s="204">
        <f t="shared" si="89"/>
        <v>2</v>
      </c>
      <c r="Y253" s="204">
        <f t="shared" si="101"/>
        <v>3.1149</v>
      </c>
      <c r="Z253" s="204">
        <f t="shared" si="102"/>
        <v>1.3595999999999999</v>
      </c>
      <c r="AA253" s="204">
        <f t="shared" si="90"/>
        <v>1.7553000000000001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179">
        <f t="shared" si="91"/>
        <v>75</v>
      </c>
      <c r="AE253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3" s="74" t="str">
        <f t="shared" si="93"/>
        <v>"C:\Program Files (x86)\AstroGrep\AstroGrep.exe" /e /r /s /spath="%USERPROFILE%\AppData\Local\Temp\OnboardLogs" /stypes="app*4011*20170920*" /stext=" 10:.+((SYSTEM_STATE.+slice.+state.+changed )|(ment ac)|(multiple cpu faults)|(system.+state.+changed )|(\[timeout)|(PRM\|1\|D)|(kpr)|(kdp)|(train st.+moving)|(\|lc)|(penalty))"</v>
      </c>
      <c r="AG253" s="182" t="str">
        <f t="shared" si="94"/>
        <v>Shuttle/Test</v>
      </c>
      <c r="AH253" s="78" t="str">
        <f t="shared" si="95"/>
        <v>"%USERPROFILE%\Documents\GitHub\eaglep3\Utilities\RefineRTDCRunTimes.py" --tripid 75-20 --locoid 4011 --swversion DE.1.0.9.0 --startMP 300:31149 --initTime 2017-09-20T03:48:23 --startdatetime 2017-09-20T04:40:20 --delay 96 --endMP 300:13596 --enddatetime 2017-09-20T04:44:51 --enforcementcount 0 &gt;&gt;c:\users\tmcdowell\Documents\GitHub\eaglep3-reporting\EC\2017-09-20-refined-times.txt</v>
      </c>
      <c r="AI25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1.3596"},{"id":17,"name":"Train ID","value":"75-20"},{"id":16,"name":"Locomotive ID","value":"4011"},{"id":130,"name":"Impact","value":""},{"id":150,"name":"Time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97"/>
        <v>start /low /b %USERPROFILE%\Documents\GitHub\eaglep3\Utilities\DownloadLogsFromS3.py --loco 4011 --day 2017-09-20</v>
      </c>
      <c r="AN25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99"/>
        <v>https://d0f6bd738d7f1b3e5a7ca70fe4ff75f0.us-east-1.aws.found.io/app/kibana#/discover/Steve-Slow-Train-Analysis-(2080s-and-2083s)?_g=(refreshInterval:(display:Off,pause:!f,section:0,value:0),time:(from:'2017-09-20T02:48:23-0600',mode:absolute,to:'2017-09-20T05:44:51-0600'))&amp;_a=(columns:!('Message%20ID',Summary),filters:!(),index:'emp_*',interval:auto,query:(query_string:(analyze_wildcard:!t,query:'Message%5C+ID:(*)+AND+%22rtdc.l.rtdc.4011%22')),sort:!(Time.ISO8601,asc))</v>
      </c>
    </row>
    <row r="254" spans="1:91" x14ac:dyDescent="0.25">
      <c r="A254" s="32" t="s">
        <v>624</v>
      </c>
      <c r="B254" s="7">
        <v>4012</v>
      </c>
      <c r="C254" s="21" t="s">
        <v>196</v>
      </c>
      <c r="D254" s="21" t="s">
        <v>947</v>
      </c>
      <c r="E254" s="13">
        <v>42998.151678240742</v>
      </c>
      <c r="F254" s="13">
        <v>42998.184988425928</v>
      </c>
      <c r="G254" s="7">
        <v>195</v>
      </c>
      <c r="H254" s="21" t="s">
        <v>948</v>
      </c>
      <c r="I254" s="13">
        <v>42998.187569444446</v>
      </c>
      <c r="J254" s="7">
        <v>0</v>
      </c>
      <c r="K254" s="89" t="str">
        <f t="shared" si="84"/>
        <v>4011/4012</v>
      </c>
      <c r="L254" s="185" t="str">
        <f>VLOOKUP(A254,'Trips&amp;Operators'!$C$1:$G$99911,5,FALSE)</f>
        <v>BEAM ROSS</v>
      </c>
      <c r="M254" s="6">
        <f t="shared" si="85"/>
        <v>2.5810185179580003E-3</v>
      </c>
      <c r="N254" s="7">
        <f t="shared" si="103"/>
        <v>3.7166666658595204</v>
      </c>
      <c r="O254" s="7"/>
      <c r="P254" s="7"/>
      <c r="Q254" s="22"/>
      <c r="R254" s="174"/>
      <c r="S254" s="221">
        <f t="shared" si="86"/>
        <v>0</v>
      </c>
      <c r="T254" s="174" t="str">
        <f t="shared" si="87"/>
        <v>NorthBound</v>
      </c>
      <c r="U254" s="198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216" t="str">
        <f t="shared" si="88"/>
        <v>https://d0f6bd738d7f1b3e5a7ca70fe4ff75f0.us-east-1.aws.found.io/app/kibana#/discover/Steve-Slow-Train-Analysis-(2080s-and-2083s)?_g=(refreshInterval:(display:Off,pause:!f,section:0,value:0),time:(from:'2017-09-20T02:38:25-0600',mode:absolute,to:'2017-09-20T05:30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4" s="204" t="str">
        <f>IF(AA254&lt;VLOOKUP(AG254,Variables!$AC$3:$AD$8,2,FALSE),"Y","N")</f>
        <v>Y</v>
      </c>
      <c r="X254" s="204">
        <f t="shared" si="89"/>
        <v>0</v>
      </c>
      <c r="Y254" s="204">
        <f t="shared" si="101"/>
        <v>3.0550999999999999</v>
      </c>
      <c r="Z254" s="204">
        <f t="shared" si="102"/>
        <v>3.1465999999999998</v>
      </c>
      <c r="AA254" s="204">
        <f t="shared" si="90"/>
        <v>9.1499999999999915E-2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179">
        <f t="shared" si="91"/>
        <v>75</v>
      </c>
      <c r="AE254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4" s="74" t="str">
        <f t="shared" si="93"/>
        <v>"C:\Program Files (x86)\AstroGrep\AstroGrep.exe" /e /r /s /spath="%USERPROFILE%\AppData\Local\Temp\OnboardLogs" /stypes="app*4012*20170920*" /stext=" 10:.+((SYSTEM_STATE.+slice.+state.+changed )|(ment ac)|(multiple cpu faults)|(system.+state.+changed )|(\[timeout)|(PRM\|1\|D)|(kpr)|(kdp)|(train st.+moving)|(\|lc)|(penalty))"</v>
      </c>
      <c r="AG254" s="182" t="str">
        <f t="shared" si="94"/>
        <v>Shuttle/Test</v>
      </c>
      <c r="AH254" s="78" t="str">
        <f t="shared" si="95"/>
        <v>"%USERPROFILE%\Documents\GitHub\eaglep3\Utilities\RefineRTDCRunTimes.py" --tripid 75-20 --locoid 4012 --swversion DE.1.0.9.0 --startMP 300:30551 --initTime 2017-09-20T03:38:25 --startdatetime 2017-09-20T04:26:23 --delay 195 --endMP 300:31466 --enddatetime 2017-09-20T04:30:06 --enforcementcount 0 &gt;&gt;c:\users\tmcdowell\Documents\GitHub\eaglep3-reporting\EC\2017-09-20-refined-times.txt</v>
      </c>
      <c r="AI25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3.1466"},{"id":17,"name":"Train ID","value":"75-20"},{"id":16,"name":"Locomotive ID","value":"4012"},{"id":130,"name":"Impact","value":""},{"id":150,"name":"Time of Event (Mountain Time)","value":"04:30:06"},{"id":151,"name":"Denver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97"/>
        <v>start /low /b %USERPROFILE%\Documents\GitHub\eaglep3\Utilities\DownloadLogsFromS3.py --loco 4012 --day 2017-09-20</v>
      </c>
      <c r="AN25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10:30:06"},{"id":29,"name":"Sharepoint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168" t="str">
        <f t="shared" si="99"/>
        <v>https://d0f6bd738d7f1b3e5a7ca70fe4ff75f0.us-east-1.aws.found.io/app/kibana#/discover/Steve-Slow-Train-Analysis-(2080s-and-2083s)?_g=(refreshInterval:(display:Off,pause:!f,section:0,value:0),time:(from:'2017-09-20T02:38:25-0600',mode:absolute,to:'2017-09-20T05:30:06-0600'))&amp;_a=(columns:!('Message%20ID',Summary),filters:!(),index:'emp_*',interval:auto,query:(query_string:(analyze_wildcard:!t,query:'Message%5C+ID:(*)+AND+%22rtdc.l.rtdc.4012%22')),sort:!(Time.ISO8601,asc))</v>
      </c>
    </row>
    <row r="255" spans="1:91" x14ac:dyDescent="0.25">
      <c r="A255" s="32" t="s">
        <v>624</v>
      </c>
      <c r="B255" s="7">
        <v>4011</v>
      </c>
      <c r="C255" s="21" t="s">
        <v>196</v>
      </c>
      <c r="D255" s="21" t="s">
        <v>949</v>
      </c>
      <c r="E255" s="13">
        <v>42998.193240740744</v>
      </c>
      <c r="F255" s="13">
        <v>42998.194675925923</v>
      </c>
      <c r="G255" s="7">
        <v>51</v>
      </c>
      <c r="H255" s="21" t="s">
        <v>950</v>
      </c>
      <c r="I255" s="13">
        <v>42998.197812500002</v>
      </c>
      <c r="J255" s="7">
        <v>0</v>
      </c>
      <c r="K255" s="89" t="str">
        <f t="shared" si="84"/>
        <v>4011/4012</v>
      </c>
      <c r="L255" s="185" t="str">
        <f>VLOOKUP(A255,'Trips&amp;Operators'!$C$1:$G$99911,5,FALSE)</f>
        <v>BEAM ROSS</v>
      </c>
      <c r="M255" s="6">
        <f t="shared" si="85"/>
        <v>3.1365740796900354E-3</v>
      </c>
      <c r="N255" s="7">
        <f t="shared" si="103"/>
        <v>4.516666674753651</v>
      </c>
      <c r="O255" s="7"/>
      <c r="P255" s="7"/>
      <c r="Q255" s="22"/>
      <c r="R255" s="174"/>
      <c r="S255" s="221">
        <f t="shared" si="86"/>
        <v>0</v>
      </c>
      <c r="T255" s="174" t="str">
        <f t="shared" si="87"/>
        <v>NorthBound</v>
      </c>
      <c r="U255" s="198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216" t="str">
        <f t="shared" si="88"/>
        <v>https://d0f6bd738d7f1b3e5a7ca70fe4ff75f0.us-east-1.aws.found.io/app/kibana#/discover/Steve-Slow-Train-Analysis-(2080s-and-2083s)?_g=(refreshInterval:(display:Off,pause:!f,section:0,value:0),time:(from:'2017-09-20T03:38:16-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5" s="204" t="str">
        <f>IF(AA255&lt;VLOOKUP(AG255,Variables!$AC$3:$AD$8,2,FALSE),"Y","N")</f>
        <v>Y</v>
      </c>
      <c r="X255" s="204">
        <f t="shared" si="89"/>
        <v>0</v>
      </c>
      <c r="Y255" s="204">
        <f t="shared" si="101"/>
        <v>3.1103999999999998</v>
      </c>
      <c r="Z255" s="204">
        <f t="shared" si="102"/>
        <v>2.8782000000000001</v>
      </c>
      <c r="AA255" s="204">
        <f t="shared" si="90"/>
        <v>0.23219999999999974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179">
        <f t="shared" si="91"/>
        <v>75</v>
      </c>
      <c r="AE255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5" s="74" t="str">
        <f t="shared" si="93"/>
        <v>"C:\Program Files (x86)\AstroGrep\AstroGrep.exe" /e /r /s /spath="%USERPROFILE%\AppData\Local\Temp\OnboardLogs" /stypes="app*4011*20170920*" /stext=" 10:.+((SYSTEM_STATE.+slice.+state.+changed )|(ment ac)|(multiple cpu faults)|(system.+state.+changed )|(\[timeout)|(PRM\|1\|D)|(kpr)|(kdp)|(train st.+moving)|(\|lc)|(penalty))"</v>
      </c>
      <c r="AG255" s="182" t="str">
        <f t="shared" si="94"/>
        <v>Shuttle/Test</v>
      </c>
      <c r="AH255" s="78" t="str">
        <f t="shared" si="95"/>
        <v>"%USERPROFILE%\Documents\GitHub\eaglep3\Utilities\RefineRTDCRunTimes.py" --tripid 75-20 --locoid 4011 --swversion DE.1.0.9.0 --startMP 300:31104 --initTime 2017-09-20T04:38:16 --startdatetime 2017-09-20T04:40:20 --delay 51 --endMP 300:28782 --enddatetime 2017-09-20T04:44:51 --enforcementcount 0 &gt;&gt;c:\users\tmcdowell\Documents\GitHub\eaglep3-reporting\EC\2017-09-20-refined-times.txt</v>
      </c>
      <c r="AI25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2.8782"},{"id":17,"name":"Train ID","value":"75-20"},{"id":16,"name":"Locomotive ID","value":"4011"},{"id":130,"name":"Impact","value":""},{"id":150,"name":"Time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97"/>
        <v>start /low /b %USERPROFILE%\Documents\GitHub\eaglep3\Utilities\DownloadLogsFromS3.py --loco 4011 --day 2017-09-20</v>
      </c>
      <c r="AN25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168" t="str">
        <f t="shared" si="99"/>
        <v>https://d0f6bd738d7f1b3e5a7ca70fe4ff75f0.us-east-1.aws.found.io/app/kibana#/discover/Steve-Slow-Train-Analysis-(2080s-and-2083s)?_g=(refreshInterval:(display:Off,pause:!f,section:0,value:0),time:(from:'2017-09-20T03:38:16-0600',mode:absolute,to:'2017-09-20T05:44:51-0600'))&amp;_a=(columns:!('Message%20ID',Summary),filters:!(),index:'emp_*',interval:auto,query:(query_string:(analyze_wildcard:!t,query:'Message%5C+ID:(*)+AND+%22rtdc.l.rtdc.4011%22')),sort:!(Time.ISO8601,asc))</v>
      </c>
    </row>
    <row r="256" spans="1:91" x14ac:dyDescent="0.25">
      <c r="A256" s="32" t="s">
        <v>624</v>
      </c>
      <c r="B256" s="7">
        <v>4012</v>
      </c>
      <c r="C256" s="21" t="s">
        <v>196</v>
      </c>
      <c r="D256" s="21" t="s">
        <v>951</v>
      </c>
      <c r="E256" s="13">
        <v>42998.188750000001</v>
      </c>
      <c r="F256" s="13">
        <v>42998.194675925923</v>
      </c>
      <c r="G256" s="7">
        <v>48</v>
      </c>
      <c r="H256" s="21" t="s">
        <v>952</v>
      </c>
      <c r="I256" s="13">
        <v>42998.197812500002</v>
      </c>
      <c r="J256" s="7">
        <v>0</v>
      </c>
      <c r="K256" s="89" t="str">
        <f t="shared" si="84"/>
        <v>4011/4012</v>
      </c>
      <c r="L256" s="185" t="str">
        <f>VLOOKUP(A256,'Trips&amp;Operators'!$C$1:$G$99911,5,FALSE)</f>
        <v>BEAM ROSS</v>
      </c>
      <c r="M256" s="6">
        <f t="shared" si="85"/>
        <v>3.1365740796900354E-3</v>
      </c>
      <c r="N256" s="7">
        <f t="shared" si="103"/>
        <v>4.516666674753651</v>
      </c>
      <c r="O256" s="7"/>
      <c r="P256" s="7"/>
      <c r="Q256" s="22"/>
      <c r="R256" s="174"/>
      <c r="S256" s="221">
        <f t="shared" si="86"/>
        <v>0</v>
      </c>
      <c r="T256" s="174" t="str">
        <f t="shared" si="87"/>
        <v>NorthBound</v>
      </c>
      <c r="U256" s="198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216" t="str">
        <f t="shared" si="88"/>
        <v>https://d0f6bd738d7f1b3e5a7ca70fe4ff75f0.us-east-1.aws.found.io/app/kibana#/discover/Steve-Slow-Train-Analysis-(2080s-and-2083s)?_g=(refreshInterval:(display:Off,pause:!f,section:0,value:0),time:(from:'2017-09-20T03:31:48-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6" s="204" t="str">
        <f>IF(AA256&lt;VLOOKUP(AG256,Variables!$AC$3:$AD$8,2,FALSE),"Y","N")</f>
        <v>Y</v>
      </c>
      <c r="X256" s="204">
        <f t="shared" si="89"/>
        <v>0</v>
      </c>
      <c r="Y256" s="204">
        <f t="shared" si="101"/>
        <v>1.3913</v>
      </c>
      <c r="Z256" s="204">
        <f t="shared" si="102"/>
        <v>3.1425999999999998</v>
      </c>
      <c r="AA256" s="204">
        <f t="shared" si="90"/>
        <v>1.7512999999999999</v>
      </c>
      <c r="AB256" s="54" t="e">
        <f>VLOOKUP(A256,Enforcements!$C$7:$K$11,8,0)</f>
        <v>#N/A</v>
      </c>
      <c r="AC256" s="51" t="e">
        <f>VLOOKUP(A256,Enforcements!$C$7:$E$11,3,0)</f>
        <v>#N/A</v>
      </c>
      <c r="AD256" s="179">
        <f t="shared" si="91"/>
        <v>75</v>
      </c>
      <c r="AE256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6" s="74" t="str">
        <f t="shared" si="93"/>
        <v>"C:\Program Files (x86)\AstroGrep\AstroGrep.exe" /e /r /s /spath="%USERPROFILE%\AppData\Local\Temp\OnboardLogs" /stypes="app*4012*20170920*" /stext=" 10:.+((SYSTEM_STATE.+slice.+state.+changed )|(ment ac)|(multiple cpu faults)|(system.+state.+changed )|(\[timeout)|(PRM\|1\|D)|(kpr)|(kdp)|(train st.+moving)|(\|lc)|(penalty))"</v>
      </c>
      <c r="AG256" s="182" t="str">
        <f t="shared" si="94"/>
        <v>Shuttle/Test</v>
      </c>
      <c r="AH256" s="78" t="str">
        <f t="shared" si="95"/>
        <v>"%USERPROFILE%\Documents\GitHub\eaglep3\Utilities\RefineRTDCRunTimes.py" --tripid 75-20 --locoid 4012 --swversion DE.1.0.9.0 --startMP 300:13913 --initTime 2017-09-20T04:31:48 --startdatetime 2017-09-20T04:40:20 --delay 48 --endMP 300:31426 --enddatetime 2017-09-20T04:44:51 --enforcementcount 0 &gt;&gt;c:\users\tmcdowell\Documents\GitHub\eaglep3-reporting\EC\2017-09-20-refined-times.txt</v>
      </c>
      <c r="AI25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3.1426"},{"id":17,"name":"Train ID","value":"75-20"},{"id":16,"name":"Locomotive ID","value":"4012"},{"id":130,"name":"Impact","value":""},{"id":150,"name":"Time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97"/>
        <v>start /low /b %USERPROFILE%\Documents\GitHub\eaglep3\Utilities\DownloadLogsFromS3.py --loco 4012 --day 2017-09-20</v>
      </c>
      <c r="AN25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168" t="str">
        <f t="shared" si="99"/>
        <v>https://d0f6bd738d7f1b3e5a7ca70fe4ff75f0.us-east-1.aws.found.io/app/kibana#/discover/Steve-Slow-Train-Analysis-(2080s-and-2083s)?_g=(refreshInterval:(display:Off,pause:!f,section:0,value:0),time:(from:'2017-09-20T03:31:48-0600',mode:absolute,to:'2017-09-20T05:44:51-0600'))&amp;_a=(columns:!('Message%20ID',Summary),filters:!(),index:'emp_*',interval:auto,query:(query_string:(analyze_wildcard:!t,query:'Message%5C+ID:(*)+AND+%22rtdc.l.rtdc.4012%22')),sort:!(Time.ISO8601,asc))</v>
      </c>
    </row>
    <row r="257" spans="1:91" x14ac:dyDescent="0.25">
      <c r="A257" s="32" t="s">
        <v>624</v>
      </c>
      <c r="B257" s="7">
        <v>4018</v>
      </c>
      <c r="C257" s="21" t="s">
        <v>196</v>
      </c>
      <c r="D257" s="21" t="s">
        <v>953</v>
      </c>
      <c r="E257" s="13">
        <v>42998.676099537035</v>
      </c>
      <c r="F257" s="13">
        <v>42998.678784722222</v>
      </c>
      <c r="G257" s="7">
        <v>95</v>
      </c>
      <c r="H257" s="21" t="s">
        <v>443</v>
      </c>
      <c r="I257" s="13">
        <v>42998.692106481481</v>
      </c>
      <c r="J257" s="7">
        <v>0</v>
      </c>
      <c r="K257" s="89" t="str">
        <f t="shared" si="84"/>
        <v>4017/4018</v>
      </c>
      <c r="L257" s="185" t="str">
        <f>VLOOKUP(A257,'Trips&amp;Operators'!$C$1:$G$99911,5,FALSE)</f>
        <v>BEAM ROSS</v>
      </c>
      <c r="M257" s="6">
        <f t="shared" si="85"/>
        <v>1.3321759259270038E-2</v>
      </c>
      <c r="N257" s="7">
        <f t="shared" si="103"/>
        <v>19.183333333348855</v>
      </c>
      <c r="O257" s="7"/>
      <c r="P257" s="7"/>
      <c r="Q257" s="22"/>
      <c r="R257" s="174"/>
      <c r="S257" s="221">
        <f t="shared" si="86"/>
        <v>1</v>
      </c>
      <c r="T257" s="174" t="str">
        <f t="shared" si="87"/>
        <v>NorthBound</v>
      </c>
      <c r="U257" s="198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1</v>
      </c>
      <c r="V257" s="216" t="str">
        <f t="shared" si="88"/>
        <v>https://d0f6bd738d7f1b3e5a7ca70fe4ff75f0.us-east-1.aws.found.io/app/kibana#/discover/Steve-Slow-Train-Analysis-(2080s-and-2083s)?_g=(refreshInterval:(display:Off,pause:!f,section:0,value:0),time:(from:'2017-09-20T15:13:35-0600',mode:absolute,to:'2017-09-20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7" s="204" t="str">
        <f>IF(AA257&lt;VLOOKUP(AG257,Variables!$AC$3:$AD$8,2,FALSE),"Y","N")</f>
        <v>Y</v>
      </c>
      <c r="X257" s="204">
        <f t="shared" si="89"/>
        <v>0</v>
      </c>
      <c r="Y257" s="204">
        <f t="shared" si="101"/>
        <v>0.1467</v>
      </c>
      <c r="Z257" s="204">
        <f t="shared" si="102"/>
        <v>2.3308</v>
      </c>
      <c r="AA257" s="204">
        <f t="shared" si="90"/>
        <v>2.1840999999999999</v>
      </c>
      <c r="AB257" s="54" t="e">
        <f>VLOOKUP(A257,Enforcements!$C$7:$K$11,8,0)</f>
        <v>#N/A</v>
      </c>
      <c r="AC257" s="51" t="e">
        <f>VLOOKUP(A257,Enforcements!$C$7:$E$11,3,0)</f>
        <v>#N/A</v>
      </c>
      <c r="AD257" s="179">
        <f t="shared" si="91"/>
        <v>75</v>
      </c>
      <c r="AE257" s="77" t="str">
        <f t="shared" si="92"/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AF257" s="74" t="str">
        <f t="shared" si="93"/>
        <v>"C:\Program Files (x86)\AstroGrep\AstroGrep.exe" /e /r /s /spath="%USERPROFILE%\AppData\Local\Temp\OnboardLogs" /stypes="app*4018*20170920*" /stext=" 22:.+((SYSTEM_STATE.+slice.+state.+changed )|(ment ac)|(multiple cpu faults)|(system.+state.+changed )|(\[timeout)|(PRM\|1\|D)|(kpr)|(kdp)|(train st.+moving)|(\|lc)|(penalty))"</v>
      </c>
      <c r="AG257" s="182" t="str">
        <f t="shared" si="94"/>
        <v>Shuttle/Test</v>
      </c>
      <c r="AH257" s="78" t="str">
        <f t="shared" si="95"/>
        <v>"%USERPROFILE%\Documents\GitHub\eaglep3\Utilities\RefineRTDCRunTimes.py" --tripid 75-20 --locoid 4018 --swversion DE.1.0.9.0 --startMP 204:1467 --initTime 2017-09-20T16:13:35 --startdatetime 2017-09-20T16:17:27 --delay 95 --endMP 300:23308 --enddatetime 2017-09-20T16:36:38 --enforcementcount 0 &gt;&gt;c:\users\tmcdowell\Documents\GitHub\eaglep3-reporting\EC\2017-09-20-refined-times.txt</v>
      </c>
      <c r="AI25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2.3308"},{"id":17,"name":"Train ID","value":"75-20"},{"id":16,"name":"Locomotive ID","value":"4018"},{"id":130,"name":"Impact","value":""},{"id":150,"name":"Time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97"/>
        <v>start /low /b %USERPROFILE%\Documents\GitHub\eaglep3\Utilities\DownloadLogsFromS3.py --loco 4018 --day 2017-09-20</v>
      </c>
      <c r="AN25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168" t="str">
        <f t="shared" si="99"/>
        <v>https://d0f6bd738d7f1b3e5a7ca70fe4ff75f0.us-east-1.aws.found.io/app/kibana#/discover/Steve-Slow-Train-Analysis-(2080s-and-2083s)?_g=(refreshInterval:(display:Off,pause:!f,section:0,value:0),time:(from:'2017-09-20T15:13:35-0600',mode:absolute,to:'2017-09-20T17:36:38-0600'))&amp;_a=(columns:!('Message%20ID',Summary),filters:!(),index:'emp_*',interval:auto,query:(query_string:(analyze_wildcard:!t,query:'Message%5C+ID:(*)+AND+%22rtdc.l.rtdc.4018%22')),sort:!(Time.ISO8601,asc))</v>
      </c>
    </row>
    <row r="258" spans="1:91" s="20" customFormat="1" x14ac:dyDescent="0.25">
      <c r="A258" s="32" t="s">
        <v>779</v>
      </c>
      <c r="B258" s="7">
        <v>4010</v>
      </c>
      <c r="C258" s="21" t="s">
        <v>196</v>
      </c>
      <c r="D258" s="21" t="s">
        <v>552</v>
      </c>
      <c r="E258" s="13">
        <v>42998.71670138889</v>
      </c>
      <c r="F258" s="13">
        <v>42998.73065972222</v>
      </c>
      <c r="G258" s="7">
        <v>102</v>
      </c>
      <c r="H258" s="21" t="s">
        <v>551</v>
      </c>
      <c r="I258" s="13">
        <v>42998.739386574074</v>
      </c>
      <c r="J258" s="7">
        <v>0</v>
      </c>
      <c r="K258" s="89" t="str">
        <f t="shared" si="84"/>
        <v>4009/4010</v>
      </c>
      <c r="L258" s="185" t="str">
        <f>VLOOKUP(A258,'Trips&amp;Operators'!$C$1:$G$99911,5,FALSE)</f>
        <v>ROBINSON KADDIBA</v>
      </c>
      <c r="M258" s="6">
        <f t="shared" si="85"/>
        <v>8.7268518545897678E-3</v>
      </c>
      <c r="N258" s="7">
        <f t="shared" si="103"/>
        <v>12.566666670609266</v>
      </c>
      <c r="O258" s="7"/>
      <c r="P258" s="7"/>
      <c r="Q258" s="22"/>
      <c r="R258" s="174"/>
      <c r="S258" s="221">
        <f t="shared" si="86"/>
        <v>1</v>
      </c>
      <c r="T258" s="174" t="str">
        <f t="shared" si="87"/>
        <v>NorthBound</v>
      </c>
      <c r="U258" s="198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216" t="str">
        <f t="shared" si="88"/>
        <v>https://d0f6bd738d7f1b3e5a7ca70fe4ff75f0.us-east-1.aws.found.io/app/kibana#/discover/Steve-Slow-Train-Analysis-(2080s-and-2083s)?_g=(refreshInterval:(display:Off,pause:!f,section:0,value:0),time:(from:'2017-09-20T16:12:03-0600',mode:absolute,to:'2017-09-20T18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8" s="204" t="str">
        <f>IF(AA258&lt;VLOOKUP(AG258,Variables!$AC$3:$AD$8,2,FALSE),"Y","N")</f>
        <v>Y</v>
      </c>
      <c r="X258" s="204">
        <f t="shared" si="89"/>
        <v>2</v>
      </c>
      <c r="Y258" s="204">
        <f t="shared" si="101"/>
        <v>0.1148</v>
      </c>
      <c r="Z258" s="204">
        <f t="shared" si="102"/>
        <v>2.3346</v>
      </c>
      <c r="AA258" s="204">
        <f t="shared" si="90"/>
        <v>2.2198000000000002</v>
      </c>
      <c r="AB258" s="54" t="e">
        <f>VLOOKUP(A258,Enforcements!$C$7:$K$11,8,0)</f>
        <v>#N/A</v>
      </c>
      <c r="AC258" s="51" t="e">
        <f>VLOOKUP(A258,Enforcements!$C$7:$E$11,3,0)</f>
        <v>#N/A</v>
      </c>
      <c r="AD258" s="179">
        <f t="shared" si="91"/>
        <v>77</v>
      </c>
      <c r="AE258" s="77" t="str">
        <f t="shared" si="92"/>
        <v>aws s3 cp s3://rtdc.mdm.uploadarchive.raw/RTDC4010/ "%USERPROFILE%\AppData\Local\Temp\OnboardLogs"\RTDC4010\2017-09-20 --exclude "*" --recursive --include "*20170920*" &amp; "%USERPROFILE%\Documents\GitHub\mrs-test-scripts\Headless Mode &amp; Sideloading\WalkAndUnGZ.bat" "%USERPROFILE%\AppData\Local\Temp\OnboardLogs"\RTDC4010\2017-09-20 &amp; 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</v>
      </c>
      <c r="AF258" s="74" t="str">
        <f t="shared" si="93"/>
        <v>"C:\Program Files (x86)\AstroGrep\AstroGrep.exe" /e /r /s /spath="%USERPROFILE%\AppData\Local\Temp\OnboardLogs" /stypes="app*4010*20170920*" /stext=" 23:.+((SYSTEM_STATE.+slice.+state.+changed )|(ment ac)|(multiple cpu faults)|(system.+state.+changed )|(\[timeout)|(PRM\|1\|D)|(kpr)|(kdp)|(train st.+moving)|(\|lc)|(penalty))"</v>
      </c>
      <c r="AG258" s="182" t="str">
        <f t="shared" si="94"/>
        <v>Shuttle/Test</v>
      </c>
      <c r="AH258" s="78" t="str">
        <f t="shared" si="95"/>
        <v>"%USERPROFILE%\Documents\GitHub\eaglep3\Utilities\RefineRTDCRunTimes.py" --tripid 77-20 --locoid 4010 --swversion DE.1.0.9.0 --startMP 204:1148 --initTime 2017-09-20T17:12:03 --startdatetime 2017-09-20T17:32:09 --delay 102 --endMP 300:23346 --enddatetime 2017-09-20T17:44:43 --enforcementcount 0 &gt;&gt;c:\users\tmcdowell\Documents\GitHub\eaglep3-reporting\EC\2017-09-20-refined-times.txt</v>
      </c>
      <c r="AI25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2.3346"},{"id":17,"name":"Train ID","value":"77-20"},{"id":16,"name":"Locomotive ID","value":"4010"},{"id":130,"name":"Impact","value":""},{"id":150,"name":"Time of Event (Mountain Time)","value":"17:44:43"},{"id":151,"name":"Denver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58" s="47"/>
      <c r="AL258" s="47"/>
      <c r="AM258" s="142" t="str">
        <f t="shared" si="97"/>
        <v>start /low /b %USERPROFILE%\Documents\GitHub\eaglep3\Utilities\DownloadLogsFromS3.py --loco 4010 --day 2017-09-20</v>
      </c>
      <c r="AN25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168" t="str">
        <f t="shared" si="99"/>
        <v>https://d0f6bd738d7f1b3e5a7ca70fe4ff75f0.us-east-1.aws.found.io/app/kibana#/discover/Steve-Slow-Train-Analysis-(2080s-and-2083s)?_g=(refreshInterval:(display:Off,pause:!f,section:0,value:0),time:(from:'2017-09-20T16:12:03-0600',mode:absolute,to:'2017-09-20T18:44:43-0600'))&amp;_a=(columns:!('Message%20ID',Summary),filters:!(),index:'emp_*',interval:auto,query:(query_string:(analyze_wildcard:!t,query:'Message%5C+ID:(*)+AND+%22rtdc.l.rtdc.4010%22')),sort:!(Time.ISO8601,asc))</v>
      </c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4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4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4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4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4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</sheetData>
  <autoFilter ref="A12:AG301">
    <sortState ref="A13:AG302">
      <sortCondition ref="AG13:AG259"/>
      <sortCondition ref="AD13:AD259"/>
    </sortState>
  </autoFilter>
  <sortState ref="A13:AN257">
    <sortCondition ref="AG13:AG257"/>
    <sortCondition ref="AD13:AD257"/>
  </sortState>
  <mergeCells count="1">
    <mergeCell ref="A11:P11"/>
  </mergeCells>
  <conditionalFormatting sqref="W11:W12 W307:X1048576 W13:X258">
    <cfRule type="cellIs" dxfId="10" priority="422" operator="equal">
      <formula>"Y"</formula>
    </cfRule>
  </conditionalFormatting>
  <conditionalFormatting sqref="X307:X1048576 X13:X258">
    <cfRule type="cellIs" dxfId="9" priority="405" operator="greaterThan">
      <formula>1</formula>
    </cfRule>
  </conditionalFormatting>
  <conditionalFormatting sqref="X307:X1048576 X12:X258">
    <cfRule type="cellIs" dxfId="8" priority="402" operator="equal">
      <formula>0</formula>
    </cfRule>
  </conditionalFormatting>
  <conditionalFormatting sqref="A13:S258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AK13:AK258</xm:sqref>
        </x14:dataValidation>
        <x14:dataValidation type="list" allowBlank="1" showInputMessage="1" showErrorMessage="1">
          <x14:formula1>
            <xm:f>'Redmine List Values'!$C$2:$C$15</xm:f>
          </x14:formula1>
          <xm:sqref>AL13:AL258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E15" sqref="E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38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- 2017-09-20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42998.436249999999</v>
      </c>
      <c r="B7" s="30" t="s">
        <v>578</v>
      </c>
      <c r="C7" s="30" t="s">
        <v>591</v>
      </c>
      <c r="D7" s="30" t="s">
        <v>95</v>
      </c>
      <c r="E7" s="30" t="s">
        <v>186</v>
      </c>
      <c r="F7" s="42">
        <v>0</v>
      </c>
      <c r="G7" s="42">
        <v>125</v>
      </c>
      <c r="H7" s="42">
        <v>27328</v>
      </c>
      <c r="I7" s="42">
        <v>27238</v>
      </c>
      <c r="J7" s="30" t="s">
        <v>187</v>
      </c>
      <c r="K7" s="42">
        <v>27350</v>
      </c>
      <c r="L7" s="131" t="s">
        <v>51</v>
      </c>
      <c r="M7" s="132">
        <f t="shared" ref="M7:M48" si="0">CONVERT((I7-K7)/10000,"mi","ft")*IF(L7="Increasing Mileposts (1)",-1,1)</f>
        <v>-59.136000000000003</v>
      </c>
      <c r="N7" s="133" t="str">
        <f>VLOOKUP(C7,'Trips&amp;Operators'!$C$1:$G$99911,5,FALSE)</f>
        <v>THOMPSON LESTER</v>
      </c>
      <c r="O7" s="176" t="s">
        <v>179</v>
      </c>
      <c r="P7" s="134" t="s">
        <v>368</v>
      </c>
      <c r="Q7" s="30"/>
      <c r="R7" s="81" t="str">
        <f>VLOOKUP(C7,'Train Runs'!$A$13:$AE$9960,31,0)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S7" s="84" t="str">
        <f>VLOOKUP(C7,'Train Runs'!$A$13:$AE$9960,22,0)</f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/stypes="*4063*201709201*" /stext=" 16:.+((SYSTEM_STATE.+slice.+state.+changed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4063</v>
      </c>
      <c r="V7" s="31">
        <f t="shared" ref="V7:V48" si="3">A7-utc_offset/24</f>
        <v>42998.686249999999</v>
      </c>
      <c r="W7" s="45" t="str">
        <f t="shared" ref="W7:W48" si="4">DetSubdiv(C7)</f>
        <v>EC</v>
      </c>
      <c r="X7" s="22">
        <f t="shared" ref="X7:X48" si="5">VALUE(LEFT(C7,LEN(C7)-3))</f>
        <v>144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Arrival","project_id":79,"tracker_id":40,"status_id":1,"priority_id":2,"assigned_to_id":338,"start_date":"2017-09-20","description":"","custom_fields":[{"id":1,"name":"Subdivision","value":"EC"},{"id":4,"name":"Milepost","value":"2.735"},{"id":17,"name":"Train ID","value":"144-20"},{"id":16,"name":"Locomotive ID","value":"4063"},{"id":130,"name":"Impact","value":""},{"id":150,"name":"Time of Event (Mountain Time)","value":"10:28:12"},{"id":151,"name":"Denver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/c/Users/stu/AppData/Local/Temp/OnboardLogs/RTDC4063 --include="*4063*201709201*"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"%USERPROFILE%\AppData\Local\Temp\OnboardLogs"\RTDC4063\*4063*201709201* &gt;&gt; 2017-09-20-SliceDisagreementCheck.txt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4063 --day 2017-09-20</v>
      </c>
    </row>
    <row r="8" spans="1:32" s="1" customFormat="1" x14ac:dyDescent="0.25">
      <c r="A8" s="31">
        <v>42999.018020833333</v>
      </c>
      <c r="B8" s="30" t="s">
        <v>598</v>
      </c>
      <c r="C8" s="30" t="s">
        <v>616</v>
      </c>
      <c r="D8" s="30" t="s">
        <v>49</v>
      </c>
      <c r="E8" s="30" t="s">
        <v>186</v>
      </c>
      <c r="F8" s="42">
        <v>140</v>
      </c>
      <c r="G8" s="42">
        <v>206</v>
      </c>
      <c r="H8" s="42">
        <v>33593</v>
      </c>
      <c r="I8" s="42">
        <v>33243</v>
      </c>
      <c r="J8" s="30" t="s">
        <v>187</v>
      </c>
      <c r="K8" s="42">
        <v>33257</v>
      </c>
      <c r="L8" s="131" t="s">
        <v>51</v>
      </c>
      <c r="M8" s="132">
        <f t="shared" si="0"/>
        <v>-7.3920000000000003</v>
      </c>
      <c r="N8" s="133" t="str">
        <f>VLOOKUP(C8,'Trips&amp;Operators'!$C$1:$G$99911,5,FALSE)</f>
        <v>PERKINS DARREN</v>
      </c>
      <c r="O8" s="176" t="s">
        <v>179</v>
      </c>
      <c r="P8" s="134" t="s">
        <v>368</v>
      </c>
      <c r="Q8" s="30"/>
      <c r="R8" s="81" t="str">
        <f>VLOOKUP(C8,'Train Runs'!$A$13:$AE$9960,31,0)</f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S8" s="84" t="str">
        <f>VLOOKUP(C8,'Train Runs'!$A$13:$AE$9960,22,0)</f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/stypes="*4041*201709210*"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42999.268020833333</v>
      </c>
      <c r="W8" s="45" t="str">
        <f t="shared" si="4"/>
        <v>EC</v>
      </c>
      <c r="X8" s="22">
        <f t="shared" si="5"/>
        <v>238</v>
      </c>
      <c r="Y8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Arrival","project_id":79,"tracker_id":40,"status_id":1,"priority_id":2,"assigned_to_id":338,"start_date":"2017-09-21","description":"","custom_fields":[{"id":1,"name":"Subdivision","value":"EC"},{"id":4,"name":"Milepost","value":"3.3257"},{"id":17,"name":"Train ID","value":"238-20"},{"id":16,"name":"Locomotive ID","value":"4041"},{"id":130,"name":"Impact","value":""},{"id":150,"name":"Time of Event (Mountain Time)","value":"00:25:57"},{"id":151,"name":"Denver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/c/Users/stu/AppData/Local/Temp/OnboardLogs/RTDC4041 --include="*4041*201709210*"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"%USERPROFILE%\AppData\Local\Temp\OnboardLogs"\RTDC4041\*4041*201709210* &gt;&gt; 2017-09-20-SliceDisagreementCheck.txt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4041 --day 2017-09-21</v>
      </c>
    </row>
    <row r="9" spans="1:32" s="1" customFormat="1" x14ac:dyDescent="0.25">
      <c r="A9" s="31">
        <v>42998.515023148146</v>
      </c>
      <c r="B9" s="30" t="s">
        <v>385</v>
      </c>
      <c r="C9" s="30" t="s">
        <v>596</v>
      </c>
      <c r="D9" s="30" t="s">
        <v>49</v>
      </c>
      <c r="E9" s="30" t="s">
        <v>186</v>
      </c>
      <c r="F9" s="42">
        <v>270</v>
      </c>
      <c r="G9" s="42">
        <v>333</v>
      </c>
      <c r="H9" s="42">
        <v>59082</v>
      </c>
      <c r="I9" s="42">
        <v>58364</v>
      </c>
      <c r="J9" s="30" t="s">
        <v>187</v>
      </c>
      <c r="K9" s="42">
        <v>58301</v>
      </c>
      <c r="L9" s="131" t="s">
        <v>51</v>
      </c>
      <c r="M9" s="132">
        <f t="shared" si="0"/>
        <v>33.264000000000003</v>
      </c>
      <c r="N9" s="133" t="str">
        <f>VLOOKUP(C9,'Trips&amp;Operators'!$C$1:$G$99911,5,FALSE)</f>
        <v>FORTUNATO FRANK</v>
      </c>
      <c r="O9" s="176" t="s">
        <v>179</v>
      </c>
      <c r="P9" s="134" t="s">
        <v>368</v>
      </c>
      <c r="Q9" s="30"/>
      <c r="R9" s="81" t="str">
        <f>VLOOKUP(C9,'Train Runs'!$A$13:$AE$9960,31,0)</f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S9" s="84" t="str">
        <f>VLOOKUP(C9,'Train Runs'!$A$13:$AE$9960,22,0)</f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/stypes="*4061*201709201*"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42998.765023148146</v>
      </c>
      <c r="W9" s="45" t="str">
        <f t="shared" si="4"/>
        <v>EC</v>
      </c>
      <c r="X9" s="22">
        <f t="shared" si="5"/>
        <v>160</v>
      </c>
      <c r="Y9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Arrival","project_id":79,"tracker_id":40,"status_id":1,"priority_id":2,"assigned_to_id":338,"start_date":"2017-09-20","description":"","custom_fields":[{"id":1,"name":"Subdivision","value":"EC"},{"id":4,"name":"Milepost","value":"5.8301"},{"id":17,"name":"Train ID","value":"160-20"},{"id":16,"name":"Locomotive ID","value":"4061"},{"id":130,"name":"Impact","value":""},{"id":150,"name":"Time of Event (Mountain Time)","value":"12:21:38"},{"id":151,"name":"Denver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/c/Users/stu/AppData/Local/Temp/OnboardLogs/RTDC4061 --include="*4061*201709201*"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"%USERPROFILE%\AppData\Local\Temp\OnboardLogs"\RTDC4061\*4061*201709201* &gt;&gt; 2017-09-20-SliceDisagreementCheck.txt</v>
      </c>
      <c r="AE9" s="145" t="str">
        <f t="shared" si="9"/>
        <v>start /low /b %USERPROFILE%\Documents\GitHub\eaglep3\Utilities\DownloadLogsFromS3.py --loco 4061 --day 2017-09-20</v>
      </c>
    </row>
    <row r="10" spans="1:32" s="1" customFormat="1" x14ac:dyDescent="0.25">
      <c r="A10" s="31">
        <v>42998.556006944447</v>
      </c>
      <c r="B10" s="30" t="s">
        <v>598</v>
      </c>
      <c r="C10" s="30" t="s">
        <v>599</v>
      </c>
      <c r="D10" s="30" t="s">
        <v>49</v>
      </c>
      <c r="E10" s="30" t="s">
        <v>186</v>
      </c>
      <c r="F10" s="42">
        <v>160</v>
      </c>
      <c r="G10" s="42">
        <v>210</v>
      </c>
      <c r="H10" s="42">
        <v>63683</v>
      </c>
      <c r="I10" s="42">
        <v>63355</v>
      </c>
      <c r="J10" s="30" t="s">
        <v>187</v>
      </c>
      <c r="K10" s="42">
        <v>63309</v>
      </c>
      <c r="L10" s="131" t="s">
        <v>51</v>
      </c>
      <c r="M10" s="132">
        <f t="shared" si="0"/>
        <v>24.288</v>
      </c>
      <c r="N10" s="133" t="str">
        <f>VLOOKUP(C10,'Trips&amp;Operators'!$C$1:$G$99911,5,FALSE)</f>
        <v>LEVIN SCOTT</v>
      </c>
      <c r="O10" s="176" t="s">
        <v>179</v>
      </c>
      <c r="P10" s="134" t="s">
        <v>368</v>
      </c>
      <c r="Q10" s="30"/>
      <c r="R10" s="81" t="str">
        <f>VLOOKUP(C10,'Train Runs'!$A$13:$AE$9960,31,0)</f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S10" s="84" t="str">
        <f>VLOOKUP(C10,'Train Runs'!$A$13:$AE$9960,22,0)</f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/stypes="*4041*201709201*"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42998.806006944447</v>
      </c>
      <c r="W10" s="45" t="str">
        <f t="shared" si="4"/>
        <v>EC</v>
      </c>
      <c r="X10" s="22">
        <f t="shared" si="5"/>
        <v>168</v>
      </c>
      <c r="Y10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ID","value":"168-20"},{"id":16,"name":"Locomotive ID","value":"4041"},{"id":130,"name":"Impact","value":""},{"id":150,"name":"Time of Event (Mountain Time)","value":"13:20:39"},{"id":151,"name":"Denver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/c/Users/stu/AppData/Local/Temp/OnboardLogs/RTDC4041 --include="*4041*201709201*"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"%USERPROFILE%\AppData\Local\Temp\OnboardLogs"\RTDC4041\*4041*201709201* &gt;&gt; 2017-09-20-SliceDisagreementCheck.txt</v>
      </c>
      <c r="AE10" s="145" t="str">
        <f t="shared" si="9"/>
        <v>start /low /b %USERPROFILE%\Documents\GitHub\eaglep3\Utilities\DownloadLogsFromS3.py --loco 4041 --day 2017-09-20</v>
      </c>
    </row>
    <row r="11" spans="1:32" s="1" customFormat="1" x14ac:dyDescent="0.25">
      <c r="A11" s="31">
        <v>42998.400173611109</v>
      </c>
      <c r="B11" s="30" t="s">
        <v>589</v>
      </c>
      <c r="C11" s="30" t="s">
        <v>590</v>
      </c>
      <c r="D11" s="30" t="s">
        <v>49</v>
      </c>
      <c r="E11" s="30" t="s">
        <v>186</v>
      </c>
      <c r="F11" s="42">
        <v>210</v>
      </c>
      <c r="G11" s="42">
        <v>260</v>
      </c>
      <c r="H11" s="42">
        <v>63420</v>
      </c>
      <c r="I11" s="42">
        <v>63013</v>
      </c>
      <c r="J11" s="30" t="s">
        <v>187</v>
      </c>
      <c r="K11" s="42">
        <v>63309</v>
      </c>
      <c r="L11" s="131" t="s">
        <v>51</v>
      </c>
      <c r="M11" s="132">
        <f t="shared" si="0"/>
        <v>-156.28800000000001</v>
      </c>
      <c r="N11" s="133" t="str">
        <f>VLOOKUP(C11,'Trips&amp;Operators'!$C$1:$G$99911,5,FALSE)</f>
        <v>WEST BRYAN</v>
      </c>
      <c r="O11" s="176" t="s">
        <v>179</v>
      </c>
      <c r="P11" s="134" t="s">
        <v>368</v>
      </c>
      <c r="Q11" s="30"/>
      <c r="R11" s="81" t="str">
        <f>VLOOKUP(C11,'Train Runs'!$A$13:$AE$9960,31,0)</f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S11" s="84" t="str">
        <f>VLOOKUP(C11,'Train Runs'!$A$13:$AE$9960,22,0)</f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 t="shared" si="1"/>
        <v>"C:\Program Files (x86)\AstroGrep\AstroGrep.exe" /e /r /s /spath="%USERPROFILE%\AppData\Local\Temp\OnboardLogs" /stypes="*4001*201709201*"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4001</v>
      </c>
      <c r="V11" s="31">
        <f t="shared" si="3"/>
        <v>42998.650173611109</v>
      </c>
      <c r="W11" s="45" t="str">
        <f t="shared" si="4"/>
        <v>EC</v>
      </c>
      <c r="X11" s="22">
        <f t="shared" si="5"/>
        <v>138</v>
      </c>
      <c r="Y11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ID","value":"138-20"},{"id":16,"name":"Locomotive ID","value":"4001"},{"id":130,"name":"Impact","value":""},{"id":150,"name":"Time of Event (Mountain Time)","value":"09:36:15"},{"id":151,"name":"Denver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/c/Users/stu/AppData/Local/Temp/OnboardLogs/RTDC4001 --include="*4001*201709201*"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"%USERPROFILE%\AppData\Local\Temp\OnboardLogs"\RTDC4001\*4001*201709201* &gt;&gt; 2017-09-20-SliceDisagreementCheck.txt</v>
      </c>
      <c r="AE11" s="145" t="str">
        <f t="shared" si="9"/>
        <v>start /low /b %USERPROFILE%\Documents\GitHub\eaglep3\Utilities\DownloadLogsFromS3.py --loco 4001 --day 2017-09-20</v>
      </c>
    </row>
    <row r="12" spans="1:32" x14ac:dyDescent="0.25">
      <c r="A12" s="31">
        <v>42998.992685185185</v>
      </c>
      <c r="B12" s="30" t="s">
        <v>426</v>
      </c>
      <c r="C12" s="30" t="s">
        <v>614</v>
      </c>
      <c r="D12" s="30" t="s">
        <v>49</v>
      </c>
      <c r="E12" s="30" t="s">
        <v>186</v>
      </c>
      <c r="F12" s="42">
        <v>300</v>
      </c>
      <c r="G12" s="42">
        <v>735</v>
      </c>
      <c r="H12" s="42">
        <v>67874</v>
      </c>
      <c r="I12" s="42">
        <v>64620</v>
      </c>
      <c r="J12" s="30" t="s">
        <v>187</v>
      </c>
      <c r="K12" s="42">
        <v>63309</v>
      </c>
      <c r="L12" s="131" t="s">
        <v>51</v>
      </c>
      <c r="M12" s="132">
        <f t="shared" si="0"/>
        <v>692.20799999999997</v>
      </c>
      <c r="N12" s="133" t="str">
        <f>VLOOKUP(C12,'Trips&amp;Operators'!$C$1:$G$99911,5,FALSE)</f>
        <v>RESPASS AARON</v>
      </c>
      <c r="O12" s="176" t="s">
        <v>179</v>
      </c>
      <c r="P12" s="134" t="s">
        <v>368</v>
      </c>
      <c r="Q12" s="30"/>
      <c r="R12" s="81" t="str">
        <f>VLOOKUP(C12,'Train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12" s="84" t="str">
        <f>VLOOKUP(C12,'Train Runs'!$A$13:$AE$9960,22,0)</f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 t="shared" si="1"/>
        <v>"C:\Program Files (x86)\AstroGrep\AstroGrep.exe" /e /r /s /spath="%USERPROFILE%\AppData\Local\Temp\OnboardLogs" /stypes="*4043*201709210*"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42999.242685185185</v>
      </c>
      <c r="W12" s="45" t="str">
        <f t="shared" si="4"/>
        <v>EC</v>
      </c>
      <c r="X12" s="22">
        <f t="shared" si="5"/>
        <v>236</v>
      </c>
      <c r="Y12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ID","value":"236-20"},{"id":16,"name":"Locomotive ID","value":"4043"},{"id":130,"name":"Impact","value":""},{"id":150,"name":"Time of Event (Mountain Time)","value":"23:49:28"},{"id":151,"name":"Denver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/c/Users/stu/AppData/Local/Temp/OnboardLogs/RTDC4043 --include="*4043*201709210*"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12" s="145" t="str">
        <f t="shared" si="9"/>
        <v>start /low /b %USERPROFILE%\Documents\GitHub\eaglep3\Utilities\DownloadLogsFromS3.py --loco 4043 --day 2017-09-21</v>
      </c>
      <c r="AF12" s="1"/>
    </row>
    <row r="13" spans="1:32" x14ac:dyDescent="0.25">
      <c r="A13" s="31">
        <v>42998.468321759261</v>
      </c>
      <c r="B13" s="30" t="s">
        <v>589</v>
      </c>
      <c r="C13" s="30" t="s">
        <v>593</v>
      </c>
      <c r="D13" s="30" t="s">
        <v>49</v>
      </c>
      <c r="E13" s="30" t="s">
        <v>186</v>
      </c>
      <c r="F13" s="42">
        <v>340</v>
      </c>
      <c r="G13" s="42">
        <v>390</v>
      </c>
      <c r="H13" s="42">
        <v>110066</v>
      </c>
      <c r="I13" s="42">
        <v>108978</v>
      </c>
      <c r="J13" s="30" t="s">
        <v>187</v>
      </c>
      <c r="K13" s="42">
        <v>109135</v>
      </c>
      <c r="L13" s="131" t="s">
        <v>51</v>
      </c>
      <c r="M13" s="132">
        <f t="shared" si="0"/>
        <v>-82.895999999999987</v>
      </c>
      <c r="N13" s="133" t="str">
        <f>VLOOKUP(C13,'Trips&amp;Operators'!$C$1:$G$99911,5,FALSE)</f>
        <v>DAVIS WENDY</v>
      </c>
      <c r="O13" s="176" t="s">
        <v>179</v>
      </c>
      <c r="P13" s="134" t="s">
        <v>368</v>
      </c>
      <c r="Q13" s="30"/>
      <c r="R13" s="81" t="str">
        <f>VLOOKUP(C13,'Train Runs'!$A$13:$AE$9960,31,0)</f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S13" s="84" t="str">
        <f>VLOOKUP(C13,'Train Runs'!$A$13:$AE$9960,22,0)</f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6" t="str">
        <f t="shared" si="1"/>
        <v>"C:\Program Files (x86)\AstroGrep\AstroGrep.exe" /e /r /s /spath="%USERPROFILE%\AppData\Local\Temp\OnboardLogs" /stypes="*4001*201709201*"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4001</v>
      </c>
      <c r="V13" s="31">
        <f t="shared" si="3"/>
        <v>42998.718321759261</v>
      </c>
      <c r="W13" s="45" t="str">
        <f t="shared" si="4"/>
        <v>EC</v>
      </c>
      <c r="X13" s="22">
        <f t="shared" si="5"/>
        <v>152</v>
      </c>
      <c r="Y13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Arrival","project_id":79,"tracker_id":40,"status_id":1,"priority_id":2,"assigned_to_id":338,"start_date":"2017-09-20","description":"","custom_fields":[{"id":1,"name":"Subdivision","value":"EC"},{"id":4,"name":"Milepost","value":"10.9135"},{"id":17,"name":"Train ID","value":"152-20"},{"id":16,"name":"Locomotive ID","value":"4001"},{"id":130,"name":"Impact","value":""},{"id":150,"name":"Time of Event (Mountain Time)","value":"11:14:23"},{"id":151,"name":"Denver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/c/Users/stu/AppData/Local/Temp/OnboardLogs/RTDC4001 --include="*4001*201709201*"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"%USERPROFILE%\AppData\Local\Temp\OnboardLogs"\RTDC4001\*4001*201709201* &gt;&gt; 2017-09-20-SliceDisagreementCheck.txt</v>
      </c>
      <c r="AE13" s="145" t="str">
        <f t="shared" si="9"/>
        <v>start /low /b %USERPROFILE%\Documents\GitHub\eaglep3\Utilities\DownloadLogsFromS3.py --loco 4001 --day 2017-09-20</v>
      </c>
      <c r="AF13" s="1"/>
    </row>
    <row r="14" spans="1:32" x14ac:dyDescent="0.25">
      <c r="A14" s="31">
        <v>42998.752881944441</v>
      </c>
      <c r="B14" s="30" t="s">
        <v>394</v>
      </c>
      <c r="C14" s="30" t="s">
        <v>607</v>
      </c>
      <c r="D14" s="30" t="s">
        <v>49</v>
      </c>
      <c r="E14" s="30" t="s">
        <v>194</v>
      </c>
      <c r="F14" s="42">
        <v>400</v>
      </c>
      <c r="G14" s="42">
        <v>450</v>
      </c>
      <c r="H14" s="42">
        <v>17179</v>
      </c>
      <c r="I14" s="42">
        <v>17901</v>
      </c>
      <c r="J14" s="30" t="s">
        <v>195</v>
      </c>
      <c r="K14" s="42">
        <v>17867</v>
      </c>
      <c r="L14" s="131" t="s">
        <v>50</v>
      </c>
      <c r="M14" s="132">
        <f t="shared" si="0"/>
        <v>-17.952000000000002</v>
      </c>
      <c r="N14" s="133" t="str">
        <f>VLOOKUP(C14,'Trips&amp;Operators'!$C$1:$G$99911,5,FALSE)</f>
        <v>HOLCOMB KAMDEN</v>
      </c>
      <c r="O14" s="176" t="s">
        <v>179</v>
      </c>
      <c r="P14" s="134"/>
      <c r="Q14" s="30"/>
      <c r="R14" s="81" t="str">
        <f>VLOOKUP(C14,'Train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14" s="84" t="str">
        <f>VLOOKUP(C14,'Train Runs'!$A$13:$AE$9960,22,0)</f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 t="shared" si="1"/>
        <v>"C:\Program Files (x86)\AstroGrep\AstroGrep.exe" /e /r /s /spath="%USERPROFILE%\AppData\Local\Temp\OnboardLogs" /stypes="*4062*201709210*"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4062</v>
      </c>
      <c r="V14" s="31">
        <f t="shared" si="3"/>
        <v>42999.002881944441</v>
      </c>
      <c r="W14" s="45" t="str">
        <f t="shared" si="4"/>
        <v>EC</v>
      </c>
      <c r="X14" s="22">
        <f t="shared" si="5"/>
        <v>215</v>
      </c>
      <c r="Y14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{"issue":{"subject":"","project_id":79,"tracker_id":40,"status_id":1,"priority_id":2,"assigned_to_id":338,"start_date":"2017-09-20","description":"","custom_fields":[{"id":1,"name":"Subdivision","value":"EC"},{"id":4,"name":"Milepost","value":"1.7867"},{"id":17,"name":"Train ID","value":"215-20"},{"id":16,"name":"Locomotive ID","value":"4062"},{"id":130,"name":"Impact","value":""},{"id":150,"name":"Time of Event (Mountain Time)","value":"18:04:09"},{"id":151,"name":"Denver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/c/Users/stu/AppData/Local/Temp/OnboardLogs/RTDC4062 --include="*4062*201709210*"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"%USERPROFILE%\AppData\Local\Temp\OnboardLogs"\RTDC4062\*4062*201709210* &gt;&gt; 2017-09-20-SliceDisagreementCheck.txt</v>
      </c>
      <c r="AE14" s="145" t="str">
        <f t="shared" si="9"/>
        <v>start /low /b %USERPROFILE%\Documents\GitHub\eaglep3\Utilities\DownloadLogsFromS3.py --loco 4062 --day 2017-09-21</v>
      </c>
      <c r="AF14" s="1"/>
    </row>
    <row r="15" spans="1:32" x14ac:dyDescent="0.25">
      <c r="A15" s="31">
        <v>42998.20349537037</v>
      </c>
      <c r="B15" s="30" t="s">
        <v>510</v>
      </c>
      <c r="C15" s="30" t="s">
        <v>576</v>
      </c>
      <c r="D15" s="30" t="s">
        <v>95</v>
      </c>
      <c r="E15" s="30" t="s">
        <v>194</v>
      </c>
      <c r="F15" s="42">
        <v>600</v>
      </c>
      <c r="G15" s="42">
        <v>653</v>
      </c>
      <c r="H15" s="42">
        <v>123509</v>
      </c>
      <c r="I15" s="42">
        <v>126926</v>
      </c>
      <c r="J15" s="30" t="s">
        <v>195</v>
      </c>
      <c r="K15" s="42">
        <v>119716</v>
      </c>
      <c r="L15" s="131" t="s">
        <v>50</v>
      </c>
      <c r="M15" s="132">
        <f t="shared" si="0"/>
        <v>-3806.88</v>
      </c>
      <c r="N15" s="133" t="str">
        <f>VLOOKUP(C15,'Trips&amp;Operators'!$C$1:$G$99911,5,FALSE)</f>
        <v>WEST BRYAN</v>
      </c>
      <c r="O15" s="176" t="s">
        <v>179</v>
      </c>
      <c r="P15" s="134"/>
      <c r="Q15" s="30"/>
      <c r="R15" s="81" t="str">
        <f>VLOOKUP(C15,'Train Runs'!$A$13:$AE$9960,31,0)</f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S15" s="84" t="str">
        <f>VLOOKUP(C15,'Train Runs'!$A$13:$AE$9960,22,0)</f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86" t="str">
        <f t="shared" si="1"/>
        <v>"C:\Program Files (x86)\AstroGrep\AstroGrep.exe" /e /r /s /spath="%USERPROFILE%\AppData\Local\Temp\OnboardLogs" /stypes="*4044*201709201*"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4044</v>
      </c>
      <c r="V15" s="31">
        <f t="shared" si="3"/>
        <v>42998.45349537037</v>
      </c>
      <c r="W15" s="45" t="str">
        <f t="shared" si="4"/>
        <v>EC</v>
      </c>
      <c r="X15" s="22">
        <f t="shared" si="5"/>
        <v>107</v>
      </c>
      <c r="Y15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{"issue":{"subject":"","project_id":79,"tracker_id":40,"status_id":1,"priority_id":2,"assigned_to_id":338,"start_date":"2017-09-20","description":"","custom_fields":[{"id":1,"name":"Subdivision","value":"EC"},{"id":4,"name":"Milepost","value":"11.9716"},{"id":17,"name":"Train ID","value":"107-20"},{"id":16,"name":"Locomotive ID","value":"4044"},{"id":130,"name":"Impact","value":""},{"id":150,"name":"Time of Event (Mountain Time)","value":"04:53:02"},{"id":151,"name":"Denver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/c/Users/stu/AppData/Local/Temp/OnboardLogs/RTDC4044 --include="*4044*201709201*"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"%USERPROFILE%\AppData\Local\Temp\OnboardLogs"\RTDC4044\*4044*201709201* &gt;&gt; 2017-09-20-SliceDisagreementCheck.txt</v>
      </c>
      <c r="AE15" s="145" t="str">
        <f t="shared" si="9"/>
        <v>start /low /b %USERPROFILE%\Documents\GitHub\eaglep3\Utilities\DownloadLogsFromS3.py --loco 4044 --day 2017-09-20</v>
      </c>
      <c r="AF15" s="1"/>
    </row>
    <row r="16" spans="1:32" x14ac:dyDescent="0.25">
      <c r="A16" s="31">
        <v>42998.742372685185</v>
      </c>
      <c r="B16" s="30" t="s">
        <v>426</v>
      </c>
      <c r="C16" s="30" t="s">
        <v>605</v>
      </c>
      <c r="D16" s="30" t="s">
        <v>95</v>
      </c>
      <c r="E16" s="30" t="s">
        <v>194</v>
      </c>
      <c r="F16" s="42">
        <v>700</v>
      </c>
      <c r="G16" s="42">
        <v>753</v>
      </c>
      <c r="H16" s="42">
        <v>179975</v>
      </c>
      <c r="I16" s="42">
        <v>176381</v>
      </c>
      <c r="J16" s="30" t="s">
        <v>195</v>
      </c>
      <c r="K16" s="42">
        <v>183829</v>
      </c>
      <c r="L16" s="131" t="s">
        <v>51</v>
      </c>
      <c r="M16" s="132">
        <f t="shared" si="0"/>
        <v>-3932.5439999999999</v>
      </c>
      <c r="N16" s="133" t="str">
        <f>VLOOKUP(C16,'Trips&amp;Operators'!$C$1:$G$99911,5,FALSE)</f>
        <v>MOSES BRADLEY</v>
      </c>
      <c r="O16" s="176" t="s">
        <v>179</v>
      </c>
      <c r="P16" s="134"/>
      <c r="Q16" s="30"/>
      <c r="R16" s="81" t="str">
        <f>VLOOKUP(C16,'Train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16" s="84" t="str">
        <f>VLOOKUP(C16,'Train Runs'!$A$13:$AE$9960,22,0)</f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6" t="str">
        <f t="shared" si="1"/>
        <v>"C:\Program Files (x86)\AstroGrep\AstroGrep.exe" /e /r /s /spath="%USERPROFILE%\AppData\Local\Temp\OnboardLogs" /stypes="*4043*201709202*"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42998.992372685185</v>
      </c>
      <c r="W16" s="45" t="str">
        <f t="shared" si="4"/>
        <v>EC</v>
      </c>
      <c r="X16" s="22">
        <f t="shared" si="5"/>
        <v>206</v>
      </c>
      <c r="Y16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{"issue":{"subject":"","project_id":79,"tracker_id":40,"status_id":1,"priority_id":2,"assigned_to_id":338,"start_date":"2017-09-20","description":"","custom_fields":[{"id":1,"name":"Subdivision","value":"EC"},{"id":4,"name":"Milepost","value":"18.3829"},{"id":17,"name":"Train ID","value":"206-20"},{"id":16,"name":"Locomotive ID","value":"4043"},{"id":130,"name":"Impact","value":""},{"id":150,"name":"Time of Event (Mountain Time)","value":"17:49:01"},{"id":151,"name":"Denver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/c/Users/stu/AppData/Local/Temp/OnboardLogs/RTDC4043 --include="*4043*201709202*"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"%USERPROFILE%\AppData\Local\Temp\OnboardLogs"\RTDC4043\*4043*201709202* &gt;&gt; 2017-09-20-SliceDisagreementCheck.txt</v>
      </c>
      <c r="AE16" s="145" t="str">
        <f t="shared" si="9"/>
        <v>start /low /b %USERPROFILE%\Documents\GitHub\eaglep3\Utilities\DownloadLogsFromS3.py --loco 4043 --day 2017-09-20</v>
      </c>
      <c r="AF16" s="1"/>
    </row>
    <row r="17" spans="1:32" x14ac:dyDescent="0.25">
      <c r="A17" s="31">
        <v>42998.386493055557</v>
      </c>
      <c r="B17" s="30" t="s">
        <v>411</v>
      </c>
      <c r="C17" s="30" t="s">
        <v>586</v>
      </c>
      <c r="D17" s="30" t="s">
        <v>49</v>
      </c>
      <c r="E17" s="30" t="s">
        <v>194</v>
      </c>
      <c r="F17" s="42">
        <v>550</v>
      </c>
      <c r="G17" s="42">
        <v>781</v>
      </c>
      <c r="H17" s="42">
        <v>218026</v>
      </c>
      <c r="I17" s="42">
        <v>221806</v>
      </c>
      <c r="J17" s="30" t="s">
        <v>195</v>
      </c>
      <c r="K17" s="42">
        <v>222090</v>
      </c>
      <c r="L17" s="131" t="s">
        <v>50</v>
      </c>
      <c r="M17" s="132">
        <f t="shared" si="0"/>
        <v>149.952</v>
      </c>
      <c r="N17" s="133" t="str">
        <f>VLOOKUP(C17,'Trips&amp;Operators'!$C$1:$G$99911,5,FALSE)</f>
        <v>YANAI IAN</v>
      </c>
      <c r="O17" s="176" t="s">
        <v>179</v>
      </c>
      <c r="P17" s="134"/>
      <c r="Q17" s="30"/>
      <c r="R17" s="81" t="str">
        <f>VLOOKUP(C17,'Train Runs'!$A$13:$AE$9960,31,0)</f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S17" s="84" t="str">
        <f>VLOOKUP(C17,'Train Runs'!$A$13:$AE$9960,22,0)</f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7" s="86" t="str">
        <f t="shared" si="1"/>
        <v>"C:\Program Files (x86)\AstroGrep\AstroGrep.exe" /e /r /s /spath="%USERPROFILE%\AppData\Local\Temp\OnboardLogs" /stypes="*4058*201709201*"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4058</v>
      </c>
      <c r="V17" s="31">
        <f t="shared" si="3"/>
        <v>42998.636493055557</v>
      </c>
      <c r="W17" s="45" t="str">
        <f t="shared" si="4"/>
        <v>EC</v>
      </c>
      <c r="X17" s="22">
        <f t="shared" si="5"/>
        <v>141</v>
      </c>
      <c r="Y17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{"issue":{"subject":"","project_id":79,"tracker_id":40,"status_id":1,"priority_id":2,"assigned_to_id":338,"start_date":"2017-09-20","description":"","custom_fields":[{"id":1,"name":"Subdivision","value":"EC"},{"id":4,"name":"Milepost","value":"22.209"},{"id":17,"name":"Train ID","value":"141-20"},{"id":16,"name":"Locomotive ID","value":"4058"},{"id":130,"name":"Impact","value":""},{"id":150,"name":"Time of Event (Mountain Time)","value":"09:16:33"},{"id":151,"name":"Denver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/c/Users/stu/AppData/Local/Temp/OnboardLogs/RTDC4058 --include="*4058*201709201*"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"%USERPROFILE%\AppData\Local\Temp\OnboardLogs"\RTDC4058\*4058*201709201* &gt;&gt; 2017-09-20-SliceDisagreementCheck.txt</v>
      </c>
      <c r="AE17" s="145" t="str">
        <f t="shared" si="9"/>
        <v>start /low /b %USERPROFILE%\Documents\GitHub\eaglep3\Utilities\DownloadLogsFromS3.py --loco 4058 --day 2017-09-20</v>
      </c>
      <c r="AF17" s="1"/>
    </row>
    <row r="18" spans="1:32" x14ac:dyDescent="0.25">
      <c r="A18" s="31">
        <v>42999.072002314817</v>
      </c>
      <c r="B18" s="30" t="s">
        <v>426</v>
      </c>
      <c r="C18" s="30" t="s">
        <v>617</v>
      </c>
      <c r="D18" s="30" t="s">
        <v>95</v>
      </c>
      <c r="E18" s="30" t="s">
        <v>360</v>
      </c>
      <c r="F18" s="42">
        <v>0</v>
      </c>
      <c r="G18" s="42">
        <v>77</v>
      </c>
      <c r="H18" s="42">
        <v>127517</v>
      </c>
      <c r="I18" s="42">
        <v>127386</v>
      </c>
      <c r="J18" s="30" t="s">
        <v>361</v>
      </c>
      <c r="K18" s="42">
        <v>127587</v>
      </c>
      <c r="L18" s="131" t="s">
        <v>51</v>
      </c>
      <c r="M18" s="132">
        <f t="shared" si="0"/>
        <v>-106.128</v>
      </c>
      <c r="N18" s="133" t="str">
        <f>VLOOKUP(C18,'Trips&amp;Operators'!$C$1:$G$99911,5,FALSE)</f>
        <v>HART KEVIN</v>
      </c>
      <c r="O18" s="176" t="s">
        <v>179</v>
      </c>
      <c r="P18" s="134" t="s">
        <v>1025</v>
      </c>
      <c r="Q18" s="30"/>
      <c r="R18" s="81" t="str">
        <f>VLOOKUP(C18,'Train Runs'!$A$13:$AE$9960,31,0)</f>
        <v>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 &amp; 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</v>
      </c>
      <c r="S18" s="84" t="str">
        <f>VLOOKUP(C18,'Train Runs'!$A$13:$AE$9960,22,0)</f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/stypes="*4043*201709210*" /stext=" 07:.+((SYSTEM_STATE.+slice.+state.+changed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42999.322002314817</v>
      </c>
      <c r="W18" s="45" t="str">
        <f t="shared" si="4"/>
        <v>EC</v>
      </c>
      <c r="X18" s="22">
        <f t="shared" si="5"/>
        <v>244</v>
      </c>
      <c r="Y18" s="96" t="str">
        <f t="shared" si="6"/>
        <v>echo {"issue":{"subject":"Went active too close to signal","project_id":79,"tracker_id":40,"status_id":1,"priority_id":2,"assigned_to_id":338,"start_date":"2017-09-21","description":"","custom_fields":[{"id":1,"name":"Subdivision","value":"EC"},{"id":4,"name":"Milepost","value":"12.7587"},{"id":17,"name":"Train ID","value":"244-20"},{"id":16,"name":"Locomotive ID","value":"4043"},{"id":130,"name":"Impact","value":""},{"id":150,"name":"Time of Event (Mountain Time)","value":"01:43:41"},{"id":151,"name":"Denver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/c/Users/stu/AppData/Local/Temp/OnboardLogs/RTDC4043 --include="*4043*201709210*"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18" s="145" t="str">
        <f t="shared" si="9"/>
        <v>start /low /b %USERPROFILE%\Documents\GitHub\eaglep3\Utilities\DownloadLogsFromS3.py --loco 4043 --day 2017-09-21</v>
      </c>
      <c r="AF18" s="1"/>
    </row>
    <row r="19" spans="1:32" x14ac:dyDescent="0.25">
      <c r="A19" s="31">
        <v>42998.626782407409</v>
      </c>
      <c r="B19" s="30" t="s">
        <v>394</v>
      </c>
      <c r="C19" s="30" t="s">
        <v>600</v>
      </c>
      <c r="D19" s="30" t="s">
        <v>49</v>
      </c>
      <c r="E19" s="30" t="s">
        <v>360</v>
      </c>
      <c r="F19" s="42">
        <v>0</v>
      </c>
      <c r="G19" s="42">
        <v>535</v>
      </c>
      <c r="H19" s="42">
        <v>193611</v>
      </c>
      <c r="I19" s="42">
        <v>195588</v>
      </c>
      <c r="J19" s="30" t="s">
        <v>361</v>
      </c>
      <c r="K19" s="42">
        <v>198242</v>
      </c>
      <c r="L19" s="131" t="s">
        <v>50</v>
      </c>
      <c r="M19" s="132">
        <f t="shared" si="0"/>
        <v>1401.3120000000001</v>
      </c>
      <c r="N19" s="133" t="str">
        <f>VLOOKUP(C19,'Trips&amp;Operators'!$C$1:$G$99911,5,FALSE)</f>
        <v>HOLCOMB KAMDEN</v>
      </c>
      <c r="O19" s="176" t="s">
        <v>435</v>
      </c>
      <c r="P19" s="134" t="s">
        <v>1023</v>
      </c>
      <c r="Q19" s="30"/>
      <c r="R19" s="81" t="str">
        <f>VLOOKUP(C19,'Train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19" s="84" t="str">
        <f>VLOOKUP(C19,'Train Runs'!$A$13:$AE$9960,22,0)</f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86" t="str">
        <f t="shared" si="1"/>
        <v>"C:\Program Files (x86)\AstroGrep\AstroGrep.exe" /e /r /s /spath="%USERPROFILE%\AppData\Local\Temp\OnboardLogs" /stypes="*4062*201709202*"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42998.876782407409</v>
      </c>
      <c r="W19" s="45" t="str">
        <f t="shared" si="4"/>
        <v>EC</v>
      </c>
      <c r="X19" s="22">
        <f t="shared" si="5"/>
        <v>187</v>
      </c>
      <c r="Y19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drop","project_id":79,"tracker_id":40,"status_id":1,"priority_id":2,"assigned_to_id":338,"start_date":"2017-09-20","description":"","custom_fields":[{"id":1,"name":"Subdivision","value":"EC"},{"id":4,"name":"Milepost","value":"19.8242"},{"id":17,"name":"Train ID","value":"187-20"},{"id":16,"name":"Locomotive ID","value":"4062"},{"id":130,"name":"Impact","value":""},{"id":150,"name":"Time of Event (Mountain Time)","value":"15:02:34"},{"id":151,"name":"Denver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/c/Users/stu/AppData/Local/Temp/OnboardLogs/RTDC4062 --include="*4062*201709202*"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"%USERPROFILE%\AppData\Local\Temp\OnboardLogs"\RTDC4062\*4062*201709202* &gt;&gt; 2017-09-20-SliceDisagreementCheck.txt</v>
      </c>
      <c r="AE19" s="145" t="str">
        <f t="shared" si="9"/>
        <v>start /low /b %USERPROFILE%\Documents\GitHub\eaglep3\Utilities\DownloadLogsFromS3.py --loco 4062 --day 2017-09-20</v>
      </c>
      <c r="AF19" s="1"/>
    </row>
    <row r="20" spans="1:32" x14ac:dyDescent="0.25">
      <c r="A20" s="31">
        <v>42998.813599537039</v>
      </c>
      <c r="B20" s="30" t="s">
        <v>385</v>
      </c>
      <c r="C20" s="30" t="s">
        <v>613</v>
      </c>
      <c r="D20" s="30" t="s">
        <v>49</v>
      </c>
      <c r="E20" s="30" t="s">
        <v>432</v>
      </c>
      <c r="F20" s="42">
        <v>0</v>
      </c>
      <c r="G20" s="42">
        <v>521</v>
      </c>
      <c r="H20" s="42">
        <v>17296</v>
      </c>
      <c r="I20" s="42">
        <v>13516</v>
      </c>
      <c r="J20" s="30" t="s">
        <v>433</v>
      </c>
      <c r="K20" s="42">
        <v>17100</v>
      </c>
      <c r="L20" s="131" t="s">
        <v>51</v>
      </c>
      <c r="M20" s="132">
        <f t="shared" si="0"/>
        <v>-1892.3520000000001</v>
      </c>
      <c r="N20" s="133" t="str">
        <f>VLOOKUP(C20,'Trips&amp;Operators'!$C$1:$G$99911,5,FALSE)</f>
        <v>HOLCOMB KAMDEN</v>
      </c>
      <c r="O20" s="176" t="s">
        <v>435</v>
      </c>
      <c r="P20" s="134" t="s">
        <v>1023</v>
      </c>
      <c r="Q20" s="30"/>
      <c r="R20" s="81" t="str">
        <f>VLOOKUP(C20,'Train Runs'!$A$13:$AE$9960,31,0)</f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S20" s="84" t="str">
        <f>VLOOKUP(C20,'Train Runs'!$A$13:$AE$9960,22,0)</f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0" s="86" t="str">
        <f t="shared" si="1"/>
        <v>"C:\Program Files (x86)\AstroGrep\AstroGrep.exe" /e /r /s /spath="%USERPROFILE%\AppData\Local\Temp\OnboardLogs" /stypes="*4061*201709210*"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4061</v>
      </c>
      <c r="V20" s="31">
        <f t="shared" si="3"/>
        <v>42999.063599537039</v>
      </c>
      <c r="W20" s="45" t="str">
        <f t="shared" si="4"/>
        <v>EC</v>
      </c>
      <c r="X20" s="22">
        <f t="shared" si="5"/>
        <v>216</v>
      </c>
      <c r="Y20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drop","project_id":79,"tracker_id":40,"status_id":1,"priority_id":2,"assigned_to_id":338,"start_date":"2017-09-20","description":"","custom_fields":[{"id":1,"name":"Subdivision","value":"EC"},{"id":4,"name":"Milepost","value":"1.71"},{"id":17,"name":"Train ID","value":"216-20"},{"id":16,"name":"Locomotive ID","value":"4061"},{"id":130,"name":"Impact","value":""},{"id":150,"name":"Time of Event (Mountain Time)","value":"19:31:35"},{"id":151,"name":"Denver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/c/Users/stu/AppData/Local/Temp/OnboardLogs/RTDC4061 --include="*4061*201709210*"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"%USERPROFILE%\AppData\Local\Temp\OnboardLogs"\RTDC4061\*4061*201709210* &gt;&gt; 2017-09-20-SliceDisagreementCheck.txt</v>
      </c>
      <c r="AE20" s="145" t="str">
        <f t="shared" si="9"/>
        <v>start /low /b %USERPROFILE%\Documents\GitHub\eaglep3\Utilities\DownloadLogsFromS3.py --loco 4061 --day 2017-09-21</v>
      </c>
      <c r="AF20" s="1"/>
    </row>
    <row r="21" spans="1:32" x14ac:dyDescent="0.25">
      <c r="A21" s="31">
        <v>42998.610891203702</v>
      </c>
      <c r="B21" s="30" t="s">
        <v>394</v>
      </c>
      <c r="C21" s="30" t="s">
        <v>600</v>
      </c>
      <c r="D21" s="30" t="s">
        <v>95</v>
      </c>
      <c r="E21" s="30" t="s">
        <v>601</v>
      </c>
      <c r="F21" s="42">
        <v>150</v>
      </c>
      <c r="G21" s="42">
        <v>201</v>
      </c>
      <c r="H21" s="42">
        <v>31516</v>
      </c>
      <c r="I21" s="42">
        <v>31984</v>
      </c>
      <c r="J21" s="30" t="s">
        <v>187</v>
      </c>
      <c r="K21" s="42">
        <v>30801</v>
      </c>
      <c r="L21" s="131" t="s">
        <v>50</v>
      </c>
      <c r="M21" s="132">
        <f t="shared" si="0"/>
        <v>-624.62400000000002</v>
      </c>
      <c r="N21" s="133" t="str">
        <f>VLOOKUP(C21,'Trips&amp;Operators'!$C$1:$G$99911,5,FALSE)</f>
        <v>HOLCOMB KAMDEN</v>
      </c>
      <c r="O21" s="176" t="s">
        <v>179</v>
      </c>
      <c r="P21" s="134"/>
      <c r="Q21" s="30"/>
      <c r="R21" s="81" t="str">
        <f>VLOOKUP(C21,'Train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21" s="84" t="str">
        <f>VLOOKUP(C21,'Train Runs'!$A$13:$AE$9960,22,0)</f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1" s="86" t="str">
        <f t="shared" si="1"/>
        <v>"C:\Program Files (x86)\AstroGrep\AstroGrep.exe" /e /r /s /spath="%USERPROFILE%\AppData\Local\Temp\OnboardLogs" /stypes="*4062*201709202*"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4062</v>
      </c>
      <c r="V21" s="31">
        <f t="shared" si="3"/>
        <v>42998.860891203702</v>
      </c>
      <c r="W21" s="45" t="str">
        <f t="shared" si="4"/>
        <v>EC</v>
      </c>
      <c r="X21" s="22">
        <f t="shared" si="5"/>
        <v>187</v>
      </c>
      <c r="Y21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{"issue":{"subject":"","project_id":79,"tracker_id":40,"status_id":1,"priority_id":2,"assigned_to_id":338,"start_date":"2017-09-20","description":"","custom_fields":[{"id":1,"name":"Subdivision","value":"EC"},{"id":4,"name":"Milepost","value":"3.0801"},{"id":17,"name":"Train ID","value":"187-20"},{"id":16,"name":"Locomotive ID","value":"4062"},{"id":130,"name":"Impact","value":""},{"id":150,"name":"Time of Event (Mountain Time)","value":"14:39:41"},{"id":151,"name":"Denver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/c/Users/stu/AppData/Local/Temp/OnboardLogs/RTDC4062 --include="*4062*201709202*"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"%USERPROFILE%\AppData\Local\Temp\OnboardLogs"\RTDC4062\*4062*201709202* &gt;&gt; 2017-09-20-SliceDisagreementCheck.txt</v>
      </c>
      <c r="AE21" s="145" t="str">
        <f t="shared" si="9"/>
        <v>start /low /b %USERPROFILE%\Documents\GitHub\eaglep3\Utilities\DownloadLogsFromS3.py --loco 4062 --day 2017-09-20</v>
      </c>
      <c r="AF21" s="1"/>
    </row>
    <row r="22" spans="1:32" x14ac:dyDescent="0.25">
      <c r="A22" s="31">
        <v>42998.223530092589</v>
      </c>
      <c r="B22" s="30" t="s">
        <v>578</v>
      </c>
      <c r="C22" s="30" t="s">
        <v>579</v>
      </c>
      <c r="D22" s="30" t="s">
        <v>49</v>
      </c>
      <c r="E22" s="30" t="s">
        <v>180</v>
      </c>
      <c r="F22" s="42">
        <v>0</v>
      </c>
      <c r="G22" s="42">
        <v>85</v>
      </c>
      <c r="H22" s="42">
        <v>280</v>
      </c>
      <c r="I22" s="42">
        <v>189</v>
      </c>
      <c r="J22" s="30" t="s">
        <v>181</v>
      </c>
      <c r="K22" s="42">
        <v>1</v>
      </c>
      <c r="L22" s="131" t="s">
        <v>51</v>
      </c>
      <c r="M22" s="132">
        <f t="shared" si="0"/>
        <v>99.263999999999996</v>
      </c>
      <c r="N22" s="133" t="str">
        <f>VLOOKUP(C22,'Trips&amp;Operators'!$C$1:$G$99911,5,FALSE)</f>
        <v>THOMPSON LESTER</v>
      </c>
      <c r="O22" s="176" t="s">
        <v>179</v>
      </c>
      <c r="P22" s="134"/>
      <c r="Q22" s="30"/>
      <c r="R22" s="81" t="str">
        <f>VLOOKUP(C22,'Train Runs'!$A$13:$AE$9960,31,0)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S22" s="84" t="str">
        <f>VLOOKUP(C22,'Train Runs'!$A$13:$AE$9960,22,0)</f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/stypes="*4063*201709201*"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42998.473530092589</v>
      </c>
      <c r="W22" s="45" t="str">
        <f t="shared" si="4"/>
        <v>EC</v>
      </c>
      <c r="X22" s="22">
        <f t="shared" si="5"/>
        <v>104</v>
      </c>
      <c r="Y22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ID","value":"104-20"},{"id":16,"name":"Locomotive ID","value":"4063"},{"id":130,"name":"Impact","value":""},{"id":150,"name":"Time of Event (Mountain Time)","value":"05:21:53"},{"id":151,"name":"Denver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/c/Users/stu/AppData/Local/Temp/OnboardLogs/RTDC4063 --include="*4063*201709201*"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"%USERPROFILE%\AppData\Local\Temp\OnboardLogs"\RTDC4063\*4063*201709201* &gt;&gt; 2017-09-20-SliceDisagreementCheck.txt</v>
      </c>
      <c r="AE22" s="145" t="str">
        <f t="shared" si="9"/>
        <v>start /low /b %USERPROFILE%\Documents\GitHub\eaglep3\Utilities\DownloadLogsFromS3.py --loco 4063 --day 2017-09-20</v>
      </c>
      <c r="AF22" s="1"/>
    </row>
    <row r="23" spans="1:32" x14ac:dyDescent="0.25">
      <c r="A23" s="31">
        <v>42998.722210648149</v>
      </c>
      <c r="B23" s="30" t="s">
        <v>434</v>
      </c>
      <c r="C23" s="30" t="s">
        <v>604</v>
      </c>
      <c r="D23" s="30" t="s">
        <v>49</v>
      </c>
      <c r="E23" s="30" t="s">
        <v>180</v>
      </c>
      <c r="F23" s="42">
        <v>0</v>
      </c>
      <c r="G23" s="42">
        <v>52</v>
      </c>
      <c r="H23" s="42">
        <v>150</v>
      </c>
      <c r="I23" s="42">
        <v>110</v>
      </c>
      <c r="J23" s="30" t="s">
        <v>181</v>
      </c>
      <c r="K23" s="42">
        <v>1</v>
      </c>
      <c r="L23" s="131" t="s">
        <v>51</v>
      </c>
      <c r="M23" s="132">
        <f t="shared" si="0"/>
        <v>57.552</v>
      </c>
      <c r="N23" s="133" t="str">
        <f>VLOOKUP(C23,'Trips&amp;Operators'!$C$1:$G$99911,5,FALSE)</f>
        <v>BERLING GARY</v>
      </c>
      <c r="O23" s="176" t="s">
        <v>179</v>
      </c>
      <c r="P23" s="134"/>
      <c r="Q23" s="30"/>
      <c r="R23" s="81" t="str">
        <f>VLOOKUP(C23,'Train Runs'!$A$13:$AE$9960,31,0)</f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S23" s="84" t="str">
        <f>VLOOKUP(C23,'Train Runs'!$A$13:$AE$9960,22,0)</f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3" s="86" t="str">
        <f t="shared" si="1"/>
        <v>"C:\Program Files (x86)\AstroGrep\AstroGrep.exe" /e /r /s /spath="%USERPROFILE%\AppData\Local\Temp\OnboardLogs" /stypes="*4057*201709202*"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4057</v>
      </c>
      <c r="V23" s="31">
        <f t="shared" si="3"/>
        <v>42998.972210648149</v>
      </c>
      <c r="W23" s="45" t="str">
        <f t="shared" si="4"/>
        <v>EC</v>
      </c>
      <c r="X23" s="22">
        <f t="shared" si="5"/>
        <v>198</v>
      </c>
      <c r="Y23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ID","value":"198-20"},{"id":16,"name":"Locomotive ID","value":"4057"},{"id":130,"name":"Impact","value":""},{"id":150,"name":"Time of Event (Mountain Time)","value":"17:19:59"},{"id":151,"name":"Denver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/c/Users/stu/AppData/Local/Temp/OnboardLogs/RTDC4057 --include="*4057*201709202*"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"%USERPROFILE%\AppData\Local\Temp\OnboardLogs"\RTDC4057\*4057*201709202* &gt;&gt; 2017-09-20-SliceDisagreementCheck.txt</v>
      </c>
      <c r="AE23" s="145" t="str">
        <f t="shared" si="9"/>
        <v>start /low /b %USERPROFILE%\Documents\GitHub\eaglep3\Utilities\DownloadLogsFromS3.py --loco 4057 --day 2017-09-20</v>
      </c>
      <c r="AF23" s="1"/>
    </row>
    <row r="24" spans="1:32" x14ac:dyDescent="0.25">
      <c r="A24" s="31">
        <v>42998.764328703706</v>
      </c>
      <c r="B24" s="30" t="s">
        <v>426</v>
      </c>
      <c r="C24" s="30" t="s">
        <v>605</v>
      </c>
      <c r="D24" s="30" t="s">
        <v>49</v>
      </c>
      <c r="E24" s="30" t="s">
        <v>180</v>
      </c>
      <c r="F24" s="42">
        <v>0</v>
      </c>
      <c r="G24" s="42">
        <v>51</v>
      </c>
      <c r="H24" s="42">
        <v>161</v>
      </c>
      <c r="I24" s="42">
        <v>123</v>
      </c>
      <c r="J24" s="30" t="s">
        <v>181</v>
      </c>
      <c r="K24" s="42">
        <v>1</v>
      </c>
      <c r="L24" s="131" t="s">
        <v>51</v>
      </c>
      <c r="M24" s="132">
        <f t="shared" si="0"/>
        <v>64.415999999999997</v>
      </c>
      <c r="N24" s="133" t="str">
        <f>VLOOKUP(C24,'Trips&amp;Operators'!$C$1:$G$99911,5,FALSE)</f>
        <v>MOSES BRADLEY</v>
      </c>
      <c r="O24" s="176" t="s">
        <v>179</v>
      </c>
      <c r="P24" s="134"/>
      <c r="Q24" s="30"/>
      <c r="R24" s="81" t="str">
        <f>VLOOKUP(C24,'Train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24" s="84" t="str">
        <f>VLOOKUP(C24,'Train Runs'!$A$13:$AE$9960,22,0)</f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86" t="str">
        <f t="shared" si="1"/>
        <v>"C:\Program Files (x86)\AstroGrep\AstroGrep.exe" /e /r /s /spath="%USERPROFILE%\AppData\Local\Temp\OnboardLogs" /stypes="*4043*201709210*"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4043</v>
      </c>
      <c r="V24" s="31">
        <f t="shared" si="3"/>
        <v>42999.014328703706</v>
      </c>
      <c r="W24" s="45" t="str">
        <f t="shared" si="4"/>
        <v>EC</v>
      </c>
      <c r="X24" s="22">
        <f t="shared" si="5"/>
        <v>206</v>
      </c>
      <c r="Y24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ID","value":"206-20"},{"id":16,"name":"Locomotive ID","value":"4043"},{"id":130,"name":"Impact","value":""},{"id":150,"name":"Time of Event (Mountain Time)","value":"18:20:38"},{"id":151,"name":"Denver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/c/Users/stu/AppData/Local/Temp/OnboardLogs/RTDC4043 --include="*4043*201709210*"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24" s="145" t="str">
        <f t="shared" si="9"/>
        <v>start /low /b %USERPROFILE%\Documents\GitHub\eaglep3\Utilities\DownloadLogsFromS3.py --loco 4043 --day 2017-09-21</v>
      </c>
      <c r="AF24" s="1"/>
    </row>
    <row r="25" spans="1:32" x14ac:dyDescent="0.25">
      <c r="A25" s="31">
        <v>42998.795138888891</v>
      </c>
      <c r="B25" s="30" t="s">
        <v>434</v>
      </c>
      <c r="C25" s="30" t="s">
        <v>612</v>
      </c>
      <c r="D25" s="30" t="s">
        <v>49</v>
      </c>
      <c r="E25" s="30" t="s">
        <v>180</v>
      </c>
      <c r="F25" s="42">
        <v>0</v>
      </c>
      <c r="G25" s="42">
        <v>64</v>
      </c>
      <c r="H25" s="42">
        <v>181</v>
      </c>
      <c r="I25" s="42">
        <v>141</v>
      </c>
      <c r="J25" s="30" t="s">
        <v>181</v>
      </c>
      <c r="K25" s="42">
        <v>1</v>
      </c>
      <c r="L25" s="131" t="s">
        <v>51</v>
      </c>
      <c r="M25" s="132">
        <f t="shared" si="0"/>
        <v>73.92</v>
      </c>
      <c r="N25" s="133" t="str">
        <f>VLOOKUP(C25,'Trips&amp;Operators'!$C$1:$G$99911,5,FALSE)</f>
        <v>BERLING GARY</v>
      </c>
      <c r="O25" s="176" t="s">
        <v>179</v>
      </c>
      <c r="P25" s="134"/>
      <c r="Q25" s="30"/>
      <c r="R25" s="81" t="str">
        <f>VLOOKUP(C25,'Train Runs'!$A$13:$AE$9960,31,0)</f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S25" s="84" t="str">
        <f>VLOOKUP(C25,'Train Runs'!$A$13:$AE$9960,22,0)</f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/stypes="*4057*201709210*"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42999.045138888891</v>
      </c>
      <c r="W25" s="45" t="str">
        <f t="shared" si="4"/>
        <v>EC</v>
      </c>
      <c r="X25" s="22">
        <f t="shared" si="5"/>
        <v>212</v>
      </c>
      <c r="Y25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ID","value":"212-20"},{"id":16,"name":"Locomotive ID","value":"4057"},{"id":130,"name":"Impact","value":""},{"id":150,"name":"Time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/c/Users/stu/AppData/Local/Temp/OnboardLogs/RTDC4057 --include="*4057*201709210*"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"%USERPROFILE%\AppData\Local\Temp\OnboardLogs"\RTDC4057\*4057*201709210* &gt;&gt; 2017-09-20-SliceDisagreementCheck.txt</v>
      </c>
      <c r="AE25" s="145" t="str">
        <f t="shared" si="9"/>
        <v>start /low /b %USERPROFILE%\Documents\GitHub\eaglep3\Utilities\DownloadLogsFromS3.py --loco 4057 --day 2017-09-21</v>
      </c>
      <c r="AF25" s="1"/>
    </row>
    <row r="26" spans="1:32" x14ac:dyDescent="0.25">
      <c r="A26" s="31">
        <v>42998.233437499999</v>
      </c>
      <c r="B26" s="30" t="s">
        <v>580</v>
      </c>
      <c r="C26" s="30" t="s">
        <v>581</v>
      </c>
      <c r="D26" s="30" t="s">
        <v>49</v>
      </c>
      <c r="E26" s="30" t="s">
        <v>180</v>
      </c>
      <c r="F26" s="42">
        <v>0</v>
      </c>
      <c r="G26" s="42">
        <v>34</v>
      </c>
      <c r="H26" s="42">
        <v>233385</v>
      </c>
      <c r="I26" s="42">
        <v>233410</v>
      </c>
      <c r="J26" s="30" t="s">
        <v>181</v>
      </c>
      <c r="K26" s="42">
        <v>233491</v>
      </c>
      <c r="L26" s="131" t="s">
        <v>50</v>
      </c>
      <c r="M26" s="132">
        <f t="shared" si="0"/>
        <v>42.768000000000001</v>
      </c>
      <c r="N26" s="133" t="str">
        <f>VLOOKUP(C26,'Trips&amp;Operators'!$C$1:$G$99911,5,FALSE)</f>
        <v>ROCHA YAOTL</v>
      </c>
      <c r="O26" s="176" t="s">
        <v>179</v>
      </c>
      <c r="P26" s="134"/>
      <c r="Q26" s="30"/>
      <c r="R26" s="81" t="str">
        <f>VLOOKUP(C26,'Train Runs'!$A$13:$AE$9960,31,0)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S26" s="84" t="str">
        <f>VLOOKUP(C26,'Train Runs'!$A$13:$AE$9960,22,0)</f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/stypes="*4042*201709201*"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42998.483437499999</v>
      </c>
      <c r="W26" s="45" t="str">
        <f t="shared" si="4"/>
        <v>EC</v>
      </c>
      <c r="X26" s="22">
        <f t="shared" si="5"/>
        <v>111</v>
      </c>
      <c r="Y26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ID","value":"111-20"},{"id":16,"name":"Locomotive ID","value":"4042"},{"id":130,"name":"Impact","value":""},{"id":150,"name":"Time of Event (Mountain Time)","value":"05:36:09"},{"id":151,"name":"Denver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/c/Users/stu/AppData/Local/Temp/OnboardLogs/RTDC4042 --include="*4042*201709201*"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"%USERPROFILE%\AppData\Local\Temp\OnboardLogs"\RTDC4042\*4042*201709201* &gt;&gt; 2017-09-20-SliceDisagreementCheck.txt</v>
      </c>
      <c r="AE26" s="145" t="str">
        <f t="shared" si="9"/>
        <v>start /low /b %USERPROFILE%\Documents\GitHub\eaglep3\Utilities\DownloadLogsFromS3.py --loco 4042 --day 2017-09-20</v>
      </c>
      <c r="AF26" s="1"/>
    </row>
    <row r="27" spans="1:32" x14ac:dyDescent="0.25">
      <c r="A27" s="31">
        <v>42998.493020833332</v>
      </c>
      <c r="B27" s="30" t="s">
        <v>478</v>
      </c>
      <c r="C27" s="30" t="s">
        <v>595</v>
      </c>
      <c r="D27" s="30" t="s">
        <v>49</v>
      </c>
      <c r="E27" s="30" t="s">
        <v>180</v>
      </c>
      <c r="F27" s="42">
        <v>0</v>
      </c>
      <c r="G27" s="42">
        <v>70</v>
      </c>
      <c r="H27" s="42">
        <v>233238</v>
      </c>
      <c r="I27" s="42">
        <v>233307</v>
      </c>
      <c r="J27" s="30" t="s">
        <v>181</v>
      </c>
      <c r="K27" s="42">
        <v>233491</v>
      </c>
      <c r="L27" s="131" t="s">
        <v>50</v>
      </c>
      <c r="M27" s="132">
        <f t="shared" si="0"/>
        <v>97.152000000000001</v>
      </c>
      <c r="N27" s="133" t="str">
        <f>VLOOKUP(C27,'Trips&amp;Operators'!$C$1:$G$99911,5,FALSE)</f>
        <v>BRUDER RICHARD</v>
      </c>
      <c r="O27" s="176" t="s">
        <v>179</v>
      </c>
      <c r="P27" s="134"/>
      <c r="Q27" s="30"/>
      <c r="R27" s="81" t="str">
        <f>VLOOKUP(C27,'Train Runs'!$A$13:$AE$9960,31,0)</f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S27" s="84" t="str">
        <f>VLOOKUP(C27,'Train Runs'!$A$13:$AE$9960,22,0)</f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6" t="str">
        <f t="shared" si="1"/>
        <v>"C:\Program Files (x86)\AstroGrep\AstroGrep.exe" /e /r /s /spath="%USERPROFILE%\AppData\Local\Temp\OnboardLogs" /stypes="*4040*201709201*"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4040</v>
      </c>
      <c r="V27" s="31">
        <f t="shared" si="3"/>
        <v>42998.743020833332</v>
      </c>
      <c r="W27" s="45" t="str">
        <f t="shared" si="4"/>
        <v>EC</v>
      </c>
      <c r="X27" s="22">
        <f t="shared" si="5"/>
        <v>161</v>
      </c>
      <c r="Y27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ID","value":"161-20"},{"id":16,"name":"Locomotive ID","value":"4040"},{"id":130,"name":"Impact","value":""},{"id":150,"name":"Time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/c/Users/stu/AppData/Local/Temp/OnboardLogs/RTDC4040 --include="*4040*201709201*"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"%USERPROFILE%\AppData\Local\Temp\OnboardLogs"\RTDC4040\*4040*201709201* &gt;&gt; 2017-09-20-SliceDisagreementCheck.txt</v>
      </c>
      <c r="AE27" s="145" t="str">
        <f t="shared" si="9"/>
        <v>start /low /b %USERPROFILE%\Documents\GitHub\eaglep3\Utilities\DownloadLogsFromS3.py --loco 4040 --day 2017-09-20</v>
      </c>
      <c r="AF27" s="1"/>
    </row>
    <row r="28" spans="1:32" x14ac:dyDescent="0.25">
      <c r="A28" s="31">
        <v>42998.765173611115</v>
      </c>
      <c r="B28" s="30" t="s">
        <v>608</v>
      </c>
      <c r="C28" s="30" t="s">
        <v>609</v>
      </c>
      <c r="D28" s="30" t="s">
        <v>49</v>
      </c>
      <c r="E28" s="30" t="s">
        <v>180</v>
      </c>
      <c r="F28" s="42">
        <v>0</v>
      </c>
      <c r="G28" s="42">
        <v>53</v>
      </c>
      <c r="H28" s="42">
        <v>233307</v>
      </c>
      <c r="I28" s="42">
        <v>233337</v>
      </c>
      <c r="J28" s="30" t="s">
        <v>181</v>
      </c>
      <c r="K28" s="42">
        <v>233491</v>
      </c>
      <c r="L28" s="131" t="s">
        <v>50</v>
      </c>
      <c r="M28" s="132">
        <f t="shared" si="0"/>
        <v>81.311999999999998</v>
      </c>
      <c r="N28" s="133" t="str">
        <f>VLOOKUP(C28,'Trips&amp;Operators'!$C$1:$G$99911,5,FALSE)</f>
        <v>DUNCAN SHEILA</v>
      </c>
      <c r="O28" s="176" t="s">
        <v>179</v>
      </c>
      <c r="P28" s="134"/>
      <c r="Q28" s="30"/>
      <c r="R28" s="81" t="str">
        <f>VLOOKUP(C28,'Train Runs'!$A$13:$AE$9960,31,0)</f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S28" s="84" t="str">
        <f>VLOOKUP(C28,'Train Runs'!$A$13:$AE$9960,22,0)</f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8" s="86" t="str">
        <f t="shared" si="1"/>
        <v>"C:\Program Files (x86)\AstroGrep\AstroGrep.exe" /e /r /s /spath="%USERPROFILE%\AppData\Local\Temp\OnboardLogs" /stypes="*4064*201709210*"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4064</v>
      </c>
      <c r="V28" s="31">
        <f t="shared" si="3"/>
        <v>42999.015173611115</v>
      </c>
      <c r="W28" s="45" t="str">
        <f t="shared" si="4"/>
        <v>EC</v>
      </c>
      <c r="X28" s="22">
        <f t="shared" si="5"/>
        <v>213</v>
      </c>
      <c r="Y28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ID","value":"213-20"},{"id":16,"name":"Locomotive ID","value":"4064"},{"id":130,"name":"Impact","value":""},{"id":150,"name":"Time of Event (Mountain Time)","value":"18:21:51"},{"id":151,"name":"Denver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/c/Users/stu/AppData/Local/Temp/OnboardLogs/RTDC4064 --include="*4064*201709210*"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"%USERPROFILE%\AppData\Local\Temp\OnboardLogs"\RTDC4064\*4064*201709210* &gt;&gt; 2017-09-20-SliceDisagreementCheck.txt</v>
      </c>
      <c r="AE28" s="145" t="str">
        <f t="shared" si="9"/>
        <v>start /low /b %USERPROFILE%\Documents\GitHub\eaglep3\Utilities\DownloadLogsFromS3.py --loco 4064 --day 2017-09-21</v>
      </c>
      <c r="AF28" s="1"/>
    </row>
    <row r="29" spans="1:32" x14ac:dyDescent="0.25">
      <c r="A29" s="31">
        <v>42998.325729166667</v>
      </c>
      <c r="B29" s="30" t="s">
        <v>528</v>
      </c>
      <c r="C29" s="30" t="s">
        <v>583</v>
      </c>
      <c r="D29" s="30" t="s">
        <v>95</v>
      </c>
      <c r="E29" s="30" t="s">
        <v>194</v>
      </c>
      <c r="F29" s="42">
        <v>400</v>
      </c>
      <c r="G29" s="42">
        <v>455</v>
      </c>
      <c r="H29" s="42">
        <v>43766</v>
      </c>
      <c r="I29" s="42">
        <v>45283</v>
      </c>
      <c r="J29" s="30" t="s">
        <v>195</v>
      </c>
      <c r="K29" s="42">
        <v>41797</v>
      </c>
      <c r="L29" s="131" t="s">
        <v>50</v>
      </c>
      <c r="M29" s="132">
        <f t="shared" si="0"/>
        <v>-1840.6079999999999</v>
      </c>
      <c r="N29" s="133" t="str">
        <f>VLOOKUP(C29,'Trips&amp;Operators'!$C$1:$G$99911,5,FALSE)</f>
        <v>LAMAR NEKESHA</v>
      </c>
      <c r="O29" s="176" t="s">
        <v>179</v>
      </c>
      <c r="P29" s="134"/>
      <c r="Q29" s="30"/>
      <c r="R29" s="81" t="str">
        <f>VLOOKUP(C29,'Train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29" s="84" t="str">
        <f>VLOOKUP(C29,'Train Runs'!$A$13:$AE$9960,22,0)</f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9" s="86" t="str">
        <f t="shared" si="1"/>
        <v>"C:\Program Files (x86)\AstroGrep\AstroGrep.exe" /e /r /s /spath="%USERPROFILE%\AppData\Local\Temp\OnboardLogs" /stypes="*4060*201709201*"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4060</v>
      </c>
      <c r="V29" s="31">
        <f t="shared" si="3"/>
        <v>42998.575729166667</v>
      </c>
      <c r="W29" s="45" t="str">
        <f t="shared" si="4"/>
        <v>NW</v>
      </c>
      <c r="X29" s="22">
        <f t="shared" si="5"/>
        <v>809</v>
      </c>
      <c r="Y29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{"issue":{"subject":"","project_id":79,"tracker_id":40,"status_id":1,"priority_id":2,"assigned_to_id":338,"start_date":"2017-09-20","description":"","custom_fields":[{"id":1,"name":"Subdivision","value":"NW"},{"id":4,"name":"Milepost","value":"4.1797"},{"id":17,"name":"Train ID","value":"809-20"},{"id":16,"name":"Locomotive ID","value":"4060"},{"id":130,"name":"Impact","value":""},{"id":150,"name":"Time of Event (Mountain Time)","value":"07:49:03"},{"id":151,"name":"Denver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/c/Users/stu/AppData/Local/Temp/OnboardLogs/RTDC4060 --include="*4060*201709201*"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29" s="145" t="str">
        <f t="shared" si="9"/>
        <v>start /low /b %USERPROFILE%\Documents\GitHub\eaglep3\Utilities\DownloadLogsFromS3.py --loco 4060 --day 2017-09-20</v>
      </c>
      <c r="AF29" s="1"/>
    </row>
    <row r="30" spans="1:32" x14ac:dyDescent="0.25">
      <c r="A30" s="31">
        <v>42998.343622685185</v>
      </c>
      <c r="B30" s="30" t="s">
        <v>584</v>
      </c>
      <c r="C30" s="30" t="s">
        <v>585</v>
      </c>
      <c r="D30" s="30" t="s">
        <v>49</v>
      </c>
      <c r="E30" s="30" t="s">
        <v>360</v>
      </c>
      <c r="F30" s="42">
        <v>0</v>
      </c>
      <c r="G30" s="42">
        <v>411</v>
      </c>
      <c r="H30" s="42">
        <v>49746</v>
      </c>
      <c r="I30" s="42">
        <v>48484</v>
      </c>
      <c r="J30" s="30" t="s">
        <v>361</v>
      </c>
      <c r="K30" s="42">
        <v>48773</v>
      </c>
      <c r="L30" s="131" t="s">
        <v>51</v>
      </c>
      <c r="M30" s="132">
        <f t="shared" si="0"/>
        <v>-152.59200000000001</v>
      </c>
      <c r="N30" s="133" t="str">
        <f>VLOOKUP(C30,'Trips&amp;Operators'!$C$1:$G$99911,5,FALSE)</f>
        <v>LAMAR NEKESHA</v>
      </c>
      <c r="O30" s="176" t="s">
        <v>435</v>
      </c>
      <c r="P30" s="134" t="s">
        <v>1023</v>
      </c>
      <c r="Q30" s="30"/>
      <c r="R30" s="81" t="str">
        <f>VLOOKUP(C30,'Train Runs'!$A$13:$AE$9960,31,0)</f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S30" s="84" t="str">
        <f>VLOOKUP(C30,'Train Runs'!$A$13:$AE$9960,22,0)</f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0" s="86" t="str">
        <f t="shared" si="1"/>
        <v>"C:\Program Files (x86)\AstroGrep\AstroGrep.exe" /e /r /s /spath="%USERPROFILE%\AppData\Local\Temp\OnboardLogs" /stypes="*4059*201709201*"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4059</v>
      </c>
      <c r="V30" s="31">
        <f t="shared" si="3"/>
        <v>42998.593622685185</v>
      </c>
      <c r="W30" s="45" t="str">
        <f t="shared" si="4"/>
        <v>NW</v>
      </c>
      <c r="X30" s="22">
        <f t="shared" si="5"/>
        <v>810</v>
      </c>
      <c r="Y30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drop","project_id":79,"tracker_id":40,"status_id":1,"priority_id":2,"assigned_to_id":338,"start_date":"2017-09-20","description":"","custom_fields":[{"id":1,"name":"Subdivision","value":"NW"},{"id":4,"name":"Milepost","value":"4.8773"},{"id":17,"name":"Train ID","value":"810-20"},{"id":16,"name":"Locomotive ID","value":"4059"},{"id":130,"name":"Impact","value":""},{"id":150,"name":"Time of Event (Mountain Time)","value":"08:14:49"},{"id":151,"name":"Denver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/c/Users/stu/AppData/Local/Temp/OnboardLogs/RTDC4059 --include="*4059*201709201*"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"%USERPROFILE%\AppData\Local\Temp\OnboardLogs"\RTDC4059\*4059*201709201* &gt;&gt; 2017-09-20-SliceDisagreementCheck.txt</v>
      </c>
      <c r="AE30" s="145" t="str">
        <f t="shared" si="9"/>
        <v>start /low /b %USERPROFILE%\Documents\GitHub\eaglep3\Utilities\DownloadLogsFromS3.py --loco 4059 --day 2017-09-20</v>
      </c>
      <c r="AF30" s="1"/>
    </row>
    <row r="31" spans="1:32" x14ac:dyDescent="0.25">
      <c r="A31" s="31">
        <v>42998.746157407404</v>
      </c>
      <c r="B31" s="30" t="s">
        <v>392</v>
      </c>
      <c r="C31" s="30" t="s">
        <v>606</v>
      </c>
      <c r="D31" s="30" t="s">
        <v>49</v>
      </c>
      <c r="E31" s="30" t="s">
        <v>180</v>
      </c>
      <c r="F31" s="42">
        <v>0</v>
      </c>
      <c r="G31" s="42">
        <v>162</v>
      </c>
      <c r="H31" s="42">
        <v>1553</v>
      </c>
      <c r="I31" s="42">
        <v>1371</v>
      </c>
      <c r="J31" s="30" t="s">
        <v>181</v>
      </c>
      <c r="K31" s="42">
        <v>575</v>
      </c>
      <c r="L31" s="131" t="s">
        <v>51</v>
      </c>
      <c r="M31" s="132">
        <f t="shared" si="0"/>
        <v>420.28800000000001</v>
      </c>
      <c r="N31" s="133" t="str">
        <f>VLOOKUP(C31,'Trips&amp;Operators'!$C$1:$G$99911,5,FALSE)</f>
        <v>BIRKHOLZ NADINE</v>
      </c>
      <c r="O31" s="176" t="s">
        <v>179</v>
      </c>
      <c r="P31" s="134"/>
      <c r="Q31" s="30"/>
      <c r="R31" s="81" t="str">
        <f>VLOOKUP(C31,'Train Runs'!$A$13:$AE$9960,31,0)</f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S31" s="84" t="str">
        <f>VLOOKUP(C31,'Train Runs'!$A$13:$AE$9960,22,0)</f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 t="shared" si="1"/>
        <v>"C:\Program Files (x86)\AstroGrep\AstroGrep.exe" /e /r /s /spath="%USERPROFILE%\AppData\Local\Temp\OnboardLogs" /stypes="*4015*201709202*"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4015</v>
      </c>
      <c r="V31" s="31">
        <f t="shared" si="3"/>
        <v>42998.996157407404</v>
      </c>
      <c r="W31" s="45" t="str">
        <f t="shared" si="4"/>
        <v>NW</v>
      </c>
      <c r="X31" s="22">
        <f t="shared" si="5"/>
        <v>834</v>
      </c>
      <c r="Y31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{"issue":{"subject":"","project_id":79,"tracker_id":40,"status_id":1,"priority_id":2,"assigned_to_id":338,"start_date":"2017-09-20","description":"","custom_fields":[{"id":1,"name":"Subdivision","value":"NW"},{"id":4,"name":"Milepost","value":"0.0575"},{"id":17,"name":"Train ID","value":"834-20"},{"id":16,"name":"Locomotive ID","value":"4015"},{"id":130,"name":"Impact","value":""},{"id":150,"name":"Time of Event (Mountain Time)","value":"17:54:28"},{"id":151,"name":"Denver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/c/Users/stu/AppData/Local/Temp/OnboardLogs/RTDC4015 --include="*4015*201709202*"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"%USERPROFILE%\AppData\Local\Temp\OnboardLogs"\RTDC4015\*4015*201709202* &gt;&gt; 2017-09-20-SliceDisagreementCheck.txt</v>
      </c>
      <c r="AE31" s="145" t="str">
        <f t="shared" si="9"/>
        <v>start /low /b %USERPROFILE%\Documents\GitHub\eaglep3\Utilities\DownloadLogsFromS3.py --loco 4015 --day 2017-09-20</v>
      </c>
      <c r="AF31" s="1"/>
    </row>
    <row r="32" spans="1:32" x14ac:dyDescent="0.25">
      <c r="A32" s="31">
        <v>42998.307893518519</v>
      </c>
      <c r="B32" s="30" t="s">
        <v>393</v>
      </c>
      <c r="C32" s="30" t="s">
        <v>582</v>
      </c>
      <c r="D32" s="30" t="s">
        <v>49</v>
      </c>
      <c r="E32" s="30" t="s">
        <v>180</v>
      </c>
      <c r="F32" s="42">
        <v>0</v>
      </c>
      <c r="G32" s="42">
        <v>30</v>
      </c>
      <c r="H32" s="42">
        <v>58995</v>
      </c>
      <c r="I32" s="42">
        <v>59012</v>
      </c>
      <c r="J32" s="30" t="s">
        <v>181</v>
      </c>
      <c r="K32" s="42">
        <v>59048</v>
      </c>
      <c r="L32" s="131" t="s">
        <v>50</v>
      </c>
      <c r="M32" s="132">
        <f t="shared" si="0"/>
        <v>19.007999999999999</v>
      </c>
      <c r="N32" s="133" t="str">
        <f>VLOOKUP(C32,'Trips&amp;Operators'!$C$1:$G$99911,5,FALSE)</f>
        <v>GEBRETEKLE DAGNEW</v>
      </c>
      <c r="O32" s="176" t="s">
        <v>179</v>
      </c>
      <c r="P32" s="134"/>
      <c r="Q32" s="30"/>
      <c r="R32" s="81" t="str">
        <f>VLOOKUP(C32,'Train Runs'!$A$13:$AE$9960,31,0)</f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S32" s="84" t="str">
        <f>VLOOKUP(C32,'Train Runs'!$A$13:$AE$9960,22,0)</f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 t="shared" si="1"/>
        <v>"C:\Program Files (x86)\AstroGrep\AstroGrep.exe" /e /r /s /spath="%USERPROFILE%\AppData\Local\Temp\OnboardLogs" /stypes="*4016*201709201*"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4016</v>
      </c>
      <c r="V32" s="31">
        <f t="shared" si="3"/>
        <v>42998.557893518519</v>
      </c>
      <c r="W32" s="45" t="str">
        <f t="shared" si="4"/>
        <v>NW</v>
      </c>
      <c r="X32" s="22">
        <f t="shared" si="5"/>
        <v>807</v>
      </c>
      <c r="Y32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ID","value":"807-20"},{"id":16,"name":"Locomotive ID","value":"4016"},{"id":130,"name":"Impact","value":""},{"id":150,"name":"Time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/c/Users/stu/AppData/Local/Temp/OnboardLogs/RTDC4016 --include="*4016*201709201*"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"%USERPROFILE%\AppData\Local\Temp\OnboardLogs"\RTDC4016\*4016*201709201* &gt;&gt; 2017-09-20-SliceDisagreementCheck.txt</v>
      </c>
      <c r="AE32" s="145" t="str">
        <f t="shared" si="9"/>
        <v>start /low /b %USERPROFILE%\Documents\GitHub\eaglep3\Utilities\DownloadLogsFromS3.py --loco 4016 --day 2017-09-20</v>
      </c>
      <c r="AF32" s="1"/>
    </row>
    <row r="33" spans="1:32" x14ac:dyDescent="0.25">
      <c r="A33" s="31">
        <v>42998.473969907405</v>
      </c>
      <c r="B33" s="30" t="s">
        <v>393</v>
      </c>
      <c r="C33" s="30" t="s">
        <v>594</v>
      </c>
      <c r="D33" s="30" t="s">
        <v>49</v>
      </c>
      <c r="E33" s="30" t="s">
        <v>180</v>
      </c>
      <c r="F33" s="42">
        <v>0</v>
      </c>
      <c r="G33" s="42">
        <v>105</v>
      </c>
      <c r="H33" s="42">
        <v>58649</v>
      </c>
      <c r="I33" s="42">
        <v>58756</v>
      </c>
      <c r="J33" s="30" t="s">
        <v>181</v>
      </c>
      <c r="K33" s="42">
        <v>59048</v>
      </c>
      <c r="L33" s="131" t="s">
        <v>50</v>
      </c>
      <c r="M33" s="132">
        <f t="shared" si="0"/>
        <v>154.17599999999999</v>
      </c>
      <c r="N33" s="133" t="str">
        <f>VLOOKUP(C33,'Trips&amp;Operators'!$C$1:$G$99911,5,FALSE)</f>
        <v>GEBRETEKLE DAGNEW</v>
      </c>
      <c r="O33" s="176" t="s">
        <v>179</v>
      </c>
      <c r="P33" s="134"/>
      <c r="Q33" s="30"/>
      <c r="R33" s="81" t="str">
        <f>VLOOKUP(C33,'Train Runs'!$A$13:$AE$9960,31,0)</f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S33" s="84" t="str">
        <f>VLOOKUP(C33,'Train Runs'!$A$13:$AE$9960,22,0)</f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3" s="86" t="str">
        <f t="shared" si="1"/>
        <v>"C:\Program Files (x86)\AstroGrep\AstroGrep.exe" /e /r /s /spath="%USERPROFILE%\AppData\Local\Temp\OnboardLogs" /stypes="*4016*201709201*"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4016</v>
      </c>
      <c r="V33" s="31">
        <f t="shared" si="3"/>
        <v>42998.723969907405</v>
      </c>
      <c r="W33" s="45" t="str">
        <f t="shared" si="4"/>
        <v>NW</v>
      </c>
      <c r="X33" s="22">
        <f t="shared" si="5"/>
        <v>817</v>
      </c>
      <c r="Y33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/c/Users/stu/AppData/Local/Temp/OnboardLogs/RTDC4016 --include="*4016*201709201*"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"%USERPROFILE%\AppData\Local\Temp\OnboardLogs"\RTDC4016\*4016*201709201* &gt;&gt; 2017-09-20-SliceDisagreementCheck.txt</v>
      </c>
      <c r="AE33" s="145" t="str">
        <f t="shared" si="9"/>
        <v>start /low /b %USERPROFILE%\Documents\GitHub\eaglep3\Utilities\DownloadLogsFromS3.py --loco 4016 --day 2017-09-20</v>
      </c>
      <c r="AF33" s="1"/>
    </row>
    <row r="34" spans="1:32" x14ac:dyDescent="0.25">
      <c r="A34" s="31">
        <v>42998.787499999999</v>
      </c>
      <c r="B34" s="30" t="s">
        <v>528</v>
      </c>
      <c r="C34" s="30" t="s">
        <v>610</v>
      </c>
      <c r="D34" s="30" t="s">
        <v>49</v>
      </c>
      <c r="E34" s="30" t="s">
        <v>180</v>
      </c>
      <c r="F34" s="42">
        <v>0</v>
      </c>
      <c r="G34" s="42">
        <v>51</v>
      </c>
      <c r="H34" s="42">
        <v>58924</v>
      </c>
      <c r="I34" s="42">
        <v>58976</v>
      </c>
      <c r="J34" s="30" t="s">
        <v>181</v>
      </c>
      <c r="K34" s="42">
        <v>59048</v>
      </c>
      <c r="L34" s="131" t="s">
        <v>50</v>
      </c>
      <c r="M34" s="132">
        <f t="shared" si="0"/>
        <v>38.015999999999998</v>
      </c>
      <c r="N34" s="133" t="str">
        <f>VLOOKUP(C34,'Trips&amp;Operators'!$C$1:$G$99911,5,FALSE)</f>
        <v>STAMBAUGH JAMES</v>
      </c>
      <c r="O34" s="176" t="s">
        <v>179</v>
      </c>
      <c r="P34" s="134"/>
      <c r="Q34" s="30"/>
      <c r="R34" s="81" t="str">
        <f>VLOOKUP(C34,'Train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4" s="84" t="str">
        <f>VLOOKUP(C34,'Train Runs'!$A$13:$AE$9960,22,0)</f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4" s="86" t="str">
        <f t="shared" si="1"/>
        <v>"C:\Program Files (x86)\AstroGrep\AstroGrep.exe" /e /r /s /spath="%USERPROFILE%\AppData\Local\Temp\OnboardLogs" /stypes="*4060*201709210*"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4060</v>
      </c>
      <c r="V34" s="31">
        <f t="shared" si="3"/>
        <v>42999.037499999999</v>
      </c>
      <c r="W34" s="45" t="str">
        <f t="shared" si="4"/>
        <v>NW</v>
      </c>
      <c r="X34" s="22">
        <f t="shared" si="5"/>
        <v>839</v>
      </c>
      <c r="Y34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ID","value":"839-20"},{"id":16,"name":"Locomotive ID","value":"4060"},{"id":130,"name":"Impact","value":""},{"id":150,"name":"Time of Event (Mountain Time)","value":"18:54:00"},{"id":151,"name":"Denver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/c/Users/stu/AppData/Local/Temp/OnboardLogs/RTDC4060 --include="*4060*201709210*"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"%USERPROFILE%\AppData\Local\Temp\OnboardLogs"\RTDC4060\*4060*201709210* &gt;&gt; 2017-09-20-SliceDisagreementCheck.txt</v>
      </c>
      <c r="AE34" s="145" t="str">
        <f t="shared" si="9"/>
        <v>start /low /b %USERPROFILE%\Documents\GitHub\eaglep3\Utilities\DownloadLogsFromS3.py --loco 4060 --day 2017-09-21</v>
      </c>
      <c r="AF34" s="1"/>
    </row>
    <row r="35" spans="1:32" x14ac:dyDescent="0.25">
      <c r="A35" s="31">
        <v>42998.790289351855</v>
      </c>
      <c r="B35" s="30" t="s">
        <v>584</v>
      </c>
      <c r="C35" s="30" t="s">
        <v>611</v>
      </c>
      <c r="D35" s="30" t="s">
        <v>95</v>
      </c>
      <c r="E35" s="30" t="s">
        <v>194</v>
      </c>
      <c r="F35" s="42">
        <v>150</v>
      </c>
      <c r="G35" s="42">
        <v>202</v>
      </c>
      <c r="H35" s="42">
        <v>56815</v>
      </c>
      <c r="I35" s="42">
        <v>56448</v>
      </c>
      <c r="J35" s="30" t="s">
        <v>195</v>
      </c>
      <c r="K35" s="42">
        <v>59050</v>
      </c>
      <c r="L35" s="131" t="s">
        <v>51</v>
      </c>
      <c r="M35" s="132">
        <f t="shared" si="0"/>
        <v>-1373.856</v>
      </c>
      <c r="N35" s="133" t="str">
        <f>VLOOKUP(C35,'Trips&amp;Operators'!$C$1:$G$99911,5,FALSE)</f>
        <v>STAMBAUGH JAMES</v>
      </c>
      <c r="O35" s="176" t="s">
        <v>179</v>
      </c>
      <c r="P35" s="134"/>
      <c r="Q35" s="30"/>
      <c r="R35" s="81" t="str">
        <f>VLOOKUP(C35,'Train Runs'!$A$13:$AE$9960,31,0)</f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S35" s="84" t="str">
        <f>VLOOKUP(C35,'Train Runs'!$A$13:$AE$9960,22,0)</f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5" s="86" t="str">
        <f t="shared" si="1"/>
        <v>"C:\Program Files (x86)\AstroGrep\AstroGrep.exe" /e /r /s /spath="%USERPROFILE%\AppData\Local\Temp\OnboardLogs" /stypes="*4059*201709210*"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4059</v>
      </c>
      <c r="V35" s="31">
        <f t="shared" si="3"/>
        <v>42999.040289351855</v>
      </c>
      <c r="W35" s="45" t="str">
        <f t="shared" si="4"/>
        <v>Other</v>
      </c>
      <c r="X35" s="22">
        <f t="shared" si="5"/>
        <v>906</v>
      </c>
      <c r="Y35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{"issue":{"subject":"","project_id":79,"tracker_id":40,"status_id":1,"priority_id":2,"assigned_to_id":338,"start_date":"2017-09-20","description":"","custom_fields":[{"id":1,"name":"Subdivision","value":"Other"},{"id":4,"name":"Milepost","value":"5.905"},{"id":17,"name":"Train ID","value":"906-20"},{"id":16,"name":"Locomotive ID","value":"4059"},{"id":130,"name":"Impact","value":""},{"id":150,"name":"Time of Event (Mountain Time)","value":"18:58:01"},{"id":151,"name":"Denver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/c/Users/stu/AppData/Local/Temp/OnboardLogs/RTDC4059 --include="*4059*201709210*"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"%USERPROFILE%\AppData\Local\Temp\OnboardLogs"\RTDC4059\*4059*201709210* &gt;&gt; 2017-09-20-SliceDisagreementCheck.txt</v>
      </c>
      <c r="AE35" s="145" t="str">
        <f t="shared" si="9"/>
        <v>start /low /b %USERPROFILE%\Documents\GitHub\eaglep3\Utilities\DownloadLogsFromS3.py --loco 4059 --day 2017-09-21</v>
      </c>
      <c r="AF35" s="1"/>
    </row>
    <row r="36" spans="1:32" x14ac:dyDescent="0.25">
      <c r="A36" s="31">
        <v>42998.207048611112</v>
      </c>
      <c r="B36" s="30" t="s">
        <v>528</v>
      </c>
      <c r="C36" s="30" t="s">
        <v>577</v>
      </c>
      <c r="D36" s="30" t="s">
        <v>49</v>
      </c>
      <c r="E36" s="30" t="s">
        <v>360</v>
      </c>
      <c r="F36" s="42">
        <v>0</v>
      </c>
      <c r="G36" s="42">
        <v>85</v>
      </c>
      <c r="H36" s="42">
        <v>32951</v>
      </c>
      <c r="I36" s="42">
        <v>33013</v>
      </c>
      <c r="J36" s="30" t="s">
        <v>361</v>
      </c>
      <c r="K36" s="42">
        <v>33252</v>
      </c>
      <c r="L36" s="131" t="s">
        <v>50</v>
      </c>
      <c r="M36" s="132">
        <f t="shared" si="0"/>
        <v>126.19199999999999</v>
      </c>
      <c r="N36" s="133" t="str">
        <f>VLOOKUP(C36,'Trips&amp;Operators'!$C$1:$G$99911,5,FALSE)</f>
        <v>LAMAR NEKESHA</v>
      </c>
      <c r="O36" s="176" t="s">
        <v>179</v>
      </c>
      <c r="P36" s="134"/>
      <c r="Q36" s="30"/>
      <c r="R36" s="81" t="str">
        <f>VLOOKUP(C36,'Train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6" s="84" t="str">
        <f>VLOOKUP(C36,'Train Runs'!$A$13:$AE$9960,22,0)</f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6" s="86" t="str">
        <f t="shared" si="1"/>
        <v>"C:\Program Files (x86)\AstroGrep\AstroGrep.exe" /e /r /s /spath="%USERPROFILE%\AppData\Local\Temp\OnboardLogs" /stypes="*4060*201709201*"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4060</v>
      </c>
      <c r="V36" s="31">
        <f t="shared" si="3"/>
        <v>42998.457048611112</v>
      </c>
      <c r="W36" s="45" t="str">
        <f t="shared" si="4"/>
        <v>Other</v>
      </c>
      <c r="X36" s="22">
        <f t="shared" si="5"/>
        <v>901</v>
      </c>
      <c r="Y36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{"issue":{"subject":"","project_id":79,"tracker_id":40,"status_id":1,"priority_id":2,"assigned_to_id":338,"start_date":"2017-09-20","description":"","custom_fields":[{"id":1,"name":"Subdivision","value":"Other"},{"id":4,"name":"Milepost","value":"3.3252"},{"id":17,"name":"Train ID","value":"901-20"},{"id":16,"name":"Locomotive ID","value":"4060"},{"id":130,"name":"Impact","value":""},{"id":150,"name":"Time of Event (Mountain Time)","value":"04:58:09"},{"id":151,"name":"Denver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/c/Users/stu/AppData/Local/Temp/OnboardLogs/RTDC4060 --include="*4060*201709201*"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36" s="145" t="str">
        <f t="shared" si="9"/>
        <v>start /low /b %USERPROFILE%\Documents\GitHub\eaglep3\Utilities\DownloadLogsFromS3.py --loco 4060 --day 2017-09-20</v>
      </c>
      <c r="AF36" s="1"/>
    </row>
    <row r="37" spans="1:32" x14ac:dyDescent="0.25">
      <c r="A37" s="31">
        <v>42998.208113425928</v>
      </c>
      <c r="B37" s="30" t="s">
        <v>528</v>
      </c>
      <c r="C37" s="30" t="s">
        <v>577</v>
      </c>
      <c r="D37" s="30" t="s">
        <v>49</v>
      </c>
      <c r="E37" s="30" t="s">
        <v>360</v>
      </c>
      <c r="F37" s="42">
        <v>0</v>
      </c>
      <c r="G37" s="42">
        <v>23</v>
      </c>
      <c r="H37" s="42">
        <v>33203</v>
      </c>
      <c r="I37" s="42">
        <v>33233</v>
      </c>
      <c r="J37" s="30" t="s">
        <v>361</v>
      </c>
      <c r="K37" s="42">
        <v>33252</v>
      </c>
      <c r="L37" s="131" t="s">
        <v>50</v>
      </c>
      <c r="M37" s="132">
        <f t="shared" si="0"/>
        <v>10.032</v>
      </c>
      <c r="N37" s="133" t="str">
        <f>VLOOKUP(C37,'Trips&amp;Operators'!$C$1:$G$99911,5,FALSE)</f>
        <v>LAMAR NEKESHA</v>
      </c>
      <c r="O37" s="176" t="s">
        <v>179</v>
      </c>
      <c r="P37" s="134"/>
      <c r="Q37" s="30"/>
      <c r="R37" s="81" t="str">
        <f>VLOOKUP(C37,'Train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7" s="84" t="str">
        <f>VLOOKUP(C37,'Train Runs'!$A$13:$AE$9960,22,0)</f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7" s="86" t="str">
        <f t="shared" si="1"/>
        <v>"C:\Program Files (x86)\AstroGrep\AstroGrep.exe" /e /r /s /spath="%USERPROFILE%\AppData\Local\Temp\OnboardLogs" /stypes="*4060*201709201*" /stext=" 10:.+((SYSTEM_STATE.+slice.+state.+changed )|(ment ac)|(multiple cpu faults)|(system.+state.+changed )|(\[timeout)|(PRM\|1\|D)|(kpr)|(kdp)|(train st.+moving)|(\|lc)|(penalty))"</v>
      </c>
      <c r="U37" s="9" t="str">
        <f t="shared" si="2"/>
        <v>4060</v>
      </c>
      <c r="V37" s="31">
        <f t="shared" si="3"/>
        <v>42998.458113425928</v>
      </c>
      <c r="W37" s="45" t="str">
        <f t="shared" si="4"/>
        <v>Other</v>
      </c>
      <c r="X37" s="22">
        <f t="shared" si="5"/>
        <v>901</v>
      </c>
      <c r="Y37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{"issue":{"subject":"","project_id":79,"tracker_id":40,"status_id":1,"priority_id":2,"assigned_to_id":338,"start_date":"2017-09-20","description":"","custom_fields":[{"id":1,"name":"Subdivision","value":"Other"},{"id":4,"name":"Milepost","value":"3.3252"},{"id":17,"name":"Train ID","value":"901-20"},{"id":16,"name":"Locomotive ID","value":"4060"},{"id":130,"name":"Impact","value":""},{"id":150,"name":"Time of Event (Mountain Time)","value":"04:59:41"},{"id":151,"name":"Denver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/c/Users/stu/AppData/Local/Temp/OnboardLogs/RTDC4060 --include="*4060*201709201*"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37" s="145" t="str">
        <f t="shared" si="9"/>
        <v>start /low /b %USERPROFILE%\Documents\GitHub\eaglep3\Utilities\DownloadLogsFromS3.py --loco 4060 --day 2017-09-20</v>
      </c>
      <c r="AF37" s="1"/>
    </row>
    <row r="38" spans="1:32" x14ac:dyDescent="0.25">
      <c r="A38" s="31">
        <v>42998.558437500003</v>
      </c>
      <c r="B38" s="30" t="s">
        <v>485</v>
      </c>
      <c r="C38" s="30" t="s">
        <v>597</v>
      </c>
      <c r="D38" s="30" t="s">
        <v>49</v>
      </c>
      <c r="E38" s="30" t="s">
        <v>186</v>
      </c>
      <c r="F38" s="42">
        <v>200</v>
      </c>
      <c r="G38" s="42">
        <v>321</v>
      </c>
      <c r="H38" s="42">
        <v>65229</v>
      </c>
      <c r="I38" s="42">
        <v>64531</v>
      </c>
      <c r="J38" s="30" t="s">
        <v>187</v>
      </c>
      <c r="K38" s="42">
        <v>64493</v>
      </c>
      <c r="L38" s="131" t="s">
        <v>51</v>
      </c>
      <c r="M38" s="132">
        <f t="shared" si="0"/>
        <v>20.064</v>
      </c>
      <c r="N38" s="133" t="str">
        <f>VLOOKUP(C38,'Trips&amp;Operators'!$C$1:$G$99911,5,FALSE)</f>
        <v>ROMERO CHAD</v>
      </c>
      <c r="O38" s="176" t="s">
        <v>179</v>
      </c>
      <c r="P38" s="134" t="s">
        <v>368</v>
      </c>
      <c r="Q38" s="30"/>
      <c r="R38" s="81" t="str">
        <f>VLOOKUP(C38,'Train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38" s="84" t="str">
        <f>VLOOKUP(C38,'Train Runs'!$A$13:$AE$9960,22,0)</f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86" t="str">
        <f t="shared" si="1"/>
        <v>"C:\Program Files (x86)\AstroGrep\AstroGrep.exe" /e /r /s /spath="%USERPROFILE%\AppData\Local\Temp\OnboardLogs" /stypes="*4011*201709201*"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4011</v>
      </c>
      <c r="V38" s="31">
        <f t="shared" si="3"/>
        <v>42998.808437500003</v>
      </c>
      <c r="W38" s="45" t="str">
        <f t="shared" si="4"/>
        <v>Shuttle/Test</v>
      </c>
      <c r="X38" s="22">
        <f t="shared" si="5"/>
        <v>60</v>
      </c>
      <c r="Y38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Arrival","project_id":79,"tracker_id":40,"status_id":1,"priority_id":2,"assigned_to_id":338,"start_date":"2017-09-20","description":"","custom_fields":[{"id":1,"name":"Subdivision","value":"Shuttle/Test"},{"id":4,"name":"Milepost","value":"6.4493"},{"id":17,"name":"Train ID","value":"60-20"},{"id":16,"name":"Locomotive ID","value":"4011"},{"id":130,"name":"Impact","value":""},{"id":150,"name":"Time of Event (Mountain Time)","value":"13:24:09"},{"id":151,"name":"Denver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/c/Users/stu/AppData/Local/Temp/OnboardLogs/RTDC4011 --include="*4011*201709201*"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38" s="145" t="str">
        <f t="shared" si="9"/>
        <v>start /low /b %USERPROFILE%\Documents\GitHub\eaglep3\Utilities\DownloadLogsFromS3.py --loco 4011 --day 2017-09-20</v>
      </c>
      <c r="AF38" s="1"/>
    </row>
    <row r="39" spans="1:32" x14ac:dyDescent="0.25">
      <c r="A39" s="31">
        <v>42998.554386574076</v>
      </c>
      <c r="B39" s="30" t="s">
        <v>485</v>
      </c>
      <c r="C39" s="30" t="s">
        <v>597</v>
      </c>
      <c r="D39" s="30" t="s">
        <v>49</v>
      </c>
      <c r="E39" s="30" t="s">
        <v>186</v>
      </c>
      <c r="F39" s="42">
        <v>510</v>
      </c>
      <c r="G39" s="42">
        <v>564</v>
      </c>
      <c r="H39" s="42">
        <v>94414</v>
      </c>
      <c r="I39" s="42">
        <v>92228</v>
      </c>
      <c r="J39" s="30" t="s">
        <v>187</v>
      </c>
      <c r="K39" s="42">
        <v>92253</v>
      </c>
      <c r="L39" s="131" t="s">
        <v>51</v>
      </c>
      <c r="M39" s="132">
        <f t="shared" si="0"/>
        <v>-13.2</v>
      </c>
      <c r="N39" s="133" t="str">
        <f>VLOOKUP(C39,'Trips&amp;Operators'!$C$1:$G$99911,5,FALSE)</f>
        <v>ROMERO CHAD</v>
      </c>
      <c r="O39" s="176" t="s">
        <v>179</v>
      </c>
      <c r="P39" s="134" t="s">
        <v>368</v>
      </c>
      <c r="Q39" s="30"/>
      <c r="R39" s="81" t="str">
        <f>VLOOKUP(C39,'Train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39" s="84" t="str">
        <f>VLOOKUP(C39,'Train Runs'!$A$13:$AE$9960,22,0)</f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si="1"/>
        <v>"C:\Program Files (x86)\AstroGrep\AstroGrep.exe" /e /r /s /spath="%USERPROFILE%\AppData\Local\Temp\OnboardLogs" /stypes="*4011*201709201*"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4011</v>
      </c>
      <c r="V39" s="31">
        <f t="shared" si="3"/>
        <v>42998.804386574076</v>
      </c>
      <c r="W39" s="45" t="str">
        <f t="shared" si="4"/>
        <v>Shuttle/Test</v>
      </c>
      <c r="X39" s="22">
        <f t="shared" si="5"/>
        <v>60</v>
      </c>
      <c r="Y39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Arrival","project_id":79,"tracker_id":40,"status_id":1,"priority_id":2,"assigned_to_id":338,"start_date":"2017-09-20","description":"","custom_fields":[{"id":1,"name":"Subdivision","value":"Shuttle/Test"},{"id":4,"name":"Milepost","value":"9.2253"},{"id":17,"name":"Train ID","value":"60-20"},{"id":16,"name":"Locomotive ID","value":"4011"},{"id":130,"name":"Impact","value":""},{"id":150,"name":"Time of Event (Mountain Time)","value":"13:18:19"},{"id":151,"name":"Denver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/c/Users/stu/AppData/Local/Temp/OnboardLogs/RTDC4011 --include="*4011*201709201*"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39" s="145" t="str">
        <f t="shared" si="9"/>
        <v>start /low /b %USERPROFILE%\Documents\GitHub\eaglep3\Utilities\DownloadLogsFromS3.py --loco 4011 --day 2017-09-20</v>
      </c>
      <c r="AF39" s="1"/>
    </row>
    <row r="40" spans="1:32" x14ac:dyDescent="0.25">
      <c r="A40" s="31">
        <v>42998.663958333331</v>
      </c>
      <c r="B40" s="30" t="s">
        <v>485</v>
      </c>
      <c r="C40" s="30" t="s">
        <v>602</v>
      </c>
      <c r="D40" s="30" t="s">
        <v>49</v>
      </c>
      <c r="E40" s="30" t="s">
        <v>186</v>
      </c>
      <c r="F40" s="42">
        <v>320</v>
      </c>
      <c r="G40" s="42">
        <v>373</v>
      </c>
      <c r="H40" s="42">
        <v>96477</v>
      </c>
      <c r="I40" s="42">
        <v>95623</v>
      </c>
      <c r="J40" s="30" t="s">
        <v>187</v>
      </c>
      <c r="K40" s="42">
        <v>94854</v>
      </c>
      <c r="L40" s="131" t="s">
        <v>51</v>
      </c>
      <c r="M40" s="132">
        <f t="shared" si="0"/>
        <v>406.03199999999998</v>
      </c>
      <c r="N40" s="133" t="str">
        <f>VLOOKUP(C40,'Trips&amp;Operators'!$C$1:$G$99911,5,FALSE)</f>
        <v>SWANSON BRYCE</v>
      </c>
      <c r="O40" s="176" t="s">
        <v>179</v>
      </c>
      <c r="P40" s="134" t="s">
        <v>368</v>
      </c>
      <c r="Q40" s="30"/>
      <c r="R40" s="81" t="str">
        <f>VLOOKUP(C40,'Train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40" s="84" t="str">
        <f>VLOOKUP(C40,'Train Runs'!$A$13:$AE$9960,22,0)</f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"/>
        <v>"C:\Program Files (x86)\AstroGrep\AstroGrep.exe" /e /r /s /spath="%USERPROFILE%\AppData\Local\Temp\OnboardLogs" /stypes="*4011*201709202*"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4011</v>
      </c>
      <c r="V40" s="31">
        <f t="shared" si="3"/>
        <v>42998.913958333331</v>
      </c>
      <c r="W40" s="45" t="str">
        <f t="shared" si="4"/>
        <v>Shuttle/Test</v>
      </c>
      <c r="X40" s="22">
        <f t="shared" si="5"/>
        <v>72</v>
      </c>
      <c r="Y40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Arrival","project_id":79,"tracker_id":40,"status_id":1,"priority_id":2,"assigned_to_id":338,"start_date":"2017-09-20","description":"","custom_fields":[{"id":1,"name":"Subdivision","value":"Shuttle/Test"},{"id":4,"name":"Milepost","value":"9.4854"},{"id":17,"name":"Train ID","value":"72-20"},{"id":16,"name":"Locomotive ID","value":"4011"},{"id":130,"name":"Impact","value":""},{"id":150,"name":"Time of Event (Mountain Time)","value":"15:56:06"},{"id":151,"name":"Denver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/c/Users/stu/AppData/Local/Temp/OnboardLogs/RTDC4011 --include="*4011*201709202*"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"%USERPROFILE%\AppData\Local\Temp\OnboardLogs"\RTDC4011\*4011*201709202* &gt;&gt; 2017-09-20-SliceDisagreementCheck.txt</v>
      </c>
      <c r="AE40" s="145" t="str">
        <f t="shared" si="9"/>
        <v>start /low /b %USERPROFILE%\Documents\GitHub\eaglep3\Utilities\DownloadLogsFromS3.py --loco 4011 --day 2017-09-20</v>
      </c>
      <c r="AF40" s="1"/>
    </row>
    <row r="41" spans="1:32" x14ac:dyDescent="0.25">
      <c r="A41" s="31">
        <v>42998.699166666665</v>
      </c>
      <c r="B41" s="30" t="s">
        <v>511</v>
      </c>
      <c r="C41" s="30" t="s">
        <v>603</v>
      </c>
      <c r="D41" s="30" t="s">
        <v>95</v>
      </c>
      <c r="E41" s="30" t="s">
        <v>186</v>
      </c>
      <c r="F41" s="42">
        <v>290</v>
      </c>
      <c r="G41" s="42">
        <v>346</v>
      </c>
      <c r="H41" s="42">
        <v>100011</v>
      </c>
      <c r="I41" s="42">
        <v>100820</v>
      </c>
      <c r="J41" s="30" t="s">
        <v>187</v>
      </c>
      <c r="K41" s="42">
        <v>99682</v>
      </c>
      <c r="L41" s="131" t="s">
        <v>50</v>
      </c>
      <c r="M41" s="132">
        <f t="shared" si="0"/>
        <v>-600.86400000000003</v>
      </c>
      <c r="N41" s="133" t="str">
        <f>VLOOKUP(C41,'Trips&amp;Operators'!$C$1:$G$99911,5,FALSE)</f>
        <v>SWANSON BRYCE</v>
      </c>
      <c r="O41" s="176" t="s">
        <v>179</v>
      </c>
      <c r="P41" s="134" t="s">
        <v>368</v>
      </c>
      <c r="Q41" s="30"/>
      <c r="R41" s="81" t="str">
        <f>VLOOKUP(C41,'Train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1" s="84" t="str">
        <f>VLOOKUP(C41,'Train Runs'!$A$13:$AE$9960,22,0)</f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86" t="str">
        <f t="shared" si="1"/>
        <v>"C:\Program Files (x86)\AstroGrep\AstroGrep.exe" /e /r /s /spath="%USERPROFILE%\AppData\Local\Temp\OnboardLogs" /stypes="*4012*201709202*"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4012</v>
      </c>
      <c r="V41" s="31">
        <f t="shared" si="3"/>
        <v>42998.949166666665</v>
      </c>
      <c r="W41" s="45" t="str">
        <f t="shared" si="4"/>
        <v>Shuttle/Test</v>
      </c>
      <c r="X41" s="22">
        <f t="shared" si="5"/>
        <v>73</v>
      </c>
      <c r="Y41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Arrival","project_id":79,"tracker_id":40,"status_id":1,"priority_id":2,"assigned_to_id":338,"start_date":"2017-09-20","description":"","custom_fields":[{"id":1,"name":"Subdivision","value":"Shuttle/Test"},{"id":4,"name":"Milepost","value":"9.9682"},{"id":17,"name":"Train ID","value":"73-20"},{"id":16,"name":"Locomotive ID","value":"4012"},{"id":130,"name":"Impact","value":""},{"id":150,"name":"Time of Event (Mountain Time)","value":"16:46:48"},{"id":151,"name":"Denver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/c/Users/stu/AppData/Local/Temp/OnboardLogs/RTDC4012 --include="*4012*201709202*"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"%USERPROFILE%\AppData\Local\Temp\OnboardLogs"\RTDC4012\*4012*201709202* &gt;&gt; 2017-09-20-SliceDisagreementCheck.txt</v>
      </c>
      <c r="AE41" s="145" t="str">
        <f t="shared" si="9"/>
        <v>start /low /b %USERPROFILE%\Documents\GitHub\eaglep3\Utilities\DownloadLogsFromS3.py --loco 4012 --day 2017-09-20</v>
      </c>
      <c r="AF41" s="1"/>
    </row>
    <row r="42" spans="1:32" x14ac:dyDescent="0.25">
      <c r="A42" s="31">
        <v>42998.397314814814</v>
      </c>
      <c r="B42" s="30" t="s">
        <v>485</v>
      </c>
      <c r="C42" s="30" t="s">
        <v>588</v>
      </c>
      <c r="D42" s="30" t="s">
        <v>49</v>
      </c>
      <c r="E42" s="30" t="s">
        <v>186</v>
      </c>
      <c r="F42" s="42">
        <v>360</v>
      </c>
      <c r="G42" s="42">
        <v>416</v>
      </c>
      <c r="H42" s="42">
        <v>106467</v>
      </c>
      <c r="I42" s="42">
        <v>105302</v>
      </c>
      <c r="J42" s="30" t="s">
        <v>187</v>
      </c>
      <c r="K42" s="42">
        <v>106238</v>
      </c>
      <c r="L42" s="131" t="s">
        <v>51</v>
      </c>
      <c r="M42" s="132">
        <f t="shared" si="0"/>
        <v>-494.20800000000003</v>
      </c>
      <c r="N42" s="133" t="str">
        <f>VLOOKUP(C42,'Trips&amp;Operators'!$C$1:$G$99911,5,FALSE)</f>
        <v>HUFFSMITH MONTY</v>
      </c>
      <c r="O42" s="176" t="s">
        <v>179</v>
      </c>
      <c r="P42" s="134" t="s">
        <v>368</v>
      </c>
      <c r="Q42" s="30"/>
      <c r="R42" s="81" t="str">
        <f>VLOOKUP(C42,'Train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42" s="84" t="str">
        <f>VLOOKUP(C42,'Train Runs'!$A$13:$AE$9960,22,0)</f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2" s="86" t="str">
        <f t="shared" si="1"/>
        <v>"C:\Program Files (x86)\AstroGrep\AstroGrep.exe" /e /r /s /spath="%USERPROFILE%\AppData\Local\Temp\OnboardLogs" /stypes="*4011*201709201*" /stext=" 15:.+((SYSTEM_STATE.+slice.+state.+changed )|(ment ac)|(multiple cpu faults)|(system.+state.+changed )|(\[timeout)|(PRM\|1\|D)|(kpr)|(kdp)|(train st.+moving)|(\|lc)|(penalty))"</v>
      </c>
      <c r="U42" s="9" t="str">
        <f t="shared" si="2"/>
        <v>4011</v>
      </c>
      <c r="V42" s="31">
        <f t="shared" si="3"/>
        <v>42998.647314814814</v>
      </c>
      <c r="W42" s="45" t="str">
        <f t="shared" si="4"/>
        <v>Shuttle/Test</v>
      </c>
      <c r="X42" s="22">
        <f t="shared" si="5"/>
        <v>62</v>
      </c>
      <c r="Y42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Arrival","project_id":79,"tracker_id":40,"status_id":1,"priority_id":2,"assigned_to_id":338,"start_date":"2017-09-20","description":"","custom_fields":[{"id":1,"name":"Subdivision","value":"Shuttle/Test"},{"id":4,"name":"Milepost","value":"10.6238"},{"id":17,"name":"Train ID","value":"62-20"},{"id":16,"name":"Locomotive ID","value":"4011"},{"id":130,"name":"Impact","value":""},{"id":150,"name":"Time of Event (Mountain Time)","value":"09:32:08"},{"id":151,"name":"Denver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/c/Users/stu/AppData/Local/Temp/OnboardLogs/RTDC4011 --include="*4011*201709201*"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42" s="145" t="str">
        <f t="shared" si="9"/>
        <v>start /low /b %USERPROFILE%\Documents\GitHub\eaglep3\Utilities\DownloadLogsFromS3.py --loco 4011 --day 2017-09-20</v>
      </c>
      <c r="AF42" s="1"/>
    </row>
    <row r="43" spans="1:32" x14ac:dyDescent="0.25">
      <c r="A43" s="31">
        <v>42999.008946759262</v>
      </c>
      <c r="B43" s="30" t="s">
        <v>446</v>
      </c>
      <c r="C43" s="30" t="s">
        <v>615</v>
      </c>
      <c r="D43" s="30" t="s">
        <v>95</v>
      </c>
      <c r="E43" s="30" t="s">
        <v>194</v>
      </c>
      <c r="F43" s="42">
        <v>300</v>
      </c>
      <c r="G43" s="42">
        <v>360</v>
      </c>
      <c r="H43" s="42">
        <v>23650</v>
      </c>
      <c r="I43" s="42">
        <v>24819</v>
      </c>
      <c r="J43" s="30" t="s">
        <v>195</v>
      </c>
      <c r="K43" s="42">
        <v>21312</v>
      </c>
      <c r="L43" s="131" t="s">
        <v>50</v>
      </c>
      <c r="M43" s="132">
        <f t="shared" si="0"/>
        <v>-1851.6959999999999</v>
      </c>
      <c r="N43" s="133" t="str">
        <f>VLOOKUP(C43,'Trips&amp;Operators'!$C$1:$G$99911,5,FALSE)</f>
        <v>ACKERMAN JARED</v>
      </c>
      <c r="O43" s="176" t="s">
        <v>179</v>
      </c>
      <c r="P43" s="134"/>
      <c r="Q43" s="30"/>
      <c r="R43" s="81" t="str">
        <f>VLOOKUP(C43,'Train Runs'!$A$13:$AE$9960,31,0)</f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S43" s="84" t="str">
        <f>VLOOKUP(C43,'Train Runs'!$A$13:$AE$9960,22,0)</f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3" s="86" t="str">
        <f t="shared" si="1"/>
        <v>"C:\Program Files (x86)\AstroGrep\AstroGrep.exe" /e /r /s /spath="%USERPROFILE%\AppData\Local\Temp\OnboardLogs" /stypes="*4024*201709210*" /stext=" 06:.+((SYSTEM_STATE.+slice.+state.+changed )|(ment ac)|(multiple cpu faults)|(system.+state.+changed )|(\[timeout)|(PRM\|1\|D)|(kpr)|(kdp)|(train st.+moving)|(\|lc)|(penalty))"</v>
      </c>
      <c r="U43" s="9" t="str">
        <f t="shared" si="2"/>
        <v>4024</v>
      </c>
      <c r="V43" s="31">
        <f t="shared" si="3"/>
        <v>42999.258946759262</v>
      </c>
      <c r="W43" s="45" t="str">
        <f t="shared" si="4"/>
        <v>Shuttle/Test</v>
      </c>
      <c r="X43" s="22">
        <f t="shared" si="5"/>
        <v>51</v>
      </c>
      <c r="Y43" s="96" t="str">
        <f t="shared" si="6"/>
        <v>echo {"issue":{"subject":"","project_id":79,"tracker_id":40,"status_id":1,"priority_id":2,"assigned_to_id":338,"start_date":"2017-09-21","description":"","custom_fields":[{"id":1,"name":"Subdivision","value":"Shuttle/Test"},{"id":4,"name":"Milepost","value":"2.1312"},{"id":17,"name":"Train ID","value":"51-20"},{"id":16,"name":"Locomotive ID","value":"4024"},{"id":130,"name":"Impact","value":""},{"id":150,"name":"Time of Event (Mountain Time)","value":"00:12:53"},{"id":151,"name":"Denver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/c/Users/stu/AppData/Local/Temp/OnboardLogs/RTDC4024 --include="*4024*201709210*"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"%USERPROFILE%\AppData\Local\Temp\OnboardLogs"\RTDC4024\*4024*201709210* &gt;&gt; 2017-09-20-SliceDisagreementCheck.txt</v>
      </c>
      <c r="AE43" s="145" t="str">
        <f t="shared" si="9"/>
        <v>start /low /b %USERPROFILE%\Documents\GitHub\eaglep3\Utilities\DownloadLogsFromS3.py --loco 4024 --day 2017-09-21</v>
      </c>
      <c r="AF43" s="1"/>
    </row>
    <row r="44" spans="1:32" x14ac:dyDescent="0.25">
      <c r="A44" s="31">
        <v>42998.530486111114</v>
      </c>
      <c r="B44" s="30" t="s">
        <v>511</v>
      </c>
      <c r="C44" s="30" t="s">
        <v>592</v>
      </c>
      <c r="D44" s="30" t="s">
        <v>49</v>
      </c>
      <c r="E44" s="30" t="s">
        <v>360</v>
      </c>
      <c r="F44" s="42">
        <v>0</v>
      </c>
      <c r="G44" s="42">
        <v>535</v>
      </c>
      <c r="H44" s="42">
        <v>30720</v>
      </c>
      <c r="I44" s="42">
        <v>32225</v>
      </c>
      <c r="J44" s="30" t="s">
        <v>361</v>
      </c>
      <c r="K44" s="42">
        <v>33236</v>
      </c>
      <c r="L44" s="131" t="s">
        <v>50</v>
      </c>
      <c r="M44" s="132">
        <f t="shared" si="0"/>
        <v>533.80799999999999</v>
      </c>
      <c r="N44" s="133" t="str">
        <f>VLOOKUP(C44,'Trips&amp;Operators'!$C$1:$G$99911,5,FALSE)</f>
        <v>ROMERO CHAD</v>
      </c>
      <c r="O44" s="176" t="s">
        <v>435</v>
      </c>
      <c r="P44" s="134" t="s">
        <v>1023</v>
      </c>
      <c r="Q44" s="30"/>
      <c r="R44" s="81" t="str">
        <f>VLOOKUP(C44,'Train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4" s="84" t="str">
        <f>VLOOKUP(C44,'Train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4" s="86" t="str">
        <f t="shared" si="1"/>
        <v>"C:\Program Files (x86)\AstroGrep\AstroGrep.exe" /e /r /s /spath="%USERPROFILE%\AppData\Local\Temp\OnboardLogs" /stypes="*4012*201709201*" /stext=" 18:.+((SYSTEM_STATE.+slice.+state.+changed )|(ment ac)|(multiple cpu faults)|(system.+state.+changed )|(\[timeout)|(PRM\|1\|D)|(kpr)|(kdp)|(train st.+moving)|(\|lc)|(penalty))"</v>
      </c>
      <c r="U44" s="9" t="str">
        <f t="shared" si="2"/>
        <v>4012</v>
      </c>
      <c r="V44" s="31">
        <f t="shared" si="3"/>
        <v>42998.780486111114</v>
      </c>
      <c r="W44" s="45" t="str">
        <f t="shared" si="4"/>
        <v>Shuttle/Test</v>
      </c>
      <c r="X44" s="22">
        <f t="shared" si="5"/>
        <v>61</v>
      </c>
      <c r="Y44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drop","project_id":79,"tracker_id":40,"status_id":1,"priority_id":2,"assigned_to_id":338,"start_date":"2017-09-20","description":"","custom_fields":[{"id":1,"name":"Subdivision","value":"Shuttle/Test"},{"id":4,"name":"Milepost","value":"3.3236"},{"id":17,"name":"Train ID","value":"61-20"},{"id":16,"name":"Locomotive ID","value":"4012"},{"id":130,"name":"Impact","value":""},{"id":150,"name":"Time of Event (Mountain Time)","value":"12:43:54"},{"id":151,"name":"Denver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/c/Users/stu/AppData/Local/Temp/OnboardLogs/RTDC4012 --include="*4012*201709201*"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4" s="145" t="str">
        <f t="shared" si="9"/>
        <v>start /low /b %USERPROFILE%\Documents\GitHub\eaglep3\Utilities\DownloadLogsFromS3.py --loco 4012 --day 2017-09-20</v>
      </c>
      <c r="AF44" s="1"/>
    </row>
    <row r="45" spans="1:32" x14ac:dyDescent="0.25">
      <c r="A45" s="31">
        <v>42998.533553240741</v>
      </c>
      <c r="B45" s="30" t="s">
        <v>511</v>
      </c>
      <c r="C45" s="30" t="s">
        <v>592</v>
      </c>
      <c r="D45" s="30" t="s">
        <v>95</v>
      </c>
      <c r="E45" s="30" t="s">
        <v>360</v>
      </c>
      <c r="F45" s="42">
        <v>200</v>
      </c>
      <c r="G45" s="42">
        <v>254</v>
      </c>
      <c r="H45" s="42">
        <v>38340</v>
      </c>
      <c r="I45" s="42">
        <v>39081</v>
      </c>
      <c r="J45" s="30" t="s">
        <v>361</v>
      </c>
      <c r="K45" s="42">
        <v>37575</v>
      </c>
      <c r="L45" s="131" t="s">
        <v>50</v>
      </c>
      <c r="M45" s="132">
        <f t="shared" si="0"/>
        <v>-795.16800000000001</v>
      </c>
      <c r="N45" s="133" t="str">
        <f>VLOOKUP(C45,'Trips&amp;Operators'!$C$1:$G$99911,5,FALSE)</f>
        <v>ROMERO CHAD</v>
      </c>
      <c r="O45" s="176" t="s">
        <v>179</v>
      </c>
      <c r="P45" s="134"/>
      <c r="Q45" s="30"/>
      <c r="R45" s="81" t="str">
        <f>VLOOKUP(C45,'Train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5" s="84" t="str">
        <f>VLOOKUP(C45,'Train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5" s="86" t="str">
        <f t="shared" si="1"/>
        <v>"C:\Program Files (x86)\AstroGrep\AstroGrep.exe" /e /r /s /spath="%USERPROFILE%\AppData\Local\Temp\OnboardLogs" /stypes="*4012*201709201*" /stext=" 18:.+((SYSTEM_STATE.+slice.+state.+changed )|(ment ac)|(multiple cpu faults)|(system.+state.+changed )|(\[timeout)|(PRM\|1\|D)|(kpr)|(kdp)|(train st.+moving)|(\|lc)|(penalty))"</v>
      </c>
      <c r="U45" s="9" t="str">
        <f t="shared" si="2"/>
        <v>4012</v>
      </c>
      <c r="V45" s="31">
        <f t="shared" si="3"/>
        <v>42998.783553240741</v>
      </c>
      <c r="W45" s="45" t="str">
        <f t="shared" si="4"/>
        <v>Shuttle/Test</v>
      </c>
      <c r="X45" s="22">
        <f t="shared" si="5"/>
        <v>61</v>
      </c>
      <c r="Y45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3.7575"},{"id":17,"name":"Train ID","value":"61-20"},{"id":16,"name":"Locomotive ID","value":"4012"},{"id":130,"name":"Impact","value":""},{"id":150,"name":"Time of Event (Mountain Time)","value":"12:48:19"},{"id":151,"name":"Denver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/c/Users/stu/AppData/Local/Temp/OnboardLogs/RTDC4012 --include="*4012*201709201*"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5" s="145" t="str">
        <f t="shared" si="9"/>
        <v>start /low /b %USERPROFILE%\Documents\GitHub\eaglep3\Utilities\DownloadLogsFromS3.py --loco 4012 --day 2017-09-20</v>
      </c>
      <c r="AF45" s="1"/>
    </row>
    <row r="46" spans="1:32" x14ac:dyDescent="0.25">
      <c r="A46" s="31">
        <v>42998.390983796293</v>
      </c>
      <c r="B46" s="30" t="s">
        <v>511</v>
      </c>
      <c r="C46" s="30" t="s">
        <v>587</v>
      </c>
      <c r="D46" s="30" t="s">
        <v>95</v>
      </c>
      <c r="E46" s="30" t="s">
        <v>180</v>
      </c>
      <c r="F46" s="42">
        <v>0</v>
      </c>
      <c r="G46" s="42">
        <v>4</v>
      </c>
      <c r="H46" s="42">
        <v>112547</v>
      </c>
      <c r="I46" s="42">
        <v>112547</v>
      </c>
      <c r="J46" s="30" t="s">
        <v>181</v>
      </c>
      <c r="K46" s="42">
        <v>112547</v>
      </c>
      <c r="L46" s="131" t="s">
        <v>50</v>
      </c>
      <c r="M46" s="132">
        <f t="shared" si="0"/>
        <v>0</v>
      </c>
      <c r="N46" s="133" t="str">
        <f>VLOOKUP(C46,'Trips&amp;Operators'!$C$1:$G$99911,5,FALSE)</f>
        <v>HUFFSMITH MONTY</v>
      </c>
      <c r="O46" s="176" t="s">
        <v>179</v>
      </c>
      <c r="P46" s="134"/>
      <c r="Q46" s="30"/>
      <c r="R46" s="81" t="str">
        <f>VLOOKUP(C46,'Train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6" s="84" t="str">
        <f>VLOOKUP(C46,'Train Runs'!$A$13:$AE$9960,22,0)</f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86" t="str">
        <f t="shared" si="1"/>
        <v>"C:\Program Files (x86)\AstroGrep\AstroGrep.exe" /e /r /s /spath="%USERPROFILE%\AppData\Local\Temp\OnboardLogs" /stypes="*4012*201709201*" /stext=" 15:.+((SYSTEM_STATE.+slice.+state.+changed )|(ment ac)|(multiple cpu faults)|(system.+state.+changed )|(\[timeout)|(PRM\|1\|D)|(kpr)|(kdp)|(train st.+moving)|(\|lc)|(penalty))"</v>
      </c>
      <c r="U46" s="9" t="str">
        <f t="shared" si="2"/>
        <v>4012</v>
      </c>
      <c r="V46" s="31">
        <f t="shared" si="3"/>
        <v>42998.640983796293</v>
      </c>
      <c r="W46" s="45" t="str">
        <f t="shared" si="4"/>
        <v>Shuttle/Test</v>
      </c>
      <c r="X46" s="22">
        <f t="shared" si="5"/>
        <v>63</v>
      </c>
      <c r="Y46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ID","value":"63-20"},{"id":16,"name":"Locomotive ID","value":"4012"},{"id":130,"name":"Impact","value":""},{"id":150,"name":"Time of Event (Mountain Time)","value":"09:23:01"},{"id":151,"name":"Denver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/c/Users/stu/AppData/Local/Temp/OnboardLogs/RTDC4012 --include="*4012*201709201*"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6" s="145" t="str">
        <f t="shared" si="9"/>
        <v>start /low /b %USERPROFILE%\Documents\GitHub\eaglep3\Utilities\DownloadLogsFromS3.py --loco 4012 --day 2017-09-20</v>
      </c>
      <c r="AF46" s="1"/>
    </row>
    <row r="47" spans="1:32" x14ac:dyDescent="0.25">
      <c r="A47" s="31">
        <v>42998.444131944445</v>
      </c>
      <c r="B47" s="30" t="s">
        <v>511</v>
      </c>
      <c r="C47" s="30" t="s">
        <v>592</v>
      </c>
      <c r="D47" s="30" t="s">
        <v>95</v>
      </c>
      <c r="E47" s="30" t="s">
        <v>180</v>
      </c>
      <c r="F47" s="42">
        <v>0</v>
      </c>
      <c r="G47" s="42">
        <v>3</v>
      </c>
      <c r="H47" s="42">
        <v>112547</v>
      </c>
      <c r="I47" s="42">
        <v>112545</v>
      </c>
      <c r="J47" s="30" t="s">
        <v>181</v>
      </c>
      <c r="K47" s="42">
        <v>112547</v>
      </c>
      <c r="L47" s="131" t="s">
        <v>50</v>
      </c>
      <c r="M47" s="132">
        <f t="shared" si="0"/>
        <v>1.056</v>
      </c>
      <c r="N47" s="133" t="str">
        <f>VLOOKUP(C47,'Trips&amp;Operators'!$C$1:$G$99911,5,FALSE)</f>
        <v>ROMERO CHAD</v>
      </c>
      <c r="O47" s="176" t="s">
        <v>179</v>
      </c>
      <c r="P47" s="134"/>
      <c r="Q47" s="30"/>
      <c r="R47" s="81" t="str">
        <f>VLOOKUP(C47,'Train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7" s="84" t="str">
        <f>VLOOKUP(C47,'Train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7" s="86" t="str">
        <f t="shared" si="1"/>
        <v>"C:\Program Files (x86)\AstroGrep\AstroGrep.exe" /e /r /s /spath="%USERPROFILE%\AppData\Local\Temp\OnboardLogs" /stypes="*4012*201709201*" /stext=" 16:.+((SYSTEM_STATE.+slice.+state.+changed )|(ment ac)|(multiple cpu faults)|(system.+state.+changed )|(\[timeout)|(PRM\|1\|D)|(kpr)|(kdp)|(train st.+moving)|(\|lc)|(penalty))"</v>
      </c>
      <c r="U47" s="9" t="str">
        <f t="shared" si="2"/>
        <v>4012</v>
      </c>
      <c r="V47" s="31">
        <f t="shared" si="3"/>
        <v>42998.694131944445</v>
      </c>
      <c r="W47" s="45" t="str">
        <f t="shared" si="4"/>
        <v>Shuttle/Test</v>
      </c>
      <c r="X47" s="22">
        <f t="shared" si="5"/>
        <v>61</v>
      </c>
      <c r="Y47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ID","value":"61-20"},{"id":16,"name":"Locomotive ID","value":"4012"},{"id":130,"name":"Impact","value":""},{"id":150,"name":"Time of Event (Mountain Time)","value":"10:39:33"},{"id":151,"name":"Denver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/c/Users/stu/AppData/Local/Temp/OnboardLogs/RTDC4012 --include="*4012*201709201*"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7" s="145" t="str">
        <f t="shared" si="9"/>
        <v>start /low /b %USERPROFILE%\Documents\GitHub\eaglep3\Utilities\DownloadLogsFromS3.py --loco 4012 --day 2017-09-20</v>
      </c>
      <c r="AF47" s="1"/>
    </row>
    <row r="48" spans="1:32" x14ac:dyDescent="0.25">
      <c r="A48" s="31">
        <v>42998.494525462964</v>
      </c>
      <c r="B48" s="30" t="s">
        <v>511</v>
      </c>
      <c r="C48" s="30" t="s">
        <v>587</v>
      </c>
      <c r="D48" s="30" t="s">
        <v>95</v>
      </c>
      <c r="E48" s="30" t="s">
        <v>180</v>
      </c>
      <c r="F48" s="42">
        <v>0</v>
      </c>
      <c r="G48" s="42">
        <v>3</v>
      </c>
      <c r="H48" s="42">
        <v>112547</v>
      </c>
      <c r="I48" s="42">
        <v>112547</v>
      </c>
      <c r="J48" s="30" t="s">
        <v>181</v>
      </c>
      <c r="K48" s="42">
        <v>112547</v>
      </c>
      <c r="L48" s="131" t="s">
        <v>50</v>
      </c>
      <c r="M48" s="132">
        <f t="shared" si="0"/>
        <v>0</v>
      </c>
      <c r="N48" s="133" t="str">
        <f>VLOOKUP(C48,'Trips&amp;Operators'!$C$1:$G$99911,5,FALSE)</f>
        <v>HUFFSMITH MONTY</v>
      </c>
      <c r="O48" s="176" t="s">
        <v>179</v>
      </c>
      <c r="P48" s="134"/>
      <c r="Q48" s="30"/>
      <c r="R48" s="81" t="str">
        <f>VLOOKUP(C48,'Train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8" s="84" t="str">
        <f>VLOOKUP(C48,'Train Runs'!$A$13:$AE$9960,22,0)</f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8" s="86" t="str">
        <f t="shared" si="1"/>
        <v>"C:\Program Files (x86)\AstroGrep\AstroGrep.exe" /e /r /s /spath="%USERPROFILE%\AppData\Local\Temp\OnboardLogs" /stypes="*4012*201709201*" /stext=" 17:.+((SYSTEM_STATE.+slice.+state.+changed )|(ment ac)|(multiple cpu faults)|(system.+state.+changed )|(\[timeout)|(PRM\|1\|D)|(kpr)|(kdp)|(train st.+moving)|(\|lc)|(penalty))"</v>
      </c>
      <c r="U48" s="9" t="str">
        <f t="shared" si="2"/>
        <v>4012</v>
      </c>
      <c r="V48" s="31">
        <f t="shared" si="3"/>
        <v>42998.744525462964</v>
      </c>
      <c r="W48" s="45" t="str">
        <f t="shared" si="4"/>
        <v>Shuttle/Test</v>
      </c>
      <c r="X48" s="22">
        <f t="shared" si="5"/>
        <v>63</v>
      </c>
      <c r="Y48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ID","value":"63-20"},{"id":16,"name":"Locomotive ID","value":"4012"},{"id":130,"name":"Impact","value":""},{"id":150,"name":"Time of Event (Mountain Time)","value":"11:52:07"},{"id":151,"name":"Denver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/c/Users/stu/AppData/Local/Temp/OnboardLogs/RTDC4012 --include="*4012*201709201*"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8" s="145" t="str">
        <f t="shared" si="9"/>
        <v>start /low /b %USERPROFILE%\Documents\GitHub\eaglep3\Utilities\DownloadLogsFromS3.py --loco 4012 --day 2017-09-20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8">
      <sortCondition ref="W7:W48"/>
      <sortCondition ref="E7:E48"/>
      <sortCondition ref="K7:K48"/>
      <sortCondition ref="F7:F4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D11" sqref="D11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2017-09-20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846</v>
      </c>
      <c r="B3" s="42" t="str">
        <f>A3&amp;"-"&amp;IF(DAY(Variables!$A$2)&lt;10,0,"")&amp;DAY(Variables!$A$2)</f>
        <v>846-20</v>
      </c>
      <c r="C3" s="135"/>
      <c r="D3" s="153" t="e">
        <f>VLOOKUP(B3,'Trips&amp;Operators'!$C$1:$H$1072,6,FALSE)</f>
        <v>#N/A</v>
      </c>
      <c r="E3" s="30" t="s">
        <v>1032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-20%22)),sort:!(Time.ISO8601,asc))</v>
      </c>
      <c r="J3" s="30" t="e">
        <f>VLOOKUP(B3,'Train Runs'!$A$13:$A$99957,1,FALSE)</f>
        <v>#N/A</v>
      </c>
    </row>
    <row r="4" spans="1:10" x14ac:dyDescent="0.25">
      <c r="A4" s="198">
        <v>847</v>
      </c>
      <c r="B4" s="42" t="str">
        <f>A4&amp;"-"&amp;IF(DAY(Variables!$A$2)&lt;10,0,"")&amp;DAY(Variables!$A$2)</f>
        <v>847-20</v>
      </c>
      <c r="C4" s="135"/>
      <c r="D4" s="153" t="e">
        <f>VLOOKUP(B4,'Trips&amp;Operators'!$C$1:$H$1072,6,FALSE)</f>
        <v>#N/A</v>
      </c>
      <c r="E4" s="30" t="s">
        <v>1032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22847-20%22)),sort:!(Time.ISO8601,asc))</v>
      </c>
      <c r="J4" s="30" t="e">
        <f>VLOOKUP(B4,'Train Runs'!$A$13:$A$99957,1,FALSE)</f>
        <v>#N/A</v>
      </c>
    </row>
    <row r="5" spans="1:10" x14ac:dyDescent="0.25">
      <c r="A5" s="198">
        <v>849</v>
      </c>
      <c r="B5" s="42" t="str">
        <f>A5&amp;"-"&amp;IF(DAY(Variables!$A$2)&lt;10,0,"")&amp;DAY(Variables!$A$2)</f>
        <v>849-20</v>
      </c>
      <c r="C5" s="135"/>
      <c r="D5" s="153" t="e">
        <f>VLOOKUP(B5,'Trips&amp;Operators'!$C$1:$H$1072,6,FALSE)</f>
        <v>#N/A</v>
      </c>
      <c r="E5" s="30" t="s">
        <v>1032</v>
      </c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22849-20%22)),sort:!(Time.ISO8601,asc))</v>
      </c>
      <c r="J5" s="30" t="e">
        <f>VLOOKUP(B5,'Train Runs'!$A$13:$A$99957,1,FALSE)</f>
        <v>#N/A</v>
      </c>
    </row>
    <row r="6" spans="1:10" x14ac:dyDescent="0.25">
      <c r="A6" s="198"/>
      <c r="B6" s="42" t="str">
        <f>A6&amp;"-"&amp;IF(DAY(Variables!$A$2)&lt;10,0,"")&amp;DAY(Variables!$A$2)</f>
        <v>-20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Runs'!$A$13:$A$99957,1,FALSE)</f>
        <v>#N/A</v>
      </c>
    </row>
    <row r="7" spans="1:10" x14ac:dyDescent="0.25">
      <c r="A7" s="198"/>
      <c r="B7" s="42" t="str">
        <f>A7&amp;"-"&amp;IF(DAY(Variables!$A$2)&lt;10,0,"")&amp;DAY(Variables!$A$2)</f>
        <v>-20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Runs'!$A$13:$A$99957,1,FALSE)</f>
        <v>#N/A</v>
      </c>
    </row>
    <row r="8" spans="1:10" x14ac:dyDescent="0.25">
      <c r="A8" s="198"/>
      <c r="B8" s="42" t="str">
        <f>A8&amp;"-"&amp;IF(DAY(Variables!$A$2)&lt;10,0,"")&amp;DAY(Variables!$A$2)</f>
        <v>-20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Runs'!$A$13:$A$99957,1,FALSE)</f>
        <v>#N/A</v>
      </c>
    </row>
    <row r="9" spans="1:10" x14ac:dyDescent="0.25">
      <c r="A9" s="198"/>
      <c r="B9" s="42" t="str">
        <f>A9&amp;"-"&amp;IF(DAY(Variables!$A$2)&lt;10,0,"")&amp;DAY(Variables!$A$2)</f>
        <v>-20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Runs'!$A$13:$A$99957,1,FALSE)</f>
        <v>#N/A</v>
      </c>
    </row>
    <row r="10" spans="1:10" x14ac:dyDescent="0.25">
      <c r="A10" s="198"/>
      <c r="B10" s="42" t="str">
        <f>A10&amp;"-"&amp;IF(DAY(Variables!$A$2)&lt;10,0,"")&amp;DAY(Variables!$A$2)</f>
        <v>-20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Runs'!$A$13:$A$99957,1,FALSE)</f>
        <v>#N/A</v>
      </c>
    </row>
    <row r="11" spans="1:10" x14ac:dyDescent="0.25">
      <c r="A11" s="198"/>
      <c r="B11" s="42" t="str">
        <f>A11&amp;"-"&amp;IF(DAY(Variables!$A$2)&lt;10,0,"")&amp;DAY(Variables!$A$2)</f>
        <v>-20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Runs'!$A$13:$A$99957,1,FALSE)</f>
        <v>#N/A</v>
      </c>
    </row>
    <row r="12" spans="1:10" x14ac:dyDescent="0.25">
      <c r="A12" s="198"/>
      <c r="B12" s="42" t="str">
        <f>A12&amp;"-"&amp;IF(DAY(Variables!$A$2)&lt;10,0,"")&amp;DAY(Variables!$A$2)</f>
        <v>-20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Runs'!$A$13:$A$99957,1,FALSE)</f>
        <v>#N/A</v>
      </c>
    </row>
    <row r="13" spans="1:10" x14ac:dyDescent="0.25">
      <c r="A13" s="198"/>
      <c r="B13" s="42" t="str">
        <f>A13&amp;"-"&amp;IF(DAY(Variables!$A$2)&lt;10,0,"")&amp;DAY(Variables!$A$2)</f>
        <v>-20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Runs'!$A$13:$A$99957,1,FALSE)</f>
        <v>#N/A</v>
      </c>
    </row>
    <row r="14" spans="1:10" x14ac:dyDescent="0.25">
      <c r="A14" s="198"/>
      <c r="B14" s="42" t="str">
        <f>A14&amp;"-"&amp;IF(DAY(Variables!$A$2)&lt;10,0,"")&amp;DAY(Variables!$A$2)</f>
        <v>-20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Runs'!$A$13:$A$99957,1,FALSE)</f>
        <v>#N/A</v>
      </c>
    </row>
    <row r="15" spans="1:10" x14ac:dyDescent="0.25">
      <c r="A15" s="198"/>
      <c r="B15" s="42" t="str">
        <f>A15&amp;"-"&amp;IF(DAY(Variables!$A$2)&lt;10,0,"")&amp;DAY(Variables!$A$2)</f>
        <v>-20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Runs'!$A$13:$A$99957,1,FALSE)</f>
        <v>#N/A</v>
      </c>
    </row>
    <row r="16" spans="1:10" x14ac:dyDescent="0.25">
      <c r="A16" s="198"/>
      <c r="B16" s="42" t="str">
        <f>A16&amp;"-"&amp;IF(DAY(Variables!$A$2)&lt;10,0,"")&amp;DAY(Variables!$A$2)</f>
        <v>-20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Runs'!$A$13:$A$99957,1,FALSE)</f>
        <v>#N/A</v>
      </c>
    </row>
    <row r="17" spans="1:10" x14ac:dyDescent="0.25">
      <c r="A17" s="198"/>
      <c r="B17" s="42" t="str">
        <f>A17&amp;"-"&amp;IF(DAY(Variables!$A$2)&lt;10,0,"")&amp;DAY(Variables!$A$2)</f>
        <v>-20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Runs'!$A$13:$A$99957,1,FALSE)</f>
        <v>#N/A</v>
      </c>
    </row>
    <row r="18" spans="1:10" x14ac:dyDescent="0.25">
      <c r="A18" s="198"/>
      <c r="B18" s="42" t="str">
        <f>A18&amp;"-"&amp;IF(DAY(Variables!$A$2)&lt;10,0,"")&amp;DAY(Variables!$A$2)</f>
        <v>-20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Runs'!$A$13:$A$99957,1,FALSE)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42998.048530092594</v>
      </c>
      <c r="B2" s="20" t="s">
        <v>417</v>
      </c>
      <c r="C2" s="20" t="s">
        <v>531</v>
      </c>
      <c r="D2" s="138">
        <v>890000</v>
      </c>
      <c r="E2" s="20" t="s">
        <v>371</v>
      </c>
      <c r="F2" s="20" t="s">
        <v>372</v>
      </c>
      <c r="G2" s="8" t="str">
        <f>E2&amp;" "&amp;F2</f>
        <v>LOZA FIDEL</v>
      </c>
      <c r="H2" t="str">
        <f>MID(B2,13,4)</f>
        <v>4028</v>
      </c>
    </row>
    <row r="3" spans="1:8" x14ac:dyDescent="0.25">
      <c r="A3" s="8">
        <v>42998.057604166665</v>
      </c>
      <c r="B3" s="20" t="s">
        <v>403</v>
      </c>
      <c r="C3" s="20" t="s">
        <v>532</v>
      </c>
      <c r="D3" s="138">
        <v>3190000</v>
      </c>
      <c r="E3" s="20" t="s">
        <v>388</v>
      </c>
      <c r="F3" s="20" t="s">
        <v>389</v>
      </c>
      <c r="G3" s="8" t="str">
        <f t="shared" ref="G3:G66" si="0">E3&amp;" "&amp;F3</f>
        <v>HART KEVIN</v>
      </c>
      <c r="H3" s="20" t="str">
        <f t="shared" ref="H3:H66" si="1">MID(B3,13,4)</f>
        <v>4029</v>
      </c>
    </row>
    <row r="4" spans="1:8" x14ac:dyDescent="0.25">
      <c r="A4" s="8">
        <v>42998.067777777775</v>
      </c>
      <c r="B4" s="20" t="s">
        <v>447</v>
      </c>
      <c r="C4" s="20" t="s">
        <v>533</v>
      </c>
      <c r="D4" s="138">
        <v>2620000</v>
      </c>
      <c r="E4" s="20" t="s">
        <v>386</v>
      </c>
      <c r="F4" s="20" t="s">
        <v>387</v>
      </c>
      <c r="G4" s="8" t="str">
        <f t="shared" si="0"/>
        <v>PERKINS DARREN</v>
      </c>
      <c r="H4" s="20" t="str">
        <f t="shared" si="1"/>
        <v>4056</v>
      </c>
    </row>
    <row r="5" spans="1:8" x14ac:dyDescent="0.25">
      <c r="A5" s="8">
        <v>42998.087951388887</v>
      </c>
      <c r="B5" s="20" t="s">
        <v>374</v>
      </c>
      <c r="C5" s="20" t="s">
        <v>534</v>
      </c>
      <c r="D5" s="138">
        <v>3190000</v>
      </c>
      <c r="E5" s="20" t="s">
        <v>388</v>
      </c>
      <c r="F5" s="20" t="s">
        <v>389</v>
      </c>
      <c r="G5" s="8" t="str">
        <f t="shared" si="0"/>
        <v>HART KEVIN</v>
      </c>
      <c r="H5" s="20" t="str">
        <f t="shared" si="1"/>
        <v>4030</v>
      </c>
    </row>
    <row r="6" spans="1:8" x14ac:dyDescent="0.25">
      <c r="A6" s="8">
        <v>42998.11855324074</v>
      </c>
      <c r="B6" s="20" t="s">
        <v>475</v>
      </c>
      <c r="C6" s="20" t="s">
        <v>618</v>
      </c>
      <c r="D6" s="138">
        <v>900000</v>
      </c>
      <c r="E6" s="20" t="s">
        <v>619</v>
      </c>
      <c r="F6" s="20" t="s">
        <v>620</v>
      </c>
      <c r="G6" s="8" t="str">
        <f t="shared" si="0"/>
        <v>ROCHA YAOTL</v>
      </c>
      <c r="H6" s="20" t="str">
        <f t="shared" si="1"/>
        <v>4017</v>
      </c>
    </row>
    <row r="7" spans="1:8" x14ac:dyDescent="0.25">
      <c r="A7" s="8">
        <v>42998.133287037039</v>
      </c>
      <c r="B7" s="20" t="s">
        <v>473</v>
      </c>
      <c r="C7" s="20" t="s">
        <v>615</v>
      </c>
      <c r="D7" s="138">
        <v>1260000</v>
      </c>
      <c r="E7" s="20" t="s">
        <v>512</v>
      </c>
      <c r="F7" s="20" t="s">
        <v>513</v>
      </c>
      <c r="G7" s="8" t="str">
        <f t="shared" si="0"/>
        <v>ACKERMAN JARED</v>
      </c>
      <c r="H7" s="20" t="str">
        <f t="shared" si="1"/>
        <v>4018</v>
      </c>
    </row>
    <row r="8" spans="1:8" x14ac:dyDescent="0.25">
      <c r="A8" s="8">
        <v>42998.133900462963</v>
      </c>
      <c r="B8" s="20" t="s">
        <v>580</v>
      </c>
      <c r="C8" s="20" t="s">
        <v>621</v>
      </c>
      <c r="D8" s="138">
        <v>900000</v>
      </c>
      <c r="E8" s="20" t="s">
        <v>619</v>
      </c>
      <c r="F8" s="20" t="s">
        <v>620</v>
      </c>
      <c r="G8" s="8" t="str">
        <f t="shared" si="0"/>
        <v>ROCHA YAOTL</v>
      </c>
      <c r="H8" s="20" t="str">
        <f t="shared" si="1"/>
        <v>4042</v>
      </c>
    </row>
    <row r="9" spans="1:8" ht="15.75" thickBot="1" x14ac:dyDescent="0.3">
      <c r="A9" s="24">
        <v>42998.139722222222</v>
      </c>
      <c r="B9" s="20" t="s">
        <v>475</v>
      </c>
      <c r="C9" s="20" t="s">
        <v>622</v>
      </c>
      <c r="D9" s="138">
        <v>1260000</v>
      </c>
      <c r="E9" s="20" t="s">
        <v>512</v>
      </c>
      <c r="F9" s="20" t="s">
        <v>513</v>
      </c>
      <c r="G9" s="8" t="str">
        <f t="shared" si="0"/>
        <v>ACKERMAN JARED</v>
      </c>
      <c r="H9" s="20" t="str">
        <f t="shared" si="1"/>
        <v>4017</v>
      </c>
    </row>
    <row r="10" spans="1:8" x14ac:dyDescent="0.25">
      <c r="A10" s="8">
        <v>42998.14167824074</v>
      </c>
      <c r="B10" s="20" t="s">
        <v>578</v>
      </c>
      <c r="C10" s="20" t="s">
        <v>623</v>
      </c>
      <c r="D10" s="138">
        <v>3120000</v>
      </c>
      <c r="E10" s="20" t="s">
        <v>449</v>
      </c>
      <c r="F10" s="20" t="s">
        <v>450</v>
      </c>
      <c r="G10" s="8" t="str">
        <f t="shared" si="0"/>
        <v>THOMPSON LESTER</v>
      </c>
      <c r="H10" s="20" t="str">
        <f t="shared" si="1"/>
        <v>4063</v>
      </c>
    </row>
    <row r="11" spans="1:8" x14ac:dyDescent="0.25">
      <c r="A11" s="8">
        <v>42998.152986111112</v>
      </c>
      <c r="B11" s="20" t="s">
        <v>511</v>
      </c>
      <c r="C11" s="20" t="s">
        <v>624</v>
      </c>
      <c r="D11" s="138">
        <v>1340000</v>
      </c>
      <c r="E11" s="20" t="s">
        <v>520</v>
      </c>
      <c r="F11" s="20" t="s">
        <v>521</v>
      </c>
      <c r="G11" s="8" t="str">
        <f t="shared" si="0"/>
        <v>BEAM ROSS</v>
      </c>
      <c r="H11" s="20" t="str">
        <f t="shared" si="1"/>
        <v>4012</v>
      </c>
    </row>
    <row r="12" spans="1:8" x14ac:dyDescent="0.25">
      <c r="A12" s="8">
        <v>42998.155115740738</v>
      </c>
      <c r="B12" s="20" t="s">
        <v>608</v>
      </c>
      <c r="C12" s="20" t="s">
        <v>625</v>
      </c>
      <c r="D12" s="138">
        <v>3120000</v>
      </c>
      <c r="E12" s="20" t="s">
        <v>449</v>
      </c>
      <c r="F12" s="20" t="s">
        <v>450</v>
      </c>
      <c r="G12" s="8" t="str">
        <f t="shared" si="0"/>
        <v>THOMPSON LESTER</v>
      </c>
      <c r="H12" s="20" t="str">
        <f t="shared" si="1"/>
        <v>4064</v>
      </c>
    </row>
    <row r="13" spans="1:8" x14ac:dyDescent="0.25">
      <c r="A13" s="8">
        <v>42998.15587962963</v>
      </c>
      <c r="B13" s="20" t="s">
        <v>472</v>
      </c>
      <c r="C13" s="20" t="s">
        <v>626</v>
      </c>
      <c r="D13" s="138">
        <v>1830000</v>
      </c>
      <c r="E13" s="20" t="s">
        <v>427</v>
      </c>
      <c r="F13" s="20" t="s">
        <v>428</v>
      </c>
      <c r="G13" s="8" t="str">
        <f t="shared" si="0"/>
        <v>YORK EDGAR</v>
      </c>
      <c r="H13" s="20" t="str">
        <f t="shared" si="1"/>
        <v>4039</v>
      </c>
    </row>
    <row r="14" spans="1:8" x14ac:dyDescent="0.25">
      <c r="A14" s="8">
        <v>42998.159479166665</v>
      </c>
      <c r="B14" s="20" t="s">
        <v>485</v>
      </c>
      <c r="C14" s="20" t="s">
        <v>624</v>
      </c>
      <c r="D14" s="138">
        <v>1340000</v>
      </c>
      <c r="E14" s="20" t="s">
        <v>520</v>
      </c>
      <c r="F14" s="20" t="s">
        <v>521</v>
      </c>
      <c r="G14" s="8" t="str">
        <f t="shared" si="0"/>
        <v>BEAM ROSS</v>
      </c>
      <c r="H14" s="20" t="str">
        <f t="shared" si="1"/>
        <v>4011</v>
      </c>
    </row>
    <row r="15" spans="1:8" x14ac:dyDescent="0.25">
      <c r="A15" s="8">
        <v>42998.166539351849</v>
      </c>
      <c r="B15" s="20" t="s">
        <v>478</v>
      </c>
      <c r="C15" s="20" t="s">
        <v>627</v>
      </c>
      <c r="D15" s="138">
        <v>1830000</v>
      </c>
      <c r="E15" s="20" t="s">
        <v>427</v>
      </c>
      <c r="F15" s="20" t="s">
        <v>428</v>
      </c>
      <c r="G15" s="8" t="str">
        <f t="shared" si="0"/>
        <v>YORK EDGAR</v>
      </c>
      <c r="H15" s="20" t="str">
        <f t="shared" si="1"/>
        <v>4040</v>
      </c>
    </row>
    <row r="16" spans="1:8" x14ac:dyDescent="0.25">
      <c r="A16" s="8">
        <v>42998.168773148151</v>
      </c>
      <c r="B16" s="20" t="s">
        <v>426</v>
      </c>
      <c r="C16" s="20" t="s">
        <v>628</v>
      </c>
      <c r="D16" s="138">
        <v>3490000</v>
      </c>
      <c r="E16" s="20" t="s">
        <v>629</v>
      </c>
      <c r="F16" s="20" t="s">
        <v>630</v>
      </c>
      <c r="G16" s="8" t="str">
        <f t="shared" si="0"/>
        <v>WEST BRYAN</v>
      </c>
      <c r="H16" s="20" t="str">
        <f t="shared" si="1"/>
        <v>4043</v>
      </c>
    </row>
    <row r="17" spans="1:8" x14ac:dyDescent="0.25">
      <c r="A17" s="8">
        <v>42998.172939814816</v>
      </c>
      <c r="B17" s="20" t="s">
        <v>598</v>
      </c>
      <c r="C17" s="20" t="s">
        <v>631</v>
      </c>
      <c r="D17" s="138">
        <v>900000</v>
      </c>
      <c r="E17" s="20" t="s">
        <v>619</v>
      </c>
      <c r="F17" s="20" t="s">
        <v>620</v>
      </c>
      <c r="G17" s="8" t="str">
        <f t="shared" si="0"/>
        <v>ROCHA YAOTL</v>
      </c>
      <c r="H17" s="20" t="str">
        <f t="shared" si="1"/>
        <v>4041</v>
      </c>
    </row>
    <row r="18" spans="1:8" x14ac:dyDescent="0.25">
      <c r="A18" s="8">
        <v>42998.183379629627</v>
      </c>
      <c r="B18" s="20" t="s">
        <v>589</v>
      </c>
      <c r="C18" s="20" t="s">
        <v>632</v>
      </c>
      <c r="D18" s="138">
        <v>1990000</v>
      </c>
      <c r="E18" s="20" t="s">
        <v>344</v>
      </c>
      <c r="F18" s="20" t="s">
        <v>633</v>
      </c>
      <c r="G18" s="8" t="str">
        <f t="shared" si="0"/>
        <v>DAVIS WENDY</v>
      </c>
      <c r="H18" s="20" t="str">
        <f t="shared" si="1"/>
        <v>4001</v>
      </c>
    </row>
    <row r="19" spans="1:8" x14ac:dyDescent="0.25">
      <c r="A19" s="8">
        <v>42998.183564814812</v>
      </c>
      <c r="B19" s="20" t="s">
        <v>510</v>
      </c>
      <c r="C19" s="20" t="s">
        <v>576</v>
      </c>
      <c r="D19" s="138">
        <v>3490000</v>
      </c>
      <c r="E19" s="20" t="s">
        <v>629</v>
      </c>
      <c r="F19" s="20" t="s">
        <v>630</v>
      </c>
      <c r="G19" s="8" t="str">
        <f t="shared" si="0"/>
        <v>WEST BRYAN</v>
      </c>
      <c r="H19" s="20" t="str">
        <f t="shared" si="1"/>
        <v>4044</v>
      </c>
    </row>
    <row r="20" spans="1:8" x14ac:dyDescent="0.25">
      <c r="A20" s="8">
        <v>42998.189085648148</v>
      </c>
      <c r="B20" s="20" t="s">
        <v>511</v>
      </c>
      <c r="C20" s="20" t="s">
        <v>624</v>
      </c>
      <c r="D20" s="138">
        <v>1340000</v>
      </c>
      <c r="E20" s="20" t="s">
        <v>520</v>
      </c>
      <c r="F20" s="20" t="s">
        <v>521</v>
      </c>
      <c r="G20" s="8" t="str">
        <f t="shared" si="0"/>
        <v>BEAM ROSS</v>
      </c>
      <c r="H20" s="20" t="str">
        <f t="shared" si="1"/>
        <v>4012</v>
      </c>
    </row>
    <row r="21" spans="1:8" x14ac:dyDescent="0.25">
      <c r="A21" s="8">
        <v>42998.193530092591</v>
      </c>
      <c r="B21" s="20" t="s">
        <v>485</v>
      </c>
      <c r="C21" s="20" t="s">
        <v>624</v>
      </c>
      <c r="D21" s="138">
        <v>1340000</v>
      </c>
      <c r="E21" s="20" t="s">
        <v>520</v>
      </c>
      <c r="F21" s="20" t="s">
        <v>521</v>
      </c>
      <c r="G21" s="8" t="str">
        <f t="shared" si="0"/>
        <v>BEAM ROSS</v>
      </c>
      <c r="H21" s="20" t="str">
        <f t="shared" si="1"/>
        <v>4011</v>
      </c>
    </row>
    <row r="22" spans="1:8" x14ac:dyDescent="0.25">
      <c r="A22" s="26">
        <v>42998.193993055553</v>
      </c>
      <c r="B22" s="20" t="s">
        <v>578</v>
      </c>
      <c r="C22" s="20" t="s">
        <v>579</v>
      </c>
      <c r="D22" s="138">
        <v>3120000</v>
      </c>
      <c r="E22" s="20" t="s">
        <v>449</v>
      </c>
      <c r="F22" s="20" t="s">
        <v>450</v>
      </c>
      <c r="G22" s="8" t="str">
        <f t="shared" si="0"/>
        <v>THOMPSON LESTER</v>
      </c>
      <c r="H22" s="20" t="str">
        <f t="shared" si="1"/>
        <v>4063</v>
      </c>
    </row>
    <row r="23" spans="1:8" x14ac:dyDescent="0.25">
      <c r="A23" s="8">
        <v>42998.196539351855</v>
      </c>
      <c r="B23" s="20" t="s">
        <v>634</v>
      </c>
      <c r="C23" s="20" t="s">
        <v>635</v>
      </c>
      <c r="D23" s="138">
        <v>1990000</v>
      </c>
      <c r="E23" s="20" t="s">
        <v>344</v>
      </c>
      <c r="F23" s="20" t="s">
        <v>633</v>
      </c>
      <c r="G23" s="8" t="str">
        <f t="shared" si="0"/>
        <v>DAVIS WENDY</v>
      </c>
      <c r="H23" s="20" t="str">
        <f t="shared" si="1"/>
        <v>4002</v>
      </c>
    </row>
    <row r="24" spans="1:8" x14ac:dyDescent="0.25">
      <c r="A24" s="8">
        <v>42998.196597222224</v>
      </c>
      <c r="B24" s="20" t="s">
        <v>434</v>
      </c>
      <c r="C24" s="20" t="s">
        <v>636</v>
      </c>
      <c r="D24" s="138">
        <v>3510000</v>
      </c>
      <c r="E24" s="20" t="s">
        <v>476</v>
      </c>
      <c r="F24" s="20" t="s">
        <v>477</v>
      </c>
      <c r="G24" s="8" t="str">
        <f t="shared" si="0"/>
        <v>BARRON PERLA</v>
      </c>
      <c r="H24" s="20" t="str">
        <f t="shared" si="1"/>
        <v>4057</v>
      </c>
    </row>
    <row r="25" spans="1:8" x14ac:dyDescent="0.25">
      <c r="A25" s="8">
        <v>42998.20003472222</v>
      </c>
      <c r="B25" s="20" t="s">
        <v>528</v>
      </c>
      <c r="C25" s="20" t="s">
        <v>577</v>
      </c>
      <c r="D25" s="138">
        <v>3090000</v>
      </c>
      <c r="E25" s="20" t="s">
        <v>451</v>
      </c>
      <c r="F25" s="20" t="s">
        <v>452</v>
      </c>
      <c r="G25" s="8" t="str">
        <f t="shared" si="0"/>
        <v>LAMAR NEKESHA</v>
      </c>
      <c r="H25" s="20" t="str">
        <f t="shared" si="1"/>
        <v>4060</v>
      </c>
    </row>
    <row r="26" spans="1:8" x14ac:dyDescent="0.25">
      <c r="A26" s="8">
        <v>42998.205335648148</v>
      </c>
      <c r="B26" s="20" t="s">
        <v>580</v>
      </c>
      <c r="C26" s="20" t="s">
        <v>581</v>
      </c>
      <c r="D26" s="138">
        <v>900000</v>
      </c>
      <c r="E26" s="20" t="s">
        <v>619</v>
      </c>
      <c r="F26" s="20" t="s">
        <v>620</v>
      </c>
      <c r="G26" s="8" t="str">
        <f t="shared" si="0"/>
        <v>ROCHA YAOTL</v>
      </c>
      <c r="H26" s="20" t="str">
        <f t="shared" si="1"/>
        <v>4042</v>
      </c>
    </row>
    <row r="27" spans="1:8" x14ac:dyDescent="0.25">
      <c r="A27" s="8">
        <v>42998.207268518519</v>
      </c>
      <c r="B27" s="20" t="s">
        <v>411</v>
      </c>
      <c r="C27" s="20" t="s">
        <v>637</v>
      </c>
      <c r="D27" s="138">
        <v>3510000</v>
      </c>
      <c r="E27" s="20" t="s">
        <v>476</v>
      </c>
      <c r="F27" s="20" t="s">
        <v>477</v>
      </c>
      <c r="G27" s="8" t="str">
        <f t="shared" si="0"/>
        <v>BARRON PERLA</v>
      </c>
      <c r="H27" s="20" t="str">
        <f t="shared" si="1"/>
        <v>4058</v>
      </c>
    </row>
    <row r="28" spans="1:8" x14ac:dyDescent="0.25">
      <c r="A28" s="8">
        <v>42998.214097222219</v>
      </c>
      <c r="B28" s="20" t="s">
        <v>472</v>
      </c>
      <c r="C28" s="20" t="s">
        <v>638</v>
      </c>
      <c r="D28" s="138">
        <v>1830000</v>
      </c>
      <c r="E28" s="20" t="s">
        <v>427</v>
      </c>
      <c r="F28" s="20" t="s">
        <v>428</v>
      </c>
      <c r="G28" s="8" t="str">
        <f t="shared" si="0"/>
        <v>YORK EDGAR</v>
      </c>
      <c r="H28" s="20" t="str">
        <f t="shared" si="1"/>
        <v>4039</v>
      </c>
    </row>
    <row r="29" spans="1:8" x14ac:dyDescent="0.25">
      <c r="A29" s="8">
        <v>42998.214780092596</v>
      </c>
      <c r="B29" s="20" t="s">
        <v>584</v>
      </c>
      <c r="C29" s="20" t="s">
        <v>639</v>
      </c>
      <c r="D29" s="138">
        <v>3090000</v>
      </c>
      <c r="E29" s="20" t="s">
        <v>451</v>
      </c>
      <c r="F29" s="20" t="s">
        <v>452</v>
      </c>
      <c r="G29" s="8" t="str">
        <f t="shared" si="0"/>
        <v>LAMAR NEKESHA</v>
      </c>
      <c r="H29" s="20" t="str">
        <f t="shared" si="1"/>
        <v>4059</v>
      </c>
    </row>
    <row r="30" spans="1:8" x14ac:dyDescent="0.25">
      <c r="A30" s="8">
        <v>42998.21770833333</v>
      </c>
      <c r="B30" s="20" t="s">
        <v>385</v>
      </c>
      <c r="C30" s="20" t="s">
        <v>640</v>
      </c>
      <c r="D30" s="138">
        <v>3000000</v>
      </c>
      <c r="E30" s="20" t="s">
        <v>516</v>
      </c>
      <c r="F30" s="20" t="s">
        <v>517</v>
      </c>
      <c r="G30" s="8" t="str">
        <f t="shared" si="0"/>
        <v>FORTUNATO FRANK</v>
      </c>
      <c r="H30" s="20" t="str">
        <f t="shared" si="1"/>
        <v>4061</v>
      </c>
    </row>
    <row r="31" spans="1:8" x14ac:dyDescent="0.25">
      <c r="A31" s="8">
        <v>42998.223437499997</v>
      </c>
      <c r="B31" s="20" t="s">
        <v>426</v>
      </c>
      <c r="C31" s="20" t="s">
        <v>641</v>
      </c>
      <c r="D31" s="138">
        <v>3490000</v>
      </c>
      <c r="E31" s="20" t="s">
        <v>629</v>
      </c>
      <c r="F31" s="20" t="s">
        <v>630</v>
      </c>
      <c r="G31" s="8" t="str">
        <f t="shared" si="0"/>
        <v>WEST BRYAN</v>
      </c>
      <c r="H31" s="20" t="str">
        <f t="shared" si="1"/>
        <v>4043</v>
      </c>
    </row>
    <row r="32" spans="1:8" x14ac:dyDescent="0.25">
      <c r="A32" s="8">
        <v>42998.225532407407</v>
      </c>
      <c r="B32" s="20" t="s">
        <v>589</v>
      </c>
      <c r="C32" s="20" t="s">
        <v>642</v>
      </c>
      <c r="D32" s="138">
        <v>1990000</v>
      </c>
      <c r="E32" s="20" t="s">
        <v>344</v>
      </c>
      <c r="F32" s="20" t="s">
        <v>633</v>
      </c>
      <c r="G32" s="8" t="str">
        <f t="shared" si="0"/>
        <v>DAVIS WENDY</v>
      </c>
      <c r="H32" s="20" t="str">
        <f t="shared" si="1"/>
        <v>4001</v>
      </c>
    </row>
    <row r="33" spans="1:8" x14ac:dyDescent="0.25">
      <c r="A33" s="8">
        <v>42998.226585648146</v>
      </c>
      <c r="B33" s="20" t="s">
        <v>608</v>
      </c>
      <c r="C33" s="20" t="s">
        <v>643</v>
      </c>
      <c r="D33" s="138">
        <v>3120000</v>
      </c>
      <c r="E33" s="20" t="s">
        <v>449</v>
      </c>
      <c r="F33" s="20" t="s">
        <v>450</v>
      </c>
      <c r="G33" s="8" t="str">
        <f t="shared" si="0"/>
        <v>THOMPSON LESTER</v>
      </c>
      <c r="H33" s="20" t="str">
        <f t="shared" si="1"/>
        <v>4064</v>
      </c>
    </row>
    <row r="34" spans="1:8" x14ac:dyDescent="0.25">
      <c r="A34" s="8">
        <v>42998.228379629632</v>
      </c>
      <c r="B34" s="20" t="s">
        <v>528</v>
      </c>
      <c r="C34" s="20" t="s">
        <v>644</v>
      </c>
      <c r="D34" s="138">
        <v>3090000</v>
      </c>
      <c r="E34" s="20" t="s">
        <v>451</v>
      </c>
      <c r="F34" s="20" t="s">
        <v>452</v>
      </c>
      <c r="G34" s="8" t="str">
        <f t="shared" si="0"/>
        <v>LAMAR NEKESHA</v>
      </c>
      <c r="H34" s="20" t="str">
        <f t="shared" si="1"/>
        <v>4060</v>
      </c>
    </row>
    <row r="35" spans="1:8" x14ac:dyDescent="0.25">
      <c r="A35" s="8">
        <v>42998.231249999997</v>
      </c>
      <c r="B35" s="20" t="s">
        <v>394</v>
      </c>
      <c r="C35" s="20" t="s">
        <v>645</v>
      </c>
      <c r="D35" s="138">
        <v>3000000</v>
      </c>
      <c r="E35" s="20" t="s">
        <v>516</v>
      </c>
      <c r="F35" s="20" t="s">
        <v>517</v>
      </c>
      <c r="G35" s="8" t="str">
        <f t="shared" si="0"/>
        <v>FORTUNATO FRANK</v>
      </c>
      <c r="H35" s="20" t="str">
        <f t="shared" si="1"/>
        <v>4062</v>
      </c>
    </row>
    <row r="36" spans="1:8" x14ac:dyDescent="0.25">
      <c r="A36" s="8">
        <v>42998.238391203704</v>
      </c>
      <c r="B36" s="20" t="s">
        <v>392</v>
      </c>
      <c r="C36" s="20" t="s">
        <v>646</v>
      </c>
      <c r="D36" s="138">
        <v>1100000</v>
      </c>
      <c r="E36" s="20" t="s">
        <v>647</v>
      </c>
      <c r="F36" s="20" t="s">
        <v>648</v>
      </c>
      <c r="G36" s="8" t="str">
        <f t="shared" si="0"/>
        <v>GEBRETEKLE DAGNEW</v>
      </c>
      <c r="H36" s="20" t="str">
        <f t="shared" si="1"/>
        <v>4015</v>
      </c>
    </row>
    <row r="37" spans="1:8" x14ac:dyDescent="0.25">
      <c r="A37" s="8">
        <v>42998.244201388887</v>
      </c>
      <c r="B37" s="20" t="s">
        <v>478</v>
      </c>
      <c r="C37" s="20" t="s">
        <v>649</v>
      </c>
      <c r="D37" s="138">
        <v>1830000</v>
      </c>
      <c r="E37" s="20" t="s">
        <v>427</v>
      </c>
      <c r="F37" s="20" t="s">
        <v>428</v>
      </c>
      <c r="G37" s="8" t="str">
        <f t="shared" si="0"/>
        <v>YORK EDGAR</v>
      </c>
      <c r="H37" s="20" t="str">
        <f t="shared" si="1"/>
        <v>4040</v>
      </c>
    </row>
    <row r="38" spans="1:8" x14ac:dyDescent="0.25">
      <c r="A38" s="8">
        <v>42998.244675925926</v>
      </c>
      <c r="B38" s="20" t="s">
        <v>434</v>
      </c>
      <c r="C38" s="20" t="s">
        <v>650</v>
      </c>
      <c r="D38" s="138">
        <v>3510000</v>
      </c>
      <c r="E38" s="20" t="s">
        <v>476</v>
      </c>
      <c r="F38" s="20" t="s">
        <v>477</v>
      </c>
      <c r="G38" s="8" t="str">
        <f t="shared" si="0"/>
        <v>BARRON PERLA</v>
      </c>
      <c r="H38" s="20" t="str">
        <f t="shared" si="1"/>
        <v>4057</v>
      </c>
    </row>
    <row r="39" spans="1:8" x14ac:dyDescent="0.25">
      <c r="A39" s="8">
        <v>42998.24664351852</v>
      </c>
      <c r="B39" s="20" t="s">
        <v>584</v>
      </c>
      <c r="C39" s="20" t="s">
        <v>651</v>
      </c>
      <c r="D39" s="138">
        <v>3090000</v>
      </c>
      <c r="E39" s="20" t="s">
        <v>451</v>
      </c>
      <c r="F39" s="20" t="s">
        <v>452</v>
      </c>
      <c r="G39" s="8" t="str">
        <f t="shared" si="0"/>
        <v>LAMAR NEKESHA</v>
      </c>
      <c r="H39" s="20" t="str">
        <f t="shared" si="1"/>
        <v>4059</v>
      </c>
    </row>
    <row r="40" spans="1:8" x14ac:dyDescent="0.25">
      <c r="A40" s="8">
        <v>42998.246666666666</v>
      </c>
      <c r="B40" s="25" t="s">
        <v>598</v>
      </c>
      <c r="C40" s="20" t="s">
        <v>652</v>
      </c>
      <c r="D40" s="138">
        <v>900000</v>
      </c>
      <c r="E40" s="20" t="s">
        <v>619</v>
      </c>
      <c r="F40" s="20" t="s">
        <v>620</v>
      </c>
      <c r="G40" s="8" t="str">
        <f t="shared" si="0"/>
        <v>ROCHA YAOTL</v>
      </c>
      <c r="H40" s="20" t="str">
        <f t="shared" si="1"/>
        <v>4041</v>
      </c>
    </row>
    <row r="41" spans="1:8" x14ac:dyDescent="0.25">
      <c r="A41" s="8">
        <v>42998.250428240739</v>
      </c>
      <c r="B41" s="20" t="s">
        <v>393</v>
      </c>
      <c r="C41" s="20" t="s">
        <v>653</v>
      </c>
      <c r="D41" s="138">
        <v>1100000</v>
      </c>
      <c r="E41" s="20" t="s">
        <v>647</v>
      </c>
      <c r="F41" s="20" t="s">
        <v>648</v>
      </c>
      <c r="G41" s="8" t="str">
        <f t="shared" si="0"/>
        <v>GEBRETEKLE DAGNEW</v>
      </c>
      <c r="H41" s="20" t="str">
        <f t="shared" si="1"/>
        <v>4016</v>
      </c>
    </row>
    <row r="42" spans="1:8" x14ac:dyDescent="0.25">
      <c r="A42" s="8">
        <v>42998.256921296299</v>
      </c>
      <c r="B42" s="20" t="s">
        <v>510</v>
      </c>
      <c r="C42" s="20" t="s">
        <v>654</v>
      </c>
      <c r="D42" s="138">
        <v>3490000</v>
      </c>
      <c r="E42" s="20" t="s">
        <v>629</v>
      </c>
      <c r="F42" s="20" t="s">
        <v>630</v>
      </c>
      <c r="G42" s="8" t="str">
        <f t="shared" si="0"/>
        <v>WEST BRYAN</v>
      </c>
      <c r="H42" s="20" t="str">
        <f t="shared" si="1"/>
        <v>4044</v>
      </c>
    </row>
    <row r="43" spans="1:8" x14ac:dyDescent="0.25">
      <c r="A43" s="8">
        <v>42998.266701388886</v>
      </c>
      <c r="B43" s="20" t="s">
        <v>578</v>
      </c>
      <c r="C43" s="20" t="s">
        <v>655</v>
      </c>
      <c r="D43" s="138">
        <v>3120000</v>
      </c>
      <c r="E43" s="20" t="s">
        <v>449</v>
      </c>
      <c r="F43" s="20" t="s">
        <v>450</v>
      </c>
      <c r="G43" s="8" t="str">
        <f t="shared" si="0"/>
        <v>THOMPSON LESTER</v>
      </c>
      <c r="H43" s="20" t="str">
        <f t="shared" si="1"/>
        <v>4063</v>
      </c>
    </row>
    <row r="44" spans="1:8" x14ac:dyDescent="0.25">
      <c r="A44" s="8">
        <v>42998.266921296294</v>
      </c>
      <c r="B44" s="20" t="s">
        <v>385</v>
      </c>
      <c r="C44" s="20" t="s">
        <v>656</v>
      </c>
      <c r="D44" s="138">
        <v>3000000</v>
      </c>
      <c r="E44" s="20" t="s">
        <v>516</v>
      </c>
      <c r="F44" s="20" t="s">
        <v>517</v>
      </c>
      <c r="G44" s="8" t="str">
        <f t="shared" si="0"/>
        <v>FORTUNATO FRANK</v>
      </c>
      <c r="H44" s="20" t="str">
        <f t="shared" si="1"/>
        <v>4061</v>
      </c>
    </row>
    <row r="45" spans="1:8" x14ac:dyDescent="0.25">
      <c r="A45" s="8">
        <v>42998.268391203703</v>
      </c>
      <c r="B45" s="20" t="s">
        <v>634</v>
      </c>
      <c r="C45" s="20" t="s">
        <v>657</v>
      </c>
      <c r="D45" s="138">
        <v>1990000</v>
      </c>
      <c r="E45" s="20" t="s">
        <v>344</v>
      </c>
      <c r="F45" s="20" t="s">
        <v>633</v>
      </c>
      <c r="G45" s="8" t="str">
        <f t="shared" si="0"/>
        <v>DAVIS WENDY</v>
      </c>
      <c r="H45" s="20" t="str">
        <f t="shared" si="1"/>
        <v>4002</v>
      </c>
    </row>
    <row r="46" spans="1:8" x14ac:dyDescent="0.25">
      <c r="A46" s="8">
        <v>42998.268518518518</v>
      </c>
      <c r="B46" s="20" t="s">
        <v>392</v>
      </c>
      <c r="C46" s="20" t="s">
        <v>658</v>
      </c>
      <c r="D46" s="138">
        <v>1100000</v>
      </c>
      <c r="E46" s="20" t="s">
        <v>647</v>
      </c>
      <c r="F46" s="20" t="s">
        <v>648</v>
      </c>
      <c r="G46" s="8" t="str">
        <f t="shared" si="0"/>
        <v>GEBRETEKLE DAGNEW</v>
      </c>
      <c r="H46" s="20" t="str">
        <f t="shared" si="1"/>
        <v>4015</v>
      </c>
    </row>
    <row r="47" spans="1:8" x14ac:dyDescent="0.25">
      <c r="A47" s="8">
        <v>42998.270590277774</v>
      </c>
      <c r="B47" s="20" t="s">
        <v>528</v>
      </c>
      <c r="C47" s="20" t="s">
        <v>659</v>
      </c>
      <c r="D47" s="138">
        <v>3090000</v>
      </c>
      <c r="E47" s="20" t="s">
        <v>451</v>
      </c>
      <c r="F47" s="20" t="s">
        <v>452</v>
      </c>
      <c r="G47" s="8" t="str">
        <f t="shared" si="0"/>
        <v>LAMAR NEKESHA</v>
      </c>
      <c r="H47" s="20" t="str">
        <f t="shared" si="1"/>
        <v>4060</v>
      </c>
    </row>
    <row r="48" spans="1:8" x14ac:dyDescent="0.25">
      <c r="A48" s="8">
        <v>42998.276030092595</v>
      </c>
      <c r="B48" s="20" t="s">
        <v>472</v>
      </c>
      <c r="C48" s="20" t="s">
        <v>660</v>
      </c>
      <c r="D48" s="138">
        <v>1830000</v>
      </c>
      <c r="E48" s="20" t="s">
        <v>427</v>
      </c>
      <c r="F48" s="20" t="s">
        <v>428</v>
      </c>
      <c r="G48" s="8" t="str">
        <f t="shared" si="0"/>
        <v>YORK EDGAR</v>
      </c>
      <c r="H48" s="20" t="str">
        <f t="shared" si="1"/>
        <v>4039</v>
      </c>
    </row>
    <row r="49" spans="1:8" x14ac:dyDescent="0.25">
      <c r="A49" s="8">
        <v>42998.276516203703</v>
      </c>
      <c r="B49" s="20" t="s">
        <v>580</v>
      </c>
      <c r="C49" s="20" t="s">
        <v>661</v>
      </c>
      <c r="D49" s="138">
        <v>900000</v>
      </c>
      <c r="E49" s="20" t="s">
        <v>619</v>
      </c>
      <c r="F49" s="20" t="s">
        <v>620</v>
      </c>
      <c r="G49" s="8" t="str">
        <f t="shared" si="0"/>
        <v>ROCHA YAOTL</v>
      </c>
      <c r="H49" s="20" t="str">
        <f t="shared" si="1"/>
        <v>4042</v>
      </c>
    </row>
    <row r="50" spans="1:8" x14ac:dyDescent="0.25">
      <c r="A50" s="8">
        <v>42998.288923611108</v>
      </c>
      <c r="B50" s="20" t="s">
        <v>584</v>
      </c>
      <c r="C50" s="20" t="s">
        <v>662</v>
      </c>
      <c r="D50" s="138">
        <v>3090000</v>
      </c>
      <c r="E50" s="20" t="s">
        <v>451</v>
      </c>
      <c r="F50" s="20" t="s">
        <v>452</v>
      </c>
      <c r="G50" s="8" t="str">
        <f t="shared" si="0"/>
        <v>LAMAR NEKESHA</v>
      </c>
      <c r="H50" s="20" t="str">
        <f t="shared" si="1"/>
        <v>4059</v>
      </c>
    </row>
    <row r="51" spans="1:8" x14ac:dyDescent="0.25">
      <c r="A51" s="8">
        <v>42998.289907407408</v>
      </c>
      <c r="B51" s="20" t="s">
        <v>411</v>
      </c>
      <c r="C51" s="20" t="s">
        <v>663</v>
      </c>
      <c r="D51" s="138">
        <v>1230000</v>
      </c>
      <c r="E51" s="20" t="s">
        <v>664</v>
      </c>
      <c r="F51" s="20" t="s">
        <v>665</v>
      </c>
      <c r="G51" s="8" t="str">
        <f t="shared" si="0"/>
        <v>YANAI IAN</v>
      </c>
      <c r="H51" s="20" t="str">
        <f t="shared" si="1"/>
        <v>4058</v>
      </c>
    </row>
    <row r="52" spans="1:8" x14ac:dyDescent="0.25">
      <c r="A52" s="8">
        <v>42998.290393518517</v>
      </c>
      <c r="B52" s="20" t="s">
        <v>393</v>
      </c>
      <c r="C52" s="20" t="s">
        <v>582</v>
      </c>
      <c r="D52" s="138">
        <v>1100000</v>
      </c>
      <c r="E52" s="20" t="s">
        <v>647</v>
      </c>
      <c r="F52" s="20" t="s">
        <v>648</v>
      </c>
      <c r="G52" s="8" t="str">
        <f t="shared" si="0"/>
        <v>GEBRETEKLE DAGNEW</v>
      </c>
      <c r="H52" s="20" t="str">
        <f t="shared" si="1"/>
        <v>4016</v>
      </c>
    </row>
    <row r="53" spans="1:8" x14ac:dyDescent="0.25">
      <c r="A53" s="8">
        <v>42998.29483796296</v>
      </c>
      <c r="B53" s="20" t="s">
        <v>426</v>
      </c>
      <c r="C53" s="20" t="s">
        <v>666</v>
      </c>
      <c r="D53" s="138">
        <v>3490000</v>
      </c>
      <c r="E53" s="20" t="s">
        <v>629</v>
      </c>
      <c r="F53" s="20" t="s">
        <v>630</v>
      </c>
      <c r="G53" s="8" t="str">
        <f t="shared" si="0"/>
        <v>WEST BRYAN</v>
      </c>
      <c r="H53" s="20" t="str">
        <f t="shared" si="1"/>
        <v>4043</v>
      </c>
    </row>
    <row r="54" spans="1:8" x14ac:dyDescent="0.25">
      <c r="A54" s="8">
        <v>42998.298449074071</v>
      </c>
      <c r="B54" s="20" t="s">
        <v>589</v>
      </c>
      <c r="C54" s="20" t="s">
        <v>667</v>
      </c>
      <c r="D54" s="138">
        <v>1990000</v>
      </c>
      <c r="E54" s="20" t="s">
        <v>344</v>
      </c>
      <c r="F54" s="20" t="s">
        <v>633</v>
      </c>
      <c r="G54" s="8" t="str">
        <f t="shared" si="0"/>
        <v>DAVIS WENDY</v>
      </c>
      <c r="H54" s="20" t="str">
        <f t="shared" si="1"/>
        <v>4001</v>
      </c>
    </row>
    <row r="55" spans="1:8" x14ac:dyDescent="0.25">
      <c r="A55" s="8">
        <v>42998.298831018517</v>
      </c>
      <c r="B55" s="20" t="s">
        <v>608</v>
      </c>
      <c r="C55" s="20" t="s">
        <v>668</v>
      </c>
      <c r="D55" s="138">
        <v>3260000</v>
      </c>
      <c r="E55" s="20" t="s">
        <v>669</v>
      </c>
      <c r="F55" s="20" t="s">
        <v>670</v>
      </c>
      <c r="G55" s="8" t="str">
        <f t="shared" si="0"/>
        <v>PAGE MARCUS</v>
      </c>
      <c r="H55" s="20" t="str">
        <f t="shared" si="1"/>
        <v>4064</v>
      </c>
    </row>
    <row r="56" spans="1:8" x14ac:dyDescent="0.25">
      <c r="A56" s="8">
        <v>42998.308749999997</v>
      </c>
      <c r="B56" s="20" t="s">
        <v>394</v>
      </c>
      <c r="C56" s="20" t="s">
        <v>671</v>
      </c>
      <c r="D56" s="138">
        <v>3000000</v>
      </c>
      <c r="E56" s="20" t="s">
        <v>516</v>
      </c>
      <c r="F56" s="20" t="s">
        <v>517</v>
      </c>
      <c r="G56" s="8" t="str">
        <f t="shared" si="0"/>
        <v>FORTUNATO FRANK</v>
      </c>
      <c r="H56" s="20" t="str">
        <f t="shared" si="1"/>
        <v>4062</v>
      </c>
    </row>
    <row r="57" spans="1:8" x14ac:dyDescent="0.25">
      <c r="A57" s="8">
        <v>42998.314675925925</v>
      </c>
      <c r="B57" s="20" t="s">
        <v>528</v>
      </c>
      <c r="C57" s="20" t="s">
        <v>583</v>
      </c>
      <c r="D57" s="138">
        <v>3090000</v>
      </c>
      <c r="E57" s="20" t="s">
        <v>451</v>
      </c>
      <c r="F57" s="20" t="s">
        <v>452</v>
      </c>
      <c r="G57" s="8" t="str">
        <f t="shared" si="0"/>
        <v>LAMAR NEKESHA</v>
      </c>
      <c r="H57" s="20" t="str">
        <f t="shared" si="1"/>
        <v>4060</v>
      </c>
    </row>
    <row r="58" spans="1:8" x14ac:dyDescent="0.25">
      <c r="A58" s="8">
        <v>42998.318206018521</v>
      </c>
      <c r="B58" s="20" t="s">
        <v>434</v>
      </c>
      <c r="C58" s="20" t="s">
        <v>672</v>
      </c>
      <c r="D58" s="138">
        <v>1230000</v>
      </c>
      <c r="E58" s="20" t="s">
        <v>664</v>
      </c>
      <c r="F58" s="20" t="s">
        <v>665</v>
      </c>
      <c r="G58" s="8" t="str">
        <f t="shared" si="0"/>
        <v>YANAI IAN</v>
      </c>
      <c r="H58" s="20" t="str">
        <f t="shared" si="1"/>
        <v>4057</v>
      </c>
    </row>
    <row r="59" spans="1:8" x14ac:dyDescent="0.25">
      <c r="A59" s="8">
        <v>42998.318472222221</v>
      </c>
      <c r="B59" s="20" t="s">
        <v>478</v>
      </c>
      <c r="C59" s="20" t="s">
        <v>673</v>
      </c>
      <c r="D59" s="138">
        <v>1830000</v>
      </c>
      <c r="E59" s="20" t="s">
        <v>427</v>
      </c>
      <c r="F59" s="20" t="s">
        <v>428</v>
      </c>
      <c r="G59" s="8" t="str">
        <f t="shared" si="0"/>
        <v>YORK EDGAR</v>
      </c>
      <c r="H59" s="20" t="str">
        <f t="shared" si="1"/>
        <v>4040</v>
      </c>
    </row>
    <row r="60" spans="1:8" x14ac:dyDescent="0.25">
      <c r="A60" s="8">
        <v>42998.319826388892</v>
      </c>
      <c r="B60" s="20" t="s">
        <v>598</v>
      </c>
      <c r="C60" s="20" t="s">
        <v>674</v>
      </c>
      <c r="D60" s="138">
        <v>900000</v>
      </c>
      <c r="E60" s="20" t="s">
        <v>619</v>
      </c>
      <c r="F60" s="20" t="s">
        <v>620</v>
      </c>
      <c r="G60" s="8" t="str">
        <f t="shared" si="0"/>
        <v>ROCHA YAOTL</v>
      </c>
      <c r="H60" s="20" t="str">
        <f t="shared" si="1"/>
        <v>4041</v>
      </c>
    </row>
    <row r="61" spans="1:8" x14ac:dyDescent="0.25">
      <c r="A61" s="8">
        <v>42998.328923611109</v>
      </c>
      <c r="B61" s="20" t="s">
        <v>434</v>
      </c>
      <c r="C61" s="20" t="s">
        <v>672</v>
      </c>
      <c r="D61" s="138">
        <v>1230000</v>
      </c>
      <c r="E61" s="20" t="s">
        <v>664</v>
      </c>
      <c r="F61" s="20" t="s">
        <v>665</v>
      </c>
      <c r="G61" s="8" t="str">
        <f t="shared" si="0"/>
        <v>YANAI IAN</v>
      </c>
      <c r="H61" s="20" t="str">
        <f t="shared" si="1"/>
        <v>4057</v>
      </c>
    </row>
    <row r="62" spans="1:8" x14ac:dyDescent="0.25">
      <c r="A62" s="8">
        <v>42998.32912037037</v>
      </c>
      <c r="B62" s="20" t="s">
        <v>510</v>
      </c>
      <c r="C62" s="20" t="s">
        <v>675</v>
      </c>
      <c r="D62" s="138">
        <v>3490000</v>
      </c>
      <c r="E62" s="20" t="s">
        <v>629</v>
      </c>
      <c r="F62" s="20" t="s">
        <v>630</v>
      </c>
      <c r="G62" s="8" t="str">
        <f t="shared" si="0"/>
        <v>WEST BRYAN</v>
      </c>
      <c r="H62" s="20" t="str">
        <f t="shared" si="1"/>
        <v>4044</v>
      </c>
    </row>
    <row r="63" spans="1:8" x14ac:dyDescent="0.25">
      <c r="A63" s="8">
        <v>42998.331307870372</v>
      </c>
      <c r="B63" s="20" t="s">
        <v>510</v>
      </c>
      <c r="C63" s="20" t="s">
        <v>675</v>
      </c>
      <c r="D63" s="138">
        <v>2730000</v>
      </c>
      <c r="E63" s="20" t="s">
        <v>514</v>
      </c>
      <c r="F63" s="20" t="s">
        <v>515</v>
      </c>
      <c r="G63" s="8" t="str">
        <f t="shared" si="0"/>
        <v>YANG JAN</v>
      </c>
      <c r="H63" s="20" t="str">
        <f t="shared" si="1"/>
        <v>4044</v>
      </c>
    </row>
    <row r="64" spans="1:8" x14ac:dyDescent="0.25">
      <c r="A64" s="26">
        <v>42998.331631944442</v>
      </c>
      <c r="B64" s="20" t="s">
        <v>393</v>
      </c>
      <c r="C64" s="20" t="s">
        <v>676</v>
      </c>
      <c r="D64" s="138">
        <v>1100000</v>
      </c>
      <c r="E64" s="20" t="s">
        <v>647</v>
      </c>
      <c r="F64" s="20" t="s">
        <v>648</v>
      </c>
      <c r="G64" s="8" t="str">
        <f t="shared" si="0"/>
        <v>GEBRETEKLE DAGNEW</v>
      </c>
      <c r="H64" s="20" t="str">
        <f t="shared" si="1"/>
        <v>4016</v>
      </c>
    </row>
    <row r="65" spans="1:8" x14ac:dyDescent="0.25">
      <c r="A65" s="8">
        <v>42998.336967592593</v>
      </c>
      <c r="B65" s="20" t="s">
        <v>578</v>
      </c>
      <c r="C65" s="20" t="s">
        <v>677</v>
      </c>
      <c r="D65" s="138">
        <v>3260000</v>
      </c>
      <c r="E65" s="20" t="s">
        <v>669</v>
      </c>
      <c r="F65" s="20" t="s">
        <v>670</v>
      </c>
      <c r="G65" s="8" t="str">
        <f t="shared" si="0"/>
        <v>PAGE MARCUS</v>
      </c>
      <c r="H65" s="20" t="str">
        <f t="shared" si="1"/>
        <v>4063</v>
      </c>
    </row>
    <row r="66" spans="1:8" x14ac:dyDescent="0.25">
      <c r="A66" s="8">
        <v>42998.338310185187</v>
      </c>
      <c r="B66" s="20" t="s">
        <v>584</v>
      </c>
      <c r="C66" s="20" t="s">
        <v>585</v>
      </c>
      <c r="D66" s="138">
        <v>3090000</v>
      </c>
      <c r="E66" s="20" t="s">
        <v>451</v>
      </c>
      <c r="F66" s="20" t="s">
        <v>452</v>
      </c>
      <c r="G66" s="8" t="str">
        <f t="shared" si="0"/>
        <v>LAMAR NEKESHA</v>
      </c>
      <c r="H66" s="20" t="str">
        <f t="shared" si="1"/>
        <v>4059</v>
      </c>
    </row>
    <row r="67" spans="1:8" x14ac:dyDescent="0.25">
      <c r="A67" s="8">
        <v>42998.339965277781</v>
      </c>
      <c r="B67" s="20" t="s">
        <v>385</v>
      </c>
      <c r="C67" s="20" t="s">
        <v>678</v>
      </c>
      <c r="D67" s="138">
        <v>3000000</v>
      </c>
      <c r="E67" s="20" t="s">
        <v>516</v>
      </c>
      <c r="F67" s="20" t="s">
        <v>517</v>
      </c>
      <c r="G67" s="8" t="str">
        <f t="shared" ref="G67:G130" si="2">E67&amp;" "&amp;F67</f>
        <v>FORTUNATO FRANK</v>
      </c>
      <c r="H67" s="20" t="str">
        <f t="shared" ref="H67:H130" si="3">MID(B67,13,4)</f>
        <v>4061</v>
      </c>
    </row>
    <row r="68" spans="1:8" x14ac:dyDescent="0.25">
      <c r="A68" s="8">
        <v>42998.341793981483</v>
      </c>
      <c r="B68" s="20" t="s">
        <v>634</v>
      </c>
      <c r="C68" s="20" t="s">
        <v>679</v>
      </c>
      <c r="D68" s="138">
        <v>3490000</v>
      </c>
      <c r="E68" s="20" t="s">
        <v>629</v>
      </c>
      <c r="F68" s="20" t="s">
        <v>630</v>
      </c>
      <c r="G68" s="8" t="str">
        <f t="shared" si="2"/>
        <v>WEST BRYAN</v>
      </c>
      <c r="H68" s="20" t="str">
        <f t="shared" si="3"/>
        <v>4002</v>
      </c>
    </row>
    <row r="69" spans="1:8" x14ac:dyDescent="0.25">
      <c r="A69" s="8">
        <v>42998.348136574074</v>
      </c>
      <c r="B69" s="20" t="s">
        <v>472</v>
      </c>
      <c r="C69" s="20" t="s">
        <v>680</v>
      </c>
      <c r="D69" s="138">
        <v>1830000</v>
      </c>
      <c r="E69" s="20" t="s">
        <v>427</v>
      </c>
      <c r="F69" s="20" t="s">
        <v>428</v>
      </c>
      <c r="G69" s="8" t="str">
        <f t="shared" si="2"/>
        <v>YORK EDGAR</v>
      </c>
      <c r="H69" s="20" t="str">
        <f t="shared" si="3"/>
        <v>4039</v>
      </c>
    </row>
    <row r="70" spans="1:8" x14ac:dyDescent="0.25">
      <c r="A70" s="8">
        <v>42998.352523148147</v>
      </c>
      <c r="B70" s="20" t="s">
        <v>580</v>
      </c>
      <c r="C70" s="20" t="s">
        <v>681</v>
      </c>
      <c r="D70" s="138">
        <v>900000</v>
      </c>
      <c r="E70" s="20" t="s">
        <v>619</v>
      </c>
      <c r="F70" s="20" t="s">
        <v>620</v>
      </c>
      <c r="G70" s="8" t="str">
        <f t="shared" si="2"/>
        <v>ROCHA YAOTL</v>
      </c>
      <c r="H70" s="20" t="str">
        <f t="shared" si="3"/>
        <v>4042</v>
      </c>
    </row>
    <row r="71" spans="1:8" x14ac:dyDescent="0.25">
      <c r="A71" s="8">
        <v>42998.35328703704</v>
      </c>
      <c r="B71" s="20" t="s">
        <v>392</v>
      </c>
      <c r="C71" s="20" t="s">
        <v>682</v>
      </c>
      <c r="D71" s="138">
        <v>1100000</v>
      </c>
      <c r="E71" s="20" t="s">
        <v>647</v>
      </c>
      <c r="F71" s="20" t="s">
        <v>648</v>
      </c>
      <c r="G71" s="8" t="str">
        <f t="shared" si="2"/>
        <v>GEBRETEKLE DAGNEW</v>
      </c>
      <c r="H71" s="20" t="str">
        <f t="shared" si="3"/>
        <v>4015</v>
      </c>
    </row>
    <row r="72" spans="1:8" x14ac:dyDescent="0.25">
      <c r="A72" s="8">
        <v>42998.35396990741</v>
      </c>
      <c r="B72" s="20" t="s">
        <v>528</v>
      </c>
      <c r="C72" s="20" t="s">
        <v>683</v>
      </c>
      <c r="D72" s="138">
        <v>3090000</v>
      </c>
      <c r="E72" s="20" t="s">
        <v>451</v>
      </c>
      <c r="F72" s="20" t="s">
        <v>452</v>
      </c>
      <c r="G72" s="8" t="str">
        <f t="shared" si="2"/>
        <v>LAMAR NEKESHA</v>
      </c>
      <c r="H72" s="20" t="str">
        <f t="shared" si="3"/>
        <v>4060</v>
      </c>
    </row>
    <row r="73" spans="1:8" x14ac:dyDescent="0.25">
      <c r="A73" s="8">
        <v>42998.359513888892</v>
      </c>
      <c r="B73" s="20" t="s">
        <v>411</v>
      </c>
      <c r="C73" s="20" t="s">
        <v>586</v>
      </c>
      <c r="D73" s="138">
        <v>1230000</v>
      </c>
      <c r="E73" s="20" t="s">
        <v>664</v>
      </c>
      <c r="F73" s="20" t="s">
        <v>665</v>
      </c>
      <c r="G73" s="8" t="str">
        <f t="shared" si="2"/>
        <v>YANAI IAN</v>
      </c>
      <c r="H73" s="20" t="str">
        <f t="shared" si="3"/>
        <v>4058</v>
      </c>
    </row>
    <row r="74" spans="1:8" x14ac:dyDescent="0.25">
      <c r="A74" s="8">
        <v>42998.359895833331</v>
      </c>
      <c r="B74" s="20" t="s">
        <v>511</v>
      </c>
      <c r="C74" s="20" t="s">
        <v>587</v>
      </c>
      <c r="D74" s="138">
        <v>3180000</v>
      </c>
      <c r="E74" s="20" t="s">
        <v>684</v>
      </c>
      <c r="F74" s="20" t="s">
        <v>685</v>
      </c>
      <c r="G74" s="8" t="str">
        <f t="shared" si="2"/>
        <v>HUFFSMITH MONTY</v>
      </c>
      <c r="H74" s="20" t="str">
        <f t="shared" si="3"/>
        <v>4012</v>
      </c>
    </row>
    <row r="75" spans="1:8" x14ac:dyDescent="0.25">
      <c r="A75" s="8">
        <v>42998.360694444447</v>
      </c>
      <c r="B75" s="20" t="s">
        <v>511</v>
      </c>
      <c r="C75" s="20" t="s">
        <v>587</v>
      </c>
      <c r="D75" s="138">
        <v>3180000</v>
      </c>
      <c r="E75" s="20" t="s">
        <v>684</v>
      </c>
      <c r="F75" s="20" t="s">
        <v>685</v>
      </c>
      <c r="G75" s="8" t="str">
        <f t="shared" si="2"/>
        <v>HUFFSMITH MONTY</v>
      </c>
      <c r="H75" s="20" t="str">
        <f t="shared" si="3"/>
        <v>4012</v>
      </c>
    </row>
    <row r="76" spans="1:8" x14ac:dyDescent="0.25">
      <c r="A76" s="8">
        <v>42998.361284722225</v>
      </c>
      <c r="B76" s="20" t="s">
        <v>426</v>
      </c>
      <c r="C76" s="20" t="s">
        <v>686</v>
      </c>
      <c r="D76" s="138">
        <v>2730000</v>
      </c>
      <c r="E76" s="20" t="s">
        <v>514</v>
      </c>
      <c r="F76" s="20" t="s">
        <v>515</v>
      </c>
      <c r="G76" s="8" t="str">
        <f t="shared" si="2"/>
        <v>YANG JAN</v>
      </c>
      <c r="H76" s="20" t="str">
        <f t="shared" si="3"/>
        <v>4043</v>
      </c>
    </row>
    <row r="77" spans="1:8" x14ac:dyDescent="0.25">
      <c r="A77" s="8">
        <v>42998.37363425926</v>
      </c>
      <c r="B77" s="20" t="s">
        <v>608</v>
      </c>
      <c r="C77" s="20" t="s">
        <v>687</v>
      </c>
      <c r="D77" s="138">
        <v>3120000</v>
      </c>
      <c r="E77" s="20" t="s">
        <v>449</v>
      </c>
      <c r="F77" s="20" t="s">
        <v>450</v>
      </c>
      <c r="G77" s="8" t="str">
        <f t="shared" si="2"/>
        <v>THOMPSON LESTER</v>
      </c>
      <c r="H77" s="20" t="str">
        <f t="shared" si="3"/>
        <v>4064</v>
      </c>
    </row>
    <row r="78" spans="1:8" x14ac:dyDescent="0.25">
      <c r="A78" s="8">
        <v>42998.373726851853</v>
      </c>
      <c r="B78" s="20" t="s">
        <v>393</v>
      </c>
      <c r="C78" s="20" t="s">
        <v>688</v>
      </c>
      <c r="D78" s="138">
        <v>1100000</v>
      </c>
      <c r="E78" s="20" t="s">
        <v>647</v>
      </c>
      <c r="F78" s="20" t="s">
        <v>648</v>
      </c>
      <c r="G78" s="8" t="str">
        <f t="shared" si="2"/>
        <v>GEBRETEKLE DAGNEW</v>
      </c>
      <c r="H78" s="20" t="str">
        <f t="shared" si="3"/>
        <v>4016</v>
      </c>
    </row>
    <row r="79" spans="1:8" x14ac:dyDescent="0.25">
      <c r="A79" s="8">
        <v>42998.373935185184</v>
      </c>
      <c r="B79" s="20" t="s">
        <v>589</v>
      </c>
      <c r="C79" s="20" t="s">
        <v>590</v>
      </c>
      <c r="D79" s="138">
        <v>3490000</v>
      </c>
      <c r="E79" s="20" t="s">
        <v>629</v>
      </c>
      <c r="F79" s="20" t="s">
        <v>630</v>
      </c>
      <c r="G79" s="8" t="str">
        <f t="shared" si="2"/>
        <v>WEST BRYAN</v>
      </c>
      <c r="H79" s="20" t="str">
        <f t="shared" si="3"/>
        <v>4001</v>
      </c>
    </row>
    <row r="80" spans="1:8" x14ac:dyDescent="0.25">
      <c r="A80" s="8">
        <v>42998.380300925928</v>
      </c>
      <c r="B80" s="20" t="s">
        <v>394</v>
      </c>
      <c r="C80" s="20" t="s">
        <v>689</v>
      </c>
      <c r="D80" s="138">
        <v>3000000</v>
      </c>
      <c r="E80" s="20" t="s">
        <v>516</v>
      </c>
      <c r="F80" s="20" t="s">
        <v>517</v>
      </c>
      <c r="G80" s="8" t="str">
        <f t="shared" si="2"/>
        <v>FORTUNATO FRANK</v>
      </c>
      <c r="H80" s="20" t="str">
        <f t="shared" si="3"/>
        <v>4062</v>
      </c>
    </row>
    <row r="81" spans="1:8" x14ac:dyDescent="0.25">
      <c r="A81" s="8">
        <v>42998.389861111114</v>
      </c>
      <c r="B81" s="20" t="s">
        <v>478</v>
      </c>
      <c r="C81" s="20" t="s">
        <v>690</v>
      </c>
      <c r="D81" s="138">
        <v>1830000</v>
      </c>
      <c r="E81" s="20" t="s">
        <v>427</v>
      </c>
      <c r="F81" s="20" t="s">
        <v>428</v>
      </c>
      <c r="G81" s="8" t="str">
        <f t="shared" si="2"/>
        <v>YORK EDGAR</v>
      </c>
      <c r="H81" s="20" t="str">
        <f t="shared" si="3"/>
        <v>4040</v>
      </c>
    </row>
    <row r="82" spans="1:8" x14ac:dyDescent="0.25">
      <c r="A82" s="8">
        <v>42998.390972222223</v>
      </c>
      <c r="B82" s="20" t="s">
        <v>434</v>
      </c>
      <c r="C82" s="20" t="s">
        <v>691</v>
      </c>
      <c r="D82" s="138">
        <v>1230000</v>
      </c>
      <c r="E82" s="20" t="s">
        <v>664</v>
      </c>
      <c r="F82" s="20" t="s">
        <v>665</v>
      </c>
      <c r="G82" s="8" t="str">
        <f t="shared" si="2"/>
        <v>YANAI IAN</v>
      </c>
      <c r="H82" s="20" t="str">
        <f t="shared" si="3"/>
        <v>4057</v>
      </c>
    </row>
    <row r="83" spans="1:8" x14ac:dyDescent="0.25">
      <c r="A83" s="8">
        <v>42998.392696759256</v>
      </c>
      <c r="B83" s="20" t="s">
        <v>392</v>
      </c>
      <c r="C83" s="20" t="s">
        <v>692</v>
      </c>
      <c r="D83" s="138">
        <v>1100000</v>
      </c>
      <c r="E83" s="20" t="s">
        <v>647</v>
      </c>
      <c r="F83" s="20" t="s">
        <v>648</v>
      </c>
      <c r="G83" s="8" t="str">
        <f t="shared" si="2"/>
        <v>GEBRETEKLE DAGNEW</v>
      </c>
      <c r="H83" s="20" t="str">
        <f t="shared" si="3"/>
        <v>4015</v>
      </c>
    </row>
    <row r="84" spans="1:8" x14ac:dyDescent="0.25">
      <c r="A84" s="8">
        <v>42998.392905092594</v>
      </c>
      <c r="B84" s="20" t="s">
        <v>485</v>
      </c>
      <c r="C84" s="20" t="s">
        <v>588</v>
      </c>
      <c r="D84" s="138">
        <v>3180000</v>
      </c>
      <c r="E84" s="20" t="s">
        <v>684</v>
      </c>
      <c r="F84" s="20" t="s">
        <v>685</v>
      </c>
      <c r="G84" s="8" t="str">
        <f t="shared" si="2"/>
        <v>HUFFSMITH MONTY</v>
      </c>
      <c r="H84" s="20" t="str">
        <f t="shared" si="3"/>
        <v>4011</v>
      </c>
    </row>
    <row r="85" spans="1:8" x14ac:dyDescent="0.25">
      <c r="A85" s="8">
        <v>42998.393379629626</v>
      </c>
      <c r="B85" s="20" t="s">
        <v>598</v>
      </c>
      <c r="C85" s="20" t="s">
        <v>693</v>
      </c>
      <c r="D85" s="138">
        <v>900000</v>
      </c>
      <c r="E85" s="20" t="s">
        <v>619</v>
      </c>
      <c r="F85" s="20" t="s">
        <v>620</v>
      </c>
      <c r="G85" s="8" t="str">
        <f t="shared" si="2"/>
        <v>ROCHA YAOTL</v>
      </c>
      <c r="H85" s="20" t="str">
        <f t="shared" si="3"/>
        <v>4041</v>
      </c>
    </row>
    <row r="86" spans="1:8" x14ac:dyDescent="0.25">
      <c r="A86" s="8">
        <v>42998.401597222219</v>
      </c>
      <c r="B86" s="20" t="s">
        <v>510</v>
      </c>
      <c r="C86" s="20" t="s">
        <v>694</v>
      </c>
      <c r="D86" s="138">
        <v>2730000</v>
      </c>
      <c r="E86" s="20" t="s">
        <v>514</v>
      </c>
      <c r="F86" s="20" t="s">
        <v>515</v>
      </c>
      <c r="G86" s="8" t="str">
        <f t="shared" si="2"/>
        <v>YANG JAN</v>
      </c>
      <c r="H86" s="20" t="str">
        <f t="shared" si="3"/>
        <v>4044</v>
      </c>
    </row>
    <row r="87" spans="1:8" x14ac:dyDescent="0.25">
      <c r="A87" s="8">
        <v>42998.411643518521</v>
      </c>
      <c r="B87" s="20" t="s">
        <v>385</v>
      </c>
      <c r="C87" s="20" t="s">
        <v>695</v>
      </c>
      <c r="D87" s="138">
        <v>3000000</v>
      </c>
      <c r="E87" s="20" t="s">
        <v>516</v>
      </c>
      <c r="F87" s="20" t="s">
        <v>517</v>
      </c>
      <c r="G87" s="8" t="str">
        <f t="shared" si="2"/>
        <v>FORTUNATO FRANK</v>
      </c>
      <c r="H87" s="20" t="str">
        <f t="shared" si="3"/>
        <v>4061</v>
      </c>
    </row>
    <row r="88" spans="1:8" x14ac:dyDescent="0.25">
      <c r="A88" s="8">
        <v>42998.413495370369</v>
      </c>
      <c r="B88" s="20" t="s">
        <v>578</v>
      </c>
      <c r="C88" s="20" t="s">
        <v>591</v>
      </c>
      <c r="D88" s="138">
        <v>3120000</v>
      </c>
      <c r="E88" s="20" t="s">
        <v>449</v>
      </c>
      <c r="F88" s="20" t="s">
        <v>450</v>
      </c>
      <c r="G88" s="8" t="str">
        <f t="shared" si="2"/>
        <v>THOMPSON LESTER</v>
      </c>
      <c r="H88" s="20" t="str">
        <f t="shared" si="3"/>
        <v>4063</v>
      </c>
    </row>
    <row r="89" spans="1:8" x14ac:dyDescent="0.25">
      <c r="A89" s="8">
        <v>42998.413761574076</v>
      </c>
      <c r="B89" s="20" t="s">
        <v>634</v>
      </c>
      <c r="C89" s="20" t="s">
        <v>696</v>
      </c>
      <c r="D89" s="138">
        <v>1990000</v>
      </c>
      <c r="E89" s="20" t="s">
        <v>344</v>
      </c>
      <c r="F89" s="20" t="s">
        <v>633</v>
      </c>
      <c r="G89" s="8" t="str">
        <f t="shared" si="2"/>
        <v>DAVIS WENDY</v>
      </c>
      <c r="H89" s="20" t="str">
        <f t="shared" si="3"/>
        <v>4002</v>
      </c>
    </row>
    <row r="90" spans="1:8" x14ac:dyDescent="0.25">
      <c r="A90" s="8">
        <v>42998.414675925924</v>
      </c>
      <c r="B90" s="20" t="s">
        <v>393</v>
      </c>
      <c r="C90" s="20" t="s">
        <v>697</v>
      </c>
      <c r="D90" s="138">
        <v>1100000</v>
      </c>
      <c r="E90" s="20" t="s">
        <v>647</v>
      </c>
      <c r="F90" s="20" t="s">
        <v>648</v>
      </c>
      <c r="G90" s="8" t="str">
        <f t="shared" si="2"/>
        <v>GEBRETEKLE DAGNEW</v>
      </c>
      <c r="H90" s="20" t="str">
        <f t="shared" si="3"/>
        <v>4016</v>
      </c>
    </row>
    <row r="91" spans="1:8" x14ac:dyDescent="0.25">
      <c r="A91" s="8">
        <v>42998.421909722223</v>
      </c>
      <c r="B91" s="20" t="s">
        <v>472</v>
      </c>
      <c r="C91" s="20" t="s">
        <v>698</v>
      </c>
      <c r="D91" s="138">
        <v>1830000</v>
      </c>
      <c r="E91" s="20" t="s">
        <v>427</v>
      </c>
      <c r="F91" s="20" t="s">
        <v>428</v>
      </c>
      <c r="G91" s="8" t="str">
        <f t="shared" si="2"/>
        <v>YORK EDGAR</v>
      </c>
      <c r="H91" s="20" t="str">
        <f t="shared" si="3"/>
        <v>4039</v>
      </c>
    </row>
    <row r="92" spans="1:8" x14ac:dyDescent="0.25">
      <c r="A92" s="8">
        <v>42998.423101851855</v>
      </c>
      <c r="B92" s="20" t="s">
        <v>511</v>
      </c>
      <c r="C92" s="20" t="s">
        <v>592</v>
      </c>
      <c r="D92" s="138">
        <v>2470000</v>
      </c>
      <c r="E92" s="20" t="s">
        <v>518</v>
      </c>
      <c r="F92" s="20" t="s">
        <v>519</v>
      </c>
      <c r="G92" s="8" t="str">
        <f t="shared" si="2"/>
        <v>ROMERO CHAD</v>
      </c>
      <c r="H92" s="20" t="str">
        <f t="shared" si="3"/>
        <v>4012</v>
      </c>
    </row>
    <row r="93" spans="1:8" x14ac:dyDescent="0.25">
      <c r="A93" s="8">
        <v>42998.424247685187</v>
      </c>
      <c r="B93" s="20" t="s">
        <v>580</v>
      </c>
      <c r="C93" s="20" t="s">
        <v>699</v>
      </c>
      <c r="D93" s="138">
        <v>3090000</v>
      </c>
      <c r="E93" s="20" t="s">
        <v>451</v>
      </c>
      <c r="F93" s="20" t="s">
        <v>452</v>
      </c>
      <c r="G93" s="8" t="str">
        <f t="shared" si="2"/>
        <v>LAMAR NEKESHA</v>
      </c>
      <c r="H93" s="20" t="str">
        <f t="shared" si="3"/>
        <v>4042</v>
      </c>
    </row>
    <row r="94" spans="1:8" x14ac:dyDescent="0.25">
      <c r="A94" s="8">
        <v>42998.433831018519</v>
      </c>
      <c r="B94" s="20" t="s">
        <v>426</v>
      </c>
      <c r="C94" s="20" t="s">
        <v>700</v>
      </c>
      <c r="D94" s="138">
        <v>2730000</v>
      </c>
      <c r="E94" s="20" t="s">
        <v>514</v>
      </c>
      <c r="F94" s="20" t="s">
        <v>515</v>
      </c>
      <c r="G94" s="8" t="str">
        <f t="shared" si="2"/>
        <v>YANG JAN</v>
      </c>
      <c r="H94" s="20" t="str">
        <f t="shared" si="3"/>
        <v>4043</v>
      </c>
    </row>
    <row r="95" spans="1:8" x14ac:dyDescent="0.25">
      <c r="A95" s="8">
        <v>42998.434884259259</v>
      </c>
      <c r="B95" s="20" t="s">
        <v>392</v>
      </c>
      <c r="C95" s="20" t="s">
        <v>701</v>
      </c>
      <c r="D95" s="138">
        <v>1100000</v>
      </c>
      <c r="E95" s="20" t="s">
        <v>647</v>
      </c>
      <c r="F95" s="20" t="s">
        <v>648</v>
      </c>
      <c r="G95" s="8" t="str">
        <f t="shared" si="2"/>
        <v>GEBRETEKLE DAGNEW</v>
      </c>
      <c r="H95" s="20" t="str">
        <f t="shared" si="3"/>
        <v>4015</v>
      </c>
    </row>
    <row r="96" spans="1:8" x14ac:dyDescent="0.25">
      <c r="A96" s="8">
        <v>42998.43509259259</v>
      </c>
      <c r="B96" s="20" t="s">
        <v>411</v>
      </c>
      <c r="C96" s="20" t="s">
        <v>702</v>
      </c>
      <c r="D96" s="138">
        <v>1230000</v>
      </c>
      <c r="E96" s="20" t="s">
        <v>664</v>
      </c>
      <c r="F96" s="20" t="s">
        <v>665</v>
      </c>
      <c r="G96" s="8" t="str">
        <f t="shared" si="2"/>
        <v>YANAI IAN</v>
      </c>
      <c r="H96" s="20" t="str">
        <f t="shared" si="3"/>
        <v>4058</v>
      </c>
    </row>
    <row r="97" spans="1:8" x14ac:dyDescent="0.25">
      <c r="A97" s="8">
        <v>42998.446226851855</v>
      </c>
      <c r="B97" s="20" t="s">
        <v>608</v>
      </c>
      <c r="C97" s="20" t="s">
        <v>703</v>
      </c>
      <c r="D97" s="138">
        <v>920000</v>
      </c>
      <c r="E97" s="20" t="s">
        <v>344</v>
      </c>
      <c r="F97" s="20" t="s">
        <v>190</v>
      </c>
      <c r="G97" s="8" t="str">
        <f t="shared" si="2"/>
        <v>DAVIS MICHAEL</v>
      </c>
      <c r="H97" s="20" t="str">
        <f t="shared" si="3"/>
        <v>4064</v>
      </c>
    </row>
    <row r="98" spans="1:8" x14ac:dyDescent="0.25">
      <c r="A98" s="8">
        <v>42998.446550925924</v>
      </c>
      <c r="B98" s="20" t="s">
        <v>485</v>
      </c>
      <c r="C98" s="20" t="s">
        <v>597</v>
      </c>
      <c r="D98" s="138">
        <v>2470000</v>
      </c>
      <c r="E98" s="20" t="s">
        <v>518</v>
      </c>
      <c r="F98" s="20" t="s">
        <v>519</v>
      </c>
      <c r="G98" s="8" t="str">
        <f t="shared" si="2"/>
        <v>ROMERO CHAD</v>
      </c>
      <c r="H98" s="20" t="str">
        <f t="shared" si="3"/>
        <v>4011</v>
      </c>
    </row>
    <row r="99" spans="1:8" x14ac:dyDescent="0.25">
      <c r="A99" s="8">
        <v>42998.447685185187</v>
      </c>
      <c r="B99" s="20" t="s">
        <v>589</v>
      </c>
      <c r="C99" s="20" t="s">
        <v>593</v>
      </c>
      <c r="D99" s="138">
        <v>1990000</v>
      </c>
      <c r="E99" s="20" t="s">
        <v>344</v>
      </c>
      <c r="F99" s="20" t="s">
        <v>633</v>
      </c>
      <c r="G99" s="8" t="str">
        <f t="shared" si="2"/>
        <v>DAVIS WENDY</v>
      </c>
      <c r="H99" s="20" t="str">
        <f t="shared" si="3"/>
        <v>4001</v>
      </c>
    </row>
    <row r="100" spans="1:8" x14ac:dyDescent="0.25">
      <c r="A100" s="8">
        <v>42998.447916666664</v>
      </c>
      <c r="B100" s="20" t="s">
        <v>584</v>
      </c>
      <c r="C100" s="20" t="s">
        <v>704</v>
      </c>
      <c r="D100" s="138">
        <v>2040000</v>
      </c>
      <c r="E100" s="20" t="s">
        <v>524</v>
      </c>
      <c r="F100" s="20" t="s">
        <v>525</v>
      </c>
      <c r="G100" s="8" t="str">
        <f t="shared" si="2"/>
        <v>MOSES BRADLEY</v>
      </c>
      <c r="H100" s="20" t="str">
        <f t="shared" si="3"/>
        <v>4059</v>
      </c>
    </row>
    <row r="101" spans="1:8" x14ac:dyDescent="0.25">
      <c r="A101" s="8">
        <v>42998.449849537035</v>
      </c>
      <c r="B101" s="20" t="s">
        <v>584</v>
      </c>
      <c r="C101" s="20" t="s">
        <v>704</v>
      </c>
      <c r="D101" s="138">
        <v>2040000</v>
      </c>
      <c r="E101" s="20" t="s">
        <v>524</v>
      </c>
      <c r="F101" s="20" t="s">
        <v>525</v>
      </c>
      <c r="G101" s="8" t="str">
        <f t="shared" si="2"/>
        <v>MOSES BRADLEY</v>
      </c>
      <c r="H101" s="20" t="str">
        <f t="shared" si="3"/>
        <v>4059</v>
      </c>
    </row>
    <row r="102" spans="1:8" x14ac:dyDescent="0.25">
      <c r="A102" s="8">
        <v>42998.450787037036</v>
      </c>
      <c r="B102" s="20" t="s">
        <v>584</v>
      </c>
      <c r="C102" s="20" t="s">
        <v>704</v>
      </c>
      <c r="D102" s="138">
        <v>2040000</v>
      </c>
      <c r="E102" s="20" t="s">
        <v>524</v>
      </c>
      <c r="F102" s="20" t="s">
        <v>525</v>
      </c>
      <c r="G102" s="8" t="str">
        <f t="shared" si="2"/>
        <v>MOSES BRADLEY</v>
      </c>
      <c r="H102" s="20" t="str">
        <f t="shared" si="3"/>
        <v>4059</v>
      </c>
    </row>
    <row r="103" spans="1:8" x14ac:dyDescent="0.25">
      <c r="A103" s="8">
        <v>42998.454201388886</v>
      </c>
      <c r="B103" s="20" t="s">
        <v>394</v>
      </c>
      <c r="C103" s="20" t="s">
        <v>705</v>
      </c>
      <c r="D103" s="138">
        <v>3000000</v>
      </c>
      <c r="E103" s="20" t="s">
        <v>516</v>
      </c>
      <c r="F103" s="20" t="s">
        <v>517</v>
      </c>
      <c r="G103" s="8" t="str">
        <f t="shared" si="2"/>
        <v>FORTUNATO FRANK</v>
      </c>
      <c r="H103" s="20" t="str">
        <f t="shared" si="3"/>
        <v>4062</v>
      </c>
    </row>
    <row r="104" spans="1:8" x14ac:dyDescent="0.25">
      <c r="A104" s="8">
        <v>42998.456331018519</v>
      </c>
      <c r="B104" s="20" t="s">
        <v>393</v>
      </c>
      <c r="C104" s="20" t="s">
        <v>594</v>
      </c>
      <c r="D104" s="138">
        <v>1100000</v>
      </c>
      <c r="E104" s="20" t="s">
        <v>647</v>
      </c>
      <c r="F104" s="20" t="s">
        <v>648</v>
      </c>
      <c r="G104" s="8" t="str">
        <f t="shared" si="2"/>
        <v>GEBRETEKLE DAGNEW</v>
      </c>
      <c r="H104" s="20" t="str">
        <f t="shared" si="3"/>
        <v>4016</v>
      </c>
    </row>
    <row r="105" spans="1:8" x14ac:dyDescent="0.25">
      <c r="A105" s="8">
        <v>42998.464097222219</v>
      </c>
      <c r="B105" s="20" t="s">
        <v>434</v>
      </c>
      <c r="C105" s="20" t="s">
        <v>706</v>
      </c>
      <c r="D105" s="138">
        <v>1230000</v>
      </c>
      <c r="E105" s="20" t="s">
        <v>664</v>
      </c>
      <c r="F105" s="20" t="s">
        <v>665</v>
      </c>
      <c r="G105" s="8" t="str">
        <f t="shared" si="2"/>
        <v>YANAI IAN</v>
      </c>
      <c r="H105" s="20" t="str">
        <f t="shared" si="3"/>
        <v>4057</v>
      </c>
    </row>
    <row r="106" spans="1:8" x14ac:dyDescent="0.25">
      <c r="A106" s="8">
        <v>42998.464513888888</v>
      </c>
      <c r="B106" s="20" t="s">
        <v>478</v>
      </c>
      <c r="C106" s="20" t="s">
        <v>595</v>
      </c>
      <c r="D106" s="138">
        <v>1770000</v>
      </c>
      <c r="E106" s="20" t="s">
        <v>522</v>
      </c>
      <c r="F106" s="20" t="s">
        <v>523</v>
      </c>
      <c r="G106" s="8" t="str">
        <f t="shared" si="2"/>
        <v>BRUDER RICHARD</v>
      </c>
      <c r="H106" s="20" t="str">
        <f t="shared" si="3"/>
        <v>4040</v>
      </c>
    </row>
    <row r="107" spans="1:8" x14ac:dyDescent="0.25">
      <c r="A107" s="8">
        <v>42998.46465277778</v>
      </c>
      <c r="B107" s="20" t="s">
        <v>598</v>
      </c>
      <c r="C107" s="20" t="s">
        <v>707</v>
      </c>
      <c r="D107" s="138">
        <v>3090000</v>
      </c>
      <c r="E107" s="20" t="s">
        <v>451</v>
      </c>
      <c r="F107" s="20" t="s">
        <v>452</v>
      </c>
      <c r="G107" s="8" t="str">
        <f t="shared" si="2"/>
        <v>LAMAR NEKESHA</v>
      </c>
      <c r="H107" s="20" t="str">
        <f t="shared" si="3"/>
        <v>4041</v>
      </c>
    </row>
    <row r="108" spans="1:8" x14ac:dyDescent="0.25">
      <c r="A108" s="8">
        <v>42998.472928240742</v>
      </c>
      <c r="B108" s="20" t="s">
        <v>511</v>
      </c>
      <c r="C108" s="20" t="s">
        <v>587</v>
      </c>
      <c r="D108" s="138">
        <v>3180000</v>
      </c>
      <c r="E108" s="20" t="s">
        <v>684</v>
      </c>
      <c r="F108" s="20" t="s">
        <v>685</v>
      </c>
      <c r="G108" s="8" t="str">
        <f t="shared" si="2"/>
        <v>HUFFSMITH MONTY</v>
      </c>
      <c r="H108" s="20" t="str">
        <f t="shared" si="3"/>
        <v>4012</v>
      </c>
    </row>
    <row r="109" spans="1:8" x14ac:dyDescent="0.25">
      <c r="A109" s="8">
        <v>42998.475682870368</v>
      </c>
      <c r="B109" s="20" t="s">
        <v>510</v>
      </c>
      <c r="C109" s="20" t="s">
        <v>708</v>
      </c>
      <c r="D109" s="138">
        <v>2040000</v>
      </c>
      <c r="E109" s="20" t="s">
        <v>524</v>
      </c>
      <c r="F109" s="20" t="s">
        <v>525</v>
      </c>
      <c r="G109" s="8" t="str">
        <f t="shared" si="2"/>
        <v>MOSES BRADLEY</v>
      </c>
      <c r="H109" s="20" t="str">
        <f t="shared" si="3"/>
        <v>4044</v>
      </c>
    </row>
    <row r="110" spans="1:8" x14ac:dyDescent="0.25">
      <c r="A110" s="8">
        <v>42998.475717592592</v>
      </c>
      <c r="B110" s="20" t="s">
        <v>528</v>
      </c>
      <c r="C110" s="20" t="s">
        <v>709</v>
      </c>
      <c r="D110" s="138">
        <v>1830000</v>
      </c>
      <c r="E110" s="20" t="s">
        <v>427</v>
      </c>
      <c r="F110" s="20" t="s">
        <v>428</v>
      </c>
      <c r="G110" s="8" t="str">
        <f t="shared" si="2"/>
        <v>YORK EDGAR</v>
      </c>
      <c r="H110" s="20" t="str">
        <f t="shared" si="3"/>
        <v>4060</v>
      </c>
    </row>
    <row r="111" spans="1:8" x14ac:dyDescent="0.25">
      <c r="A111" s="8">
        <v>42998.476747685185</v>
      </c>
      <c r="B111" s="20" t="s">
        <v>392</v>
      </c>
      <c r="C111" s="20" t="s">
        <v>710</v>
      </c>
      <c r="D111" s="138">
        <v>1100000</v>
      </c>
      <c r="E111" s="20" t="s">
        <v>647</v>
      </c>
      <c r="F111" s="20" t="s">
        <v>648</v>
      </c>
      <c r="G111" s="8" t="str">
        <f t="shared" si="2"/>
        <v>GEBRETEKLE DAGNEW</v>
      </c>
      <c r="H111" s="20" t="str">
        <f t="shared" si="3"/>
        <v>4015</v>
      </c>
    </row>
    <row r="112" spans="1:8" x14ac:dyDescent="0.25">
      <c r="A112" s="8">
        <v>42998.485451388886</v>
      </c>
      <c r="B112" s="20" t="s">
        <v>385</v>
      </c>
      <c r="C112" s="20" t="s">
        <v>596</v>
      </c>
      <c r="D112" s="138">
        <v>3000000</v>
      </c>
      <c r="E112" s="20" t="s">
        <v>516</v>
      </c>
      <c r="F112" s="20" t="s">
        <v>517</v>
      </c>
      <c r="G112" s="8" t="str">
        <f t="shared" si="2"/>
        <v>FORTUNATO FRANK</v>
      </c>
      <c r="H112" s="20" t="str">
        <f t="shared" si="3"/>
        <v>4061</v>
      </c>
    </row>
    <row r="113" spans="1:8" x14ac:dyDescent="0.25">
      <c r="A113" s="8">
        <v>42998.485833333332</v>
      </c>
      <c r="B113" s="20" t="s">
        <v>578</v>
      </c>
      <c r="C113" s="20" t="s">
        <v>711</v>
      </c>
      <c r="D113" s="138">
        <v>920000</v>
      </c>
      <c r="E113" s="20" t="s">
        <v>344</v>
      </c>
      <c r="F113" s="20" t="s">
        <v>190</v>
      </c>
      <c r="G113" s="8" t="str">
        <f t="shared" si="2"/>
        <v>DAVIS MICHAEL</v>
      </c>
      <c r="H113" s="20" t="str">
        <f t="shared" si="3"/>
        <v>4063</v>
      </c>
    </row>
    <row r="114" spans="1:8" x14ac:dyDescent="0.25">
      <c r="A114" s="8">
        <v>42998.487326388888</v>
      </c>
      <c r="B114" s="20" t="s">
        <v>634</v>
      </c>
      <c r="C114" s="20" t="s">
        <v>712</v>
      </c>
      <c r="D114" s="138">
        <v>2370000</v>
      </c>
      <c r="E114" s="20" t="s">
        <v>713</v>
      </c>
      <c r="F114" s="20" t="s">
        <v>714</v>
      </c>
      <c r="G114" s="8" t="str">
        <f t="shared" si="2"/>
        <v>DELGADO DIANAH</v>
      </c>
      <c r="H114" s="20" t="str">
        <f t="shared" si="3"/>
        <v>4002</v>
      </c>
    </row>
    <row r="115" spans="1:8" x14ac:dyDescent="0.25">
      <c r="A115" s="8">
        <v>42998.496493055558</v>
      </c>
      <c r="B115" s="20" t="s">
        <v>485</v>
      </c>
      <c r="C115" s="20" t="s">
        <v>588</v>
      </c>
      <c r="D115" s="138">
        <v>3180000</v>
      </c>
      <c r="E115" s="20" t="s">
        <v>684</v>
      </c>
      <c r="F115" s="20" t="s">
        <v>685</v>
      </c>
      <c r="G115" s="8" t="str">
        <f t="shared" si="2"/>
        <v>HUFFSMITH MONTY</v>
      </c>
      <c r="H115" s="20" t="str">
        <f t="shared" si="3"/>
        <v>4011</v>
      </c>
    </row>
    <row r="116" spans="1:8" x14ac:dyDescent="0.25">
      <c r="A116" s="8">
        <v>42998.496828703705</v>
      </c>
      <c r="B116" s="20" t="s">
        <v>580</v>
      </c>
      <c r="C116" s="20" t="s">
        <v>715</v>
      </c>
      <c r="D116" s="138">
        <v>1300000</v>
      </c>
      <c r="E116" s="20" t="s">
        <v>483</v>
      </c>
      <c r="F116" s="20" t="s">
        <v>484</v>
      </c>
      <c r="G116" s="8" t="str">
        <f t="shared" si="2"/>
        <v>LEVIN SCOTT</v>
      </c>
      <c r="H116" s="20" t="str">
        <f t="shared" si="3"/>
        <v>4042</v>
      </c>
    </row>
    <row r="117" spans="1:8" x14ac:dyDescent="0.25">
      <c r="A117" s="8">
        <v>42998.501192129632</v>
      </c>
      <c r="B117" s="20" t="s">
        <v>393</v>
      </c>
      <c r="C117" s="20" t="s">
        <v>716</v>
      </c>
      <c r="D117" s="138">
        <v>3490000</v>
      </c>
      <c r="E117" s="20" t="s">
        <v>629</v>
      </c>
      <c r="F117" s="20" t="s">
        <v>630</v>
      </c>
      <c r="G117" s="8" t="str">
        <f t="shared" si="2"/>
        <v>WEST BRYAN</v>
      </c>
      <c r="H117" s="20" t="str">
        <f t="shared" si="3"/>
        <v>4016</v>
      </c>
    </row>
    <row r="118" spans="1:8" x14ac:dyDescent="0.25">
      <c r="A118" s="8">
        <v>42998.504861111112</v>
      </c>
      <c r="B118" s="20" t="s">
        <v>411</v>
      </c>
      <c r="C118" s="20" t="s">
        <v>717</v>
      </c>
      <c r="D118" s="138">
        <v>2350000</v>
      </c>
      <c r="E118" s="20" t="s">
        <v>718</v>
      </c>
      <c r="F118" s="20" t="s">
        <v>719</v>
      </c>
      <c r="G118" s="8" t="str">
        <f t="shared" si="2"/>
        <v>BERLING GARY</v>
      </c>
      <c r="H118" s="20" t="str">
        <f t="shared" si="3"/>
        <v>4058</v>
      </c>
    </row>
    <row r="119" spans="1:8" x14ac:dyDescent="0.25">
      <c r="A119" s="8">
        <v>42998.505868055552</v>
      </c>
      <c r="B119" s="20" t="s">
        <v>472</v>
      </c>
      <c r="C119" s="20" t="s">
        <v>720</v>
      </c>
      <c r="D119" s="138">
        <v>1770000</v>
      </c>
      <c r="E119" s="20" t="s">
        <v>522</v>
      </c>
      <c r="F119" s="20" t="s">
        <v>523</v>
      </c>
      <c r="G119" s="8" t="str">
        <f t="shared" si="2"/>
        <v>BRUDER RICHARD</v>
      </c>
      <c r="H119" s="20" t="str">
        <f t="shared" si="3"/>
        <v>4039</v>
      </c>
    </row>
    <row r="120" spans="1:8" x14ac:dyDescent="0.25">
      <c r="A120" s="8">
        <v>42998.515682870369</v>
      </c>
      <c r="B120" s="20" t="s">
        <v>426</v>
      </c>
      <c r="C120" s="20" t="s">
        <v>721</v>
      </c>
      <c r="D120" s="138">
        <v>2040000</v>
      </c>
      <c r="E120" s="20" t="s">
        <v>524</v>
      </c>
      <c r="F120" s="20" t="s">
        <v>525</v>
      </c>
      <c r="G120" s="8" t="str">
        <f t="shared" si="2"/>
        <v>MOSES BRADLEY</v>
      </c>
      <c r="H120" s="20" t="str">
        <f t="shared" si="3"/>
        <v>4043</v>
      </c>
    </row>
    <row r="121" spans="1:8" x14ac:dyDescent="0.25">
      <c r="A121" s="8">
        <v>42998.518645833334</v>
      </c>
      <c r="B121" s="20" t="s">
        <v>608</v>
      </c>
      <c r="C121" s="20" t="s">
        <v>722</v>
      </c>
      <c r="D121" s="138">
        <v>920000</v>
      </c>
      <c r="E121" s="20" t="s">
        <v>344</v>
      </c>
      <c r="F121" s="20" t="s">
        <v>190</v>
      </c>
      <c r="G121" s="8" t="str">
        <f t="shared" si="2"/>
        <v>DAVIS MICHAEL</v>
      </c>
      <c r="H121" s="20" t="str">
        <f t="shared" si="3"/>
        <v>4064</v>
      </c>
    </row>
    <row r="122" spans="1:8" x14ac:dyDescent="0.25">
      <c r="A122" s="8">
        <v>42998.519583333335</v>
      </c>
      <c r="B122" s="25" t="s">
        <v>392</v>
      </c>
      <c r="C122" s="20" t="s">
        <v>723</v>
      </c>
      <c r="D122" s="138">
        <v>3490000</v>
      </c>
      <c r="E122" s="20" t="s">
        <v>629</v>
      </c>
      <c r="F122" s="20" t="s">
        <v>630</v>
      </c>
      <c r="G122" s="8" t="str">
        <f t="shared" si="2"/>
        <v>WEST BRYAN</v>
      </c>
      <c r="H122" s="20" t="str">
        <f t="shared" si="3"/>
        <v>4015</v>
      </c>
    </row>
    <row r="123" spans="1:8" x14ac:dyDescent="0.25">
      <c r="A123" s="8">
        <v>42998.524918981479</v>
      </c>
      <c r="B123" s="20" t="s">
        <v>511</v>
      </c>
      <c r="C123" s="20" t="s">
        <v>592</v>
      </c>
      <c r="D123" s="138">
        <v>2470000</v>
      </c>
      <c r="E123" s="20" t="s">
        <v>518</v>
      </c>
      <c r="F123" s="20" t="s">
        <v>519</v>
      </c>
      <c r="G123" s="8" t="str">
        <f t="shared" si="2"/>
        <v>ROMERO CHAD</v>
      </c>
      <c r="H123" s="20" t="str">
        <f t="shared" si="3"/>
        <v>4012</v>
      </c>
    </row>
    <row r="124" spans="1:8" x14ac:dyDescent="0.25">
      <c r="A124" s="8">
        <v>42998.526053240741</v>
      </c>
      <c r="B124" s="20" t="s">
        <v>589</v>
      </c>
      <c r="C124" s="20" t="s">
        <v>724</v>
      </c>
      <c r="D124" s="138">
        <v>2370000</v>
      </c>
      <c r="E124" s="20" t="s">
        <v>713</v>
      </c>
      <c r="F124" s="20" t="s">
        <v>714</v>
      </c>
      <c r="G124" s="8" t="str">
        <f t="shared" si="2"/>
        <v>DELGADO DIANAH</v>
      </c>
      <c r="H124" s="20" t="str">
        <f t="shared" si="3"/>
        <v>4001</v>
      </c>
    </row>
    <row r="125" spans="1:8" x14ac:dyDescent="0.25">
      <c r="A125" s="8">
        <v>42998.528912037036</v>
      </c>
      <c r="B125" s="20" t="s">
        <v>394</v>
      </c>
      <c r="C125" s="20" t="s">
        <v>725</v>
      </c>
      <c r="D125" s="138">
        <v>2420000</v>
      </c>
      <c r="E125" s="20" t="s">
        <v>726</v>
      </c>
      <c r="F125" s="20" t="s">
        <v>727</v>
      </c>
      <c r="G125" s="8" t="str">
        <f t="shared" si="2"/>
        <v>HOLCOMB KAMDEN</v>
      </c>
      <c r="H125" s="20" t="str">
        <f t="shared" si="3"/>
        <v>4062</v>
      </c>
    </row>
    <row r="126" spans="1:8" x14ac:dyDescent="0.25">
      <c r="A126" s="8">
        <v>42998.535532407404</v>
      </c>
      <c r="B126" s="20" t="s">
        <v>598</v>
      </c>
      <c r="C126" s="20" t="s">
        <v>599</v>
      </c>
      <c r="D126" s="138">
        <v>1300000</v>
      </c>
      <c r="E126" s="20" t="s">
        <v>483</v>
      </c>
      <c r="F126" s="20" t="s">
        <v>484</v>
      </c>
      <c r="G126" s="8" t="str">
        <f t="shared" si="2"/>
        <v>LEVIN SCOTT</v>
      </c>
      <c r="H126" s="20" t="str">
        <f t="shared" si="3"/>
        <v>4041</v>
      </c>
    </row>
    <row r="127" spans="1:8" x14ac:dyDescent="0.25">
      <c r="A127" s="8">
        <v>42998.537719907406</v>
      </c>
      <c r="B127" s="20" t="s">
        <v>478</v>
      </c>
      <c r="C127" s="20" t="s">
        <v>728</v>
      </c>
      <c r="D127" s="138">
        <v>1770000</v>
      </c>
      <c r="E127" s="20" t="s">
        <v>522</v>
      </c>
      <c r="F127" s="20" t="s">
        <v>523</v>
      </c>
      <c r="G127" s="8" t="str">
        <f t="shared" si="2"/>
        <v>BRUDER RICHARD</v>
      </c>
      <c r="H127" s="20" t="str">
        <f t="shared" si="3"/>
        <v>4040</v>
      </c>
    </row>
    <row r="128" spans="1:8" x14ac:dyDescent="0.25">
      <c r="A128" s="8">
        <v>42998.540578703702</v>
      </c>
      <c r="B128" s="20" t="s">
        <v>434</v>
      </c>
      <c r="C128" s="20" t="s">
        <v>729</v>
      </c>
      <c r="D128" s="138">
        <v>2350000</v>
      </c>
      <c r="E128" s="20" t="s">
        <v>718</v>
      </c>
      <c r="F128" s="20" t="s">
        <v>719</v>
      </c>
      <c r="G128" s="8" t="str">
        <f t="shared" si="2"/>
        <v>BERLING GARY</v>
      </c>
      <c r="H128" s="20" t="str">
        <f t="shared" si="3"/>
        <v>4057</v>
      </c>
    </row>
    <row r="129" spans="1:8" x14ac:dyDescent="0.25">
      <c r="A129" s="8">
        <v>42998.542615740742</v>
      </c>
      <c r="B129" s="20" t="s">
        <v>393</v>
      </c>
      <c r="C129" s="20" t="s">
        <v>730</v>
      </c>
      <c r="D129" s="138">
        <v>1180000</v>
      </c>
      <c r="E129" s="20" t="s">
        <v>481</v>
      </c>
      <c r="F129" s="20" t="s">
        <v>482</v>
      </c>
      <c r="G129" s="8" t="str">
        <f t="shared" si="2"/>
        <v>LEVERE CRAIG</v>
      </c>
      <c r="H129" s="20" t="str">
        <f t="shared" si="3"/>
        <v>4016</v>
      </c>
    </row>
    <row r="130" spans="1:8" x14ac:dyDescent="0.25">
      <c r="A130" s="8">
        <v>42998.548495370371</v>
      </c>
      <c r="B130" s="20" t="s">
        <v>485</v>
      </c>
      <c r="C130" s="20" t="s">
        <v>597</v>
      </c>
      <c r="D130" s="138">
        <v>2470000</v>
      </c>
      <c r="E130" s="20" t="s">
        <v>518</v>
      </c>
      <c r="F130" s="20" t="s">
        <v>519</v>
      </c>
      <c r="G130" s="8" t="str">
        <f t="shared" si="2"/>
        <v>ROMERO CHAD</v>
      </c>
      <c r="H130" s="20" t="str">
        <f t="shared" si="3"/>
        <v>4011</v>
      </c>
    </row>
    <row r="131" spans="1:8" x14ac:dyDescent="0.25">
      <c r="A131" s="8">
        <v>42998.550034722219</v>
      </c>
      <c r="B131" s="20" t="s">
        <v>510</v>
      </c>
      <c r="C131" s="20" t="s">
        <v>731</v>
      </c>
      <c r="D131" s="138">
        <v>2040000</v>
      </c>
      <c r="E131" s="20" t="s">
        <v>524</v>
      </c>
      <c r="F131" s="20" t="s">
        <v>525</v>
      </c>
      <c r="G131" s="8" t="str">
        <f t="shared" ref="G131:G194" si="4">E131&amp;" "&amp;F131</f>
        <v>MOSES BRADLEY</v>
      </c>
      <c r="H131" s="20" t="str">
        <f t="shared" ref="H131:H194" si="5">MID(B131,13,4)</f>
        <v>4044</v>
      </c>
    </row>
    <row r="132" spans="1:8" x14ac:dyDescent="0.25">
      <c r="A132" s="8">
        <v>42998.558449074073</v>
      </c>
      <c r="B132" s="20" t="s">
        <v>634</v>
      </c>
      <c r="C132" s="20" t="s">
        <v>732</v>
      </c>
      <c r="D132" s="138">
        <v>2370000</v>
      </c>
      <c r="E132" s="20" t="s">
        <v>713</v>
      </c>
      <c r="F132" s="20" t="s">
        <v>714</v>
      </c>
      <c r="G132" s="8" t="str">
        <f t="shared" si="4"/>
        <v>DELGADO DIANAH</v>
      </c>
      <c r="H132" s="20" t="str">
        <f t="shared" si="5"/>
        <v>4002</v>
      </c>
    </row>
    <row r="133" spans="1:8" x14ac:dyDescent="0.25">
      <c r="A133" s="8">
        <v>42998.558993055558</v>
      </c>
      <c r="B133" s="20" t="s">
        <v>578</v>
      </c>
      <c r="C133" s="20" t="s">
        <v>733</v>
      </c>
      <c r="D133" s="138">
        <v>920000</v>
      </c>
      <c r="E133" s="20" t="s">
        <v>344</v>
      </c>
      <c r="F133" s="20" t="s">
        <v>190</v>
      </c>
      <c r="G133" s="8" t="str">
        <f t="shared" si="4"/>
        <v>DAVIS MICHAEL</v>
      </c>
      <c r="H133" s="20" t="str">
        <f t="shared" si="5"/>
        <v>4063</v>
      </c>
    </row>
    <row r="134" spans="1:8" x14ac:dyDescent="0.25">
      <c r="A134" s="8">
        <v>42998.562488425923</v>
      </c>
      <c r="B134" s="20" t="s">
        <v>392</v>
      </c>
      <c r="C134" s="20" t="s">
        <v>734</v>
      </c>
      <c r="D134" s="138">
        <v>1180000</v>
      </c>
      <c r="E134" s="20" t="s">
        <v>481</v>
      </c>
      <c r="F134" s="20" t="s">
        <v>482</v>
      </c>
      <c r="G134" s="8" t="str">
        <f t="shared" si="4"/>
        <v>LEVERE CRAIG</v>
      </c>
      <c r="H134" s="20" t="str">
        <f t="shared" si="5"/>
        <v>4015</v>
      </c>
    </row>
    <row r="135" spans="1:8" x14ac:dyDescent="0.25">
      <c r="A135" s="8">
        <v>42998.565740740742</v>
      </c>
      <c r="B135" s="20" t="s">
        <v>385</v>
      </c>
      <c r="C135" s="20" t="s">
        <v>735</v>
      </c>
      <c r="D135" s="138">
        <v>2420000</v>
      </c>
      <c r="E135" s="20" t="s">
        <v>726</v>
      </c>
      <c r="F135" s="20" t="s">
        <v>727</v>
      </c>
      <c r="G135" s="8" t="str">
        <f t="shared" si="4"/>
        <v>HOLCOMB KAMDEN</v>
      </c>
      <c r="H135" s="20" t="str">
        <f t="shared" si="5"/>
        <v>4061</v>
      </c>
    </row>
    <row r="136" spans="1:8" x14ac:dyDescent="0.25">
      <c r="A136" s="8">
        <v>42998.570324074077</v>
      </c>
      <c r="B136" s="20" t="s">
        <v>580</v>
      </c>
      <c r="C136" s="20" t="s">
        <v>736</v>
      </c>
      <c r="D136" s="138">
        <v>1300000</v>
      </c>
      <c r="E136" s="20" t="s">
        <v>483</v>
      </c>
      <c r="F136" s="20" t="s">
        <v>484</v>
      </c>
      <c r="G136" s="8" t="str">
        <f t="shared" si="4"/>
        <v>LEVIN SCOTT</v>
      </c>
      <c r="H136" s="20" t="str">
        <f t="shared" si="5"/>
        <v>4042</v>
      </c>
    </row>
    <row r="137" spans="1:8" x14ac:dyDescent="0.25">
      <c r="A137" s="8">
        <v>42998.57503472222</v>
      </c>
      <c r="B137" s="20" t="s">
        <v>511</v>
      </c>
      <c r="C137" s="20" t="s">
        <v>737</v>
      </c>
      <c r="D137" s="138">
        <v>3130000</v>
      </c>
      <c r="E137" s="20" t="s">
        <v>526</v>
      </c>
      <c r="F137" s="20" t="s">
        <v>527</v>
      </c>
      <c r="G137" s="8" t="str">
        <f t="shared" si="4"/>
        <v>ZEWDU DEREJE</v>
      </c>
      <c r="H137" s="20" t="str">
        <f t="shared" si="5"/>
        <v>4012</v>
      </c>
    </row>
    <row r="138" spans="1:8" x14ac:dyDescent="0.25">
      <c r="A138" s="8">
        <v>42998.578738425924</v>
      </c>
      <c r="B138" s="20" t="s">
        <v>472</v>
      </c>
      <c r="C138" s="20" t="s">
        <v>738</v>
      </c>
      <c r="D138" s="138">
        <v>1770000</v>
      </c>
      <c r="E138" s="20" t="s">
        <v>522</v>
      </c>
      <c r="F138" s="20" t="s">
        <v>523</v>
      </c>
      <c r="G138" s="8" t="str">
        <f t="shared" si="4"/>
        <v>BRUDER RICHARD</v>
      </c>
      <c r="H138" s="20" t="str">
        <f t="shared" si="5"/>
        <v>4039</v>
      </c>
    </row>
    <row r="139" spans="1:8" x14ac:dyDescent="0.25">
      <c r="A139" s="8">
        <v>42998.579039351855</v>
      </c>
      <c r="B139" s="20" t="s">
        <v>411</v>
      </c>
      <c r="C139" s="20" t="s">
        <v>739</v>
      </c>
      <c r="D139" s="138">
        <v>2350000</v>
      </c>
      <c r="E139" s="20" t="s">
        <v>718</v>
      </c>
      <c r="F139" s="20" t="s">
        <v>719</v>
      </c>
      <c r="G139" s="8" t="str">
        <f t="shared" si="4"/>
        <v>BERLING GARY</v>
      </c>
      <c r="H139" s="20" t="str">
        <f t="shared" si="5"/>
        <v>4058</v>
      </c>
    </row>
    <row r="140" spans="1:8" x14ac:dyDescent="0.25">
      <c r="A140" s="8">
        <v>42998.579247685186</v>
      </c>
      <c r="B140" s="20" t="s">
        <v>426</v>
      </c>
      <c r="C140" s="20" t="s">
        <v>740</v>
      </c>
      <c r="D140" s="138">
        <v>2040000</v>
      </c>
      <c r="E140" s="20" t="s">
        <v>524</v>
      </c>
      <c r="F140" s="20" t="s">
        <v>525</v>
      </c>
      <c r="G140" s="8" t="str">
        <f t="shared" si="4"/>
        <v>MOSES BRADLEY</v>
      </c>
      <c r="H140" s="20" t="str">
        <f t="shared" si="5"/>
        <v>4043</v>
      </c>
    </row>
    <row r="141" spans="1:8" x14ac:dyDescent="0.25">
      <c r="A141" s="8">
        <v>42998.5856712963</v>
      </c>
      <c r="B141" s="20" t="s">
        <v>393</v>
      </c>
      <c r="C141" s="20" t="s">
        <v>741</v>
      </c>
      <c r="D141" s="138">
        <v>1180000</v>
      </c>
      <c r="E141" s="20" t="s">
        <v>481</v>
      </c>
      <c r="F141" s="20" t="s">
        <v>482</v>
      </c>
      <c r="G141" s="8" t="str">
        <f t="shared" si="4"/>
        <v>LEVERE CRAIG</v>
      </c>
      <c r="H141" s="20" t="str">
        <f t="shared" si="5"/>
        <v>4016</v>
      </c>
    </row>
    <row r="142" spans="1:8" x14ac:dyDescent="0.25">
      <c r="A142" s="8">
        <v>42998.591863425929</v>
      </c>
      <c r="B142" s="20" t="s">
        <v>608</v>
      </c>
      <c r="C142" s="20" t="s">
        <v>742</v>
      </c>
      <c r="D142" s="138">
        <v>920000</v>
      </c>
      <c r="E142" s="20" t="s">
        <v>344</v>
      </c>
      <c r="F142" s="20" t="s">
        <v>190</v>
      </c>
      <c r="G142" s="8" t="str">
        <f t="shared" si="4"/>
        <v>DAVIS MICHAEL</v>
      </c>
      <c r="H142" s="20" t="str">
        <f t="shared" si="5"/>
        <v>4064</v>
      </c>
    </row>
    <row r="143" spans="1:8" x14ac:dyDescent="0.25">
      <c r="A143" s="8">
        <v>42998.592893518522</v>
      </c>
      <c r="B143" s="20" t="s">
        <v>589</v>
      </c>
      <c r="C143" s="20" t="s">
        <v>743</v>
      </c>
      <c r="D143" s="138">
        <v>2370000</v>
      </c>
      <c r="E143" s="20" t="s">
        <v>713</v>
      </c>
      <c r="F143" s="20" t="s">
        <v>714</v>
      </c>
      <c r="G143" s="8" t="str">
        <f t="shared" si="4"/>
        <v>DELGADO DIANAH</v>
      </c>
      <c r="H143" s="20" t="str">
        <f t="shared" si="5"/>
        <v>4001</v>
      </c>
    </row>
    <row r="144" spans="1:8" x14ac:dyDescent="0.25">
      <c r="A144" s="8">
        <v>42998.600081018521</v>
      </c>
      <c r="B144" s="20" t="s">
        <v>394</v>
      </c>
      <c r="C144" s="20" t="s">
        <v>600</v>
      </c>
      <c r="D144" s="138">
        <v>2420000</v>
      </c>
      <c r="E144" s="20" t="s">
        <v>726</v>
      </c>
      <c r="F144" s="20" t="s">
        <v>727</v>
      </c>
      <c r="G144" s="8" t="str">
        <f t="shared" si="4"/>
        <v>HOLCOMB KAMDEN</v>
      </c>
      <c r="H144" s="20" t="str">
        <f t="shared" si="5"/>
        <v>4062</v>
      </c>
    </row>
    <row r="145" spans="1:8" x14ac:dyDescent="0.25">
      <c r="A145" s="8">
        <v>42998.60224537037</v>
      </c>
      <c r="B145" s="20" t="s">
        <v>392</v>
      </c>
      <c r="C145" s="20" t="s">
        <v>744</v>
      </c>
      <c r="D145" s="138">
        <v>1180000</v>
      </c>
      <c r="E145" s="20" t="s">
        <v>481</v>
      </c>
      <c r="F145" s="20" t="s">
        <v>482</v>
      </c>
      <c r="G145" s="8" t="str">
        <f t="shared" si="4"/>
        <v>LEVERE CRAIG</v>
      </c>
      <c r="H145" s="20" t="str">
        <f t="shared" si="5"/>
        <v>4015</v>
      </c>
    </row>
    <row r="146" spans="1:8" x14ac:dyDescent="0.25">
      <c r="A146" s="8">
        <v>42998.602430555555</v>
      </c>
      <c r="B146" s="20" t="s">
        <v>598</v>
      </c>
      <c r="C146" s="20" t="s">
        <v>745</v>
      </c>
      <c r="D146" s="138">
        <v>1300000</v>
      </c>
      <c r="E146" s="20" t="s">
        <v>483</v>
      </c>
      <c r="F146" s="20" t="s">
        <v>484</v>
      </c>
      <c r="G146" s="8" t="str">
        <f t="shared" si="4"/>
        <v>LEVIN SCOTT</v>
      </c>
      <c r="H146" s="20" t="str">
        <f t="shared" si="5"/>
        <v>4041</v>
      </c>
    </row>
    <row r="147" spans="1:8" x14ac:dyDescent="0.25">
      <c r="A147" s="8">
        <v>42998.608726851853</v>
      </c>
      <c r="B147" s="20" t="s">
        <v>485</v>
      </c>
      <c r="C147" s="20" t="s">
        <v>746</v>
      </c>
      <c r="D147" s="138">
        <v>3130000</v>
      </c>
      <c r="E147" s="20" t="s">
        <v>526</v>
      </c>
      <c r="F147" s="20" t="s">
        <v>527</v>
      </c>
      <c r="G147" s="8" t="str">
        <f t="shared" si="4"/>
        <v>ZEWDU DEREJE</v>
      </c>
      <c r="H147" s="20" t="str">
        <f t="shared" si="5"/>
        <v>4011</v>
      </c>
    </row>
    <row r="148" spans="1:8" x14ac:dyDescent="0.25">
      <c r="A148" s="8">
        <v>42998.610821759263</v>
      </c>
      <c r="B148" s="20" t="s">
        <v>478</v>
      </c>
      <c r="C148" s="20" t="s">
        <v>747</v>
      </c>
      <c r="D148" s="138">
        <v>1770000</v>
      </c>
      <c r="E148" s="20" t="s">
        <v>522</v>
      </c>
      <c r="F148" s="20" t="s">
        <v>523</v>
      </c>
      <c r="G148" s="8" t="str">
        <f t="shared" si="4"/>
        <v>BRUDER RICHARD</v>
      </c>
      <c r="H148" s="20" t="str">
        <f t="shared" si="5"/>
        <v>4040</v>
      </c>
    </row>
    <row r="149" spans="1:8" x14ac:dyDescent="0.25">
      <c r="A149" s="8">
        <v>42998.616701388892</v>
      </c>
      <c r="B149" s="20" t="s">
        <v>434</v>
      </c>
      <c r="C149" s="20" t="s">
        <v>748</v>
      </c>
      <c r="D149" s="138">
        <v>2350000</v>
      </c>
      <c r="E149" s="20" t="s">
        <v>718</v>
      </c>
      <c r="F149" s="20" t="s">
        <v>719</v>
      </c>
      <c r="G149" s="8" t="str">
        <f t="shared" si="4"/>
        <v>BERLING GARY</v>
      </c>
      <c r="H149" s="20" t="str">
        <f t="shared" si="5"/>
        <v>4057</v>
      </c>
    </row>
    <row r="150" spans="1:8" x14ac:dyDescent="0.25">
      <c r="A150" s="8">
        <v>42998.624861111108</v>
      </c>
      <c r="B150" s="20" t="s">
        <v>510</v>
      </c>
      <c r="C150" s="20" t="s">
        <v>749</v>
      </c>
      <c r="D150" s="138">
        <v>2040000</v>
      </c>
      <c r="E150" s="20" t="s">
        <v>524</v>
      </c>
      <c r="F150" s="20" t="s">
        <v>525</v>
      </c>
      <c r="G150" s="8" t="str">
        <f t="shared" si="4"/>
        <v>MOSES BRADLEY</v>
      </c>
      <c r="H150" s="20" t="str">
        <f t="shared" si="5"/>
        <v>4044</v>
      </c>
    </row>
    <row r="151" spans="1:8" x14ac:dyDescent="0.25">
      <c r="A151" s="8">
        <v>42998.625208333331</v>
      </c>
      <c r="B151" s="20" t="s">
        <v>393</v>
      </c>
      <c r="C151" s="20" t="s">
        <v>750</v>
      </c>
      <c r="D151" s="138">
        <v>1180000</v>
      </c>
      <c r="E151" s="20" t="s">
        <v>481</v>
      </c>
      <c r="F151" s="20" t="s">
        <v>482</v>
      </c>
      <c r="G151" s="8" t="str">
        <f t="shared" si="4"/>
        <v>LEVERE CRAIG</v>
      </c>
      <c r="H151" s="20" t="str">
        <f t="shared" si="5"/>
        <v>4016</v>
      </c>
    </row>
    <row r="152" spans="1:8" x14ac:dyDescent="0.25">
      <c r="A152" s="8">
        <v>42998.630185185182</v>
      </c>
      <c r="B152" s="20" t="s">
        <v>634</v>
      </c>
      <c r="C152" s="20" t="s">
        <v>751</v>
      </c>
      <c r="D152" s="138">
        <v>2370000</v>
      </c>
      <c r="E152" s="20" t="s">
        <v>713</v>
      </c>
      <c r="F152" s="20" t="s">
        <v>714</v>
      </c>
      <c r="G152" s="8" t="str">
        <f t="shared" si="4"/>
        <v>DELGADO DIANAH</v>
      </c>
      <c r="H152" s="20" t="str">
        <f t="shared" si="5"/>
        <v>4002</v>
      </c>
    </row>
    <row r="153" spans="1:8" x14ac:dyDescent="0.25">
      <c r="A153" s="8">
        <v>42998.631354166668</v>
      </c>
      <c r="B153" s="20" t="s">
        <v>578</v>
      </c>
      <c r="C153" s="20" t="s">
        <v>752</v>
      </c>
      <c r="D153" s="138">
        <v>920000</v>
      </c>
      <c r="E153" s="20" t="s">
        <v>344</v>
      </c>
      <c r="F153" s="20" t="s">
        <v>190</v>
      </c>
      <c r="G153" s="8" t="str">
        <f t="shared" si="4"/>
        <v>DAVIS MICHAEL</v>
      </c>
      <c r="H153" s="20" t="str">
        <f t="shared" si="5"/>
        <v>4063</v>
      </c>
    </row>
    <row r="154" spans="1:8" x14ac:dyDescent="0.25">
      <c r="A154" s="8">
        <v>42998.631412037037</v>
      </c>
      <c r="B154" s="20" t="s">
        <v>511</v>
      </c>
      <c r="C154" s="20" t="s">
        <v>737</v>
      </c>
      <c r="D154" s="138">
        <v>3130000</v>
      </c>
      <c r="E154" s="20" t="s">
        <v>526</v>
      </c>
      <c r="F154" s="20" t="s">
        <v>527</v>
      </c>
      <c r="G154" s="8" t="str">
        <f t="shared" si="4"/>
        <v>ZEWDU DEREJE</v>
      </c>
      <c r="H154" s="20" t="str">
        <f t="shared" si="5"/>
        <v>4012</v>
      </c>
    </row>
    <row r="155" spans="1:8" x14ac:dyDescent="0.25">
      <c r="A155" s="8">
        <v>42998.637870370374</v>
      </c>
      <c r="B155" s="20" t="s">
        <v>584</v>
      </c>
      <c r="C155" s="20" t="s">
        <v>753</v>
      </c>
      <c r="D155" s="138">
        <v>2000000</v>
      </c>
      <c r="E155" s="20" t="s">
        <v>409</v>
      </c>
      <c r="F155" s="20" t="s">
        <v>378</v>
      </c>
      <c r="G155" s="8" t="str">
        <f t="shared" si="4"/>
        <v>STAMBAUGH JAMES</v>
      </c>
      <c r="H155" s="20" t="str">
        <f t="shared" si="5"/>
        <v>4059</v>
      </c>
    </row>
    <row r="156" spans="1:8" x14ac:dyDescent="0.25">
      <c r="A156" s="8">
        <v>42998.642962962964</v>
      </c>
      <c r="B156" s="20" t="s">
        <v>385</v>
      </c>
      <c r="C156" s="20" t="s">
        <v>754</v>
      </c>
      <c r="D156" s="138">
        <v>2420000</v>
      </c>
      <c r="E156" s="20" t="s">
        <v>726</v>
      </c>
      <c r="F156" s="20" t="s">
        <v>727</v>
      </c>
      <c r="G156" s="8" t="str">
        <f t="shared" si="4"/>
        <v>HOLCOMB KAMDEN</v>
      </c>
      <c r="H156" s="20" t="str">
        <f t="shared" si="5"/>
        <v>4061</v>
      </c>
    </row>
    <row r="157" spans="1:8" x14ac:dyDescent="0.25">
      <c r="A157" s="8">
        <v>42998.643391203703</v>
      </c>
      <c r="B157" s="20" t="s">
        <v>580</v>
      </c>
      <c r="C157" s="20" t="s">
        <v>755</v>
      </c>
      <c r="D157" s="138">
        <v>1300000</v>
      </c>
      <c r="E157" s="20" t="s">
        <v>483</v>
      </c>
      <c r="F157" s="20" t="s">
        <v>484</v>
      </c>
      <c r="G157" s="8" t="str">
        <f t="shared" si="4"/>
        <v>LEVIN SCOTT</v>
      </c>
      <c r="H157" s="20" t="str">
        <f t="shared" si="5"/>
        <v>4042</v>
      </c>
    </row>
    <row r="158" spans="1:8" x14ac:dyDescent="0.25">
      <c r="A158" s="8">
        <v>42998.645069444443</v>
      </c>
      <c r="B158" s="20" t="s">
        <v>392</v>
      </c>
      <c r="C158" s="20" t="s">
        <v>756</v>
      </c>
      <c r="D158" s="138">
        <v>1180000</v>
      </c>
      <c r="E158" s="20" t="s">
        <v>481</v>
      </c>
      <c r="F158" s="20" t="s">
        <v>482</v>
      </c>
      <c r="G158" s="8" t="str">
        <f t="shared" si="4"/>
        <v>LEVERE CRAIG</v>
      </c>
      <c r="H158" s="20" t="str">
        <f t="shared" si="5"/>
        <v>4015</v>
      </c>
    </row>
    <row r="159" spans="1:8" x14ac:dyDescent="0.25">
      <c r="A159" s="8">
        <v>42998.647291666668</v>
      </c>
      <c r="B159" s="20" t="s">
        <v>472</v>
      </c>
      <c r="C159" s="20" t="s">
        <v>757</v>
      </c>
      <c r="D159" s="138">
        <v>1770000</v>
      </c>
      <c r="E159" s="20" t="s">
        <v>522</v>
      </c>
      <c r="F159" s="20" t="s">
        <v>523</v>
      </c>
      <c r="G159" s="8" t="str">
        <f t="shared" si="4"/>
        <v>BRUDER RICHARD</v>
      </c>
      <c r="H159" s="20" t="str">
        <f t="shared" si="5"/>
        <v>4039</v>
      </c>
    </row>
    <row r="160" spans="1:8" x14ac:dyDescent="0.25">
      <c r="A160" s="8">
        <v>42998.651041666664</v>
      </c>
      <c r="B160" s="20" t="s">
        <v>528</v>
      </c>
      <c r="C160" s="20" t="s">
        <v>758</v>
      </c>
      <c r="D160" s="138">
        <v>2000000</v>
      </c>
      <c r="E160" s="20" t="s">
        <v>409</v>
      </c>
      <c r="F160" s="20" t="s">
        <v>378</v>
      </c>
      <c r="G160" s="8" t="str">
        <f t="shared" si="4"/>
        <v>STAMBAUGH JAMES</v>
      </c>
      <c r="H160" s="20" t="str">
        <f t="shared" si="5"/>
        <v>4060</v>
      </c>
    </row>
    <row r="161" spans="1:8" x14ac:dyDescent="0.25">
      <c r="A161" s="8">
        <v>42998.653298611112</v>
      </c>
      <c r="B161" s="20" t="s">
        <v>411</v>
      </c>
      <c r="C161" s="20" t="s">
        <v>759</v>
      </c>
      <c r="D161" s="138">
        <v>2350000</v>
      </c>
      <c r="E161" s="20" t="s">
        <v>718</v>
      </c>
      <c r="F161" s="20" t="s">
        <v>719</v>
      </c>
      <c r="G161" s="8" t="str">
        <f t="shared" si="4"/>
        <v>BERLING GARY</v>
      </c>
      <c r="H161" s="20" t="str">
        <f t="shared" si="5"/>
        <v>4058</v>
      </c>
    </row>
    <row r="162" spans="1:8" x14ac:dyDescent="0.25">
      <c r="A162" s="8">
        <v>42998.658645833333</v>
      </c>
      <c r="B162" s="20" t="s">
        <v>485</v>
      </c>
      <c r="C162" s="20" t="s">
        <v>602</v>
      </c>
      <c r="D162" s="138">
        <v>2150000</v>
      </c>
      <c r="E162" s="20" t="s">
        <v>479</v>
      </c>
      <c r="F162" s="20" t="s">
        <v>480</v>
      </c>
      <c r="G162" s="8" t="str">
        <f t="shared" si="4"/>
        <v>SWANSON BRYCE</v>
      </c>
      <c r="H162" s="20" t="str">
        <f t="shared" si="5"/>
        <v>4011</v>
      </c>
    </row>
    <row r="163" spans="1:8" x14ac:dyDescent="0.25">
      <c r="A163" s="8">
        <v>42998.661759259259</v>
      </c>
      <c r="B163" s="20" t="s">
        <v>426</v>
      </c>
      <c r="C163" s="20" t="s">
        <v>760</v>
      </c>
      <c r="D163" s="138">
        <v>2040000</v>
      </c>
      <c r="E163" s="20" t="s">
        <v>524</v>
      </c>
      <c r="F163" s="20" t="s">
        <v>525</v>
      </c>
      <c r="G163" s="8" t="str">
        <f t="shared" si="4"/>
        <v>MOSES BRADLEY</v>
      </c>
      <c r="H163" s="20" t="str">
        <f t="shared" si="5"/>
        <v>4043</v>
      </c>
    </row>
    <row r="164" spans="1:8" x14ac:dyDescent="0.25">
      <c r="A164" s="8">
        <v>42998.663587962961</v>
      </c>
      <c r="B164" s="20" t="s">
        <v>584</v>
      </c>
      <c r="C164" s="20" t="s">
        <v>761</v>
      </c>
      <c r="D164" s="138">
        <v>2000000</v>
      </c>
      <c r="E164" s="20" t="s">
        <v>409</v>
      </c>
      <c r="F164" s="20" t="s">
        <v>378</v>
      </c>
      <c r="G164" s="8" t="str">
        <f t="shared" si="4"/>
        <v>STAMBAUGH JAMES</v>
      </c>
      <c r="H164" s="20" t="str">
        <f t="shared" si="5"/>
        <v>4059</v>
      </c>
    </row>
    <row r="165" spans="1:8" x14ac:dyDescent="0.25">
      <c r="A165" s="8">
        <v>42998.665289351855</v>
      </c>
      <c r="B165" s="20" t="s">
        <v>608</v>
      </c>
      <c r="C165" s="20" t="s">
        <v>762</v>
      </c>
      <c r="D165" s="138">
        <v>920000</v>
      </c>
      <c r="E165" s="20" t="s">
        <v>344</v>
      </c>
      <c r="F165" s="20" t="s">
        <v>190</v>
      </c>
      <c r="G165" s="8" t="str">
        <f t="shared" si="4"/>
        <v>DAVIS MICHAEL</v>
      </c>
      <c r="H165" s="20" t="str">
        <f t="shared" si="5"/>
        <v>4064</v>
      </c>
    </row>
    <row r="166" spans="1:8" x14ac:dyDescent="0.25">
      <c r="A166" s="8">
        <v>42998.670405092591</v>
      </c>
      <c r="B166" s="20" t="s">
        <v>589</v>
      </c>
      <c r="C166" s="20" t="s">
        <v>763</v>
      </c>
      <c r="D166" s="138">
        <v>2370000</v>
      </c>
      <c r="E166" s="20" t="s">
        <v>713</v>
      </c>
      <c r="F166" s="20" t="s">
        <v>714</v>
      </c>
      <c r="G166" s="8" t="str">
        <f t="shared" si="4"/>
        <v>DELGADO DIANAH</v>
      </c>
      <c r="H166" s="20" t="str">
        <f t="shared" si="5"/>
        <v>4001</v>
      </c>
    </row>
    <row r="167" spans="1:8" x14ac:dyDescent="0.25">
      <c r="A167" s="8">
        <v>42998.670717592591</v>
      </c>
      <c r="B167" s="20" t="s">
        <v>393</v>
      </c>
      <c r="C167" s="20" t="s">
        <v>764</v>
      </c>
      <c r="D167" s="138">
        <v>1180000</v>
      </c>
      <c r="E167" s="20" t="s">
        <v>481</v>
      </c>
      <c r="F167" s="20" t="s">
        <v>482</v>
      </c>
      <c r="G167" s="8" t="str">
        <f t="shared" si="4"/>
        <v>LEVERE CRAIG</v>
      </c>
      <c r="H167" s="20" t="str">
        <f t="shared" si="5"/>
        <v>4016</v>
      </c>
    </row>
    <row r="168" spans="1:8" x14ac:dyDescent="0.25">
      <c r="A168" s="8">
        <v>42998.674027777779</v>
      </c>
      <c r="B168" s="20" t="s">
        <v>394</v>
      </c>
      <c r="C168" s="20" t="s">
        <v>765</v>
      </c>
      <c r="D168" s="138">
        <v>2420000</v>
      </c>
      <c r="E168" s="20" t="s">
        <v>726</v>
      </c>
      <c r="F168" s="20" t="s">
        <v>727</v>
      </c>
      <c r="G168" s="8" t="str">
        <f t="shared" si="4"/>
        <v>HOLCOMB KAMDEN</v>
      </c>
      <c r="H168" s="20" t="str">
        <f t="shared" si="5"/>
        <v>4062</v>
      </c>
    </row>
    <row r="169" spans="1:8" x14ac:dyDescent="0.25">
      <c r="A169" s="8">
        <v>42998.676944444444</v>
      </c>
      <c r="B169" s="20" t="s">
        <v>473</v>
      </c>
      <c r="C169" s="20" t="s">
        <v>624</v>
      </c>
      <c r="D169" s="138">
        <v>1780000</v>
      </c>
      <c r="E169" s="20" t="s">
        <v>766</v>
      </c>
      <c r="F169" s="20" t="s">
        <v>767</v>
      </c>
      <c r="G169" s="8" t="str">
        <f t="shared" si="4"/>
        <v>DE LA ROSA ALEX</v>
      </c>
      <c r="H169" s="20" t="str">
        <f t="shared" si="5"/>
        <v>4018</v>
      </c>
    </row>
    <row r="170" spans="1:8" x14ac:dyDescent="0.25">
      <c r="A170" s="8">
        <v>42998.680752314816</v>
      </c>
      <c r="B170" s="20" t="s">
        <v>511</v>
      </c>
      <c r="C170" s="20" t="s">
        <v>603</v>
      </c>
      <c r="D170" s="138">
        <v>2150000</v>
      </c>
      <c r="E170" s="20" t="s">
        <v>479</v>
      </c>
      <c r="F170" s="20" t="s">
        <v>480</v>
      </c>
      <c r="G170" s="8" t="str">
        <f t="shared" si="4"/>
        <v>SWANSON BRYCE</v>
      </c>
      <c r="H170" s="20" t="str">
        <f t="shared" si="5"/>
        <v>4012</v>
      </c>
    </row>
    <row r="171" spans="1:8" x14ac:dyDescent="0.25">
      <c r="A171" s="8">
        <v>42998.681550925925</v>
      </c>
      <c r="B171" s="20" t="s">
        <v>598</v>
      </c>
      <c r="C171" s="20" t="s">
        <v>768</v>
      </c>
      <c r="D171" s="138">
        <v>1300000</v>
      </c>
      <c r="E171" s="20" t="s">
        <v>483</v>
      </c>
      <c r="F171" s="20" t="s">
        <v>484</v>
      </c>
      <c r="G171" s="8" t="str">
        <f t="shared" si="4"/>
        <v>LEVIN SCOTT</v>
      </c>
      <c r="H171" s="20" t="str">
        <f t="shared" si="5"/>
        <v>4041</v>
      </c>
    </row>
    <row r="172" spans="1:8" x14ac:dyDescent="0.25">
      <c r="A172" s="8">
        <v>42998.683935185189</v>
      </c>
      <c r="B172" s="20" t="s">
        <v>478</v>
      </c>
      <c r="C172" s="20" t="s">
        <v>769</v>
      </c>
      <c r="D172" s="138">
        <v>1770000</v>
      </c>
      <c r="E172" s="20" t="s">
        <v>522</v>
      </c>
      <c r="F172" s="20" t="s">
        <v>523</v>
      </c>
      <c r="G172" s="8" t="str">
        <f t="shared" si="4"/>
        <v>BRUDER RICHARD</v>
      </c>
      <c r="H172" s="20" t="str">
        <f t="shared" si="5"/>
        <v>4040</v>
      </c>
    </row>
    <row r="173" spans="1:8" x14ac:dyDescent="0.25">
      <c r="A173" s="8">
        <v>42998.686249999999</v>
      </c>
      <c r="B173" s="20" t="s">
        <v>392</v>
      </c>
      <c r="C173" s="20" t="s">
        <v>770</v>
      </c>
      <c r="D173" s="138">
        <v>1180000</v>
      </c>
      <c r="E173" s="20" t="s">
        <v>481</v>
      </c>
      <c r="F173" s="20" t="s">
        <v>482</v>
      </c>
      <c r="G173" s="8" t="str">
        <f t="shared" si="4"/>
        <v>LEVERE CRAIG</v>
      </c>
      <c r="H173" s="20" t="str">
        <f t="shared" si="5"/>
        <v>4015</v>
      </c>
    </row>
    <row r="174" spans="1:8" x14ac:dyDescent="0.25">
      <c r="A174" s="8">
        <v>42998.691840277781</v>
      </c>
      <c r="B174" s="20" t="s">
        <v>434</v>
      </c>
      <c r="C174" s="20" t="s">
        <v>604</v>
      </c>
      <c r="D174" s="138">
        <v>2350000</v>
      </c>
      <c r="E174" s="20" t="s">
        <v>718</v>
      </c>
      <c r="F174" s="20" t="s">
        <v>719</v>
      </c>
      <c r="G174" s="8" t="str">
        <f t="shared" si="4"/>
        <v>BERLING GARY</v>
      </c>
      <c r="H174" s="20" t="str">
        <f t="shared" si="5"/>
        <v>4057</v>
      </c>
    </row>
    <row r="175" spans="1:8" x14ac:dyDescent="0.25">
      <c r="A175" s="8">
        <v>42998.691886574074</v>
      </c>
      <c r="B175" s="20" t="s">
        <v>528</v>
      </c>
      <c r="C175" s="20" t="s">
        <v>771</v>
      </c>
      <c r="D175" s="138">
        <v>2000000</v>
      </c>
      <c r="E175" s="20" t="s">
        <v>409</v>
      </c>
      <c r="F175" s="20" t="s">
        <v>378</v>
      </c>
      <c r="G175" s="8" t="str">
        <f t="shared" si="4"/>
        <v>STAMBAUGH JAMES</v>
      </c>
      <c r="H175" s="20" t="str">
        <f t="shared" si="5"/>
        <v>4060</v>
      </c>
    </row>
    <row r="176" spans="1:8" x14ac:dyDescent="0.25">
      <c r="A176" s="8">
        <v>42998.697650462964</v>
      </c>
      <c r="B176" s="20" t="s">
        <v>510</v>
      </c>
      <c r="C176" s="20" t="s">
        <v>772</v>
      </c>
      <c r="D176" s="138">
        <v>2040000</v>
      </c>
      <c r="E176" s="20" t="s">
        <v>524</v>
      </c>
      <c r="F176" s="20" t="s">
        <v>525</v>
      </c>
      <c r="G176" s="8" t="str">
        <f t="shared" si="4"/>
        <v>MOSES BRADLEY</v>
      </c>
      <c r="H176" s="20" t="str">
        <f t="shared" si="5"/>
        <v>4044</v>
      </c>
    </row>
    <row r="177" spans="1:8" x14ac:dyDescent="0.25">
      <c r="A177" s="8">
        <v>42998.704108796293</v>
      </c>
      <c r="B177" s="20" t="s">
        <v>578</v>
      </c>
      <c r="C177" s="20" t="s">
        <v>773</v>
      </c>
      <c r="D177" s="138">
        <v>920000</v>
      </c>
      <c r="E177" s="20" t="s">
        <v>344</v>
      </c>
      <c r="F177" s="20" t="s">
        <v>190</v>
      </c>
      <c r="G177" s="8" t="str">
        <f t="shared" si="4"/>
        <v>DAVIS MICHAEL</v>
      </c>
      <c r="H177" s="20" t="str">
        <f t="shared" si="5"/>
        <v>4063</v>
      </c>
    </row>
    <row r="178" spans="1:8" x14ac:dyDescent="0.25">
      <c r="A178" s="8">
        <v>42998.704224537039</v>
      </c>
      <c r="B178" s="20" t="s">
        <v>634</v>
      </c>
      <c r="C178" s="20" t="s">
        <v>774</v>
      </c>
      <c r="D178" s="138">
        <v>2370000</v>
      </c>
      <c r="E178" s="20" t="s">
        <v>713</v>
      </c>
      <c r="F178" s="20" t="s">
        <v>714</v>
      </c>
      <c r="G178" s="8" t="str">
        <f t="shared" si="4"/>
        <v>DELGADO DIANAH</v>
      </c>
      <c r="H178" s="20" t="str">
        <f t="shared" si="5"/>
        <v>4002</v>
      </c>
    </row>
    <row r="179" spans="1:8" x14ac:dyDescent="0.25">
      <c r="A179" s="8">
        <v>42998.704282407409</v>
      </c>
      <c r="B179" s="20" t="s">
        <v>485</v>
      </c>
      <c r="C179" s="20" t="s">
        <v>603</v>
      </c>
      <c r="D179" s="138">
        <v>2150000</v>
      </c>
      <c r="E179" s="20" t="s">
        <v>479</v>
      </c>
      <c r="F179" s="20" t="s">
        <v>480</v>
      </c>
      <c r="G179" s="8" t="str">
        <f t="shared" si="4"/>
        <v>SWANSON BRYCE</v>
      </c>
      <c r="H179" s="20" t="str">
        <f t="shared" si="5"/>
        <v>4011</v>
      </c>
    </row>
    <row r="180" spans="1:8" x14ac:dyDescent="0.25">
      <c r="A180" s="8">
        <v>42998.704837962963</v>
      </c>
      <c r="B180" s="20" t="s">
        <v>485</v>
      </c>
      <c r="C180" s="20" t="s">
        <v>602</v>
      </c>
      <c r="D180" s="138">
        <v>2150000</v>
      </c>
      <c r="E180" s="20" t="s">
        <v>479</v>
      </c>
      <c r="F180" s="20" t="s">
        <v>480</v>
      </c>
      <c r="G180" s="8" t="str">
        <f t="shared" si="4"/>
        <v>SWANSON BRYCE</v>
      </c>
      <c r="H180" s="20" t="str">
        <f t="shared" si="5"/>
        <v>4011</v>
      </c>
    </row>
    <row r="181" spans="1:8" x14ac:dyDescent="0.25">
      <c r="A181" s="8">
        <v>42998.70652777778</v>
      </c>
      <c r="B181" s="20" t="s">
        <v>584</v>
      </c>
      <c r="C181" s="20" t="s">
        <v>775</v>
      </c>
      <c r="D181" s="138">
        <v>2000000</v>
      </c>
      <c r="E181" s="20" t="s">
        <v>409</v>
      </c>
      <c r="F181" s="20" t="s">
        <v>378</v>
      </c>
      <c r="G181" s="8" t="str">
        <f t="shared" si="4"/>
        <v>STAMBAUGH JAMES</v>
      </c>
      <c r="H181" s="20" t="str">
        <f t="shared" si="5"/>
        <v>4059</v>
      </c>
    </row>
    <row r="182" spans="1:8" x14ac:dyDescent="0.25">
      <c r="A182" s="8">
        <v>42998.710127314815</v>
      </c>
      <c r="B182" s="20" t="s">
        <v>393</v>
      </c>
      <c r="C182" s="20" t="s">
        <v>776</v>
      </c>
      <c r="D182" s="138">
        <v>3280000</v>
      </c>
      <c r="E182" s="20" t="s">
        <v>529</v>
      </c>
      <c r="F182" s="20" t="s">
        <v>530</v>
      </c>
      <c r="G182" s="8" t="str">
        <f t="shared" si="4"/>
        <v>BIRKHOLZ NADINE</v>
      </c>
      <c r="H182" s="20" t="str">
        <f t="shared" si="5"/>
        <v>4016</v>
      </c>
    </row>
    <row r="183" spans="1:8" x14ac:dyDescent="0.25">
      <c r="A183" s="8">
        <v>42998.714074074072</v>
      </c>
      <c r="B183" s="20" t="s">
        <v>385</v>
      </c>
      <c r="C183" s="20" t="s">
        <v>777</v>
      </c>
      <c r="D183" s="138">
        <v>2420000</v>
      </c>
      <c r="E183" s="20" t="s">
        <v>726</v>
      </c>
      <c r="F183" s="20" t="s">
        <v>727</v>
      </c>
      <c r="G183" s="8" t="str">
        <f t="shared" si="4"/>
        <v>HOLCOMB KAMDEN</v>
      </c>
      <c r="H183" s="20" t="str">
        <f t="shared" si="5"/>
        <v>4061</v>
      </c>
    </row>
    <row r="184" spans="1:8" x14ac:dyDescent="0.25">
      <c r="A184" s="8">
        <v>42998.714502314811</v>
      </c>
      <c r="B184" s="20" t="s">
        <v>580</v>
      </c>
      <c r="C184" s="20" t="s">
        <v>778</v>
      </c>
      <c r="D184" s="138">
        <v>1300000</v>
      </c>
      <c r="E184" s="20" t="s">
        <v>483</v>
      </c>
      <c r="F184" s="20" t="s">
        <v>484</v>
      </c>
      <c r="G184" s="8" t="str">
        <f t="shared" si="4"/>
        <v>LEVIN SCOTT</v>
      </c>
      <c r="H184" s="20" t="str">
        <f t="shared" si="5"/>
        <v>4042</v>
      </c>
    </row>
    <row r="185" spans="1:8" x14ac:dyDescent="0.25">
      <c r="A185" s="8">
        <v>42998.717662037037</v>
      </c>
      <c r="B185" s="20" t="s">
        <v>474</v>
      </c>
      <c r="C185" s="20" t="s">
        <v>779</v>
      </c>
      <c r="D185" s="138">
        <v>2140000</v>
      </c>
      <c r="E185" s="20" t="s">
        <v>780</v>
      </c>
      <c r="F185" s="20" t="s">
        <v>781</v>
      </c>
      <c r="G185" s="8" t="str">
        <f t="shared" si="4"/>
        <v>ROBINSON KADDIBA</v>
      </c>
      <c r="H185" s="20" t="str">
        <f t="shared" si="5"/>
        <v>4010</v>
      </c>
    </row>
    <row r="186" spans="1:8" x14ac:dyDescent="0.25">
      <c r="A186" s="8">
        <v>42998.723298611112</v>
      </c>
      <c r="B186" s="20" t="s">
        <v>472</v>
      </c>
      <c r="C186" s="20" t="s">
        <v>782</v>
      </c>
      <c r="D186" s="138">
        <v>1770000</v>
      </c>
      <c r="E186" s="20" t="s">
        <v>522</v>
      </c>
      <c r="F186" s="20" t="s">
        <v>523</v>
      </c>
      <c r="G186" s="8" t="str">
        <f t="shared" si="4"/>
        <v>BRUDER RICHARD</v>
      </c>
      <c r="H186" s="20" t="str">
        <f t="shared" si="5"/>
        <v>4039</v>
      </c>
    </row>
    <row r="187" spans="1:8" x14ac:dyDescent="0.25">
      <c r="A187" s="8">
        <v>42998.724027777775</v>
      </c>
      <c r="B187" s="20" t="s">
        <v>411</v>
      </c>
      <c r="C187" s="20" t="s">
        <v>783</v>
      </c>
      <c r="D187" s="138">
        <v>2350000</v>
      </c>
      <c r="E187" s="20" t="s">
        <v>718</v>
      </c>
      <c r="F187" s="20" t="s">
        <v>719</v>
      </c>
      <c r="G187" s="8" t="str">
        <f t="shared" si="4"/>
        <v>BERLING GARY</v>
      </c>
      <c r="H187" s="20" t="str">
        <f t="shared" si="5"/>
        <v>4058</v>
      </c>
    </row>
    <row r="188" spans="1:8" x14ac:dyDescent="0.25">
      <c r="A188" s="8">
        <v>42998.728101851855</v>
      </c>
      <c r="B188" s="20" t="s">
        <v>392</v>
      </c>
      <c r="C188" s="20" t="s">
        <v>606</v>
      </c>
      <c r="D188" s="138">
        <v>3280000</v>
      </c>
      <c r="E188" s="20" t="s">
        <v>529</v>
      </c>
      <c r="F188" s="20" t="s">
        <v>530</v>
      </c>
      <c r="G188" s="8" t="str">
        <f t="shared" si="4"/>
        <v>BIRKHOLZ NADINE</v>
      </c>
      <c r="H188" s="20" t="str">
        <f t="shared" si="5"/>
        <v>4015</v>
      </c>
    </row>
    <row r="189" spans="1:8" x14ac:dyDescent="0.25">
      <c r="A189" s="8">
        <v>42998.729317129626</v>
      </c>
      <c r="B189" s="20" t="s">
        <v>511</v>
      </c>
      <c r="C189" s="20" t="s">
        <v>603</v>
      </c>
      <c r="D189" s="138">
        <v>2150000</v>
      </c>
      <c r="E189" s="20" t="s">
        <v>479</v>
      </c>
      <c r="F189" s="20" t="s">
        <v>480</v>
      </c>
      <c r="G189" s="8" t="str">
        <f t="shared" si="4"/>
        <v>SWANSON BRYCE</v>
      </c>
      <c r="H189" s="20" t="str">
        <f t="shared" si="5"/>
        <v>4012</v>
      </c>
    </row>
    <row r="190" spans="1:8" x14ac:dyDescent="0.25">
      <c r="A190" s="8">
        <v>42998.733622685184</v>
      </c>
      <c r="B190" s="20" t="s">
        <v>528</v>
      </c>
      <c r="C190" s="20" t="s">
        <v>784</v>
      </c>
      <c r="D190" s="138">
        <v>2000000</v>
      </c>
      <c r="E190" s="20" t="s">
        <v>409</v>
      </c>
      <c r="F190" s="20" t="s">
        <v>378</v>
      </c>
      <c r="G190" s="8" t="str">
        <f t="shared" si="4"/>
        <v>STAMBAUGH JAMES</v>
      </c>
      <c r="H190" s="20" t="str">
        <f t="shared" si="5"/>
        <v>4060</v>
      </c>
    </row>
    <row r="191" spans="1:8" x14ac:dyDescent="0.25">
      <c r="A191" s="8">
        <v>42998.734629629631</v>
      </c>
      <c r="B191" s="20" t="s">
        <v>426</v>
      </c>
      <c r="C191" s="20" t="s">
        <v>605</v>
      </c>
      <c r="D191" s="138">
        <v>2040000</v>
      </c>
      <c r="E191" s="20" t="s">
        <v>524</v>
      </c>
      <c r="F191" s="20" t="s">
        <v>525</v>
      </c>
      <c r="G191" s="8" t="str">
        <f t="shared" si="4"/>
        <v>MOSES BRADLEY</v>
      </c>
      <c r="H191" s="20" t="str">
        <f t="shared" si="5"/>
        <v>4043</v>
      </c>
    </row>
    <row r="192" spans="1:8" x14ac:dyDescent="0.25">
      <c r="A192" s="8">
        <v>42998.735138888886</v>
      </c>
      <c r="B192" s="20" t="s">
        <v>589</v>
      </c>
      <c r="C192" s="20" t="s">
        <v>785</v>
      </c>
      <c r="D192" s="138">
        <v>2370000</v>
      </c>
      <c r="E192" s="20" t="s">
        <v>713</v>
      </c>
      <c r="F192" s="20" t="s">
        <v>714</v>
      </c>
      <c r="G192" s="8" t="str">
        <f t="shared" si="4"/>
        <v>DELGADO DIANAH</v>
      </c>
      <c r="H192" s="20" t="str">
        <f t="shared" si="5"/>
        <v>4001</v>
      </c>
    </row>
    <row r="193" spans="1:8" x14ac:dyDescent="0.25">
      <c r="A193" s="8">
        <v>42998.736550925925</v>
      </c>
      <c r="B193" s="20" t="s">
        <v>608</v>
      </c>
      <c r="C193" s="20" t="s">
        <v>609</v>
      </c>
      <c r="D193" s="138">
        <v>2680000</v>
      </c>
      <c r="E193" s="20" t="s">
        <v>383</v>
      </c>
      <c r="F193" s="20" t="s">
        <v>384</v>
      </c>
      <c r="G193" s="8" t="str">
        <f t="shared" si="4"/>
        <v>DUNCAN SHEILA</v>
      </c>
      <c r="H193" s="20" t="str">
        <f t="shared" si="5"/>
        <v>4064</v>
      </c>
    </row>
    <row r="194" spans="1:8" x14ac:dyDescent="0.25">
      <c r="A194" s="8">
        <v>42998.745497685188</v>
      </c>
      <c r="B194" s="20" t="s">
        <v>509</v>
      </c>
      <c r="C194" s="20" t="s">
        <v>786</v>
      </c>
      <c r="D194" s="138">
        <v>3320000</v>
      </c>
      <c r="E194" s="20" t="s">
        <v>395</v>
      </c>
      <c r="F194" s="20" t="s">
        <v>396</v>
      </c>
      <c r="G194" s="8" t="str">
        <f t="shared" si="4"/>
        <v>NICHOLSON WESLEY</v>
      </c>
      <c r="H194" s="20" t="str">
        <f t="shared" si="5"/>
        <v>4027</v>
      </c>
    </row>
    <row r="195" spans="1:8" x14ac:dyDescent="0.25">
      <c r="A195" s="8">
        <v>42998.747511574074</v>
      </c>
      <c r="B195" s="20" t="s">
        <v>394</v>
      </c>
      <c r="C195" s="20" t="s">
        <v>607</v>
      </c>
      <c r="D195" s="138">
        <v>2420000</v>
      </c>
      <c r="E195" s="20" t="s">
        <v>726</v>
      </c>
      <c r="F195" s="20" t="s">
        <v>727</v>
      </c>
      <c r="G195" s="8" t="str">
        <f t="shared" ref="G195:G258" si="6">E195&amp;" "&amp;F195</f>
        <v>HOLCOMB KAMDEN</v>
      </c>
      <c r="H195" s="20" t="str">
        <f t="shared" ref="H195:H258" si="7">MID(B195,13,4)</f>
        <v>4062</v>
      </c>
    </row>
    <row r="196" spans="1:8" x14ac:dyDescent="0.25">
      <c r="A196" s="8">
        <v>42998.747534722221</v>
      </c>
      <c r="B196" s="20" t="s">
        <v>584</v>
      </c>
      <c r="C196" s="20" t="s">
        <v>787</v>
      </c>
      <c r="D196" s="138">
        <v>2000000</v>
      </c>
      <c r="E196" s="20" t="s">
        <v>409</v>
      </c>
      <c r="F196" s="20" t="s">
        <v>378</v>
      </c>
      <c r="G196" s="8" t="str">
        <f t="shared" si="6"/>
        <v>STAMBAUGH JAMES</v>
      </c>
      <c r="H196" s="20" t="str">
        <f t="shared" si="7"/>
        <v>4059</v>
      </c>
    </row>
    <row r="197" spans="1:8" x14ac:dyDescent="0.25">
      <c r="A197" s="8">
        <v>42998.749259259261</v>
      </c>
      <c r="B197" s="20" t="s">
        <v>598</v>
      </c>
      <c r="C197" s="20" t="s">
        <v>788</v>
      </c>
      <c r="D197" s="138">
        <v>1300000</v>
      </c>
      <c r="E197" s="20" t="s">
        <v>483</v>
      </c>
      <c r="F197" s="20" t="s">
        <v>484</v>
      </c>
      <c r="G197" s="8" t="str">
        <f t="shared" si="6"/>
        <v>LEVIN SCOTT</v>
      </c>
      <c r="H197" s="20" t="str">
        <f t="shared" si="7"/>
        <v>4041</v>
      </c>
    </row>
    <row r="198" spans="1:8" x14ac:dyDescent="0.25">
      <c r="A198" s="8">
        <v>42998.753379629627</v>
      </c>
      <c r="B198" s="20" t="s">
        <v>393</v>
      </c>
      <c r="C198" s="20" t="s">
        <v>789</v>
      </c>
      <c r="D198" s="138">
        <v>3280000</v>
      </c>
      <c r="E198" s="20" t="s">
        <v>529</v>
      </c>
      <c r="F198" s="20" t="s">
        <v>530</v>
      </c>
      <c r="G198" s="8" t="str">
        <f t="shared" si="6"/>
        <v>BIRKHOLZ NADINE</v>
      </c>
      <c r="H198" s="20" t="str">
        <f t="shared" si="7"/>
        <v>4016</v>
      </c>
    </row>
    <row r="199" spans="1:8" x14ac:dyDescent="0.25">
      <c r="A199" s="8">
        <v>42998.757256944446</v>
      </c>
      <c r="B199" s="20" t="s">
        <v>478</v>
      </c>
      <c r="C199" s="20" t="s">
        <v>790</v>
      </c>
      <c r="D199" s="138">
        <v>890000</v>
      </c>
      <c r="E199" s="20" t="s">
        <v>371</v>
      </c>
      <c r="F199" s="20" t="s">
        <v>372</v>
      </c>
      <c r="G199" s="8" t="str">
        <f t="shared" si="6"/>
        <v>LOZA FIDEL</v>
      </c>
      <c r="H199" s="20" t="str">
        <f t="shared" si="7"/>
        <v>4040</v>
      </c>
    </row>
    <row r="200" spans="1:8" x14ac:dyDescent="0.25">
      <c r="A200" s="8">
        <v>42998.763321759259</v>
      </c>
      <c r="B200" s="20" t="s">
        <v>434</v>
      </c>
      <c r="C200" s="20" t="s">
        <v>612</v>
      </c>
      <c r="D200" s="138">
        <v>2350000</v>
      </c>
      <c r="E200" s="20" t="s">
        <v>718</v>
      </c>
      <c r="F200" s="20" t="s">
        <v>719</v>
      </c>
      <c r="G200" s="8" t="str">
        <f t="shared" si="6"/>
        <v>BERLING GARY</v>
      </c>
      <c r="H200" s="20" t="str">
        <f t="shared" si="7"/>
        <v>4057</v>
      </c>
    </row>
    <row r="201" spans="1:8" x14ac:dyDescent="0.25">
      <c r="A201" s="8">
        <v>42998.768391203703</v>
      </c>
      <c r="B201" s="20" t="s">
        <v>510</v>
      </c>
      <c r="C201" s="20" t="s">
        <v>791</v>
      </c>
      <c r="D201" s="138">
        <v>3190000</v>
      </c>
      <c r="E201" s="20" t="s">
        <v>388</v>
      </c>
      <c r="F201" s="20" t="s">
        <v>389</v>
      </c>
      <c r="G201" s="8" t="str">
        <f t="shared" si="6"/>
        <v>HART KEVIN</v>
      </c>
      <c r="H201" s="20" t="str">
        <f t="shared" si="7"/>
        <v>4044</v>
      </c>
    </row>
    <row r="202" spans="1:8" x14ac:dyDescent="0.25">
      <c r="A202" s="26">
        <v>42998.769641203704</v>
      </c>
      <c r="B202" s="20" t="s">
        <v>578</v>
      </c>
      <c r="C202" s="20" t="s">
        <v>792</v>
      </c>
      <c r="D202" s="138">
        <v>2680000</v>
      </c>
      <c r="E202" s="20" t="s">
        <v>383</v>
      </c>
      <c r="F202" s="20" t="s">
        <v>384</v>
      </c>
      <c r="G202" s="8" t="str">
        <f t="shared" si="6"/>
        <v>DUNCAN SHEILA</v>
      </c>
      <c r="H202" s="20" t="str">
        <f t="shared" si="7"/>
        <v>4063</v>
      </c>
    </row>
    <row r="203" spans="1:8" x14ac:dyDescent="0.25">
      <c r="A203" s="8">
        <v>42998.774907407409</v>
      </c>
      <c r="B203" s="20" t="s">
        <v>528</v>
      </c>
      <c r="C203" s="20" t="s">
        <v>610</v>
      </c>
      <c r="D203" s="138">
        <v>2000000</v>
      </c>
      <c r="E203" s="20" t="s">
        <v>409</v>
      </c>
      <c r="F203" s="20" t="s">
        <v>378</v>
      </c>
      <c r="G203" s="8" t="str">
        <f t="shared" si="6"/>
        <v>STAMBAUGH JAMES</v>
      </c>
      <c r="H203" s="20" t="str">
        <f t="shared" si="7"/>
        <v>4060</v>
      </c>
    </row>
    <row r="204" spans="1:8" x14ac:dyDescent="0.25">
      <c r="A204" s="8">
        <v>42998.774907407409</v>
      </c>
      <c r="B204" s="20" t="s">
        <v>392</v>
      </c>
      <c r="C204" s="20" t="s">
        <v>793</v>
      </c>
      <c r="D204" s="138">
        <v>3280000</v>
      </c>
      <c r="E204" s="20" t="s">
        <v>529</v>
      </c>
      <c r="F204" s="20" t="s">
        <v>530</v>
      </c>
      <c r="G204" s="8" t="str">
        <f t="shared" si="6"/>
        <v>BIRKHOLZ NADINE</v>
      </c>
      <c r="H204" s="20" t="str">
        <f t="shared" si="7"/>
        <v>4015</v>
      </c>
    </row>
    <row r="205" spans="1:8" x14ac:dyDescent="0.25">
      <c r="A205" s="8">
        <v>42998.77542824074</v>
      </c>
      <c r="B205" s="20" t="s">
        <v>634</v>
      </c>
      <c r="C205" s="20" t="s">
        <v>794</v>
      </c>
      <c r="D205" s="138">
        <v>2370000</v>
      </c>
      <c r="E205" s="20" t="s">
        <v>713</v>
      </c>
      <c r="F205" s="20" t="s">
        <v>714</v>
      </c>
      <c r="G205" s="8" t="str">
        <f t="shared" si="6"/>
        <v>DELGADO DIANAH</v>
      </c>
      <c r="H205" s="20" t="str">
        <f t="shared" si="7"/>
        <v>4002</v>
      </c>
    </row>
    <row r="206" spans="1:8" x14ac:dyDescent="0.25">
      <c r="A206" s="8">
        <v>42998.787002314813</v>
      </c>
      <c r="B206" s="20" t="s">
        <v>580</v>
      </c>
      <c r="C206" s="20" t="s">
        <v>795</v>
      </c>
      <c r="D206" s="138">
        <v>2620000</v>
      </c>
      <c r="E206" s="20" t="s">
        <v>386</v>
      </c>
      <c r="F206" s="20" t="s">
        <v>387</v>
      </c>
      <c r="G206" s="8" t="str">
        <f t="shared" si="6"/>
        <v>PERKINS DARREN</v>
      </c>
      <c r="H206" s="20" t="str">
        <f t="shared" si="7"/>
        <v>4042</v>
      </c>
    </row>
    <row r="207" spans="1:8" x14ac:dyDescent="0.25">
      <c r="A207" s="8">
        <v>42998.787118055552</v>
      </c>
      <c r="B207" s="20" t="s">
        <v>385</v>
      </c>
      <c r="C207" s="20" t="s">
        <v>613</v>
      </c>
      <c r="D207" s="138">
        <v>2420000</v>
      </c>
      <c r="E207" s="20" t="s">
        <v>726</v>
      </c>
      <c r="F207" s="20" t="s">
        <v>727</v>
      </c>
      <c r="G207" s="8" t="str">
        <f t="shared" si="6"/>
        <v>HOLCOMB KAMDEN</v>
      </c>
      <c r="H207" s="20" t="str">
        <f t="shared" si="7"/>
        <v>4061</v>
      </c>
    </row>
    <row r="208" spans="1:8" x14ac:dyDescent="0.25">
      <c r="A208" s="8">
        <v>42998.78869212963</v>
      </c>
      <c r="B208" s="20" t="s">
        <v>584</v>
      </c>
      <c r="C208" s="20" t="s">
        <v>611</v>
      </c>
      <c r="D208" s="138">
        <v>2000000</v>
      </c>
      <c r="E208" s="20" t="s">
        <v>409</v>
      </c>
      <c r="F208" s="20" t="s">
        <v>378</v>
      </c>
      <c r="G208" s="8" t="str">
        <f t="shared" si="6"/>
        <v>STAMBAUGH JAMES</v>
      </c>
      <c r="H208" s="20" t="str">
        <f t="shared" si="7"/>
        <v>4059</v>
      </c>
    </row>
    <row r="209" spans="1:8" x14ac:dyDescent="0.25">
      <c r="A209" s="8">
        <v>42998.794050925928</v>
      </c>
      <c r="B209" s="20" t="s">
        <v>393</v>
      </c>
      <c r="C209" s="20" t="s">
        <v>796</v>
      </c>
      <c r="D209" s="138">
        <v>3280000</v>
      </c>
      <c r="E209" s="20" t="s">
        <v>529</v>
      </c>
      <c r="F209" s="20" t="s">
        <v>530</v>
      </c>
      <c r="G209" s="8" t="str">
        <f t="shared" si="6"/>
        <v>BIRKHOLZ NADINE</v>
      </c>
      <c r="H209" s="20" t="str">
        <f t="shared" si="7"/>
        <v>4016</v>
      </c>
    </row>
    <row r="210" spans="1:8" x14ac:dyDescent="0.25">
      <c r="A210" s="8">
        <v>42998.797083333331</v>
      </c>
      <c r="B210" s="20" t="s">
        <v>472</v>
      </c>
      <c r="C210" s="20" t="s">
        <v>797</v>
      </c>
      <c r="D210" s="138">
        <v>890000</v>
      </c>
      <c r="E210" s="20" t="s">
        <v>371</v>
      </c>
      <c r="F210" s="20" t="s">
        <v>372</v>
      </c>
      <c r="G210" s="8" t="str">
        <f t="shared" si="6"/>
        <v>LOZA FIDEL</v>
      </c>
      <c r="H210" s="20" t="str">
        <f t="shared" si="7"/>
        <v>4039</v>
      </c>
    </row>
    <row r="211" spans="1:8" x14ac:dyDescent="0.25">
      <c r="A211" s="8">
        <v>42998.797708333332</v>
      </c>
      <c r="B211" s="20" t="s">
        <v>411</v>
      </c>
      <c r="C211" s="20" t="s">
        <v>798</v>
      </c>
      <c r="D211" s="138">
        <v>2350000</v>
      </c>
      <c r="E211" s="20" t="s">
        <v>718</v>
      </c>
      <c r="F211" s="20" t="s">
        <v>719</v>
      </c>
      <c r="G211" s="8" t="str">
        <f t="shared" si="6"/>
        <v>BERLING GARY</v>
      </c>
      <c r="H211" s="20" t="str">
        <f t="shared" si="7"/>
        <v>4058</v>
      </c>
    </row>
    <row r="212" spans="1:8" x14ac:dyDescent="0.25">
      <c r="A212" s="8">
        <v>42998.807951388888</v>
      </c>
      <c r="B212" s="20" t="s">
        <v>426</v>
      </c>
      <c r="C212" s="20" t="s">
        <v>799</v>
      </c>
      <c r="D212" s="138">
        <v>3190000</v>
      </c>
      <c r="E212" s="20" t="s">
        <v>388</v>
      </c>
      <c r="F212" s="20" t="s">
        <v>389</v>
      </c>
      <c r="G212" s="8" t="str">
        <f t="shared" si="6"/>
        <v>HART KEVIN</v>
      </c>
      <c r="H212" s="20" t="str">
        <f t="shared" si="7"/>
        <v>4043</v>
      </c>
    </row>
    <row r="213" spans="1:8" x14ac:dyDescent="0.25">
      <c r="A213" s="8">
        <v>42998.809606481482</v>
      </c>
      <c r="B213" s="20" t="s">
        <v>608</v>
      </c>
      <c r="C213" s="20" t="s">
        <v>800</v>
      </c>
      <c r="D213" s="138">
        <v>3320000</v>
      </c>
      <c r="E213" s="20" t="s">
        <v>395</v>
      </c>
      <c r="F213" s="20" t="s">
        <v>396</v>
      </c>
      <c r="G213" s="8" t="str">
        <f t="shared" si="6"/>
        <v>NICHOLSON WESLEY</v>
      </c>
      <c r="H213" s="20" t="str">
        <f t="shared" si="7"/>
        <v>4064</v>
      </c>
    </row>
    <row r="214" spans="1:8" x14ac:dyDescent="0.25">
      <c r="A214" s="8">
        <v>42998.813425925924</v>
      </c>
      <c r="B214" s="20" t="s">
        <v>445</v>
      </c>
      <c r="C214" s="20" t="s">
        <v>801</v>
      </c>
      <c r="D214" s="138">
        <v>3310000</v>
      </c>
      <c r="E214" s="20" t="s">
        <v>802</v>
      </c>
      <c r="F214" s="20" t="s">
        <v>803</v>
      </c>
      <c r="G214" s="8" t="str">
        <f t="shared" si="6"/>
        <v>ANDERS STEVEN</v>
      </c>
      <c r="H214" s="20" t="str">
        <f t="shared" si="7"/>
        <v>4023</v>
      </c>
    </row>
    <row r="215" spans="1:8" x14ac:dyDescent="0.25">
      <c r="A215" s="8">
        <v>42998.814050925925</v>
      </c>
      <c r="B215" s="20" t="s">
        <v>445</v>
      </c>
      <c r="C215" s="20" t="s">
        <v>801</v>
      </c>
      <c r="D215" s="138">
        <v>3310000</v>
      </c>
      <c r="E215" s="20" t="s">
        <v>802</v>
      </c>
      <c r="F215" s="20" t="s">
        <v>803</v>
      </c>
      <c r="G215" s="8" t="str">
        <f t="shared" si="6"/>
        <v>ANDERS STEVEN</v>
      </c>
      <c r="H215" s="20" t="str">
        <f t="shared" si="7"/>
        <v>4023</v>
      </c>
    </row>
    <row r="216" spans="1:8" x14ac:dyDescent="0.25">
      <c r="A216" s="8">
        <v>42998.815462962964</v>
      </c>
      <c r="B216" s="20" t="s">
        <v>445</v>
      </c>
      <c r="C216" s="20" t="s">
        <v>801</v>
      </c>
      <c r="D216" s="138">
        <v>3310000</v>
      </c>
      <c r="E216" s="20" t="s">
        <v>802</v>
      </c>
      <c r="F216" s="20" t="s">
        <v>803</v>
      </c>
      <c r="G216" s="8" t="str">
        <f t="shared" si="6"/>
        <v>ANDERS STEVEN</v>
      </c>
      <c r="H216" s="20" t="str">
        <f t="shared" si="7"/>
        <v>4023</v>
      </c>
    </row>
    <row r="217" spans="1:8" x14ac:dyDescent="0.25">
      <c r="A217" s="8">
        <v>42998.817754629628</v>
      </c>
      <c r="B217" s="20" t="s">
        <v>392</v>
      </c>
      <c r="C217" s="20" t="s">
        <v>804</v>
      </c>
      <c r="D217" s="138">
        <v>3280000</v>
      </c>
      <c r="E217" s="20" t="s">
        <v>529</v>
      </c>
      <c r="F217" s="20" t="s">
        <v>530</v>
      </c>
      <c r="G217" s="8" t="str">
        <f t="shared" si="6"/>
        <v>BIRKHOLZ NADINE</v>
      </c>
      <c r="H217" s="20" t="str">
        <f t="shared" si="7"/>
        <v>4015</v>
      </c>
    </row>
    <row r="218" spans="1:8" x14ac:dyDescent="0.25">
      <c r="A218" s="8">
        <v>42998.821087962962</v>
      </c>
      <c r="B218" s="20" t="s">
        <v>598</v>
      </c>
      <c r="C218" s="20" t="s">
        <v>805</v>
      </c>
      <c r="D218" s="138">
        <v>2620000</v>
      </c>
      <c r="E218" s="20" t="s">
        <v>386</v>
      </c>
      <c r="F218" s="20" t="s">
        <v>387</v>
      </c>
      <c r="G218" s="8" t="str">
        <f t="shared" si="6"/>
        <v>PERKINS DARREN</v>
      </c>
      <c r="H218" s="20" t="str">
        <f t="shared" si="7"/>
        <v>4041</v>
      </c>
    </row>
    <row r="219" spans="1:8" x14ac:dyDescent="0.25">
      <c r="A219" s="8">
        <v>42998.821412037039</v>
      </c>
      <c r="B219" s="20" t="s">
        <v>394</v>
      </c>
      <c r="C219" s="20" t="s">
        <v>806</v>
      </c>
      <c r="D219" s="138">
        <v>2420000</v>
      </c>
      <c r="E219" s="20" t="s">
        <v>726</v>
      </c>
      <c r="F219" s="20" t="s">
        <v>727</v>
      </c>
      <c r="G219" s="8" t="str">
        <f t="shared" si="6"/>
        <v>HOLCOMB KAMDEN</v>
      </c>
      <c r="H219" s="20" t="str">
        <f t="shared" si="7"/>
        <v>4062</v>
      </c>
    </row>
    <row r="220" spans="1:8" x14ac:dyDescent="0.25">
      <c r="A220" s="8">
        <v>42998.825243055559</v>
      </c>
      <c r="B220" s="20" t="s">
        <v>446</v>
      </c>
      <c r="C220" s="20" t="s">
        <v>615</v>
      </c>
      <c r="D220" s="138">
        <v>3310000</v>
      </c>
      <c r="E220" s="20" t="s">
        <v>802</v>
      </c>
      <c r="F220" s="20" t="s">
        <v>803</v>
      </c>
      <c r="G220" s="8" t="str">
        <f t="shared" si="6"/>
        <v>ANDERS STEVEN</v>
      </c>
      <c r="H220" s="20" t="str">
        <f t="shared" si="7"/>
        <v>4024</v>
      </c>
    </row>
    <row r="221" spans="1:8" x14ac:dyDescent="0.25">
      <c r="A221" s="8">
        <v>42998.831018518518</v>
      </c>
      <c r="B221" s="20" t="s">
        <v>478</v>
      </c>
      <c r="C221" s="20" t="s">
        <v>807</v>
      </c>
      <c r="D221" s="138">
        <v>890000</v>
      </c>
      <c r="E221" s="20" t="s">
        <v>371</v>
      </c>
      <c r="F221" s="20" t="s">
        <v>372</v>
      </c>
      <c r="G221" s="8" t="str">
        <f t="shared" si="6"/>
        <v>LOZA FIDEL</v>
      </c>
      <c r="H221" s="20" t="str">
        <f t="shared" si="7"/>
        <v>4040</v>
      </c>
    </row>
    <row r="222" spans="1:8" x14ac:dyDescent="0.25">
      <c r="A222" s="8">
        <v>42998.834050925929</v>
      </c>
      <c r="B222" s="20" t="s">
        <v>393</v>
      </c>
      <c r="C222" s="20" t="s">
        <v>808</v>
      </c>
      <c r="D222" s="138">
        <v>1180000</v>
      </c>
      <c r="E222" s="20" t="s">
        <v>481</v>
      </c>
      <c r="F222" s="20" t="s">
        <v>482</v>
      </c>
      <c r="G222" s="8" t="str">
        <f t="shared" si="6"/>
        <v>LEVERE CRAIG</v>
      </c>
      <c r="H222" s="20" t="str">
        <f t="shared" si="7"/>
        <v>4016</v>
      </c>
    </row>
    <row r="223" spans="1:8" x14ac:dyDescent="0.25">
      <c r="A223" s="8">
        <v>42998.848993055559</v>
      </c>
      <c r="B223" s="20" t="s">
        <v>578</v>
      </c>
      <c r="C223" s="20" t="s">
        <v>809</v>
      </c>
      <c r="D223" s="138">
        <v>3320000</v>
      </c>
      <c r="E223" s="20" t="s">
        <v>395</v>
      </c>
      <c r="F223" s="20" t="s">
        <v>396</v>
      </c>
      <c r="G223" s="8" t="str">
        <f t="shared" si="6"/>
        <v>NICHOLSON WESLEY</v>
      </c>
      <c r="H223" s="20" t="str">
        <f t="shared" si="7"/>
        <v>4063</v>
      </c>
    </row>
    <row r="224" spans="1:8" x14ac:dyDescent="0.25">
      <c r="A224" s="8">
        <v>42998.850902777776</v>
      </c>
      <c r="B224" t="s">
        <v>510</v>
      </c>
      <c r="C224" t="s">
        <v>810</v>
      </c>
      <c r="D224" s="138">
        <v>3190000</v>
      </c>
      <c r="E224" t="s">
        <v>388</v>
      </c>
      <c r="F224" s="20" t="s">
        <v>389</v>
      </c>
      <c r="G224" s="8" t="str">
        <f t="shared" si="6"/>
        <v>HART KEVIN</v>
      </c>
      <c r="H224" s="20" t="str">
        <f t="shared" si="7"/>
        <v>4044</v>
      </c>
    </row>
    <row r="225" spans="1:8" x14ac:dyDescent="0.25">
      <c r="A225" s="8">
        <v>42998.853009259263</v>
      </c>
      <c r="B225" t="s">
        <v>392</v>
      </c>
      <c r="C225" t="s">
        <v>811</v>
      </c>
      <c r="D225" s="138">
        <v>1180000</v>
      </c>
      <c r="E225" t="s">
        <v>481</v>
      </c>
      <c r="F225" s="20" t="s">
        <v>482</v>
      </c>
      <c r="G225" s="8" t="str">
        <f t="shared" si="6"/>
        <v>LEVERE CRAIG</v>
      </c>
      <c r="H225" s="20" t="str">
        <f t="shared" si="7"/>
        <v>4015</v>
      </c>
    </row>
    <row r="226" spans="1:8" x14ac:dyDescent="0.25">
      <c r="A226" s="8">
        <v>42998.862638888888</v>
      </c>
      <c r="B226" t="s">
        <v>580</v>
      </c>
      <c r="C226" t="s">
        <v>812</v>
      </c>
      <c r="D226" s="138">
        <v>2620000</v>
      </c>
      <c r="E226" t="s">
        <v>386</v>
      </c>
      <c r="F226" s="20" t="s">
        <v>387</v>
      </c>
      <c r="G226" s="8" t="str">
        <f t="shared" si="6"/>
        <v>PERKINS DARREN</v>
      </c>
      <c r="H226" s="20" t="str">
        <f t="shared" si="7"/>
        <v>4042</v>
      </c>
    </row>
    <row r="227" spans="1:8" x14ac:dyDescent="0.25">
      <c r="A227" s="8">
        <v>42998.864039351851</v>
      </c>
      <c r="B227" t="s">
        <v>445</v>
      </c>
      <c r="C227" t="s">
        <v>801</v>
      </c>
      <c r="D227" s="138">
        <v>3310000</v>
      </c>
      <c r="E227" t="s">
        <v>802</v>
      </c>
      <c r="F227" s="20" t="s">
        <v>803</v>
      </c>
      <c r="G227" s="8" t="str">
        <f t="shared" si="6"/>
        <v>ANDERS STEVEN</v>
      </c>
      <c r="H227" s="20" t="str">
        <f t="shared" si="7"/>
        <v>4023</v>
      </c>
    </row>
    <row r="228" spans="1:8" x14ac:dyDescent="0.25">
      <c r="A228" s="8">
        <v>42998.871388888889</v>
      </c>
      <c r="B228" t="s">
        <v>472</v>
      </c>
      <c r="C228" t="s">
        <v>813</v>
      </c>
      <c r="D228" s="138">
        <v>890000</v>
      </c>
      <c r="E228" t="s">
        <v>371</v>
      </c>
      <c r="F228" s="20" t="s">
        <v>372</v>
      </c>
      <c r="G228" s="8" t="str">
        <f t="shared" si="6"/>
        <v>LOZA FIDEL</v>
      </c>
      <c r="H228" s="20" t="str">
        <f t="shared" si="7"/>
        <v>4039</v>
      </c>
    </row>
    <row r="229" spans="1:8" x14ac:dyDescent="0.25">
      <c r="A229" s="8">
        <v>42998.8750462963</v>
      </c>
      <c r="B229" t="s">
        <v>393</v>
      </c>
      <c r="C229" t="s">
        <v>814</v>
      </c>
      <c r="D229" s="138">
        <v>2000000</v>
      </c>
      <c r="E229" t="s">
        <v>409</v>
      </c>
      <c r="F229" s="20" t="s">
        <v>378</v>
      </c>
      <c r="G229" s="8" t="str">
        <f t="shared" si="6"/>
        <v>STAMBAUGH JAMES</v>
      </c>
      <c r="H229" s="20" t="str">
        <f t="shared" si="7"/>
        <v>4016</v>
      </c>
    </row>
    <row r="230" spans="1:8" x14ac:dyDescent="0.25">
      <c r="A230" s="8">
        <v>42998.887002314812</v>
      </c>
      <c r="B230" t="s">
        <v>608</v>
      </c>
      <c r="C230" t="s">
        <v>815</v>
      </c>
      <c r="D230" s="138">
        <v>2680000</v>
      </c>
      <c r="E230" t="s">
        <v>383</v>
      </c>
      <c r="F230" s="20" t="s">
        <v>384</v>
      </c>
      <c r="G230" s="8" t="str">
        <f t="shared" si="6"/>
        <v>DUNCAN SHEILA</v>
      </c>
      <c r="H230" s="20" t="str">
        <f t="shared" si="7"/>
        <v>4064</v>
      </c>
    </row>
    <row r="231" spans="1:8" x14ac:dyDescent="0.25">
      <c r="A231" s="8">
        <v>42998.891469907408</v>
      </c>
      <c r="B231" t="s">
        <v>426</v>
      </c>
      <c r="C231" t="s">
        <v>816</v>
      </c>
      <c r="D231" s="138">
        <v>3190000</v>
      </c>
      <c r="E231" t="s">
        <v>388</v>
      </c>
      <c r="F231" s="20" t="s">
        <v>389</v>
      </c>
      <c r="G231" s="8" t="str">
        <f t="shared" si="6"/>
        <v>HART KEVIN</v>
      </c>
      <c r="H231" s="20" t="str">
        <f t="shared" si="7"/>
        <v>4043</v>
      </c>
    </row>
    <row r="232" spans="1:8" x14ac:dyDescent="0.25">
      <c r="A232" s="8">
        <v>42998.892708333333</v>
      </c>
      <c r="B232" t="s">
        <v>392</v>
      </c>
      <c r="C232" t="s">
        <v>817</v>
      </c>
      <c r="D232" s="138">
        <v>2000000</v>
      </c>
      <c r="E232" t="s">
        <v>409</v>
      </c>
      <c r="F232" s="20" t="s">
        <v>378</v>
      </c>
      <c r="G232" s="8" t="str">
        <f t="shared" si="6"/>
        <v>STAMBAUGH JAMES</v>
      </c>
      <c r="H232" s="20" t="str">
        <f t="shared" si="7"/>
        <v>4015</v>
      </c>
    </row>
    <row r="233" spans="1:8" x14ac:dyDescent="0.25">
      <c r="A233" s="8">
        <v>42998.897546296299</v>
      </c>
      <c r="B233" t="s">
        <v>446</v>
      </c>
      <c r="C233" t="s">
        <v>615</v>
      </c>
      <c r="D233" s="138">
        <v>3310000</v>
      </c>
      <c r="E233" t="s">
        <v>802</v>
      </c>
      <c r="F233" s="20" t="s">
        <v>803</v>
      </c>
      <c r="G233" s="8" t="str">
        <f t="shared" si="6"/>
        <v>ANDERS STEVEN</v>
      </c>
      <c r="H233" s="20" t="str">
        <f t="shared" si="7"/>
        <v>4024</v>
      </c>
    </row>
    <row r="234" spans="1:8" x14ac:dyDescent="0.25">
      <c r="A234" s="8">
        <v>42998.90520833333</v>
      </c>
      <c r="B234" t="s">
        <v>598</v>
      </c>
      <c r="C234" t="s">
        <v>818</v>
      </c>
      <c r="D234" s="138">
        <v>2620000</v>
      </c>
      <c r="E234" t="s">
        <v>386</v>
      </c>
      <c r="F234" s="20" t="s">
        <v>387</v>
      </c>
      <c r="G234" s="8" t="str">
        <f t="shared" si="6"/>
        <v>PERKINS DARREN</v>
      </c>
      <c r="H234" s="20" t="str">
        <f t="shared" si="7"/>
        <v>4041</v>
      </c>
    </row>
    <row r="235" spans="1:8" x14ac:dyDescent="0.25">
      <c r="A235" s="8">
        <v>42998.906215277777</v>
      </c>
      <c r="B235" t="s">
        <v>478</v>
      </c>
      <c r="C235" t="s">
        <v>819</v>
      </c>
      <c r="D235" s="138">
        <v>890000</v>
      </c>
      <c r="E235" t="s">
        <v>371</v>
      </c>
      <c r="F235" s="20" t="s">
        <v>372</v>
      </c>
      <c r="G235" s="8" t="str">
        <f t="shared" si="6"/>
        <v>LOZA FIDEL</v>
      </c>
      <c r="H235" s="20" t="str">
        <f t="shared" si="7"/>
        <v>4040</v>
      </c>
    </row>
    <row r="236" spans="1:8" x14ac:dyDescent="0.25">
      <c r="A236" s="8">
        <v>42998.916921296295</v>
      </c>
      <c r="B236" t="s">
        <v>445</v>
      </c>
      <c r="C236" t="s">
        <v>615</v>
      </c>
      <c r="D236" s="138">
        <v>3310000</v>
      </c>
      <c r="E236" t="s">
        <v>802</v>
      </c>
      <c r="F236" s="20" t="s">
        <v>803</v>
      </c>
      <c r="G236" s="8" t="str">
        <f t="shared" si="6"/>
        <v>ANDERS STEVEN</v>
      </c>
      <c r="H236" s="20" t="str">
        <f t="shared" si="7"/>
        <v>4023</v>
      </c>
    </row>
    <row r="237" spans="1:8" x14ac:dyDescent="0.25">
      <c r="A237" s="8">
        <v>42998.927002314813</v>
      </c>
      <c r="B237" t="s">
        <v>578</v>
      </c>
      <c r="C237" t="s">
        <v>820</v>
      </c>
      <c r="D237" s="138">
        <v>2680000</v>
      </c>
      <c r="E237" t="s">
        <v>383</v>
      </c>
      <c r="F237" s="20" t="s">
        <v>384</v>
      </c>
      <c r="G237" s="8" t="str">
        <f t="shared" si="6"/>
        <v>DUNCAN SHEILA</v>
      </c>
      <c r="H237" s="20" t="str">
        <f t="shared" si="7"/>
        <v>4063</v>
      </c>
    </row>
    <row r="238" spans="1:8" x14ac:dyDescent="0.25">
      <c r="A238" s="8">
        <v>42998.927025462966</v>
      </c>
      <c r="B238" t="s">
        <v>510</v>
      </c>
      <c r="C238" t="s">
        <v>821</v>
      </c>
      <c r="D238" s="138">
        <v>3220000</v>
      </c>
      <c r="E238" t="s">
        <v>453</v>
      </c>
      <c r="F238" s="20" t="s">
        <v>454</v>
      </c>
      <c r="G238" s="8" t="str">
        <f t="shared" si="6"/>
        <v>RESPASS AARON</v>
      </c>
      <c r="H238" s="20" t="str">
        <f t="shared" si="7"/>
        <v>4044</v>
      </c>
    </row>
    <row r="239" spans="1:8" x14ac:dyDescent="0.25">
      <c r="A239" s="8">
        <v>42998.944803240738</v>
      </c>
      <c r="B239" t="s">
        <v>580</v>
      </c>
      <c r="C239" t="s">
        <v>822</v>
      </c>
      <c r="D239" s="138">
        <v>2620000</v>
      </c>
      <c r="E239" t="s">
        <v>386</v>
      </c>
      <c r="F239" s="20" t="s">
        <v>387</v>
      </c>
      <c r="G239" s="8" t="str">
        <f t="shared" si="6"/>
        <v>PERKINS DARREN</v>
      </c>
      <c r="H239" s="20" t="str">
        <f t="shared" si="7"/>
        <v>4042</v>
      </c>
    </row>
    <row r="240" spans="1:8" x14ac:dyDescent="0.25">
      <c r="A240" s="8">
        <v>42998.954826388886</v>
      </c>
      <c r="B240" t="s">
        <v>472</v>
      </c>
      <c r="C240" t="s">
        <v>823</v>
      </c>
      <c r="D240" s="138">
        <v>890000</v>
      </c>
      <c r="E240" t="s">
        <v>371</v>
      </c>
      <c r="F240" s="20" t="s">
        <v>372</v>
      </c>
      <c r="G240" s="8" t="str">
        <f t="shared" si="6"/>
        <v>LOZA FIDEL</v>
      </c>
      <c r="H240" s="20" t="str">
        <f t="shared" si="7"/>
        <v>4039</v>
      </c>
    </row>
    <row r="241" spans="1:8" x14ac:dyDescent="0.25">
      <c r="A241" s="8">
        <v>42998.964224537034</v>
      </c>
      <c r="B241" t="s">
        <v>446</v>
      </c>
      <c r="C241" t="s">
        <v>615</v>
      </c>
      <c r="D241" s="138">
        <v>3310000</v>
      </c>
      <c r="E241" t="s">
        <v>802</v>
      </c>
      <c r="F241" s="20" t="s">
        <v>803</v>
      </c>
      <c r="G241" s="8" t="str">
        <f t="shared" si="6"/>
        <v>ANDERS STEVEN</v>
      </c>
      <c r="H241" s="20" t="str">
        <f t="shared" si="7"/>
        <v>4024</v>
      </c>
    </row>
    <row r="242" spans="1:8" x14ac:dyDescent="0.25">
      <c r="A242" s="8">
        <v>42998.964236111111</v>
      </c>
      <c r="B242" t="s">
        <v>608</v>
      </c>
      <c r="C242" t="s">
        <v>820</v>
      </c>
      <c r="D242" s="138">
        <v>2680000</v>
      </c>
      <c r="E242" t="s">
        <v>383</v>
      </c>
      <c r="F242" s="20" t="s">
        <v>384</v>
      </c>
      <c r="G242" s="8" t="str">
        <f t="shared" si="6"/>
        <v>DUNCAN SHEILA</v>
      </c>
      <c r="H242" s="20" t="str">
        <f t="shared" si="7"/>
        <v>4064</v>
      </c>
    </row>
    <row r="243" spans="1:8" x14ac:dyDescent="0.25">
      <c r="A243" s="8">
        <v>42998.964398148149</v>
      </c>
      <c r="B243" t="s">
        <v>426</v>
      </c>
      <c r="C243" t="s">
        <v>614</v>
      </c>
      <c r="D243" s="138">
        <v>3220000</v>
      </c>
      <c r="E243" t="s">
        <v>453</v>
      </c>
      <c r="F243" s="20" t="s">
        <v>454</v>
      </c>
      <c r="G243" s="8" t="str">
        <f t="shared" si="6"/>
        <v>RESPASS AARON</v>
      </c>
      <c r="H243" s="20" t="str">
        <f t="shared" si="7"/>
        <v>4043</v>
      </c>
    </row>
    <row r="244" spans="1:8" x14ac:dyDescent="0.25">
      <c r="A244" s="8">
        <v>42998.964872685188</v>
      </c>
      <c r="B244" t="s">
        <v>608</v>
      </c>
      <c r="C244" t="s">
        <v>824</v>
      </c>
      <c r="D244" s="138">
        <v>2680000</v>
      </c>
      <c r="E244" t="s">
        <v>383</v>
      </c>
      <c r="F244" s="20" t="s">
        <v>384</v>
      </c>
      <c r="G244" s="8" t="str">
        <f t="shared" si="6"/>
        <v>DUNCAN SHEILA</v>
      </c>
      <c r="H244" s="20" t="str">
        <f t="shared" si="7"/>
        <v>4064</v>
      </c>
    </row>
    <row r="245" spans="1:8" x14ac:dyDescent="0.25">
      <c r="A245" s="8">
        <v>42998.970520833333</v>
      </c>
      <c r="B245" t="s">
        <v>445</v>
      </c>
      <c r="C245" t="s">
        <v>615</v>
      </c>
      <c r="D245" s="138">
        <v>3310000</v>
      </c>
      <c r="E245" t="s">
        <v>802</v>
      </c>
      <c r="F245" s="20" t="s">
        <v>803</v>
      </c>
      <c r="G245" s="8" t="str">
        <f t="shared" si="6"/>
        <v>ANDERS STEVEN</v>
      </c>
      <c r="H245" s="20" t="str">
        <f t="shared" si="7"/>
        <v>4023</v>
      </c>
    </row>
    <row r="246" spans="1:8" x14ac:dyDescent="0.25">
      <c r="A246" s="8">
        <v>42998.977326388886</v>
      </c>
      <c r="B246" t="s">
        <v>446</v>
      </c>
      <c r="C246" t="s">
        <v>615</v>
      </c>
      <c r="D246" s="138">
        <v>3310000</v>
      </c>
      <c r="E246" t="s">
        <v>802</v>
      </c>
      <c r="F246" s="20" t="s">
        <v>803</v>
      </c>
      <c r="G246" s="8" t="str">
        <f t="shared" si="6"/>
        <v>ANDERS STEVEN</v>
      </c>
      <c r="H246" s="20" t="str">
        <f t="shared" si="7"/>
        <v>4024</v>
      </c>
    </row>
    <row r="247" spans="1:8" x14ac:dyDescent="0.25">
      <c r="A247" s="8">
        <v>42998.983159722222</v>
      </c>
      <c r="B247" t="s">
        <v>445</v>
      </c>
      <c r="C247" t="s">
        <v>615</v>
      </c>
      <c r="D247" s="138">
        <v>3310000</v>
      </c>
      <c r="E247" t="s">
        <v>802</v>
      </c>
      <c r="F247" s="20" t="s">
        <v>803</v>
      </c>
      <c r="G247" s="8" t="str">
        <f t="shared" si="6"/>
        <v>ANDERS STEVEN</v>
      </c>
      <c r="H247" s="20" t="str">
        <f t="shared" si="7"/>
        <v>4023</v>
      </c>
    </row>
    <row r="248" spans="1:8" x14ac:dyDescent="0.25">
      <c r="A248" s="8">
        <v>42998.984988425924</v>
      </c>
      <c r="B248" t="s">
        <v>445</v>
      </c>
      <c r="C248" t="s">
        <v>615</v>
      </c>
      <c r="D248" s="138">
        <v>3310000</v>
      </c>
      <c r="E248" t="s">
        <v>802</v>
      </c>
      <c r="F248" s="20" t="s">
        <v>803</v>
      </c>
      <c r="G248" s="8" t="str">
        <f t="shared" si="6"/>
        <v>ANDERS STEVEN</v>
      </c>
      <c r="H248" s="20" t="str">
        <f t="shared" si="7"/>
        <v>4023</v>
      </c>
    </row>
    <row r="249" spans="1:8" x14ac:dyDescent="0.25">
      <c r="A249" s="8">
        <v>42998.985555555555</v>
      </c>
      <c r="B249" t="s">
        <v>598</v>
      </c>
      <c r="C249" t="s">
        <v>616</v>
      </c>
      <c r="D249" s="138">
        <v>2620000</v>
      </c>
      <c r="E249" t="s">
        <v>386</v>
      </c>
      <c r="F249" s="20" t="s">
        <v>387</v>
      </c>
      <c r="G249" s="8" t="str">
        <f t="shared" si="6"/>
        <v>PERKINS DARREN</v>
      </c>
      <c r="H249" s="20" t="str">
        <f t="shared" si="7"/>
        <v>4041</v>
      </c>
    </row>
    <row r="250" spans="1:8" x14ac:dyDescent="0.25">
      <c r="A250" s="8">
        <v>42998.989282407405</v>
      </c>
      <c r="B250" t="s">
        <v>478</v>
      </c>
      <c r="C250" t="s">
        <v>825</v>
      </c>
      <c r="D250" s="138">
        <v>890000</v>
      </c>
      <c r="E250" t="s">
        <v>371</v>
      </c>
      <c r="F250" s="20" t="s">
        <v>372</v>
      </c>
      <c r="G250" s="8" t="str">
        <f t="shared" si="6"/>
        <v>LOZA FIDEL</v>
      </c>
      <c r="H250" s="20" t="str">
        <f t="shared" si="7"/>
        <v>4040</v>
      </c>
    </row>
    <row r="251" spans="1:8" x14ac:dyDescent="0.25">
      <c r="A251" s="8">
        <v>42998.990740740737</v>
      </c>
      <c r="B251" t="s">
        <v>446</v>
      </c>
      <c r="C251" t="s">
        <v>615</v>
      </c>
      <c r="D251" s="138">
        <v>3310000</v>
      </c>
      <c r="E251" t="s">
        <v>802</v>
      </c>
      <c r="F251" s="20" t="s">
        <v>803</v>
      </c>
      <c r="G251" s="8" t="str">
        <f t="shared" si="6"/>
        <v>ANDERS STEVEN</v>
      </c>
      <c r="H251" s="20" t="str">
        <f t="shared" si="7"/>
        <v>4024</v>
      </c>
    </row>
    <row r="252" spans="1:8" x14ac:dyDescent="0.25">
      <c r="A252" s="8">
        <v>42998.991597222222</v>
      </c>
      <c r="B252" t="s">
        <v>446</v>
      </c>
      <c r="C252" t="s">
        <v>615</v>
      </c>
      <c r="D252" s="138">
        <v>3310000</v>
      </c>
      <c r="E252" t="s">
        <v>802</v>
      </c>
      <c r="F252" s="20" t="s">
        <v>803</v>
      </c>
      <c r="G252" s="8" t="str">
        <f t="shared" si="6"/>
        <v>ANDERS STEVEN</v>
      </c>
      <c r="H252" s="20" t="str">
        <f t="shared" si="7"/>
        <v>4024</v>
      </c>
    </row>
    <row r="253" spans="1:8" x14ac:dyDescent="0.25">
      <c r="A253" s="8">
        <v>42998.998599537037</v>
      </c>
      <c r="B253" t="s">
        <v>445</v>
      </c>
      <c r="C253" t="s">
        <v>615</v>
      </c>
      <c r="D253" s="138">
        <v>3310000</v>
      </c>
      <c r="E253" t="s">
        <v>802</v>
      </c>
      <c r="F253" s="20" t="s">
        <v>803</v>
      </c>
      <c r="G253" s="8" t="str">
        <f t="shared" si="6"/>
        <v>ANDERS STEVEN</v>
      </c>
      <c r="H253" s="20" t="str">
        <f t="shared" si="7"/>
        <v>4023</v>
      </c>
    </row>
    <row r="254" spans="1:8" x14ac:dyDescent="0.25">
      <c r="A254" s="8">
        <v>42999.005011574074</v>
      </c>
      <c r="B254" t="s">
        <v>446</v>
      </c>
      <c r="C254" t="s">
        <v>615</v>
      </c>
      <c r="D254" s="138">
        <v>3310000</v>
      </c>
      <c r="E254" t="s">
        <v>802</v>
      </c>
      <c r="F254" s="20" t="s">
        <v>803</v>
      </c>
      <c r="G254" s="8" t="str">
        <f t="shared" si="6"/>
        <v>ANDERS STEVEN</v>
      </c>
      <c r="H254" s="20" t="str">
        <f t="shared" si="7"/>
        <v>4024</v>
      </c>
    </row>
    <row r="255" spans="1:8" x14ac:dyDescent="0.25">
      <c r="A255" s="8">
        <v>42999.005995370368</v>
      </c>
      <c r="B255" t="s">
        <v>578</v>
      </c>
      <c r="C255" t="s">
        <v>826</v>
      </c>
      <c r="D255" s="138">
        <v>2680000</v>
      </c>
      <c r="E255" t="s">
        <v>383</v>
      </c>
      <c r="F255" s="20" t="s">
        <v>384</v>
      </c>
      <c r="G255" s="8" t="str">
        <f t="shared" si="6"/>
        <v>DUNCAN SHEILA</v>
      </c>
      <c r="H255" s="20" t="str">
        <f t="shared" si="7"/>
        <v>4063</v>
      </c>
    </row>
    <row r="256" spans="1:8" x14ac:dyDescent="0.25">
      <c r="A256" s="8">
        <v>42999.013032407405</v>
      </c>
      <c r="B256" t="s">
        <v>445</v>
      </c>
      <c r="C256" t="s">
        <v>615</v>
      </c>
      <c r="D256" s="138">
        <v>3310000</v>
      </c>
      <c r="E256" t="s">
        <v>802</v>
      </c>
      <c r="F256" s="20" t="s">
        <v>803</v>
      </c>
      <c r="G256" s="8" t="str">
        <f t="shared" si="6"/>
        <v>ANDERS STEVEN</v>
      </c>
      <c r="H256" s="20" t="str">
        <f t="shared" si="7"/>
        <v>4023</v>
      </c>
    </row>
    <row r="257" spans="1:8" x14ac:dyDescent="0.25">
      <c r="A257" s="8">
        <v>42999.014756944445</v>
      </c>
      <c r="B257" t="s">
        <v>445</v>
      </c>
      <c r="C257" t="s">
        <v>615</v>
      </c>
      <c r="D257" s="138">
        <v>3310000</v>
      </c>
      <c r="E257" t="s">
        <v>802</v>
      </c>
      <c r="F257" s="20" t="s">
        <v>803</v>
      </c>
      <c r="G257" s="8" t="str">
        <f t="shared" si="6"/>
        <v>ANDERS STEVEN</v>
      </c>
      <c r="H257" s="20" t="str">
        <f t="shared" si="7"/>
        <v>4023</v>
      </c>
    </row>
    <row r="258" spans="1:8" x14ac:dyDescent="0.25">
      <c r="A258" s="8">
        <v>42999.016296296293</v>
      </c>
      <c r="B258" t="s">
        <v>510</v>
      </c>
      <c r="C258" t="s">
        <v>827</v>
      </c>
      <c r="D258" s="138">
        <v>3190000</v>
      </c>
      <c r="E258" t="s">
        <v>388</v>
      </c>
      <c r="F258" s="20" t="s">
        <v>389</v>
      </c>
      <c r="G258" s="8" t="str">
        <f t="shared" si="6"/>
        <v>HART KEVIN</v>
      </c>
      <c r="H258" s="20" t="str">
        <f t="shared" si="7"/>
        <v>4044</v>
      </c>
    </row>
    <row r="259" spans="1:8" x14ac:dyDescent="0.25">
      <c r="A259" s="8">
        <v>42999.019097222219</v>
      </c>
      <c r="B259" t="s">
        <v>445</v>
      </c>
      <c r="C259" t="s">
        <v>615</v>
      </c>
      <c r="D259" s="138">
        <v>3310000</v>
      </c>
      <c r="E259" t="s">
        <v>802</v>
      </c>
      <c r="F259" s="20" t="s">
        <v>803</v>
      </c>
      <c r="G259" s="8" t="str">
        <f t="shared" ref="G259:G273" si="8">E259&amp;" "&amp;F259</f>
        <v>ANDERS STEVEN</v>
      </c>
      <c r="H259" s="20" t="str">
        <f t="shared" ref="H259:H273" si="9">MID(B259,13,4)</f>
        <v>4023</v>
      </c>
    </row>
    <row r="260" spans="1:8" x14ac:dyDescent="0.25">
      <c r="A260" s="8">
        <v>42999.022881944446</v>
      </c>
      <c r="B260" t="s">
        <v>446</v>
      </c>
      <c r="C260" t="s">
        <v>615</v>
      </c>
      <c r="D260" s="138">
        <v>3310000</v>
      </c>
      <c r="E260" t="s">
        <v>802</v>
      </c>
      <c r="F260" s="20" t="s">
        <v>803</v>
      </c>
      <c r="G260" s="8" t="str">
        <f t="shared" si="8"/>
        <v>ANDERS STEVEN</v>
      </c>
      <c r="H260" s="20" t="str">
        <f t="shared" si="9"/>
        <v>4024</v>
      </c>
    </row>
    <row r="261" spans="1:8" x14ac:dyDescent="0.25">
      <c r="A261" s="8">
        <v>42999.024259259262</v>
      </c>
      <c r="B261" t="s">
        <v>446</v>
      </c>
      <c r="C261" t="s">
        <v>615</v>
      </c>
      <c r="D261" s="138">
        <v>3310000</v>
      </c>
      <c r="E261" t="s">
        <v>802</v>
      </c>
      <c r="F261" s="20" t="s">
        <v>803</v>
      </c>
      <c r="G261" s="8" t="str">
        <f t="shared" si="8"/>
        <v>ANDERS STEVEN</v>
      </c>
      <c r="H261" s="20" t="str">
        <f t="shared" si="9"/>
        <v>4024</v>
      </c>
    </row>
    <row r="262" spans="1:8" x14ac:dyDescent="0.25">
      <c r="A262" s="8">
        <v>42999.026921296296</v>
      </c>
      <c r="B262" t="s">
        <v>580</v>
      </c>
      <c r="C262" t="s">
        <v>828</v>
      </c>
      <c r="D262" s="138">
        <v>2620000</v>
      </c>
      <c r="E262" t="s">
        <v>386</v>
      </c>
      <c r="F262" s="20" t="s">
        <v>387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445</v>
      </c>
      <c r="C263" t="s">
        <v>615</v>
      </c>
      <c r="D263" s="138">
        <v>3310000</v>
      </c>
      <c r="E263" t="s">
        <v>802</v>
      </c>
      <c r="F263" s="20" t="s">
        <v>803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445</v>
      </c>
      <c r="C264" t="s">
        <v>615</v>
      </c>
      <c r="D264" s="138">
        <v>3310000</v>
      </c>
      <c r="E264" t="s">
        <v>802</v>
      </c>
      <c r="F264" s="20" t="s">
        <v>803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472</v>
      </c>
      <c r="C265" t="s">
        <v>829</v>
      </c>
      <c r="D265" s="138">
        <v>890000</v>
      </c>
      <c r="E265" t="s">
        <v>371</v>
      </c>
      <c r="F265" s="20" t="s">
        <v>372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608</v>
      </c>
      <c r="C266" t="s">
        <v>830</v>
      </c>
      <c r="D266" s="138">
        <v>2680000</v>
      </c>
      <c r="E266" t="s">
        <v>383</v>
      </c>
      <c r="F266" s="20" t="s">
        <v>384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578</v>
      </c>
      <c r="C267" t="s">
        <v>830</v>
      </c>
      <c r="D267" s="138">
        <v>2680000</v>
      </c>
      <c r="E267" t="s">
        <v>383</v>
      </c>
      <c r="F267" s="20" t="s">
        <v>384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426</v>
      </c>
      <c r="C268" t="s">
        <v>617</v>
      </c>
      <c r="D268" s="138">
        <v>3190000</v>
      </c>
      <c r="E268" t="s">
        <v>388</v>
      </c>
      <c r="F268" s="20" t="s">
        <v>389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478</v>
      </c>
      <c r="C269" t="s">
        <v>831</v>
      </c>
      <c r="D269" s="138">
        <v>890000</v>
      </c>
      <c r="E269" t="s">
        <v>371</v>
      </c>
      <c r="F269" s="20" t="s">
        <v>372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608</v>
      </c>
      <c r="C270" t="s">
        <v>830</v>
      </c>
      <c r="D270" s="138">
        <v>2680000</v>
      </c>
      <c r="E270" t="s">
        <v>383</v>
      </c>
      <c r="F270" s="20" t="s">
        <v>384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426</v>
      </c>
      <c r="C271" t="s">
        <v>617</v>
      </c>
      <c r="D271" s="138">
        <v>3190000</v>
      </c>
      <c r="E271" t="s">
        <v>388</v>
      </c>
      <c r="F271" s="20" t="s">
        <v>389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510</v>
      </c>
      <c r="C272" t="s">
        <v>832</v>
      </c>
      <c r="D272" s="138">
        <v>3190000</v>
      </c>
      <c r="E272" t="s">
        <v>388</v>
      </c>
      <c r="F272" s="20" t="s">
        <v>389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448</v>
      </c>
      <c r="C273" t="s">
        <v>833</v>
      </c>
      <c r="D273" s="138">
        <v>1830000</v>
      </c>
      <c r="E273" t="s">
        <v>427</v>
      </c>
      <c r="F273" s="20" t="s">
        <v>428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158</v>
      </c>
      <c r="K1" s="218" t="s">
        <v>156</v>
      </c>
      <c r="L1" s="218" t="s">
        <v>151</v>
      </c>
      <c r="M1" s="218" t="s">
        <v>161</v>
      </c>
      <c r="N1" s="218" t="s">
        <v>346</v>
      </c>
      <c r="O1" s="218" t="s">
        <v>155</v>
      </c>
      <c r="P1" s="218" t="s">
        <v>162</v>
      </c>
      <c r="Q1" s="218" t="s">
        <v>347</v>
      </c>
      <c r="R1" s="218" t="s">
        <v>159</v>
      </c>
      <c r="S1"/>
    </row>
    <row r="2" spans="1:19" x14ac:dyDescent="0.25">
      <c r="A2" s="196">
        <v>50.14</v>
      </c>
      <c r="B2" s="196">
        <v>0</v>
      </c>
      <c r="C2" s="196">
        <v>32.28</v>
      </c>
      <c r="D2" s="8">
        <v>42998</v>
      </c>
      <c r="E2" s="196">
        <v>0.5</v>
      </c>
      <c r="F2" s="196" t="s">
        <v>367</v>
      </c>
      <c r="G2" s="196">
        <v>288.74</v>
      </c>
      <c r="H2" s="196">
        <v>0</v>
      </c>
      <c r="I2" s="196">
        <v>0</v>
      </c>
      <c r="J2" s="196">
        <v>1005.43</v>
      </c>
      <c r="K2" s="196" t="s">
        <v>366</v>
      </c>
      <c r="L2" s="196">
        <v>50.14</v>
      </c>
      <c r="M2" s="196">
        <v>1505887200</v>
      </c>
      <c r="N2" s="196">
        <v>0</v>
      </c>
      <c r="O2" s="196">
        <v>3.75</v>
      </c>
      <c r="P2" s="196">
        <v>119</v>
      </c>
      <c r="Q2" s="196">
        <v>5.77</v>
      </c>
      <c r="R2" s="196">
        <v>2.37</v>
      </c>
      <c r="S2"/>
    </row>
    <row r="3" spans="1:19" x14ac:dyDescent="0.25">
      <c r="A3" s="196">
        <v>48.25</v>
      </c>
      <c r="B3" s="196">
        <v>0.02</v>
      </c>
      <c r="C3" s="196">
        <v>32.07</v>
      </c>
      <c r="D3" s="8">
        <v>42998.041666666664</v>
      </c>
      <c r="E3" s="196">
        <v>0.53</v>
      </c>
      <c r="F3" s="196" t="s">
        <v>367</v>
      </c>
      <c r="G3" s="196">
        <v>287.7</v>
      </c>
      <c r="H3" s="196">
        <v>0</v>
      </c>
      <c r="I3" s="196">
        <v>0</v>
      </c>
      <c r="J3" s="196">
        <v>1006.19</v>
      </c>
      <c r="K3" s="196" t="s">
        <v>366</v>
      </c>
      <c r="L3" s="196">
        <v>48.25</v>
      </c>
      <c r="M3" s="196">
        <v>1505890800</v>
      </c>
      <c r="N3" s="196">
        <v>0</v>
      </c>
      <c r="O3" s="196">
        <v>3.58</v>
      </c>
      <c r="P3" s="196">
        <v>120</v>
      </c>
      <c r="Q3" s="196">
        <v>4.0199999999999996</v>
      </c>
      <c r="R3" s="196">
        <v>1.38</v>
      </c>
      <c r="S3"/>
    </row>
    <row r="4" spans="1:19" x14ac:dyDescent="0.25">
      <c r="A4" s="196">
        <v>47.12</v>
      </c>
      <c r="B4" s="196">
        <v>0</v>
      </c>
      <c r="C4" s="196">
        <v>31.71</v>
      </c>
      <c r="D4" s="8">
        <v>42998.083333333336</v>
      </c>
      <c r="E4" s="196">
        <v>0.55000000000000004</v>
      </c>
      <c r="F4" s="196" t="s">
        <v>367</v>
      </c>
      <c r="G4" s="196">
        <v>285.73</v>
      </c>
      <c r="H4" s="196">
        <v>0</v>
      </c>
      <c r="I4" s="196">
        <v>0</v>
      </c>
      <c r="J4" s="196">
        <v>1006.52</v>
      </c>
      <c r="K4" s="196" t="s">
        <v>366</v>
      </c>
      <c r="L4" s="196">
        <v>47.12</v>
      </c>
      <c r="M4" s="196">
        <v>1505894400</v>
      </c>
      <c r="N4" s="196">
        <v>0</v>
      </c>
      <c r="O4" s="196">
        <v>3.58</v>
      </c>
      <c r="P4" s="196">
        <v>127</v>
      </c>
      <c r="Q4" s="196">
        <v>5.1100000000000003</v>
      </c>
      <c r="R4" s="196">
        <v>2.13</v>
      </c>
      <c r="S4"/>
    </row>
    <row r="5" spans="1:19" x14ac:dyDescent="0.25">
      <c r="A5" s="196">
        <v>46.02</v>
      </c>
      <c r="B5" s="196">
        <v>0.03</v>
      </c>
      <c r="C5" s="196">
        <v>31.82</v>
      </c>
      <c r="D5" s="8">
        <v>42998.125</v>
      </c>
      <c r="E5" s="196">
        <v>0.56999999999999995</v>
      </c>
      <c r="F5" s="196" t="s">
        <v>367</v>
      </c>
      <c r="G5" s="196">
        <v>284.20999999999998</v>
      </c>
      <c r="H5" s="196">
        <v>0</v>
      </c>
      <c r="I5" s="196">
        <v>0</v>
      </c>
      <c r="J5" s="196">
        <v>1006.84</v>
      </c>
      <c r="K5" s="196" t="s">
        <v>366</v>
      </c>
      <c r="L5" s="196">
        <v>46.02</v>
      </c>
      <c r="M5" s="196">
        <v>1505898000</v>
      </c>
      <c r="N5" s="196">
        <v>0</v>
      </c>
      <c r="O5" s="196">
        <v>3.76</v>
      </c>
      <c r="P5" s="196">
        <v>135</v>
      </c>
      <c r="Q5" s="196">
        <v>4.82</v>
      </c>
      <c r="R5" s="196">
        <v>2.0699999999999998</v>
      </c>
      <c r="S5"/>
    </row>
    <row r="6" spans="1:19" x14ac:dyDescent="0.25">
      <c r="A6" s="196">
        <v>45.44</v>
      </c>
      <c r="B6" s="196">
        <v>0.03</v>
      </c>
      <c r="C6" s="196">
        <v>31.97</v>
      </c>
      <c r="D6" s="8">
        <v>42998.166666666664</v>
      </c>
      <c r="E6" s="196">
        <v>0.59</v>
      </c>
      <c r="F6" s="196" t="s">
        <v>367</v>
      </c>
      <c r="G6" s="196">
        <v>283.86</v>
      </c>
      <c r="H6" s="196">
        <v>0</v>
      </c>
      <c r="I6" s="196">
        <v>0</v>
      </c>
      <c r="J6" s="196">
        <v>1007.67</v>
      </c>
      <c r="K6" s="196" t="s">
        <v>366</v>
      </c>
      <c r="L6" s="196">
        <v>45.44</v>
      </c>
      <c r="M6" s="196">
        <v>1505901600</v>
      </c>
      <c r="N6" s="196">
        <v>0</v>
      </c>
      <c r="O6" s="196">
        <v>3.75</v>
      </c>
      <c r="P6" s="196">
        <v>135</v>
      </c>
      <c r="Q6" s="196">
        <v>5.64</v>
      </c>
      <c r="R6" s="196">
        <v>2.1800000000000002</v>
      </c>
      <c r="S6"/>
    </row>
    <row r="7" spans="1:19" x14ac:dyDescent="0.25">
      <c r="A7" s="196">
        <v>45.14</v>
      </c>
      <c r="B7" s="196">
        <v>7.0000000000000007E-2</v>
      </c>
      <c r="C7" s="196">
        <v>32.31</v>
      </c>
      <c r="D7" s="8">
        <v>42998.208333333336</v>
      </c>
      <c r="E7" s="196">
        <v>0.61</v>
      </c>
      <c r="F7" s="196" t="s">
        <v>367</v>
      </c>
      <c r="G7" s="196">
        <v>283.97000000000003</v>
      </c>
      <c r="H7" s="196">
        <v>0</v>
      </c>
      <c r="I7" s="196">
        <v>0</v>
      </c>
      <c r="J7" s="196">
        <v>1008.52</v>
      </c>
      <c r="K7" s="196" t="s">
        <v>366</v>
      </c>
      <c r="L7" s="196">
        <v>45.14</v>
      </c>
      <c r="M7" s="196">
        <v>1505905200</v>
      </c>
      <c r="N7" s="196">
        <v>0</v>
      </c>
      <c r="O7" s="196">
        <v>3.9</v>
      </c>
      <c r="P7" s="196">
        <v>135</v>
      </c>
      <c r="Q7" s="196">
        <v>5.78</v>
      </c>
      <c r="R7" s="196">
        <v>2.42</v>
      </c>
      <c r="S7"/>
    </row>
    <row r="8" spans="1:19" x14ac:dyDescent="0.25">
      <c r="A8" s="196">
        <v>44.28</v>
      </c>
      <c r="B8" s="196">
        <v>0.13</v>
      </c>
      <c r="C8" s="196">
        <v>32.69</v>
      </c>
      <c r="D8" s="8">
        <v>42998.25</v>
      </c>
      <c r="E8" s="196">
        <v>0.64</v>
      </c>
      <c r="F8" s="196" t="s">
        <v>367</v>
      </c>
      <c r="G8" s="196">
        <v>284.56</v>
      </c>
      <c r="H8" s="196">
        <v>0</v>
      </c>
      <c r="I8" s="196">
        <v>0</v>
      </c>
      <c r="J8" s="196">
        <v>1009.63</v>
      </c>
      <c r="K8" s="196" t="s">
        <v>366</v>
      </c>
      <c r="L8" s="196">
        <v>44.28</v>
      </c>
      <c r="M8" s="196">
        <v>1505908800</v>
      </c>
      <c r="N8" s="196">
        <v>0</v>
      </c>
      <c r="O8" s="196">
        <v>3.89</v>
      </c>
      <c r="P8" s="196">
        <v>133</v>
      </c>
      <c r="Q8" s="196">
        <v>5.31</v>
      </c>
      <c r="R8" s="196">
        <v>1.94</v>
      </c>
      <c r="S8"/>
    </row>
    <row r="9" spans="1:19" x14ac:dyDescent="0.25">
      <c r="A9" s="196">
        <v>43.71</v>
      </c>
      <c r="B9" s="196">
        <v>0.28999999999999998</v>
      </c>
      <c r="C9" s="196">
        <v>33.24</v>
      </c>
      <c r="D9" s="8">
        <v>42998.291666666664</v>
      </c>
      <c r="E9" s="196">
        <v>0.66</v>
      </c>
      <c r="F9" s="196" t="s">
        <v>834</v>
      </c>
      <c r="G9" s="196">
        <v>284.20999999999998</v>
      </c>
      <c r="H9" s="196">
        <v>0</v>
      </c>
      <c r="I9" s="196">
        <v>0</v>
      </c>
      <c r="J9" s="196">
        <v>1011.56</v>
      </c>
      <c r="K9" s="196" t="s">
        <v>835</v>
      </c>
      <c r="L9" s="196">
        <v>43.71</v>
      </c>
      <c r="M9" s="196">
        <v>1505912400</v>
      </c>
      <c r="N9" s="196">
        <v>0</v>
      </c>
      <c r="O9" s="196">
        <v>4.16</v>
      </c>
      <c r="P9" s="196">
        <v>124</v>
      </c>
      <c r="Q9" s="196">
        <v>5.21</v>
      </c>
      <c r="R9" s="196">
        <v>1.8</v>
      </c>
      <c r="S9"/>
    </row>
    <row r="10" spans="1:19" x14ac:dyDescent="0.25">
      <c r="A10" s="196">
        <v>47.41</v>
      </c>
      <c r="B10" s="196">
        <v>0.28000000000000003</v>
      </c>
      <c r="C10" s="196">
        <v>33.99</v>
      </c>
      <c r="D10" s="8">
        <v>42998.333333333336</v>
      </c>
      <c r="E10" s="196">
        <v>0.59</v>
      </c>
      <c r="F10" s="196" t="s">
        <v>834</v>
      </c>
      <c r="G10" s="196">
        <v>283.85000000000002</v>
      </c>
      <c r="H10" s="196">
        <v>0</v>
      </c>
      <c r="I10" s="196">
        <v>0</v>
      </c>
      <c r="J10" s="196">
        <v>1011.6</v>
      </c>
      <c r="K10" s="196" t="s">
        <v>835</v>
      </c>
      <c r="L10" s="196">
        <v>47.41</v>
      </c>
      <c r="M10" s="196">
        <v>1505916000</v>
      </c>
      <c r="N10" s="196">
        <v>1</v>
      </c>
      <c r="O10" s="196">
        <v>3.98</v>
      </c>
      <c r="P10" s="196">
        <v>127</v>
      </c>
      <c r="Q10" s="196">
        <v>6.32</v>
      </c>
      <c r="R10" s="196">
        <v>2.64</v>
      </c>
      <c r="S10"/>
    </row>
    <row r="11" spans="1:19" x14ac:dyDescent="0.25">
      <c r="A11" s="196">
        <v>52.75</v>
      </c>
      <c r="B11" s="196">
        <v>0.09</v>
      </c>
      <c r="C11" s="196">
        <v>34.159999999999997</v>
      </c>
      <c r="D11" s="8">
        <v>42998.375</v>
      </c>
      <c r="E11" s="196">
        <v>0.49</v>
      </c>
      <c r="F11" s="196" t="s">
        <v>365</v>
      </c>
      <c r="G11" s="196">
        <v>283.14999999999998</v>
      </c>
      <c r="H11" s="196">
        <v>0</v>
      </c>
      <c r="I11" s="196">
        <v>0</v>
      </c>
      <c r="J11" s="196">
        <v>1011.32</v>
      </c>
      <c r="K11" s="196" t="s">
        <v>366</v>
      </c>
      <c r="L11" s="196">
        <v>52.75</v>
      </c>
      <c r="M11" s="196">
        <v>1505919600</v>
      </c>
      <c r="N11" s="196">
        <v>1</v>
      </c>
      <c r="O11" s="196">
        <v>4.26</v>
      </c>
      <c r="P11" s="196">
        <v>137</v>
      </c>
      <c r="Q11" s="196">
        <v>9.09</v>
      </c>
      <c r="R11" s="196">
        <v>3.49</v>
      </c>
      <c r="S11"/>
    </row>
    <row r="12" spans="1:19" x14ac:dyDescent="0.25">
      <c r="A12" s="196">
        <v>56.55</v>
      </c>
      <c r="B12" s="196">
        <v>0.05</v>
      </c>
      <c r="C12" s="196">
        <v>34.61</v>
      </c>
      <c r="D12" s="8">
        <v>42998.416666666664</v>
      </c>
      <c r="E12" s="196">
        <v>0.44</v>
      </c>
      <c r="F12" s="196" t="s">
        <v>365</v>
      </c>
      <c r="G12" s="196">
        <v>282.10000000000002</v>
      </c>
      <c r="H12" s="196">
        <v>0</v>
      </c>
      <c r="I12" s="196">
        <v>0</v>
      </c>
      <c r="J12" s="196">
        <v>1010.39</v>
      </c>
      <c r="K12" s="196" t="s">
        <v>366</v>
      </c>
      <c r="L12" s="196">
        <v>56.55</v>
      </c>
      <c r="M12" s="196">
        <v>1505923200</v>
      </c>
      <c r="N12" s="196">
        <v>3</v>
      </c>
      <c r="O12" s="196">
        <v>4.1900000000000004</v>
      </c>
      <c r="P12" s="196">
        <v>162</v>
      </c>
      <c r="Q12" s="196">
        <v>7.51</v>
      </c>
      <c r="R12" s="196">
        <v>1.55</v>
      </c>
      <c r="S12"/>
    </row>
    <row r="13" spans="1:19" x14ac:dyDescent="0.25">
      <c r="A13" s="196">
        <v>60.66</v>
      </c>
      <c r="B13" s="196">
        <v>0.05</v>
      </c>
      <c r="C13" s="196">
        <v>35.200000000000003</v>
      </c>
      <c r="D13" s="8">
        <v>42998.458333333336</v>
      </c>
      <c r="E13" s="196">
        <v>0.38</v>
      </c>
      <c r="F13" s="196" t="s">
        <v>365</v>
      </c>
      <c r="G13" s="196">
        <v>280.81</v>
      </c>
      <c r="H13" s="196">
        <v>0</v>
      </c>
      <c r="I13" s="196">
        <v>0</v>
      </c>
      <c r="J13" s="196">
        <v>1008.62</v>
      </c>
      <c r="K13" s="196" t="s">
        <v>366</v>
      </c>
      <c r="L13" s="196">
        <v>60.66</v>
      </c>
      <c r="M13" s="196">
        <v>1505926800</v>
      </c>
      <c r="N13" s="196">
        <v>5</v>
      </c>
      <c r="O13" s="196">
        <v>4.17</v>
      </c>
      <c r="P13" s="196">
        <v>221</v>
      </c>
      <c r="Q13" s="196">
        <v>7.36</v>
      </c>
      <c r="R13" s="196">
        <v>0.04</v>
      </c>
      <c r="S13"/>
    </row>
    <row r="14" spans="1:19" x14ac:dyDescent="0.25">
      <c r="A14" s="196">
        <v>64.209999999999994</v>
      </c>
      <c r="B14" s="196">
        <v>7.0000000000000007E-2</v>
      </c>
      <c r="C14" s="196">
        <v>35.67</v>
      </c>
      <c r="D14" s="8">
        <v>42998.5</v>
      </c>
      <c r="E14" s="196">
        <v>0.35</v>
      </c>
      <c r="F14" s="196" t="s">
        <v>365</v>
      </c>
      <c r="G14" s="196">
        <v>279.86</v>
      </c>
      <c r="H14" s="196">
        <v>0</v>
      </c>
      <c r="I14" s="196">
        <v>0</v>
      </c>
      <c r="J14" s="196">
        <v>1007.38</v>
      </c>
      <c r="K14" s="196" t="s">
        <v>366</v>
      </c>
      <c r="L14" s="196">
        <v>64.209999999999994</v>
      </c>
      <c r="M14" s="196">
        <v>1505930400</v>
      </c>
      <c r="N14" s="196">
        <v>6</v>
      </c>
      <c r="O14" s="196">
        <v>3.82</v>
      </c>
      <c r="P14" s="196">
        <v>33</v>
      </c>
      <c r="Q14" s="196">
        <v>7.65</v>
      </c>
      <c r="R14" s="196">
        <v>0.59</v>
      </c>
      <c r="S14"/>
    </row>
    <row r="15" spans="1:19" x14ac:dyDescent="0.25">
      <c r="A15" s="196">
        <v>67.989999999999995</v>
      </c>
      <c r="B15" s="196">
        <v>0.06</v>
      </c>
      <c r="C15" s="196">
        <v>36.369999999999997</v>
      </c>
      <c r="D15" s="8">
        <v>42998.541666666664</v>
      </c>
      <c r="E15" s="196">
        <v>0.31</v>
      </c>
      <c r="F15" s="196" t="s">
        <v>365</v>
      </c>
      <c r="G15" s="196">
        <v>279.02999999999997</v>
      </c>
      <c r="H15" s="196">
        <v>0</v>
      </c>
      <c r="I15" s="196">
        <v>0</v>
      </c>
      <c r="J15" s="196">
        <v>1006.48</v>
      </c>
      <c r="K15" s="196" t="s">
        <v>366</v>
      </c>
      <c r="L15" s="196">
        <v>67.989999999999995</v>
      </c>
      <c r="M15" s="196">
        <v>1505934000</v>
      </c>
      <c r="N15" s="196">
        <v>7</v>
      </c>
      <c r="O15" s="196">
        <v>4.0999999999999996</v>
      </c>
      <c r="P15" s="196">
        <v>44</v>
      </c>
      <c r="Q15" s="196">
        <v>8.35</v>
      </c>
      <c r="R15" s="196">
        <v>0.28000000000000003</v>
      </c>
      <c r="S15"/>
    </row>
    <row r="16" spans="1:19" x14ac:dyDescent="0.25">
      <c r="A16" s="196">
        <v>71.67</v>
      </c>
      <c r="B16" s="196">
        <v>0.04</v>
      </c>
      <c r="C16" s="196">
        <v>36.56</v>
      </c>
      <c r="D16" s="8">
        <v>42998.583333333336</v>
      </c>
      <c r="E16" s="196">
        <v>0.28000000000000003</v>
      </c>
      <c r="F16" s="196" t="s">
        <v>365</v>
      </c>
      <c r="G16" s="196">
        <v>278.43</v>
      </c>
      <c r="H16" s="196">
        <v>0</v>
      </c>
      <c r="I16" s="196">
        <v>0</v>
      </c>
      <c r="J16" s="196">
        <v>1005.16</v>
      </c>
      <c r="K16" s="196" t="s">
        <v>366</v>
      </c>
      <c r="L16" s="196">
        <v>71.67</v>
      </c>
      <c r="M16" s="196">
        <v>1505937600</v>
      </c>
      <c r="N16" s="196">
        <v>6</v>
      </c>
      <c r="O16" s="196">
        <v>4.0999999999999996</v>
      </c>
      <c r="P16" s="196">
        <v>354</v>
      </c>
      <c r="Q16" s="196">
        <v>7.82</v>
      </c>
      <c r="R16" s="196">
        <v>0.26</v>
      </c>
      <c r="S16"/>
    </row>
    <row r="17" spans="1:19" x14ac:dyDescent="0.25">
      <c r="A17" s="196">
        <v>73.95</v>
      </c>
      <c r="B17" s="196">
        <v>0.05</v>
      </c>
      <c r="C17" s="196">
        <v>36.49</v>
      </c>
      <c r="D17" s="8">
        <v>42998.625</v>
      </c>
      <c r="E17" s="196">
        <v>0.26</v>
      </c>
      <c r="F17" s="196" t="s">
        <v>365</v>
      </c>
      <c r="G17" s="196">
        <v>278.19</v>
      </c>
      <c r="H17" s="196">
        <v>0</v>
      </c>
      <c r="I17" s="196">
        <v>0</v>
      </c>
      <c r="J17" s="196">
        <v>1004.38</v>
      </c>
      <c r="K17" s="196" t="s">
        <v>366</v>
      </c>
      <c r="L17" s="196">
        <v>73.95</v>
      </c>
      <c r="M17" s="196">
        <v>1505941200</v>
      </c>
      <c r="N17" s="196">
        <v>4</v>
      </c>
      <c r="O17" s="196">
        <v>4.5</v>
      </c>
      <c r="P17" s="196">
        <v>7</v>
      </c>
      <c r="Q17" s="196">
        <v>8.0299999999999994</v>
      </c>
      <c r="R17" s="196">
        <v>0.53</v>
      </c>
      <c r="S17"/>
    </row>
    <row r="18" spans="1:19" x14ac:dyDescent="0.25">
      <c r="A18" s="196">
        <v>75.77</v>
      </c>
      <c r="B18" s="196">
        <v>0.03</v>
      </c>
      <c r="C18" s="196">
        <v>36.64</v>
      </c>
      <c r="D18" s="8">
        <v>42998.666666666664</v>
      </c>
      <c r="E18" s="196">
        <v>0.24</v>
      </c>
      <c r="F18" s="196" t="s">
        <v>365</v>
      </c>
      <c r="G18" s="196">
        <v>278.54000000000002</v>
      </c>
      <c r="H18" s="196">
        <v>0</v>
      </c>
      <c r="I18" s="196">
        <v>0</v>
      </c>
      <c r="J18" s="196">
        <v>1003.6</v>
      </c>
      <c r="K18" s="196" t="s">
        <v>366</v>
      </c>
      <c r="L18" s="196">
        <v>75.77</v>
      </c>
      <c r="M18" s="196">
        <v>1505944800</v>
      </c>
      <c r="N18" s="196">
        <v>3</v>
      </c>
      <c r="O18" s="196">
        <v>4.34</v>
      </c>
      <c r="P18" s="196">
        <v>335</v>
      </c>
      <c r="Q18" s="196">
        <v>8.25</v>
      </c>
      <c r="R18" s="196">
        <v>0.82</v>
      </c>
      <c r="S18"/>
    </row>
    <row r="19" spans="1:19" x14ac:dyDescent="0.25">
      <c r="A19" s="196">
        <v>76.290000000000006</v>
      </c>
      <c r="B19" s="196">
        <v>0.02</v>
      </c>
      <c r="C19" s="196">
        <v>36.44</v>
      </c>
      <c r="D19" s="8">
        <v>42998.708333333336</v>
      </c>
      <c r="E19" s="196">
        <v>0.24</v>
      </c>
      <c r="F19" s="196" t="s">
        <v>365</v>
      </c>
      <c r="G19" s="196">
        <v>279.25</v>
      </c>
      <c r="H19" s="196">
        <v>0</v>
      </c>
      <c r="I19" s="196">
        <v>0</v>
      </c>
      <c r="J19" s="196">
        <v>1003.37</v>
      </c>
      <c r="K19" s="196" t="s">
        <v>366</v>
      </c>
      <c r="L19" s="196">
        <v>76.290000000000006</v>
      </c>
      <c r="M19" s="196">
        <v>1505948400</v>
      </c>
      <c r="N19" s="196">
        <v>1</v>
      </c>
      <c r="O19" s="196">
        <v>4.34</v>
      </c>
      <c r="P19" s="196">
        <v>305</v>
      </c>
      <c r="Q19" s="196">
        <v>7.64</v>
      </c>
      <c r="R19" s="196">
        <v>1.28</v>
      </c>
      <c r="S19"/>
    </row>
    <row r="20" spans="1:19" x14ac:dyDescent="0.25">
      <c r="A20" s="196">
        <v>74.510000000000005</v>
      </c>
      <c r="B20" s="196">
        <v>0.03</v>
      </c>
      <c r="C20" s="196">
        <v>37.06</v>
      </c>
      <c r="D20" s="8">
        <v>42998.75</v>
      </c>
      <c r="E20" s="196">
        <v>0.26</v>
      </c>
      <c r="F20" s="196" t="s">
        <v>365</v>
      </c>
      <c r="G20" s="196">
        <v>279.36</v>
      </c>
      <c r="H20" s="196">
        <v>0</v>
      </c>
      <c r="I20" s="196">
        <v>0</v>
      </c>
      <c r="J20" s="196">
        <v>1003.81</v>
      </c>
      <c r="K20" s="196" t="s">
        <v>366</v>
      </c>
      <c r="L20" s="196">
        <v>74.510000000000005</v>
      </c>
      <c r="M20" s="196">
        <v>1505952000</v>
      </c>
      <c r="N20" s="196">
        <v>1</v>
      </c>
      <c r="O20" s="196">
        <v>4.3600000000000003</v>
      </c>
      <c r="P20" s="196">
        <v>311</v>
      </c>
      <c r="Q20" s="196">
        <v>6.89</v>
      </c>
      <c r="R20" s="196">
        <v>1.4</v>
      </c>
      <c r="S20"/>
    </row>
    <row r="21" spans="1:19" x14ac:dyDescent="0.25">
      <c r="A21" s="196">
        <v>70.260000000000005</v>
      </c>
      <c r="B21" s="196">
        <v>0.05</v>
      </c>
      <c r="C21" s="196">
        <v>37.700000000000003</v>
      </c>
      <c r="D21" s="8">
        <v>42998.791666666664</v>
      </c>
      <c r="E21" s="196">
        <v>0.3</v>
      </c>
      <c r="F21" s="196" t="s">
        <v>367</v>
      </c>
      <c r="G21" s="196">
        <v>280.07</v>
      </c>
      <c r="H21" s="196">
        <v>0</v>
      </c>
      <c r="I21" s="196">
        <v>0</v>
      </c>
      <c r="J21" s="196">
        <v>1004.59</v>
      </c>
      <c r="K21" s="196" t="s">
        <v>366</v>
      </c>
      <c r="L21" s="196">
        <v>70.260000000000005</v>
      </c>
      <c r="M21" s="196">
        <v>1505955600</v>
      </c>
      <c r="N21" s="196">
        <v>0</v>
      </c>
      <c r="O21" s="196">
        <v>4.38</v>
      </c>
      <c r="P21" s="196">
        <v>327</v>
      </c>
      <c r="Q21" s="196">
        <v>4.0599999999999996</v>
      </c>
      <c r="R21" s="196">
        <v>0.44</v>
      </c>
      <c r="S21"/>
    </row>
    <row r="22" spans="1:19" x14ac:dyDescent="0.25">
      <c r="A22" s="196">
        <v>63.87</v>
      </c>
      <c r="B22" s="196">
        <v>0.01</v>
      </c>
      <c r="C22" s="196">
        <v>38.39</v>
      </c>
      <c r="D22" s="8">
        <v>42998.833333333336</v>
      </c>
      <c r="E22" s="196">
        <v>0.39</v>
      </c>
      <c r="F22" s="196" t="s">
        <v>367</v>
      </c>
      <c r="G22" s="196">
        <v>280.77999999999997</v>
      </c>
      <c r="H22" s="196">
        <v>0</v>
      </c>
      <c r="I22" s="196">
        <v>0</v>
      </c>
      <c r="J22" s="196">
        <v>1005.19</v>
      </c>
      <c r="K22" s="196" t="s">
        <v>366</v>
      </c>
      <c r="L22" s="196">
        <v>63.87</v>
      </c>
      <c r="M22" s="196">
        <v>1505959200</v>
      </c>
      <c r="N22" s="196">
        <v>0</v>
      </c>
      <c r="O22" s="196">
        <v>4.71</v>
      </c>
      <c r="P22" s="196">
        <v>169</v>
      </c>
      <c r="Q22" s="196">
        <v>3.78</v>
      </c>
      <c r="R22" s="196">
        <v>1.5</v>
      </c>
      <c r="S22"/>
    </row>
    <row r="23" spans="1:19" x14ac:dyDescent="0.25">
      <c r="A23" s="196">
        <v>61.72</v>
      </c>
      <c r="B23" s="196">
        <v>0.01</v>
      </c>
      <c r="C23" s="196">
        <v>37.26</v>
      </c>
      <c r="D23" s="8">
        <v>42998.875</v>
      </c>
      <c r="E23" s="196">
        <v>0.4</v>
      </c>
      <c r="F23" s="196" t="s">
        <v>367</v>
      </c>
      <c r="G23" s="196">
        <v>281.25</v>
      </c>
      <c r="H23" s="196">
        <v>0</v>
      </c>
      <c r="I23" s="196">
        <v>0</v>
      </c>
      <c r="J23" s="196">
        <v>1005.57</v>
      </c>
      <c r="K23" s="196" t="s">
        <v>366</v>
      </c>
      <c r="L23" s="196">
        <v>61.72</v>
      </c>
      <c r="M23" s="196">
        <v>1505962800</v>
      </c>
      <c r="N23" s="196">
        <v>0</v>
      </c>
      <c r="O23" s="196">
        <v>6.37</v>
      </c>
      <c r="P23" s="196">
        <v>178</v>
      </c>
      <c r="Q23" s="196">
        <v>4.91</v>
      </c>
      <c r="R23" s="196">
        <v>2.06</v>
      </c>
      <c r="S23"/>
    </row>
    <row r="24" spans="1:19" x14ac:dyDescent="0.25">
      <c r="A24" s="196">
        <v>60.03</v>
      </c>
      <c r="B24" s="196">
        <v>0</v>
      </c>
      <c r="C24" s="196">
        <v>36.79</v>
      </c>
      <c r="D24" s="8">
        <v>42998.916666666664</v>
      </c>
      <c r="E24" s="196">
        <v>0.42</v>
      </c>
      <c r="F24" s="196" t="s">
        <v>367</v>
      </c>
      <c r="G24" s="196">
        <v>281.37</v>
      </c>
      <c r="H24" s="196">
        <v>0</v>
      </c>
      <c r="I24" s="196">
        <v>0</v>
      </c>
      <c r="J24" s="196">
        <v>1004.99</v>
      </c>
      <c r="K24" s="196" t="s">
        <v>366</v>
      </c>
      <c r="L24" s="196">
        <v>60.03</v>
      </c>
      <c r="M24" s="196">
        <v>1505966400</v>
      </c>
      <c r="N24" s="196">
        <v>0</v>
      </c>
      <c r="O24" s="196">
        <v>3.29</v>
      </c>
      <c r="P24" s="196">
        <v>193</v>
      </c>
      <c r="Q24" s="196">
        <v>5.94</v>
      </c>
      <c r="R24" s="196">
        <v>2.54</v>
      </c>
      <c r="S24"/>
    </row>
    <row r="25" spans="1:19" x14ac:dyDescent="0.25">
      <c r="A25" s="196">
        <v>58.71</v>
      </c>
      <c r="B25" s="196">
        <v>0</v>
      </c>
      <c r="C25" s="196">
        <v>36.22</v>
      </c>
      <c r="D25" s="8">
        <v>42998.958333333336</v>
      </c>
      <c r="E25" s="196">
        <v>0.43</v>
      </c>
      <c r="F25" s="196" t="s">
        <v>367</v>
      </c>
      <c r="G25" s="196">
        <v>281.25</v>
      </c>
      <c r="H25" s="196">
        <v>0</v>
      </c>
      <c r="I25" s="196">
        <v>0</v>
      </c>
      <c r="J25" s="196">
        <v>1004.39</v>
      </c>
      <c r="K25" s="196" t="s">
        <v>366</v>
      </c>
      <c r="L25" s="196">
        <v>58.71</v>
      </c>
      <c r="M25" s="196">
        <v>1505970000</v>
      </c>
      <c r="N25" s="196">
        <v>0</v>
      </c>
      <c r="O25" s="196">
        <v>3.79</v>
      </c>
      <c r="P25" s="196">
        <v>199</v>
      </c>
      <c r="Q25" s="196">
        <v>6.67</v>
      </c>
      <c r="R25" s="196">
        <v>2.83</v>
      </c>
      <c r="S25"/>
    </row>
    <row r="26" spans="1:19" x14ac:dyDescent="0.25">
      <c r="A26" s="196">
        <v>57.71</v>
      </c>
      <c r="B26" s="196">
        <v>0</v>
      </c>
      <c r="C26" s="196">
        <v>36.380000000000003</v>
      </c>
      <c r="D26" s="8">
        <v>42999</v>
      </c>
      <c r="E26" s="196">
        <v>0.45</v>
      </c>
      <c r="F26" s="196" t="s">
        <v>367</v>
      </c>
      <c r="G26" s="196">
        <v>281.13</v>
      </c>
      <c r="H26" s="196">
        <v>0</v>
      </c>
      <c r="I26" s="196">
        <v>0</v>
      </c>
      <c r="J26" s="196">
        <v>1003.88</v>
      </c>
      <c r="K26" s="196" t="s">
        <v>366</v>
      </c>
      <c r="L26" s="196">
        <v>57.71</v>
      </c>
      <c r="M26" s="196">
        <v>1505973600</v>
      </c>
      <c r="N26" s="196">
        <v>0</v>
      </c>
      <c r="O26" s="196">
        <v>3.03</v>
      </c>
      <c r="P26" s="196">
        <v>208</v>
      </c>
      <c r="Q26" s="196">
        <v>5.69</v>
      </c>
      <c r="R26" s="196">
        <v>2.4500000000000002</v>
      </c>
      <c r="S26"/>
    </row>
    <row r="27" spans="1:19" x14ac:dyDescent="0.25">
      <c r="A27" s="196">
        <v>55.71</v>
      </c>
      <c r="B27" s="196">
        <v>0</v>
      </c>
      <c r="C27" s="196">
        <v>36.200000000000003</v>
      </c>
      <c r="D27" s="8">
        <v>42999.041666666664</v>
      </c>
      <c r="E27" s="196">
        <v>0.48</v>
      </c>
      <c r="F27" s="196" t="s">
        <v>367</v>
      </c>
      <c r="G27" s="196">
        <v>280.67</v>
      </c>
      <c r="H27" s="196">
        <v>0</v>
      </c>
      <c r="I27" s="196">
        <v>0</v>
      </c>
      <c r="J27" s="196">
        <v>1004.66</v>
      </c>
      <c r="K27" s="196" t="s">
        <v>366</v>
      </c>
      <c r="L27" s="196">
        <v>55.71</v>
      </c>
      <c r="M27" s="196">
        <v>1505977200</v>
      </c>
      <c r="N27" s="196">
        <v>0</v>
      </c>
      <c r="O27" s="196">
        <v>3.69</v>
      </c>
      <c r="P27" s="196">
        <v>202</v>
      </c>
      <c r="Q27" s="196">
        <v>4.1100000000000003</v>
      </c>
      <c r="R27" s="196">
        <v>1.91</v>
      </c>
      <c r="S27"/>
    </row>
    <row r="28" spans="1:19" x14ac:dyDescent="0.25">
      <c r="A28" s="196">
        <v>55.43</v>
      </c>
      <c r="B28" s="196">
        <v>0</v>
      </c>
      <c r="C28" s="196">
        <v>35.36</v>
      </c>
      <c r="D28" s="8">
        <v>42999.083333333336</v>
      </c>
      <c r="E28" s="196">
        <v>0.47</v>
      </c>
      <c r="F28" s="196" t="s">
        <v>367</v>
      </c>
      <c r="G28" s="196">
        <v>280.2</v>
      </c>
      <c r="H28" s="196">
        <v>0</v>
      </c>
      <c r="I28" s="196">
        <v>0</v>
      </c>
      <c r="J28" s="196">
        <v>1003.5</v>
      </c>
      <c r="K28" s="196" t="s">
        <v>366</v>
      </c>
      <c r="L28" s="196">
        <v>55.43</v>
      </c>
      <c r="M28" s="196">
        <v>1505980800</v>
      </c>
      <c r="N28" s="196">
        <v>0</v>
      </c>
      <c r="O28" s="196">
        <v>3.2</v>
      </c>
      <c r="P28" s="196">
        <v>206</v>
      </c>
      <c r="Q28" s="196">
        <v>5.18</v>
      </c>
      <c r="R28" s="196">
        <v>2.35</v>
      </c>
      <c r="S28"/>
    </row>
    <row r="29" spans="1:19" x14ac:dyDescent="0.25">
      <c r="A29" s="196">
        <v>55.25</v>
      </c>
      <c r="B29" s="196">
        <v>0.01</v>
      </c>
      <c r="C29" s="196">
        <v>34.270000000000003</v>
      </c>
      <c r="D29" s="8">
        <v>42999.125</v>
      </c>
      <c r="E29" s="196">
        <v>0.45</v>
      </c>
      <c r="F29" s="196" t="s">
        <v>367</v>
      </c>
      <c r="G29" s="196">
        <v>279.73</v>
      </c>
      <c r="H29" s="196">
        <v>0</v>
      </c>
      <c r="I29" s="196">
        <v>0</v>
      </c>
      <c r="J29" s="196">
        <v>1003.3</v>
      </c>
      <c r="K29" s="196" t="s">
        <v>366</v>
      </c>
      <c r="L29" s="196">
        <v>55.25</v>
      </c>
      <c r="M29" s="196">
        <v>1505984400</v>
      </c>
      <c r="N29" s="196">
        <v>0</v>
      </c>
      <c r="O29" s="196">
        <v>2.44</v>
      </c>
      <c r="P29" s="196">
        <v>205</v>
      </c>
      <c r="Q29" s="196">
        <v>4.78</v>
      </c>
      <c r="R29" s="196">
        <v>1.65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C18" sqref="C18:C3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42998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470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1003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1004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1005</v>
      </c>
      <c r="J22" s="140" t="s">
        <v>92</v>
      </c>
      <c r="K22" s="140" t="s">
        <v>1022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1008</v>
      </c>
      <c r="J25" s="140" t="s">
        <v>145</v>
      </c>
      <c r="M25" s="154" t="b">
        <v>1</v>
      </c>
    </row>
    <row r="26" spans="3:24" x14ac:dyDescent="0.25">
      <c r="C26" t="s">
        <v>1009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c:\users\tmcdowell\Documents\GitHub\eaglep3-reporting\EC\2017-09-20-refined-times.txt</v>
      </c>
    </row>
    <row r="27" spans="3:24" x14ac:dyDescent="0.25">
      <c r="C27" t="s">
        <v>1010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c:\users\tmcdowell\Documents\GitHub\eaglep3-reporting\EC\2017-09-20-Enforcements.txt</v>
      </c>
    </row>
    <row r="28" spans="3:24" x14ac:dyDescent="0.25">
      <c r="C28" t="s">
        <v>575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c:\users\tmcdowell\Documents\GitHub\eaglep3-reporting\EC\2017-09-20-Runs-refined.txt</v>
      </c>
    </row>
    <row r="29" spans="3:24" x14ac:dyDescent="0.25">
      <c r="C29" t="s">
        <v>1011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c:\users\tmcdowell\Documents\GitHub\eaglep3-reporting\EC\2017-09-20-Trips.txt</v>
      </c>
    </row>
    <row r="30" spans="3:24" x14ac:dyDescent="0.25">
      <c r="C30" t="s">
        <v>1012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c:\users\tmcdowell\Documents\GitHub\eaglep3-reporting\EC\2017-09-20-Weather.txt</v>
      </c>
    </row>
    <row r="31" spans="3:24" x14ac:dyDescent="0.25">
      <c r="C31" t="s">
        <v>1013</v>
      </c>
      <c r="J31" s="140" t="s">
        <v>192</v>
      </c>
      <c r="M31" s="154" t="s">
        <v>193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  <row r="35" spans="3:3" x14ac:dyDescent="0.25">
      <c r="C35" t="s">
        <v>1017</v>
      </c>
    </row>
    <row r="36" spans="3:3" x14ac:dyDescent="0.25">
      <c r="C36" t="s">
        <v>1018</v>
      </c>
    </row>
    <row r="37" spans="3:3" x14ac:dyDescent="0.25">
      <c r="C37" t="s">
        <v>1019</v>
      </c>
    </row>
    <row r="38" spans="3:3" x14ac:dyDescent="0.25">
      <c r="C38" t="s">
        <v>1020</v>
      </c>
    </row>
    <row r="39" spans="3:3" x14ac:dyDescent="0.25">
      <c r="C39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2017-09-21T15:43:20Z</dcterms:modified>
</cp:coreProperties>
</file>