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3" i="1" l="1"/>
  <c r="K152" i="1"/>
  <c r="L152" i="1"/>
  <c r="M152" i="1"/>
  <c r="P152" i="1" s="1"/>
  <c r="V152" i="1"/>
  <c r="Y152" i="1"/>
  <c r="Z152" i="1"/>
  <c r="AA152" i="1" s="1"/>
  <c r="AB152" i="1"/>
  <c r="AC152" i="1"/>
  <c r="AD152" i="1"/>
  <c r="T152" i="1" s="1"/>
  <c r="AE152" i="1"/>
  <c r="AF152" i="1"/>
  <c r="AH152" i="1"/>
  <c r="P72" i="1"/>
  <c r="K72" i="1"/>
  <c r="L72" i="1"/>
  <c r="M72" i="1"/>
  <c r="V72" i="1"/>
  <c r="AA72" i="1"/>
  <c r="AB72" i="1"/>
  <c r="AC72" i="1"/>
  <c r="AD72" i="1"/>
  <c r="T72" i="1" s="1"/>
  <c r="AE72" i="1"/>
  <c r="AF72" i="1"/>
  <c r="AH72" i="1"/>
  <c r="AG152" i="1" l="1"/>
  <c r="X152" i="1"/>
  <c r="AG72" i="1"/>
  <c r="B76" i="9"/>
  <c r="C76" i="9"/>
  <c r="B77" i="9"/>
  <c r="C78" i="9" s="1"/>
  <c r="C77" i="9"/>
  <c r="B78" i="9"/>
  <c r="B79" i="9"/>
  <c r="C80" i="9" s="1"/>
  <c r="C79" i="9"/>
  <c r="B80" i="9"/>
  <c r="B81" i="9"/>
  <c r="C82" i="9" s="1"/>
  <c r="C81" i="9"/>
  <c r="B82" i="9"/>
  <c r="B83" i="9"/>
  <c r="C84" i="9" s="1"/>
  <c r="C83" i="9"/>
  <c r="B84" i="9"/>
  <c r="B85" i="9"/>
  <c r="C86" i="9" s="1"/>
  <c r="C85" i="9"/>
  <c r="B86" i="9"/>
  <c r="B87" i="9"/>
  <c r="C88" i="9" s="1"/>
  <c r="C87" i="9"/>
  <c r="B88" i="9"/>
  <c r="B89" i="9"/>
  <c r="C90" i="9" s="1"/>
  <c r="C89" i="9"/>
  <c r="B90" i="9"/>
  <c r="B91" i="9"/>
  <c r="C92" i="9" s="1"/>
  <c r="C91" i="9"/>
  <c r="B92" i="9"/>
  <c r="B93" i="9"/>
  <c r="C94" i="9" s="1"/>
  <c r="C93" i="9"/>
  <c r="B94" i="9"/>
  <c r="B95" i="9"/>
  <c r="C96" i="9" s="1"/>
  <c r="C95" i="9"/>
  <c r="B96" i="9"/>
  <c r="B97" i="9"/>
  <c r="C97" i="9"/>
  <c r="AI152" i="1" l="1"/>
  <c r="U152" i="1"/>
  <c r="S152" i="1" s="1"/>
  <c r="W152" i="1"/>
  <c r="AI72" i="1"/>
  <c r="U72" i="1"/>
  <c r="S72" i="1" s="1"/>
  <c r="W72" i="1"/>
  <c r="K14" i="1" l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S21" i="3" s="1"/>
  <c r="Y18" i="1"/>
  <c r="Z18" i="1"/>
  <c r="AB18" i="1"/>
  <c r="AC18" i="1"/>
  <c r="AD18" i="1"/>
  <c r="AE18" i="1"/>
  <c r="R21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S20" i="3" s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S22" i="3" s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I36" i="1" s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A41" i="1" s="1"/>
  <c r="AB41" i="1"/>
  <c r="AC41" i="1"/>
  <c r="AD41" i="1"/>
  <c r="AE41" i="1"/>
  <c r="AF41" i="1"/>
  <c r="AH41" i="1"/>
  <c r="K42" i="1"/>
  <c r="L42" i="1"/>
  <c r="M42" i="1"/>
  <c r="N42" i="1" s="1"/>
  <c r="V42" i="1"/>
  <c r="S8" i="3" s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S23" i="3" s="1"/>
  <c r="Y46" i="1"/>
  <c r="Z46" i="1"/>
  <c r="AB46" i="1"/>
  <c r="AC46" i="1"/>
  <c r="AD46" i="1"/>
  <c r="AE46" i="1"/>
  <c r="R23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K49" i="1"/>
  <c r="L49" i="1"/>
  <c r="M49" i="1"/>
  <c r="P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S18" i="3" s="1"/>
  <c r="Y54" i="1"/>
  <c r="Z54" i="1"/>
  <c r="AB54" i="1"/>
  <c r="AC54" i="1"/>
  <c r="AD54" i="1"/>
  <c r="AG54" i="1" s="1"/>
  <c r="AE54" i="1"/>
  <c r="R18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S9" i="3" s="1"/>
  <c r="Y59" i="1"/>
  <c r="Z59" i="1"/>
  <c r="AB59" i="1"/>
  <c r="AC59" i="1"/>
  <c r="AD59" i="1"/>
  <c r="T59" i="1" s="1"/>
  <c r="AE59" i="1"/>
  <c r="R9" i="3" s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S26" i="3" s="1"/>
  <c r="Y62" i="1"/>
  <c r="Z62" i="1"/>
  <c r="AB62" i="1"/>
  <c r="AC62" i="1"/>
  <c r="AD62" i="1"/>
  <c r="AG62" i="1" s="1"/>
  <c r="AE62" i="1"/>
  <c r="R25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3" i="1"/>
  <c r="L73" i="1"/>
  <c r="M73" i="1"/>
  <c r="P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S24" i="3" s="1"/>
  <c r="Y79" i="1"/>
  <c r="Z79" i="1"/>
  <c r="AB79" i="1"/>
  <c r="AC79" i="1"/>
  <c r="AD79" i="1"/>
  <c r="AE79" i="1"/>
  <c r="R24" i="3" s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V83" i="1"/>
  <c r="S16" i="3" s="1"/>
  <c r="Y83" i="1"/>
  <c r="Z83" i="1"/>
  <c r="AB83" i="1"/>
  <c r="AC83" i="1"/>
  <c r="AD83" i="1"/>
  <c r="AE83" i="1"/>
  <c r="AF83" i="1"/>
  <c r="AH83" i="1"/>
  <c r="K84" i="1"/>
  <c r="L84" i="1"/>
  <c r="M84" i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S10" i="3" s="1"/>
  <c r="Y94" i="1"/>
  <c r="Z94" i="1"/>
  <c r="AB94" i="1"/>
  <c r="AC94" i="1"/>
  <c r="AD94" i="1"/>
  <c r="AG94" i="1" s="1"/>
  <c r="AE94" i="1"/>
  <c r="R10" i="3" s="1"/>
  <c r="AF94" i="1"/>
  <c r="AH9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6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97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99" i="1"/>
  <c r="K168" i="1"/>
  <c r="L168" i="1"/>
  <c r="M168" i="1"/>
  <c r="N168" i="1" s="1"/>
  <c r="V168" i="1"/>
  <c r="S32" i="3" s="1"/>
  <c r="Y168" i="1"/>
  <c r="Z168" i="1"/>
  <c r="AB168" i="1"/>
  <c r="AC168" i="1"/>
  <c r="AD168" i="1"/>
  <c r="AE168" i="1"/>
  <c r="AF168" i="1"/>
  <c r="AH100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1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3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10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8" i="1"/>
  <c r="K176" i="1"/>
  <c r="L176" i="1"/>
  <c r="M176" i="1"/>
  <c r="N176" i="1" s="1"/>
  <c r="V176" i="1"/>
  <c r="S33" i="3" s="1"/>
  <c r="Y176" i="1"/>
  <c r="Z176" i="1"/>
  <c r="AB176" i="1"/>
  <c r="AC176" i="1"/>
  <c r="AD176" i="1"/>
  <c r="AG176" i="1" s="1"/>
  <c r="AE176" i="1"/>
  <c r="AF176" i="1"/>
  <c r="AH109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2" i="1"/>
  <c r="K180" i="1"/>
  <c r="L180" i="1"/>
  <c r="M180" i="1"/>
  <c r="N180" i="1" s="1"/>
  <c r="V180" i="1"/>
  <c r="S34" i="3" s="1"/>
  <c r="Y180" i="1"/>
  <c r="Z180" i="1"/>
  <c r="AB180" i="1"/>
  <c r="AC180" i="1"/>
  <c r="AD180" i="1"/>
  <c r="AE180" i="1"/>
  <c r="R34" i="3" s="1"/>
  <c r="AF180" i="1"/>
  <c r="AH113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4" i="1"/>
  <c r="K182" i="1"/>
  <c r="L182" i="1"/>
  <c r="M182" i="1"/>
  <c r="N182" i="1" s="1"/>
  <c r="V182" i="1"/>
  <c r="S35" i="3" s="1"/>
  <c r="Y182" i="1"/>
  <c r="Z182" i="1"/>
  <c r="AB182" i="1"/>
  <c r="AC182" i="1"/>
  <c r="AD182" i="1"/>
  <c r="T182" i="1" s="1"/>
  <c r="AE182" i="1"/>
  <c r="AF182" i="1"/>
  <c r="AH11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1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7" i="1"/>
  <c r="K184" i="1"/>
  <c r="L184" i="1"/>
  <c r="M184" i="1"/>
  <c r="N184" i="1" s="1"/>
  <c r="V184" i="1"/>
  <c r="S36" i="3" s="1"/>
  <c r="Y184" i="1"/>
  <c r="Z184" i="1"/>
  <c r="AB184" i="1"/>
  <c r="AC184" i="1"/>
  <c r="AD184" i="1"/>
  <c r="AG184" i="1" s="1"/>
  <c r="AE184" i="1"/>
  <c r="AF184" i="1"/>
  <c r="AH11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1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0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1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2" i="1"/>
  <c r="K189" i="1"/>
  <c r="L189" i="1"/>
  <c r="M189" i="1"/>
  <c r="N189" i="1" s="1"/>
  <c r="V189" i="1"/>
  <c r="S30" i="3" s="1"/>
  <c r="Y189" i="1"/>
  <c r="Z189" i="1"/>
  <c r="AB189" i="1"/>
  <c r="AC189" i="1"/>
  <c r="AD189" i="1"/>
  <c r="T189" i="1" s="1"/>
  <c r="AE189" i="1"/>
  <c r="AF189" i="1"/>
  <c r="AH12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5" i="1"/>
  <c r="K192" i="1"/>
  <c r="L192" i="1"/>
  <c r="M192" i="1"/>
  <c r="N192" i="1" s="1"/>
  <c r="V192" i="1"/>
  <c r="S37" i="3" s="1"/>
  <c r="Y192" i="1"/>
  <c r="Z192" i="1"/>
  <c r="AB192" i="1"/>
  <c r="AC192" i="1"/>
  <c r="AD192" i="1"/>
  <c r="AE192" i="1"/>
  <c r="AF192" i="1"/>
  <c r="AH126" i="1"/>
  <c r="K97" i="1"/>
  <c r="L97" i="1"/>
  <c r="M97" i="1"/>
  <c r="N97" i="1" s="1"/>
  <c r="V97" i="1"/>
  <c r="S28" i="3" s="1"/>
  <c r="Y97" i="1"/>
  <c r="Z97" i="1"/>
  <c r="AB97" i="1"/>
  <c r="AC97" i="1"/>
  <c r="AD97" i="1"/>
  <c r="AG97" i="1" s="1"/>
  <c r="AE97" i="1"/>
  <c r="AF97" i="1"/>
  <c r="AH12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8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29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0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31" i="1"/>
  <c r="K98" i="1"/>
  <c r="L98" i="1"/>
  <c r="M98" i="1"/>
  <c r="N98" i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V99" i="1"/>
  <c r="S11" i="3" s="1"/>
  <c r="Y99" i="1"/>
  <c r="Z99" i="1"/>
  <c r="AB99" i="1"/>
  <c r="AC99" i="1"/>
  <c r="AD99" i="1"/>
  <c r="T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K103" i="1"/>
  <c r="L103" i="1"/>
  <c r="M103" i="1"/>
  <c r="P103" i="1" s="1"/>
  <c r="V103" i="1"/>
  <c r="Y103" i="1"/>
  <c r="Z103" i="1"/>
  <c r="AB103" i="1"/>
  <c r="AC103" i="1"/>
  <c r="AD103" i="1"/>
  <c r="T103" i="1" s="1"/>
  <c r="AE103" i="1"/>
  <c r="AF103" i="1"/>
  <c r="AH137" i="1"/>
  <c r="K104" i="1"/>
  <c r="L104" i="1"/>
  <c r="M104" i="1"/>
  <c r="V104" i="1"/>
  <c r="Y104" i="1"/>
  <c r="Z104" i="1"/>
  <c r="AB104" i="1"/>
  <c r="AC104" i="1"/>
  <c r="AD104" i="1"/>
  <c r="AE104" i="1"/>
  <c r="AF104" i="1"/>
  <c r="AH138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39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40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K108" i="1"/>
  <c r="L108" i="1"/>
  <c r="M108" i="1"/>
  <c r="V108" i="1"/>
  <c r="Y108" i="1"/>
  <c r="Z108" i="1"/>
  <c r="AB108" i="1"/>
  <c r="AC108" i="1"/>
  <c r="AD108" i="1"/>
  <c r="AE108" i="1"/>
  <c r="AF108" i="1"/>
  <c r="AH144" i="1"/>
  <c r="K109" i="1"/>
  <c r="L109" i="1"/>
  <c r="M109" i="1"/>
  <c r="V109" i="1"/>
  <c r="Y109" i="1"/>
  <c r="Z109" i="1"/>
  <c r="AB109" i="1"/>
  <c r="AC109" i="1"/>
  <c r="AD109" i="1"/>
  <c r="T109" i="1" s="1"/>
  <c r="AE109" i="1"/>
  <c r="AF109" i="1"/>
  <c r="AH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3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4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5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6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7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8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59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60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1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2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3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4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7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8" i="1"/>
  <c r="K133" i="1"/>
  <c r="L133" i="1"/>
  <c r="M133" i="1"/>
  <c r="N133" i="1" s="1"/>
  <c r="V133" i="1"/>
  <c r="S19" i="3" s="1"/>
  <c r="Y133" i="1"/>
  <c r="Z133" i="1"/>
  <c r="AB133" i="1"/>
  <c r="AC133" i="1"/>
  <c r="AD133" i="1"/>
  <c r="AG133" i="1" s="1"/>
  <c r="AE133" i="1"/>
  <c r="AF133" i="1"/>
  <c r="AH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2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3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6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7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8" i="1"/>
  <c r="K143" i="1"/>
  <c r="L143" i="1"/>
  <c r="M143" i="1"/>
  <c r="N143" i="1" s="1"/>
  <c r="V143" i="1"/>
  <c r="S15" i="3" s="1"/>
  <c r="Y143" i="1"/>
  <c r="Z143" i="1"/>
  <c r="AB143" i="1"/>
  <c r="AC143" i="1"/>
  <c r="AD143" i="1"/>
  <c r="T143" i="1" s="1"/>
  <c r="AE143" i="1"/>
  <c r="R7" i="3" s="1"/>
  <c r="AF143" i="1"/>
  <c r="AH179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0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1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2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3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4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5" i="1"/>
  <c r="K150" i="1"/>
  <c r="L150" i="1"/>
  <c r="M150" i="1"/>
  <c r="N150" i="1" s="1"/>
  <c r="V150" i="1"/>
  <c r="S12" i="3" s="1"/>
  <c r="Y150" i="1"/>
  <c r="Z150" i="1"/>
  <c r="AB150" i="1"/>
  <c r="AC150" i="1"/>
  <c r="AD150" i="1"/>
  <c r="T150" i="1" s="1"/>
  <c r="AE150" i="1"/>
  <c r="R12" i="3" s="1"/>
  <c r="AF150" i="1"/>
  <c r="AH186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7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8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89" i="1"/>
  <c r="K155" i="1"/>
  <c r="L155" i="1"/>
  <c r="M155" i="1"/>
  <c r="N155" i="1" s="1"/>
  <c r="V155" i="1"/>
  <c r="S13" i="3" s="1"/>
  <c r="Y155" i="1"/>
  <c r="Z155" i="1"/>
  <c r="AB155" i="1"/>
  <c r="AC155" i="1"/>
  <c r="AD155" i="1"/>
  <c r="T155" i="1" s="1"/>
  <c r="AE155" i="1"/>
  <c r="AF155" i="1"/>
  <c r="AH190" i="1"/>
  <c r="K156" i="1"/>
  <c r="L156" i="1"/>
  <c r="M156" i="1"/>
  <c r="N156" i="1"/>
  <c r="V156" i="1"/>
  <c r="Y156" i="1"/>
  <c r="Z156" i="1"/>
  <c r="AB156" i="1"/>
  <c r="AC156" i="1"/>
  <c r="AD156" i="1"/>
  <c r="AG156" i="1" s="1"/>
  <c r="AE156" i="1"/>
  <c r="AF156" i="1"/>
  <c r="AH191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92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9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4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95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96" i="1"/>
  <c r="AH197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0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1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2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R39" i="3" s="1"/>
  <c r="AF213" i="1"/>
  <c r="AH213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K217" i="1"/>
  <c r="L217" i="1"/>
  <c r="M217" i="1"/>
  <c r="N217" i="1" s="1"/>
  <c r="V217" i="1"/>
  <c r="S38" i="3" s="1"/>
  <c r="Y217" i="1"/>
  <c r="Z217" i="1"/>
  <c r="AB217" i="1"/>
  <c r="AC217" i="1"/>
  <c r="AD217" i="1"/>
  <c r="AG217" i="1" s="1"/>
  <c r="AE217" i="1"/>
  <c r="R38" i="3" s="1"/>
  <c r="AF217" i="1"/>
  <c r="AH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K219" i="1"/>
  <c r="L219" i="1"/>
  <c r="M219" i="1"/>
  <c r="N219" i="1" s="1"/>
  <c r="V219" i="1"/>
  <c r="Y219" i="1"/>
  <c r="Z219" i="1"/>
  <c r="AA219" i="1" s="1"/>
  <c r="W219" i="1" s="1"/>
  <c r="AB219" i="1"/>
  <c r="AC219" i="1"/>
  <c r="AD219" i="1"/>
  <c r="AG219" i="1" s="1"/>
  <c r="AE219" i="1"/>
  <c r="AF219" i="1"/>
  <c r="AH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25" i="1"/>
  <c r="M42" i="3"/>
  <c r="N42" i="3"/>
  <c r="U42" i="3"/>
  <c r="T42" i="3" s="1"/>
  <c r="V42" i="3"/>
  <c r="W42" i="3"/>
  <c r="X42" i="3"/>
  <c r="AC42" i="3"/>
  <c r="M40" i="3"/>
  <c r="N40" i="3"/>
  <c r="U40" i="3"/>
  <c r="T40" i="3" s="1"/>
  <c r="V40" i="3"/>
  <c r="W40" i="3"/>
  <c r="X40" i="3"/>
  <c r="AC40" i="3"/>
  <c r="M41" i="3"/>
  <c r="N41" i="3"/>
  <c r="U41" i="3"/>
  <c r="T41" i="3" s="1"/>
  <c r="V41" i="3"/>
  <c r="W41" i="3"/>
  <c r="X41" i="3"/>
  <c r="AC41" i="3"/>
  <c r="M21" i="3"/>
  <c r="N21" i="3"/>
  <c r="U21" i="3"/>
  <c r="T21" i="3" s="1"/>
  <c r="V21" i="3"/>
  <c r="W21" i="3"/>
  <c r="X21" i="3"/>
  <c r="AC21" i="3"/>
  <c r="M20" i="3"/>
  <c r="N20" i="3"/>
  <c r="R20" i="3"/>
  <c r="U20" i="3"/>
  <c r="T20" i="3" s="1"/>
  <c r="V20" i="3"/>
  <c r="W20" i="3"/>
  <c r="X20" i="3"/>
  <c r="AC20" i="3"/>
  <c r="M28" i="3"/>
  <c r="N28" i="3"/>
  <c r="R28" i="3"/>
  <c r="U28" i="3"/>
  <c r="T28" i="3" s="1"/>
  <c r="V28" i="3"/>
  <c r="W28" i="3"/>
  <c r="X28" i="3"/>
  <c r="AC28" i="3"/>
  <c r="M22" i="3"/>
  <c r="N22" i="3"/>
  <c r="R22" i="3"/>
  <c r="U22" i="3"/>
  <c r="T22" i="3" s="1"/>
  <c r="V22" i="3"/>
  <c r="W22" i="3"/>
  <c r="X22" i="3"/>
  <c r="AC22" i="3"/>
  <c r="M31" i="3"/>
  <c r="N31" i="3"/>
  <c r="R31" i="3"/>
  <c r="U31" i="3"/>
  <c r="T31" i="3" s="1"/>
  <c r="V31" i="3"/>
  <c r="W31" i="3"/>
  <c r="X31" i="3"/>
  <c r="AC31" i="3"/>
  <c r="M32" i="3"/>
  <c r="N32" i="3"/>
  <c r="R32" i="3"/>
  <c r="U32" i="3"/>
  <c r="T32" i="3" s="1"/>
  <c r="V32" i="3"/>
  <c r="W32" i="3"/>
  <c r="X32" i="3"/>
  <c r="AC32" i="3"/>
  <c r="M8" i="3"/>
  <c r="N8" i="3"/>
  <c r="R8" i="3"/>
  <c r="U8" i="3"/>
  <c r="T8" i="3" s="1"/>
  <c r="V8" i="3"/>
  <c r="W8" i="3"/>
  <c r="X8" i="3"/>
  <c r="AC8" i="3"/>
  <c r="M18" i="3"/>
  <c r="N18" i="3"/>
  <c r="U18" i="3"/>
  <c r="T18" i="3" s="1"/>
  <c r="V18" i="3"/>
  <c r="W18" i="3"/>
  <c r="X18" i="3"/>
  <c r="AC18" i="3"/>
  <c r="M23" i="3"/>
  <c r="N23" i="3"/>
  <c r="U23" i="3"/>
  <c r="T23" i="3" s="1"/>
  <c r="V23" i="3"/>
  <c r="W23" i="3"/>
  <c r="X23" i="3"/>
  <c r="AC23" i="3"/>
  <c r="M25" i="3"/>
  <c r="N25" i="3"/>
  <c r="U25" i="3"/>
  <c r="T25" i="3" s="1"/>
  <c r="V25" i="3"/>
  <c r="W25" i="3"/>
  <c r="X25" i="3"/>
  <c r="AC25" i="3"/>
  <c r="M26" i="3"/>
  <c r="N26" i="3"/>
  <c r="R26" i="3"/>
  <c r="U26" i="3"/>
  <c r="T26" i="3" s="1"/>
  <c r="V26" i="3"/>
  <c r="W26" i="3"/>
  <c r="X26" i="3"/>
  <c r="AC26" i="3"/>
  <c r="M9" i="3"/>
  <c r="N9" i="3"/>
  <c r="U9" i="3"/>
  <c r="T9" i="3" s="1"/>
  <c r="V9" i="3"/>
  <c r="W9" i="3"/>
  <c r="X9" i="3"/>
  <c r="AC9" i="3"/>
  <c r="M33" i="3"/>
  <c r="N33" i="3"/>
  <c r="U33" i="3"/>
  <c r="T33" i="3" s="1"/>
  <c r="V33" i="3"/>
  <c r="W33" i="3"/>
  <c r="X33" i="3"/>
  <c r="AC33" i="3"/>
  <c r="M24" i="3"/>
  <c r="N24" i="3"/>
  <c r="U24" i="3"/>
  <c r="T24" i="3" s="1"/>
  <c r="V24" i="3"/>
  <c r="W24" i="3"/>
  <c r="X24" i="3"/>
  <c r="AC24" i="3"/>
  <c r="M16" i="3"/>
  <c r="N16" i="3"/>
  <c r="R16" i="3"/>
  <c r="U16" i="3"/>
  <c r="T16" i="3" s="1"/>
  <c r="V16" i="3"/>
  <c r="W16" i="3"/>
  <c r="X16" i="3"/>
  <c r="M10" i="3"/>
  <c r="N10" i="3"/>
  <c r="U10" i="3"/>
  <c r="T10" i="3" s="1"/>
  <c r="V10" i="3"/>
  <c r="W10" i="3"/>
  <c r="Y10" i="3" s="1"/>
  <c r="X10" i="3"/>
  <c r="AC10" i="3"/>
  <c r="M34" i="3"/>
  <c r="N34" i="3"/>
  <c r="U34" i="3"/>
  <c r="T34" i="3" s="1"/>
  <c r="V34" i="3"/>
  <c r="W34" i="3"/>
  <c r="X34" i="3"/>
  <c r="AC34" i="3"/>
  <c r="M11" i="3"/>
  <c r="N11" i="3"/>
  <c r="R11" i="3"/>
  <c r="U11" i="3"/>
  <c r="T11" i="3" s="1"/>
  <c r="V11" i="3"/>
  <c r="W11" i="3"/>
  <c r="X11" i="3"/>
  <c r="AC11" i="3"/>
  <c r="M27" i="3"/>
  <c r="N27" i="3"/>
  <c r="R27" i="3"/>
  <c r="U27" i="3"/>
  <c r="T27" i="3" s="1"/>
  <c r="V27" i="3"/>
  <c r="W27" i="3"/>
  <c r="X27" i="3"/>
  <c r="AC27" i="3"/>
  <c r="M17" i="3"/>
  <c r="N17" i="3"/>
  <c r="U17" i="3"/>
  <c r="T17" i="3" s="1"/>
  <c r="V17" i="3"/>
  <c r="W17" i="3"/>
  <c r="X17" i="3"/>
  <c r="AC17" i="3"/>
  <c r="M35" i="3"/>
  <c r="N35" i="3"/>
  <c r="U35" i="3"/>
  <c r="T35" i="3" s="1"/>
  <c r="V35" i="3"/>
  <c r="W35" i="3"/>
  <c r="X35" i="3"/>
  <c r="AC35" i="3"/>
  <c r="M36" i="3"/>
  <c r="N36" i="3"/>
  <c r="U36" i="3"/>
  <c r="T36" i="3" s="1"/>
  <c r="V36" i="3"/>
  <c r="W36" i="3"/>
  <c r="X36" i="3"/>
  <c r="AC36" i="3"/>
  <c r="M29" i="3"/>
  <c r="N29" i="3"/>
  <c r="U29" i="3"/>
  <c r="T29" i="3" s="1"/>
  <c r="V29" i="3"/>
  <c r="W29" i="3"/>
  <c r="X29" i="3"/>
  <c r="M19" i="3"/>
  <c r="N19" i="3"/>
  <c r="U19" i="3"/>
  <c r="T19" i="3" s="1"/>
  <c r="V19" i="3"/>
  <c r="W19" i="3"/>
  <c r="X19" i="3"/>
  <c r="AC19" i="3"/>
  <c r="M30" i="3"/>
  <c r="N30" i="3"/>
  <c r="U30" i="3"/>
  <c r="T30" i="3" s="1"/>
  <c r="V30" i="3"/>
  <c r="W30" i="3"/>
  <c r="X30" i="3"/>
  <c r="AC30" i="3"/>
  <c r="M38" i="3"/>
  <c r="N38" i="3"/>
  <c r="U38" i="3"/>
  <c r="T38" i="3" s="1"/>
  <c r="V38" i="3"/>
  <c r="W38" i="3"/>
  <c r="X38" i="3"/>
  <c r="AC38" i="3"/>
  <c r="M7" i="3"/>
  <c r="N7" i="3"/>
  <c r="U7" i="3"/>
  <c r="T7" i="3" s="1"/>
  <c r="V7" i="3"/>
  <c r="W7" i="3"/>
  <c r="X7" i="3"/>
  <c r="AC7" i="3"/>
  <c r="M37" i="3"/>
  <c r="N37" i="3"/>
  <c r="U37" i="3"/>
  <c r="T37" i="3" s="1"/>
  <c r="V37" i="3"/>
  <c r="W37" i="3"/>
  <c r="X37" i="3"/>
  <c r="AC37" i="3"/>
  <c r="M15" i="3"/>
  <c r="N15" i="3"/>
  <c r="U15" i="3"/>
  <c r="T15" i="3" s="1"/>
  <c r="V15" i="3"/>
  <c r="W15" i="3"/>
  <c r="X15" i="3"/>
  <c r="AC15" i="3"/>
  <c r="M39" i="3"/>
  <c r="N39" i="3"/>
  <c r="S39" i="3"/>
  <c r="U39" i="3"/>
  <c r="T39" i="3" s="1"/>
  <c r="V39" i="3"/>
  <c r="W39" i="3"/>
  <c r="X39" i="3"/>
  <c r="AC39" i="3"/>
  <c r="M12" i="3"/>
  <c r="N12" i="3"/>
  <c r="U12" i="3"/>
  <c r="T12" i="3" s="1"/>
  <c r="V12" i="3"/>
  <c r="W12" i="3"/>
  <c r="X12" i="3"/>
  <c r="M13" i="3"/>
  <c r="N13" i="3"/>
  <c r="U13" i="3"/>
  <c r="T13" i="3" s="1"/>
  <c r="V13" i="3"/>
  <c r="W13" i="3"/>
  <c r="X13" i="3"/>
  <c r="AC13" i="3"/>
  <c r="M14" i="3"/>
  <c r="N14" i="3"/>
  <c r="U14" i="3"/>
  <c r="T14" i="3" s="1"/>
  <c r="V14" i="3"/>
  <c r="W14" i="3"/>
  <c r="X14" i="3"/>
  <c r="AC14" i="3"/>
  <c r="T162" i="1" l="1"/>
  <c r="X162" i="1"/>
  <c r="S25" i="3"/>
  <c r="R17" i="3"/>
  <c r="AA110" i="1"/>
  <c r="AA162" i="1"/>
  <c r="T157" i="1"/>
  <c r="S29" i="3"/>
  <c r="S31" i="3"/>
  <c r="AG166" i="1"/>
  <c r="AI166" i="1" s="1"/>
  <c r="X166" i="1"/>
  <c r="AG164" i="1"/>
  <c r="X164" i="1"/>
  <c r="X163" i="1"/>
  <c r="AA82" i="1"/>
  <c r="AG73" i="1"/>
  <c r="X73" i="1"/>
  <c r="AG71" i="1"/>
  <c r="X72" i="1"/>
  <c r="Y42" i="3"/>
  <c r="Y13" i="3"/>
  <c r="Y18" i="3"/>
  <c r="Y37" i="3"/>
  <c r="Y19" i="3"/>
  <c r="Y17" i="3"/>
  <c r="Y9" i="3"/>
  <c r="Y22" i="3"/>
  <c r="Y20" i="3"/>
  <c r="Y41" i="3"/>
  <c r="AA147" i="1"/>
  <c r="AA146" i="1"/>
  <c r="AA144" i="1"/>
  <c r="AA143" i="1"/>
  <c r="AA134" i="1"/>
  <c r="AA170" i="1"/>
  <c r="AI94" i="1"/>
  <c r="AA119" i="1"/>
  <c r="T53" i="1"/>
  <c r="R14" i="3"/>
  <c r="AG113" i="1"/>
  <c r="U113" i="1" s="1"/>
  <c r="S113" i="1" s="1"/>
  <c r="X81" i="1"/>
  <c r="S17" i="3"/>
  <c r="S41" i="3"/>
  <c r="R15" i="3"/>
  <c r="R42" i="3"/>
  <c r="R35" i="3"/>
  <c r="AA171" i="1"/>
  <c r="S27" i="3"/>
  <c r="T133" i="1"/>
  <c r="U133" i="1" s="1"/>
  <c r="S133" i="1" s="1"/>
  <c r="R33" i="3"/>
  <c r="AA94" i="1"/>
  <c r="W94" i="1" s="1"/>
  <c r="T61" i="1"/>
  <c r="U61" i="1" s="1"/>
  <c r="S61" i="1" s="1"/>
  <c r="AA45" i="1"/>
  <c r="AA44" i="1"/>
  <c r="AA17" i="1"/>
  <c r="AA16" i="1"/>
  <c r="W16" i="1" s="1"/>
  <c r="AA15" i="1"/>
  <c r="AA87" i="1"/>
  <c r="AA86" i="1"/>
  <c r="AG204" i="1"/>
  <c r="U204" i="1" s="1"/>
  <c r="S204" i="1" s="1"/>
  <c r="AG149" i="1"/>
  <c r="R19" i="3"/>
  <c r="R40" i="3"/>
  <c r="T225" i="1"/>
  <c r="U225" i="1" s="1"/>
  <c r="S225" i="1" s="1"/>
  <c r="AA225" i="1"/>
  <c r="W225" i="1" s="1"/>
  <c r="AA208" i="1"/>
  <c r="AA207" i="1"/>
  <c r="W207" i="1" s="1"/>
  <c r="T202" i="1"/>
  <c r="U202" i="1" s="1"/>
  <c r="S202" i="1" s="1"/>
  <c r="AA155" i="1"/>
  <c r="AA150" i="1"/>
  <c r="T141" i="1"/>
  <c r="U141" i="1" s="1"/>
  <c r="S141" i="1" s="1"/>
  <c r="R37" i="3"/>
  <c r="AA126" i="1"/>
  <c r="R30" i="3"/>
  <c r="AA123" i="1"/>
  <c r="AA211" i="1"/>
  <c r="AA105" i="1"/>
  <c r="W105" i="1" s="1"/>
  <c r="AA178" i="1"/>
  <c r="T89" i="1"/>
  <c r="AA84" i="1"/>
  <c r="AA185" i="1"/>
  <c r="AA93" i="1"/>
  <c r="W93" i="1" s="1"/>
  <c r="T69" i="1"/>
  <c r="U69" i="1" s="1"/>
  <c r="S69" i="1" s="1"/>
  <c r="AA49" i="1"/>
  <c r="AA37" i="1"/>
  <c r="AA161" i="1"/>
  <c r="R36" i="3"/>
  <c r="AI93" i="1"/>
  <c r="AG74" i="1"/>
  <c r="U74" i="1" s="1"/>
  <c r="S74" i="1" s="1"/>
  <c r="AG20" i="1"/>
  <c r="U20" i="1" s="1"/>
  <c r="S20" i="1" s="1"/>
  <c r="R41" i="3"/>
  <c r="S42" i="3"/>
  <c r="AI170" i="1"/>
  <c r="AG99" i="1"/>
  <c r="U99" i="1" s="1"/>
  <c r="S99" i="1" s="1"/>
  <c r="R29" i="3"/>
  <c r="AG65" i="1"/>
  <c r="AI65" i="1" s="1"/>
  <c r="AG57" i="1"/>
  <c r="U57" i="1" s="1"/>
  <c r="S57" i="1" s="1"/>
  <c r="T220" i="1"/>
  <c r="AA216" i="1"/>
  <c r="AG162" i="1"/>
  <c r="U162" i="1" s="1"/>
  <c r="S162" i="1" s="1"/>
  <c r="AG126" i="1"/>
  <c r="W126" i="1" s="1"/>
  <c r="AG118" i="1"/>
  <c r="AA114" i="1"/>
  <c r="AG109" i="1"/>
  <c r="AI109" i="1" s="1"/>
  <c r="AA192" i="1"/>
  <c r="AA187" i="1"/>
  <c r="P83" i="1"/>
  <c r="AG80" i="1"/>
  <c r="U80" i="1" s="1"/>
  <c r="S80" i="1" s="1"/>
  <c r="T73" i="1"/>
  <c r="AA222" i="1"/>
  <c r="T207" i="1"/>
  <c r="U207" i="1" s="1"/>
  <c r="S207" i="1" s="1"/>
  <c r="AA204" i="1"/>
  <c r="AI202" i="1"/>
  <c r="R13" i="3"/>
  <c r="AA130" i="1"/>
  <c r="AA128" i="1"/>
  <c r="AA127" i="1"/>
  <c r="AG121" i="1"/>
  <c r="N108" i="1"/>
  <c r="AG103" i="1"/>
  <c r="U103" i="1" s="1"/>
  <c r="S103" i="1" s="1"/>
  <c r="X101" i="1"/>
  <c r="AA182" i="1"/>
  <c r="AA181" i="1"/>
  <c r="W181" i="1" s="1"/>
  <c r="T176" i="1"/>
  <c r="U176" i="1" s="1"/>
  <c r="S176" i="1" s="1"/>
  <c r="AG91" i="1"/>
  <c r="AI91" i="1" s="1"/>
  <c r="AG82" i="1"/>
  <c r="AA76" i="1"/>
  <c r="AA73" i="1"/>
  <c r="W73" i="1" s="1"/>
  <c r="AA36" i="1"/>
  <c r="W36" i="1" s="1"/>
  <c r="AG27" i="1"/>
  <c r="AI16" i="1"/>
  <c r="X15" i="1"/>
  <c r="AA14" i="1"/>
  <c r="W14" i="1" s="1"/>
  <c r="S14" i="3"/>
  <c r="S7" i="3"/>
  <c r="AG224" i="1"/>
  <c r="U224" i="1" s="1"/>
  <c r="S224" i="1" s="1"/>
  <c r="S40" i="3"/>
  <c r="X225" i="1"/>
  <c r="AG214" i="1"/>
  <c r="U214" i="1" s="1"/>
  <c r="S214" i="1" s="1"/>
  <c r="AA209" i="1"/>
  <c r="W209" i="1" s="1"/>
  <c r="AA200" i="1"/>
  <c r="AG198" i="1"/>
  <c r="AI198" i="1" s="1"/>
  <c r="AA160" i="1"/>
  <c r="W160" i="1" s="1"/>
  <c r="AA159" i="1"/>
  <c r="AA158" i="1"/>
  <c r="W158" i="1" s="1"/>
  <c r="AG155" i="1"/>
  <c r="AA142" i="1"/>
  <c r="AA131" i="1"/>
  <c r="X126" i="1"/>
  <c r="AA191" i="1"/>
  <c r="AA190" i="1"/>
  <c r="AA189" i="1"/>
  <c r="AA188" i="1"/>
  <c r="W188" i="1" s="1"/>
  <c r="T95" i="1"/>
  <c r="AA165" i="1"/>
  <c r="T164" i="1"/>
  <c r="U164" i="1" s="1"/>
  <c r="S164" i="1" s="1"/>
  <c r="T88" i="1"/>
  <c r="U88" i="1" s="1"/>
  <c r="S88" i="1" s="1"/>
  <c r="AA71" i="1"/>
  <c r="AA66" i="1"/>
  <c r="W66" i="1" s="1"/>
  <c r="T66" i="1"/>
  <c r="U66" i="1" s="1"/>
  <c r="S66" i="1" s="1"/>
  <c r="AA64" i="1"/>
  <c r="AA63" i="1"/>
  <c r="AA62" i="1"/>
  <c r="W62" i="1" s="1"/>
  <c r="T62" i="1"/>
  <c r="U62" i="1" s="1"/>
  <c r="S62" i="1" s="1"/>
  <c r="AA60" i="1"/>
  <c r="AA59" i="1"/>
  <c r="AA58" i="1"/>
  <c r="W58" i="1" s="1"/>
  <c r="T58" i="1"/>
  <c r="U58" i="1" s="1"/>
  <c r="S58" i="1" s="1"/>
  <c r="AA56" i="1"/>
  <c r="AA55" i="1"/>
  <c r="AA54" i="1"/>
  <c r="W54" i="1" s="1"/>
  <c r="T54" i="1"/>
  <c r="U54" i="1" s="1"/>
  <c r="S54" i="1" s="1"/>
  <c r="AA52" i="1"/>
  <c r="AA40" i="1"/>
  <c r="AA33" i="1"/>
  <c r="AA32" i="1"/>
  <c r="AA28" i="1"/>
  <c r="AG222" i="1"/>
  <c r="AG206" i="1"/>
  <c r="AI206" i="1" s="1"/>
  <c r="X203" i="1"/>
  <c r="AG200" i="1"/>
  <c r="U200" i="1" s="1"/>
  <c r="S200" i="1" s="1"/>
  <c r="X199" i="1"/>
  <c r="AG142" i="1"/>
  <c r="U142" i="1" s="1"/>
  <c r="S142" i="1" s="1"/>
  <c r="X142" i="1"/>
  <c r="AG125" i="1"/>
  <c r="AA122" i="1"/>
  <c r="AG114" i="1"/>
  <c r="U114" i="1" s="1"/>
  <c r="S114" i="1" s="1"/>
  <c r="X114" i="1"/>
  <c r="AG110" i="1"/>
  <c r="U110" i="1" s="1"/>
  <c r="S110" i="1" s="1"/>
  <c r="X110" i="1"/>
  <c r="AG106" i="1"/>
  <c r="AI106" i="1" s="1"/>
  <c r="AA100" i="1"/>
  <c r="AG191" i="1"/>
  <c r="U191" i="1" s="1"/>
  <c r="S191" i="1" s="1"/>
  <c r="AA184" i="1"/>
  <c r="W184" i="1" s="1"/>
  <c r="AA177" i="1"/>
  <c r="W177" i="1" s="1"/>
  <c r="AG67" i="1"/>
  <c r="U67" i="1" s="1"/>
  <c r="S67" i="1" s="1"/>
  <c r="X66" i="1"/>
  <c r="X62" i="1"/>
  <c r="X58" i="1"/>
  <c r="X54" i="1"/>
  <c r="X32" i="1"/>
  <c r="AG28" i="1"/>
  <c r="AI28" i="1" s="1"/>
  <c r="X28" i="1"/>
  <c r="AA25" i="1"/>
  <c r="AA24" i="1"/>
  <c r="AA20" i="1"/>
  <c r="U220" i="1"/>
  <c r="S220" i="1" s="1"/>
  <c r="AA220" i="1"/>
  <c r="W220" i="1" s="1"/>
  <c r="X207" i="1"/>
  <c r="AA202" i="1"/>
  <c r="W202" i="1" s="1"/>
  <c r="AA198" i="1"/>
  <c r="T158" i="1"/>
  <c r="U158" i="1" s="1"/>
  <c r="S158" i="1" s="1"/>
  <c r="AG150" i="1"/>
  <c r="AI150" i="1" s="1"/>
  <c r="X150" i="1"/>
  <c r="AA139" i="1"/>
  <c r="AA138" i="1"/>
  <c r="AA136" i="1"/>
  <c r="AA135" i="1"/>
  <c r="AG134" i="1"/>
  <c r="W134" i="1" s="1"/>
  <c r="X134" i="1"/>
  <c r="AA116" i="1"/>
  <c r="AA115" i="1"/>
  <c r="AA111" i="1"/>
  <c r="AA107" i="1"/>
  <c r="AA104" i="1"/>
  <c r="AA101" i="1"/>
  <c r="W101" i="1" s="1"/>
  <c r="AG100" i="1"/>
  <c r="U100" i="1" s="1"/>
  <c r="S100" i="1" s="1"/>
  <c r="X100" i="1"/>
  <c r="AA97" i="1"/>
  <c r="W97" i="1" s="1"/>
  <c r="T187" i="1"/>
  <c r="U187" i="1" s="1"/>
  <c r="S187" i="1" s="1"/>
  <c r="AA183" i="1"/>
  <c r="AA180" i="1"/>
  <c r="AA176" i="1"/>
  <c r="W176" i="1" s="1"/>
  <c r="AA175" i="1"/>
  <c r="AA174" i="1"/>
  <c r="AA173" i="1"/>
  <c r="AA169" i="1"/>
  <c r="AA166" i="1"/>
  <c r="W166" i="1" s="1"/>
  <c r="AA92" i="1"/>
  <c r="AA91" i="1"/>
  <c r="AA90" i="1"/>
  <c r="AA81" i="1"/>
  <c r="W81" i="1" s="1"/>
  <c r="T81" i="1"/>
  <c r="U81" i="1" s="1"/>
  <c r="S81" i="1" s="1"/>
  <c r="AA79" i="1"/>
  <c r="AA78" i="1"/>
  <c r="AA74" i="1"/>
  <c r="AA69" i="1"/>
  <c r="W69" i="1" s="1"/>
  <c r="AA68" i="1"/>
  <c r="AG51" i="1"/>
  <c r="AI51" i="1" s="1"/>
  <c r="AA48" i="1"/>
  <c r="W48" i="1" s="1"/>
  <c r="AA224" i="1"/>
  <c r="AA223" i="1"/>
  <c r="AA221" i="1"/>
  <c r="T221" i="1"/>
  <c r="U221" i="1" s="1"/>
  <c r="S221" i="1" s="1"/>
  <c r="AG218" i="1"/>
  <c r="AI218" i="1" s="1"/>
  <c r="X217" i="1"/>
  <c r="AG216" i="1"/>
  <c r="U216" i="1" s="1"/>
  <c r="S216" i="1" s="1"/>
  <c r="T210" i="1"/>
  <c r="AG210" i="1"/>
  <c r="AA210" i="1"/>
  <c r="U149" i="1"/>
  <c r="S149" i="1" s="1"/>
  <c r="T145" i="1"/>
  <c r="AG145" i="1"/>
  <c r="AI145" i="1" s="1"/>
  <c r="X138" i="1"/>
  <c r="AG138" i="1"/>
  <c r="AI138" i="1" s="1"/>
  <c r="T129" i="1"/>
  <c r="AG129" i="1"/>
  <c r="AI129" i="1" s="1"/>
  <c r="T122" i="1"/>
  <c r="X122" i="1"/>
  <c r="AG122" i="1"/>
  <c r="AI122" i="1" s="1"/>
  <c r="AA113" i="1"/>
  <c r="AA196" i="1"/>
  <c r="W196" i="1" s="1"/>
  <c r="AG84" i="1"/>
  <c r="T84" i="1"/>
  <c r="T78" i="1"/>
  <c r="AG78" i="1"/>
  <c r="W78" i="1" s="1"/>
  <c r="T137" i="1"/>
  <c r="AG137" i="1"/>
  <c r="AI137" i="1" s="1"/>
  <c r="X221" i="1"/>
  <c r="AA218" i="1"/>
  <c r="AA217" i="1"/>
  <c r="W217" i="1" s="1"/>
  <c r="T217" i="1"/>
  <c r="U217" i="1" s="1"/>
  <c r="S217" i="1" s="1"/>
  <c r="AA215" i="1"/>
  <c r="W215" i="1" s="1"/>
  <c r="AG213" i="1"/>
  <c r="AI213" i="1" s="1"/>
  <c r="X213" i="1"/>
  <c r="T208" i="1"/>
  <c r="AG208" i="1"/>
  <c r="T138" i="1"/>
  <c r="U121" i="1"/>
  <c r="S121" i="1" s="1"/>
  <c r="AI121" i="1"/>
  <c r="T117" i="1"/>
  <c r="X118" i="1"/>
  <c r="AG117" i="1"/>
  <c r="AI117" i="1" s="1"/>
  <c r="T212" i="1"/>
  <c r="AG212" i="1"/>
  <c r="T195" i="1"/>
  <c r="X195" i="1"/>
  <c r="AG195" i="1"/>
  <c r="AI195" i="1" s="1"/>
  <c r="T161" i="1"/>
  <c r="AG161" i="1"/>
  <c r="W161" i="1" s="1"/>
  <c r="T159" i="1"/>
  <c r="AG159" i="1"/>
  <c r="AI159" i="1" s="1"/>
  <c r="X146" i="1"/>
  <c r="AG146" i="1"/>
  <c r="X130" i="1"/>
  <c r="AG130" i="1"/>
  <c r="U130" i="1" s="1"/>
  <c r="S130" i="1" s="1"/>
  <c r="AG107" i="1"/>
  <c r="U107" i="1" s="1"/>
  <c r="S107" i="1" s="1"/>
  <c r="X107" i="1"/>
  <c r="T104" i="1"/>
  <c r="X104" i="1"/>
  <c r="AG104" i="1"/>
  <c r="X24" i="1"/>
  <c r="AG24" i="1"/>
  <c r="T24" i="1"/>
  <c r="AA206" i="1"/>
  <c r="AA205" i="1"/>
  <c r="W205" i="1" s="1"/>
  <c r="AA203" i="1"/>
  <c r="W203" i="1" s="1"/>
  <c r="T203" i="1"/>
  <c r="AA157" i="1"/>
  <c r="W157" i="1" s="1"/>
  <c r="AA156" i="1"/>
  <c r="W156" i="1" s="1"/>
  <c r="AA153" i="1"/>
  <c r="AA141" i="1"/>
  <c r="W141" i="1" s="1"/>
  <c r="AA133" i="1"/>
  <c r="AA125" i="1"/>
  <c r="AA118" i="1"/>
  <c r="W118" i="1" s="1"/>
  <c r="AA112" i="1"/>
  <c r="AA108" i="1"/>
  <c r="AA106" i="1"/>
  <c r="X105" i="1"/>
  <c r="AA98" i="1"/>
  <c r="X196" i="1"/>
  <c r="T192" i="1"/>
  <c r="X192" i="1"/>
  <c r="AG192" i="1"/>
  <c r="AI192" i="1" s="1"/>
  <c r="AG183" i="1"/>
  <c r="T183" i="1"/>
  <c r="AI69" i="1"/>
  <c r="AG44" i="1"/>
  <c r="AI44" i="1" s="1"/>
  <c r="X44" i="1"/>
  <c r="AG40" i="1"/>
  <c r="X40" i="1"/>
  <c r="X23" i="1"/>
  <c r="AG23" i="1"/>
  <c r="T23" i="1"/>
  <c r="AI20" i="1"/>
  <c r="T19" i="1"/>
  <c r="AG19" i="1"/>
  <c r="AI19" i="1" s="1"/>
  <c r="X20" i="1"/>
  <c r="AA201" i="1"/>
  <c r="W201" i="1" s="1"/>
  <c r="AA199" i="1"/>
  <c r="W199" i="1" s="1"/>
  <c r="T199" i="1"/>
  <c r="U199" i="1" s="1"/>
  <c r="S199" i="1" s="1"/>
  <c r="X158" i="1"/>
  <c r="U157" i="1"/>
  <c r="S157" i="1" s="1"/>
  <c r="AA151" i="1"/>
  <c r="AA140" i="1"/>
  <c r="AA132" i="1"/>
  <c r="AA124" i="1"/>
  <c r="AI118" i="1"/>
  <c r="X106" i="1"/>
  <c r="AA103" i="1"/>
  <c r="T101" i="1"/>
  <c r="U101" i="1" s="1"/>
  <c r="S101" i="1" s="1"/>
  <c r="T194" i="1"/>
  <c r="AG194" i="1"/>
  <c r="AI194" i="1" s="1"/>
  <c r="W187" i="1"/>
  <c r="AG173" i="1"/>
  <c r="AI173" i="1" s="1"/>
  <c r="X173" i="1"/>
  <c r="T163" i="1"/>
  <c r="AG163" i="1"/>
  <c r="T63" i="1"/>
  <c r="AG63" i="1"/>
  <c r="T55" i="1"/>
  <c r="AG55" i="1"/>
  <c r="U53" i="1"/>
  <c r="S53" i="1" s="1"/>
  <c r="T47" i="1"/>
  <c r="AG47" i="1"/>
  <c r="AI47" i="1" s="1"/>
  <c r="T43" i="1"/>
  <c r="AG43" i="1"/>
  <c r="AI43" i="1" s="1"/>
  <c r="AA197" i="1"/>
  <c r="AA145" i="1"/>
  <c r="AA137" i="1"/>
  <c r="W137" i="1" s="1"/>
  <c r="AA129" i="1"/>
  <c r="AA120" i="1"/>
  <c r="AA117" i="1"/>
  <c r="AA212" i="1"/>
  <c r="T105" i="1"/>
  <c r="U105" i="1" s="1"/>
  <c r="S105" i="1" s="1"/>
  <c r="AA102" i="1"/>
  <c r="T196" i="1"/>
  <c r="T180" i="1"/>
  <c r="AG180" i="1"/>
  <c r="X181" i="1"/>
  <c r="AG85" i="1"/>
  <c r="AI85" i="1" s="1"/>
  <c r="X85" i="1"/>
  <c r="T85" i="1"/>
  <c r="AG50" i="1"/>
  <c r="AI50" i="1" s="1"/>
  <c r="X51" i="1"/>
  <c r="T44" i="1"/>
  <c r="T40" i="1"/>
  <c r="AA194" i="1"/>
  <c r="AA193" i="1"/>
  <c r="X97" i="1"/>
  <c r="T184" i="1"/>
  <c r="U184" i="1" s="1"/>
  <c r="S184" i="1" s="1"/>
  <c r="AA179" i="1"/>
  <c r="T177" i="1"/>
  <c r="U177" i="1" s="1"/>
  <c r="S177" i="1" s="1"/>
  <c r="X170" i="1"/>
  <c r="AG169" i="1"/>
  <c r="U169" i="1" s="1"/>
  <c r="AA168" i="1"/>
  <c r="AA163" i="1"/>
  <c r="X93" i="1"/>
  <c r="AG92" i="1"/>
  <c r="AI92" i="1" s="1"/>
  <c r="X92" i="1"/>
  <c r="AG86" i="1"/>
  <c r="AA85" i="1"/>
  <c r="AA80" i="1"/>
  <c r="X77" i="1"/>
  <c r="AG76" i="1"/>
  <c r="U76" i="1" s="1"/>
  <c r="S76" i="1" s="1"/>
  <c r="AA75" i="1"/>
  <c r="AA70" i="1"/>
  <c r="AA67" i="1"/>
  <c r="AA65" i="1"/>
  <c r="AG59" i="1"/>
  <c r="W59" i="1" s="1"/>
  <c r="AA57" i="1"/>
  <c r="AA50" i="1"/>
  <c r="T48" i="1"/>
  <c r="U48" i="1" s="1"/>
  <c r="S48" i="1" s="1"/>
  <c r="T39" i="1"/>
  <c r="U39" i="1" s="1"/>
  <c r="S39" i="1" s="1"/>
  <c r="X36" i="1"/>
  <c r="T35" i="1"/>
  <c r="U35" i="1" s="1"/>
  <c r="S35" i="1" s="1"/>
  <c r="AG32" i="1"/>
  <c r="AG31" i="1"/>
  <c r="U31" i="1" s="1"/>
  <c r="S31" i="1" s="1"/>
  <c r="X31" i="1"/>
  <c r="AA23" i="1"/>
  <c r="AA21" i="1"/>
  <c r="X16" i="1"/>
  <c r="AA195" i="1"/>
  <c r="W195" i="1" s="1"/>
  <c r="T97" i="1"/>
  <c r="U97" i="1" s="1"/>
  <c r="S97" i="1" s="1"/>
  <c r="X184" i="1"/>
  <c r="AA96" i="1"/>
  <c r="T181" i="1"/>
  <c r="U181" i="1" s="1"/>
  <c r="S181" i="1" s="1"/>
  <c r="X177" i="1"/>
  <c r="AA95" i="1"/>
  <c r="W95" i="1" s="1"/>
  <c r="AA172" i="1"/>
  <c r="T170" i="1"/>
  <c r="U170" i="1" s="1"/>
  <c r="S170" i="1" s="1"/>
  <c r="AA164" i="1"/>
  <c r="T93" i="1"/>
  <c r="U93" i="1" s="1"/>
  <c r="S93" i="1" s="1"/>
  <c r="AA89" i="1"/>
  <c r="W89" i="1" s="1"/>
  <c r="AA88" i="1"/>
  <c r="W88" i="1" s="1"/>
  <c r="AA83" i="1"/>
  <c r="AA77" i="1"/>
  <c r="W77" i="1" s="1"/>
  <c r="T77" i="1"/>
  <c r="U77" i="1" s="1"/>
  <c r="S77" i="1" s="1"/>
  <c r="AA61" i="1"/>
  <c r="W61" i="1" s="1"/>
  <c r="AA53" i="1"/>
  <c r="W53" i="1" s="1"/>
  <c r="AA51" i="1"/>
  <c r="X48" i="1"/>
  <c r="T36" i="1"/>
  <c r="U36" i="1" s="1"/>
  <c r="S36" i="1" s="1"/>
  <c r="AA31" i="1"/>
  <c r="AA30" i="1"/>
  <c r="W30" i="1" s="1"/>
  <c r="T16" i="1"/>
  <c r="U16" i="1" s="1"/>
  <c r="S16" i="1" s="1"/>
  <c r="T15" i="1"/>
  <c r="AA29" i="1"/>
  <c r="AA22" i="1"/>
  <c r="W22" i="1" s="1"/>
  <c r="AG15" i="1"/>
  <c r="AI223" i="1"/>
  <c r="AI221" i="1"/>
  <c r="AI207" i="1"/>
  <c r="AI205" i="1"/>
  <c r="U203" i="1"/>
  <c r="S203" i="1" s="1"/>
  <c r="AI219" i="1"/>
  <c r="AI217" i="1"/>
  <c r="AI203" i="1"/>
  <c r="AI201" i="1"/>
  <c r="W197" i="1"/>
  <c r="AI215" i="1"/>
  <c r="AI199" i="1"/>
  <c r="AI197" i="1"/>
  <c r="AI225" i="1"/>
  <c r="W223" i="1"/>
  <c r="W221" i="1"/>
  <c r="AI209" i="1"/>
  <c r="AI220" i="1"/>
  <c r="X215" i="1"/>
  <c r="T215" i="1"/>
  <c r="U215" i="1" s="1"/>
  <c r="S215" i="1" s="1"/>
  <c r="X209" i="1"/>
  <c r="T209" i="1"/>
  <c r="U209" i="1" s="1"/>
  <c r="S209" i="1" s="1"/>
  <c r="X205" i="1"/>
  <c r="T205" i="1"/>
  <c r="U205" i="1" s="1"/>
  <c r="S205" i="1" s="1"/>
  <c r="X201" i="1"/>
  <c r="T201" i="1"/>
  <c r="U201" i="1" s="1"/>
  <c r="S201" i="1" s="1"/>
  <c r="AI200" i="1"/>
  <c r="X197" i="1"/>
  <c r="T197" i="1"/>
  <c r="U197" i="1" s="1"/>
  <c r="S197" i="1" s="1"/>
  <c r="AI196" i="1"/>
  <c r="X160" i="1"/>
  <c r="T160" i="1"/>
  <c r="U160" i="1" s="1"/>
  <c r="S160" i="1" s="1"/>
  <c r="X156" i="1"/>
  <c r="T156" i="1"/>
  <c r="U156" i="1" s="1"/>
  <c r="S156" i="1" s="1"/>
  <c r="T153" i="1"/>
  <c r="AI181" i="1"/>
  <c r="W133" i="1"/>
  <c r="T120" i="1"/>
  <c r="X120" i="1"/>
  <c r="AG120" i="1"/>
  <c r="X121" i="1"/>
  <c r="AI133" i="1"/>
  <c r="X223" i="1"/>
  <c r="T223" i="1"/>
  <c r="U223" i="1" s="1"/>
  <c r="S223" i="1" s="1"/>
  <c r="X219" i="1"/>
  <c r="T219" i="1"/>
  <c r="U219" i="1" s="1"/>
  <c r="S219" i="1" s="1"/>
  <c r="X222" i="1"/>
  <c r="X218" i="1"/>
  <c r="X214" i="1"/>
  <c r="X208" i="1"/>
  <c r="X204" i="1"/>
  <c r="X200" i="1"/>
  <c r="X159" i="1"/>
  <c r="X155" i="1"/>
  <c r="AA154" i="1"/>
  <c r="AG153" i="1"/>
  <c r="AA149" i="1"/>
  <c r="W149" i="1" s="1"/>
  <c r="AA148" i="1"/>
  <c r="T147" i="1"/>
  <c r="X147" i="1"/>
  <c r="AG147" i="1"/>
  <c r="W147" i="1" s="1"/>
  <c r="T144" i="1"/>
  <c r="X144" i="1"/>
  <c r="AG144" i="1"/>
  <c r="X145" i="1"/>
  <c r="T136" i="1"/>
  <c r="X136" i="1"/>
  <c r="AG136" i="1"/>
  <c r="X137" i="1"/>
  <c r="T128" i="1"/>
  <c r="X128" i="1"/>
  <c r="AG128" i="1"/>
  <c r="X129" i="1"/>
  <c r="AA121" i="1"/>
  <c r="W121" i="1" s="1"/>
  <c r="U118" i="1"/>
  <c r="S118" i="1" s="1"/>
  <c r="T116" i="1"/>
  <c r="X116" i="1"/>
  <c r="AG116" i="1"/>
  <c r="W116" i="1" s="1"/>
  <c r="X117" i="1"/>
  <c r="AI149" i="1"/>
  <c r="T112" i="1"/>
  <c r="X112" i="1"/>
  <c r="AG112" i="1"/>
  <c r="T108" i="1"/>
  <c r="X108" i="1"/>
  <c r="AG108" i="1"/>
  <c r="U196" i="1"/>
  <c r="S196" i="1" s="1"/>
  <c r="T154" i="1"/>
  <c r="T151" i="1"/>
  <c r="X151" i="1"/>
  <c r="AG151" i="1"/>
  <c r="T148" i="1"/>
  <c r="X148" i="1"/>
  <c r="AI177" i="1"/>
  <c r="AI141" i="1"/>
  <c r="T211" i="1"/>
  <c r="X211" i="1"/>
  <c r="AG211" i="1"/>
  <c r="AA99" i="1"/>
  <c r="X224" i="1"/>
  <c r="X220" i="1"/>
  <c r="X216" i="1"/>
  <c r="X210" i="1"/>
  <c r="X206" i="1"/>
  <c r="X202" i="1"/>
  <c r="X198" i="1"/>
  <c r="X157" i="1"/>
  <c r="AG154" i="1"/>
  <c r="AI154" i="1" s="1"/>
  <c r="X149" i="1"/>
  <c r="AG148" i="1"/>
  <c r="T140" i="1"/>
  <c r="X140" i="1"/>
  <c r="AG140" i="1"/>
  <c r="X141" i="1"/>
  <c r="T132" i="1"/>
  <c r="X132" i="1"/>
  <c r="AG132" i="1"/>
  <c r="X133" i="1"/>
  <c r="U125" i="1"/>
  <c r="S125" i="1" s="1"/>
  <c r="T124" i="1"/>
  <c r="X124" i="1"/>
  <c r="AG124" i="1"/>
  <c r="X125" i="1"/>
  <c r="AI158" i="1"/>
  <c r="AA109" i="1"/>
  <c r="T102" i="1"/>
  <c r="X102" i="1"/>
  <c r="AG102" i="1"/>
  <c r="AI102" i="1" s="1"/>
  <c r="T186" i="1"/>
  <c r="X186" i="1"/>
  <c r="AG179" i="1"/>
  <c r="X180" i="1"/>
  <c r="T179" i="1"/>
  <c r="X179" i="1"/>
  <c r="X167" i="1"/>
  <c r="AG167" i="1"/>
  <c r="AG165" i="1"/>
  <c r="AI165" i="1" s="1"/>
  <c r="T165" i="1"/>
  <c r="T79" i="1"/>
  <c r="X79" i="1"/>
  <c r="AG79" i="1"/>
  <c r="X80" i="1"/>
  <c r="X113" i="1"/>
  <c r="X109" i="1"/>
  <c r="X212" i="1"/>
  <c r="X103" i="1"/>
  <c r="X99" i="1"/>
  <c r="AG98" i="1"/>
  <c r="AI98" i="1" s="1"/>
  <c r="X194" i="1"/>
  <c r="AG193" i="1"/>
  <c r="AI193" i="1" s="1"/>
  <c r="AI126" i="1"/>
  <c r="X191" i="1"/>
  <c r="AG190" i="1"/>
  <c r="AI190" i="1" s="1"/>
  <c r="T188" i="1"/>
  <c r="U188" i="1" s="1"/>
  <c r="S188" i="1" s="1"/>
  <c r="X187" i="1"/>
  <c r="AG186" i="1"/>
  <c r="AI186" i="1" s="1"/>
  <c r="AG175" i="1"/>
  <c r="W175" i="1" s="1"/>
  <c r="X176" i="1"/>
  <c r="T175" i="1"/>
  <c r="X175" i="1"/>
  <c r="AI105" i="1"/>
  <c r="T83" i="1"/>
  <c r="X83" i="1"/>
  <c r="AG83" i="1"/>
  <c r="X84" i="1"/>
  <c r="AG143" i="1"/>
  <c r="AI143" i="1" s="1"/>
  <c r="AG139" i="1"/>
  <c r="AI139" i="1" s="1"/>
  <c r="AG135" i="1"/>
  <c r="AI135" i="1" s="1"/>
  <c r="AG131" i="1"/>
  <c r="W131" i="1" s="1"/>
  <c r="AG127" i="1"/>
  <c r="AG123" i="1"/>
  <c r="AG119" i="1"/>
  <c r="AG115" i="1"/>
  <c r="AG111" i="1"/>
  <c r="X98" i="1"/>
  <c r="X193" i="1"/>
  <c r="AI125" i="1"/>
  <c r="X190" i="1"/>
  <c r="AG189" i="1"/>
  <c r="X188" i="1"/>
  <c r="AI110" i="1"/>
  <c r="U95" i="1"/>
  <c r="S95" i="1" s="1"/>
  <c r="AG172" i="1"/>
  <c r="X95" i="1"/>
  <c r="T172" i="1"/>
  <c r="X172" i="1"/>
  <c r="AI101" i="1"/>
  <c r="T167" i="1"/>
  <c r="AI95" i="1"/>
  <c r="T87" i="1"/>
  <c r="X87" i="1"/>
  <c r="AG87" i="1"/>
  <c r="W87" i="1" s="1"/>
  <c r="X88" i="1"/>
  <c r="AI71" i="1"/>
  <c r="W71" i="1"/>
  <c r="X143" i="1"/>
  <c r="X139" i="1"/>
  <c r="X135" i="1"/>
  <c r="X131" i="1"/>
  <c r="X127" i="1"/>
  <c r="X123" i="1"/>
  <c r="X119" i="1"/>
  <c r="X115" i="1"/>
  <c r="X111" i="1"/>
  <c r="X189" i="1"/>
  <c r="AA186" i="1"/>
  <c r="T185" i="1"/>
  <c r="X185" i="1"/>
  <c r="AG185" i="1"/>
  <c r="AI185" i="1" s="1"/>
  <c r="AG96" i="1"/>
  <c r="AI96" i="1" s="1"/>
  <c r="X183" i="1"/>
  <c r="T96" i="1"/>
  <c r="X96" i="1"/>
  <c r="W170" i="1"/>
  <c r="AG168" i="1"/>
  <c r="X169" i="1"/>
  <c r="T168" i="1"/>
  <c r="X168" i="1"/>
  <c r="T90" i="1"/>
  <c r="X90" i="1"/>
  <c r="AG90" i="1"/>
  <c r="X91" i="1"/>
  <c r="T75" i="1"/>
  <c r="X75" i="1"/>
  <c r="AG75" i="1"/>
  <c r="X76" i="1"/>
  <c r="T38" i="1"/>
  <c r="X38" i="1"/>
  <c r="AG38" i="1"/>
  <c r="X39" i="1"/>
  <c r="AG182" i="1"/>
  <c r="AI182" i="1" s="1"/>
  <c r="AG178" i="1"/>
  <c r="AI178" i="1" s="1"/>
  <c r="AG174" i="1"/>
  <c r="AI174" i="1" s="1"/>
  <c r="AG171" i="1"/>
  <c r="T166" i="1"/>
  <c r="U166" i="1" s="1"/>
  <c r="S166" i="1" s="1"/>
  <c r="AI89" i="1"/>
  <c r="U89" i="1"/>
  <c r="S89" i="1" s="1"/>
  <c r="AI81" i="1"/>
  <c r="AI77" i="1"/>
  <c r="AI73" i="1"/>
  <c r="T49" i="1"/>
  <c r="X49" i="1"/>
  <c r="AG49" i="1"/>
  <c r="X182" i="1"/>
  <c r="X178" i="1"/>
  <c r="X174" i="1"/>
  <c r="X171" i="1"/>
  <c r="AA167" i="1"/>
  <c r="X89" i="1"/>
  <c r="AI88" i="1"/>
  <c r="AG70" i="1"/>
  <c r="X70" i="1"/>
  <c r="T70" i="1"/>
  <c r="T60" i="1"/>
  <c r="X60" i="1"/>
  <c r="AG60" i="1"/>
  <c r="X61" i="1"/>
  <c r="T52" i="1"/>
  <c r="X52" i="1"/>
  <c r="AG52" i="1"/>
  <c r="X53" i="1"/>
  <c r="T94" i="1"/>
  <c r="U94" i="1" s="1"/>
  <c r="S94" i="1" s="1"/>
  <c r="X94" i="1"/>
  <c r="T64" i="1"/>
  <c r="X64" i="1"/>
  <c r="AG64" i="1"/>
  <c r="W64" i="1" s="1"/>
  <c r="X65" i="1"/>
  <c r="T56" i="1"/>
  <c r="X56" i="1"/>
  <c r="AG56" i="1"/>
  <c r="X57" i="1"/>
  <c r="X86" i="1"/>
  <c r="X82" i="1"/>
  <c r="X78" i="1"/>
  <c r="X74" i="1"/>
  <c r="X68" i="1"/>
  <c r="AI66" i="1"/>
  <c r="AI61" i="1"/>
  <c r="AI57" i="1"/>
  <c r="AI53" i="1"/>
  <c r="T29" i="1"/>
  <c r="X29" i="1"/>
  <c r="AG29" i="1"/>
  <c r="AI23" i="1"/>
  <c r="T26" i="1"/>
  <c r="X26" i="1"/>
  <c r="AG26" i="1"/>
  <c r="X27" i="1"/>
  <c r="T71" i="1"/>
  <c r="U71" i="1" s="1"/>
  <c r="S71" i="1" s="1"/>
  <c r="X71" i="1"/>
  <c r="AG68" i="1"/>
  <c r="X69" i="1"/>
  <c r="AI62" i="1"/>
  <c r="AI58" i="1"/>
  <c r="AI54" i="1"/>
  <c r="U51" i="1"/>
  <c r="S51" i="1" s="1"/>
  <c r="T46" i="1"/>
  <c r="X46" i="1"/>
  <c r="AG46" i="1"/>
  <c r="X47" i="1"/>
  <c r="U27" i="1"/>
  <c r="S27" i="1" s="1"/>
  <c r="AI22" i="1"/>
  <c r="T50" i="1"/>
  <c r="X50" i="1"/>
  <c r="AA43" i="1"/>
  <c r="AA42" i="1"/>
  <c r="T41" i="1"/>
  <c r="X41" i="1"/>
  <c r="AG41" i="1"/>
  <c r="W41" i="1" s="1"/>
  <c r="AI39" i="1"/>
  <c r="AA35" i="1"/>
  <c r="W35" i="1" s="1"/>
  <c r="AA34" i="1"/>
  <c r="T33" i="1"/>
  <c r="X33" i="1"/>
  <c r="AG33" i="1"/>
  <c r="T30" i="1"/>
  <c r="U30" i="1" s="1"/>
  <c r="S30" i="1" s="1"/>
  <c r="X30" i="1"/>
  <c r="AI27" i="1"/>
  <c r="AA19" i="1"/>
  <c r="AA18" i="1"/>
  <c r="T17" i="1"/>
  <c r="X17" i="1"/>
  <c r="AG17" i="1"/>
  <c r="W17" i="1" s="1"/>
  <c r="T14" i="1"/>
  <c r="U14" i="1" s="1"/>
  <c r="S14" i="1" s="1"/>
  <c r="T42" i="1"/>
  <c r="X42" i="1"/>
  <c r="T34" i="1"/>
  <c r="X34" i="1"/>
  <c r="AI30" i="1"/>
  <c r="T21" i="1"/>
  <c r="X21" i="1"/>
  <c r="AG21" i="1"/>
  <c r="T18" i="1"/>
  <c r="X18" i="1"/>
  <c r="AI14" i="1"/>
  <c r="X67" i="1"/>
  <c r="X63" i="1"/>
  <c r="X59" i="1"/>
  <c r="X55" i="1"/>
  <c r="AA47" i="1"/>
  <c r="AA46" i="1"/>
  <c r="T45" i="1"/>
  <c r="X45" i="1"/>
  <c r="AG45" i="1"/>
  <c r="X43" i="1"/>
  <c r="AG42" i="1"/>
  <c r="AA39" i="1"/>
  <c r="W39" i="1" s="1"/>
  <c r="AA38" i="1"/>
  <c r="T37" i="1"/>
  <c r="X37" i="1"/>
  <c r="AG37" i="1"/>
  <c r="AI35" i="1"/>
  <c r="X35" i="1"/>
  <c r="AG34" i="1"/>
  <c r="AA27" i="1"/>
  <c r="W27" i="1" s="1"/>
  <c r="AA26" i="1"/>
  <c r="T25" i="1"/>
  <c r="X25" i="1"/>
  <c r="AG25" i="1"/>
  <c r="T22" i="1"/>
  <c r="U22" i="1" s="1"/>
  <c r="S22" i="1" s="1"/>
  <c r="X22" i="1"/>
  <c r="X19" i="1"/>
  <c r="AG18" i="1"/>
  <c r="AC12" i="3"/>
  <c r="AC16" i="3"/>
  <c r="Y39" i="3"/>
  <c r="Y38" i="3"/>
  <c r="Y36" i="3"/>
  <c r="Y11" i="3"/>
  <c r="Y24" i="3"/>
  <c r="Y25" i="3"/>
  <c r="Y32" i="3"/>
  <c r="AC29" i="3"/>
  <c r="AD42" i="3"/>
  <c r="Y12" i="3"/>
  <c r="Y15" i="3"/>
  <c r="Y7" i="3"/>
  <c r="Y35" i="3"/>
  <c r="Y23" i="3"/>
  <c r="Y8" i="3"/>
  <c r="AD12" i="3"/>
  <c r="AD15" i="3"/>
  <c r="AD7" i="3"/>
  <c r="AD30" i="3"/>
  <c r="AD29" i="3"/>
  <c r="AD35" i="3"/>
  <c r="AD27" i="3"/>
  <c r="AD34" i="3"/>
  <c r="AD16" i="3"/>
  <c r="AD33" i="3"/>
  <c r="AD26" i="3"/>
  <c r="AD23" i="3"/>
  <c r="AD8" i="3"/>
  <c r="AD31" i="3"/>
  <c r="AD28" i="3"/>
  <c r="AD21" i="3"/>
  <c r="AD40" i="3"/>
  <c r="AD13" i="3"/>
  <c r="AD39" i="3"/>
  <c r="AD37" i="3"/>
  <c r="AD38" i="3"/>
  <c r="AD19" i="3"/>
  <c r="AD36" i="3"/>
  <c r="AD17" i="3"/>
  <c r="AD11" i="3"/>
  <c r="AD10" i="3"/>
  <c r="AD24" i="3"/>
  <c r="AD9" i="3"/>
  <c r="AD25" i="3"/>
  <c r="AD18" i="3"/>
  <c r="AD32" i="3"/>
  <c r="AD22" i="3"/>
  <c r="AD20" i="3"/>
  <c r="AD41" i="3"/>
  <c r="Y14" i="3"/>
  <c r="Y30" i="3"/>
  <c r="Y29" i="3"/>
  <c r="Y27" i="3"/>
  <c r="Y34" i="3"/>
  <c r="Y16" i="3"/>
  <c r="Y33" i="3"/>
  <c r="Y26" i="3"/>
  <c r="Y31" i="3"/>
  <c r="Y28" i="3"/>
  <c r="Y21" i="3"/>
  <c r="Y40" i="3"/>
  <c r="M43" i="3"/>
  <c r="N43" i="3"/>
  <c r="R43" i="3"/>
  <c r="S43" i="3"/>
  <c r="U43" i="3"/>
  <c r="AD14" i="3" s="1"/>
  <c r="V43" i="3"/>
  <c r="W43" i="3"/>
  <c r="X43" i="3"/>
  <c r="W26" i="1" l="1"/>
  <c r="AI31" i="1"/>
  <c r="AI142" i="1"/>
  <c r="W151" i="1"/>
  <c r="W86" i="1"/>
  <c r="W82" i="1"/>
  <c r="AI134" i="1"/>
  <c r="W164" i="1"/>
  <c r="U109" i="1"/>
  <c r="W162" i="1"/>
  <c r="U73" i="1"/>
  <c r="S73" i="1" s="1"/>
  <c r="U50" i="1"/>
  <c r="W57" i="1"/>
  <c r="U65" i="1"/>
  <c r="S65" i="1" s="1"/>
  <c r="AI113" i="1"/>
  <c r="W144" i="1"/>
  <c r="U106" i="1"/>
  <c r="S106" i="1" s="1"/>
  <c r="W113" i="1"/>
  <c r="W19" i="1"/>
  <c r="W29" i="1"/>
  <c r="AI80" i="1"/>
  <c r="W49" i="1"/>
  <c r="U173" i="1"/>
  <c r="S173" i="1" s="1"/>
  <c r="W179" i="1"/>
  <c r="AI204" i="1"/>
  <c r="AI224" i="1"/>
  <c r="U213" i="1"/>
  <c r="S213" i="1" s="1"/>
  <c r="W80" i="1"/>
  <c r="W189" i="1"/>
  <c r="W138" i="1"/>
  <c r="W150" i="1"/>
  <c r="W51" i="1"/>
  <c r="U91" i="1"/>
  <c r="S91" i="1" s="1"/>
  <c r="W120" i="1"/>
  <c r="W91" i="1"/>
  <c r="W20" i="1"/>
  <c r="W37" i="1"/>
  <c r="U47" i="1"/>
  <c r="S47" i="1" s="1"/>
  <c r="W75" i="1"/>
  <c r="W90" i="1"/>
  <c r="W127" i="1"/>
  <c r="AI114" i="1"/>
  <c r="W99" i="1"/>
  <c r="W136" i="1"/>
  <c r="AI216" i="1"/>
  <c r="W83" i="1"/>
  <c r="W65" i="1"/>
  <c r="U44" i="1"/>
  <c r="S44" i="1" s="1"/>
  <c r="U126" i="1"/>
  <c r="S126" i="1" s="1"/>
  <c r="W63" i="1"/>
  <c r="W103" i="1"/>
  <c r="W114" i="1"/>
  <c r="AI162" i="1"/>
  <c r="W224" i="1"/>
  <c r="W24" i="1"/>
  <c r="W47" i="1"/>
  <c r="AI130" i="1"/>
  <c r="W109" i="1"/>
  <c r="W108" i="1"/>
  <c r="W15" i="1"/>
  <c r="W50" i="1"/>
  <c r="U150" i="1"/>
  <c r="S150" i="1" s="1"/>
  <c r="W106" i="1"/>
  <c r="W74" i="1"/>
  <c r="W155" i="1"/>
  <c r="U134" i="1"/>
  <c r="S134" i="1" s="1"/>
  <c r="W218" i="1"/>
  <c r="W204" i="1"/>
  <c r="W163" i="1"/>
  <c r="W60" i="1"/>
  <c r="W76" i="1"/>
  <c r="AI15" i="1"/>
  <c r="AI76" i="1"/>
  <c r="W186" i="1"/>
  <c r="AI191" i="1"/>
  <c r="W110" i="1"/>
  <c r="W125" i="1"/>
  <c r="U145" i="1"/>
  <c r="S145" i="1" s="1"/>
  <c r="W67" i="1"/>
  <c r="W100" i="1"/>
  <c r="W191" i="1"/>
  <c r="W167" i="1"/>
  <c r="W211" i="1"/>
  <c r="W129" i="1"/>
  <c r="W145" i="1"/>
  <c r="W70" i="1"/>
  <c r="AI67" i="1"/>
  <c r="U82" i="1"/>
  <c r="S82" i="1" s="1"/>
  <c r="AI82" i="1"/>
  <c r="W46" i="1"/>
  <c r="U194" i="1"/>
  <c r="S194" i="1" s="1"/>
  <c r="U137" i="1"/>
  <c r="S137" i="1" s="1"/>
  <c r="W31" i="1"/>
  <c r="U19" i="1"/>
  <c r="S19" i="1" s="1"/>
  <c r="U23" i="1"/>
  <c r="S23" i="1" s="1"/>
  <c r="AI74" i="1"/>
  <c r="U122" i="1"/>
  <c r="S122" i="1" s="1"/>
  <c r="W173" i="1"/>
  <c r="W180" i="1"/>
  <c r="W122" i="1"/>
  <c r="U208" i="1"/>
  <c r="S208" i="1" s="1"/>
  <c r="W42" i="1"/>
  <c r="W23" i="1"/>
  <c r="W92" i="1"/>
  <c r="AI208" i="1"/>
  <c r="U28" i="1"/>
  <c r="S28" i="1" s="1"/>
  <c r="W117" i="1"/>
  <c r="U198" i="1"/>
  <c r="S198" i="1" s="1"/>
  <c r="W208" i="1"/>
  <c r="W28" i="1"/>
  <c r="W142" i="1"/>
  <c r="U155" i="1"/>
  <c r="S155" i="1" s="1"/>
  <c r="AI155" i="1"/>
  <c r="W38" i="1"/>
  <c r="W43" i="1"/>
  <c r="U85" i="1"/>
  <c r="S85" i="1" s="1"/>
  <c r="U117" i="1"/>
  <c r="S117" i="1" s="1"/>
  <c r="W85" i="1"/>
  <c r="U43" i="1"/>
  <c r="S43" i="1" s="1"/>
  <c r="W140" i="1"/>
  <c r="U206" i="1"/>
  <c r="S206" i="1" s="1"/>
  <c r="W206" i="1"/>
  <c r="W130" i="1"/>
  <c r="W214" i="1"/>
  <c r="U84" i="1"/>
  <c r="U222" i="1"/>
  <c r="S222" i="1" s="1"/>
  <c r="AI222" i="1"/>
  <c r="W200" i="1"/>
  <c r="W68" i="1"/>
  <c r="W198" i="1"/>
  <c r="U212" i="1"/>
  <c r="S212" i="1" s="1"/>
  <c r="AI214" i="1"/>
  <c r="W222" i="1"/>
  <c r="U55" i="1"/>
  <c r="S55" i="1" s="1"/>
  <c r="AI55" i="1"/>
  <c r="U210" i="1"/>
  <c r="S210" i="1" s="1"/>
  <c r="AI210" i="1"/>
  <c r="W165" i="1"/>
  <c r="U163" i="1"/>
  <c r="S163" i="1" s="1"/>
  <c r="AI127" i="1"/>
  <c r="AI169" i="1"/>
  <c r="U129" i="1"/>
  <c r="S129" i="1" s="1"/>
  <c r="W135" i="1"/>
  <c r="U159" i="1"/>
  <c r="S159" i="1" s="1"/>
  <c r="AI211" i="1"/>
  <c r="W213" i="1"/>
  <c r="U218" i="1"/>
  <c r="S218" i="1" s="1"/>
  <c r="U32" i="1"/>
  <c r="S32" i="1" s="1"/>
  <c r="AI32" i="1"/>
  <c r="U86" i="1"/>
  <c r="S86" i="1" s="1"/>
  <c r="AI86" i="1"/>
  <c r="W212" i="1"/>
  <c r="W55" i="1"/>
  <c r="U192" i="1"/>
  <c r="S192" i="1" s="1"/>
  <c r="U104" i="1"/>
  <c r="U146" i="1"/>
  <c r="S146" i="1" s="1"/>
  <c r="AI146" i="1"/>
  <c r="W107" i="1"/>
  <c r="W146" i="1"/>
  <c r="W84" i="1"/>
  <c r="U138" i="1"/>
  <c r="S138" i="1" s="1"/>
  <c r="W18" i="1"/>
  <c r="U78" i="1"/>
  <c r="S78" i="1" s="1"/>
  <c r="AI78" i="1"/>
  <c r="S169" i="1"/>
  <c r="W154" i="1"/>
  <c r="W193" i="1"/>
  <c r="AI212" i="1"/>
  <c r="U15" i="1"/>
  <c r="S15" i="1" s="1"/>
  <c r="W169" i="1"/>
  <c r="W194" i="1"/>
  <c r="U180" i="1"/>
  <c r="S180" i="1" s="1"/>
  <c r="U63" i="1"/>
  <c r="S63" i="1" s="1"/>
  <c r="AI63" i="1"/>
  <c r="U40" i="1"/>
  <c r="S40" i="1" s="1"/>
  <c r="AI40" i="1"/>
  <c r="U183" i="1"/>
  <c r="S183" i="1" s="1"/>
  <c r="U24" i="1"/>
  <c r="S24" i="1" s="1"/>
  <c r="AI24" i="1"/>
  <c r="U161" i="1"/>
  <c r="S161" i="1" s="1"/>
  <c r="W44" i="1"/>
  <c r="W159" i="1"/>
  <c r="W40" i="1"/>
  <c r="W210" i="1"/>
  <c r="AI84" i="1"/>
  <c r="U92" i="1"/>
  <c r="S92" i="1" s="1"/>
  <c r="W98" i="1"/>
  <c r="AI131" i="1"/>
  <c r="U59" i="1"/>
  <c r="S59" i="1" s="1"/>
  <c r="AI59" i="1"/>
  <c r="W32" i="1"/>
  <c r="W183" i="1"/>
  <c r="W192" i="1"/>
  <c r="W104" i="1"/>
  <c r="U195" i="1"/>
  <c r="S195" i="1" s="1"/>
  <c r="W216" i="1"/>
  <c r="U79" i="1"/>
  <c r="S79" i="1" s="1"/>
  <c r="AI79" i="1"/>
  <c r="AI164" i="1"/>
  <c r="U128" i="1"/>
  <c r="S128" i="1" s="1"/>
  <c r="AI18" i="1"/>
  <c r="U18" i="1"/>
  <c r="S18" i="1" s="1"/>
  <c r="AI34" i="1"/>
  <c r="U34" i="1"/>
  <c r="S34" i="1" s="1"/>
  <c r="U37" i="1"/>
  <c r="S37" i="1" s="1"/>
  <c r="AI37" i="1"/>
  <c r="U21" i="1"/>
  <c r="S21" i="1" s="1"/>
  <c r="AI21" i="1"/>
  <c r="AI46" i="1"/>
  <c r="U46" i="1"/>
  <c r="S46" i="1" s="1"/>
  <c r="U29" i="1"/>
  <c r="S29" i="1" s="1"/>
  <c r="AI29" i="1"/>
  <c r="U70" i="1"/>
  <c r="S70" i="1" s="1"/>
  <c r="AI70" i="1"/>
  <c r="W79" i="1"/>
  <c r="W21" i="1"/>
  <c r="U178" i="1"/>
  <c r="S178" i="1" s="1"/>
  <c r="AI111" i="1"/>
  <c r="W178" i="1"/>
  <c r="U168" i="1"/>
  <c r="S168" i="1" s="1"/>
  <c r="AI100" i="1"/>
  <c r="U96" i="1"/>
  <c r="S96" i="1" s="1"/>
  <c r="AI116" i="1"/>
  <c r="U172" i="1"/>
  <c r="S172" i="1" s="1"/>
  <c r="AI104" i="1"/>
  <c r="U189" i="1"/>
  <c r="S189" i="1" s="1"/>
  <c r="AI123" i="1"/>
  <c r="U119" i="1"/>
  <c r="S119" i="1" s="1"/>
  <c r="AI156" i="1"/>
  <c r="W119" i="1"/>
  <c r="U135" i="1"/>
  <c r="S135" i="1" s="1"/>
  <c r="AI171" i="1"/>
  <c r="U83" i="1"/>
  <c r="AI83" i="1"/>
  <c r="W172" i="1"/>
  <c r="AI120" i="1"/>
  <c r="U186" i="1"/>
  <c r="S186" i="1" s="1"/>
  <c r="AI124" i="1"/>
  <c r="U190" i="1"/>
  <c r="S190" i="1" s="1"/>
  <c r="AI128" i="1"/>
  <c r="U193" i="1"/>
  <c r="S193" i="1" s="1"/>
  <c r="AI132" i="1"/>
  <c r="U98" i="1"/>
  <c r="S98" i="1" s="1"/>
  <c r="AI148" i="1"/>
  <c r="U112" i="1"/>
  <c r="S112" i="1" s="1"/>
  <c r="AI188" i="1"/>
  <c r="U153" i="1"/>
  <c r="S153" i="1" s="1"/>
  <c r="W128" i="1"/>
  <c r="AI56" i="1"/>
  <c r="U56" i="1"/>
  <c r="S56" i="1" s="1"/>
  <c r="AI64" i="1"/>
  <c r="U64" i="1"/>
  <c r="S64" i="1" s="1"/>
  <c r="AI52" i="1"/>
  <c r="U52" i="1"/>
  <c r="S52" i="1" s="1"/>
  <c r="AI60" i="1"/>
  <c r="U60" i="1"/>
  <c r="S60" i="1" s="1"/>
  <c r="AI42" i="1"/>
  <c r="U42" i="1"/>
  <c r="S42" i="1" s="1"/>
  <c r="U45" i="1"/>
  <c r="S45" i="1" s="1"/>
  <c r="AI45" i="1"/>
  <c r="AI68" i="1"/>
  <c r="U68" i="1"/>
  <c r="S68" i="1" s="1"/>
  <c r="AI26" i="1"/>
  <c r="U26" i="1"/>
  <c r="S26" i="1" s="1"/>
  <c r="W56" i="1"/>
  <c r="U171" i="1"/>
  <c r="S171" i="1" s="1"/>
  <c r="AI103" i="1"/>
  <c r="U185" i="1"/>
  <c r="S185" i="1" s="1"/>
  <c r="AI119" i="1"/>
  <c r="W168" i="1"/>
  <c r="U111" i="1"/>
  <c r="S111" i="1" s="1"/>
  <c r="AI147" i="1"/>
  <c r="U127" i="1"/>
  <c r="S127" i="1" s="1"/>
  <c r="AI163" i="1"/>
  <c r="U143" i="1"/>
  <c r="S143" i="1" s="1"/>
  <c r="AI179" i="1"/>
  <c r="U175" i="1"/>
  <c r="S175" i="1" s="1"/>
  <c r="AI108" i="1"/>
  <c r="U165" i="1"/>
  <c r="S165" i="1" s="1"/>
  <c r="AI97" i="1"/>
  <c r="U179" i="1"/>
  <c r="S179" i="1" s="1"/>
  <c r="AI112" i="1"/>
  <c r="W171" i="1"/>
  <c r="AI168" i="1"/>
  <c r="U132" i="1"/>
  <c r="S132" i="1" s="1"/>
  <c r="W132" i="1"/>
  <c r="U151" i="1"/>
  <c r="S151" i="1" s="1"/>
  <c r="AI187" i="1"/>
  <c r="W185" i="1"/>
  <c r="AI153" i="1"/>
  <c r="U116" i="1"/>
  <c r="S116" i="1" s="1"/>
  <c r="AI172" i="1"/>
  <c r="U136" i="1"/>
  <c r="S136" i="1" s="1"/>
  <c r="W148" i="1"/>
  <c r="W112" i="1"/>
  <c r="W143" i="1"/>
  <c r="U49" i="1"/>
  <c r="S49" i="1" s="1"/>
  <c r="AI49" i="1"/>
  <c r="U182" i="1"/>
  <c r="S182" i="1" s="1"/>
  <c r="AI115" i="1"/>
  <c r="U87" i="1"/>
  <c r="S87" i="1" s="1"/>
  <c r="AI87" i="1"/>
  <c r="U123" i="1"/>
  <c r="S123" i="1" s="1"/>
  <c r="W123" i="1"/>
  <c r="AI160" i="1"/>
  <c r="U139" i="1"/>
  <c r="S139" i="1" s="1"/>
  <c r="AI175" i="1"/>
  <c r="AI161" i="1"/>
  <c r="U124" i="1"/>
  <c r="S124" i="1" s="1"/>
  <c r="AI140" i="1"/>
  <c r="U211" i="1"/>
  <c r="S211" i="1" s="1"/>
  <c r="U25" i="1"/>
  <c r="S25" i="1" s="1"/>
  <c r="AI25" i="1"/>
  <c r="U17" i="1"/>
  <c r="S17" i="1" s="1"/>
  <c r="AI17" i="1"/>
  <c r="W34" i="1"/>
  <c r="U41" i="1"/>
  <c r="S41" i="1" s="1"/>
  <c r="AI41" i="1"/>
  <c r="U33" i="1"/>
  <c r="S33" i="1" s="1"/>
  <c r="AI33" i="1"/>
  <c r="W45" i="1"/>
  <c r="W52" i="1"/>
  <c r="W25" i="1"/>
  <c r="W33" i="1"/>
  <c r="U174" i="1"/>
  <c r="S174" i="1" s="1"/>
  <c r="AI107" i="1"/>
  <c r="W174" i="1"/>
  <c r="AI38" i="1"/>
  <c r="U38" i="1"/>
  <c r="S38" i="1" s="1"/>
  <c r="U75" i="1"/>
  <c r="S75" i="1" s="1"/>
  <c r="AI75" i="1"/>
  <c r="AI90" i="1"/>
  <c r="U90" i="1"/>
  <c r="S90" i="1" s="1"/>
  <c r="W96" i="1"/>
  <c r="U115" i="1"/>
  <c r="S115" i="1" s="1"/>
  <c r="AI151" i="1"/>
  <c r="U131" i="1"/>
  <c r="S131" i="1" s="1"/>
  <c r="AI167" i="1"/>
  <c r="AI99" i="1"/>
  <c r="U167" i="1"/>
  <c r="S167" i="1" s="1"/>
  <c r="W182" i="1"/>
  <c r="AI136" i="1"/>
  <c r="U102" i="1"/>
  <c r="S102" i="1" s="1"/>
  <c r="AI176" i="1"/>
  <c r="U140" i="1"/>
  <c r="S140" i="1" s="1"/>
  <c r="AI184" i="1"/>
  <c r="U148" i="1"/>
  <c r="S148" i="1" s="1"/>
  <c r="AI189" i="1"/>
  <c r="U154" i="1"/>
  <c r="S154" i="1" s="1"/>
  <c r="W102" i="1"/>
  <c r="W124" i="1"/>
  <c r="W190" i="1"/>
  <c r="AI144" i="1"/>
  <c r="U108" i="1"/>
  <c r="S108" i="1" s="1"/>
  <c r="AI180" i="1"/>
  <c r="U144" i="1"/>
  <c r="S144" i="1" s="1"/>
  <c r="U147" i="1"/>
  <c r="S147" i="1" s="1"/>
  <c r="AI183" i="1"/>
  <c r="AI157" i="1"/>
  <c r="U120" i="1"/>
  <c r="S120" i="1" s="1"/>
  <c r="W115" i="1"/>
  <c r="W153" i="1"/>
  <c r="W139" i="1"/>
  <c r="W111" i="1"/>
  <c r="Y43" i="3"/>
  <c r="T43" i="3"/>
  <c r="AC43" i="3"/>
  <c r="S83" i="1" l="1"/>
  <c r="AD43" i="3"/>
  <c r="M28" i="5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F3" i="6" s="1"/>
  <c r="K3" i="6"/>
  <c r="B4" i="6"/>
  <c r="F4" i="6" s="1"/>
  <c r="K4" i="6"/>
  <c r="B5" i="6"/>
  <c r="K5" i="6"/>
  <c r="B6" i="6"/>
  <c r="K6" i="6"/>
  <c r="I6" i="6" l="1"/>
  <c r="F5" i="6"/>
  <c r="J5" i="6"/>
  <c r="I3" i="6"/>
  <c r="J6" i="6"/>
  <c r="F6" i="6"/>
  <c r="I5" i="6"/>
  <c r="I4" i="6"/>
  <c r="J3" i="6"/>
  <c r="J4" i="6"/>
  <c r="M30" i="5" l="1"/>
  <c r="M29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5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6" i="6" l="1"/>
  <c r="G4" i="6"/>
  <c r="H5" i="6"/>
  <c r="H4" i="6"/>
  <c r="H6" i="6"/>
  <c r="H3" i="6"/>
  <c r="G3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<sst xmlns="http://schemas.openxmlformats.org/spreadsheetml/2006/main" count="2349" uniqueCount="864">
  <si>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</si>
  <si>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</si>
  <si>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</si>
  <si>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</si>
  <si>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</si>
  <si>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</si>
  <si>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</si>
  <si>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</si>
  <si>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</si>
  <si>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</si>
  <si>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</si>
  <si>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</si>
  <si>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</si>
  <si>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</si>
  <si>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</si>
  <si>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</si>
  <si>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</si>
  <si>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</si>
  <si>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</si>
  <si>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</si>
  <si>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</si>
  <si>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</si>
  <si>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</si>
  <si>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</si>
  <si>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</si>
  <si>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</si>
  <si>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</si>
  <si>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</si>
  <si>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</si>
  <si>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</si>
  <si>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</si>
  <si>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</si>
  <si>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</si>
  <si>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</si>
  <si>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</si>
  <si>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</si>
  <si>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</si>
  <si>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</si>
  <si>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</si>
  <si>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</si>
  <si>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</si>
  <si>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</si>
  <si>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</si>
  <si>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</si>
  <si>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</si>
  <si>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</si>
  <si>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</si>
  <si>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</si>
  <si>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</si>
  <si>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</si>
  <si>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</si>
  <si>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</si>
  <si>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</si>
  <si>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</si>
  <si>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</si>
  <si>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</si>
  <si>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</si>
  <si>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</si>
  <si>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</si>
  <si>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</si>
  <si>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</si>
  <si>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</si>
  <si>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</si>
  <si>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</si>
  <si>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</si>
  <si>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</si>
  <si>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</si>
  <si>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</si>
  <si>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</si>
  <si>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</si>
  <si>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</si>
  <si>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</si>
  <si>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</si>
  <si>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</si>
  <si>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</si>
  <si>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</si>
  <si>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</si>
  <si>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</si>
  <si>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</si>
  <si>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</si>
  <si>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</si>
  <si>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</si>
  <si>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</si>
  <si>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</si>
  <si>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</si>
  <si>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</si>
  <si>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</si>
  <si>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</si>
  <si>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</si>
  <si>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</si>
  <si>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</si>
  <si>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</si>
  <si>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</si>
  <si>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</si>
  <si>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</si>
  <si>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</si>
  <si>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</si>
  <si>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</si>
  <si>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</si>
  <si>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</si>
  <si>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</si>
  <si>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</si>
  <si>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</si>
  <si>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</si>
  <si>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</si>
  <si>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</si>
  <si>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</si>
  <si>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</si>
  <si>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</si>
  <si>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</si>
  <si>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</si>
  <si>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</si>
  <si>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</si>
  <si>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</si>
  <si>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</si>
  <si>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</si>
  <si>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</si>
  <si>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</si>
  <si>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</si>
  <si>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</si>
  <si>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</si>
  <si>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</si>
  <si>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</si>
  <si>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</si>
  <si>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</si>
  <si>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</si>
  <si>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</si>
  <si>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</si>
  <si>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</si>
  <si>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</si>
  <si>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</si>
  <si>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</si>
  <si>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</si>
  <si>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</si>
  <si>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</si>
  <si>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</si>
  <si>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</si>
  <si>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</si>
  <si>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</si>
  <si>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</si>
  <si>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</si>
  <si>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</si>
  <si>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</si>
  <si>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</si>
  <si>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</si>
  <si>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</si>
  <si>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</si>
  <si>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</si>
  <si>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</si>
  <si>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</si>
  <si>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</si>
  <si>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</si>
  <si>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</si>
  <si>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</si>
  <si>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</si>
  <si>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</si>
  <si>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</si>
  <si>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</si>
  <si>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</si>
  <si>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</si>
  <si>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</si>
  <si>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</si>
  <si>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</si>
  <si>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</si>
  <si>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</si>
  <si>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</si>
  <si>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</si>
  <si>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</si>
  <si>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</si>
  <si>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</si>
  <si>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</si>
  <si>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</si>
  <si>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</si>
  <si>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</si>
  <si>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</si>
  <si>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</si>
  <si>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</si>
  <si>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</si>
  <si>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</si>
  <si>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</si>
  <si>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</si>
  <si>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</si>
  <si>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</si>
  <si>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</si>
  <si>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</si>
  <si>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</si>
  <si>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</si>
  <si>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</si>
  <si>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</si>
  <si>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</si>
  <si>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</si>
  <si>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</si>
  <si>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</si>
  <si>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</si>
  <si>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</si>
  <si>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</si>
  <si>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</si>
  <si>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</si>
  <si>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</si>
  <si>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</si>
  <si>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</si>
  <si>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</si>
  <si>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</si>
  <si>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</si>
  <si>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</si>
  <si>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</si>
  <si>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</si>
  <si>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</si>
  <si>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</si>
  <si>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</si>
  <si>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</si>
  <si>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</si>
  <si>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rtdc.l.rtdc.4030:itc</t>
  </si>
  <si>
    <t>204:462</t>
  </si>
  <si>
    <t>rtdc.l.rtdc.4011:itc</t>
  </si>
  <si>
    <t>204:464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</si>
  <si>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</si>
  <si>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</si>
  <si>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</si>
  <si>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</si>
  <si>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</si>
  <si>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</si>
  <si>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</si>
  <si>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</si>
  <si>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</si>
  <si>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</si>
  <si>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MAGEE</t>
  </si>
  <si>
    <t>rtdc.l.rtdc.4043:itc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</si>
  <si>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</si>
  <si>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</si>
  <si>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</si>
  <si>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</si>
  <si>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</si>
  <si>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</si>
  <si>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</si>
  <si>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</si>
  <si>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</si>
  <si>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</si>
  <si>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</si>
  <si>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</si>
  <si>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</si>
  <si>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</si>
  <si>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204:232987</t>
  </si>
  <si>
    <t>rtdc.l.rtdc.4014:itc</t>
  </si>
  <si>
    <t>rtdc.l.rtdc.4013:itc</t>
  </si>
  <si>
    <t>204:232975</t>
  </si>
  <si>
    <t>204:232994</t>
  </si>
  <si>
    <t>204:132</t>
  </si>
  <si>
    <t>204:440</t>
  </si>
  <si>
    <t>CLI Grep2 (for slice disagreement)</t>
  </si>
  <si>
    <t>204:232998</t>
  </si>
  <si>
    <t>Y</t>
  </si>
  <si>
    <t>204:147</t>
  </si>
  <si>
    <t>204:232993</t>
  </si>
  <si>
    <t>204:165</t>
  </si>
  <si>
    <t>204:233314</t>
  </si>
  <si>
    <t>204:455</t>
  </si>
  <si>
    <t>204:232983</t>
  </si>
  <si>
    <t>rtdc.l.rtdc.4031:itc</t>
  </si>
  <si>
    <t>204:442</t>
  </si>
  <si>
    <t>204:446</t>
  </si>
  <si>
    <t>rtdc.l.rtdc.4045:itc</t>
  </si>
  <si>
    <t>rtdc.l.rtdc.4046:itc</t>
  </si>
  <si>
    <t>DAVIS</t>
  </si>
  <si>
    <t>204:161</t>
  </si>
  <si>
    <t>204:460</t>
  </si>
  <si>
    <t>204:232973</t>
  </si>
  <si>
    <t>204:233302</t>
  </si>
  <si>
    <t>204:139</t>
  </si>
  <si>
    <t>204:457</t>
  </si>
  <si>
    <t>204:471</t>
  </si>
  <si>
    <t>204:233293</t>
  </si>
  <si>
    <t>204:233321</t>
  </si>
  <si>
    <t>204:167</t>
  </si>
  <si>
    <t>rtdc.l.rtdc.4042:itc</t>
  </si>
  <si>
    <t>rtdc.l.rtdc.4041:itc</t>
  </si>
  <si>
    <t>DAVIDSON</t>
  </si>
  <si>
    <t>SAFIEF</t>
  </si>
  <si>
    <t>204:233306</t>
  </si>
  <si>
    <t>204:444</t>
  </si>
  <si>
    <t>204:469</t>
  </si>
  <si>
    <t>204:232978</t>
  </si>
  <si>
    <t>SWITCH UNKNOWN</t>
  </si>
  <si>
    <t>Track device (7)</t>
  </si>
  <si>
    <t>rtdc.l.rtdc.4029:itc</t>
  </si>
  <si>
    <t>clear-night</t>
  </si>
  <si>
    <t>Clear</t>
  </si>
  <si>
    <t>204:233307</t>
  </si>
  <si>
    <t>204:233000</t>
  </si>
  <si>
    <t>204:233308</t>
  </si>
  <si>
    <t>204:696</t>
  </si>
  <si>
    <t>rtdc.l.rtdc.4003:itc</t>
  </si>
  <si>
    <t>rtdc.l.rtdc.4004:itc</t>
  </si>
  <si>
    <t>MAELZER</t>
  </si>
  <si>
    <t>STORY</t>
  </si>
  <si>
    <t>MOSES</t>
  </si>
  <si>
    <t>clear-day</t>
  </si>
  <si>
    <t>204:232981</t>
  </si>
  <si>
    <t>204:233303</t>
  </si>
  <si>
    <t>204:232989</t>
  </si>
  <si>
    <t>204:233329</t>
  </si>
  <si>
    <t>204:172</t>
  </si>
  <si>
    <t>300:58621</t>
  </si>
  <si>
    <t>rtdc.l.rtdc.4010:itc</t>
  </si>
  <si>
    <t>ROBINSON</t>
  </si>
  <si>
    <t>STRICKLAND</t>
  </si>
  <si>
    <t>OUN</t>
  </si>
  <si>
    <t>ADANE</t>
  </si>
  <si>
    <t>204:232672</t>
  </si>
  <si>
    <t>204:232984</t>
  </si>
  <si>
    <t>204:233316</t>
  </si>
  <si>
    <t>204:232988</t>
  </si>
  <si>
    <t>204:145</t>
  </si>
  <si>
    <t>204:233312</t>
  </si>
  <si>
    <t>204:232996</t>
  </si>
  <si>
    <t>204:129</t>
  </si>
  <si>
    <t>204:232992</t>
  </si>
  <si>
    <t>204:232980</t>
  </si>
  <si>
    <t>204:467</t>
  </si>
  <si>
    <t>204:233315</t>
  </si>
  <si>
    <t>204:233298</t>
  </si>
  <si>
    <t>204:475</t>
  </si>
  <si>
    <t>300:22846</t>
  </si>
  <si>
    <t>204:659</t>
  </si>
  <si>
    <t>300:58611</t>
  </si>
  <si>
    <t>300:58608</t>
  </si>
  <si>
    <t>300:58623</t>
  </si>
  <si>
    <t>300:58933</t>
  </si>
  <si>
    <t>300:58609</t>
  </si>
  <si>
    <t>300:58592</t>
  </si>
  <si>
    <t>300:58935</t>
  </si>
  <si>
    <t>300:58922</t>
  </si>
  <si>
    <t>300:58615</t>
  </si>
  <si>
    <t>TEMPORARY SPEED RESTRICTION</t>
  </si>
  <si>
    <t>rtdc.l.rtdc.4032:itc</t>
  </si>
  <si>
    <t>242-25</t>
  </si>
  <si>
    <t>BROWN</t>
  </si>
  <si>
    <t>MCREYNOLDS</t>
  </si>
  <si>
    <t>CHANDLER</t>
  </si>
  <si>
    <t>LALONDE</t>
  </si>
  <si>
    <t>81-25</t>
  </si>
  <si>
    <t>80-25</t>
  </si>
  <si>
    <t>230-25</t>
  </si>
  <si>
    <t>233-25</t>
  </si>
  <si>
    <t>847-25</t>
  </si>
  <si>
    <t>232-25</t>
  </si>
  <si>
    <t>235-25</t>
  </si>
  <si>
    <t>908-25</t>
  </si>
  <si>
    <t>234-25</t>
  </si>
  <si>
    <t>237-25</t>
  </si>
  <si>
    <t>239-25</t>
  </si>
  <si>
    <t>236-25</t>
  </si>
  <si>
    <t>241-25</t>
  </si>
  <si>
    <t>238-25</t>
  </si>
  <si>
    <t>243-25</t>
  </si>
  <si>
    <t>240-25</t>
  </si>
  <si>
    <t>245-25</t>
  </si>
  <si>
    <t>309-25</t>
  </si>
  <si>
    <t>244-25</t>
  </si>
  <si>
    <t>311-25</t>
  </si>
  <si>
    <t>246-25</t>
  </si>
  <si>
    <t>313-25</t>
  </si>
  <si>
    <t>315-25</t>
  </si>
  <si>
    <t>204:770</t>
  </si>
  <si>
    <t>204:232967</t>
  </si>
  <si>
    <t>204:233291</t>
  </si>
  <si>
    <t>204:233300</t>
  </si>
  <si>
    <t>204:232985</t>
  </si>
  <si>
    <t>204:233006</t>
  </si>
  <si>
    <t>204:233301</t>
  </si>
  <si>
    <t>204:233327</t>
  </si>
  <si>
    <t>204:233008</t>
  </si>
  <si>
    <t>204:232986</t>
  </si>
  <si>
    <t>204:491</t>
  </si>
  <si>
    <t>204:435</t>
  </si>
  <si>
    <t>204:232969</t>
  </si>
  <si>
    <t>204:233299</t>
  </si>
  <si>
    <t>204:473</t>
  </si>
  <si>
    <t>204:232965</t>
  </si>
  <si>
    <t>204:233287</t>
  </si>
  <si>
    <t>204:232957</t>
  </si>
  <si>
    <t>204:537</t>
  </si>
  <si>
    <t>204:1435</t>
  </si>
  <si>
    <t>300:23346</t>
  </si>
  <si>
    <t>204:965</t>
  </si>
  <si>
    <t>204:129198</t>
  </si>
  <si>
    <t>204:9815</t>
  </si>
  <si>
    <t>300:31258</t>
  </si>
  <si>
    <t>204:734</t>
  </si>
  <si>
    <t>300:58944</t>
  </si>
  <si>
    <t>304-26</t>
  </si>
  <si>
    <t>rtdc.l.rtdc.4026:itc</t>
  </si>
  <si>
    <t>306-26</t>
  </si>
  <si>
    <t>310-26</t>
  </si>
  <si>
    <t>106-26</t>
  </si>
  <si>
    <t>110-26</t>
  </si>
  <si>
    <t>1802-26</t>
  </si>
  <si>
    <t>120-26</t>
  </si>
  <si>
    <t>1805-26</t>
  </si>
  <si>
    <t>130-26</t>
  </si>
  <si>
    <t>141-26</t>
  </si>
  <si>
    <t>134-26</t>
  </si>
  <si>
    <t>149-26</t>
  </si>
  <si>
    <t>146-26</t>
  </si>
  <si>
    <t>1813-26</t>
  </si>
  <si>
    <t>166-26</t>
  </si>
  <si>
    <t>170-26</t>
  </si>
  <si>
    <t>180-26</t>
  </si>
  <si>
    <t>1817-26</t>
  </si>
  <si>
    <t>185-26</t>
  </si>
  <si>
    <t>193-26</t>
  </si>
  <si>
    <t>1819-26</t>
  </si>
  <si>
    <t>1821-26</t>
  </si>
  <si>
    <t>1822-26</t>
  </si>
  <si>
    <t>217-26</t>
  </si>
  <si>
    <t>1826-26</t>
  </si>
  <si>
    <t>66-26</t>
  </si>
  <si>
    <t>227-26</t>
  </si>
  <si>
    <t>1829-26</t>
  </si>
  <si>
    <t>65-26</t>
  </si>
  <si>
    <t>234-26</t>
  </si>
  <si>
    <t>239-26</t>
  </si>
  <si>
    <t>302-26</t>
  </si>
  <si>
    <t>101-26</t>
  </si>
  <si>
    <t>103-26</t>
  </si>
  <si>
    <t>ACKERMAN</t>
  </si>
  <si>
    <t>102-26</t>
  </si>
  <si>
    <t>308-26</t>
  </si>
  <si>
    <t>105-26</t>
  </si>
  <si>
    <t>KILLION</t>
  </si>
  <si>
    <t>107-26</t>
  </si>
  <si>
    <t>104-26</t>
  </si>
  <si>
    <t>109-26</t>
  </si>
  <si>
    <t>111-26</t>
  </si>
  <si>
    <t>GEBRETEKLE</t>
  </si>
  <si>
    <t>113-26</t>
  </si>
  <si>
    <t>108-26</t>
  </si>
  <si>
    <t>115-26</t>
  </si>
  <si>
    <t>117-26</t>
  </si>
  <si>
    <t>1901-26</t>
  </si>
  <si>
    <t>1800-26</t>
  </si>
  <si>
    <t>112-26</t>
  </si>
  <si>
    <t>119-26</t>
  </si>
  <si>
    <t>121-26</t>
  </si>
  <si>
    <t>114-26</t>
  </si>
  <si>
    <t>1801-26</t>
  </si>
  <si>
    <t>116-26</t>
  </si>
  <si>
    <t>123-26</t>
  </si>
  <si>
    <t>118-26</t>
  </si>
  <si>
    <t>125-26</t>
  </si>
  <si>
    <t>127-26</t>
  </si>
  <si>
    <t>122-26</t>
  </si>
  <si>
    <t>129-26</t>
  </si>
  <si>
    <t>1803-26</t>
  </si>
  <si>
    <t>124-26</t>
  </si>
  <si>
    <t>131-26</t>
  </si>
  <si>
    <t>126-26</t>
  </si>
  <si>
    <t>1804-26</t>
  </si>
  <si>
    <t>133-26</t>
  </si>
  <si>
    <t>128-26</t>
  </si>
  <si>
    <t>135-26</t>
  </si>
  <si>
    <t>137-26</t>
  </si>
  <si>
    <t>132-26</t>
  </si>
  <si>
    <t>139-26</t>
  </si>
  <si>
    <t>1806-26</t>
  </si>
  <si>
    <t>136-26</t>
  </si>
  <si>
    <t>143-26</t>
  </si>
  <si>
    <t>1807-26</t>
  </si>
  <si>
    <t>138-26</t>
  </si>
  <si>
    <t>145-26</t>
  </si>
  <si>
    <t>140-26</t>
  </si>
  <si>
    <t>147-26</t>
  </si>
  <si>
    <t>142-26</t>
  </si>
  <si>
    <t>1808-26</t>
  </si>
  <si>
    <t>144-26</t>
  </si>
  <si>
    <t>151-26</t>
  </si>
  <si>
    <t>153-26</t>
  </si>
  <si>
    <t>1809-26</t>
  </si>
  <si>
    <t>148-26</t>
  </si>
  <si>
    <t>155-26</t>
  </si>
  <si>
    <t>CLARK</t>
  </si>
  <si>
    <t>150-26</t>
  </si>
  <si>
    <t>1810-26</t>
  </si>
  <si>
    <t>157-26</t>
  </si>
  <si>
    <t>152-26</t>
  </si>
  <si>
    <t>159-26</t>
  </si>
  <si>
    <t>STEWART</t>
  </si>
  <si>
    <t>154-26</t>
  </si>
  <si>
    <t>161-26</t>
  </si>
  <si>
    <t>BARTLETT</t>
  </si>
  <si>
    <t>1811-26</t>
  </si>
  <si>
    <t>156-26</t>
  </si>
  <si>
    <t>163-26</t>
  </si>
  <si>
    <t>158-26</t>
  </si>
  <si>
    <t>1812-26</t>
  </si>
  <si>
    <t>165-26</t>
  </si>
  <si>
    <t>160-26</t>
  </si>
  <si>
    <t>162-26</t>
  </si>
  <si>
    <t>167-26</t>
  </si>
  <si>
    <t>BRUDER</t>
  </si>
  <si>
    <t>169-26</t>
  </si>
  <si>
    <t>164-26</t>
  </si>
  <si>
    <t>171-26</t>
  </si>
  <si>
    <t>1814-26</t>
  </si>
  <si>
    <t>rtdc.l.rtdc.4025:itc</t>
  </si>
  <si>
    <t>173-26</t>
  </si>
  <si>
    <t>168-26</t>
  </si>
  <si>
    <t>175-26</t>
  </si>
  <si>
    <t>177-26</t>
  </si>
  <si>
    <t>1815-26</t>
  </si>
  <si>
    <t>172-26</t>
  </si>
  <si>
    <t>179-26</t>
  </si>
  <si>
    <t>174-26</t>
  </si>
  <si>
    <t>1816-26</t>
  </si>
  <si>
    <t>181-26</t>
  </si>
  <si>
    <t>176-26</t>
  </si>
  <si>
    <t>183-26</t>
  </si>
  <si>
    <t>178-26</t>
  </si>
  <si>
    <t>187-26</t>
  </si>
  <si>
    <t>182-26</t>
  </si>
  <si>
    <t>1818-26</t>
  </si>
  <si>
    <t>189-26</t>
  </si>
  <si>
    <t>184-26</t>
  </si>
  <si>
    <t>191-26</t>
  </si>
  <si>
    <t>186-26</t>
  </si>
  <si>
    <t>188-26</t>
  </si>
  <si>
    <t>195-26</t>
  </si>
  <si>
    <t>190-26</t>
  </si>
  <si>
    <t>1820-26</t>
  </si>
  <si>
    <t>197-26</t>
  </si>
  <si>
    <t>192-26</t>
  </si>
  <si>
    <t>199-26</t>
  </si>
  <si>
    <t>194-26</t>
  </si>
  <si>
    <t>201-26</t>
  </si>
  <si>
    <t>196-26</t>
  </si>
  <si>
    <t>203-26</t>
  </si>
  <si>
    <t>198-26</t>
  </si>
  <si>
    <t>205-26</t>
  </si>
  <si>
    <t>200-26</t>
  </si>
  <si>
    <t>207-26</t>
  </si>
  <si>
    <t>1823-26</t>
  </si>
  <si>
    <t>202-26</t>
  </si>
  <si>
    <t>89-26</t>
  </si>
  <si>
    <t>HAITHCOX</t>
  </si>
  <si>
    <t>209-26</t>
  </si>
  <si>
    <t>67-26</t>
  </si>
  <si>
    <t>204-26</t>
  </si>
  <si>
    <t>211-26</t>
  </si>
  <si>
    <t>206-26</t>
  </si>
  <si>
    <t>1824-26</t>
  </si>
  <si>
    <t>213-26</t>
  </si>
  <si>
    <t>NEWELL</t>
  </si>
  <si>
    <t>74-26</t>
  </si>
  <si>
    <t>208-26</t>
  </si>
  <si>
    <t>215-26</t>
  </si>
  <si>
    <t>76-26</t>
  </si>
  <si>
    <t>WHITED</t>
  </si>
  <si>
    <t>1825-26</t>
  </si>
  <si>
    <t>210-26</t>
  </si>
  <si>
    <t>212-26</t>
  </si>
  <si>
    <t>219-26</t>
  </si>
  <si>
    <t>214-26</t>
  </si>
  <si>
    <t>303-26</t>
  </si>
  <si>
    <t>216-26</t>
  </si>
  <si>
    <t>221-26</t>
  </si>
  <si>
    <t>218-26</t>
  </si>
  <si>
    <t>1827-26</t>
  </si>
  <si>
    <t>305-26</t>
  </si>
  <si>
    <t>220-26</t>
  </si>
  <si>
    <t>223-26</t>
  </si>
  <si>
    <t>1828-26</t>
  </si>
  <si>
    <t>307-26</t>
  </si>
  <si>
    <t>222-26</t>
  </si>
  <si>
    <t>225-26</t>
  </si>
  <si>
    <t>224-26</t>
  </si>
  <si>
    <t>1830-26</t>
  </si>
  <si>
    <t>226-26</t>
  </si>
  <si>
    <t>229-26</t>
  </si>
  <si>
    <t>1831-26</t>
  </si>
  <si>
    <t>228-26</t>
  </si>
  <si>
    <t>231-26</t>
  </si>
  <si>
    <t>1832-26</t>
  </si>
  <si>
    <t>233-26</t>
  </si>
  <si>
    <t>230-26</t>
  </si>
  <si>
    <t>1833-26</t>
  </si>
  <si>
    <t>232-26</t>
  </si>
  <si>
    <t>235-26</t>
  </si>
  <si>
    <t>1902-26</t>
  </si>
  <si>
    <t>237-26</t>
  </si>
  <si>
    <t>NELSON</t>
  </si>
  <si>
    <t>236-26</t>
  </si>
  <si>
    <t>241-26</t>
  </si>
  <si>
    <t>238-26</t>
  </si>
  <si>
    <t>240-26</t>
  </si>
  <si>
    <t>243-26</t>
  </si>
  <si>
    <t>242-26</t>
  </si>
  <si>
    <t>245-26</t>
  </si>
  <si>
    <t>309-26</t>
  </si>
  <si>
    <t>244-26</t>
  </si>
  <si>
    <t>311-26</t>
  </si>
  <si>
    <t>246-26</t>
  </si>
  <si>
    <t>315-26</t>
  </si>
  <si>
    <t>partly-cloudy-night</t>
  </si>
  <si>
    <t>Partly Cloudy</t>
  </si>
  <si>
    <t>partly-cloudy-day</t>
  </si>
  <si>
    <t>Mostly Cloudy</t>
  </si>
  <si>
    <t>204:795</t>
  </si>
  <si>
    <t>204:233351</t>
  </si>
  <si>
    <t>204:232717</t>
  </si>
  <si>
    <t>204:737</t>
  </si>
  <si>
    <t>204:98</t>
  </si>
  <si>
    <t>204:717</t>
  </si>
  <si>
    <t>204:233374</t>
  </si>
  <si>
    <t>204:232736</t>
  </si>
  <si>
    <t>204:119</t>
  </si>
  <si>
    <t>204:232990</t>
  </si>
  <si>
    <t>204:233310</t>
  </si>
  <si>
    <t>204:138</t>
  </si>
  <si>
    <t>204:233288</t>
  </si>
  <si>
    <t>204:389</t>
  </si>
  <si>
    <t>204:726</t>
  </si>
  <si>
    <t>204:233004</t>
  </si>
  <si>
    <t>204:233340</t>
  </si>
  <si>
    <t>204:19140</t>
  </si>
  <si>
    <t>204:160</t>
  </si>
  <si>
    <t>204:170</t>
  </si>
  <si>
    <t>204:114</t>
  </si>
  <si>
    <t>204:233311</t>
  </si>
  <si>
    <t>204:233015</t>
  </si>
  <si>
    <t>204:18774</t>
  </si>
  <si>
    <t>204:495</t>
  </si>
  <si>
    <t>204:232982</t>
  </si>
  <si>
    <t>204:488</t>
  </si>
  <si>
    <t>204:233334</t>
  </si>
  <si>
    <t>204:233021</t>
  </si>
  <si>
    <t>204:69596</t>
  </si>
  <si>
    <t>204:64182</t>
  </si>
  <si>
    <t>204:458</t>
  </si>
  <si>
    <t>204:233268</t>
  </si>
  <si>
    <t>204:661</t>
  </si>
  <si>
    <t>204:974</t>
  </si>
  <si>
    <t>300:58928</t>
  </si>
  <si>
    <t>300:58617</t>
  </si>
  <si>
    <t>204:972</t>
  </si>
  <si>
    <t>204:687</t>
  </si>
  <si>
    <t>204:978</t>
  </si>
  <si>
    <t>300:58916</t>
  </si>
  <si>
    <t>204:682</t>
  </si>
  <si>
    <t>204:964</t>
  </si>
  <si>
    <t>204:233325</t>
  </si>
  <si>
    <t>204:664</t>
  </si>
  <si>
    <t>204:971</t>
  </si>
  <si>
    <t>204:675</t>
  </si>
  <si>
    <t>204:962</t>
  </si>
  <si>
    <t>300:58624</t>
  </si>
  <si>
    <t>300:58918</t>
  </si>
  <si>
    <t>300:58602</t>
  </si>
  <si>
    <t>204:967</t>
  </si>
  <si>
    <t>300:58984</t>
  </si>
  <si>
    <t>300:58672</t>
  </si>
  <si>
    <t>204:946</t>
  </si>
  <si>
    <t>300:59001</t>
  </si>
  <si>
    <t>300:58688</t>
  </si>
  <si>
    <t>204:670</t>
  </si>
  <si>
    <t>300:58992</t>
  </si>
  <si>
    <t>300:58675</t>
  </si>
  <si>
    <t>204:953</t>
  </si>
  <si>
    <t>300:58969</t>
  </si>
  <si>
    <t>300:58653</t>
  </si>
  <si>
    <t>300:58986</t>
  </si>
  <si>
    <t>300:58677</t>
  </si>
  <si>
    <t>204:677</t>
  </si>
  <si>
    <t>300:58975</t>
  </si>
  <si>
    <t>300:58662</t>
  </si>
  <si>
    <t>204:680</t>
  </si>
  <si>
    <t>204:1910</t>
  </si>
  <si>
    <t>300:58980</t>
  </si>
  <si>
    <t>204:698</t>
  </si>
  <si>
    <t>300:58965</t>
  </si>
  <si>
    <t>204:233309</t>
  </si>
  <si>
    <t>204:37173</t>
  </si>
  <si>
    <t>300:30140</t>
  </si>
  <si>
    <t>300:58649</t>
  </si>
  <si>
    <t>300:21490</t>
  </si>
  <si>
    <t>204:86375</t>
  </si>
  <si>
    <t>204:233318</t>
  </si>
  <si>
    <t>204:482</t>
  </si>
  <si>
    <t>204:477</t>
  </si>
  <si>
    <t>204:233330</t>
  </si>
  <si>
    <t>204:233023</t>
  </si>
  <si>
    <t>204:233286</t>
  </si>
  <si>
    <t>204:181</t>
  </si>
  <si>
    <t>204:232961</t>
  </si>
  <si>
    <t>204:233338</t>
  </si>
  <si>
    <t>204:413</t>
  </si>
  <si>
    <t>204:233344</t>
  </si>
  <si>
    <t>204:233028</t>
  </si>
  <si>
    <t>204:233336</t>
  </si>
  <si>
    <t>204:233027</t>
  </si>
  <si>
    <t>204:233025</t>
  </si>
  <si>
    <t>204:200</t>
  </si>
  <si>
    <t>204:233274</t>
  </si>
  <si>
    <t>204:233346</t>
  </si>
  <si>
    <t>300:19103</t>
  </si>
  <si>
    <t>300:23176</t>
  </si>
  <si>
    <t>300:23375</t>
  </si>
  <si>
    <t>204:497</t>
  </si>
  <si>
    <t>300:23308</t>
  </si>
  <si>
    <t>300:22333</t>
  </si>
  <si>
    <t>204:105</t>
  </si>
  <si>
    <t>204:2117</t>
  </si>
  <si>
    <t>300:23302</t>
  </si>
  <si>
    <t>300:22108</t>
  </si>
  <si>
    <t>300:23304</t>
  </si>
  <si>
    <t>300:23167</t>
  </si>
  <si>
    <t>204:506</t>
  </si>
  <si>
    <t>300:23301</t>
  </si>
  <si>
    <t>300:23295</t>
  </si>
  <si>
    <t>204:10528</t>
  </si>
  <si>
    <t>204:129167</t>
  </si>
  <si>
    <t>204:10542</t>
  </si>
  <si>
    <t>204:129158</t>
  </si>
  <si>
    <t>204:1505</t>
  </si>
  <si>
    <t>204:128950</t>
  </si>
  <si>
    <t>300:31349</t>
  </si>
  <si>
    <t>204:128568</t>
  </si>
  <si>
    <t>204:10294</t>
  </si>
  <si>
    <t>204:128570</t>
  </si>
  <si>
    <t>204:128776</t>
  </si>
  <si>
    <t>204:10306</t>
  </si>
  <si>
    <t>204:128782</t>
  </si>
  <si>
    <t>300:21947</t>
  </si>
  <si>
    <t>204:1194</t>
  </si>
  <si>
    <t>300:23444</t>
  </si>
  <si>
    <t>204:1181</t>
  </si>
  <si>
    <t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t>
  </si>
  <si>
    <t>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 &amp; 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</t>
  </si>
  <si>
    <t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t>
  </si>
  <si>
    <t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t>
  </si>
  <si>
    <t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t>
  </si>
  <si>
    <t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t>
  </si>
  <si>
    <t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t>
  </si>
  <si>
    <t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t>
  </si>
  <si>
    <t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t>
  </si>
  <si>
    <t>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 &amp; 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</t>
  </si>
  <si>
    <t>aws s3 cp s3://rtdc.mdm.uploadarchive.raw/RTDC4026/ "%USERPROFILE%\AppData\Local\Temp\OnboardLogs"\RTDC4026\2016-11-26 --exclude "*" --recursive --include "*20161126*" &amp; "%USERPROFILE%\Documents\GitHub\mrs-test-scripts\Headless Mode &amp; Sideloading\WalkAndUnGZ.bat" "%USERPROFILE%\AppData\Local\Temp\OnboardLogs"\RTDC4026\2016-11-26 &amp; 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</t>
  </si>
  <si>
    <t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t>
  </si>
  <si>
    <t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t>
  </si>
  <si>
    <t>Onboard in-route failure</t>
  </si>
  <si>
    <t>:.+((SYSTEM_STATE.+slice.+state.+changed )|(ment ac)|(multiple cpu faults)|(system.+state.+changed )|(\[timeout)|(PRM\|1\|D)|(kpr)|(kdp)|(\|lc)|(penalty))</t>
  </si>
  <si>
    <t>At 15:11:02 UTC, multiple cpu faults</t>
  </si>
  <si>
    <t>Cut out at 38th, headed to DUS Main 3</t>
  </si>
  <si>
    <t>At 20:26:59.458 UTC, primary slice vote out, 20 sec later, some locations timed out</t>
  </si>
  <si>
    <t>Re-initialized after enforcement</t>
  </si>
  <si>
    <t>Early arrival (41st)</t>
  </si>
  <si>
    <t>http://stevetu21.github.io/eaglep3/load_kml.html?kml=http://rtdc.gmaps-snips.s3.amazonaws.com/d7582be8-4e5b-4083-bbbc-8f29377697fb.kml</t>
  </si>
  <si>
    <t>Wi-MAX data drop</t>
  </si>
  <si>
    <t>http://stevetu21.github.io/eaglep3/load_kml.html?kml=http://rtdc.gmaps-snips.s3.amazonaws.com/3be8f818-4848-4276-bcb1-51bd69dcd7bb.kml</t>
  </si>
  <si>
    <t>Onboard in-route failure (slice vote out -&gt; comm outage)</t>
  </si>
  <si>
    <t>Premature downgrade at EC0816RH 75-1T 1N</t>
  </si>
  <si>
    <t>At 15:31:05, EC0816RH 75-1T 1N dropped from 270 to 0, do logs show anything odd happening at this time?</t>
  </si>
  <si>
    <t>61st 2N STOP</t>
  </si>
  <si>
    <t>DIA 2N STOP, didn't accept PSS before enforcing</t>
  </si>
  <si>
    <t>SYS :2016/11/26 10:23:45.508:ENFORCEMENT:Predictive Enforcement Action:  Target Number: 0000400F  Target Speed:   0.0  Current Speed:  39.5</t>
  </si>
  <si>
    <t>SYS :2016/11/26 10:23:45.760:ENFORCEMENT:Predictive Enforcement Action:  Target Number: 0000400F  Target Speed:   0.0  Current Speed:  39.5</t>
  </si>
  <si>
    <t>SYS :2016/11/26 10:23:46.563:ENFORCEMENT:Predictive Enforcement Action:  Target Number: 00004018  Target Speed:   0.0  Current Speed:  38.2</t>
  </si>
  <si>
    <t>SYS :2016/11/26 10:58:29.637:ENFORCEMENT:Predictive Enforcement Action:  Target Number: 0000602D  Target Speed:   0.0  Current Speed:  16.2</t>
  </si>
  <si>
    <t>SYS :2016/11/26 10:58:30.174:ENFORCEMENT:Predictive Enforcement Action:  Target Number: 0000602F  Target Speed:   0.0  Current Speed:  16.2</t>
  </si>
  <si>
    <t>SYS :2016/11/26 10:58:32.132:ENFORCEMENT:Predictive Enforcement Action:  Target Number: 0000602D  Target Speed:   0.0  Current Speed:  15.6</t>
  </si>
  <si>
    <t>SYS :2016/11/26 10:59:50.661:ENFORCEMENT:Predictive Enforcement Action:  Target Number: 00006036  Target Speed:   0.0  Current Speed:  27.0</t>
  </si>
  <si>
    <t>SYS :2016/11/26 10:59:52.121:ENFORCEMENT:Predictive Enforcement Action:  Target Number: 00006038  Target Speed:   0.0  Current Speed:  28.3</t>
  </si>
  <si>
    <t>SYS :2016/11/26 10:59:52.138:ENFORCEMENT:Predictive Enforcement Action:  Target Number: 00006036  Target Speed:   0.0  Current Speed:  28.3</t>
  </si>
  <si>
    <t>SYS :2016/11/26 11:21:45.815:ENFORCEMENT:Predictive Enforcement Action:  Target Number: 00006015  Target Speed:   0.0  Current Speed:  21.1</t>
  </si>
  <si>
    <t>SYS :2016/11/26 11:21:46.089:ENFORCEMENT:Predictive Enforcement Action:  Target Number: 00006015  Target Speed:   0.0  Current Speed:  21.1</t>
  </si>
  <si>
    <t>SYS :2016/11/26 11:21:46.526:ENFORCEMENT:Predictive Enforcement Action:  Target Number: 00006015  Target Speed:   0.0  Current Speed:  21.1</t>
  </si>
  <si>
    <t>SYS :2016/11/26 12:49:34.104:ENFORCEMENT:Predictive Enforcement Action:  Target Number: 0000100B  Target Speed:   0.0  Current Speed:   3.8</t>
  </si>
  <si>
    <t>SYS :2016/11/26 12:49:34.123:ENFORCEMENT:Predictive Enforcement Action:  Target Number: 0000100B  Target Speed:   0.0  Current Speed:   3.8</t>
  </si>
  <si>
    <t>SYS :2016/11/26 12:49:34.388:ENFORCEMENT:Predictive Enforcement Action:  Target Number: 00001001  Target Speed:   0.0  Current Speed:   3.8</t>
  </si>
  <si>
    <t>SYS :2016/11/26 13:12:05.802:ENFORCEMENT:Reactive Enforcement Action:  Target Number: 0000A002  Target Speed:  15.0  Current Speed:  20.3</t>
  </si>
  <si>
    <t>SYS :2016/11/26 13:12:07.516:ENFORCEMENT:Reactive Enforcement Action:  Target Number: 0000A002  Target Speed:  15.0  Current Speed:  20.3</t>
  </si>
  <si>
    <t>SYS :2016/11/26 13:49:25.646:ENFORCEMENT:Predictive Enforcement Action:  Target Number: 00017003  Target Speed:  39.0  Current Speed:  44.0</t>
  </si>
  <si>
    <t>SYS :2016/11/26 13:49:26.092:ENFORCEMENT:Predictive Enforcement Action:  Target Number: 00017003  Target Speed:  39.0  Current Speed:  44.0</t>
  </si>
  <si>
    <t>SYS :2016/11/26 14:34:14.160:ENFORCEMENT:Predictive Enforcement Action:  Target Number: 00001003  Target Speed:   0.0  Current Speed:   4.2</t>
  </si>
  <si>
    <t>SYS :2016/11/26 14:34:14.484:ENFORCEMENT:Predictive Enforcement Action:  Target Number: 00001003  Target Speed:   0.0  Current Speed:   4.2</t>
  </si>
  <si>
    <t>SYS :2016/11/26 15:34:11.302:ENFORCEMENT:Predictive Enforcement Action:  Target Number: 0000100B  Target Speed:   0.0  Current Speed:  15.3</t>
  </si>
  <si>
    <t>SYS :2016/11/26 15:34:11.833:ENFORCEMENT:Predictive Enforcement Action:  Target Number: 0000100B  Target Speed:   0.0  Current Speed:  15.3</t>
  </si>
  <si>
    <t>SYS :2016/11/26 15:34:11.887:ENFORCEMENT:Predictive Enforcement Action:  Target Number: 0000100B  Target Speed:   0.0  Current Speed:  15.3</t>
  </si>
  <si>
    <t>SYS :2016/11/26 15:35:34.828:ENFORCEMENT:Predictive Enforcement Action:  Target Number: 0000100B  Target Speed:   0.0  Current Speed:   3.9</t>
  </si>
  <si>
    <t>SYS :2016/11/26 15:35:34.876:ENFORCEMENT:Predictive Enforcement Action:  Target Number: 0000100B  Target Speed:   0.0  Current Speed:   3.9</t>
  </si>
  <si>
    <t>SYS :2016/11/26 15:45:45.223:ENFORCEMENT:Predictive Enforcement Action:  Target Number: 0001003E  Target Speed:  30.0  Current Speed:  41.2</t>
  </si>
  <si>
    <t>SYS :2016/11/26 15:45:46.217:ENFORCEMENT:Predictive Enforcement Action:  Target Number: 0001003E  Target Speed:  30.0  Current Speed:  41.2</t>
  </si>
  <si>
    <t>SYS :2016/11/26 15:45:46.338:ENFORCEMENT:Predictive Enforcement Action:  Target Number: 0001003E  Target Speed:  30.0  Current Speed:  41.2</t>
  </si>
  <si>
    <t>SYS :2016/11/26 16:10:20.657:ENFORCEMENT:Predictive Enforcement Action:  Target Number: 000060E0  Target Speed:   0.0  Current Speed:  72.2</t>
  </si>
  <si>
    <t>SYS :2016/11/26 16:10:20.923:ENFORCEMENT:Predictive Enforcement Action:  Target Number: 000060D5  Target Speed:   0.0  Current Speed:  72.2</t>
  </si>
  <si>
    <t>SYS :2016/11/26 16:10:21.437:ENFORCEMENT:Predictive Enforcement Action:  Target Number: 000060DD  Target Speed:   0.0  Current Speed:  72.2</t>
  </si>
  <si>
    <t>SYS :2016/11/26 16:19:16.492:ENFORCEMENT:Predictive Enforcement Action:  Target Number: 00001005  Target Speed:   0.0  Current Speed:   3.8</t>
  </si>
  <si>
    <t>SYS :2016/11/26 16:19:17.161:ENFORCEMENT:Predictive Enforcement Action:  Target Number: 00001005  Target Speed:   0.0  Current Speed:   3.8</t>
  </si>
  <si>
    <t>SYS :2016/11/26 17:21:06.773:ENFORCEMENT:Predictive Enforcement Action:  Target Number: 00001008  Target Speed:   0.0  Current Speed:  16.3</t>
  </si>
  <si>
    <t>SYS :2016/11/26 17:21:07.606:ENFORCEMENT:Predictive Enforcement Action:  Target Number: 00001008  Target Speed:   0.0  Current Speed:  16.3</t>
  </si>
  <si>
    <t>SYS :2016/11/26 17:21:08.722:ENFORCEMENT:Predictive Enforcement Action:  Target Number: 00001003  Target Speed:   0.0  Current Speed:  16.6</t>
  </si>
  <si>
    <t>SYS :2016/11/26 17:21:50.726:ENFORCEMENT:Predictive Enforcement Action:  Target Number: 00001003  Target Speed:   0.0  Current Speed:   6.6</t>
  </si>
  <si>
    <t>SYS :2016/11/26 17:21:50.778:ENFORCEMENT:Predictive Enforcement Action:  Target Number: 00001008  Target Speed:   0.0  Current Speed:   6.6</t>
  </si>
  <si>
    <t>SYS :2016/11/26 17:21:51.606:ENFORCEMENT:Predictive Enforcement Action:  Target Number: 00001008  Target Speed:   0.0  Current Speed:   6.6</t>
  </si>
  <si>
    <t>SYS :2016/11/26 17:35:07.213:ENFORCEMENT:Predictive Enforcement Action:  Target Number: 00001007  Target Speed:   0.0  Current Speed:   3.6</t>
  </si>
  <si>
    <t>SYS :2016/11/26 17:42:27.784:ENFORCEMENT:Predictive Enforcement Action:  Target Number: 00010062  Target Speed:  30.0  Current Speed:  38.5</t>
  </si>
  <si>
    <t>SYS :2016/11/26 18:33:06.743:ENFORCEMENT:Reactive Enforcement Action:  Target Number: 0001003D  Target Speed:  20.0  Current Speed:  25.2</t>
  </si>
  <si>
    <t>SYS :2016/11/26 19:34:32.823:ENFORCEMENT:Predictive Enforcement Action:  Target Number: 00001017  Target Speed:   0.0  Current Speed:   4.0</t>
  </si>
  <si>
    <t>SYS :2016/11/26 19:34:32.876:ENFORCEMENT:Predictive Enforcement Action:  Target Number: 00001017  Target Speed:   0.0  Current Speed:   4.0</t>
  </si>
  <si>
    <t>SYS :2016/11/26 19:34:33.295:ENFORCEMENT:Predictive Enforcement Action:  Target Number: 00001017  Target Speed:   0.0  Current Speed:   4.0</t>
  </si>
  <si>
    <t>SYS :2016/11/26 20:19:23.620:ENFORCEMENT:Predictive Enforcement Action:  Target Number: 00001001  Target Speed:   0.0  Current Speed:   5.9</t>
  </si>
  <si>
    <t>SYS :2016/11/26 20:19:23.804:ENFORCEMENT:Predictive Enforcement Action:  Target Number: 00001013  Target Speed:   0.0  Current Speed:   5.9</t>
  </si>
  <si>
    <t>SYS :2016/11/26 20:36:35.913:ENFORCEMENT:Predictive Enforcement Action:  Target Number: 0000619C  Target Speed:   0.0  Current Speed:   8.1</t>
  </si>
  <si>
    <t>SYS :2016/11/26 20:36:36.833:ENFORCEMENT:Predictive Enforcement Action:  Target Number: 000061C6  Target Speed:   0.0  Current Speed:   8.1</t>
  </si>
  <si>
    <t>SYS :2016/11/26 21:33:35.812:ENFORCEMENT:Reactive Enforcement Action:  Target Number: 000100D4  Target Speed:  70.0  Current Speed:  75.0</t>
  </si>
  <si>
    <t>SYS :2016/11/26 21:33:35.927:ENFORCEMENT:Reactive Enforcement Action:  Target Number: 00010017  Target Speed:  70.0  Current Speed:  75.0</t>
  </si>
  <si>
    <t>SYS :2016/11/26 21:33:36.510:ENFORCEMENT:Reactive Enforcement Action:  Target Number: 000100D4  Target Speed:  70.0  Current Speed:  75.0</t>
  </si>
  <si>
    <t>SYS :2016/11/26 21:34:42.296:ENFORCEMENT:Predictive Enforcement Action:  Target Number: 0000101C  Target Speed:   0.0  Current Speed:   2.0</t>
  </si>
  <si>
    <t>SYS :2016/11/26 21:34:42.818:ENFORCEMENT:Predictive Enforcement Action:  Target Number: 0000101C  Target Speed:   0.0  Current Speed:   1.8</t>
  </si>
  <si>
    <t>SYS :2016/11/26 21:34:42.875:ENFORCEMENT:Predictive Enforcement Action:  Target Number: 0000101C  Target Speed:   0.0  Current Speed:   1.8</t>
  </si>
  <si>
    <t>SYS :2016/11/26 21:47:46.840:ENFORCEMENT:Predictive Enforcement Action:  Target Number: 00010135  Target Speed:  45.0  Current Speed:  68.0</t>
  </si>
  <si>
    <t>SYS :2016/11/26 21:47:46.886:ENFORCEMENT:Predictive Enforcement Action:  Target Number: 00010136  Target Speed:  45.0  Current Speed:  68.0</t>
  </si>
  <si>
    <t>SYS :2016/11/26 21:47:47.308:ENFORCEMENT:Predictive Enforcement Action:  Target Number: 00010135  Target Speed:  45.0  Current Speed:  68.0</t>
  </si>
  <si>
    <t>SYS :2016/11/26 21:52:32.288:ENFORCEMENT:Predictive Enforcement Action:  Target Number: 0000100F  Target Speed:   0.0  Current Speed:   5.6</t>
  </si>
  <si>
    <t>SYS :2016/11/26 21:52:32.822:ENFORCEMENT:Predictive Enforcement Action:  Target Number: 0000100F  Target Speed:   0.0  Current Speed:   5.5</t>
  </si>
  <si>
    <t>SYS :2016/11/26 21:52:32.870:ENFORCEMENT:Predictive Enforcement Action:  Target Number: 0000100F  Target Speed:   0.0  Current Speed:   5.5</t>
  </si>
  <si>
    <t>SYS :2016/11/26 22:31:06.697:ENFORCEMENT:Predictive Enforcement Action:  Target Number: 00006131  Target Speed:   0.0  Current Speed:  66.3</t>
  </si>
  <si>
    <t>SYS :2016/11/26 22:31:06.787:ENFORCEMENT:Predictive Enforcement Action:  Target Number: 00006132  Target Speed:   0.0  Current Speed:  66.8</t>
  </si>
  <si>
    <t>SYS :2016/11/26 22:31:07.189:ENFORCEMENT:Predictive Enforcement Action:  Target Number: 00006132  Target Speed:   0.0  Current Speed:  66.8</t>
  </si>
  <si>
    <t>SYS :2016/11/26 22:34:28.297:ENFORCEMENT:Predictive Enforcement Action:  Target Number: 0000101F  Target Speed:   0.0  Current Speed:   6.2</t>
  </si>
  <si>
    <t>SYS :2016/11/26 22:34:43.819:ENFORCEMENT:Predictive Enforcement Action:  Target Number: 0000101F  Target Speed:   0.0  Current Speed:   1.9</t>
  </si>
  <si>
    <t>SYS :2016/11/26 22:34:43.876:ENFORCEMENT:Predictive Enforcement Action:  Target Number: 0000101F  Target Speed:   0.0  Current Speed:   1.9</t>
  </si>
  <si>
    <t>SYS :2016/11/26 23:34:09.819:ENFORCEMENT:Predictive Enforcement Action:  Target Number: 00001022  Target Speed:   0.0  Current Speed:   3.1</t>
  </si>
  <si>
    <t>SYS :2016/11/26 23:34:09.876:ENFORCEMENT:Predictive Enforcement Action:  Target Number: 00001022  Target Speed:   0.0  Current Speed:   3.1</t>
  </si>
  <si>
    <t>SYS :2016/11/26 23:34:10.297:ENFORCEMENT:Predictive Enforcement Action:  Target Number: 00001022  Target Speed:   0.0  Current Speed:   2.9</t>
  </si>
  <si>
    <t>SYS :2016/11/26 23:43:26.111:ENFORCEMENT:Reactive Enforcement Action:  Target Number: 00010118  Target Speed:  15.0  Current Speed:  21.5</t>
  </si>
  <si>
    <t>SYS :2016/11/26 23:43:26.663:ENFORCEMENT:Reactive Enforcement Action:  Target Number: 00010118  Target Speed:  15.0  Current Speed:  21.5</t>
  </si>
  <si>
    <t>SYS :2016/11/26 23:43:26.996:ENFORCEMENT:Reactive Enforcement Action:  Target Number: 000100EF  Target Speed:  15.0  Current Speed:  21.5</t>
  </si>
  <si>
    <t>SYS :2016/11/27 01:34:16.296:ENFORCEMENT:Predictive Enforcement Action:  Target Number: 00001028  Target Speed:   0.0  Current Speed:   6.8</t>
  </si>
  <si>
    <t>SYS :2016/11/27 01:52:50.028:ENFORCEMENT:Predictive Enforcement Action:  Target Number: 000060C6  Target Speed:   0.0  Current Speed:   2.1</t>
  </si>
  <si>
    <t>SYS :2016/11/27 01:52:50.299:ENFORCEMENT:Predictive Enforcement Action:  Target Number: 0000602E  Target Speed:   0.0  Current Speed:   2.7</t>
  </si>
  <si>
    <t>SYS :2016/11/27 01:52:50.642:ENFORCEMENT:Predictive Enforcement Action:  Target Number: 000060B6  Target Speed:   0.0  Current Speed:   2.7</t>
  </si>
  <si>
    <t>SYS :2016/11/27 01:54:24.065:ENFORCEMENT:Predictive Enforcement Action:  Target Number: 00001027  Target Speed:   0.0  Current Speed:   3.4</t>
  </si>
  <si>
    <t>SYS :2016/11/27 01:54:24.632:ENFORCEMENT:Predictive Enforcement Action:  Target Number: 00001027  Target Speed:   0.0  Current Speed:   3.3</t>
  </si>
  <si>
    <t>SYS :2016/11/27 03:34:09.789:ENFORCEMENT:Predictive Enforcement Action:  Target Number: 00010168  Target Speed:  40.0  Current Speed:  46.7</t>
  </si>
  <si>
    <t>SYS :2016/11/27 03:34:10.633:ENFORCEMENT:Predictive Enforcement Action:  Target Number: 00010168  Target Speed:  40.0  Current Speed:  46.7</t>
  </si>
  <si>
    <t>SYS :2016/11/27 03:34:31.822:ENFORCEMENT:Predictive Enforcement Action:  Target Number: 0000102D  Target Speed:   0.0  Current Speed:   5.0</t>
  </si>
  <si>
    <t>SYS :2016/11/27 03:34:31.878:ENFORCEMENT:Predictive Enforcement Action:  Target Number: 0000102D  Target Speed:   0.0  Current Speed:   5.0</t>
  </si>
  <si>
    <t>SYS :2016/11/27 03:42:40.775:ENFORCEMENT:Predictive Enforcement Action:  Target Number: 000062A9  Target Speed:   0.0  Current Speed:  34.9</t>
  </si>
  <si>
    <t>SYS :2016/11/27 03:42:41.609:ENFORCEMENT:Predictive Enforcement Action:  Target Number: 000062A8  Target Speed:   0.0  Current Speed:  34.9</t>
  </si>
  <si>
    <t>SYS :2016/11/27 03:51:59.645:ENFORCEMENT:Predictive Enforcement Action:  Target Number: 0001017E  Target Speed:  20.0  Current Speed:  26.7</t>
  </si>
  <si>
    <t>SYS :2016/11/27 04:37:12.162:ENFORCEMENT:Predictive Enforcement Action:  Target Number: 0000101C  Target Speed:   0.0  Current Speed:   5.3</t>
  </si>
  <si>
    <t>SYS :2016/11/27 04:37:12.477:ENFORCEMENT:Predictive Enforcement Action:  Target Number: 0000101C  Target Speed:   0.0  Current Speed:   5.3</t>
  </si>
  <si>
    <t>SYS :2016/11/27 04:39:40.883:ENFORCEMENT:Reactive Enforcement Action:  Target Number: 000170D0  Target Speed:  30.0  Current Speed:  35.3</t>
  </si>
  <si>
    <t>SYS :2016/11/27 04:51:46.884:ENFORCEMENT:Predictive Enforcement Action:  Target Number: 00010010  Target Speed:  20.0  Current Speed:  35.2</t>
  </si>
  <si>
    <t>SYS :2016/11/27 04:54:27.068:ENFORCEMENT:Predictive Enforcement Action:  Target Number: 00001030  Target Speed:   0.0  Current Speed:   4.8</t>
  </si>
  <si>
    <t>SYS :2016/11/27 05:57:42.512:ENFORCEMENT:Reactive Enforcement Action:  Target Number: 00010155  Target Speed:  35.0  Current Speed:  40.0</t>
  </si>
  <si>
    <t>SYS :2016/11/27 05:57:43.169:ENFORCEMENT:Reactive Enforcement Action:  Target Number: 00010155  Target Speed:  35.0  Current Speed:  40.0</t>
  </si>
  <si>
    <t>SYS :2016/11/27 05:57:44.096:ENFORCEMENT:Reactive Enforcement Action:  Target Number: 0001013B  Target Speed:  35.0  Current Speed:  40.0</t>
  </si>
  <si>
    <t>SYS :2016/11/27 06:41:09.833:ENFORCEMENT:Predictive Enforcement Action:  Target Number: 00006330  Target Speed:   0.0  Current Speed:  31.8</t>
  </si>
  <si>
    <t>SYS :2016/11/27 06:41:10.327:ENFORCEMENT:Predictive Enforcement Action:  Target Number: 00006329  Target Speed:   0.0  Current Speed:  31.8</t>
  </si>
  <si>
    <t>CPU3 commanded braking, other 2 did not</t>
  </si>
  <si>
    <t>Banner without braking</t>
  </si>
  <si>
    <t>2016-11-26 10:57:48 2087 Locomotive State: Failed (7) | Fault Name Text: EBI: Card Fault | Fault Name Text: EBI: Card Fault | Fault Name Text: TMC: Multiple CPU Faults</t>
  </si>
  <si>
    <t>See logs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</si>
</sst>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3be8f818-4848-4276-bcb1-51bd69dcd7bb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4"/>
  <sheetViews>
    <sheetView tabSelected="1" workbookViewId="0">
      <selection activeCell="R70" sqref="R70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42700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42700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COUNTIFS($N$13:$N$9378,"&gt;0",$AG$13:$AG$9378,I1)</f>
        <v>140</v>
      </c>
      <c r="K5" s="44"/>
      <c r="L5" s="44"/>
      <c r="M5" s="45">
        <f>AVERAGEIFS($N$13:$N$9378,$AG$13:$AG$9378,I1)</f>
        <v>37.833928571681362</v>
      </c>
      <c r="N5" s="43">
        <f t="array" ref="N5">MIN(IF($AG$13:$AG$9378=I1,IF(ISNUMBER($N$13:$N$9378),IF($N$13:$N$9378&gt;0,$N$13:$N$9378))))</f>
        <v>34.566666668979451</v>
      </c>
      <c r="O5" s="3">
        <f t="array" ref="O5">MAX(IF($AG$13:$AG$9378=I1,IF(ISNUMBER($N$13:$N$9378),IF($N$13:$N$9378&gt;0,$N$13:$N$9378))))</f>
        <v>45.466666670981795</v>
      </c>
      <c r="P5" s="2"/>
      <c r="R5" s="80" t="s">
        <v>17</v>
      </c>
      <c r="S5" s="55">
        <f>COUNTIFS($N$13:$N$9378,"&gt;0",$AG$13:$AG$9378,R1)</f>
        <v>34</v>
      </c>
      <c r="T5" s="44"/>
      <c r="U5" s="169"/>
      <c r="V5" s="45">
        <f>AVERAGEIFS($N$13:$N$9378,$AG$13:$AG$9378,R1)</f>
        <v>14.528921569033306</v>
      </c>
      <c r="W5" s="43">
        <f t="array" ref="W5">MIN(IF($AG$13:$AG$9378=R1,IF(ISNUMBER($N$13:$N$9378),IF($N$13:$N$9378&gt;0,$N$13:$N$9378))))</f>
        <v>12.716666674241424</v>
      </c>
      <c r="X5" s="173">
        <f t="array" ref="X5">MAX(IF($AG$13:$AG$9378=R1,IF(ISNUMBER($N$13:$N$9378),IF($N$13:$N$9378&gt;0,$N$13:$N$9378))))</f>
        <v>18.399999995017424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COUNT($O$13:$O$156)</f>
        <v>0</v>
      </c>
      <c r="K6" s="44"/>
      <c r="L6" s="44"/>
      <c r="M6" s="45">
        <f>IFERROR(AVERAGE($O$13:$O$156),0)</f>
        <v>0</v>
      </c>
      <c r="N6" s="43">
        <f>MIN($O$13:$O$156)</f>
        <v>0</v>
      </c>
      <c r="O6" s="3">
        <f>MAX($O$13:$O$156)</f>
        <v>0</v>
      </c>
      <c r="P6" s="2"/>
      <c r="R6" s="81" t="s">
        <v>43</v>
      </c>
      <c r="S6" s="55">
        <f>COUNT($O$13:$O$156)</f>
        <v>0</v>
      </c>
      <c r="T6" s="44"/>
      <c r="U6" s="169"/>
      <c r="V6" s="45">
        <f>IFERROR(AVERAGE($O$13:$O$156),0)</f>
        <v>0</v>
      </c>
      <c r="W6" s="43">
        <f>MIN($O$13:$O$156)</f>
        <v>0</v>
      </c>
      <c r="X6" s="173">
        <f>MAX($O$13:$O$156)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COUNTIFS($P$13:$P$9378,"&gt;0",$AG$13:$AG$9378,I1)</f>
        <v>6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COUNTIFS($P$13:$P$9378,"&gt;0",$AG$13:$AG$9378,R1)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37.833928571681362</v>
      </c>
      <c r="N8" s="43">
        <f>N5</f>
        <v>34.566666668979451</v>
      </c>
      <c r="O8" s="3">
        <f>O5</f>
        <v>45.466666670981795</v>
      </c>
      <c r="P8" s="2"/>
      <c r="R8" s="80" t="s">
        <v>16</v>
      </c>
      <c r="S8" s="55">
        <f>S5</f>
        <v>34</v>
      </c>
      <c r="T8" s="44"/>
      <c r="U8" s="169"/>
      <c r="V8" s="45">
        <f>V5</f>
        <v>14.528921569033306</v>
      </c>
      <c r="W8" s="43">
        <f>W5</f>
        <v>12.716666674241424</v>
      </c>
      <c r="X8" s="173">
        <f>X5</f>
        <v>18.399999995017424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0.95890410958904104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- 2016-11-26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AVERAGE(S13:S104)</f>
        <v>0.9859550561797753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423</v>
      </c>
      <c r="B13" s="7">
        <v>4029</v>
      </c>
      <c r="C13" s="22" t="s">
        <v>216</v>
      </c>
      <c r="D13" s="22" t="s">
        <v>606</v>
      </c>
      <c r="E13" s="13">
        <v>42700.132453703707</v>
      </c>
      <c r="F13" s="13">
        <v>42700.135729166665</v>
      </c>
      <c r="G13" s="7">
        <v>1</v>
      </c>
      <c r="H13" s="22" t="s">
        <v>607</v>
      </c>
      <c r="I13" s="13">
        <v>42700.160949074074</v>
      </c>
      <c r="J13" s="7">
        <v>0</v>
      </c>
      <c r="K13" s="109" t="str">
        <f t="shared" ref="K13:K77" si="0">IF(ISEVEN(B13),(B13-1)&amp;"/"&amp;B13,B13&amp;"/"&amp;(B13+1))</f>
        <v>4029/4030</v>
      </c>
      <c r="L13" s="22" t="str">
        <f>VLOOKUP(A13,'Trips&amp;Operators'!$C$1:$E$10000,3,FALSE)</f>
        <v>MAELZER</v>
      </c>
      <c r="M13" s="6">
        <f t="shared" ref="M13:M77" si="1">I13-F13</f>
        <v>2.5219907409336884E-2</v>
      </c>
      <c r="N13" s="7">
        <f t="shared" ref="N13:P77" si="2">24*60*SUM($M13:$M13)</f>
        <v>36.316666669445112</v>
      </c>
      <c r="O13" s="7"/>
      <c r="P13" s="7"/>
      <c r="Q13" s="23"/>
      <c r="R13" s="23"/>
      <c r="S13" s="35">
        <f t="shared" ref="S13:S77" si="3">SUM(U13:U13)/IF(AG13="EC",12,1)</f>
        <v>1</v>
      </c>
      <c r="T13" s="50" t="str">
        <f t="shared" ref="T13:T77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https://search-rtdc-monitor-bjffxe2xuh6vdkpspy63sjmuny.us-east-1.es.amazonaws.com/_plugin/kibana/#/discover/Steve-Slow-Train-Analysis-(2080s-and-2083s)?_g=(refreshInterval:(display:Off,section:0,value:0),time:(from:'2016-11-26 02:10:44-700',mode:absolute,to:'2016-11-26 04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" s="52" t="str">
        <f t="shared" ref="W13:W77" si="6">IF(AA13&lt;IF(AG13="EC",23,5.65),"Y","N")</f>
        <v>N</v>
      </c>
      <c r="X13" s="177" t="e">
        <f t="shared" ref="X13:X77" si="7">VALUE(LEFT(AD13,4))-VALUE(LEFT(AD12,4))</f>
        <v>#VALUE!</v>
      </c>
      <c r="Y13" s="67">
        <f t="shared" ref="Y13:Y77" si="8">RIGHT(D13,LEN(D13)-4)/10000</f>
        <v>7.9500000000000001E-2</v>
      </c>
      <c r="Z13" s="67">
        <f t="shared" ref="Z13:Z77" si="9">RIGHT(H13,LEN(H13)-4)/10000</f>
        <v>23.335100000000001</v>
      </c>
      <c r="AA13" s="67">
        <f t="shared" ref="AA13:AA77" si="10">ABS(Z13-Y13)</f>
        <v>23.255600000000001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7" si="11">IF(LEN(A13)=6,"0"&amp;A13,A13)</f>
        <v>0101-26</v>
      </c>
      <c r="AE13" s="91" t="str">
        <f t="shared" ref="AE13:AE77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13" s="88" t="str">
        <f t="shared" ref="AF13:AF77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/stypes="app*4029*20161126*" /stext=" 10:.+((SYSTEM_STATE.+slice.+state.+changed )|(ment ac)|(multiple cpu faults)|(system.+state.+changed )|(\[timeout)|(PRM\|1\|D)|(kpr)|(kdp)|(\|lc)|(penalty))" /e /r /s</v>
      </c>
      <c r="AG13" s="1" t="str">
        <f t="shared" ref="AG13:AG77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4029 --swversion DE.1.0.8.0 --startMP 204:795 --initTime 2016-11-26T03:10:44 --startdatetime 2016-11-26T03:15:27 --delay 1 --endMP 204:233351 --enddatetime 2016-11-26T03:51:46 --enforcementcount 0 &gt;&gt;C:\Users\stu\Documents\GitHub\eaglep3-reporting\EC\2016-11-26-refined-times.txt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{"issue":{"subject":"","project_id":79,"tracker_id":40,"status_id":1,"priority_id":2,"assigned_to_id":23,"start_date":"2016-11-26","description":"","custom_fields":[{"id":1,"name":"Subdivision","value":"EC"},{"id":4,"name":"Milepost","value":"23.3351"},{"id":17,"name":"Train ID","value":"101-26"},{"id":16,"name":"Locomotive ID","value":"4029"},{"id":130,"name":"Impact","value":""},{"id":150,"name":"Time of Event (Mountain Time)","value":"03:51:46"},{"id":151,"name":"Denver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426</v>
      </c>
      <c r="B14" s="7">
        <v>4043</v>
      </c>
      <c r="C14" s="22" t="s">
        <v>216</v>
      </c>
      <c r="D14" s="22" t="s">
        <v>608</v>
      </c>
      <c r="E14" s="13">
        <v>42700.168449074074</v>
      </c>
      <c r="F14" s="13">
        <v>42700.17459490741</v>
      </c>
      <c r="G14" s="7">
        <v>1</v>
      </c>
      <c r="H14" s="22" t="s">
        <v>175</v>
      </c>
      <c r="I14" s="13">
        <v>42700.20045138889</v>
      </c>
      <c r="J14" s="7">
        <v>0</v>
      </c>
      <c r="K14" s="109" t="str">
        <f t="shared" si="0"/>
        <v>4043/4044</v>
      </c>
      <c r="L14" s="22" t="str">
        <f>VLOOKUP(A14,'Trips&amp;Operators'!$C$1:$E$10000,3,FALSE)</f>
        <v>MAELZER</v>
      </c>
      <c r="M14" s="6">
        <f t="shared" si="1"/>
        <v>2.5856481479422655E-2</v>
      </c>
      <c r="N14" s="7">
        <f t="shared" si="2"/>
        <v>37.233333330368623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03:02:34-700',mode:absolute,to:'2016-11-26 05:48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23.271699999999999</v>
      </c>
      <c r="Z14" s="67">
        <f t="shared" si="9"/>
        <v>1.52E-2</v>
      </c>
      <c r="AA14" s="67">
        <f t="shared" si="10"/>
        <v>23.256499999999999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0102-26</v>
      </c>
      <c r="AE14" s="91" t="str">
        <f t="shared" si="12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14" s="88" t="str">
        <f t="shared" si="13"/>
        <v>"C:\Program Files (x86)\AstroGrep\AstroGrep.exe" /spath="%USERPROFILE%\AppData\Local\Temp\OnboardLogs" /stypes="app*4043*20161126*"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4043 --swversion DE.1.0.8.0 --startMP 204:232717 --initTime 2016-11-26T04:02:34 --startdatetime 2016-11-26T04:11:25 --delay 1 --endMP 204:152 --enddatetime 2016-11-26T04:48:39 --enforcementcount 0 &gt;&gt;C:\Users\stu\Documents\GitHub\eaglep3-reporting\EC\2016-11-26-refined-times.txt</v>
      </c>
      <c r="AI14" s="119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{"issue":{"subject":"","project_id":79,"tracker_id":40,"status_id":1,"priority_id":2,"assigned_to_id":23,"start_date":"2016-11-26","description":"","custom_fields":[{"id":1,"name":"Subdivision","value":"EC"},{"id":4,"name":"Milepost","value":"0.0152"},{"id":17,"name":"Train ID","value":"102-26"},{"id":16,"name":"Locomotive ID","value":"4043"},{"id":130,"name":"Impact","value":""},{"id":150,"name":"Time of Event (Mountain Time)","value":"04:48:39"},{"id":151,"name":"Denver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424</v>
      </c>
      <c r="B15" s="7">
        <v>4038</v>
      </c>
      <c r="C15" s="22" t="s">
        <v>216</v>
      </c>
      <c r="D15" s="22" t="s">
        <v>609</v>
      </c>
      <c r="E15" s="13">
        <v>42700.149861111109</v>
      </c>
      <c r="F15" s="13">
        <v>42700.156469907408</v>
      </c>
      <c r="G15" s="7">
        <v>1</v>
      </c>
      <c r="H15" s="22" t="s">
        <v>278</v>
      </c>
      <c r="I15" s="13">
        <v>42700.18173611111</v>
      </c>
      <c r="J15" s="7">
        <v>0</v>
      </c>
      <c r="K15" s="109" t="str">
        <f t="shared" si="0"/>
        <v>4037/4038</v>
      </c>
      <c r="L15" s="22" t="str">
        <f>VLOOKUP(A15,'Trips&amp;Operators'!$C$1:$E$10000,3,FALSE)</f>
        <v>ROBINSON</v>
      </c>
      <c r="M15" s="6">
        <f t="shared" si="1"/>
        <v>2.5266203701903578E-2</v>
      </c>
      <c r="N15" s="7">
        <f t="shared" si="2"/>
        <v>36.383333330741152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02:35:48-700',mode:absolute,to:'2016-11-26 05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7.3700000000000002E-2</v>
      </c>
      <c r="Z15" s="67">
        <f t="shared" si="9"/>
        <v>23.3306</v>
      </c>
      <c r="AA15" s="67">
        <f t="shared" si="10"/>
        <v>23.256900000000002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0103-26</v>
      </c>
      <c r="AE15" s="91" t="str">
        <f t="shared" si="12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15" s="88" t="str">
        <f t="shared" si="13"/>
        <v>"C:\Program Files (x86)\AstroGrep\AstroGrep.exe" /spath="%USERPROFILE%\AppData\Local\Temp\OnboardLogs" /stypes="app*4038*20161126*"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103-26 --locoid 4038 --swversion DE.1.0.8.0 --startMP 204:737 --initTime 2016-11-26T03:35:48 --startdatetime 2016-11-26T03:45:19 --delay 1 --endMP 204:233306 --enddatetime 2016-11-26T04:21:42 --enforcementcount 0 &gt;&gt;C:\Users\stu\Documents\GitHub\eaglep3-reporting\EC\2016-11-26-refined-times.txt</v>
      </c>
      <c r="AI15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{"issue":{"subject":"","project_id":79,"tracker_id":40,"status_id":1,"priority_id":2,"assigned_to_id":23,"start_date":"2016-11-26","description":"","custom_fields":[{"id":1,"name":"Subdivision","value":"EC"},{"id":4,"name":"Milepost","value":"23.3306"},{"id":17,"name":"Train ID","value":"103-26"},{"id":16,"name":"Locomotive ID","value":"4038"},{"id":130,"name":"Impact","value":""},{"id":150,"name":"Time of Event (Mountain Time)","value":"04:21:42"},{"id":151,"name":"Denver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431</v>
      </c>
      <c r="B16" s="7">
        <v>4010</v>
      </c>
      <c r="C16" s="22" t="s">
        <v>216</v>
      </c>
      <c r="D16" s="22" t="s">
        <v>308</v>
      </c>
      <c r="E16" s="13">
        <v>42700.186655092592</v>
      </c>
      <c r="F16" s="13">
        <v>42700.195671296293</v>
      </c>
      <c r="G16" s="7">
        <v>1</v>
      </c>
      <c r="H16" s="22" t="s">
        <v>610</v>
      </c>
      <c r="I16" s="13">
        <v>42700.222025462965</v>
      </c>
      <c r="J16" s="7">
        <v>0</v>
      </c>
      <c r="K16" s="109" t="str">
        <f t="shared" si="0"/>
        <v>4009/4010</v>
      </c>
      <c r="L16" s="22" t="str">
        <f>VLOOKUP(A16,'Trips&amp;Operators'!$C$1:$E$10000,3,FALSE)</f>
        <v>ROBINSON</v>
      </c>
      <c r="M16" s="6">
        <f t="shared" si="1"/>
        <v>2.6354166671808343E-2</v>
      </c>
      <c r="N16" s="7">
        <f t="shared" si="2"/>
        <v>37.950000007404014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03:28:47-700',mode:absolute,to:'2016-11-26 06:19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23.267199999999999</v>
      </c>
      <c r="Z16" s="67">
        <f t="shared" si="9"/>
        <v>9.7999999999999997E-3</v>
      </c>
      <c r="AA16" s="67">
        <f t="shared" si="10"/>
        <v>23.257400000000001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0104-26</v>
      </c>
      <c r="AE16" s="91" t="str">
        <f t="shared" si="12"/>
        <v>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 &amp; 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</v>
      </c>
      <c r="AF16" s="88" t="str">
        <f t="shared" si="13"/>
        <v>"C:\Program Files (x86)\AstroGrep\AstroGrep.exe" /spath="%USERPROFILE%\AppData\Local\Temp\OnboardLogs" /stypes="app*4010*20161126*"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104-26 --locoid 4010 --swversion DE.1.0.8.0 --startMP 204:232672 --initTime 2016-11-26T04:28:47 --startdatetime 2016-11-26T04:41:46 --delay 1 --endMP 204:98 --enddatetime 2016-11-26T05:19:43 --enforcementcount 0 &gt;&gt;C:\Users\stu\Documents\GitHub\eaglep3-reporting\EC\2016-11-26-refined-times.txt</v>
      </c>
      <c r="AI16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{"issue":{"subject":"","project_id":79,"tracker_id":40,"status_id":1,"priority_id":2,"assigned_to_id":23,"start_date":"2016-11-26","description":"","custom_fields":[{"id":1,"name":"Subdivision","value":"EC"},{"id":4,"name":"Milepost","value":"0.0098"},{"id":17,"name":"Train ID","value":"104-26"},{"id":16,"name":"Locomotive ID","value":"4010"},{"id":130,"name":"Impact","value":""},{"id":150,"name":"Time of Event (Mountain Time)","value":"05:19:43"},{"id":151,"name":"Denver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428</v>
      </c>
      <c r="B17" s="7">
        <v>4031</v>
      </c>
      <c r="C17" s="22" t="s">
        <v>216</v>
      </c>
      <c r="D17" s="22" t="s">
        <v>611</v>
      </c>
      <c r="E17" s="13">
        <v>42700.174328703702</v>
      </c>
      <c r="F17" s="13">
        <v>42700.177291666667</v>
      </c>
      <c r="G17" s="7">
        <v>2</v>
      </c>
      <c r="H17" s="22" t="s">
        <v>612</v>
      </c>
      <c r="I17" s="13">
        <v>42700.202847222223</v>
      </c>
      <c r="J17" s="7">
        <v>0</v>
      </c>
      <c r="K17" s="109" t="str">
        <f t="shared" si="0"/>
        <v>4031/4032</v>
      </c>
      <c r="L17" s="22" t="str">
        <f>VLOOKUP(A17,'Trips&amp;Operators'!$C$1:$E$10000,3,FALSE)</f>
        <v>ACKERMAN</v>
      </c>
      <c r="M17" s="6">
        <f t="shared" si="1"/>
        <v>2.5555555555911269E-2</v>
      </c>
      <c r="N17" s="7">
        <f t="shared" si="2"/>
        <v>36.800000000512227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03:11:02-700',mode:absolute,to:'2016-11-26 05:52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7.17E-2</v>
      </c>
      <c r="Z17" s="67">
        <f t="shared" si="9"/>
        <v>23.337399999999999</v>
      </c>
      <c r="AA17" s="67">
        <f t="shared" si="10"/>
        <v>23.265699999999999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0105-26</v>
      </c>
      <c r="AE17" s="91" t="str">
        <f t="shared" si="12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17" s="88" t="str">
        <f t="shared" si="13"/>
        <v>"C:\Program Files (x86)\AstroGrep\AstroGrep.exe" /spath="%USERPROFILE%\AppData\Local\Temp\OnboardLogs" /stypes="app*4031*20161126*"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105-26 --locoid 4031 --swversion DE.1.0.8.0 --startMP 204:717 --initTime 2016-11-26T04:11:02 --startdatetime 2016-11-26T04:15:18 --delay 2 --endMP 204:233374 --enddatetime 2016-11-26T04:52:06 --enforcementcount 0 &gt;&gt;C:\Users\stu\Documents\GitHub\eaglep3-reporting\EC\2016-11-26-refined-times.txt</v>
      </c>
      <c r="AI17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{"issue":{"subject":"","project_id":79,"tracker_id":40,"status_id":1,"priority_id":2,"assigned_to_id":23,"start_date":"2016-11-26","description":"","custom_fields":[{"id":1,"name":"Subdivision","value":"EC"},{"id":4,"name":"Milepost","value":"23.3374"},{"id":17,"name":"Train ID","value":"105-26"},{"id":16,"name":"Locomotive ID","value":"4031"},{"id":130,"name":"Impact","value":""},{"id":150,"name":"Time of Event (Mountain Time)","value":"04:52:06"},{"id":151,"name":"Denver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394</v>
      </c>
      <c r="B18" s="7">
        <v>4026</v>
      </c>
      <c r="C18" s="22" t="s">
        <v>216</v>
      </c>
      <c r="D18" s="22" t="s">
        <v>613</v>
      </c>
      <c r="E18" s="13">
        <v>42700.209918981483</v>
      </c>
      <c r="F18" s="13">
        <v>42700.216203703705</v>
      </c>
      <c r="G18" s="7">
        <v>1</v>
      </c>
      <c r="H18" s="22" t="s">
        <v>614</v>
      </c>
      <c r="I18" s="13">
        <v>42700.242800925924</v>
      </c>
      <c r="J18" s="7">
        <v>1</v>
      </c>
      <c r="K18" s="109" t="str">
        <f t="shared" si="0"/>
        <v>4025/4026</v>
      </c>
      <c r="L18" s="22" t="str">
        <f>VLOOKUP(A18,'Trips&amp;Operators'!$C$1:$E$10000,3,FALSE)</f>
        <v>ACKERMAN</v>
      </c>
      <c r="M18" s="6">
        <f t="shared" si="1"/>
        <v>2.6597222218697425E-2</v>
      </c>
      <c r="N18" s="7">
        <f t="shared" si="2"/>
        <v>38.299999994924292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04:02:17-700',mode:absolute,to:'2016-11-26 06:49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23.273599999999998</v>
      </c>
      <c r="Z18" s="67">
        <f t="shared" si="9"/>
        <v>1.1900000000000001E-2</v>
      </c>
      <c r="AA18" s="67">
        <f t="shared" si="10"/>
        <v>23.261699999999998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0106-26</v>
      </c>
      <c r="AE18" s="91" t="str">
        <f t="shared" si="12"/>
        <v>aws s3 cp s3://rtdc.mdm.uploadarchive.raw/RTDC4026/ "%USERPROFILE%\AppData\Local\Temp\OnboardLogs"\RTDC4026\2016-11-26 --exclude "*" --recursive --include "*20161126*" &amp; "%USERPROFILE%\Documents\GitHub\mrs-test-scripts\Headless Mode &amp; Sideloading\WalkAndUnGZ.bat" "%USERPROFILE%\AppData\Local\Temp\OnboardLogs"\RTDC4026\2016-11-26 &amp; 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</v>
      </c>
      <c r="AF18" s="88" t="str">
        <f t="shared" si="13"/>
        <v>"C:\Program Files (x86)\AstroGrep\AstroGrep.exe" /spath="%USERPROFILE%\AppData\Local\Temp\OnboardLogs" /stypes="app*4026*20161126*"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106-26 --locoid 4026 --swversion DE.1.0.8.0 --startMP 204:232736 --initTime 2016-11-26T05:02:17 --startdatetime 2016-11-26T05:11:20 --delay 1 --endMP 204:119 --enddatetime 2016-11-26T05:49:38 --enforcementcount 1 &gt;&gt;C:\Users\stu\Documents\GitHub\eaglep3-reporting\EC\2016-11-26-refined-times.txt</v>
      </c>
      <c r="AI18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{"issue":{"subject":"","project_id":79,"tracker_id":40,"status_id":1,"priority_id":2,"assigned_to_id":23,"start_date":"2016-11-26","description":"","custom_fields":[{"id":1,"name":"Subdivision","value":"EC"},{"id":4,"name":"Milepost","value":"0.0119"},{"id":17,"name":"Train ID","value":"106-26"},{"id":16,"name":"Locomotive ID","value":"4026"},{"id":130,"name":"Impact","value":""},{"id":150,"name":"Time of Event (Mountain Time)","value":"05:49:38"},{"id":151,"name":"Denver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430</v>
      </c>
      <c r="B19" s="7">
        <v>4003</v>
      </c>
      <c r="C19" s="22" t="s">
        <v>216</v>
      </c>
      <c r="D19" s="22" t="s">
        <v>240</v>
      </c>
      <c r="E19" s="13">
        <v>42700.186076388891</v>
      </c>
      <c r="F19" s="13">
        <v>42700.187835648147</v>
      </c>
      <c r="G19" s="7">
        <v>1</v>
      </c>
      <c r="H19" s="22" t="s">
        <v>199</v>
      </c>
      <c r="I19" s="13">
        <v>42700.213993055557</v>
      </c>
      <c r="J19" s="7">
        <v>0</v>
      </c>
      <c r="K19" s="109" t="str">
        <f t="shared" si="0"/>
        <v>4003/4004</v>
      </c>
      <c r="L19" s="22" t="str">
        <f>VLOOKUP(A19,'Trips&amp;Operators'!$C$1:$E$10000,3,FALSE)</f>
        <v>DAVIS</v>
      </c>
      <c r="M19" s="6">
        <f t="shared" si="1"/>
        <v>2.6157407410209998E-2</v>
      </c>
      <c r="N19" s="7">
        <f t="shared" si="2"/>
        <v>37.666666670702398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03:27:57-700',mode:absolute,to:'2016-11-26 06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4.4900000000000002E-2</v>
      </c>
      <c r="Z19" s="67">
        <f t="shared" si="9"/>
        <v>23.329499999999999</v>
      </c>
      <c r="AA19" s="67">
        <f t="shared" si="10"/>
        <v>23.284600000000001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0107-26</v>
      </c>
      <c r="AE19" s="91" t="str">
        <f t="shared" si="12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19" s="88" t="str">
        <f t="shared" si="13"/>
        <v>"C:\Program Files (x86)\AstroGrep\AstroGrep.exe" /spath="%USERPROFILE%\AppData\Local\Temp\OnboardLogs" /stypes="app*4003*20161126*"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107-26 --locoid 4003 --swversion DE.1.0.8.0 --startMP 204:449 --initTime 2016-11-26T04:27:57 --startdatetime 2016-11-26T04:30:29 --delay 1 --endMP 204:233295 --enddatetime 2016-11-26T05:08:09 --enforcementcount 0 &gt;&gt;C:\Users\stu\Documents\GitHub\eaglep3-reporting\EC\2016-11-26-refined-times.txt</v>
      </c>
      <c r="AI19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{"issue":{"subject":"","project_id":79,"tracker_id":40,"status_id":1,"priority_id":2,"assigned_to_id":23,"start_date":"2016-11-26","description":"","custom_fields":[{"id":1,"name":"Subdivision","value":"EC"},{"id":4,"name":"Milepost","value":"23.3295"},{"id":17,"name":"Train ID","value":"107-26"},{"id":16,"name":"Locomotive ID","value":"4003"},{"id":130,"name":"Impact","value":""},{"id":150,"name":"Time of Event (Mountain Time)","value":"05:08:09"},{"id":151,"name":"Denver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436</v>
      </c>
      <c r="B20" s="7">
        <v>4004</v>
      </c>
      <c r="C20" s="22" t="s">
        <v>216</v>
      </c>
      <c r="D20" s="22" t="s">
        <v>615</v>
      </c>
      <c r="E20" s="13">
        <v>42700.220219907409</v>
      </c>
      <c r="F20" s="13">
        <v>42700.226550925923</v>
      </c>
      <c r="G20" s="7">
        <v>1</v>
      </c>
      <c r="H20" s="22" t="s">
        <v>315</v>
      </c>
      <c r="I20" s="13">
        <v>42700.254849537036</v>
      </c>
      <c r="J20" s="7">
        <v>0</v>
      </c>
      <c r="K20" s="109" t="str">
        <f t="shared" si="0"/>
        <v>4003/4004</v>
      </c>
      <c r="L20" s="22" t="str">
        <f>VLOOKUP(A20,'Trips&amp;Operators'!$C$1:$E$10000,3,FALSE)</f>
        <v>DAVIS</v>
      </c>
      <c r="M20" s="6">
        <f t="shared" si="1"/>
        <v>2.8298611112404615E-2</v>
      </c>
      <c r="N20" s="7">
        <f t="shared" si="2"/>
        <v>40.750000001862645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04:17:07-700',mode:absolute,to:'2016-11-26 07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23.298999999999999</v>
      </c>
      <c r="Z20" s="67">
        <f t="shared" si="9"/>
        <v>1.29E-2</v>
      </c>
      <c r="AA20" s="67">
        <f t="shared" si="10"/>
        <v>23.286100000000001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0108-26</v>
      </c>
      <c r="AE20" s="91" t="str">
        <f t="shared" si="12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20" s="88" t="str">
        <f t="shared" si="13"/>
        <v>"C:\Program Files (x86)\AstroGrep\AstroGrep.exe" /spath="%USERPROFILE%\AppData\Local\Temp\OnboardLogs" /stypes="app*4004*20161126*"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108-26 --locoid 4004 --swversion DE.1.0.8.0 --startMP 204:232990 --initTime 2016-11-26T05:17:07 --startdatetime 2016-11-26T05:26:14 --delay 1 --endMP 204:129 --enddatetime 2016-11-26T06:06:59 --enforcementcount 0 &gt;&gt;C:\Users\stu\Documents\GitHub\eaglep3-reporting\EC\2016-11-26-refined-times.txt</v>
      </c>
      <c r="AI20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{"issue":{"subject":"","project_id":79,"tracker_id":40,"status_id":1,"priority_id":2,"assigned_to_id":23,"start_date":"2016-11-26","description":"","custom_fields":[{"id":1,"name":"Subdivision","value":"EC"},{"id":4,"name":"Milepost","value":"0.0129"},{"id":17,"name":"Train ID","value":"108-26"},{"id":16,"name":"Locomotive ID","value":"4004"},{"id":130,"name":"Impact","value":""},{"id":150,"name":"Time of Event (Mountain Time)","value":"06:06:59"},{"id":151,"name":"Denver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432</v>
      </c>
      <c r="B21" s="7">
        <v>4046</v>
      </c>
      <c r="C21" s="22" t="s">
        <v>216</v>
      </c>
      <c r="D21" s="22" t="s">
        <v>269</v>
      </c>
      <c r="E21" s="13">
        <v>42700.189918981479</v>
      </c>
      <c r="F21" s="13">
        <v>42700.198113425926</v>
      </c>
      <c r="G21" s="7">
        <v>1</v>
      </c>
      <c r="H21" s="22" t="s">
        <v>616</v>
      </c>
      <c r="I21" s="13">
        <v>42700.222708333335</v>
      </c>
      <c r="J21" s="7">
        <v>0</v>
      </c>
      <c r="K21" s="109" t="str">
        <f t="shared" si="0"/>
        <v>4045/4046</v>
      </c>
      <c r="L21" s="22" t="str">
        <f>VLOOKUP(A21,'Trips&amp;Operators'!$C$1:$E$10000,3,FALSE)</f>
        <v>KILLION</v>
      </c>
      <c r="M21" s="6">
        <f t="shared" si="1"/>
        <v>2.4594907408754807E-2</v>
      </c>
      <c r="N21" s="7">
        <f t="shared" si="2"/>
        <v>35.416666668606922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03:33:29-700',mode:absolute,to:'2016-11-26 06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4.5699999999999998E-2</v>
      </c>
      <c r="Z21" s="67">
        <f t="shared" si="9"/>
        <v>23.331</v>
      </c>
      <c r="AA21" s="67">
        <f t="shared" si="10"/>
        <v>23.285299999999999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0109-26</v>
      </c>
      <c r="AE21" s="91" t="str">
        <f t="shared" si="12"/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AF21" s="88" t="str">
        <f t="shared" si="13"/>
        <v>"C:\Program Files (x86)\AstroGrep\AstroGrep.exe" /spath="%USERPROFILE%\AppData\Local\Temp\OnboardLogs" /stypes="app*4046*20161126*"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109-26 --locoid 4046 --swversion DE.1.0.8.0 --startMP 204:457 --initTime 2016-11-26T04:33:29 --startdatetime 2016-11-26T04:45:17 --delay 1 --endMP 204:233310 --enddatetime 2016-11-26T05:20:42 --enforcementcount 0 &gt;&gt;C:\Users\stu\Documents\GitHub\eaglep3-reporting\EC\2016-11-26-refined-times.txt</v>
      </c>
      <c r="AI21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{"issue":{"subject":"","project_id":79,"tracker_id":40,"status_id":1,"priority_id":2,"assigned_to_id":23,"start_date":"2016-11-26","description":"","custom_fields":[{"id":1,"name":"Subdivision","value":"EC"},{"id":4,"name":"Milepost","value":"23.331"},{"id":17,"name":"Train ID","value":"109-26"},{"id":16,"name":"Locomotive ID","value":"4046"},{"id":130,"name":"Impact","value":""},{"id":150,"name":"Time of Event (Mountain Time)","value":"05:20:42"},{"id":151,"name":"Denver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395</v>
      </c>
      <c r="B22" s="7">
        <v>4045</v>
      </c>
      <c r="C22" s="22" t="s">
        <v>216</v>
      </c>
      <c r="D22" s="22" t="s">
        <v>209</v>
      </c>
      <c r="E22" s="13">
        <v>42700.233564814815</v>
      </c>
      <c r="F22" s="13">
        <v>42700.236979166664</v>
      </c>
      <c r="G22" s="7">
        <v>1</v>
      </c>
      <c r="H22" s="22" t="s">
        <v>218</v>
      </c>
      <c r="I22" s="13">
        <v>42700.263703703706</v>
      </c>
      <c r="J22" s="7">
        <v>1</v>
      </c>
      <c r="K22" s="109" t="str">
        <f t="shared" si="0"/>
        <v>4045/4046</v>
      </c>
      <c r="L22" s="22" t="str">
        <f>VLOOKUP(A22,'Trips&amp;Operators'!$C$1:$E$10000,3,FALSE)</f>
        <v>KILLION</v>
      </c>
      <c r="M22" s="6">
        <f t="shared" si="1"/>
        <v>2.6724537041445728E-2</v>
      </c>
      <c r="N22" s="7">
        <f t="shared" si="2"/>
        <v>38.483333339681849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04:36:20-700',mode:absolute,to:'2016-11-26 07:19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23.297699999999999</v>
      </c>
      <c r="Z22" s="67">
        <f t="shared" si="9"/>
        <v>1.5800000000000002E-2</v>
      </c>
      <c r="AA22" s="67">
        <f t="shared" si="10"/>
        <v>23.2819</v>
      </c>
      <c r="AB22" s="64" t="str">
        <f>VLOOKUP(A22,Enforcements!$C$7:$K$20,8,0)</f>
        <v>Bulletin (2)</v>
      </c>
      <c r="AC22" s="60" t="str">
        <f>VLOOKUP(A22,Enforcements!$C$7:$E$20,3,0)</f>
        <v>TEMPORARY SPEED RESTRICTION</v>
      </c>
      <c r="AD22" s="61" t="str">
        <f t="shared" si="11"/>
        <v>0110-26</v>
      </c>
      <c r="AE22" s="91" t="str">
        <f t="shared" si="12"/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AF22" s="88" t="str">
        <f t="shared" si="13"/>
        <v>"C:\Program Files (x86)\AstroGrep\AstroGrep.exe" /spath="%USERPROFILE%\AppData\Local\Temp\OnboardLogs" /stypes="app*4045*20161126*"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110-26 --locoid 4045 --swversion DE.1.0.8.0 --startMP 204:232977 --initTime 2016-11-26T05:36:20 --startdatetime 2016-11-26T05:41:15 --delay 1 --endMP 204:158 --enddatetime 2016-11-26T06:19:44 --enforcementcount 1 &gt;&gt;C:\Users\stu\Documents\GitHub\eaglep3-reporting\EC\2016-11-26-refined-times.txt</v>
      </c>
      <c r="AI22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{"issue":{"subject":"","project_id":79,"tracker_id":40,"status_id":1,"priority_id":2,"assigned_to_id":23,"start_date":"2016-11-26","description":"","custom_fields":[{"id":1,"name":"Subdivision","value":"EC"},{"id":4,"name":"Milepost","value":"0.0158"},{"id":17,"name":"Train ID","value":"110-26"},{"id":16,"name":"Locomotive ID","value":"4045"},{"id":130,"name":"Impact","value":""},{"id":150,"name":"Time of Event (Mountain Time)","value":"06:19:44"},{"id":151,"name":"Denver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433</v>
      </c>
      <c r="B23" s="7">
        <v>4029</v>
      </c>
      <c r="C23" s="22" t="s">
        <v>216</v>
      </c>
      <c r="D23" s="22" t="s">
        <v>388</v>
      </c>
      <c r="E23" s="13">
        <v>42700.205520833333</v>
      </c>
      <c r="F23" s="13">
        <v>42700.208518518521</v>
      </c>
      <c r="G23" s="7">
        <v>4</v>
      </c>
      <c r="H23" s="22" t="s">
        <v>365</v>
      </c>
      <c r="I23" s="13">
        <v>42700.233113425929</v>
      </c>
      <c r="J23" s="7">
        <v>0</v>
      </c>
      <c r="K23" s="109" t="str">
        <f t="shared" si="0"/>
        <v>4029/4030</v>
      </c>
      <c r="L23" s="22" t="str">
        <f>VLOOKUP(A23,'Trips&amp;Operators'!$C$1:$E$10000,3,FALSE)</f>
        <v>GEBRETEKLE</v>
      </c>
      <c r="M23" s="6">
        <f t="shared" si="1"/>
        <v>2.4594907408754807E-2</v>
      </c>
      <c r="N23" s="7">
        <f t="shared" si="2"/>
        <v>35.416666668606922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03:55:57-700',mode:absolute,to:'2016-11-26 06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7.3400000000000007E-2</v>
      </c>
      <c r="Z23" s="67">
        <f t="shared" si="9"/>
        <v>23.3291</v>
      </c>
      <c r="AA23" s="67">
        <f t="shared" si="10"/>
        <v>23.255700000000001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0111-26</v>
      </c>
      <c r="AE23" s="91" t="str">
        <f t="shared" si="12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23" s="88" t="str">
        <f t="shared" si="13"/>
        <v>"C:\Program Files (x86)\AstroGrep\AstroGrep.exe" /spath="%USERPROFILE%\AppData\Local\Temp\OnboardLogs" /stypes="app*4029*20161126*"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111-26 --locoid 4029 --swversion DE.1.0.8.0 --startMP 204:734 --initTime 2016-11-26T04:55:57 --startdatetime 2016-11-26T05:00:16 --delay 4 --endMP 204:233291 --enddatetime 2016-11-26T05:35:41 --enforcementcount 0 &gt;&gt;C:\Users\stu\Documents\GitHub\eaglep3-reporting\EC\2016-11-26-refined-times.txt</v>
      </c>
      <c r="AI23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{"issue":{"subject":"","project_id":79,"tracker_id":40,"status_id":1,"priority_id":2,"assigned_to_id":23,"start_date":"2016-11-26","description":"","custom_fields":[{"id":1,"name":"Subdivision","value":"EC"},{"id":4,"name":"Milepost","value":"23.3291"},{"id":17,"name":"Train ID","value":"111-26"},{"id":16,"name":"Locomotive ID","value":"4029"},{"id":130,"name":"Impact","value":""},{"id":150,"name":"Time of Event (Mountain Time)","value":"05:35:41"},{"id":151,"name":"Denver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441</v>
      </c>
      <c r="B24" s="7">
        <v>4030</v>
      </c>
      <c r="C24" s="22" t="s">
        <v>216</v>
      </c>
      <c r="D24" s="22" t="s">
        <v>364</v>
      </c>
      <c r="E24" s="13">
        <v>42700.242060185185</v>
      </c>
      <c r="F24" s="13">
        <v>42700.247442129628</v>
      </c>
      <c r="G24" s="7">
        <v>1</v>
      </c>
      <c r="H24" s="22" t="s">
        <v>252</v>
      </c>
      <c r="I24" s="13">
        <v>42700.273587962962</v>
      </c>
      <c r="J24" s="7">
        <v>0</v>
      </c>
      <c r="K24" s="109" t="str">
        <f t="shared" si="0"/>
        <v>4029/4030</v>
      </c>
      <c r="L24" s="22" t="str">
        <f>VLOOKUP(A24,'Trips&amp;Operators'!$C$1:$E$10000,3,FALSE)</f>
        <v>GEBRETEKLE</v>
      </c>
      <c r="M24" s="6">
        <f t="shared" si="1"/>
        <v>2.6145833333430346E-2</v>
      </c>
      <c r="N24" s="7">
        <f t="shared" si="2"/>
        <v>37.650000000139698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04:48:34-700',mode:absolute,to:'2016-11-26 07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23.296700000000001</v>
      </c>
      <c r="Z24" s="67">
        <f t="shared" si="9"/>
        <v>1.47E-2</v>
      </c>
      <c r="AA24" s="67">
        <f t="shared" si="10"/>
        <v>23.282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0112-26</v>
      </c>
      <c r="AE24" s="91" t="str">
        <f t="shared" si="12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24" s="88" t="str">
        <f t="shared" si="13"/>
        <v>"C:\Program Files (x86)\AstroGrep\AstroGrep.exe" /spath="%USERPROFILE%\AppData\Local\Temp\OnboardLogs" /stypes="app*4030*20161126*"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112-26 --locoid 4030 --swversion DE.1.0.8.0 --startMP 204:232967 --initTime 2016-11-26T05:48:34 --startdatetime 2016-11-26T05:56:19 --delay 1 --endMP 204:147 --enddatetime 2016-11-26T06:33:58 --enforcementcount 0 &gt;&gt;C:\Users\stu\Documents\GitHub\eaglep3-reporting\EC\2016-11-26-refined-times.txt</v>
      </c>
      <c r="AI24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{"issue":{"subject":"","project_id":79,"tracker_id":40,"status_id":1,"priority_id":2,"assigned_to_id":23,"start_date":"2016-11-26","description":"","custom_fields":[{"id":1,"name":"Subdivision","value":"EC"},{"id":4,"name":"Milepost","value":"0.0147"},{"id":17,"name":"Train ID","value":"112-26"},{"id":16,"name":"Locomotive ID","value":"4030"},{"id":130,"name":"Impact","value":""},{"id":150,"name":"Time of Event (Mountain Time)","value":"06:33:58"},{"id":151,"name":"Denver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435</v>
      </c>
      <c r="B25" s="7">
        <v>4044</v>
      </c>
      <c r="C25" s="22" t="s">
        <v>216</v>
      </c>
      <c r="D25" s="22" t="s">
        <v>269</v>
      </c>
      <c r="E25" s="13">
        <v>42700.204328703701</v>
      </c>
      <c r="F25" s="13">
        <v>42700.218993055554</v>
      </c>
      <c r="G25" s="7">
        <v>1</v>
      </c>
      <c r="H25" s="22" t="s">
        <v>267</v>
      </c>
      <c r="I25" s="13">
        <v>42700.243923611109</v>
      </c>
      <c r="J25" s="7">
        <v>0</v>
      </c>
      <c r="K25" s="109" t="str">
        <f t="shared" si="0"/>
        <v>4043/4044</v>
      </c>
      <c r="L25" s="22" t="str">
        <f>VLOOKUP(A25,'Trips&amp;Operators'!$C$1:$E$10000,3,FALSE)</f>
        <v>MAELZER</v>
      </c>
      <c r="M25" s="6">
        <f t="shared" si="1"/>
        <v>2.4930555555329192E-2</v>
      </c>
      <c r="N25" s="7">
        <f t="shared" si="2"/>
        <v>35.899999999674037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03:54:14-700',mode:absolute,to:'2016-11-26 06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4.5699999999999998E-2</v>
      </c>
      <c r="Z25" s="67">
        <f t="shared" si="9"/>
        <v>23.330200000000001</v>
      </c>
      <c r="AA25" s="67">
        <f t="shared" si="10"/>
        <v>23.284500000000001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0113-26</v>
      </c>
      <c r="AE25" s="91" t="str">
        <f t="shared" si="12"/>
        <v>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 &amp; 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</v>
      </c>
      <c r="AF25" s="88" t="str">
        <f t="shared" si="13"/>
        <v>"C:\Program Files (x86)\AstroGrep\AstroGrep.exe" /spath="%USERPROFILE%\AppData\Local\Temp\OnboardLogs" /stypes="app*4044*20161126*"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113-26 --locoid 4044 --swversion DE.1.0.8.0 --startMP 204:457 --initTime 2016-11-26T04:54:14 --startdatetime 2016-11-26T05:15:21 --delay 1 --endMP 204:233302 --enddatetime 2016-11-26T05:51:15 --enforcementcount 0 &gt;&gt;C:\Users\stu\Documents\GitHub\eaglep3-reporting\EC\2016-11-26-refined-times.txt</v>
      </c>
      <c r="AI25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{"issue":{"subject":"","project_id":79,"tracker_id":40,"status_id":1,"priority_id":2,"assigned_to_id":23,"start_date":"2016-11-26","description":"","custom_fields":[{"id":1,"name":"Subdivision","value":"EC"},{"id":4,"name":"Milepost","value":"23.3302"},{"id":17,"name":"Train ID","value":"113-26"},{"id":16,"name":"Locomotive ID","value":"4044"},{"id":130,"name":"Impact","value":""},{"id":150,"name":"Time of Event (Mountain Time)","value":"05:51:15"},{"id":151,"name":"Denver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444</v>
      </c>
      <c r="B26" s="7">
        <v>4043</v>
      </c>
      <c r="C26" s="22" t="s">
        <v>216</v>
      </c>
      <c r="D26" s="22" t="s">
        <v>242</v>
      </c>
      <c r="E26" s="13">
        <v>42700.256307870368</v>
      </c>
      <c r="F26" s="13">
        <v>42700.25818287037</v>
      </c>
      <c r="G26" s="7">
        <v>1</v>
      </c>
      <c r="H26" s="22" t="s">
        <v>617</v>
      </c>
      <c r="I26" s="13">
        <v>42700.283634259256</v>
      </c>
      <c r="J26" s="7">
        <v>0</v>
      </c>
      <c r="K26" s="109" t="str">
        <f t="shared" si="0"/>
        <v>4043/4044</v>
      </c>
      <c r="L26" s="22" t="str">
        <f>VLOOKUP(A26,'Trips&amp;Operators'!$C$1:$E$10000,3,FALSE)</f>
        <v>MAELZER</v>
      </c>
      <c r="M26" s="6">
        <f t="shared" si="1"/>
        <v>2.545138888672227E-2</v>
      </c>
      <c r="N26" s="7">
        <f t="shared" si="2"/>
        <v>36.649999996880069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05:09:05-700',mode:absolute,to:'2016-11-26 07:48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23.2987</v>
      </c>
      <c r="Z26" s="67">
        <f t="shared" si="9"/>
        <v>1.38E-2</v>
      </c>
      <c r="AA26" s="67">
        <f t="shared" si="10"/>
        <v>23.2849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0114-26</v>
      </c>
      <c r="AE26" s="91" t="str">
        <f t="shared" si="12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26" s="88" t="str">
        <f t="shared" si="13"/>
        <v>"C:\Program Files (x86)\AstroGrep\AstroGrep.exe" /spath="%USERPROFILE%\AppData\Local\Temp\OnboardLogs" /stypes="app*4043*20161126*"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114-26 --locoid 4043 --swversion DE.1.0.8.0 --startMP 204:232987 --initTime 2016-11-26T06:09:05 --startdatetime 2016-11-26T06:11:47 --delay 1 --endMP 204:138 --enddatetime 2016-11-26T06:48:26 --enforcementcount 0 &gt;&gt;C:\Users\stu\Documents\GitHub\eaglep3-reporting\EC\2016-11-26-refined-times.txt</v>
      </c>
      <c r="AI26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{"issue":{"subject":"","project_id":79,"tracker_id":40,"status_id":1,"priority_id":2,"assigned_to_id":23,"start_date":"2016-11-26","description":"","custom_fields":[{"id":1,"name":"Subdivision","value":"EC"},{"id":4,"name":"Milepost","value":"0.0138"},{"id":17,"name":"Train ID","value":"114-26"},{"id":16,"name":"Locomotive ID","value":"4043"},{"id":130,"name":"Impact","value":""},{"id":150,"name":"Time of Event (Mountain Time)","value":"06:48:26"},{"id":151,"name":"Denver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437</v>
      </c>
      <c r="B27" s="7">
        <v>4038</v>
      </c>
      <c r="C27" s="22" t="s">
        <v>216</v>
      </c>
      <c r="D27" s="22" t="s">
        <v>388</v>
      </c>
      <c r="E27" s="13">
        <v>42700.223483796297</v>
      </c>
      <c r="F27" s="13">
        <v>42700.229525462964</v>
      </c>
      <c r="G27" s="7">
        <v>1</v>
      </c>
      <c r="H27" s="22" t="s">
        <v>618</v>
      </c>
      <c r="I27" s="13">
        <v>42700.255497685182</v>
      </c>
      <c r="J27" s="7">
        <v>0</v>
      </c>
      <c r="K27" s="109" t="str">
        <f t="shared" si="0"/>
        <v>4037/4038</v>
      </c>
      <c r="L27" s="22" t="str">
        <f>VLOOKUP(A27,'Trips&amp;Operators'!$C$1:$E$10000,3,FALSE)</f>
        <v>STRICKLAND</v>
      </c>
      <c r="M27" s="6">
        <f t="shared" si="1"/>
        <v>2.5972222218115348E-2</v>
      </c>
      <c r="N27" s="7">
        <f t="shared" si="2"/>
        <v>37.399999994086102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04:21:49-700',mode:absolute,to:'2016-11-26 07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7.3400000000000007E-2</v>
      </c>
      <c r="Z27" s="67">
        <f t="shared" si="9"/>
        <v>23.328800000000001</v>
      </c>
      <c r="AA27" s="67">
        <f t="shared" si="10"/>
        <v>23.255400000000002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0115-26</v>
      </c>
      <c r="AE27" s="91" t="str">
        <f t="shared" si="12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27" s="88" t="str">
        <f t="shared" si="13"/>
        <v>"C:\Program Files (x86)\AstroGrep\AstroGrep.exe" /spath="%USERPROFILE%\AppData\Local\Temp\OnboardLogs" /stypes="app*4038*20161126*"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115-26 --locoid 4038 --swversion DE.1.0.8.0 --startMP 204:734 --initTime 2016-11-26T05:21:49 --startdatetime 2016-11-26T05:30:31 --delay 1 --endMP 204:233288 --enddatetime 2016-11-26T06:07:55 --enforcementcount 0 &gt;&gt;C:\Users\stu\Documents\GitHub\eaglep3-reporting\EC\2016-11-26-refined-times.txt</v>
      </c>
      <c r="AI27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{"issue":{"subject":"","project_id":79,"tracker_id":40,"status_id":1,"priority_id":2,"assigned_to_id":23,"start_date":"2016-11-26","description":"","custom_fields":[{"id":1,"name":"Subdivision","value":"EC"},{"id":4,"name":"Milepost","value":"23.3288"},{"id":17,"name":"Train ID","value":"115-26"},{"id":16,"name":"Locomotive ID","value":"4038"},{"id":130,"name":"Impact","value":""},{"id":150,"name":"Time of Event (Mountain Time)","value":"06:07:55"},{"id":151,"name":"Denver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446</v>
      </c>
      <c r="B28" s="7">
        <v>4037</v>
      </c>
      <c r="C28" s="22" t="s">
        <v>216</v>
      </c>
      <c r="D28" s="22" t="s">
        <v>309</v>
      </c>
      <c r="E28" s="13">
        <v>42700.263819444444</v>
      </c>
      <c r="F28" s="13">
        <v>42700.268263888887</v>
      </c>
      <c r="G28" s="7">
        <v>2</v>
      </c>
      <c r="H28" s="22" t="s">
        <v>238</v>
      </c>
      <c r="I28" s="13">
        <v>42700.295520833337</v>
      </c>
      <c r="J28" s="7">
        <v>0</v>
      </c>
      <c r="K28" s="109" t="str">
        <f t="shared" si="0"/>
        <v>4037/4038</v>
      </c>
      <c r="L28" s="22" t="str">
        <f>VLOOKUP(A28,'Trips&amp;Operators'!$C$1:$E$10000,3,FALSE)</f>
        <v>STRICKLAND</v>
      </c>
      <c r="M28" s="6">
        <f t="shared" si="1"/>
        <v>2.7256944449618459E-2</v>
      </c>
      <c r="N28" s="7">
        <f t="shared" si="2"/>
        <v>39.250000007450581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05:19:54-700',mode:absolute,to:'2016-11-26 08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23.298400000000001</v>
      </c>
      <c r="Z28" s="67">
        <f t="shared" si="9"/>
        <v>1.54E-2</v>
      </c>
      <c r="AA28" s="67">
        <f t="shared" si="10"/>
        <v>23.283000000000001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0116-26</v>
      </c>
      <c r="AE28" s="91" t="str">
        <f t="shared" si="12"/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AF28" s="88" t="str">
        <f t="shared" si="13"/>
        <v>"C:\Program Files (x86)\AstroGrep\AstroGrep.exe" /spath="%USERPROFILE%\AppData\Local\Temp\OnboardLogs" /stypes="app*4037*20161126*"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116-26 --locoid 4037 --swversion DE.1.0.8.0 --startMP 204:232984 --initTime 2016-11-26T06:19:54 --startdatetime 2016-11-26T06:26:18 --delay 2 --endMP 204:154 --enddatetime 2016-11-26T07:05:33 --enforcementcount 0 &gt;&gt;C:\Users\stu\Documents\GitHub\eaglep3-reporting\EC\2016-11-26-refined-times.txt</v>
      </c>
      <c r="AI28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{"issue":{"subject":"","project_id":79,"tracker_id":40,"status_id":1,"priority_id":2,"assigned_to_id":23,"start_date":"2016-11-26","description":"","custom_fields":[{"id":1,"name":"Subdivision","value":"EC"},{"id":4,"name":"Milepost","value":"0.0154"},{"id":17,"name":"Train ID","value":"116-26"},{"id":16,"name":"Locomotive ID","value":"4037"},{"id":130,"name":"Impact","value":""},{"id":150,"name":"Time of Event (Mountain Time)","value":"07:05:33"},{"id":151,"name":"Denver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438</v>
      </c>
      <c r="B29" s="7">
        <v>4009</v>
      </c>
      <c r="C29" s="22" t="s">
        <v>216</v>
      </c>
      <c r="D29" s="22" t="s">
        <v>619</v>
      </c>
      <c r="E29" s="13">
        <v>42700.226886574077</v>
      </c>
      <c r="F29" s="13">
        <v>42700.239756944444</v>
      </c>
      <c r="G29" s="7">
        <v>1</v>
      </c>
      <c r="H29" s="22" t="s">
        <v>319</v>
      </c>
      <c r="I29" s="13">
        <v>42700.264409722222</v>
      </c>
      <c r="J29" s="7">
        <v>0</v>
      </c>
      <c r="K29" s="109" t="str">
        <f t="shared" si="0"/>
        <v>4009/4010</v>
      </c>
      <c r="L29" s="22" t="str">
        <f>VLOOKUP(A29,'Trips&amp;Operators'!$C$1:$E$10000,3,FALSE)</f>
        <v>ROBINSON</v>
      </c>
      <c r="M29" s="6">
        <f t="shared" si="1"/>
        <v>2.4652777778101154E-2</v>
      </c>
      <c r="N29" s="7">
        <f t="shared" si="2"/>
        <v>35.500000000465661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04:26:43-700',mode:absolute,to:'2016-11-26 07:20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3.8899999999999997E-2</v>
      </c>
      <c r="Z29" s="67">
        <f t="shared" si="9"/>
        <v>23.331499999999998</v>
      </c>
      <c r="AA29" s="67">
        <f t="shared" si="10"/>
        <v>23.292599999999997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0117-26</v>
      </c>
      <c r="AE29" s="91" t="str">
        <f t="shared" si="12"/>
        <v>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 &amp; 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</v>
      </c>
      <c r="AF29" s="88" t="str">
        <f t="shared" si="13"/>
        <v>"C:\Program Files (x86)\AstroGrep\AstroGrep.exe" /spath="%USERPROFILE%\AppData\Local\Temp\OnboardLogs" /stypes="app*4009*20161126*"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117-26 --locoid 4009 --swversion DE.1.0.8.0 --startMP 204:389 --initTime 2016-11-26T05:26:43 --startdatetime 2016-11-26T05:45:15 --delay 1 --endMP 204:233315 --enddatetime 2016-11-26T06:20:45 --enforcementcount 0 &gt;&gt;C:\Users\stu\Documents\GitHub\eaglep3-reporting\EC\2016-11-26-refined-times.txt</v>
      </c>
      <c r="AI29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{"issue":{"subject":"","project_id":79,"tracker_id":40,"status_id":1,"priority_id":2,"assigned_to_id":23,"start_date":"2016-11-26","description":"","custom_fields":[{"id":1,"name":"Subdivision","value":"EC"},{"id":4,"name":"Milepost","value":"23.3315"},{"id":17,"name":"Train ID","value":"117-26"},{"id":16,"name":"Locomotive ID","value":"4009"},{"id":130,"name":"Impact","value":""},{"id":150,"name":"Time of Event (Mountain Time)","value":"06:20:45"},{"id":151,"name":"Denver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448</v>
      </c>
      <c r="B30" s="7">
        <v>4010</v>
      </c>
      <c r="C30" s="22" t="s">
        <v>216</v>
      </c>
      <c r="D30" s="22" t="s">
        <v>250</v>
      </c>
      <c r="E30" s="13">
        <v>42700.272430555553</v>
      </c>
      <c r="F30" s="13">
        <v>42700.278761574074</v>
      </c>
      <c r="G30" s="7">
        <v>1</v>
      </c>
      <c r="H30" s="22" t="s">
        <v>617</v>
      </c>
      <c r="I30" s="13">
        <v>42700.305324074077</v>
      </c>
      <c r="J30" s="7">
        <v>0</v>
      </c>
      <c r="K30" s="109" t="str">
        <f t="shared" si="0"/>
        <v>4009/4010</v>
      </c>
      <c r="L30" s="22" t="str">
        <f>VLOOKUP(A30,'Trips&amp;Operators'!$C$1:$E$10000,3,FALSE)</f>
        <v>ROBINSON</v>
      </c>
      <c r="M30" s="6">
        <f t="shared" si="1"/>
        <v>2.6562500002910383E-2</v>
      </c>
      <c r="N30" s="7">
        <f t="shared" si="2"/>
        <v>38.250000004190952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05:32:18-700',mode:absolute,to:'2016-11-26 08:19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23.299800000000001</v>
      </c>
      <c r="Z30" s="67">
        <f t="shared" si="9"/>
        <v>1.38E-2</v>
      </c>
      <c r="AA30" s="67">
        <f t="shared" si="10"/>
        <v>23.286000000000001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0118-26</v>
      </c>
      <c r="AE30" s="91" t="str">
        <f t="shared" si="12"/>
        <v>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 &amp; 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</v>
      </c>
      <c r="AF30" s="88" t="str">
        <f t="shared" si="13"/>
        <v>"C:\Program Files (x86)\AstroGrep\AstroGrep.exe" /spath="%USERPROFILE%\AppData\Local\Temp\OnboardLogs" /stypes="app*4010*20161126*"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118-26 --locoid 4010 --swversion DE.1.0.8.0 --startMP 204:232998 --initTime 2016-11-26T06:32:18 --startdatetime 2016-11-26T06:41:25 --delay 1 --endMP 204:138 --enddatetime 2016-11-26T07:19:40 --enforcementcount 0 &gt;&gt;C:\Users\stu\Documents\GitHub\eaglep3-reporting\EC\2016-11-26-refined-times.txt</v>
      </c>
      <c r="AI30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{"issue":{"subject":"","project_id":79,"tracker_id":40,"status_id":1,"priority_id":2,"assigned_to_id":23,"start_date":"2016-11-26","description":"","custom_fields":[{"id":1,"name":"Subdivision","value":"EC"},{"id":4,"name":"Milepost","value":"0.0138"},{"id":17,"name":"Train ID","value":"118-26"},{"id":16,"name":"Locomotive ID","value":"4010"},{"id":130,"name":"Impact","value":""},{"id":150,"name":"Time of Event (Mountain Time)","value":"07:19:40"},{"id":151,"name":"Denver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442</v>
      </c>
      <c r="B31" s="7">
        <v>4031</v>
      </c>
      <c r="C31" s="22" t="s">
        <v>216</v>
      </c>
      <c r="D31" s="22" t="s">
        <v>620</v>
      </c>
      <c r="E31" s="13">
        <v>42700.24591435185</v>
      </c>
      <c r="F31" s="13">
        <v>42700.250185185185</v>
      </c>
      <c r="G31" s="7">
        <v>1</v>
      </c>
      <c r="H31" s="22" t="s">
        <v>271</v>
      </c>
      <c r="I31" s="13">
        <v>42700.275208333333</v>
      </c>
      <c r="J31" s="7">
        <v>0</v>
      </c>
      <c r="K31" s="109" t="str">
        <f t="shared" si="0"/>
        <v>4031/4032</v>
      </c>
      <c r="L31" s="22" t="str">
        <f>VLOOKUP(A31,'Trips&amp;Operators'!$C$1:$E$10000,3,FALSE)</f>
        <v>ACKERMAN</v>
      </c>
      <c r="M31" s="6">
        <f t="shared" si="1"/>
        <v>2.5023148147738539E-2</v>
      </c>
      <c r="N31" s="7">
        <f t="shared" si="2"/>
        <v>36.033333332743496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04:54:07-700',mode:absolute,to:'2016-11-26 07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7.2599999999999998E-2</v>
      </c>
      <c r="Z31" s="67">
        <f t="shared" si="9"/>
        <v>23.3293</v>
      </c>
      <c r="AA31" s="67">
        <f t="shared" si="10"/>
        <v>23.256699999999999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0119-26</v>
      </c>
      <c r="AE31" s="91" t="str">
        <f t="shared" si="12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31" s="88" t="str">
        <f t="shared" si="13"/>
        <v>"C:\Program Files (x86)\AstroGrep\AstroGrep.exe" /spath="%USERPROFILE%\AppData\Local\Temp\OnboardLogs" /stypes="app*4031*20161126*"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119-26 --locoid 4031 --swversion DE.1.0.8.0 --startMP 204:726 --initTime 2016-11-26T05:54:07 --startdatetime 2016-11-26T06:00:16 --delay 1 --endMP 204:233293 --enddatetime 2016-11-26T06:36:18 --enforcementcount 0 &gt;&gt;C:\Users\stu\Documents\GitHub\eaglep3-reporting\EC\2016-11-26-refined-times.txt</v>
      </c>
      <c r="AI31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{"issue":{"subject":"","project_id":79,"tracker_id":40,"status_id":1,"priority_id":2,"assigned_to_id":23,"start_date":"2016-11-26","description":"","custom_fields":[{"id":1,"name":"Subdivision","value":"EC"},{"id":4,"name":"Milepost","value":"23.3293"},{"id":17,"name":"Train ID","value":"119-26"},{"id":16,"name":"Locomotive ID","value":"4031"},{"id":130,"name":"Impact","value":""},{"id":150,"name":"Time of Event (Mountain Time)","value":"06:36:18"},{"id":151,"name":"Denver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397</v>
      </c>
      <c r="B32" s="7">
        <v>4032</v>
      </c>
      <c r="C32" s="22" t="s">
        <v>216</v>
      </c>
      <c r="D32" s="22" t="s">
        <v>245</v>
      </c>
      <c r="E32" s="13">
        <v>42700.282511574071</v>
      </c>
      <c r="F32" s="13">
        <v>42700.289224537039</v>
      </c>
      <c r="G32" s="7">
        <v>2</v>
      </c>
      <c r="H32" s="22" t="s">
        <v>617</v>
      </c>
      <c r="I32" s="13">
        <v>42700.315486111111</v>
      </c>
      <c r="J32" s="7">
        <v>1</v>
      </c>
      <c r="K32" s="109" t="str">
        <f t="shared" si="0"/>
        <v>4031/4032</v>
      </c>
      <c r="L32" s="22" t="str">
        <f>VLOOKUP(A32,'Trips&amp;Operators'!$C$1:$E$10000,3,FALSE)</f>
        <v>ACKERMAN</v>
      </c>
      <c r="M32" s="6">
        <f t="shared" si="1"/>
        <v>2.626157407212304E-2</v>
      </c>
      <c r="N32" s="7">
        <f t="shared" si="2"/>
        <v>37.816666663857177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05:46:49-700',mode:absolute,to:'2016-11-26 08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23.297499999999999</v>
      </c>
      <c r="Z32" s="67">
        <f t="shared" si="9"/>
        <v>1.38E-2</v>
      </c>
      <c r="AA32" s="67">
        <f t="shared" si="10"/>
        <v>23.2837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0120-26</v>
      </c>
      <c r="AE32" s="91" t="str">
        <f t="shared" si="12"/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AF32" s="88" t="str">
        <f t="shared" si="13"/>
        <v>"C:\Program Files (x86)\AstroGrep\AstroGrep.exe" /spath="%USERPROFILE%\AppData\Local\Temp\OnboardLogs" /stypes="app*4032*20161126*"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120-26 --locoid 4032 --swversion DE.1.0.8.0 --startMP 204:232975 --initTime 2016-11-26T06:46:49 --startdatetime 2016-11-26T06:56:29 --delay 2 --endMP 204:138 --enddatetime 2016-11-26T07:34:18 --enforcementcount 1 &gt;&gt;C:\Users\stu\Documents\GitHub\eaglep3-reporting\EC\2016-11-26-refined-times.txt</v>
      </c>
      <c r="AI32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{"issue":{"subject":"","project_id":79,"tracker_id":40,"status_id":1,"priority_id":2,"assigned_to_id":23,"start_date":"2016-11-26","description":"","custom_fields":[{"id":1,"name":"Subdivision","value":"EC"},{"id":4,"name":"Milepost","value":"0.0138"},{"id":17,"name":"Train ID","value":"120-26"},{"id":16,"name":"Locomotive ID","value":"4032"},{"id":130,"name":"Impact","value":""},{"id":150,"name":"Time of Event (Mountain Time)","value":"07:34:18"},{"id":151,"name":"Denver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443</v>
      </c>
      <c r="B33" s="7">
        <v>4003</v>
      </c>
      <c r="C33" s="22" t="s">
        <v>216</v>
      </c>
      <c r="D33" s="22" t="s">
        <v>200</v>
      </c>
      <c r="E33" s="13">
        <v>42700.256238425929</v>
      </c>
      <c r="F33" s="13">
        <v>42700.260567129626</v>
      </c>
      <c r="G33" s="7">
        <v>1</v>
      </c>
      <c r="H33" s="22" t="s">
        <v>272</v>
      </c>
      <c r="I33" s="13">
        <v>42700.285636574074</v>
      </c>
      <c r="J33" s="7">
        <v>0</v>
      </c>
      <c r="K33" s="109" t="str">
        <f t="shared" si="0"/>
        <v>4003/4004</v>
      </c>
      <c r="L33" s="22" t="str">
        <f>VLOOKUP(A33,'Trips&amp;Operators'!$C$1:$E$10000,3,FALSE)</f>
        <v>DAVIS</v>
      </c>
      <c r="M33" s="6">
        <f t="shared" si="1"/>
        <v>2.5069444447581191E-2</v>
      </c>
      <c r="N33" s="7">
        <f t="shared" si="2"/>
        <v>36.100000004516914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05:08:59-700',mode:absolute,to:'2016-11-26 07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4.5100000000000001E-2</v>
      </c>
      <c r="Z33" s="67">
        <f t="shared" si="9"/>
        <v>23.332100000000001</v>
      </c>
      <c r="AA33" s="67">
        <f t="shared" si="10"/>
        <v>23.286999999999999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0121-26</v>
      </c>
      <c r="AE33" s="91" t="str">
        <f t="shared" si="12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33" s="88" t="str">
        <f t="shared" si="13"/>
        <v>"C:\Program Files (x86)\AstroGrep\AstroGrep.exe" /spath="%USERPROFILE%\AppData\Local\Temp\OnboardLogs" /stypes="app*4003*20161126*"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121-26 --locoid 4003 --swversion DE.1.0.8.0 --startMP 204:451 --initTime 2016-11-26T06:08:59 --startdatetime 2016-11-26T06:15:13 --delay 1 --endMP 204:233321 --enddatetime 2016-11-26T06:51:19 --enforcementcount 0 &gt;&gt;C:\Users\stu\Documents\GitHub\eaglep3-reporting\EC\2016-11-26-refined-times.txt</v>
      </c>
      <c r="AI33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{"issue":{"subject":"","project_id":79,"tracker_id":40,"status_id":1,"priority_id":2,"assigned_to_id":23,"start_date":"2016-11-26","description":"","custom_fields":[{"id":1,"name":"Subdivision","value":"EC"},{"id":4,"name":"Milepost","value":"23.3321"},{"id":17,"name":"Train ID","value":"121-26"},{"id":16,"name":"Locomotive ID","value":"4003"},{"id":130,"name":"Impact","value":""},{"id":150,"name":"Time of Event (Mountain Time)","value":"06:51:19"},{"id":151,"name":"Denver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451</v>
      </c>
      <c r="B34" s="7">
        <v>4004</v>
      </c>
      <c r="C34" s="22" t="s">
        <v>216</v>
      </c>
      <c r="D34" s="22" t="s">
        <v>621</v>
      </c>
      <c r="E34" s="13">
        <v>42700.296261574076</v>
      </c>
      <c r="F34" s="13">
        <v>42700.299456018518</v>
      </c>
      <c r="G34" s="7">
        <v>1</v>
      </c>
      <c r="H34" s="22" t="s">
        <v>312</v>
      </c>
      <c r="I34" s="13">
        <v>42700.326377314814</v>
      </c>
      <c r="J34" s="7">
        <v>0</v>
      </c>
      <c r="K34" s="109" t="str">
        <f t="shared" si="0"/>
        <v>4003/4004</v>
      </c>
      <c r="L34" s="22" t="str">
        <f>VLOOKUP(A34,'Trips&amp;Operators'!$C$1:$E$10000,3,FALSE)</f>
        <v>DAVIS</v>
      </c>
      <c r="M34" s="6">
        <f t="shared" si="1"/>
        <v>2.6921296295768116E-2</v>
      </c>
      <c r="N34" s="7">
        <f t="shared" si="2"/>
        <v>38.766666665906087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06:06:37-700',mode:absolute,to:'2016-11-26 08:49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23.3004</v>
      </c>
      <c r="Z34" s="67">
        <f t="shared" si="9"/>
        <v>1.4500000000000001E-2</v>
      </c>
      <c r="AA34" s="67">
        <f t="shared" si="10"/>
        <v>23.285899999999998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0122-26</v>
      </c>
      <c r="AE34" s="91" t="str">
        <f t="shared" si="12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34" s="88" t="str">
        <f t="shared" si="13"/>
        <v>"C:\Program Files (x86)\AstroGrep\AstroGrep.exe" /spath="%USERPROFILE%\AppData\Local\Temp\OnboardLogs" /stypes="app*4004*20161126*"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122-26 --locoid 4004 --swversion DE.1.0.8.0 --startMP 204:233004 --initTime 2016-11-26T07:06:37 --startdatetime 2016-11-26T07:11:13 --delay 1 --endMP 204:145 --enddatetime 2016-11-26T07:49:59 --enforcementcount 0 &gt;&gt;C:\Users\stu\Documents\GitHub\eaglep3-reporting\EC\2016-11-26-refined-times.txt</v>
      </c>
      <c r="AI34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{"issue":{"subject":"","project_id":79,"tracker_id":40,"status_id":1,"priority_id":2,"assigned_to_id":23,"start_date":"2016-11-26","description":"","custom_fields":[{"id":1,"name":"Subdivision","value":"EC"},{"id":4,"name":"Milepost","value":"0.0145"},{"id":17,"name":"Train ID","value":"122-26"},{"id":16,"name":"Locomotive ID","value":"4004"},{"id":130,"name":"Impact","value":""},{"id":150,"name":"Time of Event (Mountain Time)","value":"07:49:59"},{"id":151,"name":"Denver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447</v>
      </c>
      <c r="B35" s="7">
        <v>4046</v>
      </c>
      <c r="C35" s="22" t="s">
        <v>216</v>
      </c>
      <c r="D35" s="22" t="s">
        <v>280</v>
      </c>
      <c r="E35" s="13">
        <v>42700.265289351853</v>
      </c>
      <c r="F35" s="13">
        <v>42700.271168981482</v>
      </c>
      <c r="G35" s="7">
        <v>1</v>
      </c>
      <c r="H35" s="22" t="s">
        <v>310</v>
      </c>
      <c r="I35" s="13">
        <v>42700.295532407406</v>
      </c>
      <c r="J35" s="7">
        <v>0</v>
      </c>
      <c r="K35" s="109" t="str">
        <f t="shared" si="0"/>
        <v>4045/4046</v>
      </c>
      <c r="L35" s="22" t="str">
        <f>VLOOKUP(A35,'Trips&amp;Operators'!$C$1:$E$10000,3,FALSE)</f>
        <v>KILLION</v>
      </c>
      <c r="M35" s="6">
        <f t="shared" si="1"/>
        <v>2.4363425924093463E-2</v>
      </c>
      <c r="N35" s="7">
        <f t="shared" si="2"/>
        <v>35.083333330694586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05:22:01-700',mode:absolute,to:'2016-11-26 08:05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4.6899999999999997E-2</v>
      </c>
      <c r="Z35" s="67">
        <f t="shared" si="9"/>
        <v>23.331600000000002</v>
      </c>
      <c r="AA35" s="67">
        <f t="shared" si="10"/>
        <v>23.284700000000001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0123-26</v>
      </c>
      <c r="AE35" s="91" t="str">
        <f t="shared" si="12"/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AF35" s="88" t="str">
        <f t="shared" si="13"/>
        <v>"C:\Program Files (x86)\AstroGrep\AstroGrep.exe" /spath="%USERPROFILE%\AppData\Local\Temp\OnboardLogs" /stypes="app*4046*20161126*"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123-26 --locoid 4046 --swversion DE.1.0.8.0 --startMP 204:469 --initTime 2016-11-26T06:22:01 --startdatetime 2016-11-26T06:30:29 --delay 1 --endMP 204:233316 --enddatetime 2016-11-26T07:05:34 --enforcementcount 0 &gt;&gt;C:\Users\stu\Documents\GitHub\eaglep3-reporting\EC\2016-11-26-refined-times.txt</v>
      </c>
      <c r="AI35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{"issue":{"subject":"","project_id":79,"tracker_id":40,"status_id":1,"priority_id":2,"assigned_to_id":23,"start_date":"2016-11-26","description":"","custom_fields":[{"id":1,"name":"Subdivision","value":"EC"},{"id":4,"name":"Milepost","value":"23.3316"},{"id":17,"name":"Train ID","value":"123-26"},{"id":16,"name":"Locomotive ID","value":"4046"},{"id":130,"name":"Impact","value":""},{"id":150,"name":"Time of Event (Mountain Time)","value":"07:05:34"},{"id":151,"name":"Denver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454</v>
      </c>
      <c r="B36" s="7">
        <v>4045</v>
      </c>
      <c r="C36" s="22" t="s">
        <v>216</v>
      </c>
      <c r="D36" s="22" t="s">
        <v>364</v>
      </c>
      <c r="E36" s="13">
        <v>42700.301817129628</v>
      </c>
      <c r="F36" s="13">
        <v>42700.310057870367</v>
      </c>
      <c r="G36" s="7">
        <v>1</v>
      </c>
      <c r="H36" s="22" t="s">
        <v>196</v>
      </c>
      <c r="I36" s="13">
        <v>42700.335960648146</v>
      </c>
      <c r="J36" s="7">
        <v>0</v>
      </c>
      <c r="K36" s="109" t="str">
        <f t="shared" si="0"/>
        <v>4045/4046</v>
      </c>
      <c r="L36" s="22" t="str">
        <f>VLOOKUP(A36,'Trips&amp;Operators'!$C$1:$E$10000,3,FALSE)</f>
        <v>KILLION</v>
      </c>
      <c r="M36" s="6">
        <f t="shared" si="1"/>
        <v>2.5902777779265307E-2</v>
      </c>
      <c r="N36" s="7">
        <f t="shared" si="2"/>
        <v>37.300000002142042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06:14:37-700',mode:absolute,to:'2016-11-26 09:03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23.296700000000001</v>
      </c>
      <c r="Z36" s="67">
        <f t="shared" si="9"/>
        <v>1.43E-2</v>
      </c>
      <c r="AA36" s="67">
        <f t="shared" si="10"/>
        <v>23.282400000000003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0124-26</v>
      </c>
      <c r="AE36" s="91" t="str">
        <f t="shared" si="12"/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AF36" s="88" t="str">
        <f t="shared" si="13"/>
        <v>"C:\Program Files (x86)\AstroGrep\AstroGrep.exe" /spath="%USERPROFILE%\AppData\Local\Temp\OnboardLogs" /stypes="app*4045*20161126*"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124-26 --locoid 4045 --swversion DE.1.0.8.0 --startMP 204:232967 --initTime 2016-11-26T07:14:37 --startdatetime 2016-11-26T07:26:29 --delay 1 --endMP 204:143 --enddatetime 2016-11-26T08:03:47 --enforcementcount 0 &gt;&gt;C:\Users\stu\Documents\GitHub\eaglep3-reporting\EC\2016-11-26-refined-times.txt</v>
      </c>
      <c r="AI36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{"issue":{"subject":"","project_id":79,"tracker_id":40,"status_id":1,"priority_id":2,"assigned_to_id":23,"start_date":"2016-11-26","description":"","custom_fields":[{"id":1,"name":"Subdivision","value":"EC"},{"id":4,"name":"Milepost","value":"0.0143"},{"id":17,"name":"Train ID","value":"124-26"},{"id":16,"name":"Locomotive ID","value":"4045"},{"id":130,"name":"Impact","value":""},{"id":150,"name":"Time of Event (Mountain Time)","value":"08:03:47"},{"id":151,"name":"Denver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449</v>
      </c>
      <c r="B37" s="7">
        <v>4029</v>
      </c>
      <c r="C37" s="22" t="s">
        <v>216</v>
      </c>
      <c r="D37" s="22" t="s">
        <v>265</v>
      </c>
      <c r="E37" s="13">
        <v>42700.276296296295</v>
      </c>
      <c r="F37" s="13">
        <v>42700.281423611108</v>
      </c>
      <c r="G37" s="7">
        <v>1</v>
      </c>
      <c r="H37" s="22" t="s">
        <v>320</v>
      </c>
      <c r="I37" s="13">
        <v>42700.305787037039</v>
      </c>
      <c r="J37" s="7">
        <v>0</v>
      </c>
      <c r="K37" s="109" t="str">
        <f t="shared" si="0"/>
        <v>4029/4030</v>
      </c>
      <c r="L37" s="22" t="str">
        <f>VLOOKUP(A37,'Trips&amp;Operators'!$C$1:$E$10000,3,FALSE)</f>
        <v>GEBRETEKLE</v>
      </c>
      <c r="M37" s="6">
        <f t="shared" si="1"/>
        <v>2.436342593136942E-2</v>
      </c>
      <c r="N37" s="7">
        <f t="shared" si="2"/>
        <v>35.083333341171965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05:37:52-700',mode:absolute,to:'2016-11-26 08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4.5999999999999999E-2</v>
      </c>
      <c r="Z37" s="67">
        <f t="shared" si="9"/>
        <v>23.329799999999999</v>
      </c>
      <c r="AA37" s="67">
        <f t="shared" si="10"/>
        <v>23.283799999999999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0125-26</v>
      </c>
      <c r="AE37" s="91" t="str">
        <f t="shared" si="12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37" s="88" t="str">
        <f t="shared" si="13"/>
        <v>"C:\Program Files (x86)\AstroGrep\AstroGrep.exe" /spath="%USERPROFILE%\AppData\Local\Temp\OnboardLogs" /stypes="app*4029*20161126*"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125-26 --locoid 4029 --swversion DE.1.0.8.0 --startMP 204:460 --initTime 2016-11-26T06:37:52 --startdatetime 2016-11-26T06:45:15 --delay 1 --endMP 204:233298 --enddatetime 2016-11-26T07:20:20 --enforcementcount 0 &gt;&gt;C:\Users\stu\Documents\GitHub\eaglep3-reporting\EC\2016-11-26-refined-times.txt</v>
      </c>
      <c r="AI37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{"issue":{"subject":"","project_id":79,"tracker_id":40,"status_id":1,"priority_id":2,"assigned_to_id":23,"start_date":"2016-11-26","description":"","custom_fields":[{"id":1,"name":"Subdivision","value":"EC"},{"id":4,"name":"Milepost","value":"23.3298"},{"id":17,"name":"Train ID","value":"125-26"},{"id":16,"name":"Locomotive ID","value":"4029"},{"id":130,"name":"Impact","value":""},{"id":150,"name":"Time of Event (Mountain Time)","value":"07:20:20"},{"id":151,"name":"Denver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456</v>
      </c>
      <c r="B38" s="7">
        <v>4030</v>
      </c>
      <c r="C38" s="22" t="s">
        <v>216</v>
      </c>
      <c r="D38" s="22" t="s">
        <v>246</v>
      </c>
      <c r="E38" s="13">
        <v>42700.316481481481</v>
      </c>
      <c r="F38" s="13">
        <v>42700.320347222223</v>
      </c>
      <c r="G38" s="7">
        <v>1</v>
      </c>
      <c r="H38" s="22" t="s">
        <v>268</v>
      </c>
      <c r="I38" s="13">
        <v>42700.345902777779</v>
      </c>
      <c r="J38" s="7">
        <v>0</v>
      </c>
      <c r="K38" s="109" t="str">
        <f t="shared" si="0"/>
        <v>4029/4030</v>
      </c>
      <c r="L38" s="22" t="str">
        <f>VLOOKUP(A38,'Trips&amp;Operators'!$C$1:$E$10000,3,FALSE)</f>
        <v>GEBRETEKLE</v>
      </c>
      <c r="M38" s="6">
        <f t="shared" si="1"/>
        <v>2.5555555555911269E-2</v>
      </c>
      <c r="N38" s="7">
        <f t="shared" si="2"/>
        <v>36.800000000512227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06:35:44-700',mode:absolute,to:'2016-11-26 09:18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23.299399999999999</v>
      </c>
      <c r="Z38" s="67">
        <f t="shared" si="9"/>
        <v>1.3899999999999999E-2</v>
      </c>
      <c r="AA38" s="67">
        <f t="shared" si="10"/>
        <v>23.285499999999999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0126-26</v>
      </c>
      <c r="AE38" s="91" t="str">
        <f t="shared" si="12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38" s="88" t="str">
        <f t="shared" si="13"/>
        <v>"C:\Program Files (x86)\AstroGrep\AstroGrep.exe" /spath="%USERPROFILE%\AppData\Local\Temp\OnboardLogs" /stypes="app*4030*20161126*"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126-26 --locoid 4030 --swversion DE.1.0.8.0 --startMP 204:232994 --initTime 2016-11-26T07:35:44 --startdatetime 2016-11-26T07:41:18 --delay 1 --endMP 204:139 --enddatetime 2016-11-26T08:18:06 --enforcementcount 0 &gt;&gt;C:\Users\stu\Documents\GitHub\eaglep3-reporting\EC\2016-11-26-refined-times.txt</v>
      </c>
      <c r="AI38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{"issue":{"subject":"","project_id":79,"tracker_id":40,"status_id":1,"priority_id":2,"assigned_to_id":23,"start_date":"2016-11-26","description":"","custom_fields":[{"id":1,"name":"Subdivision","value":"EC"},{"id":4,"name":"Milepost","value":"0.0139"},{"id":17,"name":"Train ID","value":"126-26"},{"id":16,"name":"Locomotive ID","value":"4030"},{"id":130,"name":"Impact","value":""},{"id":150,"name":"Time of Event (Mountain Time)","value":"08:18:06"},{"id":151,"name":"Denver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450</v>
      </c>
      <c r="B39" s="7">
        <v>4044</v>
      </c>
      <c r="C39" s="22" t="s">
        <v>216</v>
      </c>
      <c r="D39" s="22" t="s">
        <v>256</v>
      </c>
      <c r="E39" s="13">
        <v>42700.288726851853</v>
      </c>
      <c r="F39" s="13">
        <v>42700.292025462964</v>
      </c>
      <c r="G39" s="7">
        <v>1</v>
      </c>
      <c r="H39" s="22" t="s">
        <v>298</v>
      </c>
      <c r="I39" s="13">
        <v>42700.316516203704</v>
      </c>
      <c r="J39" s="7">
        <v>0</v>
      </c>
      <c r="K39" s="109" t="str">
        <f t="shared" si="0"/>
        <v>4043/4044</v>
      </c>
      <c r="L39" s="22" t="str">
        <f>VLOOKUP(A39,'Trips&amp;Operators'!$C$1:$E$10000,3,FALSE)</f>
        <v>MAELZER</v>
      </c>
      <c r="M39" s="6">
        <f t="shared" si="1"/>
        <v>2.4490740739565808E-2</v>
      </c>
      <c r="N39" s="7">
        <f t="shared" si="2"/>
        <v>35.266666664974764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05:55:46-700',mode:absolute,to:'2016-11-26 08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4.5499999999999999E-2</v>
      </c>
      <c r="Z39" s="67">
        <f t="shared" si="9"/>
        <v>23.330300000000001</v>
      </c>
      <c r="AA39" s="67">
        <f t="shared" si="10"/>
        <v>23.284800000000001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0127-26</v>
      </c>
      <c r="AE39" s="91" t="str">
        <f t="shared" si="12"/>
        <v>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 &amp; 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</v>
      </c>
      <c r="AF39" s="88" t="str">
        <f t="shared" si="13"/>
        <v>"C:\Program Files (x86)\AstroGrep\AstroGrep.exe" /spath="%USERPROFILE%\AppData\Local\Temp\OnboardLogs" /stypes="app*4044*20161126*"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127-26 --locoid 4044 --swversion DE.1.0.8.0 --startMP 204:455 --initTime 2016-11-26T06:55:46 --startdatetime 2016-11-26T07:00:31 --delay 1 --endMP 204:233303 --enddatetime 2016-11-26T07:35:47 --enforcementcount 0 &gt;&gt;C:\Users\stu\Documents\GitHub\eaglep3-reporting\EC\2016-11-26-refined-times.txt</v>
      </c>
      <c r="AI39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{"issue":{"subject":"","project_id":79,"tracker_id":40,"status_id":1,"priority_id":2,"assigned_to_id":23,"start_date":"2016-11-26","description":"","custom_fields":[{"id":1,"name":"Subdivision","value":"EC"},{"id":4,"name":"Milepost","value":"23.3303"},{"id":17,"name":"Train ID","value":"127-26"},{"id":16,"name":"Locomotive ID","value":"4044"},{"id":130,"name":"Impact","value":""},{"id":150,"name":"Time of Event (Mountain Time)","value":"07:35:47"},{"id":151,"name":"Denver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459</v>
      </c>
      <c r="B40" s="7">
        <v>4043</v>
      </c>
      <c r="C40" s="22" t="s">
        <v>216</v>
      </c>
      <c r="D40" s="22" t="s">
        <v>372</v>
      </c>
      <c r="E40" s="13">
        <v>42700.321967592594</v>
      </c>
      <c r="F40" s="13">
        <v>42700.330833333333</v>
      </c>
      <c r="G40" s="7">
        <v>0</v>
      </c>
      <c r="H40" s="22" t="s">
        <v>268</v>
      </c>
      <c r="I40" s="13">
        <v>42700.356805555559</v>
      </c>
      <c r="J40" s="7">
        <v>0</v>
      </c>
      <c r="K40" s="109" t="str">
        <f t="shared" si="0"/>
        <v>4043/4044</v>
      </c>
      <c r="L40" s="22" t="str">
        <f>VLOOKUP(A40,'Trips&amp;Operators'!$C$1:$E$10000,3,FALSE)</f>
        <v>MAELZER</v>
      </c>
      <c r="M40" s="6">
        <f t="shared" si="1"/>
        <v>2.5972222225391306E-2</v>
      </c>
      <c r="N40" s="7">
        <f t="shared" si="2"/>
        <v>37.400000004563481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06:43:38-700',mode:absolute,to:'2016-11-26 09:33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23.2986</v>
      </c>
      <c r="Z40" s="67">
        <f t="shared" si="9"/>
        <v>1.3899999999999999E-2</v>
      </c>
      <c r="AA40" s="67">
        <f t="shared" si="10"/>
        <v>23.284700000000001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0128-26</v>
      </c>
      <c r="AE40" s="91" t="str">
        <f t="shared" si="12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40" s="88" t="str">
        <f t="shared" si="13"/>
        <v>"C:\Program Files (x86)\AstroGrep\AstroGrep.exe" /spath="%USERPROFILE%\AppData\Local\Temp\OnboardLogs" /stypes="app*4043*20161126*"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128-26 --locoid 4043 --swversion DE.1.0.8.0 --startMP 204:232986 --initTime 2016-11-26T07:43:38 --startdatetime 2016-11-26T07:56:24 --delay 0 --endMP 204:139 --enddatetime 2016-11-26T08:33:48 --enforcementcount 0 &gt;&gt;C:\Users\stu\Documents\GitHub\eaglep3-reporting\EC\2016-11-26-refined-times.txt</v>
      </c>
      <c r="AI40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{"issue":{"subject":"","project_id":79,"tracker_id":40,"status_id":1,"priority_id":2,"assigned_to_id":23,"start_date":"2016-11-26","description":"","custom_fields":[{"id":1,"name":"Subdivision","value":"EC"},{"id":4,"name":"Milepost","value":"0.0139"},{"id":17,"name":"Train ID","value":"128-26"},{"id":16,"name":"Locomotive ID","value":"4043"},{"id":130,"name":"Impact","value":""},{"id":150,"name":"Time of Event (Mountain Time)","value":"08:33:48"},{"id":151,"name":"Denver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452</v>
      </c>
      <c r="B41" s="7">
        <v>4038</v>
      </c>
      <c r="C41" s="22" t="s">
        <v>216</v>
      </c>
      <c r="D41" s="22" t="s">
        <v>239</v>
      </c>
      <c r="E41" s="13">
        <v>42700.297280092593</v>
      </c>
      <c r="F41" s="13">
        <v>42700.302291666667</v>
      </c>
      <c r="G41" s="7">
        <v>1</v>
      </c>
      <c r="H41" s="22" t="s">
        <v>622</v>
      </c>
      <c r="I41" s="13">
        <v>42700.328090277777</v>
      </c>
      <c r="J41" s="7">
        <v>0</v>
      </c>
      <c r="K41" s="109" t="str">
        <f t="shared" si="0"/>
        <v>4037/4038</v>
      </c>
      <c r="L41" s="22" t="str">
        <f>VLOOKUP(A41,'Trips&amp;Operators'!$C$1:$E$10000,3,FALSE)</f>
        <v>STRICKLAND</v>
      </c>
      <c r="M41" s="6">
        <f t="shared" si="1"/>
        <v>2.5798611110076308E-2</v>
      </c>
      <c r="N41" s="7">
        <f t="shared" si="2"/>
        <v>37.149999998509884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06:08:05-700',mode:absolute,to:'2016-11-26 08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4.6600000000000003E-2</v>
      </c>
      <c r="Z41" s="67">
        <f t="shared" si="9"/>
        <v>23.334</v>
      </c>
      <c r="AA41" s="67">
        <f t="shared" si="10"/>
        <v>23.287399999999998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0129-26</v>
      </c>
      <c r="AE41" s="91" t="str">
        <f t="shared" si="12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41" s="88" t="str">
        <f t="shared" si="13"/>
        <v>"C:\Program Files (x86)\AstroGrep\AstroGrep.exe" /spath="%USERPROFILE%\AppData\Local\Temp\OnboardLogs" /stypes="app*4038*20161126*"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129-26 --locoid 4038 --swversion DE.1.0.8.0 --startMP 204:466 --initTime 2016-11-26T07:08:05 --startdatetime 2016-11-26T07:15:18 --delay 1 --endMP 204:233340 --enddatetime 2016-11-26T07:52:27 --enforcementcount 0 &gt;&gt;C:\Users\stu\Documents\GitHub\eaglep3-reporting\EC\2016-11-26-refined-times.txt</v>
      </c>
      <c r="AI41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{"issue":{"subject":"","project_id":79,"tracker_id":40,"status_id":1,"priority_id":2,"assigned_to_id":23,"start_date":"2016-11-26","description":"","custom_fields":[{"id":1,"name":"Subdivision","value":"EC"},{"id":4,"name":"Milepost","value":"23.334"},{"id":17,"name":"Train ID","value":"129-26"},{"id":16,"name":"Locomotive ID","value":"4038"},{"id":130,"name":"Impact","value":""},{"id":150,"name":"Time of Event (Mountain Time)","value":"07:52:27"},{"id":151,"name":"Denver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399</v>
      </c>
      <c r="B42" s="7">
        <v>4037</v>
      </c>
      <c r="C42" s="22" t="s">
        <v>216</v>
      </c>
      <c r="D42" s="22" t="s">
        <v>288</v>
      </c>
      <c r="E42" s="13">
        <v>42700.337245370371</v>
      </c>
      <c r="F42" s="13">
        <v>42700.340613425928</v>
      </c>
      <c r="G42" s="7">
        <v>1</v>
      </c>
      <c r="H42" s="22" t="s">
        <v>195</v>
      </c>
      <c r="I42" s="13">
        <v>42700.370208333334</v>
      </c>
      <c r="J42" s="7">
        <v>1</v>
      </c>
      <c r="K42" s="109" t="str">
        <f t="shared" si="0"/>
        <v>4037/4038</v>
      </c>
      <c r="L42" s="22" t="str">
        <f>VLOOKUP(A42,'Trips&amp;Operators'!$C$1:$E$10000,3,FALSE)</f>
        <v>STRICKLAND</v>
      </c>
      <c r="M42" s="6">
        <f t="shared" si="1"/>
        <v>2.9594907406135462E-2</v>
      </c>
      <c r="N42" s="7">
        <f t="shared" si="2"/>
        <v>42.616666664835066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07:05:38-700',mode:absolute,to:'2016-11-26 09:53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23.3</v>
      </c>
      <c r="Z42" s="67">
        <f t="shared" si="9"/>
        <v>1.49E-2</v>
      </c>
      <c r="AA42" s="67">
        <f t="shared" si="10"/>
        <v>23.2851</v>
      </c>
      <c r="AB42" s="64" t="str">
        <f>VLOOKUP(A42,Enforcements!$C$7:$K$20,8,0)</f>
        <v>Speed (6)</v>
      </c>
      <c r="AC42" s="60" t="str">
        <f>VLOOKUP(A42,Enforcements!$C$7:$E$20,3,0)</f>
        <v>PERMANENT SPEED RESTRICTION</v>
      </c>
      <c r="AD42" s="61" t="str">
        <f t="shared" si="11"/>
        <v>0130-26</v>
      </c>
      <c r="AE42" s="91" t="str">
        <f t="shared" si="12"/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AF42" s="88" t="str">
        <f t="shared" si="13"/>
        <v>"C:\Program Files (x86)\AstroGrep\AstroGrep.exe" /spath="%USERPROFILE%\AppData\Local\Temp\OnboardLogs" /stypes="app*4037*20161126*"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130-26 --locoid 4037 --swversion DE.1.0.8.0 --startMP 204:233000 --initTime 2016-11-26T08:05:38 --startdatetime 2016-11-26T08:10:29 --delay 1 --endMP 204:149 --enddatetime 2016-11-26T08:53:06 --enforcementcount 1 &gt;&gt;C:\Users\stu\Documents\GitHub\eaglep3-reporting\EC\2016-11-26-refined-times.txt</v>
      </c>
      <c r="AI42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{"issue":{"subject":"","project_id":79,"tracker_id":40,"status_id":1,"priority_id":2,"assigned_to_id":23,"start_date":"2016-11-26","description":"","custom_fields":[{"id":1,"name":"Subdivision","value":"EC"},{"id":4,"name":"Milepost","value":"0.0149"},{"id":17,"name":"Train ID","value":"130-26"},{"id":16,"name":"Locomotive ID","value":"4037"},{"id":130,"name":"Impact","value":""},{"id":150,"name":"Time of Event (Mountain Time)","value":"08:53:06"},{"id":151,"name":"Denver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455</v>
      </c>
      <c r="B43" s="7">
        <v>4009</v>
      </c>
      <c r="C43" s="22" t="s">
        <v>216</v>
      </c>
      <c r="D43" s="22" t="s">
        <v>200</v>
      </c>
      <c r="E43" s="13">
        <v>42700.307881944442</v>
      </c>
      <c r="F43" s="13">
        <v>42700.312673611108</v>
      </c>
      <c r="G43" s="7">
        <v>1</v>
      </c>
      <c r="H43" s="22" t="s">
        <v>310</v>
      </c>
      <c r="I43" s="13">
        <v>42700.337094907409</v>
      </c>
      <c r="J43" s="7">
        <v>0</v>
      </c>
      <c r="K43" s="109" t="str">
        <f t="shared" si="0"/>
        <v>4009/4010</v>
      </c>
      <c r="L43" s="22" t="str">
        <f>VLOOKUP(A43,'Trips&amp;Operators'!$C$1:$E$10000,3,FALSE)</f>
        <v>ROBINSON</v>
      </c>
      <c r="M43" s="6">
        <f t="shared" si="1"/>
        <v>2.4421296300715767E-2</v>
      </c>
      <c r="N43" s="7">
        <f t="shared" si="2"/>
        <v>35.166666673030704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06:23:21-700',mode:absolute,to:'2016-11-26 09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4.5100000000000001E-2</v>
      </c>
      <c r="Z43" s="67">
        <f t="shared" si="9"/>
        <v>23.331600000000002</v>
      </c>
      <c r="AA43" s="67">
        <f t="shared" si="10"/>
        <v>23.2865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0131-26</v>
      </c>
      <c r="AE43" s="91" t="str">
        <f t="shared" si="12"/>
        <v>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 &amp; 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</v>
      </c>
      <c r="AF43" s="88" t="str">
        <f t="shared" si="13"/>
        <v>"C:\Program Files (x86)\AstroGrep\AstroGrep.exe" /spath="%USERPROFILE%\AppData\Local\Temp\OnboardLogs" /stypes="app*4009*20161126*"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131-26 --locoid 4009 --swversion DE.1.0.8.0 --startMP 204:451 --initTime 2016-11-26T07:23:21 --startdatetime 2016-11-26T07:30:15 --delay 1 --endMP 204:233316 --enddatetime 2016-11-26T08:05:25 --enforcementcount 0 &gt;&gt;C:\Users\stu\Documents\GitHub\eaglep3-reporting\EC\2016-11-26-refined-times.txt</v>
      </c>
      <c r="AI43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{"issue":{"subject":"","project_id":79,"tracker_id":40,"status_id":1,"priority_id":2,"assigned_to_id":23,"start_date":"2016-11-26","description":"","custom_fields":[{"id":1,"name":"Subdivision","value":"EC"},{"id":4,"name":"Milepost","value":"23.3316"},{"id":17,"name":"Train ID","value":"131-26"},{"id":16,"name":"Locomotive ID","value":"4009"},{"id":130,"name":"Impact","value":""},{"id":150,"name":"Time of Event (Mountain Time)","value":"08:05:25"},{"id":151,"name":"Denver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462</v>
      </c>
      <c r="B44" s="7">
        <v>4010</v>
      </c>
      <c r="C44" s="22" t="s">
        <v>216</v>
      </c>
      <c r="D44" s="22" t="s">
        <v>288</v>
      </c>
      <c r="E44" s="13">
        <v>42700.345092592594</v>
      </c>
      <c r="F44" s="13">
        <v>42700.424537037034</v>
      </c>
      <c r="G44" s="7">
        <v>1</v>
      </c>
      <c r="H44" s="22" t="s">
        <v>617</v>
      </c>
      <c r="I44" s="13">
        <v>42700.45144675926</v>
      </c>
      <c r="J44" s="7">
        <v>0</v>
      </c>
      <c r="K44" s="109" t="str">
        <f t="shared" si="0"/>
        <v>4009/4010</v>
      </c>
      <c r="L44" s="22" t="str">
        <f>VLOOKUP(A44,'Trips&amp;Operators'!$C$1:$E$10000,3,FALSE)</f>
        <v>ROBINSON</v>
      </c>
      <c r="M44" s="6">
        <f t="shared" si="1"/>
        <v>2.6909722226264421E-2</v>
      </c>
      <c r="N44" s="7">
        <f t="shared" si="2"/>
        <v>38.750000005820766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07:16:56-700',mode:absolute,to:'2016-11-26 11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23.3</v>
      </c>
      <c r="Z44" s="67">
        <f t="shared" si="9"/>
        <v>1.38E-2</v>
      </c>
      <c r="AA44" s="67">
        <f t="shared" si="10"/>
        <v>23.286200000000001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0132-26</v>
      </c>
      <c r="AE44" s="91" t="str">
        <f t="shared" si="12"/>
        <v>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 &amp; 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</v>
      </c>
      <c r="AF44" s="88" t="str">
        <f t="shared" si="13"/>
        <v>"C:\Program Files (x86)\AstroGrep\AstroGrep.exe" /spath="%USERPROFILE%\AppData\Local\Temp\OnboardLogs" /stypes="app*4010*20161126*" /stext=" 17:.+((SYSTEM_STATE.+slice.+state.+changed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132-26 --locoid 4010 --swversion DE.1.0.8.0 --startMP 204:233000 --initTime 2016-11-26T08:16:56 --startdatetime 2016-11-26T10:11:20 --delay 1 --endMP 204:138 --enddatetime 2016-11-26T10:50:05 --enforcementcount 0 &gt;&gt;C:\Users\stu\Documents\GitHub\eaglep3-reporting\EC\2016-11-26-refined-times.txt</v>
      </c>
      <c r="AI44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{"issue":{"subject":"","project_id":79,"tracker_id":40,"status_id":1,"priority_id":2,"assigned_to_id":23,"start_date":"2016-11-26","description":"","custom_fields":[{"id":1,"name":"Subdivision","value":"EC"},{"id":4,"name":"Milepost","value":"0.0138"},{"id":17,"name":"Train ID","value":"132-26"},{"id":16,"name":"Locomotive ID","value":"4010"},{"id":130,"name":"Impact","value":""},{"id":150,"name":"Time of Event (Mountain Time)","value":"10:50:05"},{"id":151,"name":"Denver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458</v>
      </c>
      <c r="B45" s="7">
        <v>4031</v>
      </c>
      <c r="C45" s="22" t="s">
        <v>216</v>
      </c>
      <c r="D45" s="22" t="s">
        <v>269</v>
      </c>
      <c r="E45" s="13">
        <v>42700.317094907405</v>
      </c>
      <c r="F45" s="13">
        <v>42700.32340277778</v>
      </c>
      <c r="G45" s="7">
        <v>2</v>
      </c>
      <c r="H45" s="22" t="s">
        <v>320</v>
      </c>
      <c r="I45" s="13">
        <v>42700.347511574073</v>
      </c>
      <c r="J45" s="7">
        <v>0</v>
      </c>
      <c r="K45" s="109" t="str">
        <f t="shared" si="0"/>
        <v>4031/4032</v>
      </c>
      <c r="L45" s="22" t="str">
        <f>VLOOKUP(A45,'Trips&amp;Operators'!$C$1:$E$10000,3,FALSE)</f>
        <v>ACKERMAN</v>
      </c>
      <c r="M45" s="6">
        <f t="shared" si="1"/>
        <v>2.4108796293148771E-2</v>
      </c>
      <c r="N45" s="7">
        <f t="shared" si="2"/>
        <v>34.71666666213423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06:36:37-700',mode:absolute,to:'2016-11-26 09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4.5699999999999998E-2</v>
      </c>
      <c r="Z45" s="67">
        <f t="shared" si="9"/>
        <v>23.329799999999999</v>
      </c>
      <c r="AA45" s="67">
        <f t="shared" si="10"/>
        <v>23.284099999999999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0133-26</v>
      </c>
      <c r="AE45" s="91" t="str">
        <f t="shared" si="12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45" s="88" t="str">
        <f t="shared" si="13"/>
        <v>"C:\Program Files (x86)\AstroGrep\AstroGrep.exe" /spath="%USERPROFILE%\AppData\Local\Temp\OnboardLogs" /stypes="app*4031*20161126*"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133-26 --locoid 4031 --swversion DE.1.0.8.0 --startMP 204:457 --initTime 2016-11-26T07:36:37 --startdatetime 2016-11-26T07:45:42 --delay 2 --endMP 204:233298 --enddatetime 2016-11-26T08:20:25 --enforcementcount 0 &gt;&gt;C:\Users\stu\Documents\GitHub\eaglep3-reporting\EC\2016-11-26-refined-times.txt</v>
      </c>
      <c r="AI45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{"issue":{"subject":"","project_id":79,"tracker_id":40,"status_id":1,"priority_id":2,"assigned_to_id":23,"start_date":"2016-11-26","description":"","custom_fields":[{"id":1,"name":"Subdivision","value":"EC"},{"id":4,"name":"Milepost","value":"23.3298"},{"id":17,"name":"Train ID","value":"133-26"},{"id":16,"name":"Locomotive ID","value":"4031"},{"id":130,"name":"Impact","value":""},{"id":150,"name":"Time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401</v>
      </c>
      <c r="B46" s="7">
        <v>4032</v>
      </c>
      <c r="C46" s="22" t="s">
        <v>216</v>
      </c>
      <c r="D46" s="22" t="s">
        <v>242</v>
      </c>
      <c r="E46" s="13">
        <v>42700.354444444441</v>
      </c>
      <c r="F46" s="13">
        <v>42700.362071759257</v>
      </c>
      <c r="G46" s="7">
        <v>1</v>
      </c>
      <c r="H46" s="22" t="s">
        <v>312</v>
      </c>
      <c r="I46" s="13">
        <v>42700.388437499998</v>
      </c>
      <c r="J46" s="7">
        <v>1</v>
      </c>
      <c r="K46" s="109" t="str">
        <f t="shared" si="0"/>
        <v>4031/4032</v>
      </c>
      <c r="L46" s="22" t="str">
        <f>VLOOKUP(A46,'Trips&amp;Operators'!$C$1:$E$10000,3,FALSE)</f>
        <v>ACKERMAN</v>
      </c>
      <c r="M46" s="6">
        <f t="shared" si="1"/>
        <v>2.6365740741312038E-2</v>
      </c>
      <c r="N46" s="7">
        <f t="shared" si="2"/>
        <v>37.966666667489335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07:30:24-700',mode:absolute,to:'2016-11-26 10:19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23.2987</v>
      </c>
      <c r="Z46" s="67">
        <f t="shared" si="9"/>
        <v>1.4500000000000001E-2</v>
      </c>
      <c r="AA46" s="67">
        <f t="shared" si="10"/>
        <v>23.284199999999998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0134-26</v>
      </c>
      <c r="AE46" s="91" t="str">
        <f t="shared" si="12"/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AF46" s="88" t="str">
        <f t="shared" si="13"/>
        <v>"C:\Program Files (x86)\AstroGrep\AstroGrep.exe" /spath="%USERPROFILE%\AppData\Local\Temp\OnboardLogs" /stypes="app*4032*20161126*"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134-26 --locoid 4032 --swversion DE.1.0.8.0 --startMP 204:232987 --initTime 2016-11-26T08:30:24 --startdatetime 2016-11-26T08:41:23 --delay 1 --endMP 204:145 --enddatetime 2016-11-26T09:19:21 --enforcementcount 1 &gt;&gt;C:\Users\stu\Documents\GitHub\eaglep3-reporting\EC\2016-11-26-refined-times.txt</v>
      </c>
      <c r="AI46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{"issue":{"subject":"","project_id":79,"tracker_id":40,"status_id":1,"priority_id":2,"assigned_to_id":23,"start_date":"2016-11-26","description":"","custom_fields":[{"id":1,"name":"Subdivision","value":"EC"},{"id":4,"name":"Milepost","value":"0.0145"},{"id":17,"name":"Train ID","value":"134-26"},{"id":16,"name":"Locomotive ID","value":"4032"},{"id":130,"name":"Impact","value":""},{"id":150,"name":"Time of Event (Mountain Time)","value":"09:19:21"},{"id":151,"name":"Denver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460</v>
      </c>
      <c r="B47" s="7">
        <v>4003</v>
      </c>
      <c r="C47" s="22" t="s">
        <v>216</v>
      </c>
      <c r="D47" s="22" t="s">
        <v>260</v>
      </c>
      <c r="E47" s="13">
        <v>42700.328298611108</v>
      </c>
      <c r="F47" s="13">
        <v>42700.333506944444</v>
      </c>
      <c r="G47" s="7">
        <v>1</v>
      </c>
      <c r="H47" s="22" t="s">
        <v>369</v>
      </c>
      <c r="I47" s="13">
        <v>42700.358877314815</v>
      </c>
      <c r="J47" s="7">
        <v>0</v>
      </c>
      <c r="K47" s="109" t="str">
        <f t="shared" si="0"/>
        <v>4003/4004</v>
      </c>
      <c r="L47" s="22" t="str">
        <f>VLOOKUP(A47,'Trips&amp;Operators'!$C$1:$E$10000,3,FALSE)</f>
        <v>DAVIS</v>
      </c>
      <c r="M47" s="6">
        <f t="shared" si="1"/>
        <v>2.5370370371092577E-2</v>
      </c>
      <c r="N47" s="7">
        <f t="shared" si="2"/>
        <v>36.53333333437331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06:52:45-700',mode:absolute,to:'2016-11-26 09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4.4600000000000001E-2</v>
      </c>
      <c r="Z47" s="67">
        <f t="shared" si="9"/>
        <v>23.330100000000002</v>
      </c>
      <c r="AA47" s="67">
        <f t="shared" si="10"/>
        <v>23.285500000000003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0135-26</v>
      </c>
      <c r="AE47" s="91" t="str">
        <f t="shared" si="12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47" s="88" t="str">
        <f t="shared" si="13"/>
        <v>"C:\Program Files (x86)\AstroGrep\AstroGrep.exe" /spath="%USERPROFILE%\AppData\Local\Temp\OnboardLogs" /stypes="app*4003*20161126*"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135-26 --locoid 4003 --swversion DE.1.0.8.0 --startMP 204:446 --initTime 2016-11-26T07:52:45 --startdatetime 2016-11-26T08:00:15 --delay 1 --endMP 204:233301 --enddatetime 2016-11-26T08:36:47 --enforcementcount 0 &gt;&gt;C:\Users\stu\Documents\GitHub\eaglep3-reporting\EC\2016-11-26-refined-times.txt</v>
      </c>
      <c r="AI47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{"issue":{"subject":"","project_id":79,"tracker_id":40,"status_id":1,"priority_id":2,"assigned_to_id":23,"start_date":"2016-11-26","description":"","custom_fields":[{"id":1,"name":"Subdivision","value":"EC"},{"id":4,"name":"Milepost","value":"23.3301"},{"id":17,"name":"Train ID","value":"135-26"},{"id":16,"name":"Locomotive ID","value":"4003"},{"id":130,"name":"Impact","value":""},{"id":150,"name":"Time of Event (Mountain Time)","value":"08:36:47"},{"id":151,"name":"Denver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465</v>
      </c>
      <c r="B48" s="7">
        <v>4004</v>
      </c>
      <c r="C48" s="22" t="s">
        <v>216</v>
      </c>
      <c r="D48" s="22" t="s">
        <v>372</v>
      </c>
      <c r="E48" s="13">
        <v>42700.368831018517</v>
      </c>
      <c r="F48" s="13">
        <v>42700.372395833336</v>
      </c>
      <c r="G48" s="7">
        <v>1</v>
      </c>
      <c r="H48" s="22" t="s">
        <v>312</v>
      </c>
      <c r="I48" s="13">
        <v>42700.399386574078</v>
      </c>
      <c r="J48" s="7">
        <v>0</v>
      </c>
      <c r="K48" s="109" t="str">
        <f t="shared" si="0"/>
        <v>4003/4004</v>
      </c>
      <c r="L48" s="22" t="str">
        <f>VLOOKUP(A48,'Trips&amp;Operators'!$C$1:$E$10000,3,FALSE)</f>
        <v>DAVIS</v>
      </c>
      <c r="M48" s="6">
        <f t="shared" si="1"/>
        <v>2.6990740741894115E-2</v>
      </c>
      <c r="N48" s="7">
        <f t="shared" si="2"/>
        <v>38.866666668327525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07:51:07-700',mode:absolute,to:'2016-11-26 10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23.2986</v>
      </c>
      <c r="Z48" s="67">
        <f t="shared" si="9"/>
        <v>1.4500000000000001E-2</v>
      </c>
      <c r="AA48" s="67">
        <f t="shared" si="10"/>
        <v>23.284099999999999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0136-26</v>
      </c>
      <c r="AE48" s="91" t="str">
        <f t="shared" si="12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48" s="88" t="str">
        <f t="shared" si="13"/>
        <v>"C:\Program Files (x86)\AstroGrep\AstroGrep.exe" /spath="%USERPROFILE%\AppData\Local\Temp\OnboardLogs" /stypes="app*4004*20161126*"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136-26 --locoid 4004 --swversion DE.1.0.8.0 --startMP 204:232986 --initTime 2016-11-26T08:51:07 --startdatetime 2016-11-26T08:56:15 --delay 1 --endMP 204:145 --enddatetime 2016-11-26T09:35:07 --enforcementcount 0 &gt;&gt;C:\Users\stu\Documents\GitHub\eaglep3-reporting\EC\2016-11-26-refined-times.txt</v>
      </c>
      <c r="AI48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{"issue":{"subject":"","project_id":79,"tracker_id":40,"status_id":1,"priority_id":2,"assigned_to_id":23,"start_date":"2016-11-26","description":"","custom_fields":[{"id":1,"name":"Subdivision","value":"EC"},{"id":4,"name":"Milepost","value":"0.0145"},{"id":17,"name":"Train ID","value":"136-26"},{"id":16,"name":"Locomotive ID","value":"4004"},{"id":130,"name":"Impact","value":""},{"id":150,"name":"Time of Event (Mountain Time)","value":"09:35:07"},{"id":151,"name":"Denver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461</v>
      </c>
      <c r="B49" s="7">
        <v>4046</v>
      </c>
      <c r="C49" s="22" t="s">
        <v>216</v>
      </c>
      <c r="D49" s="22" t="s">
        <v>623</v>
      </c>
      <c r="E49" s="13">
        <v>42700.339409722219</v>
      </c>
      <c r="F49" s="13">
        <v>42700.351331018515</v>
      </c>
      <c r="G49" s="7">
        <v>16</v>
      </c>
      <c r="H49" s="22" t="s">
        <v>366</v>
      </c>
      <c r="I49" s="13">
        <v>42700.376122685186</v>
      </c>
      <c r="J49" s="7">
        <v>0</v>
      </c>
      <c r="K49" s="109" t="str">
        <f t="shared" si="0"/>
        <v>4045/4046</v>
      </c>
      <c r="L49" s="22" t="str">
        <f>VLOOKUP(A49,'Trips&amp;Operators'!$C$1:$E$10000,3,FALSE)</f>
        <v>KILLION</v>
      </c>
      <c r="M49" s="6">
        <f t="shared" si="1"/>
        <v>2.4791666670353152E-2</v>
      </c>
      <c r="N49" s="7"/>
      <c r="O49" s="7"/>
      <c r="P49" s="7">
        <f t="shared" si="2"/>
        <v>35.700000005308539</v>
      </c>
      <c r="Q49" s="23"/>
      <c r="R49" s="23" t="s">
        <v>748</v>
      </c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07:08:45-700',mode:absolute,to:'2016-11-26 10:01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9" s="52" t="str">
        <f t="shared" si="6"/>
        <v>Y</v>
      </c>
      <c r="X49" s="177">
        <f t="shared" si="7"/>
        <v>1</v>
      </c>
      <c r="Y49" s="67">
        <f t="shared" si="8"/>
        <v>1.9139999999999999</v>
      </c>
      <c r="Z49" s="67">
        <f t="shared" si="9"/>
        <v>23.33</v>
      </c>
      <c r="AA49" s="67">
        <f t="shared" si="10"/>
        <v>21.415999999999997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0137-26</v>
      </c>
      <c r="AE49" s="91" t="str">
        <f t="shared" si="12"/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AF49" s="88" t="str">
        <f t="shared" si="13"/>
        <v>"C:\Program Files (x86)\AstroGrep\AstroGrep.exe" /spath="%USERPROFILE%\AppData\Local\Temp\OnboardLogs" /stypes="app*4046*20161126*"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137-26 --locoid 4046 --swversion DE.1.0.8.0 --startMP 204:19140 --initTime 2016-11-26T08:08:45 --startdatetime 2016-11-26T08:25:55 --delay 16 --endMP 204:233300 --enddatetime 2016-11-26T09:01:37 --enforcementcount 0 &gt;&gt;C:\Users\stu\Documents\GitHub\eaglep3-reporting\EC\2016-11-26-refined-times.txt</v>
      </c>
      <c r="AI49" s="119" t="str">
        <f t="shared" si="18"/>
        <v>echo {"issue":{"subject":"Onboard in-route failure","project_id":79,"tracker_id":40,"status_id":1,"priority_id":2,"assigned_to_id":23,"start_date":"2016-11-26","description":"At 15:11:02 UTC, multiple cpu faults","custom_fields":[{"id":1,"name":"Subdivision","value":"EC"},{"id":4,"name":"Milepost","value":"23.33"},{"id":17,"name":"Train ID","value":"137-26"},{"id":16,"name":"Locomotive ID","value":"4046"},{"id":130,"name":"Impact","value":"Failed State"},{"id":150,"name":"Time of Event (Mountain Time)","value":"09:01:37"},{"id":151,"name":"Denver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49" s="53" t="s">
        <v>750</v>
      </c>
      <c r="AK49" s="53" t="s">
        <v>128</v>
      </c>
      <c r="AL49" s="53" t="s">
        <v>177</v>
      </c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461</v>
      </c>
      <c r="B50" s="7">
        <v>4046</v>
      </c>
      <c r="C50" s="22" t="s">
        <v>216</v>
      </c>
      <c r="D50" s="22" t="s">
        <v>198</v>
      </c>
      <c r="E50" s="13">
        <v>42700.339409722219</v>
      </c>
      <c r="F50" s="13">
        <v>42700.351331018515</v>
      </c>
      <c r="G50" s="7">
        <v>2</v>
      </c>
      <c r="H50" s="22" t="s">
        <v>366</v>
      </c>
      <c r="I50" s="13">
        <v>42700.376122685186</v>
      </c>
      <c r="J50" s="7">
        <v>0</v>
      </c>
      <c r="K50" s="109" t="str">
        <f t="shared" si="0"/>
        <v>4045/4046</v>
      </c>
      <c r="L50" s="22" t="str">
        <f>VLOOKUP(A50,'Trips&amp;Operators'!$C$1:$E$10000,3,FALSE)</f>
        <v>KILLION</v>
      </c>
      <c r="M50" s="6">
        <f t="shared" si="1"/>
        <v>2.4791666670353152E-2</v>
      </c>
      <c r="N50" s="7"/>
      <c r="O50" s="7"/>
      <c r="P50" s="7"/>
      <c r="Q50" s="23"/>
      <c r="R50" s="23"/>
      <c r="S50" s="35"/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07:08:45-700',mode:absolute,to:'2016-11-26 10:01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0" s="52" t="str">
        <f t="shared" si="6"/>
        <v>N</v>
      </c>
      <c r="X50" s="177">
        <f t="shared" si="7"/>
        <v>0</v>
      </c>
      <c r="Y50" s="67">
        <f t="shared" si="8"/>
        <v>4.53E-2</v>
      </c>
      <c r="Z50" s="67">
        <f t="shared" si="9"/>
        <v>23.33</v>
      </c>
      <c r="AA50" s="67">
        <f t="shared" si="10"/>
        <v>23.284699999999997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0137-26</v>
      </c>
      <c r="AE50" s="91" t="str">
        <f t="shared" si="12"/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AF50" s="88" t="str">
        <f t="shared" si="13"/>
        <v>"C:\Program Files (x86)\AstroGrep\AstroGrep.exe" /spath="%USERPROFILE%\AppData\Local\Temp\OnboardLogs" /stypes="app*4046*20161126*"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137-26 --locoid 4046 --swversion DE.1.0.8.0 --startMP 204:453 --initTime 2016-11-26T08:08:45 --startdatetime 2016-11-26T08:25:55 --delay 2 --endMP 204:233300 --enddatetime 2016-11-26T09:01:37 --enforcementcount 0 &gt;&gt;C:\Users\stu\Documents\GitHub\eaglep3-reporting\EC\2016-11-26-refined-times.txt</v>
      </c>
      <c r="AI50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{"issue":{"subject":"","project_id":79,"tracker_id":40,"status_id":1,"priority_id":2,"assigned_to_id":23,"start_date":"2016-11-26","description":"","custom_fields":[{"id":1,"name":"Subdivision","value":"EC"},{"id":4,"name":"Milepost","value":"23.33"},{"id":17,"name":"Train ID","value":"137-26"},{"id":16,"name":"Locomotive ID","value":"4046"},{"id":130,"name":"Impact","value":""},{"id":150,"name":"Time of Event (Mountain Time)","value":"09:01:37"},{"id":151,"name":"Denver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468</v>
      </c>
      <c r="B51" s="7">
        <v>4045</v>
      </c>
      <c r="C51" s="22" t="s">
        <v>216</v>
      </c>
      <c r="D51" s="22" t="s">
        <v>257</v>
      </c>
      <c r="E51" s="13">
        <v>42700.380601851852</v>
      </c>
      <c r="F51" s="13">
        <v>42700.383125</v>
      </c>
      <c r="G51" s="7">
        <v>1</v>
      </c>
      <c r="H51" s="22" t="s">
        <v>238</v>
      </c>
      <c r="I51" s="13">
        <v>42700.40966435185</v>
      </c>
      <c r="J51" s="7">
        <v>0</v>
      </c>
      <c r="K51" s="109" t="str">
        <f t="shared" si="0"/>
        <v>4045/4046</v>
      </c>
      <c r="L51" s="22" t="str">
        <f>VLOOKUP(A51,'Trips&amp;Operators'!$C$1:$E$10000,3,FALSE)</f>
        <v>KILLION</v>
      </c>
      <c r="M51" s="6">
        <f t="shared" si="1"/>
        <v>2.6539351849351078E-2</v>
      </c>
      <c r="N51" s="7">
        <f t="shared" si="2"/>
        <v>38.216666663065553</v>
      </c>
      <c r="O51" s="7"/>
      <c r="P51" s="7"/>
      <c r="Q51" s="23"/>
      <c r="R51" s="23"/>
      <c r="S51" s="35">
        <f t="shared" si="3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08:08:04-700',mode:absolute,to:'2016-11-26 10:49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23.298300000000001</v>
      </c>
      <c r="Z51" s="67">
        <f t="shared" si="9"/>
        <v>1.54E-2</v>
      </c>
      <c r="AA51" s="67">
        <f t="shared" si="10"/>
        <v>23.282900000000001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0138-26</v>
      </c>
      <c r="AE51" s="91" t="str">
        <f t="shared" si="12"/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AF51" s="88" t="str">
        <f t="shared" si="13"/>
        <v>"C:\Program Files (x86)\AstroGrep\AstroGrep.exe" /spath="%USERPROFILE%\AppData\Local\Temp\OnboardLogs" /stypes="app*4045*20161126*"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138-26 --locoid 4045 --swversion DE.1.0.8.0 --startMP 204:232983 --initTime 2016-11-26T09:08:04 --startdatetime 2016-11-26T09:11:42 --delay 1 --endMP 204:154 --enddatetime 2016-11-26T09:49:55 --enforcementcount 0 &gt;&gt;C:\Users\stu\Documents\GitHub\eaglep3-reporting\EC\2016-11-26-refined-times.txt</v>
      </c>
      <c r="AI51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{"issue":{"subject":"","project_id":79,"tracker_id":40,"status_id":1,"priority_id":2,"assigned_to_id":23,"start_date":"2016-11-26","description":"","custom_fields":[{"id":1,"name":"Subdivision","value":"EC"},{"id":4,"name":"Milepost","value":"0.0154"},{"id":17,"name":"Train ID","value":"138-26"},{"id":16,"name":"Locomotive ID","value":"4045"},{"id":130,"name":"Impact","value":""},{"id":150,"name":"Time of Event (Mountain Time)","value":"09:49:55"},{"id":151,"name":"Denver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463</v>
      </c>
      <c r="B52" s="7">
        <v>4029</v>
      </c>
      <c r="C52" s="22" t="s">
        <v>216</v>
      </c>
      <c r="D52" s="22" t="s">
        <v>256</v>
      </c>
      <c r="E52" s="13">
        <v>42700.348749999997</v>
      </c>
      <c r="F52" s="13">
        <v>42700.35434027778</v>
      </c>
      <c r="G52" s="7">
        <v>6</v>
      </c>
      <c r="H52" s="22" t="s">
        <v>271</v>
      </c>
      <c r="I52" s="13">
        <v>42700.378483796296</v>
      </c>
      <c r="J52" s="7">
        <v>0</v>
      </c>
      <c r="K52" s="109" t="str">
        <f t="shared" si="0"/>
        <v>4029/4030</v>
      </c>
      <c r="L52" s="22" t="str">
        <f>VLOOKUP(A52,'Trips&amp;Operators'!$C$1:$E$10000,3,FALSE)</f>
        <v>GEBRETEKLE</v>
      </c>
      <c r="M52" s="6">
        <f t="shared" si="1"/>
        <v>2.414351851621177E-2</v>
      </c>
      <c r="N52" s="7">
        <f t="shared" si="2"/>
        <v>34.766666663344949</v>
      </c>
      <c r="O52" s="7"/>
      <c r="P52" s="7"/>
      <c r="Q52" s="23"/>
      <c r="R52" s="23"/>
      <c r="S52" s="35">
        <f t="shared" si="3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07:22:12-700',mode:absolute,to:'2016-11-26 10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4.5499999999999999E-2</v>
      </c>
      <c r="Z52" s="67">
        <f t="shared" si="9"/>
        <v>23.3293</v>
      </c>
      <c r="AA52" s="67">
        <f t="shared" si="10"/>
        <v>23.283799999999999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0139-26</v>
      </c>
      <c r="AE52" s="91" t="str">
        <f t="shared" si="12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52" s="88" t="str">
        <f t="shared" si="13"/>
        <v>"C:\Program Files (x86)\AstroGrep\AstroGrep.exe" /spath="%USERPROFILE%\AppData\Local\Temp\OnboardLogs" /stypes="app*4029*20161126*"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139-26 --locoid 4029 --swversion DE.1.0.8.0 --startMP 204:455 --initTime 2016-11-26T08:22:12 --startdatetime 2016-11-26T08:30:15 --delay 6 --endMP 204:233293 --enddatetime 2016-11-26T09:05:01 --enforcementcount 0 &gt;&gt;C:\Users\stu\Documents\GitHub\eaglep3-reporting\EC\2016-11-26-refined-times.txt</v>
      </c>
      <c r="AI52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{"issue":{"subject":"","project_id":79,"tracker_id":40,"status_id":1,"priority_id":2,"assigned_to_id":23,"start_date":"2016-11-26","description":"","custom_fields":[{"id":1,"name":"Subdivision","value":"EC"},{"id":4,"name":"Milepost","value":"23.3293"},{"id":17,"name":"Train ID","value":"139-26"},{"id":16,"name":"Locomotive ID","value":"4029"},{"id":130,"name":"Impact","value":""},{"id":150,"name":"Time of Event (Mountain Time)","value":"09:05:01"},{"id":151,"name":"Denver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470</v>
      </c>
      <c r="B53" s="7">
        <v>4030</v>
      </c>
      <c r="C53" s="22" t="s">
        <v>216</v>
      </c>
      <c r="D53" s="22" t="s">
        <v>266</v>
      </c>
      <c r="E53" s="13">
        <v>42700.387569444443</v>
      </c>
      <c r="F53" s="13">
        <v>42700.393263888887</v>
      </c>
      <c r="G53" s="7">
        <v>1</v>
      </c>
      <c r="H53" s="22" t="s">
        <v>175</v>
      </c>
      <c r="I53" s="13">
        <v>42700.419675925928</v>
      </c>
      <c r="J53" s="7">
        <v>0</v>
      </c>
      <c r="K53" s="109" t="str">
        <f t="shared" si="0"/>
        <v>4029/4030</v>
      </c>
      <c r="L53" s="22" t="str">
        <f>VLOOKUP(A53,'Trips&amp;Operators'!$C$1:$E$10000,3,FALSE)</f>
        <v>GEBRETEKLE</v>
      </c>
      <c r="M53" s="6">
        <f t="shared" si="1"/>
        <v>2.641203704115469E-2</v>
      </c>
      <c r="N53" s="7">
        <f t="shared" si="2"/>
        <v>38.033333339262754</v>
      </c>
      <c r="O53" s="7"/>
      <c r="P53" s="7"/>
      <c r="Q53" s="23"/>
      <c r="R53" s="23"/>
      <c r="S53" s="35">
        <f t="shared" si="3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08:18:06-700',mode:absolute,to:'2016-11-26 11:04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23.2973</v>
      </c>
      <c r="Z53" s="67">
        <f t="shared" si="9"/>
        <v>1.52E-2</v>
      </c>
      <c r="AA53" s="67">
        <f t="shared" si="10"/>
        <v>23.2821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0140-26</v>
      </c>
      <c r="AE53" s="91" t="str">
        <f t="shared" si="12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53" s="88" t="str">
        <f t="shared" si="13"/>
        <v>"C:\Program Files (x86)\AstroGrep\AstroGrep.exe" /spath="%USERPROFILE%\AppData\Local\Temp\OnboardLogs" /stypes="app*4030*20161126*"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140-26 --locoid 4030 --swversion DE.1.0.8.0 --startMP 204:232973 --initTime 2016-11-26T09:18:06 --startdatetime 2016-11-26T09:26:18 --delay 1 --endMP 204:152 --enddatetime 2016-11-26T10:04:20 --enforcementcount 0 &gt;&gt;C:\Users\stu\Documents\GitHub\eaglep3-reporting\EC\2016-11-26-refined-times.txt</v>
      </c>
      <c r="AI53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{"issue":{"subject":"","project_id":79,"tracker_id":40,"status_id":1,"priority_id":2,"assigned_to_id":23,"start_date":"2016-11-26","description":"","custom_fields":[{"id":1,"name":"Subdivision","value":"EC"},{"id":4,"name":"Milepost","value":"0.0152"},{"id":17,"name":"Train ID","value":"140-26"},{"id":16,"name":"Locomotive ID","value":"4030"},{"id":130,"name":"Impact","value":""},{"id":150,"name":"Time of Event (Mountain Time)","value":"10:04:20"},{"id":151,"name":"Denver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400</v>
      </c>
      <c r="B54" s="7">
        <v>4044</v>
      </c>
      <c r="C54" s="22" t="s">
        <v>216</v>
      </c>
      <c r="D54" s="22" t="s">
        <v>240</v>
      </c>
      <c r="E54" s="13">
        <v>42700.361168981479</v>
      </c>
      <c r="F54" s="13">
        <v>42700.36519675926</v>
      </c>
      <c r="G54" s="7">
        <v>1</v>
      </c>
      <c r="H54" s="22" t="s">
        <v>313</v>
      </c>
      <c r="I54" s="13">
        <v>42700.390983796293</v>
      </c>
      <c r="J54" s="7">
        <v>1</v>
      </c>
      <c r="K54" s="109" t="str">
        <f t="shared" si="0"/>
        <v>4043/4044</v>
      </c>
      <c r="L54" s="22" t="str">
        <f>VLOOKUP(A54,'Trips&amp;Operators'!$C$1:$E$10000,3,FALSE)</f>
        <v>MAELZER</v>
      </c>
      <c r="M54" s="6">
        <f t="shared" si="1"/>
        <v>2.5787037033296656E-2</v>
      </c>
      <c r="N54" s="7">
        <f t="shared" si="2"/>
        <v>37.133333327947184</v>
      </c>
      <c r="O54" s="7"/>
      <c r="P54" s="7"/>
      <c r="Q54" s="23"/>
      <c r="R54" s="23"/>
      <c r="S54" s="35">
        <f t="shared" si="3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07:40:05-700',mode:absolute,to:'2016-11-26 10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4.4900000000000002E-2</v>
      </c>
      <c r="Z54" s="67">
        <f t="shared" si="9"/>
        <v>23.331199999999999</v>
      </c>
      <c r="AA54" s="67">
        <f t="shared" si="10"/>
        <v>23.286300000000001</v>
      </c>
      <c r="AB54" s="64" t="str">
        <f>VLOOKUP(A54,Enforcements!$C$7:$K$20,8,0)</f>
        <v>Signal based authority (5)</v>
      </c>
      <c r="AC54" s="60" t="str">
        <f>VLOOKUP(A54,Enforcements!$C$7:$E$20,3,0)</f>
        <v>SIGNAL</v>
      </c>
      <c r="AD54" s="61" t="str">
        <f t="shared" si="11"/>
        <v>0141-26</v>
      </c>
      <c r="AE54" s="91" t="str">
        <f t="shared" si="12"/>
        <v>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 &amp; 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</v>
      </c>
      <c r="AF54" s="88" t="str">
        <f t="shared" si="13"/>
        <v>"C:\Program Files (x86)\AstroGrep\AstroGrep.exe" /spath="%USERPROFILE%\AppData\Local\Temp\OnboardLogs" /stypes="app*4044*20161126*"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141-26 --locoid 4044 --swversion DE.1.0.8.0 --startMP 204:449 --initTime 2016-11-26T08:40:05 --startdatetime 2016-11-26T08:45:53 --delay 1 --endMP 204:233312 --enddatetime 2016-11-26T09:23:01 --enforcementcount 1 &gt;&gt;C:\Users\stu\Documents\GitHub\eaglep3-reporting\EC\2016-11-26-refined-times.txt</v>
      </c>
      <c r="AI54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{"issue":{"subject":"","project_id":79,"tracker_id":40,"status_id":1,"priority_id":2,"assigned_to_id":23,"start_date":"2016-11-26","description":"","custom_fields":[{"id":1,"name":"Subdivision","value":"EC"},{"id":4,"name":"Milepost","value":"23.3312"},{"id":17,"name":"Train ID","value":"141-26"},{"id":16,"name":"Locomotive ID","value":"4044"},{"id":130,"name":"Impact","value":""},{"id":150,"name":"Time of Event (Mountain Time)","value":"09:23:01"},{"id":151,"name":"Denver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472</v>
      </c>
      <c r="B55" s="7">
        <v>4043</v>
      </c>
      <c r="C55" s="22" t="s">
        <v>216</v>
      </c>
      <c r="D55" s="22" t="s">
        <v>368</v>
      </c>
      <c r="E55" s="13">
        <v>42700.396354166667</v>
      </c>
      <c r="F55" s="13">
        <v>42700.403912037036</v>
      </c>
      <c r="G55" s="7">
        <v>0</v>
      </c>
      <c r="H55" s="22" t="s">
        <v>624</v>
      </c>
      <c r="I55" s="13">
        <v>42700.429826388892</v>
      </c>
      <c r="J55" s="7">
        <v>0</v>
      </c>
      <c r="K55" s="109" t="str">
        <f t="shared" si="0"/>
        <v>4043/4044</v>
      </c>
      <c r="L55" s="22" t="str">
        <f>VLOOKUP(A55,'Trips&amp;Operators'!$C$1:$E$10000,3,FALSE)</f>
        <v>MAELZER</v>
      </c>
      <c r="M55" s="6">
        <f t="shared" si="1"/>
        <v>2.5914351856044959E-2</v>
      </c>
      <c r="N55" s="7">
        <f t="shared" si="2"/>
        <v>37.316666672704741</v>
      </c>
      <c r="O55" s="7"/>
      <c r="P55" s="7"/>
      <c r="Q55" s="23"/>
      <c r="R55" s="23"/>
      <c r="S55" s="35">
        <f t="shared" si="3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08:30:45-700',mode:absolute,to:'2016-11-26 11:18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23.300599999999999</v>
      </c>
      <c r="Z55" s="67">
        <f t="shared" si="9"/>
        <v>1.6E-2</v>
      </c>
      <c r="AA55" s="67">
        <f t="shared" si="10"/>
        <v>23.284600000000001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0142-26</v>
      </c>
      <c r="AE55" s="91" t="str">
        <f t="shared" si="12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55" s="88" t="str">
        <f t="shared" si="13"/>
        <v>"C:\Program Files (x86)\AstroGrep\AstroGrep.exe" /spath="%USERPROFILE%\AppData\Local\Temp\OnboardLogs" /stypes="app*4043*20161126*"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142-26 --locoid 4043 --swversion DE.1.0.8.0 --startMP 204:233006 --initTime 2016-11-26T09:30:45 --startdatetime 2016-11-26T09:41:38 --delay 0 --endMP 204:160 --enddatetime 2016-11-26T10:18:57 --enforcementcount 0 &gt;&gt;C:\Users\stu\Documents\GitHub\eaglep3-reporting\EC\2016-11-26-refined-times.txt</v>
      </c>
      <c r="AI55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{"issue":{"subject":"","project_id":79,"tracker_id":40,"status_id":1,"priority_id":2,"assigned_to_id":23,"start_date":"2016-11-26","description":"","custom_fields":[{"id":1,"name":"Subdivision","value":"EC"},{"id":4,"name":"Milepost","value":"0.016"},{"id":17,"name":"Train ID","value":"142-26"},{"id":16,"name":"Locomotive ID","value":"4043"},{"id":130,"name":"Impact","value":""},{"id":150,"name":"Time of Event (Mountain Time)","value":"10:18:57"},{"id":151,"name":"Denver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466</v>
      </c>
      <c r="B56" s="7">
        <v>4038</v>
      </c>
      <c r="C56" s="22" t="s">
        <v>216</v>
      </c>
      <c r="D56" s="22" t="s">
        <v>240</v>
      </c>
      <c r="E56" s="13">
        <v>42700.372581018521</v>
      </c>
      <c r="F56" s="13">
        <v>42700.375289351854</v>
      </c>
      <c r="G56" s="7">
        <v>1</v>
      </c>
      <c r="H56" s="22" t="s">
        <v>310</v>
      </c>
      <c r="I56" s="13">
        <v>42700.401504629626</v>
      </c>
      <c r="J56" s="7">
        <v>0</v>
      </c>
      <c r="K56" s="109" t="str">
        <f t="shared" si="0"/>
        <v>4037/4038</v>
      </c>
      <c r="L56" s="22" t="str">
        <f>VLOOKUP(A56,'Trips&amp;Operators'!$C$1:$E$10000,3,FALSE)</f>
        <v>STRICKLAND</v>
      </c>
      <c r="M56" s="6">
        <f t="shared" si="1"/>
        <v>2.6215277772280388E-2</v>
      </c>
      <c r="N56" s="7">
        <f t="shared" si="2"/>
        <v>37.749999992083758</v>
      </c>
      <c r="O56" s="7"/>
      <c r="P56" s="7"/>
      <c r="Q56" s="23"/>
      <c r="R56" s="23"/>
      <c r="S56" s="35">
        <f t="shared" si="3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07:56:31-700',mode:absolute,to:'2016-11-26 10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4.4900000000000002E-2</v>
      </c>
      <c r="Z56" s="67">
        <f t="shared" si="9"/>
        <v>23.331600000000002</v>
      </c>
      <c r="AA56" s="67">
        <f t="shared" si="10"/>
        <v>23.286700000000003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0143-26</v>
      </c>
      <c r="AE56" s="91" t="str">
        <f t="shared" si="12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56" s="88" t="str">
        <f t="shared" si="13"/>
        <v>"C:\Program Files (x86)\AstroGrep\AstroGrep.exe" /spath="%USERPROFILE%\AppData\Local\Temp\OnboardLogs" /stypes="app*4038*20161126*"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143-26 --locoid 4038 --swversion DE.1.0.8.0 --startMP 204:449 --initTime 2016-11-26T08:56:31 --startdatetime 2016-11-26T09:00:25 --delay 1 --endMP 204:233316 --enddatetime 2016-11-26T09:38:10 --enforcementcount 0 &gt;&gt;C:\Users\stu\Documents\GitHub\eaglep3-reporting\EC\2016-11-26-refined-times.txt</v>
      </c>
      <c r="AI56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{"issue":{"subject":"","project_id":79,"tracker_id":40,"status_id":1,"priority_id":2,"assigned_to_id":23,"start_date":"2016-11-26","description":"","custom_fields":[{"id":1,"name":"Subdivision","value":"EC"},{"id":4,"name":"Milepost","value":"23.3316"},{"id":17,"name":"Train ID","value":"143-26"},{"id":16,"name":"Locomotive ID","value":"4038"},{"id":130,"name":"Impact","value":""},{"id":150,"name":"Time of Event (Mountain Time)","value":"09:38:10"},{"id":151,"name":"Denver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474</v>
      </c>
      <c r="B57" s="7">
        <v>4037</v>
      </c>
      <c r="C57" s="22" t="s">
        <v>216</v>
      </c>
      <c r="D57" s="22" t="s">
        <v>246</v>
      </c>
      <c r="E57" s="13">
        <v>42700.403402777774</v>
      </c>
      <c r="F57" s="13">
        <v>42700.414120370369</v>
      </c>
      <c r="G57" s="7">
        <v>2</v>
      </c>
      <c r="H57" s="22" t="s">
        <v>625</v>
      </c>
      <c r="I57" s="13">
        <v>42700.441087962965</v>
      </c>
      <c r="J57" s="7">
        <v>0</v>
      </c>
      <c r="K57" s="109" t="str">
        <f t="shared" si="0"/>
        <v>4037/4038</v>
      </c>
      <c r="L57" s="22" t="str">
        <f>VLOOKUP(A57,'Trips&amp;Operators'!$C$1:$E$10000,3,FALSE)</f>
        <v>STRICKLAND</v>
      </c>
      <c r="M57" s="6">
        <f t="shared" si="1"/>
        <v>2.6967592595610768E-2</v>
      </c>
      <c r="N57" s="7">
        <f t="shared" si="2"/>
        <v>38.833333337679505</v>
      </c>
      <c r="O57" s="7"/>
      <c r="P57" s="7"/>
      <c r="Q57" s="23"/>
      <c r="R57" s="23"/>
      <c r="S57" s="35">
        <f t="shared" si="3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08:40:54-700',mode:absolute,to:'2016-11-26 11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23.299399999999999</v>
      </c>
      <c r="Z57" s="67">
        <f t="shared" si="9"/>
        <v>1.7000000000000001E-2</v>
      </c>
      <c r="AA57" s="67">
        <f t="shared" si="10"/>
        <v>23.282399999999999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0144-26</v>
      </c>
      <c r="AE57" s="91" t="str">
        <f t="shared" si="12"/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AF57" s="88" t="str">
        <f t="shared" si="13"/>
        <v>"C:\Program Files (x86)\AstroGrep\AstroGrep.exe" /spath="%USERPROFILE%\AppData\Local\Temp\OnboardLogs" /stypes="app*4037*20161126*"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144-26 --locoid 4037 --swversion DE.1.0.8.0 --startMP 204:232994 --initTime 2016-11-26T09:40:54 --startdatetime 2016-11-26T09:56:20 --delay 2 --endMP 204:170 --enddatetime 2016-11-26T10:35:10 --enforcementcount 0 &gt;&gt;C:\Users\stu\Documents\GitHub\eaglep3-reporting\EC\2016-11-26-refined-times.txt</v>
      </c>
      <c r="AI57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{"issue":{"subject":"","project_id":79,"tracker_id":40,"status_id":1,"priority_id":2,"assigned_to_id":23,"start_date":"2016-11-26","description":"","custom_fields":[{"id":1,"name":"Subdivision","value":"EC"},{"id":4,"name":"Milepost","value":"0.017"},{"id":17,"name":"Train ID","value":"144-26"},{"id":16,"name":"Locomotive ID","value":"4037"},{"id":130,"name":"Impact","value":""},{"id":150,"name":"Time of Event (Mountain Time)","value":"10:35:10"},{"id":151,"name":"Denver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469</v>
      </c>
      <c r="B58" s="7">
        <v>4009</v>
      </c>
      <c r="C58" s="22" t="s">
        <v>216</v>
      </c>
      <c r="D58" s="22" t="s">
        <v>279</v>
      </c>
      <c r="E58" s="13">
        <v>42700.380601851852</v>
      </c>
      <c r="F58" s="13">
        <v>42700.38559027778</v>
      </c>
      <c r="G58" s="7">
        <v>1</v>
      </c>
      <c r="H58" s="22" t="s">
        <v>272</v>
      </c>
      <c r="I58" s="13">
        <v>42700.410358796296</v>
      </c>
      <c r="J58" s="7">
        <v>0</v>
      </c>
      <c r="K58" s="109" t="str">
        <f t="shared" si="0"/>
        <v>4009/4010</v>
      </c>
      <c r="L58" s="22" t="str">
        <f>VLOOKUP(A58,'Trips&amp;Operators'!$C$1:$E$10000,3,FALSE)</f>
        <v>ROBINSON</v>
      </c>
      <c r="M58" s="6">
        <f t="shared" si="1"/>
        <v>2.4768518516793847E-2</v>
      </c>
      <c r="N58" s="7">
        <f t="shared" si="2"/>
        <v>35.66666666418314</v>
      </c>
      <c r="O58" s="7"/>
      <c r="P58" s="7"/>
      <c r="Q58" s="23"/>
      <c r="R58" s="23"/>
      <c r="S58" s="35">
        <f t="shared" si="3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08:08:04-700',mode:absolute,to:'2016-11-26 10:50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4.4400000000000002E-2</v>
      </c>
      <c r="Z58" s="67">
        <f t="shared" si="9"/>
        <v>23.332100000000001</v>
      </c>
      <c r="AA58" s="67">
        <f t="shared" si="10"/>
        <v>23.287700000000001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0145-26</v>
      </c>
      <c r="AE58" s="91" t="str">
        <f t="shared" si="12"/>
        <v>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 &amp; 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</v>
      </c>
      <c r="AF58" s="88" t="str">
        <f t="shared" si="13"/>
        <v>"C:\Program Files (x86)\AstroGrep\AstroGrep.exe" /spath="%USERPROFILE%\AppData\Local\Temp\OnboardLogs" /stypes="app*4009*20161126*"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145-26 --locoid 4009 --swversion DE.1.0.8.0 --startMP 204:444 --initTime 2016-11-26T09:08:04 --startdatetime 2016-11-26T09:15:15 --delay 1 --endMP 204:233321 --enddatetime 2016-11-26T09:50:55 --enforcementcount 0 &gt;&gt;C:\Users\stu\Documents\GitHub\eaglep3-reporting\EC\2016-11-26-refined-times.txt</v>
      </c>
      <c r="AI58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{"issue":{"subject":"","project_id":79,"tracker_id":40,"status_id":1,"priority_id":2,"assigned_to_id":23,"start_date":"2016-11-26","description":"","custom_fields":[{"id":1,"name":"Subdivision","value":"EC"},{"id":4,"name":"Milepost","value":"23.3321"},{"id":17,"name":"Train ID","value":"145-26"},{"id":16,"name":"Locomotive ID","value":"4009"},{"id":130,"name":"Impact","value":""},{"id":150,"name":"Time of Event (Mountain Time)","value":"09:50:55"},{"id":151,"name":"Denver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403</v>
      </c>
      <c r="B59" s="7">
        <v>4010</v>
      </c>
      <c r="C59" s="22" t="s">
        <v>216</v>
      </c>
      <c r="D59" s="22" t="s">
        <v>621</v>
      </c>
      <c r="E59" s="13">
        <v>42700.418368055558</v>
      </c>
      <c r="F59" s="13">
        <v>42700.424537037034</v>
      </c>
      <c r="G59" s="7">
        <v>1</v>
      </c>
      <c r="H59" s="22" t="s">
        <v>626</v>
      </c>
      <c r="I59" s="13">
        <v>42700.45144675926</v>
      </c>
      <c r="J59" s="7">
        <v>1</v>
      </c>
      <c r="K59" s="109" t="str">
        <f t="shared" si="0"/>
        <v>4009/4010</v>
      </c>
      <c r="L59" s="22" t="str">
        <f>VLOOKUP(A59,'Trips&amp;Operators'!$C$1:$E$10000,3,FALSE)</f>
        <v>ROBINSON</v>
      </c>
      <c r="M59" s="6">
        <f t="shared" si="1"/>
        <v>2.6909722226264421E-2</v>
      </c>
      <c r="N59" s="7">
        <f t="shared" si="2"/>
        <v>38.750000005820766</v>
      </c>
      <c r="O59" s="7"/>
      <c r="P59" s="7"/>
      <c r="Q59" s="23"/>
      <c r="R59" s="23"/>
      <c r="S59" s="35">
        <f t="shared" si="3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09:02:27-700',mode:absolute,to:'2016-11-26 11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23.3004</v>
      </c>
      <c r="Z59" s="67">
        <f t="shared" si="9"/>
        <v>1.14E-2</v>
      </c>
      <c r="AA59" s="67">
        <f t="shared" si="10"/>
        <v>23.289000000000001</v>
      </c>
      <c r="AB59" s="64" t="str">
        <f>VLOOKUP(A59,Enforcements!$C$7:$K$20,8,0)</f>
        <v>Speed (6)</v>
      </c>
      <c r="AC59" s="60" t="str">
        <f>VLOOKUP(A59,Enforcements!$C$7:$E$20,3,0)</f>
        <v>PERMANENT SPEED RESTRICTION</v>
      </c>
      <c r="AD59" s="61" t="str">
        <f t="shared" si="11"/>
        <v>0146-26</v>
      </c>
      <c r="AE59" s="91" t="str">
        <f t="shared" si="12"/>
        <v>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 &amp; 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</v>
      </c>
      <c r="AF59" s="88" t="str">
        <f t="shared" si="13"/>
        <v>"C:\Program Files (x86)\AstroGrep\AstroGrep.exe" /spath="%USERPROFILE%\AppData\Local\Temp\OnboardLogs" /stypes="app*4010*20161126*"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146-26 --locoid 4010 --swversion DE.1.0.8.0 --startMP 204:233004 --initTime 2016-11-26T10:02:27 --startdatetime 2016-11-26T10:11:20 --delay 1 --endMP 204:114 --enddatetime 2016-11-26T10:50:05 --enforcementcount 1 &gt;&gt;C:\Users\stu\Documents\GitHub\eaglep3-reporting\EC\2016-11-26-refined-times.txt</v>
      </c>
      <c r="AI59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{"issue":{"subject":"","project_id":79,"tracker_id":40,"status_id":1,"priority_id":2,"assigned_to_id":23,"start_date":"2016-11-26","description":"","custom_fields":[{"id":1,"name":"Subdivision","value":"EC"},{"id":4,"name":"Milepost","value":"0.0114"},{"id":17,"name":"Train ID","value":"146-26"},{"id":16,"name":"Locomotive ID","value":"4010"},{"id":130,"name":"Impact","value":""},{"id":150,"name":"Time of Event (Mountain Time)","value":"10:50:05"},{"id":151,"name":"Denver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471</v>
      </c>
      <c r="B60" s="7">
        <v>4031</v>
      </c>
      <c r="C60" s="22" t="s">
        <v>216</v>
      </c>
      <c r="D60" s="22" t="s">
        <v>260</v>
      </c>
      <c r="E60" s="13">
        <v>42700.390092592592</v>
      </c>
      <c r="F60" s="13">
        <v>42700.396018518521</v>
      </c>
      <c r="G60" s="7">
        <v>2</v>
      </c>
      <c r="H60" s="22" t="s">
        <v>627</v>
      </c>
      <c r="I60" s="13">
        <v>42700.42050925926</v>
      </c>
      <c r="J60" s="7">
        <v>0</v>
      </c>
      <c r="K60" s="109" t="str">
        <f t="shared" si="0"/>
        <v>4031/4032</v>
      </c>
      <c r="L60" s="22" t="str">
        <f>VLOOKUP(A60,'Trips&amp;Operators'!$C$1:$E$10000,3,FALSE)</f>
        <v>ACKERMAN</v>
      </c>
      <c r="M60" s="6">
        <f t="shared" si="1"/>
        <v>2.4490740739565808E-2</v>
      </c>
      <c r="N60" s="7">
        <f t="shared" si="2"/>
        <v>35.266666664974764</v>
      </c>
      <c r="O60" s="7"/>
      <c r="P60" s="7"/>
      <c r="Q60" s="23"/>
      <c r="R60" s="23"/>
      <c r="S60" s="35">
        <f t="shared" si="3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08:21:44-700',mode:absolute,to:'2016-11-26 11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4.4600000000000001E-2</v>
      </c>
      <c r="Z60" s="67">
        <f t="shared" si="9"/>
        <v>23.331099999999999</v>
      </c>
      <c r="AA60" s="67">
        <f t="shared" si="10"/>
        <v>23.2865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0147-26</v>
      </c>
      <c r="AE60" s="91" t="str">
        <f t="shared" si="12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60" s="88" t="str">
        <f t="shared" si="13"/>
        <v>"C:\Program Files (x86)\AstroGrep\AstroGrep.exe" /spath="%USERPROFILE%\AppData\Local\Temp\OnboardLogs" /stypes="app*4031*20161126*"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147-26 --locoid 4031 --swversion DE.1.0.8.0 --startMP 204:446 --initTime 2016-11-26T09:21:44 --startdatetime 2016-11-26T09:30:16 --delay 2 --endMP 204:233311 --enddatetime 2016-11-26T10:05:32 --enforcementcount 0 &gt;&gt;C:\Users\stu\Documents\GitHub\eaglep3-reporting\EC\2016-11-26-refined-times.txt</v>
      </c>
      <c r="AI60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{"issue":{"subject":"","project_id":79,"tracker_id":40,"status_id":1,"priority_id":2,"assigned_to_id":23,"start_date":"2016-11-26","description":"","custom_fields":[{"id":1,"name":"Subdivision","value":"EC"},{"id":4,"name":"Milepost","value":"23.3311"},{"id":17,"name":"Train ID","value":"147-26"},{"id":16,"name":"Locomotive ID","value":"4031"},{"id":130,"name":"Impact","value":""},{"id":150,"name":"Time of Event (Mountain Time)","value":"10:05:32"},{"id":151,"name":"Denver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478</v>
      </c>
      <c r="B61" s="7">
        <v>4032</v>
      </c>
      <c r="C61" s="22" t="s">
        <v>216</v>
      </c>
      <c r="D61" s="22" t="s">
        <v>314</v>
      </c>
      <c r="E61" s="13">
        <v>42700.427754629629</v>
      </c>
      <c r="F61" s="13">
        <v>42700.434930555559</v>
      </c>
      <c r="G61" s="7">
        <v>1</v>
      </c>
      <c r="H61" s="22" t="s">
        <v>252</v>
      </c>
      <c r="I61" s="13">
        <v>42700.461423611108</v>
      </c>
      <c r="J61" s="7">
        <v>0</v>
      </c>
      <c r="K61" s="109" t="str">
        <f t="shared" si="0"/>
        <v>4031/4032</v>
      </c>
      <c r="L61" s="22" t="str">
        <f>VLOOKUP(A61,'Trips&amp;Operators'!$C$1:$E$10000,3,FALSE)</f>
        <v>ACKERMAN</v>
      </c>
      <c r="M61" s="6">
        <f t="shared" si="1"/>
        <v>2.6493055549508426E-2</v>
      </c>
      <c r="N61" s="7">
        <f t="shared" si="2"/>
        <v>38.149999991292134</v>
      </c>
      <c r="O61" s="7"/>
      <c r="P61" s="7"/>
      <c r="Q61" s="23"/>
      <c r="R61" s="23"/>
      <c r="S61" s="35">
        <f t="shared" si="3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09:15:58-700',mode:absolute,to:'2016-11-26 12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23.299600000000002</v>
      </c>
      <c r="Z61" s="67">
        <f t="shared" si="9"/>
        <v>1.47E-2</v>
      </c>
      <c r="AA61" s="67">
        <f t="shared" si="10"/>
        <v>23.2849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0148-26</v>
      </c>
      <c r="AE61" s="91" t="str">
        <f t="shared" si="12"/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AF61" s="88" t="str">
        <f t="shared" si="13"/>
        <v>"C:\Program Files (x86)\AstroGrep\AstroGrep.exe" /spath="%USERPROFILE%\AppData\Local\Temp\OnboardLogs" /stypes="app*4032*20161126*"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148-26 --locoid 4032 --swversion DE.1.0.8.0 --startMP 204:232996 --initTime 2016-11-26T10:15:58 --startdatetime 2016-11-26T10:26:18 --delay 1 --endMP 204:147 --enddatetime 2016-11-26T11:04:27 --enforcementcount 0 &gt;&gt;C:\Users\stu\Documents\GitHub\eaglep3-reporting\EC\2016-11-26-refined-times.txt</v>
      </c>
      <c r="AI61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{"issue":{"subject":"","project_id":79,"tracker_id":40,"status_id":1,"priority_id":2,"assigned_to_id":23,"start_date":"2016-11-26","description":"","custom_fields":[{"id":1,"name":"Subdivision","value":"EC"},{"id":4,"name":"Milepost","value":"0.0147"},{"id":17,"name":"Train ID","value":"148-26"},{"id":16,"name":"Locomotive ID","value":"4032"},{"id":130,"name":"Impact","value":""},{"id":150,"name":"Time of Event (Mountain Time)","value":"11:04:27"},{"id":151,"name":"Denver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402</v>
      </c>
      <c r="B62" s="7">
        <v>4003</v>
      </c>
      <c r="C62" s="22" t="s">
        <v>216</v>
      </c>
      <c r="D62" s="22" t="s">
        <v>265</v>
      </c>
      <c r="E62" s="13">
        <v>42700.400648148148</v>
      </c>
      <c r="F62" s="13">
        <v>42700.406388888892</v>
      </c>
      <c r="G62" s="7">
        <v>1</v>
      </c>
      <c r="H62" s="22" t="s">
        <v>272</v>
      </c>
      <c r="I62" s="13">
        <v>42700.433379629627</v>
      </c>
      <c r="J62" s="7">
        <v>2</v>
      </c>
      <c r="K62" s="109" t="str">
        <f t="shared" si="0"/>
        <v>4003/4004</v>
      </c>
      <c r="L62" s="22" t="str">
        <f>VLOOKUP(A62,'Trips&amp;Operators'!$C$1:$E$10000,3,FALSE)</f>
        <v>DAVIS</v>
      </c>
      <c r="M62" s="6">
        <f t="shared" si="1"/>
        <v>2.6990740734618157E-2</v>
      </c>
      <c r="N62" s="7">
        <f t="shared" si="2"/>
        <v>38.866666657850146</v>
      </c>
      <c r="O62" s="7"/>
      <c r="P62" s="7"/>
      <c r="Q62" s="23"/>
      <c r="R62" s="23"/>
      <c r="S62" s="35">
        <f t="shared" si="3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08:36:56-700',mode:absolute,to:'2016-11-26 11:24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4.5999999999999999E-2</v>
      </c>
      <c r="Z62" s="67">
        <f t="shared" si="9"/>
        <v>23.332100000000001</v>
      </c>
      <c r="AA62" s="67">
        <f t="shared" si="10"/>
        <v>23.286100000000001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0149-26</v>
      </c>
      <c r="AE62" s="91" t="str">
        <f t="shared" si="12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62" s="88" t="str">
        <f t="shared" si="13"/>
        <v>"C:\Program Files (x86)\AstroGrep\AstroGrep.exe" /spath="%USERPROFILE%\AppData\Local\Temp\OnboardLogs" /stypes="app*4003*20161126*"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149-26 --locoid 4003 --swversion DE.1.0.8.0 --startMP 204:460 --initTime 2016-11-26T09:36:56 --startdatetime 2016-11-26T09:45:12 --delay 1 --endMP 204:233321 --enddatetime 2016-11-26T10:24:04 --enforcementcount 2 &gt;&gt;C:\Users\stu\Documents\GitHub\eaglep3-reporting\EC\2016-11-26-refined-times.txt</v>
      </c>
      <c r="AI62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{"issue":{"subject":"","project_id":79,"tracker_id":40,"status_id":1,"priority_id":2,"assigned_to_id":23,"start_date":"2016-11-26","description":"","custom_fields":[{"id":1,"name":"Subdivision","value":"EC"},{"id":4,"name":"Milepost","value":"23.3321"},{"id":17,"name":"Train ID","value":"149-26"},{"id":16,"name":"Locomotive ID","value":"4003"},{"id":130,"name":"Impact","value":""},{"id":150,"name":"Time of Event (Mountain Time)","value":"10:24:04"},{"id":151,"name":"Denver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481</v>
      </c>
      <c r="B63" s="7">
        <v>4004</v>
      </c>
      <c r="C63" s="22" t="s">
        <v>216</v>
      </c>
      <c r="D63" s="22" t="s">
        <v>371</v>
      </c>
      <c r="E63" s="13">
        <v>42700.442083333335</v>
      </c>
      <c r="F63" s="13">
        <v>42700.445439814815</v>
      </c>
      <c r="G63" s="7">
        <v>1</v>
      </c>
      <c r="H63" s="22" t="s">
        <v>223</v>
      </c>
      <c r="I63" s="13">
        <v>42700.472337962965</v>
      </c>
      <c r="J63" s="7">
        <v>0</v>
      </c>
      <c r="K63" s="109" t="str">
        <f t="shared" si="0"/>
        <v>4003/4004</v>
      </c>
      <c r="L63" s="22" t="str">
        <f>VLOOKUP(A63,'Trips&amp;Operators'!$C$1:$E$10000,3,FALSE)</f>
        <v>DAVIS</v>
      </c>
      <c r="M63" s="6">
        <f t="shared" si="1"/>
        <v>2.6898148149484769E-2</v>
      </c>
      <c r="N63" s="7">
        <f t="shared" si="2"/>
        <v>38.733333335258067</v>
      </c>
      <c r="O63" s="7"/>
      <c r="P63" s="7"/>
      <c r="Q63" s="23"/>
      <c r="R63" s="23"/>
      <c r="S63" s="35">
        <f t="shared" si="3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09:36:36-700',mode:absolute,to:'2016-11-26 12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23.300799999999999</v>
      </c>
      <c r="Z63" s="67">
        <f t="shared" si="9"/>
        <v>1.4999999999999999E-2</v>
      </c>
      <c r="AA63" s="67">
        <f t="shared" si="10"/>
        <v>23.285799999999998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0150-26</v>
      </c>
      <c r="AE63" s="91" t="str">
        <f t="shared" si="12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63" s="88" t="str">
        <f t="shared" si="13"/>
        <v>"C:\Program Files (x86)\AstroGrep\AstroGrep.exe" /spath="%USERPROFILE%\AppData\Local\Temp\OnboardLogs" /stypes="app*4004*20161126*"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150-26 --locoid 4004 --swversion DE.1.0.8.0 --startMP 204:233008 --initTime 2016-11-26T10:36:36 --startdatetime 2016-11-26T10:41:26 --delay 1 --endMP 204:150 --enddatetime 2016-11-26T11:20:10 --enforcementcount 0 &gt;&gt;C:\Users\stu\Documents\GitHub\eaglep3-reporting\EC\2016-11-26-refined-times.txt</v>
      </c>
      <c r="AI63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{"issue":{"subject":"","project_id":79,"tracker_id":40,"status_id":1,"priority_id":2,"assigned_to_id":23,"start_date":"2016-11-26","description":"","custom_fields":[{"id":1,"name":"Subdivision","value":"EC"},{"id":4,"name":"Milepost","value":"0.015"},{"id":17,"name":"Train ID","value":"150-26"},{"id":16,"name":"Locomotive ID","value":"4004"},{"id":130,"name":"Impact","value":""},{"id":150,"name":"Time of Event (Mountain Time)","value":"11:20:10"},{"id":151,"name":"Denver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475</v>
      </c>
      <c r="B64" s="7">
        <v>4046</v>
      </c>
      <c r="C64" s="22" t="s">
        <v>216</v>
      </c>
      <c r="D64" s="22" t="s">
        <v>280</v>
      </c>
      <c r="E64" s="13">
        <v>42700.411145833335</v>
      </c>
      <c r="F64" s="13">
        <v>42700.416898148149</v>
      </c>
      <c r="G64" s="7">
        <v>1</v>
      </c>
      <c r="H64" s="22" t="s">
        <v>271</v>
      </c>
      <c r="I64" s="13">
        <v>42700.441261574073</v>
      </c>
      <c r="J64" s="7">
        <v>0</v>
      </c>
      <c r="K64" s="109" t="str">
        <f t="shared" si="0"/>
        <v>4045/4046</v>
      </c>
      <c r="L64" s="22" t="str">
        <f>VLOOKUP(A64,'Trips&amp;Operators'!$C$1:$E$10000,3,FALSE)</f>
        <v>KILLION</v>
      </c>
      <c r="M64" s="6">
        <f t="shared" si="1"/>
        <v>2.4363425924093463E-2</v>
      </c>
      <c r="N64" s="7">
        <f t="shared" si="2"/>
        <v>35.083333330694586</v>
      </c>
      <c r="O64" s="7"/>
      <c r="P64" s="7"/>
      <c r="Q64" s="23"/>
      <c r="R64" s="23"/>
      <c r="S64" s="35">
        <f t="shared" si="3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08:52:03-700',mode:absolute,to:'2016-11-26 11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4.6899999999999997E-2</v>
      </c>
      <c r="Z64" s="67">
        <f t="shared" si="9"/>
        <v>23.3293</v>
      </c>
      <c r="AA64" s="67">
        <f t="shared" si="10"/>
        <v>23.282399999999999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0151-26</v>
      </c>
      <c r="AE64" s="91" t="str">
        <f t="shared" si="12"/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AF64" s="88" t="str">
        <f t="shared" si="13"/>
        <v>"C:\Program Files (x86)\AstroGrep\AstroGrep.exe" /spath="%USERPROFILE%\AppData\Local\Temp\OnboardLogs" /stypes="app*4046*20161126*"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151-26 --locoid 4046 --swversion DE.1.0.8.0 --startMP 204:469 --initTime 2016-11-26T09:52:03 --startdatetime 2016-11-26T10:00:20 --delay 1 --endMP 204:233293 --enddatetime 2016-11-26T10:35:25 --enforcementcount 0 &gt;&gt;C:\Users\stu\Documents\GitHub\eaglep3-reporting\EC\2016-11-26-refined-times.txt</v>
      </c>
      <c r="AI64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{"issue":{"subject":"","project_id":79,"tracker_id":40,"status_id":1,"priority_id":2,"assigned_to_id":23,"start_date":"2016-11-26","description":"","custom_fields":[{"id":1,"name":"Subdivision","value":"EC"},{"id":4,"name":"Milepost","value":"23.3293"},{"id":17,"name":"Train ID","value":"151-26"},{"id":16,"name":"Locomotive ID","value":"4046"},{"id":130,"name":"Impact","value":""},{"id":150,"name":"Time of Event (Mountain Time)","value":"10:35:25"},{"id":151,"name":"Denver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484</v>
      </c>
      <c r="B65" s="7">
        <v>4045</v>
      </c>
      <c r="C65" s="22" t="s">
        <v>216</v>
      </c>
      <c r="D65" s="22" t="s">
        <v>309</v>
      </c>
      <c r="E65" s="13">
        <v>42700.448101851849</v>
      </c>
      <c r="F65" s="13">
        <v>42700.455740740741</v>
      </c>
      <c r="G65" s="7">
        <v>0</v>
      </c>
      <c r="H65" s="22" t="s">
        <v>223</v>
      </c>
      <c r="I65" s="13">
        <v>42700.482094907406</v>
      </c>
      <c r="J65" s="7">
        <v>0</v>
      </c>
      <c r="K65" s="109" t="str">
        <f t="shared" si="0"/>
        <v>4045/4046</v>
      </c>
      <c r="L65" s="22" t="str">
        <f>VLOOKUP(A65,'Trips&amp;Operators'!$C$1:$E$10000,3,FALSE)</f>
        <v>KILLION</v>
      </c>
      <c r="M65" s="6">
        <f t="shared" si="1"/>
        <v>2.6354166664532386E-2</v>
      </c>
      <c r="N65" s="7">
        <f t="shared" si="2"/>
        <v>37.949999996926636</v>
      </c>
      <c r="O65" s="7"/>
      <c r="P65" s="7"/>
      <c r="Q65" s="23"/>
      <c r="R65" s="23"/>
      <c r="S65" s="35">
        <f t="shared" si="3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09:45:16-700',mode:absolute,to:'2016-11-26 12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23.298400000000001</v>
      </c>
      <c r="Z65" s="67">
        <f t="shared" si="9"/>
        <v>1.4999999999999999E-2</v>
      </c>
      <c r="AA65" s="67">
        <f t="shared" si="10"/>
        <v>23.2834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0152-26</v>
      </c>
      <c r="AE65" s="91" t="str">
        <f t="shared" si="12"/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AF65" s="88" t="str">
        <f t="shared" si="13"/>
        <v>"C:\Program Files (x86)\AstroGrep\AstroGrep.exe" /spath="%USERPROFILE%\AppData\Local\Temp\OnboardLogs" /stypes="app*4045*20161126*"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152-26 --locoid 4045 --swversion DE.1.0.8.0 --startMP 204:232984 --initTime 2016-11-26T10:45:16 --startdatetime 2016-11-26T10:56:16 --delay 0 --endMP 204:150 --enddatetime 2016-11-26T11:34:13 --enforcementcount 0 &gt;&gt;C:\Users\stu\Documents\GitHub\eaglep3-reporting\EC\2016-11-26-refined-times.txt</v>
      </c>
      <c r="AI65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{"issue":{"subject":"","project_id":79,"tracker_id":40,"status_id":1,"priority_id":2,"assigned_to_id":23,"start_date":"2016-11-26","description":"","custom_fields":[{"id":1,"name":"Subdivision","value":"EC"},{"id":4,"name":"Milepost","value":"0.015"},{"id":17,"name":"Train ID","value":"152-26"},{"id":16,"name":"Locomotive ID","value":"4045"},{"id":130,"name":"Impact","value":""},{"id":150,"name":"Time of Event (Mountain Time)","value":"11:34:13"},{"id":151,"name":"Denver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476</v>
      </c>
      <c r="B66" s="7">
        <v>4029</v>
      </c>
      <c r="C66" s="22" t="s">
        <v>216</v>
      </c>
      <c r="D66" s="22" t="s">
        <v>269</v>
      </c>
      <c r="E66" s="13">
        <v>42700.423159722224</v>
      </c>
      <c r="F66" s="13">
        <v>42700.427256944444</v>
      </c>
      <c r="G66" s="7">
        <v>1</v>
      </c>
      <c r="H66" s="22" t="s">
        <v>370</v>
      </c>
      <c r="I66" s="13">
        <v>42700.451898148145</v>
      </c>
      <c r="J66" s="7">
        <v>0</v>
      </c>
      <c r="K66" s="109" t="str">
        <f t="shared" si="0"/>
        <v>4029/4030</v>
      </c>
      <c r="L66" s="22" t="str">
        <f>VLOOKUP(A66,'Trips&amp;Operators'!$C$1:$E$10000,3,FALSE)</f>
        <v>GEBRETEKLE</v>
      </c>
      <c r="M66" s="6">
        <f t="shared" si="1"/>
        <v>2.4641203701321501E-2</v>
      </c>
      <c r="N66" s="7">
        <f t="shared" si="2"/>
        <v>35.483333329902962</v>
      </c>
      <c r="O66" s="7"/>
      <c r="P66" s="7"/>
      <c r="Q66" s="23"/>
      <c r="R66" s="23"/>
      <c r="S66" s="35">
        <f t="shared" si="3"/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09:09:21-700',mode:absolute,to:'2016-11-26 11:50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4.5699999999999998E-2</v>
      </c>
      <c r="Z66" s="67">
        <f t="shared" si="9"/>
        <v>23.332699999999999</v>
      </c>
      <c r="AA66" s="67">
        <f t="shared" si="10"/>
        <v>23.286999999999999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0153-26</v>
      </c>
      <c r="AE66" s="91" t="str">
        <f t="shared" si="12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66" s="88" t="str">
        <f t="shared" si="13"/>
        <v>"C:\Program Files (x86)\AstroGrep\AstroGrep.exe" /spath="%USERPROFILE%\AppData\Local\Temp\OnboardLogs" /stypes="app*4029*20161126*"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153-26 --locoid 4029 --swversion DE.1.0.8.0 --startMP 204:457 --initTime 2016-11-26T10:09:21 --startdatetime 2016-11-26T10:15:15 --delay 1 --endMP 204:233327 --enddatetime 2016-11-26T10:50:44 --enforcementcount 0 &gt;&gt;C:\Users\stu\Documents\GitHub\eaglep3-reporting\EC\2016-11-26-refined-times.txt</v>
      </c>
      <c r="AI66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{"issue":{"subject":"","project_id":79,"tracker_id":40,"status_id":1,"priority_id":2,"assigned_to_id":23,"start_date":"2016-11-26","description":"","custom_fields":[{"id":1,"name":"Subdivision","value":"EC"},{"id":4,"name":"Milepost","value":"23.3327"},{"id":17,"name":"Train ID","value":"153-26"},{"id":16,"name":"Locomotive ID","value":"4029"},{"id":130,"name":"Impact","value":""},{"id":150,"name":"Time of Event (Mountain Time)","value":"10:50:44"},{"id":151,"name":"Denver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487</v>
      </c>
      <c r="B67" s="7">
        <v>4030</v>
      </c>
      <c r="C67" s="22" t="s">
        <v>216</v>
      </c>
      <c r="D67" s="22" t="s">
        <v>628</v>
      </c>
      <c r="E67" s="13">
        <v>42700.460995370369</v>
      </c>
      <c r="F67" s="13">
        <v>42700.466215277775</v>
      </c>
      <c r="G67" s="7">
        <v>1</v>
      </c>
      <c r="H67" s="22" t="s">
        <v>301</v>
      </c>
      <c r="I67" s="13">
        <v>42700.493263888886</v>
      </c>
      <c r="J67" s="7">
        <v>0</v>
      </c>
      <c r="K67" s="109" t="str">
        <f t="shared" si="0"/>
        <v>4029/4030</v>
      </c>
      <c r="L67" s="22" t="str">
        <f>VLOOKUP(A67,'Trips&amp;Operators'!$C$1:$E$10000,3,FALSE)</f>
        <v>GEBRETEKLE</v>
      </c>
      <c r="M67" s="6">
        <f t="shared" si="1"/>
        <v>2.7048611111240461E-2</v>
      </c>
      <c r="N67" s="7">
        <f t="shared" si="2"/>
        <v>38.950000000186265</v>
      </c>
      <c r="O67" s="7"/>
      <c r="P67" s="7"/>
      <c r="Q67" s="23"/>
      <c r="R67" s="23"/>
      <c r="S67" s="35">
        <f t="shared" si="3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10:03:50-700',mode:absolute,to:'2016-11-26 12:50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23.301500000000001</v>
      </c>
      <c r="Z67" s="67">
        <f t="shared" si="9"/>
        <v>1.72E-2</v>
      </c>
      <c r="AA67" s="67">
        <f t="shared" si="10"/>
        <v>23.284300000000002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0154-26</v>
      </c>
      <c r="AE67" s="91" t="str">
        <f t="shared" si="12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67" s="88" t="str">
        <f t="shared" si="13"/>
        <v>"C:\Program Files (x86)\AstroGrep\AstroGrep.exe" /spath="%USERPROFILE%\AppData\Local\Temp\OnboardLogs" /stypes="app*4030*20161126*"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154-26 --locoid 4030 --swversion DE.1.0.8.0 --startMP 204:233015 --initTime 2016-11-26T11:03:50 --startdatetime 2016-11-26T11:11:21 --delay 1 --endMP 204:172 --enddatetime 2016-11-26T11:50:18 --enforcementcount 0 &gt;&gt;C:\Users\stu\Documents\GitHub\eaglep3-reporting\EC\2016-11-26-refined-times.txt</v>
      </c>
      <c r="AI67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{"issue":{"subject":"","project_id":79,"tracker_id":40,"status_id":1,"priority_id":2,"assigned_to_id":23,"start_date":"2016-11-26","description":"","custom_fields":[{"id":1,"name":"Subdivision","value":"EC"},{"id":4,"name":"Milepost","value":"0.0172"},{"id":17,"name":"Train ID","value":"154-26"},{"id":16,"name":"Locomotive ID","value":"4030"},{"id":130,"name":"Impact","value":""},{"id":150,"name":"Time of Event (Mountain Time)","value":"11:50:18"},{"id":151,"name":"Denver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479</v>
      </c>
      <c r="B68" s="7">
        <v>4044</v>
      </c>
      <c r="C68" s="22" t="s">
        <v>216</v>
      </c>
      <c r="D68" s="22" t="s">
        <v>269</v>
      </c>
      <c r="E68" s="13">
        <v>42700.431701388887</v>
      </c>
      <c r="F68" s="13">
        <v>42700.437673611108</v>
      </c>
      <c r="G68" s="7">
        <v>2</v>
      </c>
      <c r="H68" s="22" t="s">
        <v>369</v>
      </c>
      <c r="I68" s="13">
        <v>42700.463842592595</v>
      </c>
      <c r="J68" s="7">
        <v>0</v>
      </c>
      <c r="K68" s="109" t="str">
        <f t="shared" si="0"/>
        <v>4043/4044</v>
      </c>
      <c r="L68" s="22" t="str">
        <f>VLOOKUP(A68,'Trips&amp;Operators'!$C$1:$E$10000,3,FALSE)</f>
        <v>CLARK</v>
      </c>
      <c r="M68" s="6">
        <f t="shared" si="1"/>
        <v>2.6168981486989651E-2</v>
      </c>
      <c r="N68" s="7">
        <f t="shared" si="2"/>
        <v>37.683333341265097</v>
      </c>
      <c r="O68" s="7"/>
      <c r="P68" s="7"/>
      <c r="Q68" s="23"/>
      <c r="R68" s="23"/>
      <c r="S68" s="35">
        <f t="shared" si="3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09:21:39-700',mode:absolute,to:'2016-11-26 12:07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4.5699999999999998E-2</v>
      </c>
      <c r="Z68" s="67">
        <f t="shared" si="9"/>
        <v>23.330100000000002</v>
      </c>
      <c r="AA68" s="67">
        <f t="shared" si="10"/>
        <v>23.284400000000002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0155-26</v>
      </c>
      <c r="AE68" s="91" t="str">
        <f t="shared" si="12"/>
        <v>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 &amp; 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</v>
      </c>
      <c r="AF68" s="88" t="str">
        <f t="shared" si="13"/>
        <v>"C:\Program Files (x86)\AstroGrep\AstroGrep.exe" /spath="%USERPROFILE%\AppData\Local\Temp\OnboardLogs" /stypes="app*4044*20161126*"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155-26 --locoid 4044 --swversion DE.1.0.8.0 --startMP 204:457 --initTime 2016-11-26T10:21:39 --startdatetime 2016-11-26T10:30:15 --delay 2 --endMP 204:233301 --enddatetime 2016-11-26T11:07:56 --enforcementcount 0 &gt;&gt;C:\Users\stu\Documents\GitHub\eaglep3-reporting\EC\2016-11-26-refined-times.txt</v>
      </c>
      <c r="AI68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{"issue":{"subject":"","project_id":79,"tracker_id":40,"status_id":1,"priority_id":2,"assigned_to_id":23,"start_date":"2016-11-26","description":"","custom_fields":[{"id":1,"name":"Subdivision","value":"EC"},{"id":4,"name":"Milepost","value":"23.3301"},{"id":17,"name":"Train ID","value":"155-26"},{"id":16,"name":"Locomotive ID","value":"4044"},{"id":130,"name":"Impact","value":""},{"id":150,"name":"Time of Event (Mountain Time)","value":"11:07:56"},{"id":151,"name":"Denver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491</v>
      </c>
      <c r="B69" s="7">
        <v>4043</v>
      </c>
      <c r="C69" s="22" t="s">
        <v>216</v>
      </c>
      <c r="D69" s="22" t="s">
        <v>317</v>
      </c>
      <c r="E69" s="13">
        <v>42700.473692129628</v>
      </c>
      <c r="F69" s="13">
        <v>42700.4765625</v>
      </c>
      <c r="G69" s="7">
        <v>1</v>
      </c>
      <c r="H69" s="22" t="s">
        <v>625</v>
      </c>
      <c r="I69" s="13">
        <v>42700.506655092591</v>
      </c>
      <c r="J69" s="7">
        <v>0</v>
      </c>
      <c r="K69" s="109" t="str">
        <f t="shared" si="0"/>
        <v>4043/4044</v>
      </c>
      <c r="L69" s="22" t="str">
        <f>VLOOKUP(A69,'Trips&amp;Operators'!$C$1:$E$10000,3,FALSE)</f>
        <v>CLARK</v>
      </c>
      <c r="M69" s="6">
        <f t="shared" si="1"/>
        <v>3.0092592591245193E-2</v>
      </c>
      <c r="N69" s="7">
        <f t="shared" si="2"/>
        <v>43.333333331393078</v>
      </c>
      <c r="O69" s="7"/>
      <c r="P69" s="7"/>
      <c r="Q69" s="23"/>
      <c r="R69" s="23"/>
      <c r="S69" s="35">
        <f t="shared" si="3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10:22:07-700',mode:absolute,to:'2016-11-26 13:09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23.297999999999998</v>
      </c>
      <c r="Z69" s="67">
        <f t="shared" si="9"/>
        <v>1.7000000000000001E-2</v>
      </c>
      <c r="AA69" s="67">
        <f t="shared" si="10"/>
        <v>23.280999999999999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0156-26</v>
      </c>
      <c r="AE69" s="91" t="str">
        <f t="shared" si="12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69" s="88" t="str">
        <f t="shared" si="13"/>
        <v>"C:\Program Files (x86)\AstroGrep\AstroGrep.exe" /spath="%USERPROFILE%\AppData\Local\Temp\OnboardLogs" /stypes="app*4043*20161126*"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156-26 --locoid 4043 --swversion DE.1.0.8.0 --startMP 204:232980 --initTime 2016-11-26T11:22:07 --startdatetime 2016-11-26T11:26:15 --delay 1 --endMP 204:170 --enddatetime 2016-11-26T12:09:35 --enforcementcount 0 &gt;&gt;C:\Users\stu\Documents\GitHub\eaglep3-reporting\EC\2016-11-26-refined-times.txt</v>
      </c>
      <c r="AI69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{"issue":{"subject":"","project_id":79,"tracker_id":40,"status_id":1,"priority_id":2,"assigned_to_id":23,"start_date":"2016-11-26","description":"","custom_fields":[{"id":1,"name":"Subdivision","value":"EC"},{"id":4,"name":"Milepost","value":"0.017"},{"id":17,"name":"Train ID","value":"156-26"},{"id":16,"name":"Locomotive ID","value":"4043"},{"id":130,"name":"Impact","value":""},{"id":150,"name":"Time of Event (Mountain Time)","value":"12:09:35"},{"id":151,"name":"Denver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483</v>
      </c>
      <c r="B70" s="7">
        <v>4038</v>
      </c>
      <c r="C70" s="22" t="s">
        <v>216</v>
      </c>
      <c r="D70" s="22" t="s">
        <v>259</v>
      </c>
      <c r="E70" s="13">
        <v>42700.44295138889</v>
      </c>
      <c r="F70" s="13">
        <v>42700.448310185187</v>
      </c>
      <c r="G70" s="7">
        <v>1</v>
      </c>
      <c r="H70" s="22" t="s">
        <v>289</v>
      </c>
      <c r="I70" s="13">
        <v>42700.473449074074</v>
      </c>
      <c r="J70" s="7">
        <v>0</v>
      </c>
      <c r="K70" s="109" t="str">
        <f t="shared" si="0"/>
        <v>4037/4038</v>
      </c>
      <c r="L70" s="22" t="str">
        <f>VLOOKUP(A70,'Trips&amp;Operators'!$C$1:$E$10000,3,FALSE)</f>
        <v>STRICKLAND</v>
      </c>
      <c r="M70" s="6">
        <f t="shared" si="1"/>
        <v>2.5138888886431232E-2</v>
      </c>
      <c r="N70" s="7">
        <f t="shared" si="2"/>
        <v>36.199999996460974</v>
      </c>
      <c r="O70" s="7"/>
      <c r="P70" s="7"/>
      <c r="Q70" s="23"/>
      <c r="R70" s="23"/>
      <c r="S70" s="35">
        <f t="shared" si="3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09:37:51-700',mode:absolute,to:'2016-11-26 12:21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4.4200000000000003E-2</v>
      </c>
      <c r="Z70" s="67">
        <f t="shared" si="9"/>
        <v>23.3308</v>
      </c>
      <c r="AA70" s="67">
        <f t="shared" si="10"/>
        <v>23.2866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0157-26</v>
      </c>
      <c r="AE70" s="91" t="str">
        <f t="shared" si="12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70" s="88" t="str">
        <f t="shared" si="13"/>
        <v>"C:\Program Files (x86)\AstroGrep\AstroGrep.exe" /spath="%USERPROFILE%\AppData\Local\Temp\OnboardLogs" /stypes="app*4038*20161126*"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157-26 --locoid 4038 --swversion DE.1.0.8.0 --startMP 204:442 --initTime 2016-11-26T10:37:51 --startdatetime 2016-11-26T10:45:34 --delay 1 --endMP 204:233308 --enddatetime 2016-11-26T11:21:46 --enforcementcount 0 &gt;&gt;C:\Users\stu\Documents\GitHub\eaglep3-reporting\EC\2016-11-26-refined-times.txt</v>
      </c>
      <c r="AI70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{"issue":{"subject":"","project_id":79,"tracker_id":40,"status_id":1,"priority_id":2,"assigned_to_id":23,"start_date":"2016-11-26","description":"","custom_fields":[{"id":1,"name":"Subdivision","value":"EC"},{"id":4,"name":"Milepost","value":"23.3308"},{"id":17,"name":"Train ID","value":"157-26"},{"id":16,"name":"Locomotive ID","value":"4038"},{"id":130,"name":"Impact","value":""},{"id":150,"name":"Time of Event (Mountain Time)","value":"11:21:46"},{"id":151,"name":"Denver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493</v>
      </c>
      <c r="B71" s="7">
        <v>4037</v>
      </c>
      <c r="C71" s="22" t="s">
        <v>216</v>
      </c>
      <c r="D71" s="22" t="s">
        <v>299</v>
      </c>
      <c r="E71" s="13">
        <v>42700.481874999998</v>
      </c>
      <c r="F71" s="13">
        <v>42700.487291666665</v>
      </c>
      <c r="G71" s="7">
        <v>1</v>
      </c>
      <c r="H71" s="22" t="s">
        <v>238</v>
      </c>
      <c r="I71" s="13">
        <v>42700.514444444445</v>
      </c>
      <c r="J71" s="7">
        <v>0</v>
      </c>
      <c r="K71" s="109" t="str">
        <f t="shared" si="0"/>
        <v>4037/4038</v>
      </c>
      <c r="L71" s="22" t="str">
        <f>VLOOKUP(A71,'Trips&amp;Operators'!$C$1:$E$10000,3,FALSE)</f>
        <v>STRICKLAND</v>
      </c>
      <c r="M71" s="6">
        <f t="shared" si="1"/>
        <v>2.715277778042946E-2</v>
      </c>
      <c r="N71" s="7">
        <f t="shared" si="2"/>
        <v>39.100000003818423</v>
      </c>
      <c r="O71" s="7"/>
      <c r="P71" s="7"/>
      <c r="Q71" s="23"/>
      <c r="R71" s="23"/>
      <c r="S71" s="35">
        <f t="shared" si="3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10:33:54-700',mode:absolute,to:'2016-11-26 13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23.2989</v>
      </c>
      <c r="Z71" s="67">
        <f t="shared" si="9"/>
        <v>1.54E-2</v>
      </c>
      <c r="AA71" s="67">
        <f t="shared" si="10"/>
        <v>23.2835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0158-26</v>
      </c>
      <c r="AE71" s="91" t="str">
        <f t="shared" si="12"/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AF71" s="88" t="str">
        <f t="shared" si="13"/>
        <v>"C:\Program Files (x86)\AstroGrep\AstroGrep.exe" /spath="%USERPROFILE%\AppData\Local\Temp\OnboardLogs" /stypes="app*4037*20161126*"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158-26 --locoid 4037 --swversion DE.1.0.8.0 --startMP 204:232989 --initTime 2016-11-26T11:33:54 --startdatetime 2016-11-26T11:41:42 --delay 1 --endMP 204:154 --enddatetime 2016-11-26T12:20:48 --enforcementcount 0 &gt;&gt;C:\Users\stu\Documents\GitHub\eaglep3-reporting\EC\2016-11-26-refined-times.txt</v>
      </c>
      <c r="AI71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{"issue":{"subject":"","project_id":79,"tracker_id":40,"status_id":1,"priority_id":2,"assigned_to_id":23,"start_date":"2016-11-26","description":"","custom_fields":[{"id":1,"name":"Subdivision","value":"EC"},{"id":4,"name":"Milepost","value":"0.0154"},{"id":17,"name":"Train ID","value":"158-26"},{"id":16,"name":"Locomotive ID","value":"4037"},{"id":130,"name":"Impact","value":""},{"id":150,"name":"Time of Event (Mountain Time)","value":"12:20:48"},{"id":151,"name":"Denver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485</v>
      </c>
      <c r="B72" s="7">
        <v>4009</v>
      </c>
      <c r="C72" s="22" t="s">
        <v>216</v>
      </c>
      <c r="D72" s="22" t="s">
        <v>299</v>
      </c>
      <c r="E72" s="13">
        <v>42700.481874999998</v>
      </c>
      <c r="F72" s="13">
        <v>42700.455451388887</v>
      </c>
      <c r="G72" s="7">
        <v>1</v>
      </c>
      <c r="H72" s="22" t="s">
        <v>238</v>
      </c>
      <c r="I72" s="13">
        <v>42700.45716435185</v>
      </c>
      <c r="J72" s="7">
        <v>0</v>
      </c>
      <c r="K72" s="109" t="str">
        <f t="shared" ref="K72" si="19">IF(ISEVEN(B72),(B72-1)&amp;"/"&amp;B72,B72&amp;"/"&amp;(B72+1))</f>
        <v>4009/4010</v>
      </c>
      <c r="L72" s="22" t="str">
        <f>VLOOKUP(A72,'Trips&amp;Operators'!$C$1:$E$10000,3,FALSE)</f>
        <v>STEWART</v>
      </c>
      <c r="M72" s="6">
        <f t="shared" ref="M72" si="20">I72-F72</f>
        <v>1.7129629632108845E-3</v>
      </c>
      <c r="N72" s="7"/>
      <c r="O72" s="7"/>
      <c r="P72" s="7">
        <f t="shared" si="2"/>
        <v>2.4666666670236737</v>
      </c>
      <c r="Q72" s="23"/>
      <c r="R72" s="23" t="s">
        <v>748</v>
      </c>
      <c r="S72" s="35">
        <f t="shared" ref="S72" si="21">SUM(U72:U72)/IF(AG72="EC",12,1)</f>
        <v>0</v>
      </c>
      <c r="T72" s="50" t="str">
        <f t="shared" ref="T72" si="22">IF(ISEVEN(LEFT(AD72,4)),"Southbound","NorthBound")</f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98" t="str">
        <f t="shared" ref="V72" si="23"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https://search-rtdc-monitor-bjffxe2xuh6vdkpspy63sjmuny.us-east-1.es.amazonaws.com/_plugin/kibana/#/discover/Steve-Slow-Train-Analysis-(2080s-and-2083s)?_g=(refreshInterval:(display:Off,section:0,value:0),time:(from:'2016-11-26 10:33:54-700',mode:absolute,to:'2016-11-26 11:58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2" s="52" t="str">
        <f t="shared" ref="W72" si="24">IF(AA72&lt;IF(AG72="EC",23,5.65),"Y","N")</f>
        <v>Y</v>
      </c>
      <c r="X72" s="177">
        <f t="shared" ref="X72:X73" si="25">VALUE(LEFT(AD72,4))-VALUE(LEFT(AD71,4))</f>
        <v>1</v>
      </c>
      <c r="Y72" s="67">
        <v>0.04</v>
      </c>
      <c r="Z72" s="67">
        <v>0.05</v>
      </c>
      <c r="AA72" s="67">
        <f t="shared" ref="AA72" si="26">ABS(Z72-Y72)</f>
        <v>1.0000000000000002E-2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ref="AD72" si="27">IF(LEN(A72)=6,"0"&amp;A72,A72)</f>
        <v>0159-26</v>
      </c>
      <c r="AE72" s="91" t="str">
        <f t="shared" ref="AE72" si="28"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s3://rtdc.mdm.uploadarchive.raw/RTDC4009/ "%USERPROFILE%\AppData\Local\Temp\OnboardLogs"\RTDC4009\2016-11-26 --exclude "*" --recursive --include "*20161126*" &amp; "%USERPROFILE%\Documents\GitHub\mrs-test-scripts\Headless Mode &amp; Sideloading\WalkAndUnGZ.bat" "%USERPROFILE%\AppData\Local\Temp\OnboardLogs"\RTDC4009\2016-11-26 &amp; aws s3 cp s3://rtdc.mdm.uploadarchive.raw/RTDC4009/ "%USERPROFILE%\AppData\Local\Temp\OnboardLogs"\RTDC4009\2016-11-27 --exclude "*" --recursive --include "*20161127*" &amp; "%USERPROFILE%\Documents\GitHub\mrs-test-scripts\Headless Mode &amp; Sideloading\WalkAndUnGZ.bat" "%USERPROFILE%\AppData\Local\Temp\OnboardLogs"\RTDC4009\2016-11-27</v>
      </c>
      <c r="AF72" s="88" t="str">
        <f t="shared" ref="AF72" si="29"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/stypes="app*4009*20161126*" /stext=" 17:.+((SYSTEM_STATE.+slice.+state.+changed )|(ment ac)|(multiple cpu faults)|(system.+state.+changed )|(\[timeout)|(PRM\|1\|D)|(kpr)|(kdp)|(\|lc)|(penalty))" /e /r /s</v>
      </c>
      <c r="AG72" s="1" t="str">
        <f t="shared" ref="AG72" si="30">IFERROR(IF(VALUE(LEFT(AD72,2))&lt;=2,"EC",IF(OR(VALUE(LEFT(AD72,2))=8,VALUE(LEFT(AD72,2))=18),"NW","Other")),"Other")</f>
        <v>EC</v>
      </c>
      <c r="AH72" s="92" t="str">
        <f t="shared" ref="AH72" si="31"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"&amp;J72&amp;IF(outputrefinedruntimes," &gt;&gt;"&amp;RefinedRTDCRunTimesOutputFile,"")</f>
        <v>"%USERPROFILE%\Documents\GitHub\eaglep3\Utilities\RefineRTDCRunTimes.py" --tripid 159-26 --locoid 4009 --swversion DE.1.0.8.0 --startMP 204:232989 --initTime 2016-11-26T11:33:54 --startdatetime 2016-11-26T10:55:51 --delay 1 --endMP 204:154 --enddatetime 2016-11-26T10:58:19 --enforcementcount 0 &gt;&gt;C:\Users\stu\Documents\GitHub\eaglep3-reporting\EC\2016-11-26-refined-times.txt</v>
      </c>
      <c r="AI72" s="119" t="str">
        <f t="shared" ref="AI72" si="32"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Z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failure","project_id":79,"tracker_id":40,"status_id":1,"priority_id":2,"assigned_to_id":23,"start_date":"2016-11-26","description":"2016-11-26 10:57:48 2087 Locomotive State: Failed (7) | Fault Name Text: EBI: Card Fault | Fault Name Text: EBI: Card Fault | Fault Name Text: TMC: Multiple CPU Faults","custom_fields":[{"id":1,"name":"Subdivision","value":"EC"},{"id":4,"name":"Milepost","value":"0.05"},{"id":17,"name":"Train ID","value":"159-26"},{"id":16,"name":"Locomotive ID","value":"4009"},{"id":130,"name":"Impact","value":"Failed State"},{"id":150,"name":"Time of Event (Mountain Time)","value":"10:58:19"},{"id":151,"name":"Denver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72" s="53" t="s">
        <v>862</v>
      </c>
      <c r="AK72" s="53" t="s">
        <v>128</v>
      </c>
      <c r="AL72" s="53" t="s">
        <v>177</v>
      </c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</row>
    <row r="73" spans="1:91" s="1" customFormat="1" x14ac:dyDescent="0.25">
      <c r="A73" s="37" t="s">
        <v>496</v>
      </c>
      <c r="B73" s="7">
        <v>4010</v>
      </c>
      <c r="C73" s="22" t="s">
        <v>216</v>
      </c>
      <c r="D73" s="22" t="s">
        <v>375</v>
      </c>
      <c r="E73" s="13">
        <v>42700.493842592594</v>
      </c>
      <c r="F73" s="13">
        <v>42700.497754629629</v>
      </c>
      <c r="G73" s="7">
        <v>1</v>
      </c>
      <c r="H73" s="22" t="s">
        <v>629</v>
      </c>
      <c r="I73" s="13">
        <v>42700.520254629628</v>
      </c>
      <c r="J73" s="7">
        <v>0</v>
      </c>
      <c r="K73" s="109" t="str">
        <f t="shared" si="0"/>
        <v>4009/4010</v>
      </c>
      <c r="L73" s="22" t="str">
        <f>VLOOKUP(A73,'Trips&amp;Operators'!$C$1:$E$10000,3,FALSE)</f>
        <v>STEWART</v>
      </c>
      <c r="M73" s="6">
        <f t="shared" si="1"/>
        <v>2.2499999999126885E-2</v>
      </c>
      <c r="N73" s="7"/>
      <c r="O73" s="7"/>
      <c r="P73" s="7">
        <f t="shared" si="2"/>
        <v>32.399999998742715</v>
      </c>
      <c r="Q73" s="23"/>
      <c r="R73" s="23" t="s">
        <v>751</v>
      </c>
      <c r="S73" s="35">
        <f t="shared" si="3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10:51:08-700',mode:absolute,to:'2016-11-26 13:29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3" s="52" t="str">
        <f t="shared" si="6"/>
        <v>Y</v>
      </c>
      <c r="X73" s="177">
        <f t="shared" si="25"/>
        <v>1</v>
      </c>
      <c r="Y73" s="67">
        <f t="shared" si="8"/>
        <v>23.296900000000001</v>
      </c>
      <c r="Z73" s="67">
        <f t="shared" si="9"/>
        <v>1.8774</v>
      </c>
      <c r="AA73" s="67">
        <f t="shared" si="10"/>
        <v>21.419499999999999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0160-26</v>
      </c>
      <c r="AE73" s="91" t="str">
        <f t="shared" si="12"/>
        <v>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 &amp; 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</v>
      </c>
      <c r="AF73" s="88" t="str">
        <f t="shared" si="13"/>
        <v>"C:\Program Files (x86)\AstroGrep\AstroGrep.exe" /spath="%USERPROFILE%\AppData\Local\Temp\OnboardLogs" /stypes="app*4010*20161126*"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160-26 --locoid 4010 --swversion DE.1.0.8.0 --startMP 204:232969 --initTime 2016-11-26T11:51:08 --startdatetime 2016-11-26T11:56:46 --delay 1 --endMP 204:18774 --enddatetime 2016-11-26T12:29:10 --enforcementcount 0 &gt;&gt;C:\Users\stu\Documents\GitHub\eaglep3-reporting\EC\2016-11-26-refined-times.txt</v>
      </c>
      <c r="AI73" s="119" t="str">
        <f t="shared" si="18"/>
        <v>echo {"issue":{"subject":"Cut out at 38th, headed to DUS Main 3","project_id":79,"tracker_id":40,"status_id":1,"priority_id":2,"assigned_to_id":23,"start_date":"2016-11-26","description":"","custom_fields":[{"id":1,"name":"Subdivision","value":"EC"},{"id":4,"name":"Milepost","value":"1.8774"},{"id":17,"name":"Train ID","value":"160-26"},{"id":16,"name":"Locomotive ID","value":"4010"},{"id":130,"name":"Impact","value":""},{"id":150,"name":"Time of Event (Mountain Time)","value":"12:29:10"},{"id":151,"name":"Denver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488</v>
      </c>
      <c r="B74" s="7">
        <v>4031</v>
      </c>
      <c r="C74" s="22" t="s">
        <v>216</v>
      </c>
      <c r="D74" s="22" t="s">
        <v>630</v>
      </c>
      <c r="E74" s="13">
        <v>42700.464074074072</v>
      </c>
      <c r="F74" s="13">
        <v>42700.468935185185</v>
      </c>
      <c r="G74" s="7">
        <v>2</v>
      </c>
      <c r="H74" s="22" t="s">
        <v>366</v>
      </c>
      <c r="I74" s="13">
        <v>42700.493993055556</v>
      </c>
      <c r="J74" s="7">
        <v>0</v>
      </c>
      <c r="K74" s="109" t="str">
        <f t="shared" si="0"/>
        <v>4031/4032</v>
      </c>
      <c r="L74" s="22" t="str">
        <f>VLOOKUP(A74,'Trips&amp;Operators'!$C$1:$E$10000,3,FALSE)</f>
        <v>BARTLETT</v>
      </c>
      <c r="M74" s="6">
        <f t="shared" si="1"/>
        <v>2.5057870370801538E-2</v>
      </c>
      <c r="N74" s="7">
        <f t="shared" si="2"/>
        <v>36.083333333954215</v>
      </c>
      <c r="O74" s="7"/>
      <c r="P74" s="7"/>
      <c r="Q74" s="23"/>
      <c r="R74" s="23"/>
      <c r="S74" s="35">
        <f t="shared" si="3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10:08:16-700',mode:absolute,to:'2016-11-26 12:51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4.9500000000000002E-2</v>
      </c>
      <c r="Z74" s="67">
        <f t="shared" si="9"/>
        <v>23.33</v>
      </c>
      <c r="AA74" s="67">
        <f t="shared" si="10"/>
        <v>23.2805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0161-26</v>
      </c>
      <c r="AE74" s="91" t="str">
        <f t="shared" si="12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74" s="88" t="str">
        <f t="shared" si="13"/>
        <v>"C:\Program Files (x86)\AstroGrep\AstroGrep.exe" /spath="%USERPROFILE%\AppData\Local\Temp\OnboardLogs" /stypes="app*4031*20161126*"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161-26 --locoid 4031 --swversion DE.1.0.8.0 --startMP 204:495 --initTime 2016-11-26T11:08:16 --startdatetime 2016-11-26T11:15:16 --delay 2 --endMP 204:233300 --enddatetime 2016-11-26T11:51:21 --enforcementcount 0 &gt;&gt;C:\Users\stu\Documents\GitHub\eaglep3-reporting\EC\2016-11-26-refined-times.txt</v>
      </c>
      <c r="AI74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{"issue":{"subject":"","project_id":79,"tracker_id":40,"status_id":1,"priority_id":2,"assigned_to_id":23,"start_date":"2016-11-26","description":"","custom_fields":[{"id":1,"name":"Subdivision","value":"EC"},{"id":4,"name":"Milepost","value":"23.33"},{"id":17,"name":"Train ID","value":"161-26"},{"id":16,"name":"Locomotive ID","value":"4031"},{"id":130,"name":"Impact","value":""},{"id":150,"name":"Time of Event (Mountain Time)","value":"11:51:21"},{"id":151,"name":"Denver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497</v>
      </c>
      <c r="B75" s="7">
        <v>4032</v>
      </c>
      <c r="C75" s="22" t="s">
        <v>216</v>
      </c>
      <c r="D75" s="22" t="s">
        <v>253</v>
      </c>
      <c r="E75" s="13">
        <v>42700.497071759259</v>
      </c>
      <c r="F75" s="13">
        <v>42700.507881944446</v>
      </c>
      <c r="G75" s="7">
        <v>1</v>
      </c>
      <c r="H75" s="22" t="s">
        <v>175</v>
      </c>
      <c r="I75" s="13">
        <v>42700.534895833334</v>
      </c>
      <c r="J75" s="7">
        <v>0</v>
      </c>
      <c r="K75" s="109" t="str">
        <f t="shared" si="0"/>
        <v>4031/4032</v>
      </c>
      <c r="L75" s="22" t="str">
        <f>VLOOKUP(A75,'Trips&amp;Operators'!$C$1:$E$10000,3,FALSE)</f>
        <v>BARTLETT</v>
      </c>
      <c r="M75" s="6">
        <f t="shared" si="1"/>
        <v>2.7013888888177462E-2</v>
      </c>
      <c r="N75" s="7">
        <f t="shared" si="2"/>
        <v>38.899999998975545</v>
      </c>
      <c r="O75" s="7"/>
      <c r="P75" s="7"/>
      <c r="Q75" s="23"/>
      <c r="R75" s="23"/>
      <c r="S75" s="35">
        <f t="shared" si="3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10:55:47-700',mode:absolute,to:'2016-11-26 13:50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23.299299999999999</v>
      </c>
      <c r="Z75" s="67">
        <f t="shared" si="9"/>
        <v>1.52E-2</v>
      </c>
      <c r="AA75" s="67">
        <f t="shared" si="10"/>
        <v>23.284099999999999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0162-26</v>
      </c>
      <c r="AE75" s="91" t="str">
        <f t="shared" si="12"/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AF75" s="88" t="str">
        <f t="shared" si="13"/>
        <v>"C:\Program Files (x86)\AstroGrep\AstroGrep.exe" /spath="%USERPROFILE%\AppData\Local\Temp\OnboardLogs" /stypes="app*4032*20161126*"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162-26 --locoid 4032 --swversion DE.1.0.8.0 --startMP 204:232993 --initTime 2016-11-26T11:55:47 --startdatetime 2016-11-26T12:11:21 --delay 1 --endMP 204:152 --enddatetime 2016-11-26T12:50:15 --enforcementcount 0 &gt;&gt;C:\Users\stu\Documents\GitHub\eaglep3-reporting\EC\2016-11-26-refined-times.txt</v>
      </c>
      <c r="AI75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{"issue":{"subject":"","project_id":79,"tracker_id":40,"status_id":1,"priority_id":2,"assigned_to_id":23,"start_date":"2016-11-26","description":"","custom_fields":[{"id":1,"name":"Subdivision","value":"EC"},{"id":4,"name":"Milepost","value":"0.0152"},{"id":17,"name":"Train ID","value":"162-26"},{"id":16,"name":"Locomotive ID","value":"4032"},{"id":130,"name":"Impact","value":""},{"id":150,"name":"Time of Event (Mountain Time)","value":"12:50:15"},{"id":151,"name":"Denver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492</v>
      </c>
      <c r="B76" s="7">
        <v>4003</v>
      </c>
      <c r="C76" s="22" t="s">
        <v>216</v>
      </c>
      <c r="D76" s="22" t="s">
        <v>215</v>
      </c>
      <c r="E76" s="13">
        <v>42700.475671296299</v>
      </c>
      <c r="F76" s="13">
        <v>42700.479583333334</v>
      </c>
      <c r="G76" s="7">
        <v>5</v>
      </c>
      <c r="H76" s="22" t="s">
        <v>627</v>
      </c>
      <c r="I76" s="13">
        <v>42700.504571759258</v>
      </c>
      <c r="J76" s="7">
        <v>0</v>
      </c>
      <c r="K76" s="109" t="str">
        <f t="shared" si="0"/>
        <v>4003/4004</v>
      </c>
      <c r="L76" s="22" t="str">
        <f>VLOOKUP(A76,'Trips&amp;Operators'!$C$1:$E$10000,3,FALSE)</f>
        <v>MOSES</v>
      </c>
      <c r="M76" s="6">
        <f t="shared" si="1"/>
        <v>2.4988425924675539E-2</v>
      </c>
      <c r="N76" s="7">
        <f t="shared" si="2"/>
        <v>35.983333331532776</v>
      </c>
      <c r="O76" s="7"/>
      <c r="P76" s="7"/>
      <c r="Q76" s="23"/>
      <c r="R76" s="23"/>
      <c r="S76" s="35">
        <f t="shared" si="3"/>
        <v>1</v>
      </c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10:24:58-700',mode:absolute,to:'2016-11-26 13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4.6399999999999997E-2</v>
      </c>
      <c r="Z76" s="67">
        <f t="shared" si="9"/>
        <v>23.331099999999999</v>
      </c>
      <c r="AA76" s="67">
        <f t="shared" si="10"/>
        <v>23.284700000000001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0163-26</v>
      </c>
      <c r="AE76" s="91" t="str">
        <f t="shared" si="12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76" s="88" t="str">
        <f t="shared" si="13"/>
        <v>"C:\Program Files (x86)\AstroGrep\AstroGrep.exe" /spath="%USERPROFILE%\AppData\Local\Temp\OnboardLogs" /stypes="app*4003*20161126*"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163-26 --locoid 4003 --swversion DE.1.0.8.0 --startMP 204:464 --initTime 2016-11-26T11:24:58 --startdatetime 2016-11-26T11:30:36 --delay 5 --endMP 204:233311 --enddatetime 2016-11-26T12:06:35 --enforcementcount 0 &gt;&gt;C:\Users\stu\Documents\GitHub\eaglep3-reporting\EC\2016-11-26-refined-times.txt</v>
      </c>
      <c r="AI76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{"issue":{"subject":"","project_id":79,"tracker_id":40,"status_id":1,"priority_id":2,"assigned_to_id":23,"start_date":"2016-11-26","description":"","custom_fields":[{"id":1,"name":"Subdivision","value":"EC"},{"id":4,"name":"Milepost","value":"23.3311"},{"id":17,"name":"Train ID","value":"163-26"},{"id":16,"name":"Locomotive ID","value":"4003"},{"id":130,"name":"Impact","value":""},{"id":150,"name":"Time of Event (Mountain Time)","value":"12:06:35"},{"id":151,"name":"Denver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501</v>
      </c>
      <c r="B77" s="7">
        <v>4004</v>
      </c>
      <c r="C77" s="22" t="s">
        <v>216</v>
      </c>
      <c r="D77" s="22" t="s">
        <v>631</v>
      </c>
      <c r="E77" s="13">
        <v>42700.514050925929</v>
      </c>
      <c r="F77" s="13">
        <v>42700.518333333333</v>
      </c>
      <c r="G77" s="7">
        <v>1</v>
      </c>
      <c r="H77" s="22" t="s">
        <v>273</v>
      </c>
      <c r="I77" s="13">
        <v>42700.545868055553</v>
      </c>
      <c r="J77" s="7">
        <v>0</v>
      </c>
      <c r="K77" s="109" t="str">
        <f t="shared" si="0"/>
        <v>4003/4004</v>
      </c>
      <c r="L77" s="22" t="str">
        <f>VLOOKUP(A77,'Trips&amp;Operators'!$C$1:$E$10000,3,FALSE)</f>
        <v>MOSES</v>
      </c>
      <c r="M77" s="6">
        <f t="shared" si="1"/>
        <v>2.753472221957054E-2</v>
      </c>
      <c r="N77" s="7">
        <f t="shared" si="2"/>
        <v>39.649999996181577</v>
      </c>
      <c r="O77" s="7"/>
      <c r="P77" s="7"/>
      <c r="Q77" s="23"/>
      <c r="R77" s="23"/>
      <c r="S77" s="35">
        <f t="shared" si="3"/>
        <v>1</v>
      </c>
      <c r="T77" s="50" t="str">
        <f t="shared" si="4"/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https://search-rtdc-monitor-bjffxe2xuh6vdkpspy63sjmuny.us-east-1.es.amazonaws.com/_plugin/kibana/#/discover/Steve-Slow-Train-Analysis-(2080s-and-2083s)?_g=(refreshInterval:(display:Off,section:0,value:0),time:(from:'2016-11-26 11:20:14-700',mode:absolute,to:'2016-11-26 14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7" s="52" t="str">
        <f t="shared" si="6"/>
        <v>N</v>
      </c>
      <c r="X77" s="177">
        <f t="shared" si="7"/>
        <v>1</v>
      </c>
      <c r="Y77" s="67">
        <f t="shared" si="8"/>
        <v>23.298200000000001</v>
      </c>
      <c r="Z77" s="67">
        <f t="shared" si="9"/>
        <v>1.67E-2</v>
      </c>
      <c r="AA77" s="67">
        <f t="shared" si="10"/>
        <v>23.281500000000001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si="11"/>
        <v>0164-26</v>
      </c>
      <c r="AE77" s="91" t="str">
        <f t="shared" si="12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77" s="88" t="str">
        <f t="shared" si="13"/>
        <v>"C:\Program Files (x86)\AstroGrep\AstroGrep.exe" /spath="%USERPROFILE%\AppData\Local\Temp\OnboardLogs" /stypes="app*4004*20161126*" /stext=" 20:.+((SYSTEM_STATE.+slice.+state.+changed )|(ment ac)|(multiple cpu faults)|(system.+state.+changed )|(\[timeout)|(PRM\|1\|D)|(kpr)|(kdp)|(\|lc)|(penalty))" /e /r /s</v>
      </c>
      <c r="AG77" s="1" t="str">
        <f t="shared" si="14"/>
        <v>EC</v>
      </c>
      <c r="AH77" s="92" t="str">
        <f t="shared" si="17"/>
        <v>"%USERPROFILE%\Documents\GitHub\eaglep3\Utilities\RefineRTDCRunTimes.py" --tripid 164-26 --locoid 4004 --swversion DE.1.0.8.0 --startMP 204:232982 --initTime 2016-11-26T12:20:14 --startdatetime 2016-11-26T12:26:24 --delay 1 --endMP 204:167 --enddatetime 2016-11-26T13:06:03 --enforcementcount 0 &gt;&gt;C:\Users\stu\Documents\GitHub\eaglep3-reporting\EC\2016-11-26-refined-times.txt</v>
      </c>
      <c r="AI77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{"issue":{"subject":"","project_id":79,"tracker_id":40,"status_id":1,"priority_id":2,"assigned_to_id":23,"start_date":"2016-11-26","description":"","custom_fields":[{"id":1,"name":"Subdivision","value":"EC"},{"id":4,"name":"Milepost","value":"0.0167"},{"id":17,"name":"Train ID","value":"164-26"},{"id":16,"name":"Locomotive ID","value":"4004"},{"id":130,"name":"Impact","value":""},{"id":150,"name":"Time of Event (Mountain Time)","value":"13:06:03"},{"id":151,"name":"Denver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495</v>
      </c>
      <c r="B78" s="7">
        <v>4046</v>
      </c>
      <c r="C78" s="22" t="s">
        <v>216</v>
      </c>
      <c r="D78" s="22" t="s">
        <v>197</v>
      </c>
      <c r="E78" s="13">
        <v>42700.484456018516</v>
      </c>
      <c r="F78" s="13">
        <v>42700.489953703705</v>
      </c>
      <c r="G78" s="7">
        <v>1</v>
      </c>
      <c r="H78" s="22" t="s">
        <v>289</v>
      </c>
      <c r="I78" s="13">
        <v>42700.514884259261</v>
      </c>
      <c r="J78" s="7">
        <v>0</v>
      </c>
      <c r="K78" s="109" t="str">
        <f t="shared" ref="K78:K141" si="33">IF(ISEVEN(B78),(B78-1)&amp;"/"&amp;B78,B78&amp;"/"&amp;(B78+1))</f>
        <v>4045/4046</v>
      </c>
      <c r="L78" s="22" t="str">
        <f>VLOOKUP(A78,'Trips&amp;Operators'!$C$1:$E$10000,3,FALSE)</f>
        <v>BROWN</v>
      </c>
      <c r="M78" s="6">
        <f t="shared" ref="M78:M141" si="34">I78-F78</f>
        <v>2.4930555555329192E-2</v>
      </c>
      <c r="N78" s="7">
        <f t="shared" ref="N78:N141" si="35">24*60*SUM($M78:$M78)</f>
        <v>35.899999999674037</v>
      </c>
      <c r="O78" s="7"/>
      <c r="P78" s="7"/>
      <c r="Q78" s="23"/>
      <c r="R78" s="23"/>
      <c r="S78" s="35">
        <f t="shared" ref="S78:S141" si="36">SUM(U78:U78)/IF(AG78="EC",12,1)</f>
        <v>1</v>
      </c>
      <c r="T78" s="50" t="str">
        <f t="shared" ref="T78:T141" si="37">IF(ISEVEN(LEFT(AD78,4)),"Southbound","NorthBound")</f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ref="V78:V141" si="38"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https://search-rtdc-monitor-bjffxe2xuh6vdkpspy63sjmuny.us-east-1.es.amazonaws.com/_plugin/kibana/#/discover/Steve-Slow-Train-Analysis-(2080s-and-2083s)?_g=(refreshInterval:(display:Off,section:0,value:0),time:(from:'2016-11-26 10:37:37-700',mode:absolute,to:'2016-11-26 13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8" s="52" t="str">
        <f t="shared" ref="W78:W141" si="39">IF(AA78&lt;IF(AG78="EC",23,5.65),"Y","N")</f>
        <v>N</v>
      </c>
      <c r="X78" s="177">
        <f t="shared" ref="X78:X141" si="40">VALUE(LEFT(AD78,4))-VALUE(LEFT(AD77,4))</f>
        <v>1</v>
      </c>
      <c r="Y78" s="67">
        <f t="shared" ref="Y78:Y141" si="41">RIGHT(D78,LEN(D78)-4)/10000</f>
        <v>4.4699999999999997E-2</v>
      </c>
      <c r="Z78" s="67">
        <f t="shared" ref="Z78:Z141" si="42">RIGHT(H78,LEN(H78)-4)/10000</f>
        <v>23.3308</v>
      </c>
      <c r="AA78" s="67">
        <f t="shared" ref="AA78:AA141" si="43">ABS(Z78-Y78)</f>
        <v>23.286100000000001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ref="AD78:AD141" si="44">IF(LEN(A78)=6,"0"&amp;A78,A78)</f>
        <v>0165-26</v>
      </c>
      <c r="AE78" s="91" t="str">
        <f t="shared" ref="AE78:AE141" si="45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AF78" s="88" t="str">
        <f t="shared" ref="AF78:AF141" si="46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/stypes="app*4046*20161126*" /stext=" 19:.+((SYSTEM_STATE.+slice.+state.+changed )|(ment ac)|(multiple cpu faults)|(system.+state.+changed )|(\[timeout)|(PRM\|1\|D)|(kpr)|(kdp)|(\|lc)|(penalty))" /e /r /s</v>
      </c>
      <c r="AG78" s="1" t="str">
        <f t="shared" ref="AG78:AG141" si="47">IFERROR(IF(VALUE(LEFT(AD78,2))&lt;=2,"EC",IF(OR(VALUE(LEFT(AD78,2))=8,VALUE(LEFT(AD78,2))=18),"NW","Other")),"Other")</f>
        <v>EC</v>
      </c>
      <c r="AH78" s="92" t="str">
        <f t="shared" si="17"/>
        <v>"%USERPROFILE%\Documents\GitHub\eaglep3\Utilities\RefineRTDCRunTimes.py" --tripid 165-26 --locoid 4046 --swversion DE.1.0.8.0 --startMP 204:447 --initTime 2016-11-26T11:37:37 --startdatetime 2016-11-26T11:45:32 --delay 1 --endMP 204:233308 --enddatetime 2016-11-26T12:21:26 --enforcementcount 0 &gt;&gt;C:\Users\stu\Documents\GitHub\eaglep3-reporting\EC\2016-11-26-refined-times.txt</v>
      </c>
      <c r="AI78" s="119" t="str">
        <f t="shared" si="18"/>
        <v>echo {"issue":{"subject":"","project_id":79,"tracker_id":40,"status_id":1,"priority_id":2,"assigned_to_id":23,"start_date":"2016-11-26","description":"","custom_fields":[{"id":1,"name":"Subdivision","value":"EC"},{"id":4,"name":"Milepost","value":"23.3308"},{"id":17,"name":"Train ID","value":"165-26"},{"id":16,"name":"Locomotive ID","value":"4046"},{"id":130,"name":"Impact","value":""},{"id":150,"name":"Time of Event (Mountain Time)","value":"12:21:26"},{"id":151,"name":"Denver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405</v>
      </c>
      <c r="B79" s="7">
        <v>4045</v>
      </c>
      <c r="C79" s="22" t="s">
        <v>216</v>
      </c>
      <c r="D79" s="22" t="s">
        <v>288</v>
      </c>
      <c r="E79" s="13">
        <v>42700.523715277777</v>
      </c>
      <c r="F79" s="13">
        <v>42700.528761574074</v>
      </c>
      <c r="G79" s="7">
        <v>1</v>
      </c>
      <c r="H79" s="22" t="s">
        <v>301</v>
      </c>
      <c r="I79" s="13">
        <v>42700.555208333331</v>
      </c>
      <c r="J79" s="7">
        <v>1</v>
      </c>
      <c r="K79" s="109" t="str">
        <f t="shared" si="33"/>
        <v>4045/4046</v>
      </c>
      <c r="L79" s="22" t="str">
        <f>VLOOKUP(A79,'Trips&amp;Operators'!$C$1:$E$10000,3,FALSE)</f>
        <v>BROWN</v>
      </c>
      <c r="M79" s="6">
        <f t="shared" si="34"/>
        <v>2.6446759256941732E-2</v>
      </c>
      <c r="N79" s="7">
        <f t="shared" si="35"/>
        <v>38.083333329996094</v>
      </c>
      <c r="O79" s="7"/>
      <c r="P79" s="7"/>
      <c r="Q79" s="23"/>
      <c r="R79" s="23"/>
      <c r="S79" s="35">
        <f t="shared" si="36"/>
        <v>1</v>
      </c>
      <c r="T79" s="50" t="str">
        <f t="shared" si="37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11:34:09-700',mode:absolute,to:'2016-11-26 14:19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9" s="52" t="str">
        <f t="shared" si="39"/>
        <v>N</v>
      </c>
      <c r="X79" s="177">
        <f t="shared" si="40"/>
        <v>1</v>
      </c>
      <c r="Y79" s="67">
        <f t="shared" si="41"/>
        <v>23.3</v>
      </c>
      <c r="Z79" s="67">
        <f t="shared" si="42"/>
        <v>1.72E-2</v>
      </c>
      <c r="AA79" s="67">
        <f t="shared" si="43"/>
        <v>23.282800000000002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44"/>
        <v>0166-26</v>
      </c>
      <c r="AE79" s="91" t="str">
        <f t="shared" si="45"/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AF79" s="88" t="str">
        <f t="shared" si="46"/>
        <v>"C:\Program Files (x86)\AstroGrep\AstroGrep.exe" /spath="%USERPROFILE%\AppData\Local\Temp\OnboardLogs" /stypes="app*4045*20161126*" /stext=" 20:.+((SYSTEM_STATE.+slice.+state.+changed )|(ment ac)|(multiple cpu faults)|(system.+state.+changed )|(\[timeout)|(PRM\|1\|D)|(kpr)|(kdp)|(\|lc)|(penalty))" /e /r /s</v>
      </c>
      <c r="AG79" s="1" t="str">
        <f t="shared" si="47"/>
        <v>EC</v>
      </c>
      <c r="AH79" s="92" t="str">
        <f t="shared" ref="AH79:AH142" si="48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166-26 --locoid 4045 --swversion DE.1.0.8.0 --startMP 204:233000 --initTime 2016-11-26T12:34:09 --startdatetime 2016-11-26T12:41:25 --delay 1 --endMP 204:172 --enddatetime 2016-11-26T13:19:30 --enforcementcount 1 &gt;&gt;C:\Users\stu\Documents\GitHub\eaglep3-reporting\EC\2016-11-26-refined-times.txt</v>
      </c>
      <c r="AI79" s="119" t="str">
        <f t="shared" ref="AI79:AI142" si="49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{"issue":{"subject":"","project_id":79,"tracker_id":40,"status_id":1,"priority_id":2,"assigned_to_id":23,"start_date":"2016-11-26","description":"","custom_fields":[{"id":1,"name":"Subdivision","value":"EC"},{"id":4,"name":"Milepost","value":"0.0172"},{"id":17,"name":"Train ID","value":"166-26"},{"id":16,"name":"Locomotive ID","value":"4045"},{"id":130,"name":"Impact","value":""},{"id":150,"name":"Time of Event (Mountain Time)","value":"13:19:30"},{"id":151,"name":"Denver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498</v>
      </c>
      <c r="B80" s="7">
        <v>4029</v>
      </c>
      <c r="C80" s="22" t="s">
        <v>216</v>
      </c>
      <c r="D80" s="22" t="s">
        <v>632</v>
      </c>
      <c r="E80" s="13">
        <v>42700.497372685182</v>
      </c>
      <c r="F80" s="13">
        <v>42700.500185185185</v>
      </c>
      <c r="G80" s="7">
        <v>1</v>
      </c>
      <c r="H80" s="22" t="s">
        <v>271</v>
      </c>
      <c r="I80" s="13">
        <v>42700.524386574078</v>
      </c>
      <c r="J80" s="7">
        <v>0</v>
      </c>
      <c r="K80" s="109" t="str">
        <f t="shared" si="33"/>
        <v>4029/4030</v>
      </c>
      <c r="L80" s="22" t="str">
        <f>VLOOKUP(A80,'Trips&amp;Operators'!$C$1:$E$10000,3,FALSE)</f>
        <v>BRUDER</v>
      </c>
      <c r="M80" s="6">
        <f t="shared" si="34"/>
        <v>2.4201388892834075E-2</v>
      </c>
      <c r="N80" s="7">
        <f t="shared" si="35"/>
        <v>34.850000005681068</v>
      </c>
      <c r="O80" s="7"/>
      <c r="P80" s="7"/>
      <c r="Q80" s="23"/>
      <c r="R80" s="23"/>
      <c r="S80" s="35">
        <f t="shared" si="36"/>
        <v>1</v>
      </c>
      <c r="T80" s="50" t="str">
        <f t="shared" si="37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10:56:13-700',mode:absolute,to:'2016-11-26 13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0" s="52" t="str">
        <f t="shared" si="39"/>
        <v>N</v>
      </c>
      <c r="X80" s="177">
        <f t="shared" si="40"/>
        <v>1</v>
      </c>
      <c r="Y80" s="67">
        <f t="shared" si="41"/>
        <v>4.8800000000000003E-2</v>
      </c>
      <c r="Z80" s="67">
        <f t="shared" si="42"/>
        <v>23.3293</v>
      </c>
      <c r="AA80" s="67">
        <f t="shared" si="43"/>
        <v>23.2805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44"/>
        <v>0167-26</v>
      </c>
      <c r="AE80" s="91" t="str">
        <f t="shared" si="45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80" s="88" t="str">
        <f t="shared" si="46"/>
        <v>"C:\Program Files (x86)\AstroGrep\AstroGrep.exe" /spath="%USERPROFILE%\AppData\Local\Temp\OnboardLogs" /stypes="app*4029*20161126*" /stext=" 19:.+((SYSTEM_STATE.+slice.+state.+changed )|(ment ac)|(multiple cpu faults)|(system.+state.+changed )|(\[timeout)|(PRM\|1\|D)|(kpr)|(kdp)|(\|lc)|(penalty))" /e /r /s</v>
      </c>
      <c r="AG80" s="1" t="str">
        <f t="shared" si="47"/>
        <v>EC</v>
      </c>
      <c r="AH80" s="92" t="str">
        <f t="shared" si="48"/>
        <v>"%USERPROFILE%\Documents\GitHub\eaglep3\Utilities\RefineRTDCRunTimes.py" --tripid 167-26 --locoid 4029 --swversion DE.1.0.8.0 --startMP 204:488 --initTime 2016-11-26T11:56:13 --startdatetime 2016-11-26T12:00:16 --delay 1 --endMP 204:233293 --enddatetime 2016-11-26T12:35:07 --enforcementcount 0 &gt;&gt;C:\Users\stu\Documents\GitHub\eaglep3-reporting\EC\2016-11-26-refined-times.txt</v>
      </c>
      <c r="AI80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{"issue":{"subject":"","project_id":79,"tracker_id":40,"status_id":1,"priority_id":2,"assigned_to_id":23,"start_date":"2016-11-26","description":"","custom_fields":[{"id":1,"name":"Subdivision","value":"EC"},{"id":4,"name":"Milepost","value":"23.3293"},{"id":17,"name":"Train ID","value":"167-26"},{"id":16,"name":"Locomotive ID","value":"4029"},{"id":130,"name":"Impact","value":""},{"id":150,"name":"Time of Event (Mountain Time)","value":"12:35:07"},{"id":151,"name":"Denver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506</v>
      </c>
      <c r="B81" s="7">
        <v>4030</v>
      </c>
      <c r="C81" s="22" t="s">
        <v>216</v>
      </c>
      <c r="D81" s="22" t="s">
        <v>309</v>
      </c>
      <c r="E81" s="13">
        <v>42700.534375000003</v>
      </c>
      <c r="F81" s="13">
        <v>42700.539131944446</v>
      </c>
      <c r="G81" s="7">
        <v>1</v>
      </c>
      <c r="H81" s="22" t="s">
        <v>195</v>
      </c>
      <c r="I81" s="13">
        <v>42700.565393518518</v>
      </c>
      <c r="J81" s="7">
        <v>0</v>
      </c>
      <c r="K81" s="109" t="str">
        <f t="shared" si="33"/>
        <v>4029/4030</v>
      </c>
      <c r="L81" s="22" t="str">
        <f>VLOOKUP(A81,'Trips&amp;Operators'!$C$1:$E$10000,3,FALSE)</f>
        <v>BRUDER</v>
      </c>
      <c r="M81" s="6">
        <f t="shared" si="34"/>
        <v>2.626157407212304E-2</v>
      </c>
      <c r="N81" s="7">
        <f t="shared" si="35"/>
        <v>37.816666663857177</v>
      </c>
      <c r="O81" s="7"/>
      <c r="P81" s="7"/>
      <c r="Q81" s="23"/>
      <c r="R81" s="23"/>
      <c r="S81" s="35">
        <f t="shared" si="36"/>
        <v>1</v>
      </c>
      <c r="T81" s="50" t="str">
        <f t="shared" si="37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11:49:30-700',mode:absolute,to:'2016-11-26 14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1" s="52" t="str">
        <f t="shared" si="39"/>
        <v>N</v>
      </c>
      <c r="X81" s="177">
        <f t="shared" si="40"/>
        <v>1</v>
      </c>
      <c r="Y81" s="67">
        <f t="shared" si="41"/>
        <v>23.298400000000001</v>
      </c>
      <c r="Z81" s="67">
        <f t="shared" si="42"/>
        <v>1.49E-2</v>
      </c>
      <c r="AA81" s="67">
        <f t="shared" si="43"/>
        <v>23.2835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44"/>
        <v>0168-26</v>
      </c>
      <c r="AE81" s="91" t="str">
        <f t="shared" si="45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81" s="88" t="str">
        <f t="shared" si="46"/>
        <v>"C:\Program Files (x86)\AstroGrep\AstroGrep.exe" /spath="%USERPROFILE%\AppData\Local\Temp\OnboardLogs" /stypes="app*4030*20161126*" /stext=" 20:.+((SYSTEM_STATE.+slice.+state.+changed )|(ment ac)|(multiple cpu faults)|(system.+state.+changed )|(\[timeout)|(PRM\|1\|D)|(kpr)|(kdp)|(\|lc)|(penalty))" /e /r /s</v>
      </c>
      <c r="AG81" s="1" t="str">
        <f t="shared" si="47"/>
        <v>EC</v>
      </c>
      <c r="AH81" s="92" t="str">
        <f t="shared" si="48"/>
        <v>"%USERPROFILE%\Documents\GitHub\eaglep3\Utilities\RefineRTDCRunTimes.py" --tripid 168-26 --locoid 4030 --swversion DE.1.0.8.0 --startMP 204:232984 --initTime 2016-11-26T12:49:30 --startdatetime 2016-11-26T12:56:21 --delay 1 --endMP 204:149 --enddatetime 2016-11-26T13:34:10 --enforcementcount 0 &gt;&gt;C:\Users\stu\Documents\GitHub\eaglep3-reporting\EC\2016-11-26-refined-times.txt</v>
      </c>
      <c r="AI81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{"issue":{"subject":"","project_id":79,"tracker_id":40,"status_id":1,"priority_id":2,"assigned_to_id":23,"start_date":"2016-11-26","description":"","custom_fields":[{"id":1,"name":"Subdivision","value":"EC"},{"id":4,"name":"Milepost","value":"0.0149"},{"id":17,"name":"Train ID","value":"168-26"},{"id":16,"name":"Locomotive ID","value":"4030"},{"id":130,"name":"Impact","value":""},{"id":150,"name":"Time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500</v>
      </c>
      <c r="B82" s="7">
        <v>4044</v>
      </c>
      <c r="C82" s="22" t="s">
        <v>216</v>
      </c>
      <c r="D82" s="22" t="s">
        <v>373</v>
      </c>
      <c r="E82" s="13">
        <v>42700.507916666669</v>
      </c>
      <c r="F82" s="13">
        <v>42700.510578703703</v>
      </c>
      <c r="G82" s="7">
        <v>1</v>
      </c>
      <c r="H82" s="22" t="s">
        <v>633</v>
      </c>
      <c r="I82" s="13">
        <v>42700.536712962959</v>
      </c>
      <c r="J82" s="7">
        <v>0</v>
      </c>
      <c r="K82" s="109" t="str">
        <f t="shared" si="33"/>
        <v>4043/4044</v>
      </c>
      <c r="L82" s="22" t="str">
        <f>VLOOKUP(A82,'Trips&amp;Operators'!$C$1:$E$10000,3,FALSE)</f>
        <v>CLARK</v>
      </c>
      <c r="M82" s="6">
        <f t="shared" si="34"/>
        <v>2.6134259256650694E-2</v>
      </c>
      <c r="N82" s="7">
        <f t="shared" si="35"/>
        <v>37.633333329576999</v>
      </c>
      <c r="O82" s="7"/>
      <c r="P82" s="7"/>
      <c r="Q82" s="23"/>
      <c r="R82" s="23"/>
      <c r="S82" s="35">
        <f t="shared" si="36"/>
        <v>1</v>
      </c>
      <c r="T82" s="50" t="str">
        <f t="shared" si="37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11:11:24-700',mode:absolute,to:'2016-11-26 13:52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2" s="52" t="str">
        <f t="shared" si="39"/>
        <v>N</v>
      </c>
      <c r="X82" s="177">
        <f t="shared" si="40"/>
        <v>1</v>
      </c>
      <c r="Y82" s="67">
        <f t="shared" si="41"/>
        <v>4.9099999999999998E-2</v>
      </c>
      <c r="Z82" s="67">
        <f t="shared" si="42"/>
        <v>23.333400000000001</v>
      </c>
      <c r="AA82" s="67">
        <f t="shared" si="43"/>
        <v>23.284300000000002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44"/>
        <v>0169-26</v>
      </c>
      <c r="AE82" s="91" t="str">
        <f t="shared" si="45"/>
        <v>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 &amp; 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</v>
      </c>
      <c r="AF82" s="88" t="str">
        <f t="shared" si="46"/>
        <v>"C:\Program Files (x86)\AstroGrep\AstroGrep.exe" /spath="%USERPROFILE%\AppData\Local\Temp\OnboardLogs" /stypes="app*4044*20161126*" /stext=" 19:.+((SYSTEM_STATE.+slice.+state.+changed )|(ment ac)|(multiple cpu faults)|(system.+state.+changed )|(\[timeout)|(PRM\|1\|D)|(kpr)|(kdp)|(\|lc)|(penalty))" /e /r /s</v>
      </c>
      <c r="AG82" s="1" t="str">
        <f t="shared" si="47"/>
        <v>EC</v>
      </c>
      <c r="AH82" s="92" t="str">
        <f t="shared" si="48"/>
        <v>"%USERPROFILE%\Documents\GitHub\eaglep3\Utilities\RefineRTDCRunTimes.py" --tripid 169-26 --locoid 4044 --swversion DE.1.0.8.0 --startMP 204:491 --initTime 2016-11-26T12:11:24 --startdatetime 2016-11-26T12:15:14 --delay 1 --endMP 204:233334 --enddatetime 2016-11-26T12:52:52 --enforcementcount 0 &gt;&gt;C:\Users\stu\Documents\GitHub\eaglep3-reporting\EC\2016-11-26-refined-times.txt</v>
      </c>
      <c r="AI82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{"issue":{"subject":"","project_id":79,"tracker_id":40,"status_id":1,"priority_id":2,"assigned_to_id":23,"start_date":"2016-11-26","description":"","custom_fields":[{"id":1,"name":"Subdivision","value":"EC"},{"id":4,"name":"Milepost","value":"23.3334"},{"id":17,"name":"Train ID","value":"169-26"},{"id":16,"name":"Locomotive ID","value":"4044"},{"id":130,"name":"Impact","value":""},{"id":150,"name":"Time of Event (Mountain Time)","value":"12:52:52"},{"id":151,"name":"Denver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406</v>
      </c>
      <c r="B83" s="7">
        <v>4043</v>
      </c>
      <c r="C83" s="22" t="s">
        <v>216</v>
      </c>
      <c r="D83" s="22" t="s">
        <v>634</v>
      </c>
      <c r="E83" s="13">
        <v>42700.544421296298</v>
      </c>
      <c r="F83" s="13">
        <v>42700.570335648146</v>
      </c>
      <c r="G83" s="7">
        <v>1</v>
      </c>
      <c r="H83" s="22" t="s">
        <v>635</v>
      </c>
      <c r="I83" s="13">
        <v>42700.581018518518</v>
      </c>
      <c r="J83" s="7">
        <v>1</v>
      </c>
      <c r="K83" s="109" t="str">
        <f t="shared" si="33"/>
        <v>4043/4044</v>
      </c>
      <c r="L83" s="22" t="str">
        <f>VLOOKUP(A83,'Trips&amp;Operators'!$C$1:$E$10000,3,FALSE)</f>
        <v>CLARK</v>
      </c>
      <c r="M83" s="6">
        <f t="shared" si="34"/>
        <v>1.0682870371965691E-2</v>
      </c>
      <c r="N83" s="7"/>
      <c r="O83" s="7"/>
      <c r="P83" s="7">
        <f>24*60*SUM($M83:$M84)</f>
        <v>30.766666671261191</v>
      </c>
      <c r="Q83" s="23"/>
      <c r="R83" s="23" t="s">
        <v>748</v>
      </c>
      <c r="S83" s="35">
        <f>SUM(U83:U84)/IF(AG83="EC",12,1)</f>
        <v>1</v>
      </c>
      <c r="T83" s="50" t="str">
        <f t="shared" si="37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3</v>
      </c>
      <c r="V8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12:03:58-700',mode:absolute,to:'2016-11-26 14:56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3" s="52" t="str">
        <f t="shared" si="39"/>
        <v>Y</v>
      </c>
      <c r="X83" s="177">
        <f t="shared" si="40"/>
        <v>1</v>
      </c>
      <c r="Y83" s="67">
        <f t="shared" si="41"/>
        <v>23.302099999999999</v>
      </c>
      <c r="Z83" s="67">
        <f t="shared" si="42"/>
        <v>6.9596</v>
      </c>
      <c r="AA83" s="67">
        <f t="shared" si="43"/>
        <v>16.342500000000001</v>
      </c>
      <c r="AB83" s="64" t="str">
        <f>VLOOKUP(A83,Enforcements!$C$7:$K$20,8,0)</f>
        <v>Signal based authority (5)</v>
      </c>
      <c r="AC83" s="60" t="str">
        <f>VLOOKUP(A83,Enforcements!$C$7:$E$20,3,0)</f>
        <v>SIGNAL</v>
      </c>
      <c r="AD83" s="61" t="str">
        <f t="shared" si="44"/>
        <v>0170-26</v>
      </c>
      <c r="AE83" s="91" t="str">
        <f t="shared" si="45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83" s="88" t="str">
        <f t="shared" si="46"/>
        <v>"C:\Program Files (x86)\AstroGrep\AstroGrep.exe" /spath="%USERPROFILE%\AppData\Local\Temp\OnboardLogs" /stypes="app*4043*20161126*" /stext=" 20:.+((SYSTEM_STATE.+slice.+state.+changed )|(ment ac)|(multiple cpu faults)|(system.+state.+changed )|(\[timeout)|(PRM\|1\|D)|(kpr)|(kdp)|(\|lc)|(penalty))" /e /r /s</v>
      </c>
      <c r="AG83" s="1" t="str">
        <f t="shared" si="47"/>
        <v>EC</v>
      </c>
      <c r="AH83" s="92" t="str">
        <f t="shared" si="48"/>
        <v>"%USERPROFILE%\Documents\GitHub\eaglep3\Utilities\RefineRTDCRunTimes.py" --tripid 170-26 --locoid 4043 --swversion DE.1.0.8.0 --startMP 204:233021 --initTime 2016-11-26T13:03:58 --startdatetime 2016-11-26T13:41:17 --delay 1 --endMP 204:69596 --enddatetime 2016-11-26T13:56:40 --enforcementcount 1 &gt;&gt;C:\Users\stu\Documents\GitHub\eaglep3-reporting\EC\2016-11-26-refined-times.txt</v>
      </c>
      <c r="AI83" s="119" t="str">
        <f t="shared" si="49"/>
        <v>echo {"issue":{"subject":"Onboard in-route failure","project_id":79,"tracker_id":40,"status_id":1,"priority_id":2,"assigned_to_id":23,"start_date":"2016-11-26","description":"At 20:26:59.458 UTC, primary slice vote out, 20 sec later, some locations timed out","custom_fields":[{"id":1,"name":"Subdivision","value":"EC"},{"id":4,"name":"Milepost","value":"6.9596"},{"id":17,"name":"Train ID","value":"170-26"},{"id":16,"name":"Locomotive ID","value":"4043"},{"id":130,"name":"Impact","value":"Enforcement"},{"id":150,"name":"Time of Event (Mountain Time)","value":"13:56:40"},{"id":151,"name":"Denver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83" s="53" t="s">
        <v>752</v>
      </c>
      <c r="AK83" s="53" t="s">
        <v>125</v>
      </c>
      <c r="AL83" s="53" t="s">
        <v>177</v>
      </c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406</v>
      </c>
      <c r="B84" s="7">
        <v>4043</v>
      </c>
      <c r="C84" s="22" t="s">
        <v>216</v>
      </c>
      <c r="D84" s="22" t="s">
        <v>636</v>
      </c>
      <c r="E84" s="13">
        <v>42700.568483796298</v>
      </c>
      <c r="F84" s="13">
        <v>42700.570335648146</v>
      </c>
      <c r="G84" s="7">
        <v>1</v>
      </c>
      <c r="H84" s="22" t="s">
        <v>218</v>
      </c>
      <c r="I84" s="13">
        <v>42700.581018518518</v>
      </c>
      <c r="J84" s="7">
        <v>0</v>
      </c>
      <c r="K84" s="109" t="str">
        <f t="shared" si="33"/>
        <v>4043/4044</v>
      </c>
      <c r="L84" s="22" t="str">
        <f>VLOOKUP(A84,'Trips&amp;Operators'!$C$1:$E$10000,3,FALSE)</f>
        <v>CLARK</v>
      </c>
      <c r="M84" s="6">
        <f t="shared" si="34"/>
        <v>1.0682870371965691E-2</v>
      </c>
      <c r="N84" s="7"/>
      <c r="O84" s="7"/>
      <c r="P84" s="7"/>
      <c r="Q84" s="23"/>
      <c r="R84" s="23"/>
      <c r="S84" s="35"/>
      <c r="T84" s="50" t="str">
        <f t="shared" si="37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9</v>
      </c>
      <c r="V8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12:38:37-700',mode:absolute,to:'2016-11-26 14:56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4" s="52" t="str">
        <f t="shared" si="39"/>
        <v>Y</v>
      </c>
      <c r="X84" s="177">
        <f t="shared" si="40"/>
        <v>0</v>
      </c>
      <c r="Y84" s="67">
        <f t="shared" si="41"/>
        <v>6.4181999999999997</v>
      </c>
      <c r="Z84" s="67">
        <f t="shared" si="42"/>
        <v>1.5800000000000002E-2</v>
      </c>
      <c r="AA84" s="67">
        <f t="shared" si="43"/>
        <v>6.4024000000000001</v>
      </c>
      <c r="AB84" s="64" t="str">
        <f>VLOOKUP(A84,Enforcements!$C$7:$K$20,8,0)</f>
        <v>Signal based authority (5)</v>
      </c>
      <c r="AC84" s="60" t="str">
        <f>VLOOKUP(A84,Enforcements!$C$7:$E$20,3,0)</f>
        <v>SIGNAL</v>
      </c>
      <c r="AD84" s="61" t="str">
        <f t="shared" si="44"/>
        <v>0170-26</v>
      </c>
      <c r="AE84" s="91" t="str">
        <f t="shared" si="45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84" s="88" t="str">
        <f t="shared" si="46"/>
        <v>"C:\Program Files (x86)\AstroGrep\AstroGrep.exe" /spath="%USERPROFILE%\AppData\Local\Temp\OnboardLogs" /stypes="app*4043*20161126*" /stext=" 20:.+((SYSTEM_STATE.+slice.+state.+changed )|(ment ac)|(multiple cpu faults)|(system.+state.+changed )|(\[timeout)|(PRM\|1\|D)|(kpr)|(kdp)|(\|lc)|(penalty))" /e /r /s</v>
      </c>
      <c r="AG84" s="1" t="str">
        <f t="shared" si="47"/>
        <v>EC</v>
      </c>
      <c r="AH84" s="92" t="str">
        <f t="shared" si="48"/>
        <v>"%USERPROFILE%\Documents\GitHub\eaglep3\Utilities\RefineRTDCRunTimes.py" --tripid 170-26 --locoid 4043 --swversion DE.1.0.8.0 --startMP 204:64182 --initTime 2016-11-26T13:38:37 --startdatetime 2016-11-26T13:41:17 --delay 1 --endMP 204:158 --enddatetime 2016-11-26T13:56:40 --enforcementcount 0 &gt;&gt;C:\Users\stu\Documents\GitHub\eaglep3-reporting\EC\2016-11-26-refined-times.txt</v>
      </c>
      <c r="AI84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{"issue":{"subject":"","project_id":79,"tracker_id":40,"status_id":1,"priority_id":2,"assigned_to_id":23,"start_date":"2016-11-26","description":"","custom_fields":[{"id":1,"name":"Subdivision","value":"EC"},{"id":4,"name":"Milepost","value":"0.0158"},{"id":17,"name":"Train ID","value":"170-26"},{"id":16,"name":"Locomotive ID","value":"4043"},{"id":130,"name":"Impact","value":""},{"id":150,"name":"Time of Event (Mountain Time)","value":"13:56:40"},{"id":151,"name":"Denver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502</v>
      </c>
      <c r="B85" s="7">
        <v>4038</v>
      </c>
      <c r="C85" s="22" t="s">
        <v>216</v>
      </c>
      <c r="D85" s="22" t="s">
        <v>239</v>
      </c>
      <c r="E85" s="13">
        <v>42700.516851851855</v>
      </c>
      <c r="F85" s="13">
        <v>42700.521597222221</v>
      </c>
      <c r="G85" s="7">
        <v>2</v>
      </c>
      <c r="H85" s="22" t="s">
        <v>287</v>
      </c>
      <c r="I85" s="13">
        <v>42700.546539351853</v>
      </c>
      <c r="J85" s="7">
        <v>0</v>
      </c>
      <c r="K85" s="109" t="str">
        <f t="shared" si="33"/>
        <v>4037/4038</v>
      </c>
      <c r="L85" s="22" t="str">
        <f>VLOOKUP(A85,'Trips&amp;Operators'!$C$1:$E$10000,3,FALSE)</f>
        <v>STORY</v>
      </c>
      <c r="M85" s="6">
        <f t="shared" si="34"/>
        <v>2.4942129632108845E-2</v>
      </c>
      <c r="N85" s="7">
        <f t="shared" si="35"/>
        <v>35.916666670236737</v>
      </c>
      <c r="O85" s="7"/>
      <c r="P85" s="7"/>
      <c r="Q85" s="23"/>
      <c r="R85" s="23"/>
      <c r="S85" s="35">
        <f t="shared" si="36"/>
        <v>1</v>
      </c>
      <c r="T85" s="50" t="str">
        <f t="shared" si="37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11:24:16-700',mode:absolute,to:'2016-11-26 14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5" s="52" t="str">
        <f t="shared" si="39"/>
        <v>N</v>
      </c>
      <c r="X85" s="177">
        <f t="shared" si="40"/>
        <v>1</v>
      </c>
      <c r="Y85" s="67">
        <f t="shared" si="41"/>
        <v>4.6600000000000003E-2</v>
      </c>
      <c r="Z85" s="67">
        <f t="shared" si="42"/>
        <v>23.3307</v>
      </c>
      <c r="AA85" s="67">
        <f t="shared" si="43"/>
        <v>23.284099999999999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44"/>
        <v>0171-26</v>
      </c>
      <c r="AE85" s="91" t="str">
        <f t="shared" si="45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85" s="88" t="str">
        <f t="shared" si="46"/>
        <v>"C:\Program Files (x86)\AstroGrep\AstroGrep.exe" /spath="%USERPROFILE%\AppData\Local\Temp\OnboardLogs" /stypes="app*4038*20161126*" /stext=" 20:.+((SYSTEM_STATE.+slice.+state.+changed )|(ment ac)|(multiple cpu faults)|(system.+state.+changed )|(\[timeout)|(PRM\|1\|D)|(kpr)|(kdp)|(\|lc)|(penalty))" /e /r /s</v>
      </c>
      <c r="AG85" s="1" t="str">
        <f t="shared" si="47"/>
        <v>EC</v>
      </c>
      <c r="AH85" s="92" t="str">
        <f t="shared" si="48"/>
        <v>"%USERPROFILE%\Documents\GitHub\eaglep3\Utilities\RefineRTDCRunTimes.py" --tripid 171-26 --locoid 4038 --swversion DE.1.0.8.0 --startMP 204:466 --initTime 2016-11-26T12:24:16 --startdatetime 2016-11-26T12:31:06 --delay 2 --endMP 204:233307 --enddatetime 2016-11-26T13:07:01 --enforcementcount 0 &gt;&gt;C:\Users\stu\Documents\GitHub\eaglep3-reporting\EC\2016-11-26-refined-times.txt</v>
      </c>
      <c r="AI85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{"issue":{"subject":"","project_id":79,"tracker_id":40,"status_id":1,"priority_id":2,"assigned_to_id":23,"start_date":"2016-11-26","description":"","custom_fields":[{"id":1,"name":"Subdivision","value":"EC"},{"id":4,"name":"Milepost","value":"23.3307"},{"id":17,"name":"Train ID","value":"171-26"},{"id":16,"name":"Locomotive ID","value":"4038"},{"id":130,"name":"Impact","value":""},{"id":150,"name":"Time of Event (Mountain Time)","value":"13:07:01"},{"id":151,"name":"Denver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510</v>
      </c>
      <c r="B86" s="7">
        <v>4037</v>
      </c>
      <c r="C86" s="22" t="s">
        <v>216</v>
      </c>
      <c r="D86" s="22" t="s">
        <v>309</v>
      </c>
      <c r="E86" s="13">
        <v>42700.554675925923</v>
      </c>
      <c r="F86" s="13">
        <v>42700.559953703705</v>
      </c>
      <c r="G86" s="7">
        <v>2</v>
      </c>
      <c r="H86" s="22" t="s">
        <v>218</v>
      </c>
      <c r="I86" s="13">
        <v>42700.586469907408</v>
      </c>
      <c r="J86" s="7">
        <v>0</v>
      </c>
      <c r="K86" s="109" t="str">
        <f t="shared" si="33"/>
        <v>4037/4038</v>
      </c>
      <c r="L86" s="22" t="str">
        <f>VLOOKUP(A86,'Trips&amp;Operators'!$C$1:$E$10000,3,FALSE)</f>
        <v>STORY</v>
      </c>
      <c r="M86" s="6">
        <f t="shared" si="34"/>
        <v>2.6516203703067731E-2</v>
      </c>
      <c r="N86" s="7">
        <f t="shared" si="35"/>
        <v>38.183333332417533</v>
      </c>
      <c r="O86" s="7"/>
      <c r="P86" s="7"/>
      <c r="Q86" s="23"/>
      <c r="R86" s="23"/>
      <c r="S86" s="35">
        <f t="shared" si="36"/>
        <v>1</v>
      </c>
      <c r="T86" s="50" t="str">
        <f t="shared" si="37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12:18:44-700',mode:absolute,to:'2016-11-26 15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6" s="52" t="str">
        <f t="shared" si="39"/>
        <v>N</v>
      </c>
      <c r="X86" s="177">
        <f t="shared" si="40"/>
        <v>1</v>
      </c>
      <c r="Y86" s="67">
        <f t="shared" si="41"/>
        <v>23.298400000000001</v>
      </c>
      <c r="Z86" s="67">
        <f t="shared" si="42"/>
        <v>1.5800000000000002E-2</v>
      </c>
      <c r="AA86" s="67">
        <f t="shared" si="43"/>
        <v>23.282600000000002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44"/>
        <v>0172-26</v>
      </c>
      <c r="AE86" s="91" t="str">
        <f t="shared" si="45"/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AF86" s="88" t="str">
        <f t="shared" si="46"/>
        <v>"C:\Program Files (x86)\AstroGrep\AstroGrep.exe" /spath="%USERPROFILE%\AppData\Local\Temp\OnboardLogs" /stypes="app*4037*20161126*" /stext=" 21:.+((SYSTEM_STATE.+slice.+state.+changed )|(ment ac)|(multiple cpu faults)|(system.+state.+changed )|(\[timeout)|(PRM\|1\|D)|(kpr)|(kdp)|(\|lc)|(penalty))" /e /r /s</v>
      </c>
      <c r="AG86" s="1" t="str">
        <f t="shared" si="47"/>
        <v>EC</v>
      </c>
      <c r="AH86" s="92" t="str">
        <f t="shared" si="48"/>
        <v>"%USERPROFILE%\Documents\GitHub\eaglep3\Utilities\RefineRTDCRunTimes.py" --tripid 172-26 --locoid 4037 --swversion DE.1.0.8.0 --startMP 204:232984 --initTime 2016-11-26T13:18:44 --startdatetime 2016-11-26T13:26:20 --delay 2 --endMP 204:158 --enddatetime 2016-11-26T14:04:31 --enforcementcount 0 &gt;&gt;C:\Users\stu\Documents\GitHub\eaglep3-reporting\EC\2016-11-26-refined-times.txt</v>
      </c>
      <c r="AI86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{"issue":{"subject":"","project_id":79,"tracker_id":40,"status_id":1,"priority_id":2,"assigned_to_id":23,"start_date":"2016-11-26","description":"","custom_fields":[{"id":1,"name":"Subdivision","value":"EC"},{"id":4,"name":"Milepost","value":"0.0158"},{"id":17,"name":"Train ID","value":"172-26"},{"id":16,"name":"Locomotive ID","value":"4037"},{"id":130,"name":"Impact","value":""},{"id":150,"name":"Time of Event (Mountain Time)","value":"14:04:31"},{"id":151,"name":"Denver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505</v>
      </c>
      <c r="B87" s="7">
        <v>4025</v>
      </c>
      <c r="C87" s="22" t="s">
        <v>216</v>
      </c>
      <c r="D87" s="22" t="s">
        <v>374</v>
      </c>
      <c r="E87" s="13">
        <v>42700.531168981484</v>
      </c>
      <c r="F87" s="13">
        <v>42700.53297453704</v>
      </c>
      <c r="G87" s="7">
        <v>1</v>
      </c>
      <c r="H87" s="22" t="s">
        <v>366</v>
      </c>
      <c r="I87" s="13">
        <v>42700.558055555557</v>
      </c>
      <c r="J87" s="7">
        <v>0</v>
      </c>
      <c r="K87" s="109" t="str">
        <f t="shared" si="33"/>
        <v>4025/4026</v>
      </c>
      <c r="L87" s="22" t="str">
        <f>VLOOKUP(A87,'Trips&amp;Operators'!$C$1:$E$10000,3,FALSE)</f>
        <v>STEWART</v>
      </c>
      <c r="M87" s="6">
        <f t="shared" si="34"/>
        <v>2.5081018517084885E-2</v>
      </c>
      <c r="N87" s="7">
        <f t="shared" si="35"/>
        <v>36.116666664602235</v>
      </c>
      <c r="O87" s="7"/>
      <c r="P87" s="7"/>
      <c r="Q87" s="23"/>
      <c r="R87" s="23"/>
      <c r="S87" s="35">
        <f t="shared" si="36"/>
        <v>1</v>
      </c>
      <c r="T87" s="50" t="str">
        <f t="shared" si="37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11:44:53-700',mode:absolute,to:'2016-11-26 14:23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7" s="52" t="str">
        <f t="shared" si="39"/>
        <v>N</v>
      </c>
      <c r="X87" s="177">
        <f t="shared" si="40"/>
        <v>1</v>
      </c>
      <c r="Y87" s="67">
        <f t="shared" si="41"/>
        <v>4.3499999999999997E-2</v>
      </c>
      <c r="Z87" s="67">
        <f t="shared" si="42"/>
        <v>23.33</v>
      </c>
      <c r="AA87" s="67">
        <f t="shared" si="43"/>
        <v>23.286499999999997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44"/>
        <v>0173-26</v>
      </c>
      <c r="AE87" s="91" t="str">
        <f t="shared" si="45"/>
        <v>aws s3 cp s3://rtdc.mdm.uploadarchive.raw/RTDC4025/ "%USERPROFILE%\AppData\Local\Temp\OnboardLogs"\RTDC4025\2016-11-26 --exclude "*" --recursive --include "*20161126*" &amp; "%USERPROFILE%\Documents\GitHub\mrs-test-scripts\Headless Mode &amp; Sideloading\WalkAndUnGZ.bat" "%USERPROFILE%\AppData\Local\Temp\OnboardLogs"\RTDC4025\2016-11-26 &amp; 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</v>
      </c>
      <c r="AF87" s="88" t="str">
        <f t="shared" si="46"/>
        <v>"C:\Program Files (x86)\AstroGrep\AstroGrep.exe" /spath="%USERPROFILE%\AppData\Local\Temp\OnboardLogs" /stypes="app*4025*20161126*" /stext=" 20:.+((SYSTEM_STATE.+slice.+state.+changed )|(ment ac)|(multiple cpu faults)|(system.+state.+changed )|(\[timeout)|(PRM\|1\|D)|(kpr)|(kdp)|(\|lc)|(penalty))" /e /r /s</v>
      </c>
      <c r="AG87" s="1" t="str">
        <f t="shared" si="47"/>
        <v>EC</v>
      </c>
      <c r="AH87" s="92" t="str">
        <f t="shared" si="48"/>
        <v>"%USERPROFILE%\Documents\GitHub\eaglep3\Utilities\RefineRTDCRunTimes.py" --tripid 173-26 --locoid 4025 --swversion DE.1.0.8.0 --startMP 204:435 --initTime 2016-11-26T12:44:53 --startdatetime 2016-11-26T12:47:29 --delay 1 --endMP 204:233300 --enddatetime 2016-11-26T13:23:36 --enforcementcount 0 &gt;&gt;C:\Users\stu\Documents\GitHub\eaglep3-reporting\EC\2016-11-26-refined-times.txt</v>
      </c>
      <c r="AI87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{"issue":{"subject":"","project_id":79,"tracker_id":40,"status_id":1,"priority_id":2,"assigned_to_id":23,"start_date":"2016-11-26","description":"","custom_fields":[{"id":1,"name":"Subdivision","value":"EC"},{"id":4,"name":"Milepost","value":"23.33"},{"id":17,"name":"Train ID","value":"173-26"},{"id":16,"name":"Locomotive ID","value":"4025"},{"id":130,"name":"Impact","value":""},{"id":150,"name":"Time of Event (Mountain Time)","value":"13:23:36"},{"id":151,"name":"Denver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512</v>
      </c>
      <c r="B88" s="7">
        <v>4026</v>
      </c>
      <c r="C88" s="22" t="s">
        <v>216</v>
      </c>
      <c r="D88" s="22" t="s">
        <v>299</v>
      </c>
      <c r="E88" s="13">
        <v>42700.566701388889</v>
      </c>
      <c r="F88" s="13">
        <v>42700.570405092592</v>
      </c>
      <c r="G88" s="7">
        <v>1</v>
      </c>
      <c r="H88" s="22" t="s">
        <v>254</v>
      </c>
      <c r="I88" s="13">
        <v>42700.596250000002</v>
      </c>
      <c r="J88" s="7">
        <v>0</v>
      </c>
      <c r="K88" s="109" t="str">
        <f t="shared" si="33"/>
        <v>4025/4026</v>
      </c>
      <c r="L88" s="22" t="str">
        <f>VLOOKUP(A88,'Trips&amp;Operators'!$C$1:$E$10000,3,FALSE)</f>
        <v>STEWART</v>
      </c>
      <c r="M88" s="6">
        <f t="shared" si="34"/>
        <v>2.584490740991896E-2</v>
      </c>
      <c r="N88" s="7">
        <f t="shared" si="35"/>
        <v>37.216666670283303</v>
      </c>
      <c r="O88" s="7"/>
      <c r="P88" s="7"/>
      <c r="Q88" s="23"/>
      <c r="R88" s="23"/>
      <c r="S88" s="35">
        <f t="shared" si="36"/>
        <v>1</v>
      </c>
      <c r="T88" s="50" t="str">
        <f t="shared" si="37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12:36:03-700',mode:absolute,to:'2016-11-26 15:18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8" s="52" t="str">
        <f t="shared" si="39"/>
        <v>N</v>
      </c>
      <c r="X88" s="177">
        <f t="shared" si="40"/>
        <v>1</v>
      </c>
      <c r="Y88" s="67">
        <f t="shared" si="41"/>
        <v>23.2989</v>
      </c>
      <c r="Z88" s="67">
        <f t="shared" si="42"/>
        <v>1.6500000000000001E-2</v>
      </c>
      <c r="AA88" s="67">
        <f t="shared" si="43"/>
        <v>23.282399999999999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44"/>
        <v>0174-26</v>
      </c>
      <c r="AE88" s="91" t="str">
        <f t="shared" si="45"/>
        <v>aws s3 cp s3://rtdc.mdm.uploadarchive.raw/RTDC4026/ "%USERPROFILE%\AppData\Local\Temp\OnboardLogs"\RTDC4026\2016-11-26 --exclude "*" --recursive --include "*20161126*" &amp; "%USERPROFILE%\Documents\GitHub\mrs-test-scripts\Headless Mode &amp; Sideloading\WalkAndUnGZ.bat" "%USERPROFILE%\AppData\Local\Temp\OnboardLogs"\RTDC4026\2016-11-26 &amp; 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</v>
      </c>
      <c r="AF88" s="88" t="str">
        <f t="shared" si="46"/>
        <v>"C:\Program Files (x86)\AstroGrep\AstroGrep.exe" /spath="%USERPROFILE%\AppData\Local\Temp\OnboardLogs" /stypes="app*4026*20161126*" /stext=" 21:.+((SYSTEM_STATE.+slice.+state.+changed )|(ment ac)|(multiple cpu faults)|(system.+state.+changed )|(\[timeout)|(PRM\|1\|D)|(kpr)|(kdp)|(\|lc)|(penalty))" /e /r /s</v>
      </c>
      <c r="AG88" s="1" t="str">
        <f t="shared" si="47"/>
        <v>EC</v>
      </c>
      <c r="AH88" s="92" t="str">
        <f t="shared" si="48"/>
        <v>"%USERPROFILE%\Documents\GitHub\eaglep3\Utilities\RefineRTDCRunTimes.py" --tripid 174-26 --locoid 4026 --swversion DE.1.0.8.0 --startMP 204:232989 --initTime 2016-11-26T13:36:03 --startdatetime 2016-11-26T13:41:23 --delay 1 --endMP 204:165 --enddatetime 2016-11-26T14:18:36 --enforcementcount 0 &gt;&gt;C:\Users\stu\Documents\GitHub\eaglep3-reporting\EC\2016-11-26-refined-times.txt</v>
      </c>
      <c r="AI88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{"issue":{"subject":"","project_id":79,"tracker_id":40,"status_id":1,"priority_id":2,"assigned_to_id":23,"start_date":"2016-11-26","description":"","custom_fields":[{"id":1,"name":"Subdivision","value":"EC"},{"id":4,"name":"Milepost","value":"0.0165"},{"id":17,"name":"Train ID","value":"174-26"},{"id":16,"name":"Locomotive ID","value":"4026"},{"id":130,"name":"Impact","value":""},{"id":150,"name":"Time of Event (Mountain Time)","value":"14:18:36"},{"id":151,"name":"Denver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507</v>
      </c>
      <c r="B89" s="7">
        <v>4031</v>
      </c>
      <c r="C89" s="22" t="s">
        <v>216</v>
      </c>
      <c r="D89" s="22" t="s">
        <v>637</v>
      </c>
      <c r="E89" s="13">
        <v>42700.536597222221</v>
      </c>
      <c r="F89" s="13">
        <v>42700.541875000003</v>
      </c>
      <c r="G89" s="7">
        <v>1</v>
      </c>
      <c r="H89" s="22" t="s">
        <v>638</v>
      </c>
      <c r="I89" s="13">
        <v>42700.567129629628</v>
      </c>
      <c r="J89" s="7">
        <v>0</v>
      </c>
      <c r="K89" s="109" t="str">
        <f t="shared" si="33"/>
        <v>4031/4032</v>
      </c>
      <c r="L89" s="22" t="str">
        <f>VLOOKUP(A89,'Trips&amp;Operators'!$C$1:$E$10000,3,FALSE)</f>
        <v>BARTLETT</v>
      </c>
      <c r="M89" s="6">
        <f t="shared" si="34"/>
        <v>2.5254629625123926E-2</v>
      </c>
      <c r="N89" s="7">
        <f t="shared" si="35"/>
        <v>36.366666660178453</v>
      </c>
      <c r="O89" s="7"/>
      <c r="P89" s="7"/>
      <c r="Q89" s="23"/>
      <c r="R89" s="23"/>
      <c r="S89" s="35">
        <f t="shared" si="36"/>
        <v>1</v>
      </c>
      <c r="T89" s="50" t="str">
        <f t="shared" si="37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11:52:42-700',mode:absolute,to:'2016-11-26 14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9" s="52" t="str">
        <f t="shared" si="39"/>
        <v>N</v>
      </c>
      <c r="X89" s="177">
        <f t="shared" si="40"/>
        <v>1</v>
      </c>
      <c r="Y89" s="67">
        <f t="shared" si="41"/>
        <v>4.58E-2</v>
      </c>
      <c r="Z89" s="67">
        <f t="shared" si="42"/>
        <v>23.326799999999999</v>
      </c>
      <c r="AA89" s="67">
        <f t="shared" si="43"/>
        <v>23.280999999999999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44"/>
        <v>0175-26</v>
      </c>
      <c r="AE89" s="91" t="str">
        <f t="shared" si="45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89" s="88" t="str">
        <f t="shared" si="46"/>
        <v>"C:\Program Files (x86)\AstroGrep\AstroGrep.exe" /spath="%USERPROFILE%\AppData\Local\Temp\OnboardLogs" /stypes="app*4031*20161126*" /stext=" 20:.+((SYSTEM_STATE.+slice.+state.+changed )|(ment ac)|(multiple cpu faults)|(system.+state.+changed )|(\[timeout)|(PRM\|1\|D)|(kpr)|(kdp)|(\|lc)|(penalty))" /e /r /s</v>
      </c>
      <c r="AG89" s="1" t="str">
        <f t="shared" si="47"/>
        <v>EC</v>
      </c>
      <c r="AH89" s="92" t="str">
        <f t="shared" si="48"/>
        <v>"%USERPROFILE%\Documents\GitHub\eaglep3\Utilities\RefineRTDCRunTimes.py" --tripid 175-26 --locoid 4031 --swversion DE.1.0.8.0 --startMP 204:458 --initTime 2016-11-26T12:52:42 --startdatetime 2016-11-26T13:00:18 --delay 1 --endMP 204:233268 --enddatetime 2016-11-26T13:36:40 --enforcementcount 0 &gt;&gt;C:\Users\stu\Documents\GitHub\eaglep3-reporting\EC\2016-11-26-refined-times.txt</v>
      </c>
      <c r="AI89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{"issue":{"subject":"","project_id":79,"tracker_id":40,"status_id":1,"priority_id":2,"assigned_to_id":23,"start_date":"2016-11-26","description":"","custom_fields":[{"id":1,"name":"Subdivision","value":"EC"},{"id":4,"name":"Milepost","value":"23.3268"},{"id":17,"name":"Train ID","value":"175-26"},{"id":16,"name":"Locomotive ID","value":"4031"},{"id":130,"name":"Impact","value":""},{"id":150,"name":"Time of Event (Mountain Time)","value":"13:36:40"},{"id":151,"name":"Denver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515</v>
      </c>
      <c r="B90" s="7">
        <v>4032</v>
      </c>
      <c r="C90" s="22" t="s">
        <v>216</v>
      </c>
      <c r="D90" s="22" t="s">
        <v>311</v>
      </c>
      <c r="E90" s="13">
        <v>42700.569652777776</v>
      </c>
      <c r="F90" s="13">
        <v>42700.580775462964</v>
      </c>
      <c r="G90" s="7">
        <v>1</v>
      </c>
      <c r="H90" s="22" t="s">
        <v>624</v>
      </c>
      <c r="I90" s="13">
        <v>42700.607164351852</v>
      </c>
      <c r="J90" s="7">
        <v>0</v>
      </c>
      <c r="K90" s="109" t="str">
        <f t="shared" si="33"/>
        <v>4031/4032</v>
      </c>
      <c r="L90" s="22" t="str">
        <f>VLOOKUP(A90,'Trips&amp;Operators'!$C$1:$E$10000,3,FALSE)</f>
        <v>BARTLETT</v>
      </c>
      <c r="M90" s="6">
        <f t="shared" si="34"/>
        <v>2.6388888887595385E-2</v>
      </c>
      <c r="N90" s="7">
        <f t="shared" si="35"/>
        <v>37.999999998137355</v>
      </c>
      <c r="O90" s="7"/>
      <c r="P90" s="7"/>
      <c r="Q90" s="23"/>
      <c r="R90" s="23"/>
      <c r="S90" s="35">
        <f t="shared" si="36"/>
        <v>1</v>
      </c>
      <c r="T90" s="50" t="str">
        <f t="shared" si="37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12:40:18-700',mode:absolute,to:'2016-11-26 15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0" s="52" t="str">
        <f t="shared" si="39"/>
        <v>N</v>
      </c>
      <c r="X90" s="177">
        <f t="shared" si="40"/>
        <v>1</v>
      </c>
      <c r="Y90" s="67">
        <f t="shared" si="41"/>
        <v>23.2988</v>
      </c>
      <c r="Z90" s="67">
        <f t="shared" si="42"/>
        <v>1.6E-2</v>
      </c>
      <c r="AA90" s="67">
        <f t="shared" si="43"/>
        <v>23.282800000000002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44"/>
        <v>0176-26</v>
      </c>
      <c r="AE90" s="91" t="str">
        <f t="shared" si="45"/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AF90" s="88" t="str">
        <f t="shared" si="46"/>
        <v>"C:\Program Files (x86)\AstroGrep\AstroGrep.exe" /spath="%USERPROFILE%\AppData\Local\Temp\OnboardLogs" /stypes="app*4032*20161126*" /stext=" 21:.+((SYSTEM_STATE.+slice.+state.+changed )|(ment ac)|(multiple cpu faults)|(system.+state.+changed )|(\[timeout)|(PRM\|1\|D)|(kpr)|(kdp)|(\|lc)|(penalty))" /e /r /s</v>
      </c>
      <c r="AG90" s="1" t="str">
        <f t="shared" si="47"/>
        <v>EC</v>
      </c>
      <c r="AH90" s="92" t="str">
        <f t="shared" si="48"/>
        <v>"%USERPROFILE%\Documents\GitHub\eaglep3\Utilities\RefineRTDCRunTimes.py" --tripid 176-26 --locoid 4032 --swversion DE.1.0.8.0 --startMP 204:232988 --initTime 2016-11-26T13:40:18 --startdatetime 2016-11-26T13:56:19 --delay 1 --endMP 204:160 --enddatetime 2016-11-26T14:34:19 --enforcementcount 0 &gt;&gt;C:\Users\stu\Documents\GitHub\eaglep3-reporting\EC\2016-11-26-refined-times.txt</v>
      </c>
      <c r="AI90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{"issue":{"subject":"","project_id":79,"tracker_id":40,"status_id":1,"priority_id":2,"assigned_to_id":23,"start_date":"2016-11-26","description":"","custom_fields":[{"id":1,"name":"Subdivision","value":"EC"},{"id":4,"name":"Milepost","value":"0.016"},{"id":17,"name":"Train ID","value":"176-26"},{"id":16,"name":"Locomotive ID","value":"4032"},{"id":130,"name":"Impact","value":""},{"id":150,"name":"Time of Event (Mountain Time)","value":"14:34:19"},{"id":151,"name":"Denver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508</v>
      </c>
      <c r="B91" s="7">
        <v>4003</v>
      </c>
      <c r="C91" s="22" t="s">
        <v>216</v>
      </c>
      <c r="D91" s="22" t="s">
        <v>269</v>
      </c>
      <c r="E91" s="13">
        <v>42700.549016203702</v>
      </c>
      <c r="F91" s="13">
        <v>42700.552499999998</v>
      </c>
      <c r="G91" s="7">
        <v>1</v>
      </c>
      <c r="H91" s="22" t="s">
        <v>289</v>
      </c>
      <c r="I91" s="13">
        <v>42700.577974537038</v>
      </c>
      <c r="J91" s="7">
        <v>0</v>
      </c>
      <c r="K91" s="109" t="str">
        <f t="shared" si="33"/>
        <v>4003/4004</v>
      </c>
      <c r="L91" s="22" t="str">
        <f>VLOOKUP(A91,'Trips&amp;Operators'!$C$1:$E$10000,3,FALSE)</f>
        <v>MOSES</v>
      </c>
      <c r="M91" s="6">
        <f t="shared" si="34"/>
        <v>2.5474537040281575E-2</v>
      </c>
      <c r="N91" s="7">
        <f t="shared" si="35"/>
        <v>36.683333338005468</v>
      </c>
      <c r="O91" s="7"/>
      <c r="P91" s="7"/>
      <c r="Q91" s="23"/>
      <c r="R91" s="23"/>
      <c r="S91" s="35">
        <f t="shared" si="36"/>
        <v>1</v>
      </c>
      <c r="T91" s="50" t="str">
        <f t="shared" si="37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12:10:35-700',mode:absolute,to:'2016-11-26 14:52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1" s="52" t="str">
        <f t="shared" si="39"/>
        <v>N</v>
      </c>
      <c r="X91" s="177">
        <f t="shared" si="40"/>
        <v>1</v>
      </c>
      <c r="Y91" s="67">
        <f t="shared" si="41"/>
        <v>4.5699999999999998E-2</v>
      </c>
      <c r="Z91" s="67">
        <f t="shared" si="42"/>
        <v>23.3308</v>
      </c>
      <c r="AA91" s="67">
        <f t="shared" si="43"/>
        <v>23.2851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44"/>
        <v>0177-26</v>
      </c>
      <c r="AE91" s="91" t="str">
        <f t="shared" si="45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91" s="88" t="str">
        <f t="shared" si="46"/>
        <v>"C:\Program Files (x86)\AstroGrep\AstroGrep.exe" /spath="%USERPROFILE%\AppData\Local\Temp\OnboardLogs" /stypes="app*4003*20161126*" /stext=" 20:.+((SYSTEM_STATE.+slice.+state.+changed )|(ment ac)|(multiple cpu faults)|(system.+state.+changed )|(\[timeout)|(PRM\|1\|D)|(kpr)|(kdp)|(\|lc)|(penalty))" /e /r /s</v>
      </c>
      <c r="AG91" s="1" t="str">
        <f t="shared" si="47"/>
        <v>EC</v>
      </c>
      <c r="AH91" s="92" t="str">
        <f t="shared" si="48"/>
        <v>"%USERPROFILE%\Documents\GitHub\eaglep3\Utilities\RefineRTDCRunTimes.py" --tripid 177-26 --locoid 4003 --swversion DE.1.0.8.0 --startMP 204:457 --initTime 2016-11-26T13:10:35 --startdatetime 2016-11-26T13:15:36 --delay 1 --endMP 204:233308 --enddatetime 2016-11-26T13:52:17 --enforcementcount 0 &gt;&gt;C:\Users\stu\Documents\GitHub\eaglep3-reporting\EC\2016-11-26-refined-times.txt</v>
      </c>
      <c r="AI91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{"issue":{"subject":"","project_id":79,"tracker_id":40,"status_id":1,"priority_id":2,"assigned_to_id":23,"start_date":"2016-11-26","description":"","custom_fields":[{"id":1,"name":"Subdivision","value":"EC"},{"id":4,"name":"Milepost","value":"23.3308"},{"id":17,"name":"Train ID","value":"177-26"},{"id":16,"name":"Locomotive ID","value":"4003"},{"id":130,"name":"Impact","value":""},{"id":150,"name":"Time of Event (Mountain Time)","value":"13:52:17"},{"id":151,"name":"Denver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517</v>
      </c>
      <c r="B92" s="7">
        <v>4004</v>
      </c>
      <c r="C92" s="22" t="s">
        <v>216</v>
      </c>
      <c r="D92" s="22" t="s">
        <v>371</v>
      </c>
      <c r="E92" s="13">
        <v>42700.585694444446</v>
      </c>
      <c r="F92" s="13">
        <v>42700.591354166667</v>
      </c>
      <c r="G92" s="7">
        <v>2</v>
      </c>
      <c r="H92" s="22" t="s">
        <v>223</v>
      </c>
      <c r="I92" s="13">
        <v>42700.618530092594</v>
      </c>
      <c r="J92" s="7">
        <v>0</v>
      </c>
      <c r="K92" s="109" t="str">
        <f t="shared" si="33"/>
        <v>4003/4004</v>
      </c>
      <c r="L92" s="22" t="str">
        <f>VLOOKUP(A92,'Trips&amp;Operators'!$C$1:$E$10000,3,FALSE)</f>
        <v>MOSES</v>
      </c>
      <c r="M92" s="6">
        <f t="shared" si="34"/>
        <v>2.7175925926712807E-2</v>
      </c>
      <c r="N92" s="7">
        <f t="shared" si="35"/>
        <v>39.133333334466442</v>
      </c>
      <c r="O92" s="7"/>
      <c r="P92" s="7"/>
      <c r="Q92" s="23"/>
      <c r="R92" s="23"/>
      <c r="S92" s="35">
        <f t="shared" si="36"/>
        <v>1</v>
      </c>
      <c r="T92" s="50" t="str">
        <f t="shared" si="37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13:03:24-700',mode:absolute,to:'2016-11-26 15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2" s="52" t="str">
        <f t="shared" si="39"/>
        <v>N</v>
      </c>
      <c r="X92" s="177">
        <f t="shared" si="40"/>
        <v>1</v>
      </c>
      <c r="Y92" s="67">
        <f t="shared" si="41"/>
        <v>23.300799999999999</v>
      </c>
      <c r="Z92" s="67">
        <f t="shared" si="42"/>
        <v>1.4999999999999999E-2</v>
      </c>
      <c r="AA92" s="67">
        <f t="shared" si="43"/>
        <v>23.285799999999998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44"/>
        <v>0178-26</v>
      </c>
      <c r="AE92" s="91" t="str">
        <f t="shared" si="45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92" s="88" t="str">
        <f t="shared" si="46"/>
        <v>"C:\Program Files (x86)\AstroGrep\AstroGrep.exe" /spath="%USERPROFILE%\AppData\Local\Temp\OnboardLogs" /stypes="app*4004*20161126*" /stext=" 21:.+((SYSTEM_STATE.+slice.+state.+changed )|(ment ac)|(multiple cpu faults)|(system.+state.+changed )|(\[timeout)|(PRM\|1\|D)|(kpr)|(kdp)|(\|lc)|(penalty))" /e /r /s</v>
      </c>
      <c r="AG92" s="1" t="str">
        <f t="shared" si="47"/>
        <v>EC</v>
      </c>
      <c r="AH92" s="92" t="str">
        <f t="shared" si="48"/>
        <v>"%USERPROFILE%\Documents\GitHub\eaglep3\Utilities\RefineRTDCRunTimes.py" --tripid 178-26 --locoid 4004 --swversion DE.1.0.8.0 --startMP 204:233008 --initTime 2016-11-26T14:03:24 --startdatetime 2016-11-26T14:11:33 --delay 2 --endMP 204:150 --enddatetime 2016-11-26T14:50:41 --enforcementcount 0 &gt;&gt;C:\Users\stu\Documents\GitHub\eaglep3-reporting\EC\2016-11-26-refined-times.txt</v>
      </c>
      <c r="AI92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{"issue":{"subject":"","project_id":79,"tracker_id":40,"status_id":1,"priority_id":2,"assigned_to_id":23,"start_date":"2016-11-26","description":"","custom_fields":[{"id":1,"name":"Subdivision","value":"EC"},{"id":4,"name":"Milepost","value":"0.015"},{"id":17,"name":"Train ID","value":"178-26"},{"id":16,"name":"Locomotive ID","value":"4004"},{"id":130,"name":"Impact","value":""},{"id":150,"name":"Time of Event (Mountain Time)","value":"14:50:41"},{"id":151,"name":"Denver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511</v>
      </c>
      <c r="B93" s="7">
        <v>4046</v>
      </c>
      <c r="C93" s="22" t="s">
        <v>216</v>
      </c>
      <c r="D93" s="22" t="s">
        <v>373</v>
      </c>
      <c r="E93" s="13">
        <v>42700.557708333334</v>
      </c>
      <c r="F93" s="13">
        <v>42700.562662037039</v>
      </c>
      <c r="G93" s="7">
        <v>1</v>
      </c>
      <c r="H93" s="22" t="s">
        <v>255</v>
      </c>
      <c r="I93" s="13">
        <v>42700.587094907409</v>
      </c>
      <c r="J93" s="7">
        <v>0</v>
      </c>
      <c r="K93" s="109" t="str">
        <f t="shared" si="33"/>
        <v>4045/4046</v>
      </c>
      <c r="L93" s="22" t="str">
        <f>VLOOKUP(A93,'Trips&amp;Operators'!$C$1:$E$10000,3,FALSE)</f>
        <v>BROWN</v>
      </c>
      <c r="M93" s="6">
        <f t="shared" si="34"/>
        <v>2.4432870370219462E-2</v>
      </c>
      <c r="N93" s="7">
        <f t="shared" si="35"/>
        <v>35.183333333116025</v>
      </c>
      <c r="O93" s="7"/>
      <c r="P93" s="7"/>
      <c r="Q93" s="23"/>
      <c r="R93" s="23"/>
      <c r="S93" s="35">
        <f t="shared" si="36"/>
        <v>1</v>
      </c>
      <c r="T93" s="50" t="str">
        <f t="shared" si="37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12:23:06-700',mode:absolute,to:'2016-11-26 15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3" s="52" t="str">
        <f t="shared" si="39"/>
        <v>N</v>
      </c>
      <c r="X93" s="177">
        <f t="shared" si="40"/>
        <v>1</v>
      </c>
      <c r="Y93" s="67">
        <f t="shared" si="41"/>
        <v>4.9099999999999998E-2</v>
      </c>
      <c r="Z93" s="67">
        <f t="shared" si="42"/>
        <v>23.331399999999999</v>
      </c>
      <c r="AA93" s="67">
        <f t="shared" si="43"/>
        <v>23.282299999999999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44"/>
        <v>0179-26</v>
      </c>
      <c r="AE93" s="91" t="str">
        <f t="shared" si="45"/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AF93" s="88" t="str">
        <f t="shared" si="46"/>
        <v>"C:\Program Files (x86)\AstroGrep\AstroGrep.exe" /spath="%USERPROFILE%\AppData\Local\Temp\OnboardLogs" /stypes="app*4046*20161126*" /stext=" 21:.+((SYSTEM_STATE.+slice.+state.+changed )|(ment ac)|(multiple cpu faults)|(system.+state.+changed )|(\[timeout)|(PRM\|1\|D)|(kpr)|(kdp)|(\|lc)|(penalty))" /e /r /s</v>
      </c>
      <c r="AG93" s="1" t="str">
        <f t="shared" si="47"/>
        <v>EC</v>
      </c>
      <c r="AH93" s="92" t="str">
        <f t="shared" si="48"/>
        <v>"%USERPROFILE%\Documents\GitHub\eaglep3\Utilities\RefineRTDCRunTimes.py" --tripid 179-26 --locoid 4046 --swversion DE.1.0.8.0 --startMP 204:491 --initTime 2016-11-26T13:23:06 --startdatetime 2016-11-26T13:30:14 --delay 1 --endMP 204:233314 --enddatetime 2016-11-26T14:05:25 --enforcementcount 0 &gt;&gt;C:\Users\stu\Documents\GitHub\eaglep3-reporting\EC\2016-11-26-refined-times.txt</v>
      </c>
      <c r="AI93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{"issue":{"subject":"","project_id":79,"tracker_id":40,"status_id":1,"priority_id":2,"assigned_to_id":23,"start_date":"2016-11-26","description":"","custom_fields":[{"id":1,"name":"Subdivision","value":"EC"},{"id":4,"name":"Milepost","value":"23.3314"},{"id":17,"name":"Train ID","value":"179-26"},{"id":16,"name":"Locomotive ID","value":"4046"},{"id":130,"name":"Impact","value":""},{"id":150,"name":"Time of Event (Mountain Time)","value":"14:05:25"},{"id":151,"name":"Denver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407</v>
      </c>
      <c r="B94" s="7">
        <v>4045</v>
      </c>
      <c r="C94" s="22" t="s">
        <v>216</v>
      </c>
      <c r="D94" s="22" t="s">
        <v>615</v>
      </c>
      <c r="E94" s="13">
        <v>42700.592986111114</v>
      </c>
      <c r="F94" s="13">
        <v>42700.601631944446</v>
      </c>
      <c r="G94" s="7">
        <v>1</v>
      </c>
      <c r="H94" s="22" t="s">
        <v>218</v>
      </c>
      <c r="I94" s="13">
        <v>42700.629305555558</v>
      </c>
      <c r="J94" s="7">
        <v>1</v>
      </c>
      <c r="K94" s="109" t="str">
        <f t="shared" si="33"/>
        <v>4045/4046</v>
      </c>
      <c r="L94" s="22" t="str">
        <f>VLOOKUP(A94,'Trips&amp;Operators'!$C$1:$E$10000,3,FALSE)</f>
        <v>BROWN</v>
      </c>
      <c r="M94" s="6">
        <f t="shared" si="34"/>
        <v>2.7673611111822538E-2</v>
      </c>
      <c r="N94" s="7">
        <f t="shared" si="35"/>
        <v>39.850000001024455</v>
      </c>
      <c r="O94" s="7"/>
      <c r="P94" s="7"/>
      <c r="Q94" s="23"/>
      <c r="R94" s="23"/>
      <c r="S94" s="35">
        <f t="shared" si="36"/>
        <v>1</v>
      </c>
      <c r="T94" s="50" t="str">
        <f t="shared" si="37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13:13:54-700',mode:absolute,to:'2016-11-26 16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4" s="52" t="str">
        <f t="shared" si="39"/>
        <v>N</v>
      </c>
      <c r="X94" s="177">
        <f t="shared" si="40"/>
        <v>1</v>
      </c>
      <c r="Y94" s="67">
        <f t="shared" si="41"/>
        <v>23.298999999999999</v>
      </c>
      <c r="Z94" s="67">
        <f t="shared" si="42"/>
        <v>1.5800000000000002E-2</v>
      </c>
      <c r="AA94" s="67">
        <f t="shared" si="43"/>
        <v>23.283200000000001</v>
      </c>
      <c r="AB94" s="64" t="str">
        <f>VLOOKUP(A94,Enforcements!$C$7:$K$20,8,0)</f>
        <v>Speed (6)</v>
      </c>
      <c r="AC94" s="60" t="str">
        <f>VLOOKUP(A94,Enforcements!$C$7:$E$20,3,0)</f>
        <v>PERMANENT SPEED RESTRICTION</v>
      </c>
      <c r="AD94" s="61" t="str">
        <f t="shared" si="44"/>
        <v>0180-26</v>
      </c>
      <c r="AE94" s="91" t="str">
        <f t="shared" si="45"/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AF94" s="88" t="str">
        <f t="shared" si="46"/>
        <v>"C:\Program Files (x86)\AstroGrep\AstroGrep.exe" /spath="%USERPROFILE%\AppData\Local\Temp\OnboardLogs" /stypes="app*4045*20161126*" /stext=" 22:.+((SYSTEM_STATE.+slice.+state.+changed )|(ment ac)|(multiple cpu faults)|(system.+state.+changed )|(\[timeout)|(PRM\|1\|D)|(kpr)|(kdp)|(\|lc)|(penalty))" /e /r /s</v>
      </c>
      <c r="AG94" s="1" t="str">
        <f t="shared" si="47"/>
        <v>EC</v>
      </c>
      <c r="AH94" s="92" t="str">
        <f t="shared" si="48"/>
        <v>"%USERPROFILE%\Documents\GitHub\eaglep3\Utilities\RefineRTDCRunTimes.py" --tripid 180-26 --locoid 4045 --swversion DE.1.0.8.0 --startMP 204:232990 --initTime 2016-11-26T14:13:54 --startdatetime 2016-11-26T14:26:21 --delay 1 --endMP 204:158 --enddatetime 2016-11-26T15:06:12 --enforcementcount 1 &gt;&gt;C:\Users\stu\Documents\GitHub\eaglep3-reporting\EC\2016-11-26-refined-times.txt</v>
      </c>
      <c r="AI94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{"issue":{"subject":"","project_id":79,"tracker_id":40,"status_id":1,"priority_id":2,"assigned_to_id":23,"start_date":"2016-11-26","description":"","custom_fields":[{"id":1,"name":"Subdivision","value":"EC"},{"id":4,"name":"Milepost","value":"0.0158"},{"id":17,"name":"Train ID","value":"180-26"},{"id":16,"name":"Locomotive ID","value":"4045"},{"id":130,"name":"Impact","value":""},{"id":150,"name":"Time of Event (Mountain Time)","value":"15:06:12"},{"id":151,"name":"Denver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514</v>
      </c>
      <c r="B95" s="7">
        <v>4029</v>
      </c>
      <c r="C95" s="22" t="s">
        <v>216</v>
      </c>
      <c r="D95" s="22" t="s">
        <v>269</v>
      </c>
      <c r="E95" s="13">
        <v>42700.568043981482</v>
      </c>
      <c r="F95" s="13">
        <v>42700.573206018518</v>
      </c>
      <c r="G95" s="7">
        <v>1</v>
      </c>
      <c r="H95" s="22" t="s">
        <v>649</v>
      </c>
      <c r="I95" s="13">
        <v>42700.597407407404</v>
      </c>
      <c r="J95" s="7">
        <v>0</v>
      </c>
      <c r="K95" s="109" t="str">
        <f t="shared" si="33"/>
        <v>4029/4030</v>
      </c>
      <c r="L95" s="22" t="str">
        <f>VLOOKUP(A95,'Trips&amp;Operators'!$C$1:$E$10000,3,FALSE)</f>
        <v>BRUDER</v>
      </c>
      <c r="M95" s="6">
        <f t="shared" si="34"/>
        <v>2.4201388885558117E-2</v>
      </c>
      <c r="N95" s="7">
        <f t="shared" si="35"/>
        <v>34.849999995203689</v>
      </c>
      <c r="O95" s="7"/>
      <c r="P95" s="7"/>
      <c r="Q95" s="23"/>
      <c r="R95" s="23"/>
      <c r="S95" s="35">
        <f t="shared" si="36"/>
        <v>1</v>
      </c>
      <c r="T95" s="50" t="str">
        <f t="shared" si="37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12:37:59-700',mode:absolute,to:'2016-11-26 15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5" s="52" t="str">
        <f t="shared" si="39"/>
        <v>N</v>
      </c>
      <c r="X95" s="177">
        <f t="shared" si="40"/>
        <v>1</v>
      </c>
      <c r="Y95" s="67">
        <f t="shared" si="41"/>
        <v>4.5699999999999998E-2</v>
      </c>
      <c r="Z95" s="67">
        <f t="shared" si="42"/>
        <v>23.3325</v>
      </c>
      <c r="AA95" s="67">
        <f t="shared" si="43"/>
        <v>23.286799999999999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44"/>
        <v>0181-26</v>
      </c>
      <c r="AE95" s="91" t="str">
        <f t="shared" si="45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95" s="88" t="str">
        <f t="shared" si="46"/>
        <v>"C:\Program Files (x86)\AstroGrep\AstroGrep.exe" /spath="%USERPROFILE%\AppData\Local\Temp\OnboardLogs" /stypes="app*4029*20161126*" /stext=" 21:.+((SYSTEM_STATE.+slice.+state.+changed )|(ment ac)|(multiple cpu faults)|(system.+state.+changed )|(\[timeout)|(PRM\|1\|D)|(kpr)|(kdp)|(\|lc)|(penalty))" /e /r /s</v>
      </c>
      <c r="AG95" s="1" t="str">
        <f t="shared" si="47"/>
        <v>EC</v>
      </c>
      <c r="AH95" s="92" t="str">
        <f t="shared" si="48"/>
        <v>"%USERPROFILE%\Documents\GitHub\eaglep3\Utilities\RefineRTDCRunTimes.py" --tripid 181-26 --locoid 4029 --swversion DE.1.0.8.0 --startMP 204:457 --initTime 2016-11-26T13:37:59 --startdatetime 2016-11-26T13:45:25 --delay 1 --endMP 204:233325 --enddatetime 2016-11-26T14:20:16 --enforcementcount 0 &gt;&gt;C:\Users\stu\Documents\GitHub\eaglep3-reporting\EC\2016-11-26-refined-times.txt</v>
      </c>
      <c r="AI95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{"issue":{"subject":"","project_id":79,"tracker_id":40,"status_id":1,"priority_id":2,"assigned_to_id":23,"start_date":"2016-11-26","description":"","custom_fields":[{"id":1,"name":"Subdivision","value":"EC"},{"id":4,"name":"Milepost","value":"23.3325"},{"id":17,"name":"Train ID","value":"181-26"},{"id":16,"name":"Locomotive ID","value":"4029"},{"id":130,"name":"Impact","value":""},{"id":150,"name":"Time of Event (Mountain Time)","value":"14:20:16"},{"id":151,"name":"Denver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519</v>
      </c>
      <c r="B96" s="7">
        <v>4030</v>
      </c>
      <c r="C96" s="22" t="s">
        <v>216</v>
      </c>
      <c r="D96" s="22" t="s">
        <v>299</v>
      </c>
      <c r="E96" s="13">
        <v>42700.606145833335</v>
      </c>
      <c r="F96" s="13">
        <v>42700.61204861111</v>
      </c>
      <c r="G96" s="7">
        <v>1</v>
      </c>
      <c r="H96" s="22" t="s">
        <v>264</v>
      </c>
      <c r="I96" s="13">
        <v>42700.637731481482</v>
      </c>
      <c r="J96" s="7">
        <v>0</v>
      </c>
      <c r="K96" s="109" t="str">
        <f t="shared" si="33"/>
        <v>4029/4030</v>
      </c>
      <c r="L96" s="22" t="str">
        <f>VLOOKUP(A96,'Trips&amp;Operators'!$C$1:$E$10000,3,FALSE)</f>
        <v>BRUDER</v>
      </c>
      <c r="M96" s="6">
        <f t="shared" si="34"/>
        <v>2.5682870371383615E-2</v>
      </c>
      <c r="N96" s="7">
        <f t="shared" si="35"/>
        <v>36.983333334792405</v>
      </c>
      <c r="O96" s="7"/>
      <c r="P96" s="7"/>
      <c r="Q96" s="23"/>
      <c r="R96" s="23"/>
      <c r="S96" s="35">
        <f t="shared" si="36"/>
        <v>1</v>
      </c>
      <c r="T96" s="50" t="str">
        <f t="shared" si="37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13:32:51-700',mode:absolute,to:'2016-11-26 16:18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6" s="52" t="str">
        <f t="shared" si="39"/>
        <v>N</v>
      </c>
      <c r="X96" s="177">
        <f t="shared" si="40"/>
        <v>1</v>
      </c>
      <c r="Y96" s="67">
        <f t="shared" si="41"/>
        <v>23.2989</v>
      </c>
      <c r="Z96" s="67">
        <f t="shared" si="42"/>
        <v>1.61E-2</v>
      </c>
      <c r="AA96" s="67">
        <f t="shared" si="43"/>
        <v>23.282799999999998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44"/>
        <v>0182-26</v>
      </c>
      <c r="AE96" s="91" t="str">
        <f t="shared" si="45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96" s="88" t="str">
        <f t="shared" si="46"/>
        <v>"C:\Program Files (x86)\AstroGrep\AstroGrep.exe" /spath="%USERPROFILE%\AppData\Local\Temp\OnboardLogs" /stypes="app*4030*20161126*" /stext=" 22:.+((SYSTEM_STATE.+slice.+state.+changed )|(ment ac)|(multiple cpu faults)|(system.+state.+changed )|(\[timeout)|(PRM\|1\|D)|(kpr)|(kdp)|(\|lc)|(penalty))" /e /r /s</v>
      </c>
      <c r="AG96" s="1" t="str">
        <f t="shared" si="47"/>
        <v>EC</v>
      </c>
      <c r="AH96" s="92" t="str">
        <f t="shared" si="48"/>
        <v>"%USERPROFILE%\Documents\GitHub\eaglep3\Utilities\RefineRTDCRunTimes.py" --tripid 182-26 --locoid 4030 --swversion DE.1.0.8.0 --startMP 204:232989 --initTime 2016-11-26T14:32:51 --startdatetime 2016-11-26T14:41:21 --delay 1 --endMP 204:161 --enddatetime 2016-11-26T15:18:20 --enforcementcount 0 &gt;&gt;C:\Users\stu\Documents\GitHub\eaglep3-reporting\EC\2016-11-26-refined-times.txt</v>
      </c>
      <c r="AI96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{"issue":{"subject":"","project_id":79,"tracker_id":40,"status_id":1,"priority_id":2,"assigned_to_id":23,"start_date":"2016-11-26","description":"","custom_fields":[{"id":1,"name":"Subdivision","value":"EC"},{"id":4,"name":"Milepost","value":"0.0161"},{"id":17,"name":"Train ID","value":"182-26"},{"id":16,"name":"Locomotive ID","value":"4030"},{"id":130,"name":"Impact","value":""},{"id":150,"name":"Time of Event (Mountain Time)","value":"15:18:20"},{"id":151,"name":"Denver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516</v>
      </c>
      <c r="B97" s="7">
        <v>4044</v>
      </c>
      <c r="C97" s="22" t="s">
        <v>216</v>
      </c>
      <c r="D97" s="22" t="s">
        <v>321</v>
      </c>
      <c r="E97" s="13">
        <v>42700.582118055558</v>
      </c>
      <c r="F97" s="13">
        <v>42700.583692129629</v>
      </c>
      <c r="G97" s="7">
        <v>1</v>
      </c>
      <c r="H97" s="22" t="s">
        <v>271</v>
      </c>
      <c r="I97" s="13">
        <v>42700.609189814815</v>
      </c>
      <c r="J97" s="7">
        <v>0</v>
      </c>
      <c r="K97" s="109" t="str">
        <f t="shared" si="33"/>
        <v>4043/4044</v>
      </c>
      <c r="L97" s="22" t="str">
        <f>VLOOKUP(A97,'Trips&amp;Operators'!$C$1:$E$10000,3,FALSE)</f>
        <v>CLARK</v>
      </c>
      <c r="M97" s="6">
        <f t="shared" si="34"/>
        <v>2.5497685186564922E-2</v>
      </c>
      <c r="N97" s="7">
        <f t="shared" si="35"/>
        <v>36.716666668653488</v>
      </c>
      <c r="O97" s="7"/>
      <c r="P97" s="7"/>
      <c r="Q97" s="23"/>
      <c r="R97" s="23"/>
      <c r="S97" s="35">
        <f t="shared" si="36"/>
        <v>1</v>
      </c>
      <c r="T97" s="50" t="str">
        <f t="shared" si="37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12:58:15-700',mode:absolute,to:'2016-11-26 15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7" s="52" t="str">
        <f t="shared" si="39"/>
        <v>N</v>
      </c>
      <c r="X97" s="177">
        <f t="shared" si="40"/>
        <v>1</v>
      </c>
      <c r="Y97" s="67">
        <f t="shared" si="41"/>
        <v>4.7500000000000001E-2</v>
      </c>
      <c r="Z97" s="67">
        <f t="shared" si="42"/>
        <v>23.3293</v>
      </c>
      <c r="AA97" s="67">
        <f t="shared" si="43"/>
        <v>23.2818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44"/>
        <v>0183-26</v>
      </c>
      <c r="AE97" s="91" t="str">
        <f t="shared" si="45"/>
        <v>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 &amp; 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</v>
      </c>
      <c r="AF97" s="88" t="str">
        <f t="shared" si="46"/>
        <v>"C:\Program Files (x86)\AstroGrep\AstroGrep.exe" /spath="%USERPROFILE%\AppData\Local\Temp\OnboardLogs" /stypes="app*4044*20161126*" /stext=" 21:.+((SYSTEM_STATE.+slice.+state.+changed )|(ment ac)|(multiple cpu faults)|(system.+state.+changed )|(\[timeout)|(PRM\|1\|D)|(kpr)|(kdp)|(\|lc)|(penalty))" /e /r /s</v>
      </c>
      <c r="AG97" s="1" t="str">
        <f t="shared" si="47"/>
        <v>EC</v>
      </c>
      <c r="AH97" s="92" t="str">
        <f t="shared" si="48"/>
        <v>"%USERPROFILE%\Documents\GitHub\eaglep3\Utilities\RefineRTDCRunTimes.py" --tripid 183-26 --locoid 4044 --swversion DE.1.0.8.0 --startMP 204:475 --initTime 2016-11-26T13:58:15 --startdatetime 2016-11-26T14:00:31 --delay 1 --endMP 204:233293 --enddatetime 2016-11-26T14:37:14 --enforcementcount 0 &gt;&gt;C:\Users\stu\Documents\GitHub\eaglep3-reporting\EC\2016-11-26-refined-times.txt</v>
      </c>
      <c r="AI97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{"issue":{"subject":"","project_id":79,"tracker_id":40,"status_id":1,"priority_id":2,"assigned_to_id":23,"start_date":"2016-11-26","description":"","custom_fields":[{"id":1,"name":"Subdivision","value":"EC"},{"id":4,"name":"Milepost","value":"23.3293"},{"id":17,"name":"Train ID","value":"183-26"},{"id":16,"name":"Locomotive ID","value":"4044"},{"id":130,"name":"Impact","value":""},{"id":150,"name":"Time of Event (Mountain Time)","value":"14:37:14"},{"id":151,"name":"Denver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522</v>
      </c>
      <c r="B98" s="7">
        <v>4043</v>
      </c>
      <c r="C98" s="22" t="s">
        <v>216</v>
      </c>
      <c r="D98" s="22" t="s">
        <v>631</v>
      </c>
      <c r="E98" s="13">
        <v>42700.615694444445</v>
      </c>
      <c r="F98" s="13">
        <v>42700.622384259259</v>
      </c>
      <c r="G98" s="7">
        <v>1</v>
      </c>
      <c r="H98" s="22" t="s">
        <v>264</v>
      </c>
      <c r="I98" s="13">
        <v>42700.651087962964</v>
      </c>
      <c r="J98" s="7">
        <v>0</v>
      </c>
      <c r="K98" s="109" t="str">
        <f t="shared" si="33"/>
        <v>4043/4044</v>
      </c>
      <c r="L98" s="22" t="str">
        <f>VLOOKUP(A98,'Trips&amp;Operators'!$C$1:$E$10000,3,FALSE)</f>
        <v>CLARK</v>
      </c>
      <c r="M98" s="6">
        <f t="shared" si="34"/>
        <v>2.8703703705104999E-2</v>
      </c>
      <c r="N98" s="7">
        <f t="shared" si="35"/>
        <v>41.333333335351199</v>
      </c>
      <c r="O98" s="7"/>
      <c r="P98" s="7"/>
      <c r="Q98" s="23"/>
      <c r="R98" s="23"/>
      <c r="S98" s="35">
        <f t="shared" si="36"/>
        <v>1</v>
      </c>
      <c r="T98" s="50" t="str">
        <f t="shared" si="37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13:46:36-700',mode:absolute,to:'2016-11-26 16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8" s="52" t="str">
        <f t="shared" si="39"/>
        <v>N</v>
      </c>
      <c r="X98" s="177">
        <f t="shared" si="40"/>
        <v>1</v>
      </c>
      <c r="Y98" s="67">
        <f t="shared" si="41"/>
        <v>23.298200000000001</v>
      </c>
      <c r="Z98" s="67">
        <f t="shared" si="42"/>
        <v>1.61E-2</v>
      </c>
      <c r="AA98" s="67">
        <f t="shared" si="43"/>
        <v>23.2821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44"/>
        <v>0184-26</v>
      </c>
      <c r="AE98" s="91" t="str">
        <f t="shared" si="45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98" s="88" t="str">
        <f t="shared" si="46"/>
        <v>"C:\Program Files (x86)\AstroGrep\AstroGrep.exe" /spath="%USERPROFILE%\AppData\Local\Temp\OnboardLogs" /stypes="app*4043*20161126*" /stext=" 22:.+((SYSTEM_STATE.+slice.+state.+changed )|(ment ac)|(multiple cpu faults)|(system.+state.+changed )|(\[timeout)|(PRM\|1\|D)|(kpr)|(kdp)|(\|lc)|(penalty))" /e /r /s</v>
      </c>
      <c r="AG98" s="1" t="str">
        <f t="shared" si="47"/>
        <v>EC</v>
      </c>
      <c r="AH98" s="92" t="str">
        <f t="shared" si="48"/>
        <v>"%USERPROFILE%\Documents\GitHub\eaglep3\Utilities\RefineRTDCRunTimes.py" --tripid 184-26 --locoid 4043 --swversion DE.1.0.8.0 --startMP 204:232982 --initTime 2016-11-26T14:46:36 --startdatetime 2016-11-26T14:56:14 --delay 1 --endMP 204:161 --enddatetime 2016-11-26T15:37:34 --enforcementcount 0 &gt;&gt;C:\Users\stu\Documents\GitHub\eaglep3-reporting\EC\2016-11-26-refined-times.txt</v>
      </c>
      <c r="AI98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{"issue":{"subject":"","project_id":79,"tracker_id":40,"status_id":1,"priority_id":2,"assigned_to_id":23,"start_date":"2016-11-26","description":"","custom_fields":[{"id":1,"name":"Subdivision","value":"EC"},{"id":4,"name":"Milepost","value":"0.0161"},{"id":17,"name":"Train ID","value":"184-26"},{"id":16,"name":"Locomotive ID","value":"4043"},{"id":130,"name":"Impact","value":""},{"id":150,"name":"Time of Event (Mountain Time)","value":"15:37:34"},{"id":151,"name":"Denver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409</v>
      </c>
      <c r="B99" s="7">
        <v>4038</v>
      </c>
      <c r="C99" s="22" t="s">
        <v>216</v>
      </c>
      <c r="D99" s="22" t="s">
        <v>197</v>
      </c>
      <c r="E99" s="13">
        <v>42700.589016203703</v>
      </c>
      <c r="F99" s="13">
        <v>42700.594398148147</v>
      </c>
      <c r="G99" s="7">
        <v>5</v>
      </c>
      <c r="H99" s="22" t="s">
        <v>289</v>
      </c>
      <c r="I99" s="13">
        <v>42700.619895833333</v>
      </c>
      <c r="J99" s="7">
        <v>1</v>
      </c>
      <c r="K99" s="109" t="str">
        <f t="shared" si="33"/>
        <v>4037/4038</v>
      </c>
      <c r="L99" s="22" t="str">
        <f>VLOOKUP(A99,'Trips&amp;Operators'!$C$1:$E$10000,3,FALSE)</f>
        <v>STORY</v>
      </c>
      <c r="M99" s="6">
        <f t="shared" si="34"/>
        <v>2.5497685186564922E-2</v>
      </c>
      <c r="N99" s="7">
        <f t="shared" si="35"/>
        <v>36.716666668653488</v>
      </c>
      <c r="O99" s="7"/>
      <c r="P99" s="7"/>
      <c r="Q99" s="23"/>
      <c r="R99" s="23"/>
      <c r="S99" s="35">
        <f t="shared" si="36"/>
        <v>1</v>
      </c>
      <c r="T99" s="50" t="str">
        <f t="shared" si="37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13:08:11-700',mode:absolute,to:'2016-11-26 15:52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9" s="52" t="str">
        <f t="shared" si="39"/>
        <v>N</v>
      </c>
      <c r="X99" s="177">
        <f t="shared" si="40"/>
        <v>1</v>
      </c>
      <c r="Y99" s="67">
        <f t="shared" si="41"/>
        <v>4.4699999999999997E-2</v>
      </c>
      <c r="Z99" s="67">
        <f t="shared" si="42"/>
        <v>23.3308</v>
      </c>
      <c r="AA99" s="67">
        <f t="shared" si="43"/>
        <v>23.286100000000001</v>
      </c>
      <c r="AB99" s="64" t="str">
        <f>VLOOKUP(A99,Enforcements!$C$7:$K$20,8,0)</f>
        <v>Speed (6)</v>
      </c>
      <c r="AC99" s="60" t="str">
        <f>VLOOKUP(A99,Enforcements!$C$7:$E$20,3,0)</f>
        <v>PERMANENT SPEED RESTRICTION</v>
      </c>
      <c r="AD99" s="61" t="str">
        <f t="shared" si="44"/>
        <v>0185-26</v>
      </c>
      <c r="AE99" s="91" t="str">
        <f t="shared" si="45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99" s="88" t="str">
        <f t="shared" si="46"/>
        <v>"C:\Program Files (x86)\AstroGrep\AstroGrep.exe" /spath="%USERPROFILE%\AppData\Local\Temp\OnboardLogs" /stypes="app*4038*20161126*" /stext=" 21:.+((SYSTEM_STATE.+slice.+state.+changed )|(ment ac)|(multiple cpu faults)|(system.+state.+changed )|(\[timeout)|(PRM\|1\|D)|(kpr)|(kdp)|(\|lc)|(penalty))" /e /r /s</v>
      </c>
      <c r="AG99" s="1" t="str">
        <f t="shared" si="47"/>
        <v>EC</v>
      </c>
      <c r="AH99" s="92" t="str">
        <f t="shared" si="48"/>
        <v>"%USERPROFILE%\Documents\GitHub\eaglep3\Utilities\RefineRTDCRunTimes.py" --tripid 185-26 --locoid 4038 --swversion DE.1.0.8.0 --startMP 204:447 --initTime 2016-11-26T14:08:11 --startdatetime 2016-11-26T14:15:56 --delay 5 --endMP 204:233308 --enddatetime 2016-11-26T14:52:39 --enforcementcount 1 &gt;&gt;C:\Users\stu\Documents\GitHub\eaglep3-reporting\EC\2016-11-26-refined-times.txt</v>
      </c>
      <c r="AI99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{"issue":{"subject":"","project_id":79,"tracker_id":40,"status_id":1,"priority_id":2,"assigned_to_id":23,"start_date":"2016-11-26","description":"","custom_fields":[{"id":1,"name":"Subdivision","value":"EC"},{"id":4,"name":"Milepost","value":"23.3308"},{"id":17,"name":"Train ID","value":"185-26"},{"id":16,"name":"Locomotive ID","value":"4038"},{"id":130,"name":"Impact","value":""},{"id":150,"name":"Time of Event (Mountain Time)","value":"14:52:39"},{"id":151,"name":"Denver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524</v>
      </c>
      <c r="B100" s="7">
        <v>4037</v>
      </c>
      <c r="C100" s="22" t="s">
        <v>216</v>
      </c>
      <c r="D100" s="22" t="s">
        <v>297</v>
      </c>
      <c r="E100" s="13">
        <v>42700.629363425927</v>
      </c>
      <c r="F100" s="13">
        <v>42700.633067129631</v>
      </c>
      <c r="G100" s="7">
        <v>2</v>
      </c>
      <c r="H100" s="22" t="s">
        <v>312</v>
      </c>
      <c r="I100" s="13">
        <v>42700.661122685182</v>
      </c>
      <c r="J100" s="7">
        <v>0</v>
      </c>
      <c r="K100" s="109" t="str">
        <f t="shared" si="33"/>
        <v>4037/4038</v>
      </c>
      <c r="L100" s="22" t="str">
        <f>VLOOKUP(A100,'Trips&amp;Operators'!$C$1:$E$10000,3,FALSE)</f>
        <v>STORY</v>
      </c>
      <c r="M100" s="6">
        <f t="shared" si="34"/>
        <v>2.8055555550963618E-2</v>
      </c>
      <c r="N100" s="7">
        <f t="shared" si="35"/>
        <v>40.39999999338761</v>
      </c>
      <c r="O100" s="7"/>
      <c r="P100" s="7"/>
      <c r="Q100" s="23"/>
      <c r="R100" s="23"/>
      <c r="S100" s="35">
        <f t="shared" si="36"/>
        <v>1</v>
      </c>
      <c r="T100" s="50" t="str">
        <f t="shared" si="37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14:06:17-700',mode:absolute,to:'2016-11-26 16:52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0" s="52" t="str">
        <f t="shared" si="39"/>
        <v>N</v>
      </c>
      <c r="X100" s="177">
        <f t="shared" si="40"/>
        <v>1</v>
      </c>
      <c r="Y100" s="67">
        <f t="shared" si="41"/>
        <v>23.298100000000002</v>
      </c>
      <c r="Z100" s="67">
        <f t="shared" si="42"/>
        <v>1.4500000000000001E-2</v>
      </c>
      <c r="AA100" s="67">
        <f t="shared" si="43"/>
        <v>23.2836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44"/>
        <v>0186-26</v>
      </c>
      <c r="AE100" s="91" t="str">
        <f t="shared" si="45"/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AF100" s="88" t="str">
        <f t="shared" si="46"/>
        <v>"C:\Program Files (x86)\AstroGrep\AstroGrep.exe" /spath="%USERPROFILE%\AppData\Local\Temp\OnboardLogs" /stypes="app*4037*20161126*" /stext=" 22:.+((SYSTEM_STATE.+slice.+state.+changed )|(ment ac)|(multiple cpu faults)|(system.+state.+changed )|(\[timeout)|(PRM\|1\|D)|(kpr)|(kdp)|(\|lc)|(penalty))" /e /r /s</v>
      </c>
      <c r="AG100" s="1" t="str">
        <f t="shared" si="47"/>
        <v>EC</v>
      </c>
      <c r="AH100" s="92" t="str">
        <f t="shared" si="48"/>
        <v>"%USERPROFILE%\Documents\GitHub\eaglep3\Utilities\RefineRTDCRunTimes.py" --tripid 186-26 --locoid 4037 --swversion DE.1.0.8.0 --startMP 204:232981 --initTime 2016-11-26T15:06:17 --startdatetime 2016-11-26T15:11:37 --delay 2 --endMP 204:145 --enddatetime 2016-11-26T15:52:01 --enforcementcount 0 &gt;&gt;C:\Users\stu\Documents\GitHub\eaglep3-reporting\EC\2016-11-26-refined-times.txt</v>
      </c>
      <c r="AI100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{"issue":{"subject":"","project_id":79,"tracker_id":40,"status_id":1,"priority_id":2,"assigned_to_id":23,"start_date":"2016-11-26","description":"","custom_fields":[{"id":1,"name":"Subdivision","value":"EC"},{"id":4,"name":"Milepost","value":"0.0145"},{"id":17,"name":"Train ID","value":"186-26"},{"id":16,"name":"Locomotive ID","value":"4037"},{"id":130,"name":"Impact","value":""},{"id":150,"name":"Time of Event (Mountain Time)","value":"15:52:01"},{"id":151,"name":"Denver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518</v>
      </c>
      <c r="B101" s="7">
        <v>4025</v>
      </c>
      <c r="C101" s="22" t="s">
        <v>216</v>
      </c>
      <c r="D101" s="22" t="s">
        <v>213</v>
      </c>
      <c r="E101" s="13">
        <v>42700.598611111112</v>
      </c>
      <c r="F101" s="13">
        <v>42700.604409722226</v>
      </c>
      <c r="G101" s="7">
        <v>1</v>
      </c>
      <c r="H101" s="22" t="s">
        <v>679</v>
      </c>
      <c r="I101" s="13">
        <v>42700.629120370373</v>
      </c>
      <c r="J101" s="7">
        <v>0</v>
      </c>
      <c r="K101" s="109" t="str">
        <f t="shared" si="33"/>
        <v>4025/4026</v>
      </c>
      <c r="L101" s="22" t="str">
        <f>VLOOKUP(A101,'Trips&amp;Operators'!$C$1:$E$10000,3,FALSE)</f>
        <v>STEWART</v>
      </c>
      <c r="M101" s="6">
        <f t="shared" si="34"/>
        <v>2.47106481474475E-2</v>
      </c>
      <c r="N101" s="7">
        <f t="shared" si="35"/>
        <v>35.583333332324401</v>
      </c>
      <c r="O101" s="7"/>
      <c r="P101" s="7"/>
      <c r="Q101" s="23"/>
      <c r="R101" s="23"/>
      <c r="S101" s="35">
        <f t="shared" si="36"/>
        <v>1</v>
      </c>
      <c r="T101" s="50" t="str">
        <f t="shared" si="37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13:22:00-700',mode:absolute,to:'2016-11-26 16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1" s="52" t="str">
        <f t="shared" si="39"/>
        <v>N</v>
      </c>
      <c r="X101" s="177">
        <f t="shared" si="40"/>
        <v>1</v>
      </c>
      <c r="Y101" s="67">
        <f t="shared" si="41"/>
        <v>4.6199999999999998E-2</v>
      </c>
      <c r="Z101" s="67">
        <f t="shared" si="42"/>
        <v>23.3309</v>
      </c>
      <c r="AA101" s="67">
        <f t="shared" si="43"/>
        <v>23.284700000000001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44"/>
        <v>0187-26</v>
      </c>
      <c r="AE101" s="91" t="str">
        <f t="shared" si="45"/>
        <v>aws s3 cp s3://rtdc.mdm.uploadarchive.raw/RTDC4025/ "%USERPROFILE%\AppData\Local\Temp\OnboardLogs"\RTDC4025\2016-11-26 --exclude "*" --recursive --include "*20161126*" &amp; "%USERPROFILE%\Documents\GitHub\mrs-test-scripts\Headless Mode &amp; Sideloading\WalkAndUnGZ.bat" "%USERPROFILE%\AppData\Local\Temp\OnboardLogs"\RTDC4025\2016-11-26 &amp; 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</v>
      </c>
      <c r="AF101" s="88" t="str">
        <f t="shared" si="46"/>
        <v>"C:\Program Files (x86)\AstroGrep\AstroGrep.exe" /spath="%USERPROFILE%\AppData\Local\Temp\OnboardLogs" /stypes="app*4025*20161126*" /stext=" 22:.+((SYSTEM_STATE.+slice.+state.+changed )|(ment ac)|(multiple cpu faults)|(system.+state.+changed )|(\[timeout)|(PRM\|1\|D)|(kpr)|(kdp)|(\|lc)|(penalty))" /e /r /s</v>
      </c>
      <c r="AG101" s="1" t="str">
        <f t="shared" si="47"/>
        <v>EC</v>
      </c>
      <c r="AH101" s="92" t="str">
        <f t="shared" si="48"/>
        <v>"%USERPROFILE%\Documents\GitHub\eaglep3\Utilities\RefineRTDCRunTimes.py" --tripid 187-26 --locoid 4025 --swversion DE.1.0.8.0 --startMP 204:462 --initTime 2016-11-26T14:22:00 --startdatetime 2016-11-26T14:30:21 --delay 1 --endMP 204:233309 --enddatetime 2016-11-26T15:05:56 --enforcementcount 0 &gt;&gt;C:\Users\stu\Documents\GitHub\eaglep3-reporting\EC\2016-11-26-refined-times.txt</v>
      </c>
      <c r="AI101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{"issue":{"subject":"","project_id":79,"tracker_id":40,"status_id":1,"priority_id":2,"assigned_to_id":23,"start_date":"2016-11-26","description":"","custom_fields":[{"id":1,"name":"Subdivision","value":"EC"},{"id":4,"name":"Milepost","value":"23.3309"},{"id":17,"name":"Train ID","value":"187-26"},{"id":16,"name":"Locomotive ID","value":"4025"},{"id":130,"name":"Impact","value":""},{"id":150,"name":"Time of Event (Mountain Time)","value":"15:05:56"},{"id":151,"name":"Denver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525</v>
      </c>
      <c r="B102" s="7">
        <v>4026</v>
      </c>
      <c r="C102" s="22" t="s">
        <v>216</v>
      </c>
      <c r="D102" s="22" t="s">
        <v>317</v>
      </c>
      <c r="E102" s="13">
        <v>42700.637476851851</v>
      </c>
      <c r="F102" s="13">
        <v>42700.643287037034</v>
      </c>
      <c r="G102" s="7">
        <v>2</v>
      </c>
      <c r="H102" s="22" t="s">
        <v>211</v>
      </c>
      <c r="I102" s="13">
        <v>42700.673750000002</v>
      </c>
      <c r="J102" s="7">
        <v>0</v>
      </c>
      <c r="K102" s="109" t="str">
        <f t="shared" si="33"/>
        <v>4025/4026</v>
      </c>
      <c r="L102" s="22" t="str">
        <f>VLOOKUP(A102,'Trips&amp;Operators'!$C$1:$E$10000,3,FALSE)</f>
        <v>STEWART</v>
      </c>
      <c r="M102" s="6">
        <f t="shared" si="34"/>
        <v>3.0462962968158536E-2</v>
      </c>
      <c r="N102" s="7">
        <f t="shared" si="35"/>
        <v>43.866666674148291</v>
      </c>
      <c r="O102" s="7"/>
      <c r="P102" s="7"/>
      <c r="Q102" s="23"/>
      <c r="R102" s="23"/>
      <c r="S102" s="35">
        <f t="shared" si="36"/>
        <v>1</v>
      </c>
      <c r="T102" s="50" t="str">
        <f t="shared" si="37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14:17:58-700',mode:absolute,to:'2016-11-26 17:10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2" s="52" t="str">
        <f t="shared" si="39"/>
        <v>N</v>
      </c>
      <c r="X102" s="177">
        <f t="shared" si="40"/>
        <v>1</v>
      </c>
      <c r="Y102" s="67">
        <f t="shared" si="41"/>
        <v>23.297999999999998</v>
      </c>
      <c r="Z102" s="67">
        <f t="shared" si="42"/>
        <v>1.5599999999999999E-2</v>
      </c>
      <c r="AA102" s="67">
        <f t="shared" si="43"/>
        <v>23.282399999999999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44"/>
        <v>0188-26</v>
      </c>
      <c r="AE102" s="91" t="str">
        <f t="shared" si="45"/>
        <v>aws s3 cp s3://rtdc.mdm.uploadarchive.raw/RTDC4026/ "%USERPROFILE%\AppData\Local\Temp\OnboardLogs"\RTDC4026\2016-11-26 --exclude "*" --recursive --include "*20161126*" &amp; "%USERPROFILE%\Documents\GitHub\mrs-test-scripts\Headless Mode &amp; Sideloading\WalkAndUnGZ.bat" "%USERPROFILE%\AppData\Local\Temp\OnboardLogs"\RTDC4026\2016-11-26 &amp; 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</v>
      </c>
      <c r="AF102" s="88" t="str">
        <f t="shared" si="46"/>
        <v>"C:\Program Files (x86)\AstroGrep\AstroGrep.exe" /spath="%USERPROFILE%\AppData\Local\Temp\OnboardLogs" /stypes="app*4026*20161126*" /stext=" 23:.+((SYSTEM_STATE.+slice.+state.+changed )|(ment ac)|(multiple cpu faults)|(system.+state.+changed )|(\[timeout)|(PRM\|1\|D)|(kpr)|(kdp)|(\|lc)|(penalty))" /e /r /s</v>
      </c>
      <c r="AG102" s="1" t="str">
        <f t="shared" si="47"/>
        <v>EC</v>
      </c>
      <c r="AH102" s="92" t="str">
        <f t="shared" si="48"/>
        <v>"%USERPROFILE%\Documents\GitHub\eaglep3\Utilities\RefineRTDCRunTimes.py" --tripid 188-26 --locoid 4026 --swversion DE.1.0.8.0 --startMP 204:232980 --initTime 2016-11-26T15:17:58 --startdatetime 2016-11-26T15:26:20 --delay 2 --endMP 204:156 --enddatetime 2016-11-26T16:10:12 --enforcementcount 0 &gt;&gt;C:\Users\stu\Documents\GitHub\eaglep3-reporting\EC\2016-11-26-refined-times.txt</v>
      </c>
      <c r="AI102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{"issue":{"subject":"","project_id":79,"tracker_id":40,"status_id":1,"priority_id":2,"assigned_to_id":23,"start_date":"2016-11-26","description":"","custom_fields":[{"id":1,"name":"Subdivision","value":"EC"},{"id":4,"name":"Milepost","value":"0.0156"},{"id":17,"name":"Train ID","value":"188-26"},{"id":16,"name":"Locomotive ID","value":"4026"},{"id":130,"name":"Impact","value":""},{"id":150,"name":"Time of Event (Mountain Time)","value":"16:10:12"},{"id":151,"name":"Denver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521</v>
      </c>
      <c r="B103" s="7">
        <v>4031</v>
      </c>
      <c r="C103" s="22" t="s">
        <v>216</v>
      </c>
      <c r="D103" s="22" t="s">
        <v>680</v>
      </c>
      <c r="E103" s="13">
        <v>42700.609594907408</v>
      </c>
      <c r="F103" s="13">
        <v>42700.623402777775</v>
      </c>
      <c r="G103" s="7">
        <v>19</v>
      </c>
      <c r="H103" s="22" t="s">
        <v>272</v>
      </c>
      <c r="I103" s="13">
        <v>42700.640682870369</v>
      </c>
      <c r="J103" s="7">
        <v>0</v>
      </c>
      <c r="K103" s="109" t="str">
        <f t="shared" si="33"/>
        <v>4031/4032</v>
      </c>
      <c r="L103" s="22" t="str">
        <f>VLOOKUP(A103,'Trips&amp;Operators'!$C$1:$E$10000,3,FALSE)</f>
        <v>BARTLETT</v>
      </c>
      <c r="M103" s="6">
        <f t="shared" si="34"/>
        <v>1.7280092593864538E-2</v>
      </c>
      <c r="N103" s="7"/>
      <c r="O103" s="7"/>
      <c r="P103" s="7">
        <f>24*60*SUM($M103)</f>
        <v>24.883333335164934</v>
      </c>
      <c r="Q103" s="23"/>
      <c r="R103" s="23" t="s">
        <v>748</v>
      </c>
      <c r="S103" s="35">
        <f>SUM(U103)/IF(AG103="EC",12,1)</f>
        <v>0.75</v>
      </c>
      <c r="T103" s="50" t="str">
        <f t="shared" si="37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9</v>
      </c>
      <c r="V10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13:37:49-700',mode:absolute,to:'2016-11-26 16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3" s="52" t="str">
        <f t="shared" si="39"/>
        <v>Y</v>
      </c>
      <c r="X103" s="177">
        <f t="shared" si="40"/>
        <v>1</v>
      </c>
      <c r="Y103" s="67">
        <f t="shared" si="41"/>
        <v>3.7172999999999998</v>
      </c>
      <c r="Z103" s="67">
        <f t="shared" si="42"/>
        <v>23.332100000000001</v>
      </c>
      <c r="AA103" s="67">
        <f t="shared" si="43"/>
        <v>19.614800000000002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44"/>
        <v>0189-26</v>
      </c>
      <c r="AE103" s="91" t="str">
        <f t="shared" si="45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103" s="88" t="str">
        <f t="shared" si="46"/>
        <v>"C:\Program Files (x86)\AstroGrep\AstroGrep.exe" /spath="%USERPROFILE%\AppData\Local\Temp\OnboardLogs" /stypes="app*4031*20161126*" /stext=" 22:.+((SYSTEM_STATE.+slice.+state.+changed )|(ment ac)|(multiple cpu faults)|(system.+state.+changed )|(\[timeout)|(PRM\|1\|D)|(kpr)|(kdp)|(\|lc)|(penalty))" /e /r /s</v>
      </c>
      <c r="AG103" s="1" t="str">
        <f t="shared" si="47"/>
        <v>EC</v>
      </c>
      <c r="AH103" s="92" t="str">
        <f t="shared" si="48"/>
        <v>"%USERPROFILE%\Documents\GitHub\eaglep3\Utilities\RefineRTDCRunTimes.py" --tripid 189-26 --locoid 4031 --swversion DE.1.0.8.0 --startMP 204:37173 --initTime 2016-11-26T14:37:49 --startdatetime 2016-11-26T14:57:42 --delay 19 --endMP 204:233321 --enddatetime 2016-11-26T15:22:35 --enforcementcount 0 &gt;&gt;C:\Users\stu\Documents\GitHub\eaglep3-reporting\EC\2016-11-26-refined-times.txt</v>
      </c>
      <c r="AI103" s="119" t="str">
        <f t="shared" si="49"/>
        <v>echo {"issue":{"subject":"Onboard in-route failure","project_id":79,"tracker_id":40,"status_id":1,"priority_id":2,"assigned_to_id":23,"start_date":"2016-11-26","description":"","custom_fields":[{"id":1,"name":"Subdivision","value":"EC"},{"id":4,"name":"Milepost","value":"23.3321"},{"id":17,"name":"Train ID","value":"189-26"},{"id":16,"name":"Locomotive ID","value":"4031"},{"id":130,"name":"Impact","value":""},{"id":150,"name":"Time of Event (Mountain Time)","value":"15:22:35"},{"id":151,"name":"Denver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521</v>
      </c>
      <c r="B104" s="7">
        <v>4031</v>
      </c>
      <c r="C104" s="22" t="s">
        <v>216</v>
      </c>
      <c r="D104" s="22" t="s">
        <v>318</v>
      </c>
      <c r="E104" s="13">
        <v>42700.609594907408</v>
      </c>
      <c r="F104" s="13">
        <v>42700.623402777775</v>
      </c>
      <c r="G104" s="7">
        <v>1</v>
      </c>
      <c r="H104" s="22" t="s">
        <v>272</v>
      </c>
      <c r="I104" s="13">
        <v>42700.640682870369</v>
      </c>
      <c r="J104" s="7">
        <v>0</v>
      </c>
      <c r="K104" s="109" t="str">
        <f t="shared" si="33"/>
        <v>4031/4032</v>
      </c>
      <c r="L104" s="22" t="str">
        <f>VLOOKUP(A104,'Trips&amp;Operators'!$C$1:$E$10000,3,FALSE)</f>
        <v>BARTLETT</v>
      </c>
      <c r="M104" s="6">
        <f t="shared" si="34"/>
        <v>1.7280092593864538E-2</v>
      </c>
      <c r="N104" s="7"/>
      <c r="O104" s="7"/>
      <c r="P104" s="7"/>
      <c r="Q104" s="23"/>
      <c r="R104" s="23"/>
      <c r="S104" s="35"/>
      <c r="T104" s="50" t="str">
        <f t="shared" si="37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13:37:49-700',mode:absolute,to:'2016-11-26 16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4" s="52" t="str">
        <f t="shared" si="39"/>
        <v>N</v>
      </c>
      <c r="X104" s="177">
        <f t="shared" si="40"/>
        <v>0</v>
      </c>
      <c r="Y104" s="67">
        <f t="shared" si="41"/>
        <v>4.6699999999999998E-2</v>
      </c>
      <c r="Z104" s="67">
        <f t="shared" si="42"/>
        <v>23.332100000000001</v>
      </c>
      <c r="AA104" s="67">
        <f t="shared" si="43"/>
        <v>23.285399999999999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44"/>
        <v>0189-26</v>
      </c>
      <c r="AE104" s="91" t="str">
        <f t="shared" si="45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104" s="88" t="str">
        <f t="shared" si="46"/>
        <v>"C:\Program Files (x86)\AstroGrep\AstroGrep.exe" /spath="%USERPROFILE%\AppData\Local\Temp\OnboardLogs" /stypes="app*4031*20161126*" /stext=" 22:.+((SYSTEM_STATE.+slice.+state.+changed )|(ment ac)|(multiple cpu faults)|(system.+state.+changed )|(\[timeout)|(PRM\|1\|D)|(kpr)|(kdp)|(\|lc)|(penalty))" /e /r /s</v>
      </c>
      <c r="AG104" s="1" t="str">
        <f t="shared" si="47"/>
        <v>EC</v>
      </c>
      <c r="AH104" s="92" t="str">
        <f t="shared" si="48"/>
        <v>"%USERPROFILE%\Documents\GitHub\eaglep3\Utilities\RefineRTDCRunTimes.py" --tripid 189-26 --locoid 4031 --swversion DE.1.0.8.0 --startMP 204:467 --initTime 2016-11-26T14:37:49 --startdatetime 2016-11-26T14:57:42 --delay 1 --endMP 204:233321 --enddatetime 2016-11-26T15:22:35 --enforcementcount 0 &gt;&gt;C:\Users\stu\Documents\GitHub\eaglep3-reporting\EC\2016-11-26-refined-times.txt</v>
      </c>
      <c r="AI104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{"issue":{"subject":"","project_id":79,"tracker_id":40,"status_id":1,"priority_id":2,"assigned_to_id":23,"start_date":"2016-11-26","description":"","custom_fields":[{"id":1,"name":"Subdivision","value":"EC"},{"id":4,"name":"Milepost","value":"23.3321"},{"id":17,"name":"Train ID","value":"189-26"},{"id":16,"name":"Locomotive ID","value":"4031"},{"id":130,"name":"Impact","value":""},{"id":150,"name":"Time of Event (Mountain Time)","value":"15:22:35"},{"id":151,"name":"Denver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527</v>
      </c>
      <c r="B105" s="7">
        <v>4032</v>
      </c>
      <c r="C105" s="22" t="s">
        <v>216</v>
      </c>
      <c r="D105" s="22" t="s">
        <v>246</v>
      </c>
      <c r="E105" s="13">
        <v>42700.643090277779</v>
      </c>
      <c r="F105" s="13">
        <v>42700.653634259259</v>
      </c>
      <c r="G105" s="7">
        <v>1</v>
      </c>
      <c r="H105" s="22" t="s">
        <v>238</v>
      </c>
      <c r="I105" s="13">
        <v>42700.679837962962</v>
      </c>
      <c r="J105" s="7">
        <v>0</v>
      </c>
      <c r="K105" s="109" t="str">
        <f t="shared" si="33"/>
        <v>4031/4032</v>
      </c>
      <c r="L105" s="22" t="str">
        <f>VLOOKUP(A105,'Trips&amp;Operators'!$C$1:$E$10000,3,FALSE)</f>
        <v>BARTLETT</v>
      </c>
      <c r="M105" s="6">
        <f t="shared" si="34"/>
        <v>2.6203703702776693E-2</v>
      </c>
      <c r="N105" s="7">
        <f t="shared" si="35"/>
        <v>37.733333331998438</v>
      </c>
      <c r="O105" s="7"/>
      <c r="P105" s="7"/>
      <c r="Q105" s="23"/>
      <c r="R105" s="23"/>
      <c r="S105" s="35">
        <f t="shared" si="36"/>
        <v>1</v>
      </c>
      <c r="T105" s="50" t="str">
        <f t="shared" si="37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14:26:03-700',mode:absolute,to:'2016-11-26 17:18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5" s="52" t="str">
        <f t="shared" si="39"/>
        <v>N</v>
      </c>
      <c r="X105" s="177">
        <f t="shared" si="40"/>
        <v>1</v>
      </c>
      <c r="Y105" s="67">
        <f t="shared" si="41"/>
        <v>23.299399999999999</v>
      </c>
      <c r="Z105" s="67">
        <f t="shared" si="42"/>
        <v>1.54E-2</v>
      </c>
      <c r="AA105" s="67">
        <f t="shared" si="43"/>
        <v>23.283999999999999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44"/>
        <v>0190-26</v>
      </c>
      <c r="AE105" s="91" t="str">
        <f t="shared" si="45"/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AF105" s="88" t="str">
        <f t="shared" si="46"/>
        <v>"C:\Program Files (x86)\AstroGrep\AstroGrep.exe" /spath="%USERPROFILE%\AppData\Local\Temp\OnboardLogs" /stypes="app*4032*20161126*" /stext=" 23:.+((SYSTEM_STATE.+slice.+state.+changed )|(ment ac)|(multiple cpu faults)|(system.+state.+changed )|(\[timeout)|(PRM\|1\|D)|(kpr)|(kdp)|(\|lc)|(penalty))" /e /r /s</v>
      </c>
      <c r="AG105" s="1" t="str">
        <f t="shared" si="47"/>
        <v>EC</v>
      </c>
      <c r="AH105" s="92" t="str">
        <f t="shared" si="48"/>
        <v>"%USERPROFILE%\Documents\GitHub\eaglep3\Utilities\RefineRTDCRunTimes.py" --tripid 190-26 --locoid 4032 --swversion DE.1.0.8.0 --startMP 204:232994 --initTime 2016-11-26T15:26:03 --startdatetime 2016-11-26T15:41:14 --delay 1 --endMP 204:154 --enddatetime 2016-11-26T16:18:58 --enforcementcount 0 &gt;&gt;C:\Users\stu\Documents\GitHub\eaglep3-reporting\EC\2016-11-26-refined-times.txt</v>
      </c>
      <c r="AI105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{"issue":{"subject":"","project_id":79,"tracker_id":40,"status_id":1,"priority_id":2,"assigned_to_id":23,"start_date":"2016-11-26","description":"","custom_fields":[{"id":1,"name":"Subdivision","value":"EC"},{"id":4,"name":"Milepost","value":"0.0154"},{"id":17,"name":"Train ID","value":"190-26"},{"id":16,"name":"Locomotive ID","value":"4032"},{"id":130,"name":"Impact","value":""},{"id":150,"name":"Time of Event (Mountain Time)","value":"16:18:58"},{"id":151,"name":"Denver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523</v>
      </c>
      <c r="B106" s="7">
        <v>4003</v>
      </c>
      <c r="C106" s="22" t="s">
        <v>216</v>
      </c>
      <c r="D106" s="22" t="s">
        <v>215</v>
      </c>
      <c r="E106" s="13">
        <v>42700.621689814812</v>
      </c>
      <c r="F106" s="13">
        <v>42700.625393518516</v>
      </c>
      <c r="G106" s="7">
        <v>1</v>
      </c>
      <c r="H106" s="22" t="s">
        <v>627</v>
      </c>
      <c r="I106" s="13">
        <v>42700.650821759256</v>
      </c>
      <c r="J106" s="7">
        <v>0</v>
      </c>
      <c r="K106" s="109" t="str">
        <f t="shared" si="33"/>
        <v>4003/4004</v>
      </c>
      <c r="L106" s="22" t="str">
        <f>VLOOKUP(A106,'Trips&amp;Operators'!$C$1:$E$10000,3,FALSE)</f>
        <v>MOSES</v>
      </c>
      <c r="M106" s="6">
        <f t="shared" si="34"/>
        <v>2.5428240740438923E-2</v>
      </c>
      <c r="N106" s="7">
        <f t="shared" si="35"/>
        <v>36.616666666232049</v>
      </c>
      <c r="O106" s="7"/>
      <c r="P106" s="7"/>
      <c r="Q106" s="23"/>
      <c r="R106" s="23"/>
      <c r="S106" s="35">
        <f t="shared" si="36"/>
        <v>1</v>
      </c>
      <c r="T106" s="50" t="str">
        <f t="shared" si="37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13:55:14-700',mode:absolute,to:'2016-11-26 16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6" s="52" t="str">
        <f t="shared" si="39"/>
        <v>N</v>
      </c>
      <c r="X106" s="177">
        <f t="shared" si="40"/>
        <v>1</v>
      </c>
      <c r="Y106" s="67">
        <f t="shared" si="41"/>
        <v>4.6399999999999997E-2</v>
      </c>
      <c r="Z106" s="67">
        <f t="shared" si="42"/>
        <v>23.331099999999999</v>
      </c>
      <c r="AA106" s="67">
        <f t="shared" si="43"/>
        <v>23.284700000000001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44"/>
        <v>0191-26</v>
      </c>
      <c r="AE106" s="91" t="str">
        <f t="shared" si="45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106" s="88" t="str">
        <f t="shared" si="46"/>
        <v>"C:\Program Files (x86)\AstroGrep\AstroGrep.exe" /spath="%USERPROFILE%\AppData\Local\Temp\OnboardLogs" /stypes="app*4003*20161126*" /stext=" 22:.+((SYSTEM_STATE.+slice.+state.+changed )|(ment ac)|(multiple cpu faults)|(system.+state.+changed )|(\[timeout)|(PRM\|1\|D)|(kpr)|(kdp)|(\|lc)|(penalty))" /e /r /s</v>
      </c>
      <c r="AG106" s="1" t="str">
        <f t="shared" si="47"/>
        <v>EC</v>
      </c>
      <c r="AH106" s="92" t="str">
        <f t="shared" si="48"/>
        <v>"%USERPROFILE%\Documents\GitHub\eaglep3\Utilities\RefineRTDCRunTimes.py" --tripid 191-26 --locoid 4003 --swversion DE.1.0.8.0 --startMP 204:464 --initTime 2016-11-26T14:55:14 --startdatetime 2016-11-26T15:00:34 --delay 1 --endMP 204:233311 --enddatetime 2016-11-26T15:37:11 --enforcementcount 0 &gt;&gt;C:\Users\stu\Documents\GitHub\eaglep3-reporting\EC\2016-11-26-refined-times.txt</v>
      </c>
      <c r="AI106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{"issue":{"subject":"","project_id":79,"tracker_id":40,"status_id":1,"priority_id":2,"assigned_to_id":23,"start_date":"2016-11-26","description":"","custom_fields":[{"id":1,"name":"Subdivision","value":"EC"},{"id":4,"name":"Milepost","value":"23.3311"},{"id":17,"name":"Train ID","value":"191-26"},{"id":16,"name":"Locomotive ID","value":"4003"},{"id":130,"name":"Impact","value":""},{"id":150,"name":"Time of Event (Mountain Time)","value":"15:37:11"},{"id":151,"name":"Denver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530</v>
      </c>
      <c r="B107" s="7">
        <v>4004</v>
      </c>
      <c r="C107" s="22" t="s">
        <v>216</v>
      </c>
      <c r="D107" s="22" t="s">
        <v>309</v>
      </c>
      <c r="E107" s="13">
        <v>42700.65934027778</v>
      </c>
      <c r="F107" s="13">
        <v>42700.6643287037</v>
      </c>
      <c r="G107" s="7">
        <v>1</v>
      </c>
      <c r="H107" s="22" t="s">
        <v>238</v>
      </c>
      <c r="I107" s="13">
        <v>42700.691006944442</v>
      </c>
      <c r="J107" s="7">
        <v>0</v>
      </c>
      <c r="K107" s="109" t="str">
        <f t="shared" si="33"/>
        <v>4003/4004</v>
      </c>
      <c r="L107" s="22" t="str">
        <f>VLOOKUP(A107,'Trips&amp;Operators'!$C$1:$E$10000,3,FALSE)</f>
        <v>MOSES</v>
      </c>
      <c r="M107" s="6">
        <f t="shared" si="34"/>
        <v>2.6678240741603076E-2</v>
      </c>
      <c r="N107" s="7">
        <f t="shared" si="35"/>
        <v>38.41666666790843</v>
      </c>
      <c r="O107" s="7"/>
      <c r="P107" s="7"/>
      <c r="Q107" s="23"/>
      <c r="R107" s="23"/>
      <c r="S107" s="35">
        <f t="shared" si="36"/>
        <v>1</v>
      </c>
      <c r="T107" s="50" t="str">
        <f t="shared" si="37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14:49:27-700',mode:absolute,to:'2016-11-26 17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7" s="52" t="str">
        <f t="shared" si="39"/>
        <v>N</v>
      </c>
      <c r="X107" s="177">
        <f t="shared" si="40"/>
        <v>1</v>
      </c>
      <c r="Y107" s="67">
        <f t="shared" si="41"/>
        <v>23.298400000000001</v>
      </c>
      <c r="Z107" s="67">
        <f t="shared" si="42"/>
        <v>1.54E-2</v>
      </c>
      <c r="AA107" s="67">
        <f t="shared" si="43"/>
        <v>23.283000000000001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44"/>
        <v>0192-26</v>
      </c>
      <c r="AE107" s="91" t="str">
        <f t="shared" si="45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107" s="88" t="str">
        <f t="shared" si="46"/>
        <v>"C:\Program Files (x86)\AstroGrep\AstroGrep.exe" /spath="%USERPROFILE%\AppData\Local\Temp\OnboardLogs" /stypes="app*4004*20161126*" /stext=" 23:.+((SYSTEM_STATE.+slice.+state.+changed )|(ment ac)|(multiple cpu faults)|(system.+state.+changed )|(\[timeout)|(PRM\|1\|D)|(kpr)|(kdp)|(\|lc)|(penalty))" /e /r /s</v>
      </c>
      <c r="AG107" s="1" t="str">
        <f t="shared" si="47"/>
        <v>EC</v>
      </c>
      <c r="AH107" s="92" t="str">
        <f t="shared" si="48"/>
        <v>"%USERPROFILE%\Documents\GitHub\eaglep3\Utilities\RefineRTDCRunTimes.py" --tripid 192-26 --locoid 4004 --swversion DE.1.0.8.0 --startMP 204:232984 --initTime 2016-11-26T15:49:27 --startdatetime 2016-11-26T15:56:38 --delay 1 --endMP 204:154 --enddatetime 2016-11-26T16:35:03 --enforcementcount 0 &gt;&gt;C:\Users\stu\Documents\GitHub\eaglep3-reporting\EC\2016-11-26-refined-times.txt</v>
      </c>
      <c r="AI107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{"issue":{"subject":"","project_id":79,"tracker_id":40,"status_id":1,"priority_id":2,"assigned_to_id":23,"start_date":"2016-11-26","description":"","custom_fields":[{"id":1,"name":"Subdivision","value":"EC"},{"id":4,"name":"Milepost","value":"0.0154"},{"id":17,"name":"Train ID","value":"192-26"},{"id":16,"name":"Locomotive ID","value":"4004"},{"id":130,"name":"Impact","value":""},{"id":150,"name":"Time of Event (Mountain Time)","value":"16:35:03"},{"id":151,"name":"Denver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410</v>
      </c>
      <c r="B108" s="7">
        <v>4046</v>
      </c>
      <c r="C108" s="22" t="s">
        <v>216</v>
      </c>
      <c r="D108" s="22" t="s">
        <v>260</v>
      </c>
      <c r="E108" s="13">
        <v>42700.633726851855</v>
      </c>
      <c r="F108" s="13">
        <v>42700.652037037034</v>
      </c>
      <c r="G108" s="7">
        <v>1</v>
      </c>
      <c r="H108" s="22" t="s">
        <v>684</v>
      </c>
      <c r="I108" s="13">
        <v>42700.666562500002</v>
      </c>
      <c r="J108" s="7">
        <v>1</v>
      </c>
      <c r="K108" s="109" t="str">
        <f t="shared" si="33"/>
        <v>4045/4046</v>
      </c>
      <c r="L108" s="22" t="str">
        <f>VLOOKUP(A108,'Trips&amp;Operators'!$C$1:$E$10000,3,FALSE)</f>
        <v>BROWN</v>
      </c>
      <c r="M108" s="6">
        <f t="shared" si="34"/>
        <v>1.4525462967867497E-2</v>
      </c>
      <c r="N108" s="7">
        <f>24*60*SUM($M108:$M109)</f>
        <v>41.833333347458392</v>
      </c>
      <c r="O108" s="7"/>
      <c r="P108" s="7"/>
      <c r="Q108" s="23"/>
      <c r="R108" s="23" t="s">
        <v>753</v>
      </c>
      <c r="S108" s="35">
        <f>SUM(U108:U109)/IF(AG108="EC",12,1)</f>
        <v>1</v>
      </c>
      <c r="T108" s="50" t="str">
        <f t="shared" si="37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10</v>
      </c>
      <c r="V10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14:12:34-700',mode:absolute,to:'2016-11-26 16:59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8" s="52" t="str">
        <f t="shared" si="39"/>
        <v>Y</v>
      </c>
      <c r="X108" s="177">
        <f t="shared" si="40"/>
        <v>1</v>
      </c>
      <c r="Y108" s="67">
        <f t="shared" si="41"/>
        <v>4.4600000000000001E-2</v>
      </c>
      <c r="Z108" s="67">
        <f t="shared" si="42"/>
        <v>8.6374999999999993</v>
      </c>
      <c r="AA108" s="67">
        <f t="shared" si="43"/>
        <v>8.5928999999999984</v>
      </c>
      <c r="AB108" s="64" t="str">
        <f>VLOOKUP(A108,Enforcements!$C$7:$K$20,8,0)</f>
        <v>Signal based authority (5)</v>
      </c>
      <c r="AC108" s="60" t="str">
        <f>VLOOKUP(A108,Enforcements!$C$7:$E$20,3,0)</f>
        <v>SIGNAL</v>
      </c>
      <c r="AD108" s="61" t="str">
        <f t="shared" si="44"/>
        <v>0193-26</v>
      </c>
      <c r="AE108" s="91" t="str">
        <f t="shared" si="45"/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AF108" s="88" t="str">
        <f t="shared" si="46"/>
        <v>"C:\Program Files (x86)\AstroGrep\AstroGrep.exe" /spath="%USERPROFILE%\AppData\Local\Temp\OnboardLogs" /stypes="app*4046*20161126*" /stext=" 22:.+((SYSTEM_STATE.+slice.+state.+changed )|(ment ac)|(multiple cpu faults)|(system.+state.+changed )|(\[timeout)|(PRM\|1\|D)|(kpr)|(kdp)|(\|lc)|(penalty))" /e /r /s</v>
      </c>
      <c r="AG108" s="1" t="str">
        <f t="shared" si="47"/>
        <v>EC</v>
      </c>
      <c r="AH108" s="92" t="str">
        <f t="shared" si="48"/>
        <v>"%USERPROFILE%\Documents\GitHub\eaglep3\Utilities\RefineRTDCRunTimes.py" --tripid 193-26 --locoid 4046 --swversion DE.1.0.8.0 --startMP 204:446 --initTime 2016-11-26T15:12:34 --startdatetime 2016-11-26T15:38:56 --delay 1 --endMP 204:86375 --enddatetime 2016-11-26T15:59:51 --enforcementcount 1 &gt;&gt;C:\Users\stu\Documents\GitHub\eaglep3-reporting\EC\2016-11-26-refined-times.txt</v>
      </c>
      <c r="AI108" s="119" t="str">
        <f t="shared" si="49"/>
        <v>echo {"issue":{"subject":"Re-initialized after enforcement","project_id":79,"tracker_id":40,"status_id":1,"priority_id":2,"assigned_to_id":23,"start_date":"2016-11-26","description":"","custom_fields":[{"id":1,"name":"Subdivision","value":"EC"},{"id":4,"name":"Milepost","value":"8.6375"},{"id":17,"name":"Train ID","value":"193-26"},{"id":16,"name":"Locomotive ID","value":"4046"},{"id":130,"name":"Impact","value":""},{"id":150,"name":"Time of Event (Mountain Time)","value":"15:59:51"},{"id":151,"name":"Denver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410</v>
      </c>
      <c r="B109" s="7">
        <v>4046</v>
      </c>
      <c r="C109" s="22" t="s">
        <v>216</v>
      </c>
      <c r="D109" s="22" t="s">
        <v>684</v>
      </c>
      <c r="E109" s="13">
        <v>42700.650983796295</v>
      </c>
      <c r="F109" s="13">
        <v>42700.652037037034</v>
      </c>
      <c r="G109" s="7">
        <v>1</v>
      </c>
      <c r="H109" s="22" t="s">
        <v>272</v>
      </c>
      <c r="I109" s="13">
        <v>42700.666562500002</v>
      </c>
      <c r="J109" s="7">
        <v>0</v>
      </c>
      <c r="K109" s="109" t="str">
        <f t="shared" si="33"/>
        <v>4045/4046</v>
      </c>
      <c r="L109" s="22" t="str">
        <f>VLOOKUP(A109,'Trips&amp;Operators'!$C$1:$E$10000,3,FALSE)</f>
        <v>BROWN</v>
      </c>
      <c r="M109" s="6">
        <f t="shared" si="34"/>
        <v>1.4525462967867497E-2</v>
      </c>
      <c r="N109" s="7"/>
      <c r="O109" s="7"/>
      <c r="P109" s="7"/>
      <c r="Q109" s="23"/>
      <c r="R109" s="23"/>
      <c r="S109" s="35"/>
      <c r="T109" s="50" t="str">
        <f t="shared" si="37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2</v>
      </c>
      <c r="V10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14:37:25-700',mode:absolute,to:'2016-11-26 16:59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9" s="52" t="str">
        <f t="shared" si="39"/>
        <v>Y</v>
      </c>
      <c r="X109" s="177">
        <f t="shared" si="40"/>
        <v>0</v>
      </c>
      <c r="Y109" s="67">
        <f t="shared" si="41"/>
        <v>8.6374999999999993</v>
      </c>
      <c r="Z109" s="67">
        <f t="shared" si="42"/>
        <v>23.332100000000001</v>
      </c>
      <c r="AA109" s="67">
        <f t="shared" si="43"/>
        <v>14.694600000000001</v>
      </c>
      <c r="AB109" s="64" t="str">
        <f>VLOOKUP(A109,Enforcements!$C$7:$K$20,8,0)</f>
        <v>Signal based authority (5)</v>
      </c>
      <c r="AC109" s="60" t="str">
        <f>VLOOKUP(A109,Enforcements!$C$7:$E$20,3,0)</f>
        <v>SIGNAL</v>
      </c>
      <c r="AD109" s="61" t="str">
        <f t="shared" si="44"/>
        <v>0193-26</v>
      </c>
      <c r="AE109" s="91" t="str">
        <f t="shared" si="45"/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AF109" s="88" t="str">
        <f t="shared" si="46"/>
        <v>"C:\Program Files (x86)\AstroGrep\AstroGrep.exe" /spath="%USERPROFILE%\AppData\Local\Temp\OnboardLogs" /stypes="app*4046*20161126*" /stext=" 22:.+((SYSTEM_STATE.+slice.+state.+changed )|(ment ac)|(multiple cpu faults)|(system.+state.+changed )|(\[timeout)|(PRM\|1\|D)|(kpr)|(kdp)|(\|lc)|(penalty))" /e /r /s</v>
      </c>
      <c r="AG109" s="1" t="str">
        <f t="shared" si="47"/>
        <v>EC</v>
      </c>
      <c r="AH109" s="92" t="str">
        <f t="shared" si="48"/>
        <v>"%USERPROFILE%\Documents\GitHub\eaglep3\Utilities\RefineRTDCRunTimes.py" --tripid 193-26 --locoid 4046 --swversion DE.1.0.8.0 --startMP 204:86375 --initTime 2016-11-26T15:37:25 --startdatetime 2016-11-26T15:38:56 --delay 1 --endMP 204:233321 --enddatetime 2016-11-26T15:59:51 --enforcementcount 0 &gt;&gt;C:\Users\stu\Documents\GitHub\eaglep3-reporting\EC\2016-11-26-refined-times.txt</v>
      </c>
      <c r="AI109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{"issue":{"subject":"","project_id":79,"tracker_id":40,"status_id":1,"priority_id":2,"assigned_to_id":23,"start_date":"2016-11-26","description":"","custom_fields":[{"id":1,"name":"Subdivision","value":"EC"},{"id":4,"name":"Milepost","value":"23.3321"},{"id":17,"name":"Train ID","value":"193-26"},{"id":16,"name":"Locomotive ID","value":"4046"},{"id":130,"name":"Impact","value":""},{"id":150,"name":"Time of Event (Mountain Time)","value":"15:59:51"},{"id":151,"name":"Denver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532</v>
      </c>
      <c r="B110" s="7">
        <v>4045</v>
      </c>
      <c r="C110" s="22" t="s">
        <v>216</v>
      </c>
      <c r="D110" s="22" t="s">
        <v>621</v>
      </c>
      <c r="E110" s="13">
        <v>42700.671423611115</v>
      </c>
      <c r="F110" s="13">
        <v>42700.675694444442</v>
      </c>
      <c r="G110" s="7">
        <v>1</v>
      </c>
      <c r="H110" s="22" t="s">
        <v>241</v>
      </c>
      <c r="I110" s="13">
        <v>42700.702361111114</v>
      </c>
      <c r="J110" s="7">
        <v>0</v>
      </c>
      <c r="K110" s="109" t="str">
        <f t="shared" si="33"/>
        <v>4045/4046</v>
      </c>
      <c r="L110" s="22" t="str">
        <f>VLOOKUP(A110,'Trips&amp;Operators'!$C$1:$E$10000,3,FALSE)</f>
        <v>BROWN</v>
      </c>
      <c r="M110" s="6">
        <f t="shared" si="34"/>
        <v>2.6666666672099382E-2</v>
      </c>
      <c r="N110" s="7">
        <f t="shared" si="35"/>
        <v>38.40000000782311</v>
      </c>
      <c r="O110" s="7"/>
      <c r="P110" s="7"/>
      <c r="Q110" s="23"/>
      <c r="R110" s="23"/>
      <c r="S110" s="35">
        <f t="shared" si="36"/>
        <v>1</v>
      </c>
      <c r="T110" s="50" t="str">
        <f t="shared" si="37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15:06:51-700',mode:absolute,to:'2016-11-26 17:51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0" s="52" t="str">
        <f t="shared" si="39"/>
        <v>N</v>
      </c>
      <c r="X110" s="177">
        <f t="shared" si="40"/>
        <v>1</v>
      </c>
      <c r="Y110" s="67">
        <f t="shared" si="41"/>
        <v>23.3004</v>
      </c>
      <c r="Z110" s="67">
        <f t="shared" si="42"/>
        <v>1.41E-2</v>
      </c>
      <c r="AA110" s="67">
        <f t="shared" si="43"/>
        <v>23.286300000000001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44"/>
        <v>0194-26</v>
      </c>
      <c r="AE110" s="91" t="str">
        <f t="shared" si="45"/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AF110" s="88" t="str">
        <f t="shared" si="46"/>
        <v>"C:\Program Files (x86)\AstroGrep\AstroGrep.exe" /spath="%USERPROFILE%\AppData\Local\Temp\OnboardLogs" /stypes="app*4045*20161126*" /stext=" 23:.+((SYSTEM_STATE.+slice.+state.+changed )|(ment ac)|(multiple cpu faults)|(system.+state.+changed )|(\[timeout)|(PRM\|1\|D)|(kpr)|(kdp)|(\|lc)|(penalty))" /e /r /s</v>
      </c>
      <c r="AG110" s="1" t="str">
        <f t="shared" si="47"/>
        <v>EC</v>
      </c>
      <c r="AH110" s="92" t="str">
        <f t="shared" si="48"/>
        <v>"%USERPROFILE%\Documents\GitHub\eaglep3\Utilities\RefineRTDCRunTimes.py" --tripid 194-26 --locoid 4045 --swversion DE.1.0.8.0 --startMP 204:233004 --initTime 2016-11-26T16:06:51 --startdatetime 2016-11-26T16:13:00 --delay 1 --endMP 204:141 --enddatetime 2016-11-26T16:51:24 --enforcementcount 0 &gt;&gt;C:\Users\stu\Documents\GitHub\eaglep3-reporting\EC\2016-11-26-refined-times.txt</v>
      </c>
      <c r="AI110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{"issue":{"subject":"","project_id":79,"tracker_id":40,"status_id":1,"priority_id":2,"assigned_to_id":23,"start_date":"2016-11-26","description":"","custom_fields":[{"id":1,"name":"Subdivision","value":"EC"},{"id":4,"name":"Milepost","value":"0.0141"},{"id":17,"name":"Train ID","value":"194-26"},{"id":16,"name":"Locomotive ID","value":"4045"},{"id":130,"name":"Impact","value":""},{"id":150,"name":"Time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526</v>
      </c>
      <c r="B111" s="7">
        <v>4029</v>
      </c>
      <c r="C111" s="22" t="s">
        <v>216</v>
      </c>
      <c r="D111" s="22" t="s">
        <v>215</v>
      </c>
      <c r="E111" s="13">
        <v>42700.640150462961</v>
      </c>
      <c r="F111" s="13">
        <v>42700.646018518521</v>
      </c>
      <c r="G111" s="7">
        <v>1</v>
      </c>
      <c r="H111" s="22" t="s">
        <v>627</v>
      </c>
      <c r="I111" s="13">
        <v>42700.670567129629</v>
      </c>
      <c r="J111" s="7">
        <v>0</v>
      </c>
      <c r="K111" s="109" t="str">
        <f t="shared" si="33"/>
        <v>4029/4030</v>
      </c>
      <c r="L111" s="22" t="str">
        <f>VLOOKUP(A111,'Trips&amp;Operators'!$C$1:$E$10000,3,FALSE)</f>
        <v>BRUDER</v>
      </c>
      <c r="M111" s="6">
        <f t="shared" si="34"/>
        <v>2.4548611108912155E-2</v>
      </c>
      <c r="N111" s="7">
        <f t="shared" si="35"/>
        <v>35.349999996833503</v>
      </c>
      <c r="O111" s="7"/>
      <c r="P111" s="7"/>
      <c r="Q111" s="23"/>
      <c r="R111" s="23"/>
      <c r="S111" s="35">
        <f t="shared" si="36"/>
        <v>1</v>
      </c>
      <c r="T111" s="50" t="str">
        <f t="shared" si="37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14:21:49-700',mode:absolute,to:'2016-11-26 17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1" s="52" t="str">
        <f t="shared" si="39"/>
        <v>N</v>
      </c>
      <c r="X111" s="177">
        <f t="shared" si="40"/>
        <v>1</v>
      </c>
      <c r="Y111" s="67">
        <f t="shared" si="41"/>
        <v>4.6399999999999997E-2</v>
      </c>
      <c r="Z111" s="67">
        <f t="shared" si="42"/>
        <v>23.331099999999999</v>
      </c>
      <c r="AA111" s="67">
        <f t="shared" si="43"/>
        <v>23.284700000000001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44"/>
        <v>0195-26</v>
      </c>
      <c r="AE111" s="91" t="str">
        <f t="shared" si="45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111" s="88" t="str">
        <f t="shared" si="46"/>
        <v>"C:\Program Files (x86)\AstroGrep\AstroGrep.exe" /spath="%USERPROFILE%\AppData\Local\Temp\OnboardLogs" /stypes="app*4029*20161126*" /stext=" 23:.+((SYSTEM_STATE.+slice.+state.+changed )|(ment ac)|(multiple cpu faults)|(system.+state.+changed )|(\[timeout)|(PRM\|1\|D)|(kpr)|(kdp)|(\|lc)|(penalty))" /e /r /s</v>
      </c>
      <c r="AG111" s="1" t="str">
        <f t="shared" si="47"/>
        <v>EC</v>
      </c>
      <c r="AH111" s="92" t="str">
        <f t="shared" si="48"/>
        <v>"%USERPROFILE%\Documents\GitHub\eaglep3\Utilities\RefineRTDCRunTimes.py" --tripid 195-26 --locoid 4029 --swversion DE.1.0.8.0 --startMP 204:464 --initTime 2016-11-26T15:21:49 --startdatetime 2016-11-26T15:30:16 --delay 1 --endMP 204:233311 --enddatetime 2016-11-26T16:05:37 --enforcementcount 0 &gt;&gt;C:\Users\stu\Documents\GitHub\eaglep3-reporting\EC\2016-11-26-refined-times.txt</v>
      </c>
      <c r="AI111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{"issue":{"subject":"","project_id":79,"tracker_id":40,"status_id":1,"priority_id":2,"assigned_to_id":23,"start_date":"2016-11-26","description":"","custom_fields":[{"id":1,"name":"Subdivision","value":"EC"},{"id":4,"name":"Milepost","value":"23.3311"},{"id":17,"name":"Train ID","value":"195-26"},{"id":16,"name":"Locomotive ID","value":"4029"},{"id":130,"name":"Impact","value":""},{"id":150,"name":"Time of Event (Mountain Time)","value":"16:05:37"},{"id":151,"name":"Denver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534</v>
      </c>
      <c r="B112" s="7">
        <v>4030</v>
      </c>
      <c r="C112" s="22" t="s">
        <v>216</v>
      </c>
      <c r="D112" s="22" t="s">
        <v>281</v>
      </c>
      <c r="E112" s="13">
        <v>42700.680358796293</v>
      </c>
      <c r="F112" s="13">
        <v>42700.684976851851</v>
      </c>
      <c r="G112" s="7">
        <v>1</v>
      </c>
      <c r="H112" s="22" t="s">
        <v>175</v>
      </c>
      <c r="I112" s="13">
        <v>42700.7109837963</v>
      </c>
      <c r="J112" s="7">
        <v>0</v>
      </c>
      <c r="K112" s="109" t="str">
        <f t="shared" si="33"/>
        <v>4029/4030</v>
      </c>
      <c r="L112" s="22" t="str">
        <f>VLOOKUP(A112,'Trips&amp;Operators'!$C$1:$E$10000,3,FALSE)</f>
        <v>BRUDER</v>
      </c>
      <c r="M112" s="6">
        <f t="shared" si="34"/>
        <v>2.6006944448454306E-2</v>
      </c>
      <c r="N112" s="7">
        <f t="shared" si="35"/>
        <v>37.4500000057742</v>
      </c>
      <c r="O112" s="7"/>
      <c r="P112" s="7"/>
      <c r="Q112" s="23"/>
      <c r="R112" s="23"/>
      <c r="S112" s="35">
        <f t="shared" si="36"/>
        <v>1</v>
      </c>
      <c r="T112" s="50" t="str">
        <f t="shared" si="37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15:19:43-700',mode:absolute,to:'2016-11-26 18:03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2" s="52" t="str">
        <f t="shared" si="39"/>
        <v>N</v>
      </c>
      <c r="X112" s="177">
        <f t="shared" si="40"/>
        <v>1</v>
      </c>
      <c r="Y112" s="67">
        <f t="shared" si="41"/>
        <v>23.297799999999999</v>
      </c>
      <c r="Z112" s="67">
        <f t="shared" si="42"/>
        <v>1.52E-2</v>
      </c>
      <c r="AA112" s="67">
        <f t="shared" si="43"/>
        <v>23.282599999999999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44"/>
        <v>0196-26</v>
      </c>
      <c r="AE112" s="91" t="str">
        <f t="shared" si="45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112" s="88" t="str">
        <f t="shared" si="46"/>
        <v>"C:\Program Files (x86)\AstroGrep\AstroGrep.exe" /spath="%USERPROFILE%\AppData\Local\Temp\OnboardLogs" /stypes="app*4030*20161127*" /stext=" 00:.+((SYSTEM_STATE.+slice.+state.+changed )|(ment ac)|(multiple cpu faults)|(system.+state.+changed )|(\[timeout)|(PRM\|1\|D)|(kpr)|(kdp)|(\|lc)|(penalty))" /e /r /s</v>
      </c>
      <c r="AG112" s="1" t="str">
        <f t="shared" si="47"/>
        <v>EC</v>
      </c>
      <c r="AH112" s="92" t="str">
        <f t="shared" si="48"/>
        <v>"%USERPROFILE%\Documents\GitHub\eaglep3\Utilities\RefineRTDCRunTimes.py" --tripid 196-26 --locoid 4030 --swversion DE.1.0.8.0 --startMP 204:232978 --initTime 2016-11-26T16:19:43 --startdatetime 2016-11-26T16:26:22 --delay 1 --endMP 204:152 --enddatetime 2016-11-26T17:03:49 --enforcementcount 0 &gt;&gt;C:\Users\stu\Documents\GitHub\eaglep3-reporting\EC\2016-11-26-refined-times.txt</v>
      </c>
      <c r="AI112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{"issue":{"subject":"","project_id":79,"tracker_id":40,"status_id":1,"priority_id":2,"assigned_to_id":23,"start_date":"2016-11-26","description":"","custom_fields":[{"id":1,"name":"Subdivision","value":"EC"},{"id":4,"name":"Milepost","value":"0.0152"},{"id":17,"name":"Train ID","value":"196-26"},{"id":16,"name":"Locomotive ID","value":"4030"},{"id":130,"name":"Impact","value":""},{"id":150,"name":"Time of Event (Mountain Time)","value":"17:03:49"},{"id":151,"name":"Denver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529</v>
      </c>
      <c r="B113" s="7">
        <v>4044</v>
      </c>
      <c r="C113" s="22" t="s">
        <v>216</v>
      </c>
      <c r="D113" s="22" t="s">
        <v>248</v>
      </c>
      <c r="E113" s="13">
        <v>42700.654363425929</v>
      </c>
      <c r="F113" s="13">
        <v>42700.656493055554</v>
      </c>
      <c r="G113" s="7">
        <v>1</v>
      </c>
      <c r="H113" s="22" t="s">
        <v>379</v>
      </c>
      <c r="I113" s="13">
        <v>42700.682199074072</v>
      </c>
      <c r="J113" s="7">
        <v>0</v>
      </c>
      <c r="K113" s="109" t="str">
        <f t="shared" si="33"/>
        <v>4043/4044</v>
      </c>
      <c r="L113" s="22" t="str">
        <f>VLOOKUP(A113,'Trips&amp;Operators'!$C$1:$E$10000,3,FALSE)</f>
        <v>CLARK</v>
      </c>
      <c r="M113" s="6">
        <f t="shared" si="34"/>
        <v>2.5706018517666962E-2</v>
      </c>
      <c r="N113" s="7">
        <f t="shared" si="35"/>
        <v>37.016666665440425</v>
      </c>
      <c r="O113" s="7"/>
      <c r="P113" s="7"/>
      <c r="Q113" s="23"/>
      <c r="R113" s="23"/>
      <c r="S113" s="35">
        <f t="shared" si="36"/>
        <v>1</v>
      </c>
      <c r="T113" s="50" t="str">
        <f t="shared" si="37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14:42:17-700',mode:absolute,to:'2016-11-26 17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3" s="52" t="str">
        <f t="shared" si="39"/>
        <v>N</v>
      </c>
      <c r="X113" s="177">
        <f t="shared" si="40"/>
        <v>1</v>
      </c>
      <c r="Y113" s="67">
        <f t="shared" si="41"/>
        <v>4.3999999999999997E-2</v>
      </c>
      <c r="Z113" s="67">
        <f t="shared" si="42"/>
        <v>23.328700000000001</v>
      </c>
      <c r="AA113" s="67">
        <f t="shared" si="43"/>
        <v>23.284700000000001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44"/>
        <v>0197-26</v>
      </c>
      <c r="AE113" s="91" t="str">
        <f t="shared" si="45"/>
        <v>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 &amp; 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</v>
      </c>
      <c r="AF113" s="88" t="str">
        <f t="shared" si="46"/>
        <v>"C:\Program Files (x86)\AstroGrep\AstroGrep.exe" /spath="%USERPROFILE%\AppData\Local\Temp\OnboardLogs" /stypes="app*4044*20161126*" /stext=" 23:.+((SYSTEM_STATE.+slice.+state.+changed )|(ment ac)|(multiple cpu faults)|(system.+state.+changed )|(\[timeout)|(PRM\|1\|D)|(kpr)|(kdp)|(\|lc)|(penalty))" /e /r /s</v>
      </c>
      <c r="AG113" s="1" t="str">
        <f t="shared" si="47"/>
        <v>EC</v>
      </c>
      <c r="AH113" s="92" t="str">
        <f t="shared" si="48"/>
        <v>"%USERPROFILE%\Documents\GitHub\eaglep3\Utilities\RefineRTDCRunTimes.py" --tripid 197-26 --locoid 4044 --swversion DE.1.0.8.0 --startMP 204:440 --initTime 2016-11-26T15:42:17 --startdatetime 2016-11-26T15:45:21 --delay 1 --endMP 204:233287 --enddatetime 2016-11-26T16:22:22 --enforcementcount 0 &gt;&gt;C:\Users\stu\Documents\GitHub\eaglep3-reporting\EC\2016-11-26-refined-times.txt</v>
      </c>
      <c r="AI113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{"issue":{"subject":"","project_id":79,"tracker_id":40,"status_id":1,"priority_id":2,"assigned_to_id":23,"start_date":"2016-11-26","description":"","custom_fields":[{"id":1,"name":"Subdivision","value":"EC"},{"id":4,"name":"Milepost","value":"23.3287"},{"id":17,"name":"Train ID","value":"197-26"},{"id":16,"name":"Locomotive ID","value":"4044"},{"id":130,"name":"Impact","value":""},{"id":150,"name":"Time of Event (Mountain Time)","value":"16:22:22"},{"id":151,"name":"Denver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536</v>
      </c>
      <c r="B114" s="7">
        <v>4043</v>
      </c>
      <c r="C114" s="22" t="s">
        <v>216</v>
      </c>
      <c r="D114" s="22" t="s">
        <v>209</v>
      </c>
      <c r="E114" s="13">
        <v>42700.68854166667</v>
      </c>
      <c r="F114" s="13">
        <v>42700.695300925923</v>
      </c>
      <c r="G114" s="7">
        <v>1</v>
      </c>
      <c r="H114" s="22" t="s">
        <v>264</v>
      </c>
      <c r="I114" s="13">
        <v>42700.723715277774</v>
      </c>
      <c r="J114" s="7">
        <v>0</v>
      </c>
      <c r="K114" s="109" t="str">
        <f t="shared" si="33"/>
        <v>4043/4044</v>
      </c>
      <c r="L114" s="22" t="str">
        <f>VLOOKUP(A114,'Trips&amp;Operators'!$C$1:$E$10000,3,FALSE)</f>
        <v>CLARK</v>
      </c>
      <c r="M114" s="6">
        <f t="shared" si="34"/>
        <v>2.8414351851097308E-2</v>
      </c>
      <c r="N114" s="7">
        <f t="shared" si="35"/>
        <v>40.916666665580124</v>
      </c>
      <c r="O114" s="7"/>
      <c r="P114" s="7"/>
      <c r="Q114" s="23"/>
      <c r="R114" s="23"/>
      <c r="S114" s="35">
        <f t="shared" si="36"/>
        <v>1</v>
      </c>
      <c r="T114" s="50" t="str">
        <f t="shared" si="37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15:31:30-700',mode:absolute,to:'2016-11-26 18:22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4" s="52" t="str">
        <f t="shared" si="39"/>
        <v>N</v>
      </c>
      <c r="X114" s="177">
        <f t="shared" si="40"/>
        <v>1</v>
      </c>
      <c r="Y114" s="67">
        <f t="shared" si="41"/>
        <v>23.297699999999999</v>
      </c>
      <c r="Z114" s="67">
        <f t="shared" si="42"/>
        <v>1.61E-2</v>
      </c>
      <c r="AA114" s="67">
        <f t="shared" si="43"/>
        <v>23.281599999999997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44"/>
        <v>0198-26</v>
      </c>
      <c r="AE114" s="91" t="str">
        <f t="shared" si="45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114" s="88" t="str">
        <f t="shared" si="46"/>
        <v>"C:\Program Files (x86)\AstroGrep\AstroGrep.exe" /spath="%USERPROFILE%\AppData\Local\Temp\OnboardLogs" /stypes="app*4043*20161127*" /stext=" 00:.+((SYSTEM_STATE.+slice.+state.+changed )|(ment ac)|(multiple cpu faults)|(system.+state.+changed )|(\[timeout)|(PRM\|1\|D)|(kpr)|(kdp)|(\|lc)|(penalty))" /e /r /s</v>
      </c>
      <c r="AG114" s="1" t="str">
        <f t="shared" si="47"/>
        <v>EC</v>
      </c>
      <c r="AH114" s="92" t="str">
        <f t="shared" si="48"/>
        <v>"%USERPROFILE%\Documents\GitHub\eaglep3\Utilities\RefineRTDCRunTimes.py" --tripid 198-26 --locoid 4043 --swversion DE.1.0.8.0 --startMP 204:232977 --initTime 2016-11-26T16:31:30 --startdatetime 2016-11-26T16:41:14 --delay 1 --endMP 204:161 --enddatetime 2016-11-26T17:22:09 --enforcementcount 0 &gt;&gt;C:\Users\stu\Documents\GitHub\eaglep3-reporting\EC\2016-11-26-refined-times.txt</v>
      </c>
      <c r="AI114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{"issue":{"subject":"","project_id":79,"tracker_id":40,"status_id":1,"priority_id":2,"assigned_to_id":23,"start_date":"2016-11-26","description":"","custom_fields":[{"id":1,"name":"Subdivision","value":"EC"},{"id":4,"name":"Milepost","value":"0.0161"},{"id":17,"name":"Train ID","value":"198-26"},{"id":16,"name":"Locomotive ID","value":"4043"},{"id":130,"name":"Impact","value":""},{"id":150,"name":"Time of Event (Mountain Time)","value":"17:22:09"},{"id":151,"name":"Denver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531</v>
      </c>
      <c r="B115" s="7">
        <v>4038</v>
      </c>
      <c r="C115" s="22" t="s">
        <v>216</v>
      </c>
      <c r="D115" s="22" t="s">
        <v>256</v>
      </c>
      <c r="E115" s="13">
        <v>42700.662499999999</v>
      </c>
      <c r="F115" s="13">
        <v>42700.666909722226</v>
      </c>
      <c r="G115" s="7">
        <v>1</v>
      </c>
      <c r="H115" s="22" t="s">
        <v>685</v>
      </c>
      <c r="I115" s="13">
        <v>42700.69153935185</v>
      </c>
      <c r="J115" s="7">
        <v>0</v>
      </c>
      <c r="K115" s="109" t="str">
        <f t="shared" si="33"/>
        <v>4037/4038</v>
      </c>
      <c r="L115" s="22" t="str">
        <f>VLOOKUP(A115,'Trips&amp;Operators'!$C$1:$E$10000,3,FALSE)</f>
        <v>STORY</v>
      </c>
      <c r="M115" s="6">
        <f t="shared" si="34"/>
        <v>2.4629629624541849E-2</v>
      </c>
      <c r="N115" s="7">
        <f t="shared" si="35"/>
        <v>35.466666659340262</v>
      </c>
      <c r="O115" s="7"/>
      <c r="P115" s="7"/>
      <c r="Q115" s="23"/>
      <c r="R115" s="23"/>
      <c r="S115" s="35">
        <f t="shared" si="36"/>
        <v>1</v>
      </c>
      <c r="T115" s="50" t="str">
        <f t="shared" si="37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14:54:00-700',mode:absolute,to:'2016-11-26 17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2" t="str">
        <f t="shared" si="39"/>
        <v>N</v>
      </c>
      <c r="X115" s="177">
        <f t="shared" si="40"/>
        <v>1</v>
      </c>
      <c r="Y115" s="67">
        <f t="shared" si="41"/>
        <v>4.5499999999999999E-2</v>
      </c>
      <c r="Z115" s="67">
        <f t="shared" si="42"/>
        <v>23.331800000000001</v>
      </c>
      <c r="AA115" s="67">
        <f t="shared" si="43"/>
        <v>23.286300000000001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44"/>
        <v>0199-26</v>
      </c>
      <c r="AE115" s="91" t="str">
        <f t="shared" si="45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115" s="88" t="str">
        <f t="shared" si="46"/>
        <v>"C:\Program Files (x86)\AstroGrep\AstroGrep.exe" /spath="%USERPROFILE%\AppData\Local\Temp\OnboardLogs" /stypes="app*4038*20161126*" /stext=" 23:.+((SYSTEM_STATE.+slice.+state.+changed )|(ment ac)|(multiple cpu faults)|(system.+state.+changed )|(\[timeout)|(PRM\|1\|D)|(kpr)|(kdp)|(\|lc)|(penalty))" /e /r /s</v>
      </c>
      <c r="AG115" s="1" t="str">
        <f t="shared" si="47"/>
        <v>EC</v>
      </c>
      <c r="AH115" s="92" t="str">
        <f t="shared" si="48"/>
        <v>"%USERPROFILE%\Documents\GitHub\eaglep3\Utilities\RefineRTDCRunTimes.py" --tripid 199-26 --locoid 4038 --swversion DE.1.0.8.0 --startMP 204:455 --initTime 2016-11-26T15:54:00 --startdatetime 2016-11-26T16:00:21 --delay 1 --endMP 204:233318 --enddatetime 2016-11-26T16:35:49 --enforcementcount 0 &gt;&gt;C:\Users\stu\Documents\GitHub\eaglep3-reporting\EC\2016-11-26-refined-times.txt</v>
      </c>
      <c r="AI115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{"issue":{"subject":"","project_id":79,"tracker_id":40,"status_id":1,"priority_id":2,"assigned_to_id":23,"start_date":"2016-11-26","description":"","custom_fields":[{"id":1,"name":"Subdivision","value":"EC"},{"id":4,"name":"Milepost","value":"23.3318"},{"id":17,"name":"Train ID","value":"199-26"},{"id":16,"name":"Locomotive ID","value":"4038"},{"id":130,"name":"Impact","value":""},{"id":150,"name":"Time of Event (Mountain Time)","value":"16:35:49"},{"id":151,"name":"Denver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538</v>
      </c>
      <c r="B116" s="7">
        <v>4037</v>
      </c>
      <c r="C116" s="22" t="s">
        <v>216</v>
      </c>
      <c r="D116" s="22" t="s">
        <v>316</v>
      </c>
      <c r="E116" s="13">
        <v>42700.702638888892</v>
      </c>
      <c r="F116" s="13">
        <v>42700.705810185187</v>
      </c>
      <c r="G116" s="7">
        <v>1</v>
      </c>
      <c r="H116" s="22" t="s">
        <v>264</v>
      </c>
      <c r="I116" s="13">
        <v>42700.733749999999</v>
      </c>
      <c r="J116" s="7">
        <v>0</v>
      </c>
      <c r="K116" s="109" t="str">
        <f t="shared" si="33"/>
        <v>4037/4038</v>
      </c>
      <c r="L116" s="22" t="str">
        <f>VLOOKUP(A116,'Trips&amp;Operators'!$C$1:$E$10000,3,FALSE)</f>
        <v>STORY</v>
      </c>
      <c r="M116" s="6">
        <f t="shared" si="34"/>
        <v>2.7939814812270924E-2</v>
      </c>
      <c r="N116" s="7">
        <f t="shared" si="35"/>
        <v>40.233333329670131</v>
      </c>
      <c r="O116" s="7"/>
      <c r="P116" s="7"/>
      <c r="Q116" s="23"/>
      <c r="R116" s="23"/>
      <c r="S116" s="35">
        <f t="shared" si="36"/>
        <v>1</v>
      </c>
      <c r="T116" s="50" t="str">
        <f t="shared" si="37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15:51:48-700',mode:absolute,to:'2016-11-26 18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2" t="str">
        <f t="shared" si="39"/>
        <v>N</v>
      </c>
      <c r="X116" s="177">
        <f t="shared" si="40"/>
        <v>1</v>
      </c>
      <c r="Y116" s="67">
        <f t="shared" si="41"/>
        <v>23.299199999999999</v>
      </c>
      <c r="Z116" s="67">
        <f t="shared" si="42"/>
        <v>1.61E-2</v>
      </c>
      <c r="AA116" s="67">
        <f t="shared" si="43"/>
        <v>23.283099999999997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44"/>
        <v>0200-26</v>
      </c>
      <c r="AE116" s="91" t="str">
        <f t="shared" si="45"/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AF116" s="88" t="str">
        <f t="shared" si="46"/>
        <v>"C:\Program Files (x86)\AstroGrep\AstroGrep.exe" /spath="%USERPROFILE%\AppData\Local\Temp\OnboardLogs" /stypes="app*4037*20161127*" /stext=" 00:.+((SYSTEM_STATE.+slice.+state.+changed )|(ment ac)|(multiple cpu faults)|(system.+state.+changed )|(\[timeout)|(PRM\|1\|D)|(kpr)|(kdp)|(\|lc)|(penalty))" /e /r /s</v>
      </c>
      <c r="AG116" s="1" t="str">
        <f t="shared" si="47"/>
        <v>EC</v>
      </c>
      <c r="AH116" s="92" t="str">
        <f t="shared" si="48"/>
        <v>"%USERPROFILE%\Documents\GitHub\eaglep3\Utilities\RefineRTDCRunTimes.py" --tripid 200-26 --locoid 4037 --swversion DE.1.0.8.0 --startMP 204:232992 --initTime 2016-11-26T16:51:48 --startdatetime 2016-11-26T16:56:22 --delay 1 --endMP 204:161 --enddatetime 2016-11-26T17:36:36 --enforcementcount 0 &gt;&gt;C:\Users\stu\Documents\GitHub\eaglep3-reporting\EC\2016-11-26-refined-times.txt</v>
      </c>
      <c r="AI116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{"issue":{"subject":"","project_id":79,"tracker_id":40,"status_id":1,"priority_id":2,"assigned_to_id":23,"start_date":"2016-11-26","description":"","custom_fields":[{"id":1,"name":"Subdivision","value":"EC"},{"id":4,"name":"Milepost","value":"0.0161"},{"id":17,"name":"Train ID","value":"200-26"},{"id":16,"name":"Locomotive ID","value":"4037"},{"id":130,"name":"Impact","value":""},{"id":150,"name":"Time of Event (Mountain Time)","value":"17:36:36"},{"id":151,"name":"Denver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533</v>
      </c>
      <c r="B117" s="7">
        <v>4025</v>
      </c>
      <c r="C117" s="22" t="s">
        <v>216</v>
      </c>
      <c r="D117" s="22" t="s">
        <v>686</v>
      </c>
      <c r="E117" s="13">
        <v>42700.67560185185</v>
      </c>
      <c r="F117" s="13">
        <v>42700.677314814813</v>
      </c>
      <c r="G117" s="7">
        <v>1</v>
      </c>
      <c r="H117" s="22" t="s">
        <v>199</v>
      </c>
      <c r="I117" s="13">
        <v>42700.702372685184</v>
      </c>
      <c r="J117" s="7">
        <v>0</v>
      </c>
      <c r="K117" s="109" t="str">
        <f t="shared" si="33"/>
        <v>4025/4026</v>
      </c>
      <c r="L117" s="22" t="str">
        <f>VLOOKUP(A117,'Trips&amp;Operators'!$C$1:$E$10000,3,FALSE)</f>
        <v>STEWART</v>
      </c>
      <c r="M117" s="6">
        <f t="shared" si="34"/>
        <v>2.5057870370801538E-2</v>
      </c>
      <c r="N117" s="7">
        <f t="shared" si="35"/>
        <v>36.083333333954215</v>
      </c>
      <c r="O117" s="7"/>
      <c r="P117" s="7"/>
      <c r="Q117" s="23"/>
      <c r="R117" s="23"/>
      <c r="S117" s="35">
        <f t="shared" si="36"/>
        <v>1</v>
      </c>
      <c r="T117" s="50" t="str">
        <f t="shared" si="37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15:12:52-700',mode:absolute,to:'2016-11-26 17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7" s="52" t="str">
        <f t="shared" si="39"/>
        <v>N</v>
      </c>
      <c r="X117" s="177">
        <f t="shared" si="40"/>
        <v>1</v>
      </c>
      <c r="Y117" s="67">
        <f t="shared" si="41"/>
        <v>4.82E-2</v>
      </c>
      <c r="Z117" s="67">
        <f t="shared" si="42"/>
        <v>23.329499999999999</v>
      </c>
      <c r="AA117" s="67">
        <f t="shared" si="43"/>
        <v>23.281299999999998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44"/>
        <v>0201-26</v>
      </c>
      <c r="AE117" s="91" t="str">
        <f t="shared" si="45"/>
        <v>aws s3 cp s3://rtdc.mdm.uploadarchive.raw/RTDC4025/ "%USERPROFILE%\AppData\Local\Temp\OnboardLogs"\RTDC4025\2016-11-26 --exclude "*" --recursive --include "*20161126*" &amp; "%USERPROFILE%\Documents\GitHub\mrs-test-scripts\Headless Mode &amp; Sideloading\WalkAndUnGZ.bat" "%USERPROFILE%\AppData\Local\Temp\OnboardLogs"\RTDC4025\2016-11-26 &amp; 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</v>
      </c>
      <c r="AF117" s="88" t="str">
        <f t="shared" si="46"/>
        <v>"C:\Program Files (x86)\AstroGrep\AstroGrep.exe" /spath="%USERPROFILE%\AppData\Local\Temp\OnboardLogs" /stypes="app*4025*20161126*" /stext=" 23:.+((SYSTEM_STATE.+slice.+state.+changed )|(ment ac)|(multiple cpu faults)|(system.+state.+changed )|(\[timeout)|(PRM\|1\|D)|(kpr)|(kdp)|(\|lc)|(penalty))" /e /r /s</v>
      </c>
      <c r="AG117" s="1" t="str">
        <f t="shared" si="47"/>
        <v>EC</v>
      </c>
      <c r="AH117" s="92" t="str">
        <f t="shared" si="48"/>
        <v>"%USERPROFILE%\Documents\GitHub\eaglep3\Utilities\RefineRTDCRunTimes.py" --tripid 201-26 --locoid 4025 --swversion DE.1.0.8.0 --startMP 204:482 --initTime 2016-11-26T16:12:52 --startdatetime 2016-11-26T16:15:20 --delay 1 --endMP 204:233295 --enddatetime 2016-11-26T16:51:25 --enforcementcount 0 &gt;&gt;C:\Users\stu\Documents\GitHub\eaglep3-reporting\EC\2016-11-26-refined-times.txt</v>
      </c>
      <c r="AI117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{"issue":{"subject":"","project_id":79,"tracker_id":40,"status_id":1,"priority_id":2,"assigned_to_id":23,"start_date":"2016-11-26","description":"","custom_fields":[{"id":1,"name":"Subdivision","value":"EC"},{"id":4,"name":"Milepost","value":"23.3295"},{"id":17,"name":"Train ID","value":"201-26"},{"id":16,"name":"Locomotive ID","value":"4025"},{"id":130,"name":"Impact","value":""},{"id":150,"name":"Time of Event (Mountain Time)","value":"16:51:25"},{"id":151,"name":"Denver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541</v>
      </c>
      <c r="B118" s="7">
        <v>4026</v>
      </c>
      <c r="C118" s="22" t="s">
        <v>216</v>
      </c>
      <c r="D118" s="22" t="s">
        <v>209</v>
      </c>
      <c r="E118" s="13">
        <v>42700.712129629632</v>
      </c>
      <c r="F118" s="13">
        <v>42700.716273148151</v>
      </c>
      <c r="G118" s="7">
        <v>1</v>
      </c>
      <c r="H118" s="22" t="s">
        <v>218</v>
      </c>
      <c r="I118" s="13">
        <v>42700.743518518517</v>
      </c>
      <c r="J118" s="7">
        <v>0</v>
      </c>
      <c r="K118" s="109" t="str">
        <f t="shared" si="33"/>
        <v>4025/4026</v>
      </c>
      <c r="L118" s="22" t="str">
        <f>VLOOKUP(A118,'Trips&amp;Operators'!$C$1:$E$10000,3,FALSE)</f>
        <v>STEWART</v>
      </c>
      <c r="M118" s="6">
        <f t="shared" si="34"/>
        <v>2.7245370365562849E-2</v>
      </c>
      <c r="N118" s="7">
        <f t="shared" si="35"/>
        <v>39.233333326410502</v>
      </c>
      <c r="O118" s="7"/>
      <c r="P118" s="7"/>
      <c r="Q118" s="23"/>
      <c r="R118" s="23"/>
      <c r="S118" s="35">
        <f t="shared" si="36"/>
        <v>1</v>
      </c>
      <c r="T118" s="50" t="str">
        <f t="shared" si="37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16:05:28-700',mode:absolute,to:'2016-11-26 18:50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8" s="52" t="str">
        <f t="shared" si="39"/>
        <v>N</v>
      </c>
      <c r="X118" s="177">
        <f t="shared" si="40"/>
        <v>1</v>
      </c>
      <c r="Y118" s="67">
        <f t="shared" si="41"/>
        <v>23.297699999999999</v>
      </c>
      <c r="Z118" s="67">
        <f t="shared" si="42"/>
        <v>1.5800000000000002E-2</v>
      </c>
      <c r="AA118" s="67">
        <f t="shared" si="43"/>
        <v>23.2819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44"/>
        <v>0202-26</v>
      </c>
      <c r="AE118" s="91" t="str">
        <f t="shared" si="45"/>
        <v>aws s3 cp s3://rtdc.mdm.uploadarchive.raw/RTDC4026/ "%USERPROFILE%\AppData\Local\Temp\OnboardLogs"\RTDC4026\2016-11-26 --exclude "*" --recursive --include "*20161126*" &amp; "%USERPROFILE%\Documents\GitHub\mrs-test-scripts\Headless Mode &amp; Sideloading\WalkAndUnGZ.bat" "%USERPROFILE%\AppData\Local\Temp\OnboardLogs"\RTDC4026\2016-11-26 &amp; 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</v>
      </c>
      <c r="AF118" s="88" t="str">
        <f t="shared" si="46"/>
        <v>"C:\Program Files (x86)\AstroGrep\AstroGrep.exe" /spath="%USERPROFILE%\AppData\Local\Temp\OnboardLogs" /stypes="app*4026*20161127*" /stext=" 00:.+((SYSTEM_STATE.+slice.+state.+changed )|(ment ac)|(multiple cpu faults)|(system.+state.+changed )|(\[timeout)|(PRM\|1\|D)|(kpr)|(kdp)|(\|lc)|(penalty))" /e /r /s</v>
      </c>
      <c r="AG118" s="1" t="str">
        <f t="shared" si="47"/>
        <v>EC</v>
      </c>
      <c r="AH118" s="92" t="str">
        <f t="shared" si="48"/>
        <v>"%USERPROFILE%\Documents\GitHub\eaglep3\Utilities\RefineRTDCRunTimes.py" --tripid 202-26 --locoid 4026 --swversion DE.1.0.8.0 --startMP 204:232977 --initTime 2016-11-26T17:05:28 --startdatetime 2016-11-26T17:11:26 --delay 1 --endMP 204:158 --enddatetime 2016-11-26T17:50:40 --enforcementcount 0 &gt;&gt;C:\Users\stu\Documents\GitHub\eaglep3-reporting\EC\2016-11-26-refined-times.txt</v>
      </c>
      <c r="AI118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{"issue":{"subject":"","project_id":79,"tracker_id":40,"status_id":1,"priority_id":2,"assigned_to_id":23,"start_date":"2016-11-26","description":"","custom_fields":[{"id":1,"name":"Subdivision","value":"EC"},{"id":4,"name":"Milepost","value":"0.0158"},{"id":17,"name":"Train ID","value":"202-26"},{"id":16,"name":"Locomotive ID","value":"4026"},{"id":130,"name":"Impact","value":""},{"id":150,"name":"Time of Event (Mountain Time)","value":"17:50:40"},{"id":151,"name":"Denver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535</v>
      </c>
      <c r="B119" s="7">
        <v>4031</v>
      </c>
      <c r="C119" s="22" t="s">
        <v>216</v>
      </c>
      <c r="D119" s="22" t="s">
        <v>687</v>
      </c>
      <c r="E119" s="13">
        <v>42700.681493055556</v>
      </c>
      <c r="F119" s="13">
        <v>42700.6877662037</v>
      </c>
      <c r="G119" s="7">
        <v>1</v>
      </c>
      <c r="H119" s="22" t="s">
        <v>688</v>
      </c>
      <c r="I119" s="13">
        <v>42700.713136574072</v>
      </c>
      <c r="J119" s="7">
        <v>0</v>
      </c>
      <c r="K119" s="109" t="str">
        <f t="shared" si="33"/>
        <v>4031/4032</v>
      </c>
      <c r="L119" s="22" t="str">
        <f>VLOOKUP(A119,'Trips&amp;Operators'!$C$1:$E$10000,3,FALSE)</f>
        <v>BARTLETT</v>
      </c>
      <c r="M119" s="6">
        <f t="shared" si="34"/>
        <v>2.5370370371092577E-2</v>
      </c>
      <c r="N119" s="7">
        <f t="shared" si="35"/>
        <v>36.53333333437331</v>
      </c>
      <c r="O119" s="7"/>
      <c r="P119" s="7"/>
      <c r="Q119" s="23"/>
      <c r="R119" s="23"/>
      <c r="S119" s="35">
        <f t="shared" si="36"/>
        <v>1</v>
      </c>
      <c r="T119" s="50" t="str">
        <f t="shared" si="37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15:21:21-700',mode:absolute,to:'2016-11-26 18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2" t="str">
        <f t="shared" si="39"/>
        <v>N</v>
      </c>
      <c r="X119" s="177">
        <f t="shared" si="40"/>
        <v>1</v>
      </c>
      <c r="Y119" s="67">
        <f t="shared" si="41"/>
        <v>4.7699999999999999E-2</v>
      </c>
      <c r="Z119" s="67">
        <f t="shared" si="42"/>
        <v>23.332999999999998</v>
      </c>
      <c r="AA119" s="67">
        <f t="shared" si="43"/>
        <v>23.285299999999999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44"/>
        <v>0203-26</v>
      </c>
      <c r="AE119" s="91" t="str">
        <f t="shared" si="45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119" s="88" t="str">
        <f t="shared" si="46"/>
        <v>"C:\Program Files (x86)\AstroGrep\AstroGrep.exe" /spath="%USERPROFILE%\AppData\Local\Temp\OnboardLogs" /stypes="app*4031*20161127*" /stext=" 00:.+((SYSTEM_STATE.+slice.+state.+changed )|(ment ac)|(multiple cpu faults)|(system.+state.+changed )|(\[timeout)|(PRM\|1\|D)|(kpr)|(kdp)|(\|lc)|(penalty))" /e /r /s</v>
      </c>
      <c r="AG119" s="1" t="str">
        <f t="shared" si="47"/>
        <v>EC</v>
      </c>
      <c r="AH119" s="92" t="str">
        <f t="shared" si="48"/>
        <v>"%USERPROFILE%\Documents\GitHub\eaglep3\Utilities\RefineRTDCRunTimes.py" --tripid 203-26 --locoid 4031 --swversion DE.1.0.8.0 --startMP 204:477 --initTime 2016-11-26T16:21:21 --startdatetime 2016-11-26T16:30:23 --delay 1 --endMP 204:233330 --enddatetime 2016-11-26T17:06:55 --enforcementcount 0 &gt;&gt;C:\Users\stu\Documents\GitHub\eaglep3-reporting\EC\2016-11-26-refined-times.txt</v>
      </c>
      <c r="AI119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{"issue":{"subject":"","project_id":79,"tracker_id":40,"status_id":1,"priority_id":2,"assigned_to_id":23,"start_date":"2016-11-26","description":"","custom_fields":[{"id":1,"name":"Subdivision","value":"EC"},{"id":4,"name":"Milepost","value":"23.333"},{"id":17,"name":"Train ID","value":"203-26"},{"id":16,"name":"Locomotive ID","value":"4031"},{"id":130,"name":"Impact","value":""},{"id":150,"name":"Time of Event (Mountain Time)","value":"17:06:55"},{"id":151,"name":"Denver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546</v>
      </c>
      <c r="B120" s="7">
        <v>4032</v>
      </c>
      <c r="C120" s="22" t="s">
        <v>216</v>
      </c>
      <c r="D120" s="22" t="s">
        <v>689</v>
      </c>
      <c r="E120" s="13">
        <v>42700.715775462966</v>
      </c>
      <c r="F120" s="13">
        <v>42700.726585648146</v>
      </c>
      <c r="G120" s="7">
        <v>1</v>
      </c>
      <c r="H120" s="22" t="s">
        <v>211</v>
      </c>
      <c r="I120" s="13">
        <v>42700.753263888888</v>
      </c>
      <c r="J120" s="7">
        <v>0</v>
      </c>
      <c r="K120" s="109" t="str">
        <f t="shared" si="33"/>
        <v>4031/4032</v>
      </c>
      <c r="L120" s="22" t="str">
        <f>VLOOKUP(A120,'Trips&amp;Operators'!$C$1:$E$10000,3,FALSE)</f>
        <v>BARTLETT</v>
      </c>
      <c r="M120" s="6">
        <f t="shared" si="34"/>
        <v>2.6678240741603076E-2</v>
      </c>
      <c r="N120" s="7">
        <f t="shared" si="35"/>
        <v>38.41666666790843</v>
      </c>
      <c r="O120" s="7"/>
      <c r="P120" s="7"/>
      <c r="Q120" s="23"/>
      <c r="R120" s="23"/>
      <c r="S120" s="35">
        <f t="shared" si="36"/>
        <v>1</v>
      </c>
      <c r="T120" s="50" t="str">
        <f t="shared" si="37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16:10:43-700',mode:absolute,to:'2016-11-26 19:04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2" t="str">
        <f t="shared" si="39"/>
        <v>N</v>
      </c>
      <c r="X120" s="177">
        <f t="shared" si="40"/>
        <v>1</v>
      </c>
      <c r="Y120" s="67">
        <f t="shared" si="41"/>
        <v>23.302299999999999</v>
      </c>
      <c r="Z120" s="67">
        <f t="shared" si="42"/>
        <v>1.5599999999999999E-2</v>
      </c>
      <c r="AA120" s="67">
        <f t="shared" si="43"/>
        <v>23.2867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44"/>
        <v>0204-26</v>
      </c>
      <c r="AE120" s="91" t="str">
        <f t="shared" si="45"/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AF120" s="88" t="str">
        <f t="shared" si="46"/>
        <v>"C:\Program Files (x86)\AstroGrep\AstroGrep.exe" /spath="%USERPROFILE%\AppData\Local\Temp\OnboardLogs" /stypes="app*4032*20161127*" /stext=" 01:.+((SYSTEM_STATE.+slice.+state.+changed )|(ment ac)|(multiple cpu faults)|(system.+state.+changed )|(\[timeout)|(PRM\|1\|D)|(kpr)|(kdp)|(\|lc)|(penalty))" /e /r /s</v>
      </c>
      <c r="AG120" s="1" t="str">
        <f t="shared" si="47"/>
        <v>EC</v>
      </c>
      <c r="AH120" s="92" t="str">
        <f t="shared" si="48"/>
        <v>"%USERPROFILE%\Documents\GitHub\eaglep3\Utilities\RefineRTDCRunTimes.py" --tripid 204-26 --locoid 4032 --swversion DE.1.0.8.0 --startMP 204:233023 --initTime 2016-11-26T17:10:43 --startdatetime 2016-11-26T17:26:17 --delay 1 --endMP 204:156 --enddatetime 2016-11-26T18:04:42 --enforcementcount 0 &gt;&gt;C:\Users\stu\Documents\GitHub\eaglep3-reporting\EC\2016-11-26-refined-times.txt</v>
      </c>
      <c r="AI120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{"issue":{"subject":"","project_id":79,"tracker_id":40,"status_id":1,"priority_id":2,"assigned_to_id":23,"start_date":"2016-11-26","description":"","custom_fields":[{"id":1,"name":"Subdivision","value":"EC"},{"id":4,"name":"Milepost","value":"0.0156"},{"id":17,"name":"Train ID","value":"204-26"},{"id":16,"name":"Locomotive ID","value":"4032"},{"id":130,"name":"Impact","value":""},{"id":150,"name":"Time of Event (Mountain Time)","value":"18:04:42"},{"id":151,"name":"Denver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537</v>
      </c>
      <c r="B121" s="7">
        <v>4003</v>
      </c>
      <c r="C121" s="22" t="s">
        <v>216</v>
      </c>
      <c r="D121" s="22" t="s">
        <v>239</v>
      </c>
      <c r="E121" s="13">
        <v>42700.694733796299</v>
      </c>
      <c r="F121" s="13">
        <v>42700.698194444441</v>
      </c>
      <c r="G121" s="7">
        <v>1</v>
      </c>
      <c r="H121" s="22" t="s">
        <v>300</v>
      </c>
      <c r="I121" s="13">
        <v>42700.723923611113</v>
      </c>
      <c r="J121" s="7">
        <v>0</v>
      </c>
      <c r="K121" s="109" t="str">
        <f t="shared" si="33"/>
        <v>4003/4004</v>
      </c>
      <c r="L121" s="22" t="str">
        <f>VLOOKUP(A121,'Trips&amp;Operators'!$C$1:$E$10000,3,FALSE)</f>
        <v>MOSES</v>
      </c>
      <c r="M121" s="6">
        <f t="shared" si="34"/>
        <v>2.5729166671226267E-2</v>
      </c>
      <c r="N121" s="7">
        <f t="shared" si="35"/>
        <v>37.050000006565824</v>
      </c>
      <c r="O121" s="7"/>
      <c r="P121" s="7"/>
      <c r="Q121" s="23"/>
      <c r="R121" s="23"/>
      <c r="S121" s="35">
        <f t="shared" si="36"/>
        <v>1</v>
      </c>
      <c r="T121" s="50" t="str">
        <f t="shared" si="37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15:40:25-700',mode:absolute,to:'2016-11-26 18:22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1" s="52" t="str">
        <f t="shared" si="39"/>
        <v>N</v>
      </c>
      <c r="X121" s="177">
        <f t="shared" si="40"/>
        <v>1</v>
      </c>
      <c r="Y121" s="67">
        <f t="shared" si="41"/>
        <v>4.6600000000000003E-2</v>
      </c>
      <c r="Z121" s="67">
        <f t="shared" si="42"/>
        <v>23.332899999999999</v>
      </c>
      <c r="AA121" s="67">
        <f t="shared" si="43"/>
        <v>23.286299999999997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44"/>
        <v>0205-26</v>
      </c>
      <c r="AE121" s="91" t="str">
        <f t="shared" si="45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121" s="88" t="str">
        <f t="shared" si="46"/>
        <v>"C:\Program Files (x86)\AstroGrep\AstroGrep.exe" /spath="%USERPROFILE%\AppData\Local\Temp\OnboardLogs" /stypes="app*4003*20161127*" /stext=" 00:.+((SYSTEM_STATE.+slice.+state.+changed )|(ment ac)|(multiple cpu faults)|(system.+state.+changed )|(\[timeout)|(PRM\|1\|D)|(kpr)|(kdp)|(\|lc)|(penalty))" /e /r /s</v>
      </c>
      <c r="AG121" s="1" t="str">
        <f t="shared" si="47"/>
        <v>EC</v>
      </c>
      <c r="AH121" s="92" t="str">
        <f t="shared" si="48"/>
        <v>"%USERPROFILE%\Documents\GitHub\eaglep3\Utilities\RefineRTDCRunTimes.py" --tripid 205-26 --locoid 4003 --swversion DE.1.0.8.0 --startMP 204:466 --initTime 2016-11-26T16:40:25 --startdatetime 2016-11-26T16:45:24 --delay 1 --endMP 204:233329 --enddatetime 2016-11-26T17:22:27 --enforcementcount 0 &gt;&gt;C:\Users\stu\Documents\GitHub\eaglep3-reporting\EC\2016-11-26-refined-times.txt</v>
      </c>
      <c r="AI121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{"issue":{"subject":"","project_id":79,"tracker_id":40,"status_id":1,"priority_id":2,"assigned_to_id":23,"start_date":"2016-11-26","description":"","custom_fields":[{"id":1,"name":"Subdivision","value":"EC"},{"id":4,"name":"Milepost","value":"23.3329"},{"id":17,"name":"Train ID","value":"205-26"},{"id":16,"name":"Locomotive ID","value":"4003"},{"id":130,"name":"Impact","value":""},{"id":150,"name":"Time of Event (Mountain Time)","value":"17:22:27"},{"id":151,"name":"Denver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548</v>
      </c>
      <c r="B122" s="7">
        <v>4004</v>
      </c>
      <c r="C122" s="22" t="s">
        <v>216</v>
      </c>
      <c r="D122" s="22" t="s">
        <v>689</v>
      </c>
      <c r="E122" s="13">
        <v>42700.732835648145</v>
      </c>
      <c r="F122" s="13">
        <v>42700.737175925926</v>
      </c>
      <c r="G122" s="7">
        <v>1</v>
      </c>
      <c r="H122" s="22" t="s">
        <v>238</v>
      </c>
      <c r="I122" s="13">
        <v>42700.764236111114</v>
      </c>
      <c r="J122" s="7">
        <v>0</v>
      </c>
      <c r="K122" s="109" t="str">
        <f t="shared" si="33"/>
        <v>4003/4004</v>
      </c>
      <c r="L122" s="22" t="str">
        <f>VLOOKUP(A122,'Trips&amp;Operators'!$C$1:$E$10000,3,FALSE)</f>
        <v>MOSES</v>
      </c>
      <c r="M122" s="6">
        <f t="shared" si="34"/>
        <v>2.7060185188020114E-2</v>
      </c>
      <c r="N122" s="7">
        <f t="shared" si="35"/>
        <v>38.966666670748964</v>
      </c>
      <c r="O122" s="7"/>
      <c r="P122" s="7"/>
      <c r="Q122" s="23"/>
      <c r="R122" s="23"/>
      <c r="S122" s="35">
        <f t="shared" si="36"/>
        <v>1</v>
      </c>
      <c r="T122" s="50" t="str">
        <f t="shared" si="37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16:35:17-700',mode:absolute,to:'2016-11-26 19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2" s="52" t="str">
        <f t="shared" si="39"/>
        <v>N</v>
      </c>
      <c r="X122" s="177">
        <f t="shared" si="40"/>
        <v>1</v>
      </c>
      <c r="Y122" s="67">
        <f t="shared" si="41"/>
        <v>23.302299999999999</v>
      </c>
      <c r="Z122" s="67">
        <f t="shared" si="42"/>
        <v>1.54E-2</v>
      </c>
      <c r="AA122" s="67">
        <f t="shared" si="43"/>
        <v>23.286899999999999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44"/>
        <v>0206-26</v>
      </c>
      <c r="AE122" s="91" t="str">
        <f t="shared" si="45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122" s="88" t="str">
        <f t="shared" si="46"/>
        <v>"C:\Program Files (x86)\AstroGrep\AstroGrep.exe" /spath="%USERPROFILE%\AppData\Local\Temp\OnboardLogs" /stypes="app*4004*20161127*" /stext=" 01:.+((SYSTEM_STATE.+slice.+state.+changed )|(ment ac)|(multiple cpu faults)|(system.+state.+changed )|(\[timeout)|(PRM\|1\|D)|(kpr)|(kdp)|(\|lc)|(penalty))" /e /r /s</v>
      </c>
      <c r="AG122" s="1" t="str">
        <f t="shared" si="47"/>
        <v>EC</v>
      </c>
      <c r="AH122" s="92" t="str">
        <f t="shared" si="48"/>
        <v>"%USERPROFILE%\Documents\GitHub\eaglep3\Utilities\RefineRTDCRunTimes.py" --tripid 206-26 --locoid 4004 --swversion DE.1.0.8.0 --startMP 204:233023 --initTime 2016-11-26T17:35:17 --startdatetime 2016-11-26T17:41:32 --delay 1 --endMP 204:154 --enddatetime 2016-11-26T18:20:30 --enforcementcount 0 &gt;&gt;C:\Users\stu\Documents\GitHub\eaglep3-reporting\EC\2016-11-26-refined-times.txt</v>
      </c>
      <c r="AI122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{"issue":{"subject":"","project_id":79,"tracker_id":40,"status_id":1,"priority_id":2,"assigned_to_id":23,"start_date":"2016-11-26","description":"","custom_fields":[{"id":1,"name":"Subdivision","value":"EC"},{"id":4,"name":"Milepost","value":"0.0154"},{"id":17,"name":"Train ID","value":"206-26"},{"id":16,"name":"Locomotive ID","value":"4004"},{"id":130,"name":"Impact","value":""},{"id":150,"name":"Time of Event (Mountain Time)","value":"18:20:30"},{"id":151,"name":"Denver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539</v>
      </c>
      <c r="B123" s="7">
        <v>4046</v>
      </c>
      <c r="C123" s="22" t="s">
        <v>216</v>
      </c>
      <c r="D123" s="22" t="s">
        <v>215</v>
      </c>
      <c r="E123" s="13">
        <v>42700.70579861111</v>
      </c>
      <c r="F123" s="13">
        <v>42700.708564814813</v>
      </c>
      <c r="G123" s="7">
        <v>1</v>
      </c>
      <c r="H123" s="22" t="s">
        <v>271</v>
      </c>
      <c r="I123" s="13">
        <v>42700.737337962964</v>
      </c>
      <c r="J123" s="7">
        <v>0</v>
      </c>
      <c r="K123" s="109" t="str">
        <f t="shared" si="33"/>
        <v>4045/4046</v>
      </c>
      <c r="L123" s="22" t="str">
        <f>VLOOKUP(A123,'Trips&amp;Operators'!$C$1:$E$10000,3,FALSE)</f>
        <v>BROWN</v>
      </c>
      <c r="M123" s="6">
        <f t="shared" si="34"/>
        <v>2.8773148151230998E-2</v>
      </c>
      <c r="N123" s="7">
        <f t="shared" si="35"/>
        <v>41.433333337772638</v>
      </c>
      <c r="O123" s="7"/>
      <c r="P123" s="7"/>
      <c r="Q123" s="23"/>
      <c r="R123" s="23"/>
      <c r="S123" s="35">
        <f t="shared" si="36"/>
        <v>1</v>
      </c>
      <c r="T123" s="50" t="str">
        <f t="shared" si="37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15:56:21-700',mode:absolute,to:'2016-11-26 18:41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3" s="52" t="str">
        <f t="shared" si="39"/>
        <v>N</v>
      </c>
      <c r="X123" s="177">
        <f t="shared" si="40"/>
        <v>1</v>
      </c>
      <c r="Y123" s="67">
        <f t="shared" si="41"/>
        <v>4.6399999999999997E-2</v>
      </c>
      <c r="Z123" s="67">
        <f t="shared" si="42"/>
        <v>23.3293</v>
      </c>
      <c r="AA123" s="67">
        <f t="shared" si="43"/>
        <v>23.282900000000001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44"/>
        <v>0207-26</v>
      </c>
      <c r="AE123" s="91" t="str">
        <f t="shared" si="45"/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AF123" s="88" t="str">
        <f t="shared" si="46"/>
        <v>"C:\Program Files (x86)\AstroGrep\AstroGrep.exe" /spath="%USERPROFILE%\AppData\Local\Temp\OnboardLogs" /stypes="app*4046*20161127*" /stext=" 00:.+((SYSTEM_STATE.+slice.+state.+changed )|(ment ac)|(multiple cpu faults)|(system.+state.+changed )|(\[timeout)|(PRM\|1\|D)|(kpr)|(kdp)|(\|lc)|(penalty))" /e /r /s</v>
      </c>
      <c r="AG123" s="1" t="str">
        <f t="shared" si="47"/>
        <v>EC</v>
      </c>
      <c r="AH123" s="92" t="str">
        <f t="shared" si="48"/>
        <v>"%USERPROFILE%\Documents\GitHub\eaglep3\Utilities\RefineRTDCRunTimes.py" --tripid 207-26 --locoid 4046 --swversion DE.1.0.8.0 --startMP 204:464 --initTime 2016-11-26T16:56:21 --startdatetime 2016-11-26T17:00:20 --delay 1 --endMP 204:233293 --enddatetime 2016-11-26T17:41:46 --enforcementcount 0 &gt;&gt;C:\Users\stu\Documents\GitHub\eaglep3-reporting\EC\2016-11-26-refined-times.txt</v>
      </c>
      <c r="AI123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{"issue":{"subject":"","project_id":79,"tracker_id":40,"status_id":1,"priority_id":2,"assigned_to_id":23,"start_date":"2016-11-26","description":"","custom_fields":[{"id":1,"name":"Subdivision","value":"EC"},{"id":4,"name":"Milepost","value":"23.3293"},{"id":17,"name":"Train ID","value":"207-26"},{"id":16,"name":"Locomotive ID","value":"4046"},{"id":130,"name":"Impact","value":""},{"id":150,"name":"Time of Event (Mountain Time)","value":"17:41:46"},{"id":151,"name":"Denver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553</v>
      </c>
      <c r="B124" s="7">
        <v>4045</v>
      </c>
      <c r="C124" s="22" t="s">
        <v>216</v>
      </c>
      <c r="D124" s="22" t="s">
        <v>281</v>
      </c>
      <c r="E124" s="13">
        <v>42700.744849537034</v>
      </c>
      <c r="F124" s="13">
        <v>42700.747395833336</v>
      </c>
      <c r="G124" s="7">
        <v>1</v>
      </c>
      <c r="H124" s="22" t="s">
        <v>247</v>
      </c>
      <c r="I124" s="13">
        <v>42700.776504629626</v>
      </c>
      <c r="J124" s="7">
        <v>0</v>
      </c>
      <c r="K124" s="109" t="str">
        <f t="shared" si="33"/>
        <v>4045/4046</v>
      </c>
      <c r="L124" s="22" t="str">
        <f>VLOOKUP(A124,'Trips&amp;Operators'!$C$1:$E$10000,3,FALSE)</f>
        <v>BROWN</v>
      </c>
      <c r="M124" s="6">
        <f t="shared" si="34"/>
        <v>2.9108796290529426E-2</v>
      </c>
      <c r="N124" s="7">
        <f t="shared" si="35"/>
        <v>41.916666658362374</v>
      </c>
      <c r="O124" s="7"/>
      <c r="P124" s="7"/>
      <c r="Q124" s="23"/>
      <c r="R124" s="23"/>
      <c r="S124" s="35">
        <f t="shared" si="36"/>
        <v>1</v>
      </c>
      <c r="T124" s="50" t="str">
        <f t="shared" si="37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16:52:35-700',mode:absolute,to:'2016-11-26 19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4" s="52" t="str">
        <f t="shared" si="39"/>
        <v>N</v>
      </c>
      <c r="X124" s="177">
        <f t="shared" si="40"/>
        <v>1</v>
      </c>
      <c r="Y124" s="67">
        <f t="shared" si="41"/>
        <v>23.297799999999999</v>
      </c>
      <c r="Z124" s="67">
        <f t="shared" si="42"/>
        <v>1.32E-2</v>
      </c>
      <c r="AA124" s="67">
        <f t="shared" si="43"/>
        <v>23.284599999999998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44"/>
        <v>0208-26</v>
      </c>
      <c r="AE124" s="91" t="str">
        <f t="shared" si="45"/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AF124" s="88" t="str">
        <f t="shared" si="46"/>
        <v>"C:\Program Files (x86)\AstroGrep\AstroGrep.exe" /spath="%USERPROFILE%\AppData\Local\Temp\OnboardLogs" /stypes="app*4045*20161127*" /stext=" 01:.+((SYSTEM_STATE.+slice.+state.+changed )|(ment ac)|(multiple cpu faults)|(system.+state.+changed )|(\[timeout)|(PRM\|1\|D)|(kpr)|(kdp)|(\|lc)|(penalty))" /e /r /s</v>
      </c>
      <c r="AG124" s="1" t="str">
        <f t="shared" si="47"/>
        <v>EC</v>
      </c>
      <c r="AH124" s="92" t="str">
        <f t="shared" si="48"/>
        <v>"%USERPROFILE%\Documents\GitHub\eaglep3\Utilities\RefineRTDCRunTimes.py" --tripid 208-26 --locoid 4045 --swversion DE.1.0.8.0 --startMP 204:232978 --initTime 2016-11-26T17:52:35 --startdatetime 2016-11-26T17:56:15 --delay 1 --endMP 204:132 --enddatetime 2016-11-26T18:38:10 --enforcementcount 0 &gt;&gt;C:\Users\stu\Documents\GitHub\eaglep3-reporting\EC\2016-11-26-refined-times.txt</v>
      </c>
      <c r="AI124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{"issue":{"subject":"","project_id":79,"tracker_id":40,"status_id":1,"priority_id":2,"assigned_to_id":23,"start_date":"2016-11-26","description":"","custom_fields":[{"id":1,"name":"Subdivision","value":"EC"},{"id":4,"name":"Milepost","value":"0.0132"},{"id":17,"name":"Train ID","value":"208-26"},{"id":16,"name":"Locomotive ID","value":"4045"},{"id":130,"name":"Impact","value":""},{"id":150,"name":"Time of Event (Mountain Time)","value":"18:38:10"},{"id":151,"name":"Denver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544</v>
      </c>
      <c r="B125" s="7">
        <v>4029</v>
      </c>
      <c r="C125" s="22" t="s">
        <v>216</v>
      </c>
      <c r="D125" s="22" t="s">
        <v>269</v>
      </c>
      <c r="E125" s="13">
        <v>42700.713194444441</v>
      </c>
      <c r="F125" s="13">
        <v>42700.718923611108</v>
      </c>
      <c r="G125" s="7">
        <v>1</v>
      </c>
      <c r="H125" s="22" t="s">
        <v>313</v>
      </c>
      <c r="I125" s="13">
        <v>42700.743344907409</v>
      </c>
      <c r="J125" s="7">
        <v>0</v>
      </c>
      <c r="K125" s="109" t="str">
        <f t="shared" si="33"/>
        <v>4029/4030</v>
      </c>
      <c r="L125" s="22" t="str">
        <f>VLOOKUP(A125,'Trips&amp;Operators'!$C$1:$E$10000,3,FALSE)</f>
        <v>BRUDER</v>
      </c>
      <c r="M125" s="6">
        <f t="shared" si="34"/>
        <v>2.4421296300715767E-2</v>
      </c>
      <c r="N125" s="7">
        <f t="shared" si="35"/>
        <v>35.166666673030704</v>
      </c>
      <c r="O125" s="7"/>
      <c r="P125" s="7"/>
      <c r="Q125" s="23"/>
      <c r="R125" s="23"/>
      <c r="S125" s="35">
        <f t="shared" si="36"/>
        <v>1</v>
      </c>
      <c r="T125" s="50" t="str">
        <f t="shared" si="37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16:07:00-700',mode:absolute,to:'2016-11-26 18:50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5" s="52" t="str">
        <f t="shared" si="39"/>
        <v>N</v>
      </c>
      <c r="X125" s="177">
        <f t="shared" si="40"/>
        <v>1</v>
      </c>
      <c r="Y125" s="67">
        <f t="shared" si="41"/>
        <v>4.5699999999999998E-2</v>
      </c>
      <c r="Z125" s="67">
        <f t="shared" si="42"/>
        <v>23.331199999999999</v>
      </c>
      <c r="AA125" s="67">
        <f t="shared" si="43"/>
        <v>23.285499999999999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44"/>
        <v>0209-26</v>
      </c>
      <c r="AE125" s="91" t="str">
        <f t="shared" si="45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125" s="88" t="str">
        <f t="shared" si="46"/>
        <v>"C:\Program Files (x86)\AstroGrep\AstroGrep.exe" /spath="%USERPROFILE%\AppData\Local\Temp\OnboardLogs" /stypes="app*4029*20161127*" /stext=" 00:.+((SYSTEM_STATE.+slice.+state.+changed )|(ment ac)|(multiple cpu faults)|(system.+state.+changed )|(\[timeout)|(PRM\|1\|D)|(kpr)|(kdp)|(\|lc)|(penalty))" /e /r /s</v>
      </c>
      <c r="AG125" s="1" t="str">
        <f t="shared" si="47"/>
        <v>EC</v>
      </c>
      <c r="AH125" s="92" t="str">
        <f t="shared" si="48"/>
        <v>"%USERPROFILE%\Documents\GitHub\eaglep3\Utilities\RefineRTDCRunTimes.py" --tripid 209-26 --locoid 4029 --swversion DE.1.0.8.0 --startMP 204:457 --initTime 2016-11-26T17:07:00 --startdatetime 2016-11-26T17:15:15 --delay 1 --endMP 204:233312 --enddatetime 2016-11-26T17:50:25 --enforcementcount 0 &gt;&gt;C:\Users\stu\Documents\GitHub\eaglep3-reporting\EC\2016-11-26-refined-times.txt</v>
      </c>
      <c r="AI125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{"issue":{"subject":"","project_id":79,"tracker_id":40,"status_id":1,"priority_id":2,"assigned_to_id":23,"start_date":"2016-11-26","description":"","custom_fields":[{"id":1,"name":"Subdivision","value":"EC"},{"id":4,"name":"Milepost","value":"23.3312"},{"id":17,"name":"Train ID","value":"209-26"},{"id":16,"name":"Locomotive ID","value":"4029"},{"id":130,"name":"Impact","value":""},{"id":150,"name":"Time of Event (Mountain Time)","value":"17:50:25"},{"id":151,"name":"Denver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7" t="s">
        <v>558</v>
      </c>
      <c r="B126" s="7">
        <v>4030</v>
      </c>
      <c r="C126" s="22" t="s">
        <v>216</v>
      </c>
      <c r="D126" s="22" t="s">
        <v>246</v>
      </c>
      <c r="E126" s="13">
        <v>42700.752604166664</v>
      </c>
      <c r="F126" s="13">
        <v>42700.757881944446</v>
      </c>
      <c r="G126" s="7">
        <v>1</v>
      </c>
      <c r="H126" s="22" t="s">
        <v>211</v>
      </c>
      <c r="I126" s="13">
        <v>42700.783726851849</v>
      </c>
      <c r="J126" s="7">
        <v>0</v>
      </c>
      <c r="K126" s="109" t="str">
        <f t="shared" si="33"/>
        <v>4029/4030</v>
      </c>
      <c r="L126" s="22" t="str">
        <f>VLOOKUP(A126,'Trips&amp;Operators'!$C$1:$E$10000,3,FALSE)</f>
        <v>BRUDER</v>
      </c>
      <c r="M126" s="6">
        <f t="shared" si="34"/>
        <v>2.5844907402643003E-2</v>
      </c>
      <c r="N126" s="7">
        <f t="shared" si="35"/>
        <v>37.216666659805924</v>
      </c>
      <c r="O126" s="7"/>
      <c r="P126" s="7"/>
      <c r="Q126" s="23"/>
      <c r="R126" s="23"/>
      <c r="S126" s="35">
        <f t="shared" si="36"/>
        <v>1</v>
      </c>
      <c r="T126" s="50" t="str">
        <f t="shared" si="37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17:03:45-700',mode:absolute,to:'2016-11-26 19:48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6" s="52" t="str">
        <f t="shared" si="39"/>
        <v>N</v>
      </c>
      <c r="X126" s="177">
        <f t="shared" si="40"/>
        <v>1</v>
      </c>
      <c r="Y126" s="67">
        <f t="shared" si="41"/>
        <v>23.299399999999999</v>
      </c>
      <c r="Z126" s="67">
        <f t="shared" si="42"/>
        <v>1.5599999999999999E-2</v>
      </c>
      <c r="AA126" s="67">
        <f t="shared" si="43"/>
        <v>23.283799999999999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44"/>
        <v>0210-26</v>
      </c>
      <c r="AE126" s="91" t="str">
        <f t="shared" si="45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126" s="88" t="str">
        <f t="shared" si="46"/>
        <v>"C:\Program Files (x86)\AstroGrep\AstroGrep.exe" /spath="%USERPROFILE%\AppData\Local\Temp\OnboardLogs" /stypes="app*4030*20161127*" /stext=" 01:.+((SYSTEM_STATE.+slice.+state.+changed )|(ment ac)|(multiple cpu faults)|(system.+state.+changed )|(\[timeout)|(PRM\|1\|D)|(kpr)|(kdp)|(\|lc)|(penalty))" /e /r /s</v>
      </c>
      <c r="AG126" s="1" t="str">
        <f t="shared" si="47"/>
        <v>EC</v>
      </c>
      <c r="AH126" s="92" t="str">
        <f t="shared" si="48"/>
        <v>"%USERPROFILE%\Documents\GitHub\eaglep3\Utilities\RefineRTDCRunTimes.py" --tripid 210-26 --locoid 4030 --swversion DE.1.0.8.0 --startMP 204:232994 --initTime 2016-11-26T18:03:45 --startdatetime 2016-11-26T18:11:21 --delay 1 --endMP 204:156 --enddatetime 2016-11-26T18:48:34 --enforcementcount 0 &gt;&gt;C:\Users\stu\Documents\GitHub\eaglep3-reporting\EC\2016-11-26-refined-times.txt</v>
      </c>
      <c r="AI126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{"issue":{"subject":"","project_id":79,"tracker_id":40,"status_id":1,"priority_id":2,"assigned_to_id":23,"start_date":"2016-11-26","description":"","custom_fields":[{"id":1,"name":"Subdivision","value":"EC"},{"id":4,"name":"Milepost","value":"0.0156"},{"id":17,"name":"Train ID","value":"210-26"},{"id":16,"name":"Locomotive ID","value":"4030"},{"id":130,"name":"Impact","value":""},{"id":150,"name":"Time of Event (Mountain Time)","value":"18:48:34"},{"id":151,"name":"Denver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91" s="21" customFormat="1" x14ac:dyDescent="0.25">
      <c r="A127" s="37" t="s">
        <v>547</v>
      </c>
      <c r="B127" s="7">
        <v>4044</v>
      </c>
      <c r="C127" s="22" t="s">
        <v>216</v>
      </c>
      <c r="D127" s="22" t="s">
        <v>270</v>
      </c>
      <c r="E127" s="13">
        <v>42700.726087962961</v>
      </c>
      <c r="F127" s="13">
        <v>42700.72934027778</v>
      </c>
      <c r="G127" s="7">
        <v>1</v>
      </c>
      <c r="H127" s="22" t="s">
        <v>690</v>
      </c>
      <c r="I127" s="13">
        <v>42700.755428240744</v>
      </c>
      <c r="J127" s="7">
        <v>0</v>
      </c>
      <c r="K127" s="109" t="str">
        <f t="shared" si="33"/>
        <v>4043/4044</v>
      </c>
      <c r="L127" s="22" t="str">
        <f>VLOOKUP(A127,'Trips&amp;Operators'!$C$1:$E$10000,3,FALSE)</f>
        <v>CLARK</v>
      </c>
      <c r="M127" s="6">
        <f t="shared" si="34"/>
        <v>2.6087962964083999E-2</v>
      </c>
      <c r="N127" s="7">
        <f t="shared" si="35"/>
        <v>37.566666668280959</v>
      </c>
      <c r="O127" s="7"/>
      <c r="P127" s="7"/>
      <c r="Q127" s="23"/>
      <c r="R127" s="23"/>
      <c r="S127" s="35">
        <f t="shared" si="36"/>
        <v>1</v>
      </c>
      <c r="T127" s="50" t="str">
        <f t="shared" si="37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16:25:34-700',mode:absolute,to:'2016-11-26 19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7" s="52" t="str">
        <f t="shared" si="39"/>
        <v>N</v>
      </c>
      <c r="X127" s="177">
        <f t="shared" si="40"/>
        <v>1</v>
      </c>
      <c r="Y127" s="67">
        <f t="shared" si="41"/>
        <v>4.7100000000000003E-2</v>
      </c>
      <c r="Z127" s="67">
        <f t="shared" si="42"/>
        <v>23.328600000000002</v>
      </c>
      <c r="AA127" s="67">
        <f t="shared" si="43"/>
        <v>23.281500000000001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44"/>
        <v>0211-26</v>
      </c>
      <c r="AE127" s="91" t="str">
        <f t="shared" si="45"/>
        <v>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 &amp; 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</v>
      </c>
      <c r="AF127" s="88" t="str">
        <f t="shared" si="46"/>
        <v>"C:\Program Files (x86)\AstroGrep\AstroGrep.exe" /spath="%USERPROFILE%\AppData\Local\Temp\OnboardLogs" /stypes="app*4044*20161127*" /stext=" 01:.+((SYSTEM_STATE.+slice.+state.+changed )|(ment ac)|(multiple cpu faults)|(system.+state.+changed )|(\[timeout)|(PRM\|1\|D)|(kpr)|(kdp)|(\|lc)|(penalty))" /e /r /s</v>
      </c>
      <c r="AG127" s="1" t="str">
        <f t="shared" si="47"/>
        <v>EC</v>
      </c>
      <c r="AH127" s="92" t="str">
        <f t="shared" si="48"/>
        <v>"%USERPROFILE%\Documents\GitHub\eaglep3\Utilities\RefineRTDCRunTimes.py" --tripid 211-26 --locoid 4044 --swversion DE.1.0.8.0 --startMP 204:471 --initTime 2016-11-26T17:25:34 --startdatetime 2016-11-26T17:30:15 --delay 1 --endMP 204:233286 --enddatetime 2016-11-26T18:07:49 --enforcementcount 0 &gt;&gt;C:\Users\stu\Documents\GitHub\eaglep3-reporting\EC\2016-11-26-refined-times.txt</v>
      </c>
      <c r="AI127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{"issue":{"subject":"","project_id":79,"tracker_id":40,"status_id":1,"priority_id":2,"assigned_to_id":23,"start_date":"2016-11-26","description":"","custom_fields":[{"id":1,"name":"Subdivision","value":"EC"},{"id":4,"name":"Milepost","value":"23.3286"},{"id":17,"name":"Train ID","value":"211-26"},{"id":16,"name":"Locomotive ID","value":"4044"},{"id":130,"name":"Impact","value":""},{"id":150,"name":"Time of Event (Mountain Time)","value":"18:07:49"},{"id":151,"name":"Denver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559</v>
      </c>
      <c r="B128" s="7">
        <v>4043</v>
      </c>
      <c r="C128" s="22" t="s">
        <v>216</v>
      </c>
      <c r="D128" s="22" t="s">
        <v>245</v>
      </c>
      <c r="E128" s="13">
        <v>42700.763726851852</v>
      </c>
      <c r="F128" s="13">
        <v>42700.768217592595</v>
      </c>
      <c r="G128" s="7">
        <v>1</v>
      </c>
      <c r="H128" s="22" t="s">
        <v>691</v>
      </c>
      <c r="I128" s="13">
        <v>42700.79791666667</v>
      </c>
      <c r="J128" s="7">
        <v>0</v>
      </c>
      <c r="K128" s="109" t="str">
        <f t="shared" si="33"/>
        <v>4043/4044</v>
      </c>
      <c r="L128" s="22" t="str">
        <f>VLOOKUP(A128,'Trips&amp;Operators'!$C$1:$E$10000,3,FALSE)</f>
        <v>CLARK</v>
      </c>
      <c r="M128" s="6">
        <f t="shared" si="34"/>
        <v>2.9699074075324461E-2</v>
      </c>
      <c r="N128" s="7">
        <f t="shared" si="35"/>
        <v>42.766666668467224</v>
      </c>
      <c r="O128" s="7"/>
      <c r="P128" s="7"/>
      <c r="Q128" s="23"/>
      <c r="R128" s="23"/>
      <c r="S128" s="35">
        <f t="shared" si="36"/>
        <v>1</v>
      </c>
      <c r="T128" s="50" t="str">
        <f t="shared" si="37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17:19:46-700',mode:absolute,to:'2016-11-26 20:09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8" s="52" t="str">
        <f t="shared" si="39"/>
        <v>N</v>
      </c>
      <c r="X128" s="177">
        <f t="shared" si="40"/>
        <v>1</v>
      </c>
      <c r="Y128" s="67">
        <f t="shared" si="41"/>
        <v>23.297499999999999</v>
      </c>
      <c r="Z128" s="67">
        <f t="shared" si="42"/>
        <v>1.8100000000000002E-2</v>
      </c>
      <c r="AA128" s="67">
        <f t="shared" si="43"/>
        <v>23.279399999999999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44"/>
        <v>0212-26</v>
      </c>
      <c r="AE128" s="91" t="str">
        <f t="shared" si="45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128" s="88" t="str">
        <f t="shared" si="46"/>
        <v>"C:\Program Files (x86)\AstroGrep\AstroGrep.exe" /spath="%USERPROFILE%\AppData\Local\Temp\OnboardLogs" /stypes="app*4043*20161127*" /stext=" 02:.+((SYSTEM_STATE.+slice.+state.+changed )|(ment ac)|(multiple cpu faults)|(system.+state.+changed )|(\[timeout)|(PRM\|1\|D)|(kpr)|(kdp)|(\|lc)|(penalty))" /e /r /s</v>
      </c>
      <c r="AG128" s="1" t="str">
        <f t="shared" si="47"/>
        <v>EC</v>
      </c>
      <c r="AH128" s="92" t="str">
        <f t="shared" si="48"/>
        <v>"%USERPROFILE%\Documents\GitHub\eaglep3\Utilities\RefineRTDCRunTimes.py" --tripid 212-26 --locoid 4043 --swversion DE.1.0.8.0 --startMP 204:232975 --initTime 2016-11-26T18:19:46 --startdatetime 2016-11-26T18:26:14 --delay 1 --endMP 204:181 --enddatetime 2016-11-26T19:09:00 --enforcementcount 0 &gt;&gt;C:\Users\stu\Documents\GitHub\eaglep3-reporting\EC\2016-11-26-refined-times.txt</v>
      </c>
      <c r="AI128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{"issue":{"subject":"","project_id":79,"tracker_id":40,"status_id":1,"priority_id":2,"assigned_to_id":23,"start_date":"2016-11-26","description":"","custom_fields":[{"id":1,"name":"Subdivision","value":"EC"},{"id":4,"name":"Milepost","value":"0.0181"},{"id":17,"name":"Train ID","value":"212-26"},{"id":16,"name":"Locomotive ID","value":"4043"},{"id":130,"name":"Impact","value":""},{"id":150,"name":"Time of Event (Mountain Time)","value":"19:09:00"},{"id":151,"name":"Denver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550</v>
      </c>
      <c r="B129" s="7">
        <v>4038</v>
      </c>
      <c r="C129" s="22" t="s">
        <v>216</v>
      </c>
      <c r="D129" s="22" t="s">
        <v>377</v>
      </c>
      <c r="E129" s="13">
        <v>42700.736527777779</v>
      </c>
      <c r="F129" s="13">
        <v>42700.739756944444</v>
      </c>
      <c r="G129" s="7">
        <v>1</v>
      </c>
      <c r="H129" s="22" t="s">
        <v>616</v>
      </c>
      <c r="I129" s="13">
        <v>42700.764004629629</v>
      </c>
      <c r="J129" s="7">
        <v>0</v>
      </c>
      <c r="K129" s="109" t="str">
        <f t="shared" si="33"/>
        <v>4037/4038</v>
      </c>
      <c r="L129" s="22" t="str">
        <f>VLOOKUP(A129,'Trips&amp;Operators'!$C$1:$E$10000,3,FALSE)</f>
        <v>NEWELL</v>
      </c>
      <c r="M129" s="6">
        <f t="shared" si="34"/>
        <v>2.4247685185400769E-2</v>
      </c>
      <c r="N129" s="7">
        <f t="shared" si="35"/>
        <v>34.916666666977108</v>
      </c>
      <c r="O129" s="7"/>
      <c r="P129" s="7"/>
      <c r="Q129" s="23"/>
      <c r="R129" s="23"/>
      <c r="S129" s="35">
        <f t="shared" si="36"/>
        <v>1</v>
      </c>
      <c r="T129" s="50" t="str">
        <f t="shared" si="37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16:40:36-700',mode:absolute,to:'2016-11-26 19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2" t="str">
        <f t="shared" si="39"/>
        <v>N</v>
      </c>
      <c r="X129" s="177">
        <f t="shared" si="40"/>
        <v>1</v>
      </c>
      <c r="Y129" s="67">
        <f t="shared" si="41"/>
        <v>4.7300000000000002E-2</v>
      </c>
      <c r="Z129" s="67">
        <f t="shared" si="42"/>
        <v>23.331</v>
      </c>
      <c r="AA129" s="67">
        <f t="shared" si="43"/>
        <v>23.2837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44"/>
        <v>0213-26</v>
      </c>
      <c r="AE129" s="91" t="str">
        <f t="shared" si="45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129" s="88" t="str">
        <f t="shared" si="46"/>
        <v>"C:\Program Files (x86)\AstroGrep\AstroGrep.exe" /spath="%USERPROFILE%\AppData\Local\Temp\OnboardLogs" /stypes="app*4038*20161127*" /stext=" 01:.+((SYSTEM_STATE.+slice.+state.+changed )|(ment ac)|(multiple cpu faults)|(system.+state.+changed )|(\[timeout)|(PRM\|1\|D)|(kpr)|(kdp)|(\|lc)|(penalty))" /e /r /s</v>
      </c>
      <c r="AG129" s="1" t="str">
        <f t="shared" si="47"/>
        <v>EC</v>
      </c>
      <c r="AH129" s="92" t="str">
        <f t="shared" si="48"/>
        <v>"%USERPROFILE%\Documents\GitHub\eaglep3\Utilities\RefineRTDCRunTimes.py" --tripid 213-26 --locoid 4038 --swversion DE.1.0.8.0 --startMP 204:473 --initTime 2016-11-26T17:40:36 --startdatetime 2016-11-26T17:45:15 --delay 1 --endMP 204:233310 --enddatetime 2016-11-26T18:20:10 --enforcementcount 0 &gt;&gt;C:\Users\stu\Documents\GitHub\eaglep3-reporting\EC\2016-11-26-refined-times.txt</v>
      </c>
      <c r="AI129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{"issue":{"subject":"","project_id":79,"tracker_id":40,"status_id":1,"priority_id":2,"assigned_to_id":23,"start_date":"2016-11-26","description":"","custom_fields":[{"id":1,"name":"Subdivision","value":"EC"},{"id":4,"name":"Milepost","value":"23.331"},{"id":17,"name":"Train ID","value":"213-26"},{"id":16,"name":"Locomotive ID","value":"4038"},{"id":130,"name":"Impact","value":""},{"id":150,"name":"Time of Event (Mountain Time)","value":"18:20:10"},{"id":151,"name":"Denver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561</v>
      </c>
      <c r="B130" s="7">
        <v>4037</v>
      </c>
      <c r="C130" s="22" t="s">
        <v>216</v>
      </c>
      <c r="D130" s="22" t="s">
        <v>367</v>
      </c>
      <c r="E130" s="13">
        <v>42700.771284722221</v>
      </c>
      <c r="F130" s="13">
        <v>42700.778634259259</v>
      </c>
      <c r="G130" s="7">
        <v>1</v>
      </c>
      <c r="H130" s="22" t="s">
        <v>195</v>
      </c>
      <c r="I130" s="13">
        <v>42700.804120370369</v>
      </c>
      <c r="J130" s="7">
        <v>0</v>
      </c>
      <c r="K130" s="109" t="str">
        <f t="shared" si="33"/>
        <v>4037/4038</v>
      </c>
      <c r="L130" s="22" t="str">
        <f>VLOOKUP(A130,'Trips&amp;Operators'!$C$1:$E$10000,3,FALSE)</f>
        <v>NEWELL</v>
      </c>
      <c r="M130" s="6">
        <f t="shared" si="34"/>
        <v>2.548611110978527E-2</v>
      </c>
      <c r="N130" s="7">
        <f t="shared" si="35"/>
        <v>36.699999998090789</v>
      </c>
      <c r="O130" s="7"/>
      <c r="P130" s="7"/>
      <c r="Q130" s="23"/>
      <c r="R130" s="23"/>
      <c r="S130" s="35">
        <f t="shared" si="36"/>
        <v>1</v>
      </c>
      <c r="T130" s="50" t="str">
        <f t="shared" si="37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17:30:39-700',mode:absolute,to:'2016-11-26 20:17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0" s="52" t="str">
        <f t="shared" si="39"/>
        <v>N</v>
      </c>
      <c r="X130" s="177">
        <f t="shared" si="40"/>
        <v>1</v>
      </c>
      <c r="Y130" s="67">
        <f t="shared" si="41"/>
        <v>23.298500000000001</v>
      </c>
      <c r="Z130" s="67">
        <f t="shared" si="42"/>
        <v>1.49E-2</v>
      </c>
      <c r="AA130" s="67">
        <f t="shared" si="43"/>
        <v>23.2836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44"/>
        <v>0214-26</v>
      </c>
      <c r="AE130" s="91" t="str">
        <f t="shared" si="45"/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AF130" s="88" t="str">
        <f t="shared" si="46"/>
        <v>"C:\Program Files (x86)\AstroGrep\AstroGrep.exe" /spath="%USERPROFILE%\AppData\Local\Temp\OnboardLogs" /stypes="app*4037*20161127*" /stext=" 02:.+((SYSTEM_STATE.+slice.+state.+changed )|(ment ac)|(multiple cpu faults)|(system.+state.+changed )|(\[timeout)|(PRM\|1\|D)|(kpr)|(kdp)|(\|lc)|(penalty))" /e /r /s</v>
      </c>
      <c r="AG130" s="1" t="str">
        <f t="shared" si="47"/>
        <v>EC</v>
      </c>
      <c r="AH130" s="92" t="str">
        <f t="shared" si="48"/>
        <v>"%USERPROFILE%\Documents\GitHub\eaglep3\Utilities\RefineRTDCRunTimes.py" --tripid 214-26 --locoid 4037 --swversion DE.1.0.8.0 --startMP 204:232985 --initTime 2016-11-26T18:30:39 --startdatetime 2016-11-26T18:41:14 --delay 1 --endMP 204:149 --enddatetime 2016-11-26T19:17:56 --enforcementcount 0 &gt;&gt;C:\Users\stu\Documents\GitHub\eaglep3-reporting\EC\2016-11-26-refined-times.txt</v>
      </c>
      <c r="AI130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{"issue":{"subject":"","project_id":79,"tracker_id":40,"status_id":1,"priority_id":2,"assigned_to_id":23,"start_date":"2016-11-26","description":"","custom_fields":[{"id":1,"name":"Subdivision","value":"EC"},{"id":4,"name":"Milepost","value":"0.0149"},{"id":17,"name":"Train ID","value":"214-26"},{"id":16,"name":"Locomotive ID","value":"4037"},{"id":130,"name":"Impact","value":""},{"id":150,"name":"Time of Event (Mountain Time)","value":"19:17:56"},{"id":151,"name":"Denver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554</v>
      </c>
      <c r="B131" s="7">
        <v>4025</v>
      </c>
      <c r="C131" s="22" t="s">
        <v>216</v>
      </c>
      <c r="D131" s="22" t="s">
        <v>318</v>
      </c>
      <c r="E131" s="13">
        <v>42700.745729166665</v>
      </c>
      <c r="F131" s="13">
        <v>42700.750300925924</v>
      </c>
      <c r="G131" s="7">
        <v>6</v>
      </c>
      <c r="H131" s="22" t="s">
        <v>199</v>
      </c>
      <c r="I131" s="13">
        <v>42700.776550925926</v>
      </c>
      <c r="J131" s="7">
        <v>0</v>
      </c>
      <c r="K131" s="109" t="str">
        <f t="shared" si="33"/>
        <v>4025/4026</v>
      </c>
      <c r="L131" s="22" t="str">
        <f>VLOOKUP(A131,'Trips&amp;Operators'!$C$1:$E$10000,3,FALSE)</f>
        <v>STORY</v>
      </c>
      <c r="M131" s="6">
        <f t="shared" si="34"/>
        <v>2.6250000002619345E-2</v>
      </c>
      <c r="N131" s="7">
        <f t="shared" si="35"/>
        <v>37.800000003771856</v>
      </c>
      <c r="O131" s="7"/>
      <c r="P131" s="7"/>
      <c r="Q131" s="23"/>
      <c r="R131" s="23"/>
      <c r="S131" s="35">
        <f t="shared" si="36"/>
        <v>1</v>
      </c>
      <c r="T131" s="50" t="str">
        <f t="shared" si="37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16:53:51-700',mode:absolute,to:'2016-11-26 19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1" s="52" t="str">
        <f t="shared" si="39"/>
        <v>N</v>
      </c>
      <c r="X131" s="177">
        <f t="shared" si="40"/>
        <v>1</v>
      </c>
      <c r="Y131" s="67">
        <f t="shared" si="41"/>
        <v>4.6699999999999998E-2</v>
      </c>
      <c r="Z131" s="67">
        <f t="shared" si="42"/>
        <v>23.329499999999999</v>
      </c>
      <c r="AA131" s="67">
        <f t="shared" si="43"/>
        <v>23.282799999999998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44"/>
        <v>0215-26</v>
      </c>
      <c r="AE131" s="91" t="str">
        <f t="shared" si="45"/>
        <v>aws s3 cp s3://rtdc.mdm.uploadarchive.raw/RTDC4025/ "%USERPROFILE%\AppData\Local\Temp\OnboardLogs"\RTDC4025\2016-11-26 --exclude "*" --recursive --include "*20161126*" &amp; "%USERPROFILE%\Documents\GitHub\mrs-test-scripts\Headless Mode &amp; Sideloading\WalkAndUnGZ.bat" "%USERPROFILE%\AppData\Local\Temp\OnboardLogs"\RTDC4025\2016-11-26 &amp; aws s3 cp s3://rtdc.mdm.uploadarchive.raw/RTDC4025/ "%USERPROFILE%\AppData\Local\Temp\OnboardLogs"\RTDC4025\2016-11-27 --exclude "*" --recursive --include "*20161127*" &amp; "%USERPROFILE%\Documents\GitHub\mrs-test-scripts\Headless Mode &amp; Sideloading\WalkAndUnGZ.bat" "%USERPROFILE%\AppData\Local\Temp\OnboardLogs"\RTDC4025\2016-11-27</v>
      </c>
      <c r="AF131" s="88" t="str">
        <f t="shared" si="46"/>
        <v>"C:\Program Files (x86)\AstroGrep\AstroGrep.exe" /spath="%USERPROFILE%\AppData\Local\Temp\OnboardLogs" /stypes="app*4025*20161127*" /stext=" 01:.+((SYSTEM_STATE.+slice.+state.+changed )|(ment ac)|(multiple cpu faults)|(system.+state.+changed )|(\[timeout)|(PRM\|1\|D)|(kpr)|(kdp)|(\|lc)|(penalty))" /e /r /s</v>
      </c>
      <c r="AG131" s="1" t="str">
        <f t="shared" si="47"/>
        <v>EC</v>
      </c>
      <c r="AH131" s="92" t="str">
        <f t="shared" si="48"/>
        <v>"%USERPROFILE%\Documents\GitHub\eaglep3\Utilities\RefineRTDCRunTimes.py" --tripid 215-26 --locoid 4025 --swversion DE.1.0.8.0 --startMP 204:467 --initTime 2016-11-26T17:53:51 --startdatetime 2016-11-26T18:00:26 --delay 6 --endMP 204:233295 --enddatetime 2016-11-26T18:38:14 --enforcementcount 0 &gt;&gt;C:\Users\stu\Documents\GitHub\eaglep3-reporting\EC\2016-11-26-refined-times.txt</v>
      </c>
      <c r="AI131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{"issue":{"subject":"","project_id":79,"tracker_id":40,"status_id":1,"priority_id":2,"assigned_to_id":23,"start_date":"2016-11-26","description":"","custom_fields":[{"id":1,"name":"Subdivision","value":"EC"},{"id":4,"name":"Milepost","value":"23.3295"},{"id":17,"name":"Train ID","value":"215-26"},{"id":16,"name":"Locomotive ID","value":"4025"},{"id":130,"name":"Impact","value":""},{"id":150,"name":"Time of Event (Mountain Time)","value":"18:38:14"},{"id":151,"name":"Denver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563</v>
      </c>
      <c r="B132" s="7">
        <v>4026</v>
      </c>
      <c r="C132" s="22" t="s">
        <v>216</v>
      </c>
      <c r="D132" s="22" t="s">
        <v>692</v>
      </c>
      <c r="E132" s="13">
        <v>42700.786261574074</v>
      </c>
      <c r="F132" s="13">
        <v>42700.791064814817</v>
      </c>
      <c r="G132" s="7">
        <v>2</v>
      </c>
      <c r="H132" s="22" t="s">
        <v>196</v>
      </c>
      <c r="I132" s="13">
        <v>42700.818148148152</v>
      </c>
      <c r="J132" s="7">
        <v>0</v>
      </c>
      <c r="K132" s="109" t="str">
        <f t="shared" si="33"/>
        <v>4025/4026</v>
      </c>
      <c r="L132" s="22" t="str">
        <f>VLOOKUP(A132,'Trips&amp;Operators'!$C$1:$E$10000,3,FALSE)</f>
        <v>STORY</v>
      </c>
      <c r="M132" s="6">
        <f t="shared" si="34"/>
        <v>2.7083333334303461E-2</v>
      </c>
      <c r="N132" s="7">
        <f t="shared" si="35"/>
        <v>39.000000001396984</v>
      </c>
      <c r="O132" s="7"/>
      <c r="P132" s="7"/>
      <c r="Q132" s="23"/>
      <c r="R132" s="23"/>
      <c r="S132" s="35">
        <f t="shared" si="36"/>
        <v>1</v>
      </c>
      <c r="T132" s="50" t="str">
        <f t="shared" si="37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17:52:13-700',mode:absolute,to:'2016-11-26 20:38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2" s="52" t="str">
        <f t="shared" si="39"/>
        <v>N</v>
      </c>
      <c r="X132" s="177">
        <f t="shared" si="40"/>
        <v>1</v>
      </c>
      <c r="Y132" s="67">
        <f t="shared" si="41"/>
        <v>23.296099999999999</v>
      </c>
      <c r="Z132" s="67">
        <f t="shared" si="42"/>
        <v>1.43E-2</v>
      </c>
      <c r="AA132" s="67">
        <f t="shared" si="43"/>
        <v>23.2818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44"/>
        <v>0216-26</v>
      </c>
      <c r="AE132" s="91" t="str">
        <f t="shared" si="45"/>
        <v>aws s3 cp s3://rtdc.mdm.uploadarchive.raw/RTDC4026/ "%USERPROFILE%\AppData\Local\Temp\OnboardLogs"\RTDC4026\2016-11-26 --exclude "*" --recursive --include "*20161126*" &amp; "%USERPROFILE%\Documents\GitHub\mrs-test-scripts\Headless Mode &amp; Sideloading\WalkAndUnGZ.bat" "%USERPROFILE%\AppData\Local\Temp\OnboardLogs"\RTDC4026\2016-11-26 &amp; 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</v>
      </c>
      <c r="AF132" s="88" t="str">
        <f t="shared" si="46"/>
        <v>"C:\Program Files (x86)\AstroGrep\AstroGrep.exe" /spath="%USERPROFILE%\AppData\Local\Temp\OnboardLogs" /stypes="app*4026*20161127*" /stext=" 02:.+((SYSTEM_STATE.+slice.+state.+changed )|(ment ac)|(multiple cpu faults)|(system.+state.+changed )|(\[timeout)|(PRM\|1\|D)|(kpr)|(kdp)|(\|lc)|(penalty))" /e /r /s</v>
      </c>
      <c r="AG132" s="1" t="str">
        <f t="shared" si="47"/>
        <v>EC</v>
      </c>
      <c r="AH132" s="92" t="str">
        <f t="shared" si="48"/>
        <v>"%USERPROFILE%\Documents\GitHub\eaglep3\Utilities\RefineRTDCRunTimes.py" --tripid 216-26 --locoid 4026 --swversion DE.1.0.8.0 --startMP 204:232961 --initTime 2016-11-26T18:52:13 --startdatetime 2016-11-26T18:59:08 --delay 2 --endMP 204:143 --enddatetime 2016-11-26T19:38:08 --enforcementcount 0 &gt;&gt;C:\Users\stu\Documents\GitHub\eaglep3-reporting\EC\2016-11-26-refined-times.txt</v>
      </c>
      <c r="AI132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{"issue":{"subject":"","project_id":79,"tracker_id":40,"status_id":1,"priority_id":2,"assigned_to_id":23,"start_date":"2016-11-26","description":"","custom_fields":[{"id":1,"name":"Subdivision","value":"EC"},{"id":4,"name":"Milepost","value":"0.0143"},{"id":17,"name":"Train ID","value":"216-26"},{"id":16,"name":"Locomotive ID","value":"4026"},{"id":130,"name":"Impact","value":""},{"id":150,"name":"Time of Event (Mountain Time)","value":"19:38:08"},{"id":151,"name":"Denver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414</v>
      </c>
      <c r="B133" s="7">
        <v>4031</v>
      </c>
      <c r="C133" s="22" t="s">
        <v>216</v>
      </c>
      <c r="D133" s="22" t="s">
        <v>239</v>
      </c>
      <c r="E133" s="13">
        <v>42700.757106481484</v>
      </c>
      <c r="F133" s="13">
        <v>42700.761111111111</v>
      </c>
      <c r="G133" s="7">
        <v>3</v>
      </c>
      <c r="H133" s="22" t="s">
        <v>649</v>
      </c>
      <c r="I133" s="13">
        <v>42700.790659722225</v>
      </c>
      <c r="J133" s="7">
        <v>1</v>
      </c>
      <c r="K133" s="109" t="str">
        <f t="shared" si="33"/>
        <v>4031/4032</v>
      </c>
      <c r="L133" s="22" t="str">
        <f>VLOOKUP(A133,'Trips&amp;Operators'!$C$1:$E$10000,3,FALSE)</f>
        <v>HOLCOMB</v>
      </c>
      <c r="M133" s="6">
        <f t="shared" si="34"/>
        <v>2.9548611113568768E-2</v>
      </c>
      <c r="N133" s="7">
        <f t="shared" si="35"/>
        <v>42.550000003539026</v>
      </c>
      <c r="O133" s="7"/>
      <c r="P133" s="7"/>
      <c r="Q133" s="23"/>
      <c r="R133" s="23"/>
      <c r="S133" s="35">
        <f t="shared" si="36"/>
        <v>1</v>
      </c>
      <c r="T133" s="50" t="str">
        <f t="shared" si="37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17:10:14-700',mode:absolute,to:'2016-11-26 19:58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3" s="52" t="str">
        <f t="shared" si="39"/>
        <v>N</v>
      </c>
      <c r="X133" s="177">
        <f t="shared" si="40"/>
        <v>1</v>
      </c>
      <c r="Y133" s="67">
        <f t="shared" si="41"/>
        <v>4.6600000000000003E-2</v>
      </c>
      <c r="Z133" s="67">
        <f t="shared" si="42"/>
        <v>23.3325</v>
      </c>
      <c r="AA133" s="67">
        <f t="shared" si="43"/>
        <v>23.285899999999998</v>
      </c>
      <c r="AB133" s="64" t="str">
        <f>VLOOKUP(A133,Enforcements!$C$7:$K$20,8,0)</f>
        <v>Signal based authority (5)</v>
      </c>
      <c r="AC133" s="60" t="str">
        <f>VLOOKUP(A133,Enforcements!$C$7:$E$20,3,0)</f>
        <v>SIGNAL</v>
      </c>
      <c r="AD133" s="61" t="str">
        <f t="shared" si="44"/>
        <v>0217-26</v>
      </c>
      <c r="AE133" s="91" t="str">
        <f t="shared" si="45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133" s="88" t="str">
        <f t="shared" si="46"/>
        <v>"C:\Program Files (x86)\AstroGrep\AstroGrep.exe" /spath="%USERPROFILE%\AppData\Local\Temp\OnboardLogs" /stypes="app*4031*20161127*" /stext=" 01:.+((SYSTEM_STATE.+slice.+state.+changed )|(ment ac)|(multiple cpu faults)|(system.+state.+changed )|(\[timeout)|(PRM\|1\|D)|(kpr)|(kdp)|(\|lc)|(penalty))" /e /r /s</v>
      </c>
      <c r="AG133" s="1" t="str">
        <f t="shared" si="47"/>
        <v>EC</v>
      </c>
      <c r="AH133" s="92" t="str">
        <f t="shared" si="48"/>
        <v>"%USERPROFILE%\Documents\GitHub\eaglep3\Utilities\RefineRTDCRunTimes.py" --tripid 217-26 --locoid 4031 --swversion DE.1.0.8.0 --startMP 204:466 --initTime 2016-11-26T18:10:14 --startdatetime 2016-11-26T18:16:00 --delay 3 --endMP 204:233325 --enddatetime 2016-11-26T18:58:33 --enforcementcount 1 &gt;&gt;C:\Users\stu\Documents\GitHub\eaglep3-reporting\EC\2016-11-26-refined-times.txt</v>
      </c>
      <c r="AI133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{"issue":{"subject":"","project_id":79,"tracker_id":40,"status_id":1,"priority_id":2,"assigned_to_id":23,"start_date":"2016-11-26","description":"","custom_fields":[{"id":1,"name":"Subdivision","value":"EC"},{"id":4,"name":"Milepost","value":"23.3325"},{"id":17,"name":"Train ID","value":"217-26"},{"id":16,"name":"Locomotive ID","value":"4031"},{"id":130,"name":"Impact","value":""},{"id":150,"name":"Time of Event (Mountain Time)","value":"18:58:33"},{"id":151,"name":"Denver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565</v>
      </c>
      <c r="B134" s="7">
        <v>4032</v>
      </c>
      <c r="C134" s="22" t="s">
        <v>216</v>
      </c>
      <c r="D134" s="22" t="s">
        <v>621</v>
      </c>
      <c r="E134" s="13">
        <v>42700.794895833336</v>
      </c>
      <c r="F134" s="13">
        <v>42700.799664351849</v>
      </c>
      <c r="G134" s="7">
        <v>1</v>
      </c>
      <c r="H134" s="22" t="s">
        <v>312</v>
      </c>
      <c r="I134" s="13">
        <v>42700.826203703706</v>
      </c>
      <c r="J134" s="7">
        <v>0</v>
      </c>
      <c r="K134" s="109" t="str">
        <f t="shared" si="33"/>
        <v>4031/4032</v>
      </c>
      <c r="L134" s="22" t="str">
        <f>VLOOKUP(A134,'Trips&amp;Operators'!$C$1:$E$10000,3,FALSE)</f>
        <v>HOLCOMB</v>
      </c>
      <c r="M134" s="6">
        <f t="shared" si="34"/>
        <v>2.6539351856627036E-2</v>
      </c>
      <c r="N134" s="7">
        <f t="shared" si="35"/>
        <v>38.216666673542932</v>
      </c>
      <c r="O134" s="7"/>
      <c r="P134" s="7"/>
      <c r="Q134" s="23"/>
      <c r="R134" s="23"/>
      <c r="S134" s="35">
        <f t="shared" si="36"/>
        <v>1</v>
      </c>
      <c r="T134" s="50" t="str">
        <f t="shared" si="37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18:04:39-700',mode:absolute,to:'2016-11-26 20:49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4" s="52" t="str">
        <f t="shared" si="39"/>
        <v>N</v>
      </c>
      <c r="X134" s="177">
        <f t="shared" si="40"/>
        <v>1</v>
      </c>
      <c r="Y134" s="67">
        <f t="shared" si="41"/>
        <v>23.3004</v>
      </c>
      <c r="Z134" s="67">
        <f t="shared" si="42"/>
        <v>1.4500000000000001E-2</v>
      </c>
      <c r="AA134" s="67">
        <f t="shared" si="43"/>
        <v>23.285899999999998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44"/>
        <v>0218-26</v>
      </c>
      <c r="AE134" s="91" t="str">
        <f t="shared" si="45"/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AF134" s="88" t="str">
        <f t="shared" si="46"/>
        <v>"C:\Program Files (x86)\AstroGrep\AstroGrep.exe" /spath="%USERPROFILE%\AppData\Local\Temp\OnboardLogs" /stypes="app*4032*20161127*" /stext=" 02:.+((SYSTEM_STATE.+slice.+state.+changed )|(ment ac)|(multiple cpu faults)|(system.+state.+changed )|(\[timeout)|(PRM\|1\|D)|(kpr)|(kdp)|(\|lc)|(penalty))" /e /r /s</v>
      </c>
      <c r="AG134" s="1" t="str">
        <f t="shared" si="47"/>
        <v>EC</v>
      </c>
      <c r="AH134" s="92" t="str">
        <f t="shared" si="48"/>
        <v>"%USERPROFILE%\Documents\GitHub\eaglep3\Utilities\RefineRTDCRunTimes.py" --tripid 218-26 --locoid 4032 --swversion DE.1.0.8.0 --startMP 204:233004 --initTime 2016-11-26T19:04:39 --startdatetime 2016-11-26T19:11:31 --delay 1 --endMP 204:145 --enddatetime 2016-11-26T19:49:44 --enforcementcount 0 &gt;&gt;C:\Users\stu\Documents\GitHub\eaglep3-reporting\EC\2016-11-26-refined-times.txt</v>
      </c>
      <c r="AI134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{"issue":{"subject":"","project_id":79,"tracker_id":40,"status_id":1,"priority_id":2,"assigned_to_id":23,"start_date":"2016-11-26","description":"","custom_fields":[{"id":1,"name":"Subdivision","value":"EC"},{"id":4,"name":"Milepost","value":"0.0145"},{"id":17,"name":"Train ID","value":"218-26"},{"id":16,"name":"Locomotive ID","value":"4032"},{"id":130,"name":"Impact","value":""},{"id":150,"name":"Time of Event (Mountain Time)","value":"19:49:44"},{"id":151,"name":"Denver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560</v>
      </c>
      <c r="B135" s="7">
        <v>4003</v>
      </c>
      <c r="C135" s="22" t="s">
        <v>216</v>
      </c>
      <c r="D135" s="22" t="s">
        <v>240</v>
      </c>
      <c r="E135" s="13">
        <v>42700.770046296297</v>
      </c>
      <c r="F135" s="13">
        <v>42700.771458333336</v>
      </c>
      <c r="G135" s="7">
        <v>1</v>
      </c>
      <c r="H135" s="22" t="s">
        <v>618</v>
      </c>
      <c r="I135" s="13">
        <v>42700.796886574077</v>
      </c>
      <c r="J135" s="7">
        <v>0</v>
      </c>
      <c r="K135" s="109" t="str">
        <f t="shared" si="33"/>
        <v>4003/4004</v>
      </c>
      <c r="L135" s="22" t="str">
        <f>VLOOKUP(A135,'Trips&amp;Operators'!$C$1:$E$10000,3,FALSE)</f>
        <v>CHANDLER</v>
      </c>
      <c r="M135" s="6">
        <f t="shared" si="34"/>
        <v>2.5428240740438923E-2</v>
      </c>
      <c r="N135" s="7">
        <f t="shared" si="35"/>
        <v>36.616666666232049</v>
      </c>
      <c r="O135" s="7"/>
      <c r="P135" s="7"/>
      <c r="Q135" s="23"/>
      <c r="R135" s="23"/>
      <c r="S135" s="35">
        <f t="shared" si="36"/>
        <v>1</v>
      </c>
      <c r="T135" s="50" t="str">
        <f t="shared" si="37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17:28:52-700',mode:absolute,to:'2016-11-26 20:07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5" s="52" t="str">
        <f t="shared" si="39"/>
        <v>N</v>
      </c>
      <c r="X135" s="177">
        <f t="shared" si="40"/>
        <v>1</v>
      </c>
      <c r="Y135" s="67">
        <f t="shared" si="41"/>
        <v>4.4900000000000002E-2</v>
      </c>
      <c r="Z135" s="67">
        <f t="shared" si="42"/>
        <v>23.328800000000001</v>
      </c>
      <c r="AA135" s="67">
        <f t="shared" si="43"/>
        <v>23.283900000000003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44"/>
        <v>0219-26</v>
      </c>
      <c r="AE135" s="91" t="str">
        <f t="shared" si="45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135" s="88" t="str">
        <f t="shared" si="46"/>
        <v>"C:\Program Files (x86)\AstroGrep\AstroGrep.exe" /spath="%USERPROFILE%\AppData\Local\Temp\OnboardLogs" /stypes="app*4003*20161127*" /stext=" 02:.+((SYSTEM_STATE.+slice.+state.+changed )|(ment ac)|(multiple cpu faults)|(system.+state.+changed )|(\[timeout)|(PRM\|1\|D)|(kpr)|(kdp)|(\|lc)|(penalty))" /e /r /s</v>
      </c>
      <c r="AG135" s="1" t="str">
        <f t="shared" si="47"/>
        <v>EC</v>
      </c>
      <c r="AH135" s="92" t="str">
        <f t="shared" si="48"/>
        <v>"%USERPROFILE%\Documents\GitHub\eaglep3\Utilities\RefineRTDCRunTimes.py" --tripid 219-26 --locoid 4003 --swversion DE.1.0.8.0 --startMP 204:449 --initTime 2016-11-26T18:28:52 --startdatetime 2016-11-26T18:30:54 --delay 1 --endMP 204:233288 --enddatetime 2016-11-26T19:07:31 --enforcementcount 0 &gt;&gt;C:\Users\stu\Documents\GitHub\eaglep3-reporting\EC\2016-11-26-refined-times.txt</v>
      </c>
      <c r="AI135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{"issue":{"subject":"","project_id":79,"tracker_id":40,"status_id":1,"priority_id":2,"assigned_to_id":23,"start_date":"2016-11-26","description":"","custom_fields":[{"id":1,"name":"Subdivision","value":"EC"},{"id":4,"name":"Milepost","value":"23.3288"},{"id":17,"name":"Train ID","value":"219-26"},{"id":16,"name":"Locomotive ID","value":"4003"},{"id":130,"name":"Impact","value":""},{"id":150,"name":"Time of Event (Mountain Time)","value":"19:07:31"},{"id":151,"name":"Denver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7" t="s">
        <v>568</v>
      </c>
      <c r="B136" s="7">
        <v>4004</v>
      </c>
      <c r="C136" s="22" t="s">
        <v>216</v>
      </c>
      <c r="D136" s="22" t="s">
        <v>378</v>
      </c>
      <c r="E136" s="13">
        <v>42700.806238425925</v>
      </c>
      <c r="F136" s="13">
        <v>42700.810046296298</v>
      </c>
      <c r="G136" s="7">
        <v>1</v>
      </c>
      <c r="H136" s="22" t="s">
        <v>254</v>
      </c>
      <c r="I136" s="13">
        <v>42700.837453703702</v>
      </c>
      <c r="J136" s="7">
        <v>0</v>
      </c>
      <c r="K136" s="109" t="str">
        <f t="shared" si="33"/>
        <v>4003/4004</v>
      </c>
      <c r="L136" s="22" t="str">
        <f>VLOOKUP(A136,'Trips&amp;Operators'!$C$1:$E$10000,3,FALSE)</f>
        <v>CHANDLER</v>
      </c>
      <c r="M136" s="6">
        <f t="shared" si="34"/>
        <v>2.7407407404098194E-2</v>
      </c>
      <c r="N136" s="7">
        <f t="shared" si="35"/>
        <v>39.466666661901399</v>
      </c>
      <c r="O136" s="7"/>
      <c r="P136" s="7"/>
      <c r="Q136" s="23"/>
      <c r="R136" s="23"/>
      <c r="S136" s="35">
        <f t="shared" si="36"/>
        <v>1</v>
      </c>
      <c r="T136" s="50" t="str">
        <f t="shared" si="37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18:20:59-700',mode:absolute,to:'2016-11-26 21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6" s="52" t="str">
        <f t="shared" si="39"/>
        <v>N</v>
      </c>
      <c r="X136" s="177">
        <f t="shared" si="40"/>
        <v>1</v>
      </c>
      <c r="Y136" s="67">
        <f t="shared" si="41"/>
        <v>23.296500000000002</v>
      </c>
      <c r="Z136" s="67">
        <f t="shared" si="42"/>
        <v>1.6500000000000001E-2</v>
      </c>
      <c r="AA136" s="67">
        <f t="shared" si="43"/>
        <v>23.28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44"/>
        <v>0220-26</v>
      </c>
      <c r="AE136" s="91" t="str">
        <f t="shared" si="45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136" s="88" t="str">
        <f t="shared" si="46"/>
        <v>"C:\Program Files (x86)\AstroGrep\AstroGrep.exe" /spath="%USERPROFILE%\AppData\Local\Temp\OnboardLogs" /stypes="app*4004*20161127*" /stext=" 03:.+((SYSTEM_STATE.+slice.+state.+changed )|(ment ac)|(multiple cpu faults)|(system.+state.+changed )|(\[timeout)|(PRM\|1\|D)|(kpr)|(kdp)|(\|lc)|(penalty))" /e /r /s</v>
      </c>
      <c r="AG136" s="1" t="str">
        <f t="shared" si="47"/>
        <v>EC</v>
      </c>
      <c r="AH136" s="92" t="str">
        <f t="shared" si="48"/>
        <v>"%USERPROFILE%\Documents\GitHub\eaglep3\Utilities\RefineRTDCRunTimes.py" --tripid 220-26 --locoid 4004 --swversion DE.1.0.8.0 --startMP 204:232965 --initTime 2016-11-26T19:20:59 --startdatetime 2016-11-26T19:26:28 --delay 1 --endMP 204:165 --enddatetime 2016-11-26T20:05:56 --enforcementcount 0 &gt;&gt;C:\Users\stu\Documents\GitHub\eaglep3-reporting\EC\2016-11-26-refined-times.txt</v>
      </c>
      <c r="AI136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{"issue":{"subject":"","project_id":79,"tracker_id":40,"status_id":1,"priority_id":2,"assigned_to_id":23,"start_date":"2016-11-26","description":"","custom_fields":[{"id":1,"name":"Subdivision","value":"EC"},{"id":4,"name":"Milepost","value":"0.0165"},{"id":17,"name":"Train ID","value":"220-26"},{"id":16,"name":"Locomotive ID","value":"4004"},{"id":130,"name":"Impact","value":""},{"id":150,"name":"Time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564</v>
      </c>
      <c r="B137" s="7">
        <v>4029</v>
      </c>
      <c r="C137" s="22" t="s">
        <v>216</v>
      </c>
      <c r="D137" s="22" t="s">
        <v>279</v>
      </c>
      <c r="E137" s="13">
        <v>42700.785613425927</v>
      </c>
      <c r="F137" s="13">
        <v>42700.79184027778</v>
      </c>
      <c r="G137" s="7">
        <v>3</v>
      </c>
      <c r="H137" s="22" t="s">
        <v>693</v>
      </c>
      <c r="I137" s="13">
        <v>42700.816412037035</v>
      </c>
      <c r="J137" s="7">
        <v>0</v>
      </c>
      <c r="K137" s="109" t="str">
        <f t="shared" si="33"/>
        <v>4029/4030</v>
      </c>
      <c r="L137" s="22" t="str">
        <f>VLOOKUP(A137,'Trips&amp;Operators'!$C$1:$E$10000,3,FALSE)</f>
        <v>LEVIN</v>
      </c>
      <c r="M137" s="6">
        <f t="shared" si="34"/>
        <v>2.4571759255195502E-2</v>
      </c>
      <c r="N137" s="7">
        <f t="shared" si="35"/>
        <v>35.383333327481523</v>
      </c>
      <c r="O137" s="7"/>
      <c r="P137" s="7"/>
      <c r="Q137" s="23"/>
      <c r="R137" s="23"/>
      <c r="S137" s="35">
        <f t="shared" si="36"/>
        <v>1</v>
      </c>
      <c r="T137" s="50" t="str">
        <f t="shared" si="37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17:51:17-700',mode:absolute,to:'2016-11-26 20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7" s="52" t="str">
        <f t="shared" si="39"/>
        <v>N</v>
      </c>
      <c r="X137" s="177">
        <f t="shared" si="40"/>
        <v>1</v>
      </c>
      <c r="Y137" s="67">
        <f t="shared" si="41"/>
        <v>4.4400000000000002E-2</v>
      </c>
      <c r="Z137" s="67">
        <f t="shared" si="42"/>
        <v>23.3338</v>
      </c>
      <c r="AA137" s="67">
        <f t="shared" si="43"/>
        <v>23.289400000000001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44"/>
        <v>0221-26</v>
      </c>
      <c r="AE137" s="91" t="str">
        <f t="shared" si="45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137" s="88" t="str">
        <f t="shared" si="46"/>
        <v>"C:\Program Files (x86)\AstroGrep\AstroGrep.exe" /spath="%USERPROFILE%\AppData\Local\Temp\OnboardLogs" /stypes="app*4029*20161127*" /stext=" 02:.+((SYSTEM_STATE.+slice.+state.+changed )|(ment ac)|(multiple cpu faults)|(system.+state.+changed )|(\[timeout)|(PRM\|1\|D)|(kpr)|(kdp)|(\|lc)|(penalty))" /e /r /s</v>
      </c>
      <c r="AG137" s="1" t="str">
        <f t="shared" si="47"/>
        <v>EC</v>
      </c>
      <c r="AH137" s="92" t="str">
        <f t="shared" si="48"/>
        <v>"%USERPROFILE%\Documents\GitHub\eaglep3\Utilities\RefineRTDCRunTimes.py" --tripid 221-26 --locoid 4029 --swversion DE.1.0.8.0 --startMP 204:444 --initTime 2016-11-26T18:51:17 --startdatetime 2016-11-26T19:00:15 --delay 3 --endMP 204:233338 --enddatetime 2016-11-26T19:35:38 --enforcementcount 0 &gt;&gt;C:\Users\stu\Documents\GitHub\eaglep3-reporting\EC\2016-11-26-refined-times.txt</v>
      </c>
      <c r="AI137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{"issue":{"subject":"","project_id":79,"tracker_id":40,"status_id":1,"priority_id":2,"assigned_to_id":23,"start_date":"2016-11-26","description":"","custom_fields":[{"id":1,"name":"Subdivision","value":"EC"},{"id":4,"name":"Milepost","value":"23.3338"},{"id":17,"name":"Train ID","value":"221-26"},{"id":16,"name":"Locomotive ID","value":"4029"},{"id":130,"name":"Impact","value":""},{"id":150,"name":"Time of Event (Mountain Time)","value":"19:35:38"},{"id":151,"name":"Denver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x14ac:dyDescent="0.25">
      <c r="A138" s="37" t="s">
        <v>572</v>
      </c>
      <c r="B138" s="7">
        <v>4030</v>
      </c>
      <c r="C138" s="22" t="s">
        <v>216</v>
      </c>
      <c r="D138" s="22" t="s">
        <v>689</v>
      </c>
      <c r="E138" s="13">
        <v>42700.826793981483</v>
      </c>
      <c r="F138" s="13">
        <v>42700.83079861111</v>
      </c>
      <c r="G138" s="7">
        <v>1</v>
      </c>
      <c r="H138" s="22" t="s">
        <v>315</v>
      </c>
      <c r="I138" s="13">
        <v>42700.856828703705</v>
      </c>
      <c r="J138" s="7">
        <v>0</v>
      </c>
      <c r="K138" s="109" t="str">
        <f t="shared" si="33"/>
        <v>4029/4030</v>
      </c>
      <c r="L138" s="22" t="str">
        <f>VLOOKUP(A138,'Trips&amp;Operators'!$C$1:$E$10000,3,FALSE)</f>
        <v>LEVIN</v>
      </c>
      <c r="M138" s="6">
        <f t="shared" si="34"/>
        <v>2.6030092594737653E-2</v>
      </c>
      <c r="N138" s="7">
        <f t="shared" si="35"/>
        <v>37.48333333642222</v>
      </c>
      <c r="O138" s="7"/>
      <c r="P138" s="7"/>
      <c r="Q138" s="23"/>
      <c r="R138" s="23"/>
      <c r="S138" s="35">
        <f t="shared" si="36"/>
        <v>1</v>
      </c>
      <c r="T138" s="50" t="str">
        <f t="shared" si="37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18:50:35-700',mode:absolute,to:'2016-11-26 21:33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8" s="52" t="str">
        <f t="shared" si="39"/>
        <v>N</v>
      </c>
      <c r="X138" s="177">
        <f t="shared" si="40"/>
        <v>1</v>
      </c>
      <c r="Y138" s="67">
        <f t="shared" si="41"/>
        <v>23.302299999999999</v>
      </c>
      <c r="Z138" s="67">
        <f t="shared" si="42"/>
        <v>1.29E-2</v>
      </c>
      <c r="AA138" s="67">
        <f t="shared" si="43"/>
        <v>23.289400000000001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44"/>
        <v>0222-26</v>
      </c>
      <c r="AE138" s="91" t="str">
        <f t="shared" si="45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138" s="88" t="str">
        <f t="shared" si="46"/>
        <v>"C:\Program Files (x86)\AstroGrep\AstroGrep.exe" /spath="%USERPROFILE%\AppData\Local\Temp\OnboardLogs" /stypes="app*4030*20161127*" /stext=" 03:.+((SYSTEM_STATE.+slice.+state.+changed )|(ment ac)|(multiple cpu faults)|(system.+state.+changed )|(\[timeout)|(PRM\|1\|D)|(kpr)|(kdp)|(\|lc)|(penalty))" /e /r /s</v>
      </c>
      <c r="AG138" s="1" t="str">
        <f t="shared" si="47"/>
        <v>EC</v>
      </c>
      <c r="AH138" s="92" t="str">
        <f t="shared" si="48"/>
        <v>"%USERPROFILE%\Documents\GitHub\eaglep3\Utilities\RefineRTDCRunTimes.py" --tripid 222-26 --locoid 4030 --swversion DE.1.0.8.0 --startMP 204:233023 --initTime 2016-11-26T19:50:35 --startdatetime 2016-11-26T19:56:21 --delay 1 --endMP 204:129 --enddatetime 2016-11-26T20:33:50 --enforcementcount 0 &gt;&gt;C:\Users\stu\Documents\GitHub\eaglep3-reporting\EC\2016-11-26-refined-times.txt</v>
      </c>
      <c r="AI138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{"issue":{"subject":"","project_id":79,"tracker_id":40,"status_id":1,"priority_id":2,"assigned_to_id":23,"start_date":"2016-11-26","description":"","custom_fields":[{"id":1,"name":"Subdivision","value":"EC"},{"id":4,"name":"Milepost","value":"0.0129"},{"id":17,"name":"Train ID","value":"222-26"},{"id":16,"name":"Locomotive ID","value":"4030"},{"id":130,"name":"Impact","value":""},{"id":150,"name":"Time of Event (Mountain Time)","value":"20:33:50"},{"id":151,"name":"Denver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569</v>
      </c>
      <c r="B139" s="7">
        <v>4038</v>
      </c>
      <c r="C139" s="22" t="s">
        <v>216</v>
      </c>
      <c r="D139" s="22" t="s">
        <v>239</v>
      </c>
      <c r="E139" s="13">
        <v>42700.809131944443</v>
      </c>
      <c r="F139" s="13">
        <v>42700.812708333331</v>
      </c>
      <c r="G139" s="7">
        <v>1</v>
      </c>
      <c r="H139" s="22" t="s">
        <v>287</v>
      </c>
      <c r="I139" s="13">
        <v>42700.836712962962</v>
      </c>
      <c r="J139" s="7">
        <v>0</v>
      </c>
      <c r="K139" s="109" t="str">
        <f t="shared" si="33"/>
        <v>4037/4038</v>
      </c>
      <c r="L139" s="22" t="str">
        <f>VLOOKUP(A139,'Trips&amp;Operators'!$C$1:$E$10000,3,FALSE)</f>
        <v>NEWELL</v>
      </c>
      <c r="M139" s="6">
        <f t="shared" si="34"/>
        <v>2.400462963123573E-2</v>
      </c>
      <c r="N139" s="7">
        <f t="shared" si="35"/>
        <v>34.566666668979451</v>
      </c>
      <c r="O139" s="7"/>
      <c r="P139" s="7"/>
      <c r="Q139" s="23"/>
      <c r="R139" s="23"/>
      <c r="S139" s="35">
        <f t="shared" si="36"/>
        <v>1</v>
      </c>
      <c r="T139" s="50" t="str">
        <f t="shared" si="37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18:25:09-700',mode:absolute,to:'2016-11-26 21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9" s="52" t="str">
        <f t="shared" si="39"/>
        <v>N</v>
      </c>
      <c r="X139" s="177">
        <f t="shared" si="40"/>
        <v>1</v>
      </c>
      <c r="Y139" s="67">
        <f t="shared" si="41"/>
        <v>4.6600000000000003E-2</v>
      </c>
      <c r="Z139" s="67">
        <f t="shared" si="42"/>
        <v>23.3307</v>
      </c>
      <c r="AA139" s="67">
        <f t="shared" si="43"/>
        <v>23.284099999999999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44"/>
        <v>0223-26</v>
      </c>
      <c r="AE139" s="91" t="str">
        <f t="shared" si="45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139" s="88" t="str">
        <f t="shared" si="46"/>
        <v>"C:\Program Files (x86)\AstroGrep\AstroGrep.exe" /spath="%USERPROFILE%\AppData\Local\Temp\OnboardLogs" /stypes="app*4038*20161127*" /stext=" 03:.+((SYSTEM_STATE.+slice.+state.+changed )|(ment ac)|(multiple cpu faults)|(system.+state.+changed )|(\[timeout)|(PRM\|1\|D)|(kpr)|(kdp)|(\|lc)|(penalty))" /e /r /s</v>
      </c>
      <c r="AG139" s="1" t="str">
        <f t="shared" si="47"/>
        <v>EC</v>
      </c>
      <c r="AH139" s="92" t="str">
        <f t="shared" si="48"/>
        <v>"%USERPROFILE%\Documents\GitHub\eaglep3\Utilities\RefineRTDCRunTimes.py" --tripid 223-26 --locoid 4038 --swversion DE.1.0.8.0 --startMP 204:466 --initTime 2016-11-26T19:25:09 --startdatetime 2016-11-26T19:30:18 --delay 1 --endMP 204:233307 --enddatetime 2016-11-26T20:04:52 --enforcementcount 0 &gt;&gt;C:\Users\stu\Documents\GitHub\eaglep3-reporting\EC\2016-11-26-refined-times.txt</v>
      </c>
      <c r="AI139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{"issue":{"subject":"","project_id":79,"tracker_id":40,"status_id":1,"priority_id":2,"assigned_to_id":23,"start_date":"2016-11-26","description":"","custom_fields":[{"id":1,"name":"Subdivision","value":"EC"},{"id":4,"name":"Milepost","value":"23.3307"},{"id":17,"name":"Train ID","value":"223-26"},{"id":16,"name":"Locomotive ID","value":"4038"},{"id":130,"name":"Impact","value":""},{"id":150,"name":"Time of Event (Mountain Time)","value":"20:04:52"},{"id":151,"name":"Denver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574</v>
      </c>
      <c r="B140" s="7">
        <v>4037</v>
      </c>
      <c r="C140" s="22" t="s">
        <v>216</v>
      </c>
      <c r="D140" s="22" t="s">
        <v>281</v>
      </c>
      <c r="E140" s="13">
        <v>42700.843611111108</v>
      </c>
      <c r="F140" s="13">
        <v>42700.851759259262</v>
      </c>
      <c r="G140" s="7">
        <v>1</v>
      </c>
      <c r="H140" s="22" t="s">
        <v>223</v>
      </c>
      <c r="I140" s="13">
        <v>42700.878425925926</v>
      </c>
      <c r="J140" s="7">
        <v>0</v>
      </c>
      <c r="K140" s="109" t="str">
        <f t="shared" si="33"/>
        <v>4037/4038</v>
      </c>
      <c r="L140" s="22" t="str">
        <f>VLOOKUP(A140,'Trips&amp;Operators'!$C$1:$E$10000,3,FALSE)</f>
        <v>NEWELL</v>
      </c>
      <c r="M140" s="6">
        <f t="shared" si="34"/>
        <v>2.6666666664823424E-2</v>
      </c>
      <c r="N140" s="7">
        <f t="shared" si="35"/>
        <v>38.399999997345731</v>
      </c>
      <c r="O140" s="7"/>
      <c r="P140" s="7"/>
      <c r="Q140" s="23"/>
      <c r="R140" s="23"/>
      <c r="S140" s="35">
        <f t="shared" si="36"/>
        <v>1</v>
      </c>
      <c r="T140" s="50" t="str">
        <f t="shared" si="37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19:14:48-700',mode:absolute,to:'2016-11-26 22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0" s="52" t="str">
        <f t="shared" si="39"/>
        <v>N</v>
      </c>
      <c r="X140" s="177">
        <f t="shared" si="40"/>
        <v>1</v>
      </c>
      <c r="Y140" s="67">
        <f t="shared" si="41"/>
        <v>23.297799999999999</v>
      </c>
      <c r="Z140" s="67">
        <f t="shared" si="42"/>
        <v>1.4999999999999999E-2</v>
      </c>
      <c r="AA140" s="67">
        <f t="shared" si="43"/>
        <v>23.282799999999998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44"/>
        <v>0224-26</v>
      </c>
      <c r="AE140" s="91" t="str">
        <f t="shared" si="45"/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AF140" s="88" t="str">
        <f t="shared" si="46"/>
        <v>"C:\Program Files (x86)\AstroGrep\AstroGrep.exe" /spath="%USERPROFILE%\AppData\Local\Temp\OnboardLogs" /stypes="app*4037*20161127*" /stext=" 04:.+((SYSTEM_STATE.+slice.+state.+changed )|(ment ac)|(multiple cpu faults)|(system.+state.+changed )|(\[timeout)|(PRM\|1\|D)|(kpr)|(kdp)|(\|lc)|(penalty))" /e /r /s</v>
      </c>
      <c r="AG140" s="1" t="str">
        <f t="shared" si="47"/>
        <v>EC</v>
      </c>
      <c r="AH140" s="92" t="str">
        <f t="shared" si="48"/>
        <v>"%USERPROFILE%\Documents\GitHub\eaglep3\Utilities\RefineRTDCRunTimes.py" --tripid 224-26 --locoid 4037 --swversion DE.1.0.8.0 --startMP 204:232978 --initTime 2016-11-26T20:14:48 --startdatetime 2016-11-26T20:26:32 --delay 1 --endMP 204:150 --enddatetime 2016-11-26T21:04:56 --enforcementcount 0 &gt;&gt;C:\Users\stu\Documents\GitHub\eaglep3-reporting\EC\2016-11-26-refined-times.txt</v>
      </c>
      <c r="AI140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{"issue":{"subject":"","project_id":79,"tracker_id":40,"status_id":1,"priority_id":2,"assigned_to_id":23,"start_date":"2016-11-26","description":"","custom_fields":[{"id":1,"name":"Subdivision","value":"EC"},{"id":4,"name":"Milepost","value":"0.015"},{"id":17,"name":"Train ID","value":"224-26"},{"id":16,"name":"Locomotive ID","value":"4037"},{"id":130,"name":"Impact","value":""},{"id":150,"name":"Time of Event (Mountain Time)","value":"21:04:56"},{"id":151,"name":"Denver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573</v>
      </c>
      <c r="B141" s="7">
        <v>4031</v>
      </c>
      <c r="C141" s="22" t="s">
        <v>216</v>
      </c>
      <c r="D141" s="22" t="s">
        <v>279</v>
      </c>
      <c r="E141" s="13">
        <v>42700.828020833331</v>
      </c>
      <c r="F141" s="13">
        <v>42700.833541666667</v>
      </c>
      <c r="G141" s="7">
        <v>2</v>
      </c>
      <c r="H141" s="22" t="s">
        <v>255</v>
      </c>
      <c r="I141" s="13">
        <v>42700.860543981478</v>
      </c>
      <c r="J141" s="7">
        <v>0</v>
      </c>
      <c r="K141" s="109" t="str">
        <f t="shared" si="33"/>
        <v>4031/4032</v>
      </c>
      <c r="L141" s="22" t="str">
        <f>VLOOKUP(A141,'Trips&amp;Operators'!$C$1:$E$10000,3,FALSE)</f>
        <v>HOLCOMB</v>
      </c>
      <c r="M141" s="6">
        <f t="shared" si="34"/>
        <v>2.700231481139781E-2</v>
      </c>
      <c r="N141" s="7">
        <f t="shared" si="35"/>
        <v>38.883333328412846</v>
      </c>
      <c r="O141" s="7"/>
      <c r="P141" s="7"/>
      <c r="Q141" s="23"/>
      <c r="R141" s="23"/>
      <c r="S141" s="35">
        <f t="shared" si="36"/>
        <v>1</v>
      </c>
      <c r="T141" s="50" t="str">
        <f t="shared" si="37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https://search-rtdc-monitor-bjffxe2xuh6vdkpspy63sjmuny.us-east-1.es.amazonaws.com/_plugin/kibana/#/discover/Steve-Slow-Train-Analysis-(2080s-and-2083s)?_g=(refreshInterval:(display:Off,section:0,value:0),time:(from:'2016-11-26 18:52:21-700',mode:absolute,to:'2016-11-26 21:39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1" s="52" t="str">
        <f t="shared" si="39"/>
        <v>N</v>
      </c>
      <c r="X141" s="177">
        <f t="shared" si="40"/>
        <v>1</v>
      </c>
      <c r="Y141" s="67">
        <f t="shared" si="41"/>
        <v>4.4400000000000002E-2</v>
      </c>
      <c r="Z141" s="67">
        <f t="shared" si="42"/>
        <v>23.331399999999999</v>
      </c>
      <c r="AA141" s="67">
        <f t="shared" si="43"/>
        <v>23.286999999999999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si="44"/>
        <v>0225-26</v>
      </c>
      <c r="AE141" s="91" t="str">
        <f t="shared" si="45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141" s="88" t="str">
        <f t="shared" si="46"/>
        <v>"C:\Program Files (x86)\AstroGrep\AstroGrep.exe" /spath="%USERPROFILE%\AppData\Local\Temp\OnboardLogs" /stypes="app*4031*20161127*" /stext=" 03:.+((SYSTEM_STATE.+slice.+state.+changed )|(ment ac)|(multiple cpu faults)|(system.+state.+changed )|(\[timeout)|(PRM\|1\|D)|(kpr)|(kdp)|(\|lc)|(penalty))" /e /r /s</v>
      </c>
      <c r="AG141" s="1" t="str">
        <f t="shared" si="47"/>
        <v>EC</v>
      </c>
      <c r="AH141" s="92" t="str">
        <f t="shared" si="48"/>
        <v>"%USERPROFILE%\Documents\GitHub\eaglep3\Utilities\RefineRTDCRunTimes.py" --tripid 225-26 --locoid 4031 --swversion DE.1.0.8.0 --startMP 204:444 --initTime 2016-11-26T19:52:21 --startdatetime 2016-11-26T20:00:18 --delay 2 --endMP 204:233314 --enddatetime 2016-11-26T20:39:11 --enforcementcount 0 &gt;&gt;C:\Users\stu\Documents\GitHub\eaglep3-reporting\EC\2016-11-26-refined-times.txt</v>
      </c>
      <c r="AI141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{"issue":{"subject":"","project_id":79,"tracker_id":40,"status_id":1,"priority_id":2,"assigned_to_id":23,"start_date":"2016-11-26","description":"","custom_fields":[{"id":1,"name":"Subdivision","value":"EC"},{"id":4,"name":"Milepost","value":"23.3314"},{"id":17,"name":"Train ID","value":"225-26"},{"id":16,"name":"Locomotive ID","value":"4031"},{"id":130,"name":"Impact","value":""},{"id":150,"name":"Time of Event (Mountain Time)","value":"20:39:11"},{"id":151,"name":"Denver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576</v>
      </c>
      <c r="B142" s="7">
        <v>4032</v>
      </c>
      <c r="C142" s="22" t="s">
        <v>216</v>
      </c>
      <c r="D142" s="22" t="s">
        <v>242</v>
      </c>
      <c r="E142" s="13">
        <v>42700.868113425924</v>
      </c>
      <c r="F142" s="13">
        <v>42700.871944444443</v>
      </c>
      <c r="G142" s="7">
        <v>1</v>
      </c>
      <c r="H142" s="22" t="s">
        <v>195</v>
      </c>
      <c r="I142" s="13">
        <v>42700.900891203702</v>
      </c>
      <c r="J142" s="7">
        <v>0</v>
      </c>
      <c r="K142" s="109" t="str">
        <f t="shared" ref="K142:K205" si="50">IF(ISEVEN(B142),(B142-1)&amp;"/"&amp;B142,B142&amp;"/"&amp;(B142+1))</f>
        <v>4031/4032</v>
      </c>
      <c r="L142" s="22" t="str">
        <f>VLOOKUP(A142,'Trips&amp;Operators'!$C$1:$E$10000,3,FALSE)</f>
        <v>HOLCOMB</v>
      </c>
      <c r="M142" s="6">
        <f t="shared" ref="M142:M205" si="51">I142-F142</f>
        <v>2.8946759259270038E-2</v>
      </c>
      <c r="N142" s="7">
        <f t="shared" ref="N142:P205" si="52">24*60*SUM($M142:$M142)</f>
        <v>41.683333333348855</v>
      </c>
      <c r="O142" s="7"/>
      <c r="P142" s="7"/>
      <c r="Q142" s="23"/>
      <c r="R142" s="23"/>
      <c r="S142" s="35">
        <f t="shared" ref="S142:S205" si="53">SUM(U142:U142)/IF(AG142="EC",12,1)</f>
        <v>1</v>
      </c>
      <c r="T142" s="50" t="str">
        <f t="shared" ref="T142:T205" si="54">IF(ISEVEN(LEFT(AD142,4)),"Southbound","NorthBound")</f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ref="V142:V205" si="55"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https://search-rtdc-monitor-bjffxe2xuh6vdkpspy63sjmuny.us-east-1.es.amazonaws.com/_plugin/kibana/#/discover/Steve-Slow-Train-Analysis-(2080s-and-2083s)?_g=(refreshInterval:(display:Off,section:0,value:0),time:(from:'2016-11-26 19:50:05-700',mode:absolute,to:'2016-11-26 22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2" s="52" t="str">
        <f t="shared" ref="W142:W205" si="56">IF(AA142&lt;IF(AG142="EC",23,5.65),"Y","N")</f>
        <v>N</v>
      </c>
      <c r="X142" s="177">
        <f t="shared" ref="X142:X205" si="57">VALUE(LEFT(AD142,4))-VALUE(LEFT(AD141,4))</f>
        <v>1</v>
      </c>
      <c r="Y142" s="67">
        <f t="shared" ref="Y142:Y205" si="58">RIGHT(D142,LEN(D142)-4)/10000</f>
        <v>23.2987</v>
      </c>
      <c r="Z142" s="67">
        <f t="shared" ref="Z142:Z205" si="59">RIGHT(H142,LEN(H142)-4)/10000</f>
        <v>1.49E-2</v>
      </c>
      <c r="AA142" s="67">
        <f t="shared" ref="AA142:AA205" si="60">ABS(Z142-Y142)</f>
        <v>23.283799999999999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ref="AD142:AD205" si="61">IF(LEN(A142)=6,"0"&amp;A142,A142)</f>
        <v>0226-26</v>
      </c>
      <c r="AE142" s="91" t="str">
        <f t="shared" ref="AE142:AE205" si="62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AF142" s="88" t="str">
        <f t="shared" ref="AF142:AF205" si="63"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/stypes="app*4032*20161127*" /stext=" 04:.+((SYSTEM_STATE.+slice.+state.+changed )|(ment ac)|(multiple cpu faults)|(system.+state.+changed )|(\[timeout)|(PRM\|1\|D)|(kpr)|(kdp)|(\|lc)|(penalty))" /e /r /s</v>
      </c>
      <c r="AG142" s="1" t="str">
        <f t="shared" ref="AG142:AG205" si="64">IFERROR(IF(VALUE(LEFT(AD142,2))&lt;=2,"EC",IF(OR(VALUE(LEFT(AD142,2))=8,VALUE(LEFT(AD142,2))=18),"NW","Other")),"Other")</f>
        <v>EC</v>
      </c>
      <c r="AH142" s="92" t="str">
        <f t="shared" si="48"/>
        <v>"%USERPROFILE%\Documents\GitHub\eaglep3\Utilities\RefineRTDCRunTimes.py" --tripid 226-26 --locoid 4032 --swversion DE.1.0.8.0 --startMP 204:232987 --initTime 2016-11-26T20:50:05 --startdatetime 2016-11-26T20:55:36 --delay 1 --endMP 204:149 --enddatetime 2016-11-26T21:37:17 --enforcementcount 0 &gt;&gt;C:\Users\stu\Documents\GitHub\eaglep3-reporting\EC\2016-11-26-refined-times.txt</v>
      </c>
      <c r="AI142" s="119" t="str">
        <f t="shared" si="49"/>
        <v>echo {"issue":{"subject":"","project_id":79,"tracker_id":40,"status_id":1,"priority_id":2,"assigned_to_id":23,"start_date":"2016-11-26","description":"","custom_fields":[{"id":1,"name":"Subdivision","value":"EC"},{"id":4,"name":"Milepost","value":"0.0149"},{"id":17,"name":"Train ID","value":"226-26"},{"id":16,"name":"Locomotive ID","value":"4032"},{"id":130,"name":"Impact","value":""},{"id":150,"name":"Time of Event (Mountain Time)","value":"21:37:17"},{"id":151,"name":"Denver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417</v>
      </c>
      <c r="B143" s="7">
        <v>4003</v>
      </c>
      <c r="C143" s="22" t="s">
        <v>216</v>
      </c>
      <c r="D143" s="22" t="s">
        <v>318</v>
      </c>
      <c r="E143" s="13">
        <v>42700.850023148145</v>
      </c>
      <c r="F143" s="13">
        <v>42700.854594907411</v>
      </c>
      <c r="G143" s="7">
        <v>1</v>
      </c>
      <c r="H143" s="22" t="s">
        <v>376</v>
      </c>
      <c r="I143" s="13">
        <v>42700.881631944445</v>
      </c>
      <c r="J143" s="7">
        <v>2</v>
      </c>
      <c r="K143" s="109" t="str">
        <f t="shared" si="50"/>
        <v>4003/4004</v>
      </c>
      <c r="L143" s="22" t="str">
        <f>VLOOKUP(A143,'Trips&amp;Operators'!$C$1:$E$10000,3,FALSE)</f>
        <v>CHANDLER</v>
      </c>
      <c r="M143" s="6">
        <f t="shared" si="51"/>
        <v>2.7037037034460809E-2</v>
      </c>
      <c r="N143" s="7">
        <f t="shared" si="52"/>
        <v>38.933333329623565</v>
      </c>
      <c r="O143" s="7"/>
      <c r="P143" s="7"/>
      <c r="Q143" s="23"/>
      <c r="R143" s="23"/>
      <c r="S143" s="35">
        <f t="shared" si="53"/>
        <v>1</v>
      </c>
      <c r="T143" s="50" t="str">
        <f t="shared" si="54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19:24:02-700',mode:absolute,to:'2016-11-26 22:09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3" s="52" t="str">
        <f t="shared" si="56"/>
        <v>N</v>
      </c>
      <c r="X143" s="177">
        <f t="shared" si="57"/>
        <v>1</v>
      </c>
      <c r="Y143" s="67">
        <f t="shared" si="58"/>
        <v>4.6699999999999998E-2</v>
      </c>
      <c r="Z143" s="67">
        <f t="shared" si="59"/>
        <v>23.329899999999999</v>
      </c>
      <c r="AA143" s="67">
        <f t="shared" si="60"/>
        <v>23.283199999999997</v>
      </c>
      <c r="AB143" s="64" t="str">
        <f>VLOOKUP(A143,Enforcements!$C$7:$K$20,8,0)</f>
        <v>Speed (6)</v>
      </c>
      <c r="AC143" s="60" t="str">
        <f>VLOOKUP(A143,Enforcements!$C$7:$E$20,3,0)</f>
        <v>PERMANENT SPEED RESTRICTION</v>
      </c>
      <c r="AD143" s="61" t="str">
        <f t="shared" si="61"/>
        <v>0227-26</v>
      </c>
      <c r="AE143" s="91" t="str">
        <f t="shared" si="62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143" s="88" t="str">
        <f t="shared" si="63"/>
        <v>"C:\Program Files (x86)\AstroGrep\AstroGrep.exe" /spath="%USERPROFILE%\AppData\Local\Temp\OnboardLogs" /stypes="app*4003*20161127*" /stext=" 04:.+((SYSTEM_STATE.+slice.+state.+changed )|(ment ac)|(multiple cpu faults)|(system.+state.+changed )|(\[timeout)|(PRM\|1\|D)|(kpr)|(kdp)|(\|lc)|(penalty))" /e /r /s</v>
      </c>
      <c r="AG143" s="1" t="str">
        <f t="shared" si="64"/>
        <v>EC</v>
      </c>
      <c r="AH143" s="92" t="str">
        <f t="shared" ref="AH143:AH206" si="6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227-26 --locoid 4003 --swversion DE.1.0.8.0 --startMP 204:467 --initTime 2016-11-26T20:24:02 --startdatetime 2016-11-26T20:30:37 --delay 1 --endMP 204:233299 --enddatetime 2016-11-26T21:09:33 --enforcementcount 2 &gt;&gt;C:\Users\stu\Documents\GitHub\eaglep3-reporting\EC\2016-11-26-refined-times.txt</v>
      </c>
      <c r="AI143" s="119" t="str">
        <f t="shared" ref="AI143:AI206" si="6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{"issue":{"subject":"","project_id":79,"tracker_id":40,"status_id":1,"priority_id":2,"assigned_to_id":23,"start_date":"2016-11-26","description":"","custom_fields":[{"id":1,"name":"Subdivision","value":"EC"},{"id":4,"name":"Milepost","value":"23.3299"},{"id":17,"name":"Train ID","value":"227-26"},{"id":16,"name":"Locomotive ID","value":"4003"},{"id":130,"name":"Impact","value":""},{"id":150,"name":"Time of Event (Mountain Time)","value":"21:09:33"},{"id":151,"name":"Denver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579</v>
      </c>
      <c r="B144" s="7">
        <v>4004</v>
      </c>
      <c r="C144" s="22" t="s">
        <v>216</v>
      </c>
      <c r="D144" s="22" t="s">
        <v>266</v>
      </c>
      <c r="E144" s="13">
        <v>42700.889363425929</v>
      </c>
      <c r="F144" s="13">
        <v>42700.89334490741</v>
      </c>
      <c r="G144" s="7">
        <v>1</v>
      </c>
      <c r="H144" s="22" t="s">
        <v>301</v>
      </c>
      <c r="I144" s="13">
        <v>42700.92150462963</v>
      </c>
      <c r="J144" s="7">
        <v>0</v>
      </c>
      <c r="K144" s="109" t="str">
        <f t="shared" si="50"/>
        <v>4003/4004</v>
      </c>
      <c r="L144" s="22" t="str">
        <f>VLOOKUP(A144,'Trips&amp;Operators'!$C$1:$E$10000,3,FALSE)</f>
        <v>CHANDLER</v>
      </c>
      <c r="M144" s="6">
        <f t="shared" si="51"/>
        <v>2.8159722220152617E-2</v>
      </c>
      <c r="N144" s="7">
        <f t="shared" si="52"/>
        <v>40.549999997019768</v>
      </c>
      <c r="O144" s="7"/>
      <c r="P144" s="7"/>
      <c r="Q144" s="23"/>
      <c r="R144" s="23"/>
      <c r="S144" s="35">
        <f t="shared" si="53"/>
        <v>1</v>
      </c>
      <c r="T144" s="50" t="str">
        <f t="shared" si="54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20:20:41-700',mode:absolute,to:'2016-11-26 23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4" s="52" t="str">
        <f t="shared" si="56"/>
        <v>N</v>
      </c>
      <c r="X144" s="177">
        <f t="shared" si="57"/>
        <v>1</v>
      </c>
      <c r="Y144" s="67">
        <f t="shared" si="58"/>
        <v>23.2973</v>
      </c>
      <c r="Z144" s="67">
        <f t="shared" si="59"/>
        <v>1.72E-2</v>
      </c>
      <c r="AA144" s="67">
        <f t="shared" si="60"/>
        <v>23.280100000000001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61"/>
        <v>0228-26</v>
      </c>
      <c r="AE144" s="91" t="str">
        <f t="shared" si="62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144" s="88" t="str">
        <f t="shared" si="63"/>
        <v>"C:\Program Files (x86)\AstroGrep\AstroGrep.exe" /spath="%USERPROFILE%\AppData\Local\Temp\OnboardLogs" /stypes="app*4004*20161127*" /stext=" 05:.+((SYSTEM_STATE.+slice.+state.+changed )|(ment ac)|(multiple cpu faults)|(system.+state.+changed )|(\[timeout)|(PRM\|1\|D)|(kpr)|(kdp)|(\|lc)|(penalty))" /e /r /s</v>
      </c>
      <c r="AG144" s="1" t="str">
        <f t="shared" si="64"/>
        <v>EC</v>
      </c>
      <c r="AH144" s="92" t="str">
        <f t="shared" si="65"/>
        <v>"%USERPROFILE%\Documents\GitHub\eaglep3\Utilities\RefineRTDCRunTimes.py" --tripid 228-26 --locoid 4004 --swversion DE.1.0.8.0 --startMP 204:232973 --initTime 2016-11-26T21:20:41 --startdatetime 2016-11-26T21:26:25 --delay 1 --endMP 204:172 --enddatetime 2016-11-26T22:06:58 --enforcementcount 0 &gt;&gt;C:\Users\stu\Documents\GitHub\eaglep3-reporting\EC\2016-11-26-refined-times.txt</v>
      </c>
      <c r="AI144" s="119" t="str">
        <f t="shared" si="66"/>
        <v>echo {"issue":{"subject":"","project_id":79,"tracker_id":40,"status_id":1,"priority_id":2,"assigned_to_id":23,"start_date":"2016-11-26","description":"","custom_fields":[{"id":1,"name":"Subdivision","value":"EC"},{"id":4,"name":"Milepost","value":"0.0172"},{"id":17,"name":"Train ID","value":"228-26"},{"id":16,"name":"Locomotive ID","value":"4004"},{"id":130,"name":"Impact","value":""},{"id":150,"name":"Time of Event (Mountain Time)","value":"22:06:58"},{"id":151,"name":"Denver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577</v>
      </c>
      <c r="B145" s="7">
        <v>4029</v>
      </c>
      <c r="C145" s="22" t="s">
        <v>216</v>
      </c>
      <c r="D145" s="22" t="s">
        <v>694</v>
      </c>
      <c r="E145" s="13">
        <v>42700.870081018518</v>
      </c>
      <c r="F145" s="13">
        <v>42700.875162037039</v>
      </c>
      <c r="G145" s="7">
        <v>1</v>
      </c>
      <c r="H145" s="22" t="s">
        <v>695</v>
      </c>
      <c r="I145" s="13">
        <v>42700.901331018518</v>
      </c>
      <c r="J145" s="7">
        <v>0</v>
      </c>
      <c r="K145" s="109" t="str">
        <f t="shared" si="50"/>
        <v>4029/4030</v>
      </c>
      <c r="L145" s="22" t="str">
        <f>VLOOKUP(A145,'Trips&amp;Operators'!$C$1:$E$10000,3,FALSE)</f>
        <v>LEVIN</v>
      </c>
      <c r="M145" s="6">
        <f t="shared" si="51"/>
        <v>2.6168981479713693E-2</v>
      </c>
      <c r="N145" s="7">
        <f t="shared" si="52"/>
        <v>37.683333330787718</v>
      </c>
      <c r="O145" s="7"/>
      <c r="P145" s="7"/>
      <c r="Q145" s="23"/>
      <c r="R145" s="23"/>
      <c r="S145" s="35">
        <f t="shared" si="53"/>
        <v>1</v>
      </c>
      <c r="T145" s="50" t="str">
        <f t="shared" si="54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19:52:55-700',mode:absolute,to:'2016-11-26 22:37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5" s="52" t="str">
        <f t="shared" si="56"/>
        <v>N</v>
      </c>
      <c r="X145" s="177">
        <f t="shared" si="57"/>
        <v>1</v>
      </c>
      <c r="Y145" s="67">
        <f t="shared" si="58"/>
        <v>4.1300000000000003E-2</v>
      </c>
      <c r="Z145" s="67">
        <f t="shared" si="59"/>
        <v>23.334399999999999</v>
      </c>
      <c r="AA145" s="67">
        <f t="shared" si="60"/>
        <v>23.293099999999999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61"/>
        <v>0229-26</v>
      </c>
      <c r="AE145" s="91" t="str">
        <f t="shared" si="62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145" s="88" t="str">
        <f t="shared" si="63"/>
        <v>"C:\Program Files (x86)\AstroGrep\AstroGrep.exe" /spath="%USERPROFILE%\AppData\Local\Temp\OnboardLogs" /stypes="app*4029*20161127*" /stext=" 04:.+((SYSTEM_STATE.+slice.+state.+changed )|(ment ac)|(multiple cpu faults)|(system.+state.+changed )|(\[timeout)|(PRM\|1\|D)|(kpr)|(kdp)|(\|lc)|(penalty))" /e /r /s</v>
      </c>
      <c r="AG145" s="1" t="str">
        <f t="shared" si="64"/>
        <v>EC</v>
      </c>
      <c r="AH145" s="92" t="str">
        <f t="shared" si="65"/>
        <v>"%USERPROFILE%\Documents\GitHub\eaglep3\Utilities\RefineRTDCRunTimes.py" --tripid 229-26 --locoid 4029 --swversion DE.1.0.8.0 --startMP 204:413 --initTime 2016-11-26T20:52:55 --startdatetime 2016-11-26T21:00:14 --delay 1 --endMP 204:233344 --enddatetime 2016-11-26T21:37:55 --enforcementcount 0 &gt;&gt;C:\Users\stu\Documents\GitHub\eaglep3-reporting\EC\2016-11-26-refined-times.txt</v>
      </c>
      <c r="AI145" s="119" t="str">
        <f t="shared" si="66"/>
        <v>echo {"issue":{"subject":"","project_id":79,"tracker_id":40,"status_id":1,"priority_id":2,"assigned_to_id":23,"start_date":"2016-11-26","description":"","custom_fields":[{"id":1,"name":"Subdivision","value":"EC"},{"id":4,"name":"Milepost","value":"23.3344"},{"id":17,"name":"Train ID","value":"229-26"},{"id":16,"name":"Locomotive ID","value":"4029"},{"id":130,"name":"Impact","value":""},{"id":150,"name":"Time of Event (Mountain Time)","value":"21:37:55"},{"id":151,"name":"Denver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583</v>
      </c>
      <c r="B146" s="7">
        <v>4030</v>
      </c>
      <c r="C146" s="22" t="s">
        <v>216</v>
      </c>
      <c r="D146" s="22" t="s">
        <v>696</v>
      </c>
      <c r="E146" s="13">
        <v>42700.911851851852</v>
      </c>
      <c r="F146" s="13">
        <v>42700.914212962962</v>
      </c>
      <c r="G146" s="7">
        <v>0</v>
      </c>
      <c r="H146" s="22" t="s">
        <v>196</v>
      </c>
      <c r="I146" s="13">
        <v>42700.942129629628</v>
      </c>
      <c r="J146" s="7">
        <v>0</v>
      </c>
      <c r="K146" s="109" t="str">
        <f t="shared" si="50"/>
        <v>4029/4030</v>
      </c>
      <c r="L146" s="22" t="str">
        <f>VLOOKUP(A146,'Trips&amp;Operators'!$C$1:$E$10000,3,FALSE)</f>
        <v>LEVIN</v>
      </c>
      <c r="M146" s="6">
        <f t="shared" si="51"/>
        <v>2.7916666665987577E-2</v>
      </c>
      <c r="N146" s="7">
        <f t="shared" si="52"/>
        <v>40.199999999022111</v>
      </c>
      <c r="O146" s="7"/>
      <c r="P146" s="7"/>
      <c r="Q146" s="23"/>
      <c r="R146" s="23"/>
      <c r="S146" s="35">
        <f t="shared" si="53"/>
        <v>1</v>
      </c>
      <c r="T146" s="50" t="str">
        <f t="shared" si="54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20:53:04-700',mode:absolute,to:'2016-11-26 23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6" s="52" t="str">
        <f t="shared" si="56"/>
        <v>N</v>
      </c>
      <c r="X146" s="177">
        <f t="shared" si="57"/>
        <v>1</v>
      </c>
      <c r="Y146" s="67">
        <f t="shared" si="58"/>
        <v>23.302800000000001</v>
      </c>
      <c r="Z146" s="67">
        <f t="shared" si="59"/>
        <v>1.43E-2</v>
      </c>
      <c r="AA146" s="67">
        <f t="shared" si="60"/>
        <v>23.288500000000003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61"/>
        <v>0230-26</v>
      </c>
      <c r="AE146" s="91" t="str">
        <f t="shared" si="62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146" s="88" t="str">
        <f t="shared" si="63"/>
        <v>"C:\Program Files (x86)\AstroGrep\AstroGrep.exe" /spath="%USERPROFILE%\AppData\Local\Temp\OnboardLogs" /stypes="app*4030*20161127*" /stext=" 05:.+((SYSTEM_STATE.+slice.+state.+changed )|(ment ac)|(multiple cpu faults)|(system.+state.+changed )|(\[timeout)|(PRM\|1\|D)|(kpr)|(kdp)|(\|lc)|(penalty))" /e /r /s</v>
      </c>
      <c r="AG146" s="1" t="str">
        <f t="shared" si="64"/>
        <v>EC</v>
      </c>
      <c r="AH146" s="92" t="str">
        <f t="shared" si="65"/>
        <v>"%USERPROFILE%\Documents\GitHub\eaglep3\Utilities\RefineRTDCRunTimes.py" --tripid 230-26 --locoid 4030 --swversion DE.1.0.8.0 --startMP 204:233028 --initTime 2016-11-26T21:53:04 --startdatetime 2016-11-26T21:56:28 --delay 0 --endMP 204:143 --enddatetime 2016-11-26T22:36:40 --enforcementcount 0 &gt;&gt;C:\Users\stu\Documents\GitHub\eaglep3-reporting\EC\2016-11-26-refined-times.txt</v>
      </c>
      <c r="AI146" s="119" t="str">
        <f t="shared" si="66"/>
        <v>echo {"issue":{"subject":"","project_id":79,"tracker_id":40,"status_id":1,"priority_id":2,"assigned_to_id":23,"start_date":"2016-11-26","description":"","custom_fields":[{"id":1,"name":"Subdivision","value":"EC"},{"id":4,"name":"Milepost","value":"0.0143"},{"id":17,"name":"Train ID","value":"230-26"},{"id":16,"name":"Locomotive ID","value":"4030"},{"id":130,"name":"Impact","value":""},{"id":150,"name":"Time of Event (Mountain Time)","value":"22:36:40"},{"id":151,"name":"Denver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580</v>
      </c>
      <c r="B147" s="7">
        <v>4038</v>
      </c>
      <c r="C147" s="22" t="s">
        <v>216</v>
      </c>
      <c r="D147" s="22" t="s">
        <v>215</v>
      </c>
      <c r="E147" s="13">
        <v>42700.889930555553</v>
      </c>
      <c r="F147" s="13">
        <v>42700.896840277775</v>
      </c>
      <c r="G147" s="7">
        <v>2</v>
      </c>
      <c r="H147" s="22" t="s">
        <v>690</v>
      </c>
      <c r="I147" s="13">
        <v>42700.921712962961</v>
      </c>
      <c r="J147" s="7">
        <v>0</v>
      </c>
      <c r="K147" s="109" t="str">
        <f t="shared" si="50"/>
        <v>4037/4038</v>
      </c>
      <c r="L147" s="22" t="str">
        <f>VLOOKUP(A147,'Trips&amp;Operators'!$C$1:$E$10000,3,FALSE)</f>
        <v>NEWELL</v>
      </c>
      <c r="M147" s="6">
        <f t="shared" si="51"/>
        <v>2.4872685185982846E-2</v>
      </c>
      <c r="N147" s="7">
        <f t="shared" si="52"/>
        <v>35.816666667815298</v>
      </c>
      <c r="O147" s="7"/>
      <c r="P147" s="7"/>
      <c r="Q147" s="23"/>
      <c r="R147" s="23"/>
      <c r="S147" s="35">
        <f t="shared" si="53"/>
        <v>1</v>
      </c>
      <c r="T147" s="50" t="str">
        <f t="shared" si="54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20:21:30-700',mode:absolute,to:'2016-11-26 23:07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7" s="52" t="str">
        <f t="shared" si="56"/>
        <v>N</v>
      </c>
      <c r="X147" s="177">
        <f t="shared" si="57"/>
        <v>1</v>
      </c>
      <c r="Y147" s="67">
        <f t="shared" si="58"/>
        <v>4.6399999999999997E-2</v>
      </c>
      <c r="Z147" s="67">
        <f t="shared" si="59"/>
        <v>23.328600000000002</v>
      </c>
      <c r="AA147" s="67">
        <f t="shared" si="60"/>
        <v>23.282200000000003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61"/>
        <v>0231-26</v>
      </c>
      <c r="AE147" s="91" t="str">
        <f t="shared" si="62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147" s="88" t="str">
        <f t="shared" si="63"/>
        <v>"C:\Program Files (x86)\AstroGrep\AstroGrep.exe" /spath="%USERPROFILE%\AppData\Local\Temp\OnboardLogs" /stypes="app*4038*20161127*" /stext=" 05:.+((SYSTEM_STATE.+slice.+state.+changed )|(ment ac)|(multiple cpu faults)|(system.+state.+changed )|(\[timeout)|(PRM\|1\|D)|(kpr)|(kdp)|(\|lc)|(penalty))" /e /r /s</v>
      </c>
      <c r="AG147" s="1" t="str">
        <f t="shared" si="64"/>
        <v>EC</v>
      </c>
      <c r="AH147" s="92" t="str">
        <f t="shared" si="65"/>
        <v>"%USERPROFILE%\Documents\GitHub\eaglep3\Utilities\RefineRTDCRunTimes.py" --tripid 231-26 --locoid 4038 --swversion DE.1.0.8.0 --startMP 204:464 --initTime 2016-11-26T21:21:30 --startdatetime 2016-11-26T21:31:27 --delay 2 --endMP 204:233286 --enddatetime 2016-11-26T22:07:16 --enforcementcount 0 &gt;&gt;C:\Users\stu\Documents\GitHub\eaglep3-reporting\EC\2016-11-26-refined-times.txt</v>
      </c>
      <c r="AI147" s="119" t="str">
        <f t="shared" si="66"/>
        <v>echo {"issue":{"subject":"","project_id":79,"tracker_id":40,"status_id":1,"priority_id":2,"assigned_to_id":23,"start_date":"2016-11-26","description":"","custom_fields":[{"id":1,"name":"Subdivision","value":"EC"},{"id":4,"name":"Milepost","value":"23.3286"},{"id":17,"name":"Train ID","value":"231-26"},{"id":16,"name":"Locomotive ID","value":"4038"},{"id":130,"name":"Impact","value":""},{"id":150,"name":"Time of Event (Mountain Time)","value":"22:07:16"},{"id":151,"name":"Denver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585</v>
      </c>
      <c r="B148" s="7">
        <v>4037</v>
      </c>
      <c r="C148" s="22" t="s">
        <v>216</v>
      </c>
      <c r="D148" s="22" t="s">
        <v>317</v>
      </c>
      <c r="E148" s="13">
        <v>42700.927766203706</v>
      </c>
      <c r="F148" s="13">
        <v>42700.934999999998</v>
      </c>
      <c r="G148" s="7">
        <v>1</v>
      </c>
      <c r="H148" s="22" t="s">
        <v>264</v>
      </c>
      <c r="I148" s="13">
        <v>42700.964814814812</v>
      </c>
      <c r="J148" s="7">
        <v>0</v>
      </c>
      <c r="K148" s="109" t="str">
        <f t="shared" si="50"/>
        <v>4037/4038</v>
      </c>
      <c r="L148" s="22" t="str">
        <f>VLOOKUP(A148,'Trips&amp;Operators'!$C$1:$E$10000,3,FALSE)</f>
        <v>NEWELL</v>
      </c>
      <c r="M148" s="6">
        <f t="shared" si="51"/>
        <v>2.9814814814017154E-2</v>
      </c>
      <c r="N148" s="7">
        <f t="shared" si="52"/>
        <v>42.933333332184702</v>
      </c>
      <c r="O148" s="7"/>
      <c r="P148" s="7"/>
      <c r="Q148" s="23"/>
      <c r="R148" s="23"/>
      <c r="S148" s="35">
        <f t="shared" si="53"/>
        <v>1</v>
      </c>
      <c r="T148" s="50" t="str">
        <f t="shared" si="54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21:15:59-700',mode:absolute,to:'2016-11-27 00:09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8" s="52" t="str">
        <f t="shared" si="56"/>
        <v>N</v>
      </c>
      <c r="X148" s="177">
        <f t="shared" si="57"/>
        <v>1</v>
      </c>
      <c r="Y148" s="67">
        <f t="shared" si="58"/>
        <v>23.297999999999998</v>
      </c>
      <c r="Z148" s="67">
        <f t="shared" si="59"/>
        <v>1.61E-2</v>
      </c>
      <c r="AA148" s="67">
        <f t="shared" si="60"/>
        <v>23.281899999999997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61"/>
        <v>0232-26</v>
      </c>
      <c r="AE148" s="91" t="str">
        <f t="shared" si="62"/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AF148" s="88" t="str">
        <f t="shared" si="63"/>
        <v>"C:\Program Files (x86)\AstroGrep\AstroGrep.exe" /spath="%USERPROFILE%\AppData\Local\Temp\OnboardLogs" /stypes="app*4037*20161127*" /stext=" 06:.+((SYSTEM_STATE.+slice.+state.+changed )|(ment ac)|(multiple cpu faults)|(system.+state.+changed )|(\[timeout)|(PRM\|1\|D)|(kpr)|(kdp)|(\|lc)|(penalty))" /e /r /s</v>
      </c>
      <c r="AG148" s="1" t="str">
        <f t="shared" si="64"/>
        <v>EC</v>
      </c>
      <c r="AH148" s="92" t="str">
        <f t="shared" si="65"/>
        <v>"%USERPROFILE%\Documents\GitHub\eaglep3\Utilities\RefineRTDCRunTimes.py" --tripid 232-26 --locoid 4037 --swversion DE.1.0.8.0 --startMP 204:232980 --initTime 2016-11-26T22:15:59 --startdatetime 2016-11-26T22:26:24 --delay 1 --endMP 204:161 --enddatetime 2016-11-26T23:09:20 --enforcementcount 0 &gt;&gt;C:\Users\stu\Documents\GitHub\eaglep3-reporting\EC\2016-11-26-refined-times.txt</v>
      </c>
      <c r="AI148" s="119" t="str">
        <f t="shared" si="66"/>
        <v>echo {"issue":{"subject":"","project_id":79,"tracker_id":40,"status_id":1,"priority_id":2,"assigned_to_id":23,"start_date":"2016-11-26","description":"","custom_fields":[{"id":1,"name":"Subdivision","value":"EC"},{"id":4,"name":"Milepost","value":"0.0161"},{"id":17,"name":"Train ID","value":"232-26"},{"id":16,"name":"Locomotive ID","value":"4037"},{"id":130,"name":"Impact","value":""},{"id":150,"name":"Time of Event (Mountain Time)","value":"23:09:20"},{"id":151,"name":"Denver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582</v>
      </c>
      <c r="B149" s="7">
        <v>4031</v>
      </c>
      <c r="C149" s="22" t="s">
        <v>216</v>
      </c>
      <c r="D149" s="22" t="s">
        <v>279</v>
      </c>
      <c r="E149" s="13">
        <v>42700.906828703701</v>
      </c>
      <c r="F149" s="13">
        <v>42700.917094907411</v>
      </c>
      <c r="G149" s="7">
        <v>1</v>
      </c>
      <c r="H149" s="22" t="s">
        <v>697</v>
      </c>
      <c r="I149" s="13">
        <v>42700.942557870374</v>
      </c>
      <c r="J149" s="7">
        <v>0</v>
      </c>
      <c r="K149" s="109" t="str">
        <f t="shared" si="50"/>
        <v>4031/4032</v>
      </c>
      <c r="L149" s="22" t="str">
        <f>VLOOKUP(A149,'Trips&amp;Operators'!$C$1:$E$10000,3,FALSE)</f>
        <v>HOLCOMB</v>
      </c>
      <c r="M149" s="6">
        <f t="shared" si="51"/>
        <v>2.5462962963501923E-2</v>
      </c>
      <c r="N149" s="7">
        <f t="shared" si="52"/>
        <v>36.666666667442769</v>
      </c>
      <c r="O149" s="7"/>
      <c r="P149" s="7"/>
      <c r="Q149" s="23"/>
      <c r="R149" s="23"/>
      <c r="S149" s="35">
        <f t="shared" si="53"/>
        <v>1</v>
      </c>
      <c r="T149" s="50" t="str">
        <f t="shared" si="54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20:45:50-700',mode:absolute,to:'2016-11-26 23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9" s="52" t="str">
        <f t="shared" si="56"/>
        <v>N</v>
      </c>
      <c r="X149" s="177">
        <f t="shared" si="57"/>
        <v>1</v>
      </c>
      <c r="Y149" s="67">
        <f t="shared" si="58"/>
        <v>4.4400000000000002E-2</v>
      </c>
      <c r="Z149" s="67">
        <f t="shared" si="59"/>
        <v>23.333600000000001</v>
      </c>
      <c r="AA149" s="67">
        <f t="shared" si="60"/>
        <v>23.289200000000001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61"/>
        <v>0233-26</v>
      </c>
      <c r="AE149" s="91" t="str">
        <f t="shared" si="62"/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AF149" s="88" t="str">
        <f t="shared" si="63"/>
        <v>"C:\Program Files (x86)\AstroGrep\AstroGrep.exe" /spath="%USERPROFILE%\AppData\Local\Temp\OnboardLogs" /stypes="app*4031*20161127*" /stext=" 05:.+((SYSTEM_STATE.+slice.+state.+changed )|(ment ac)|(multiple cpu faults)|(system.+state.+changed )|(\[timeout)|(PRM\|1\|D)|(kpr)|(kdp)|(\|lc)|(penalty))" /e /r /s</v>
      </c>
      <c r="AG149" s="1" t="str">
        <f t="shared" si="64"/>
        <v>EC</v>
      </c>
      <c r="AH149" s="92" t="str">
        <f t="shared" si="65"/>
        <v>"%USERPROFILE%\Documents\GitHub\eaglep3\Utilities\RefineRTDCRunTimes.py" --tripid 233-26 --locoid 4031 --swversion DE.1.0.8.0 --startMP 204:444 --initTime 2016-11-26T21:45:50 --startdatetime 2016-11-26T22:00:37 --delay 1 --endMP 204:233336 --enddatetime 2016-11-26T22:37:17 --enforcementcount 0 &gt;&gt;C:\Users\stu\Documents\GitHub\eaglep3-reporting\EC\2016-11-26-refined-times.txt</v>
      </c>
      <c r="AI149" s="119" t="str">
        <f t="shared" si="66"/>
        <v>echo {"issue":{"subject":"","project_id":79,"tracker_id":40,"status_id":1,"priority_id":2,"assigned_to_id":23,"start_date":"2016-11-26","description":"","custom_fields":[{"id":1,"name":"Subdivision","value":"EC"},{"id":4,"name":"Milepost","value":"23.3336"},{"id":17,"name":"Train ID","value":"233-26"},{"id":16,"name":"Locomotive ID","value":"4031"},{"id":130,"name":"Impact","value":""},{"id":150,"name":"Time of Event (Mountain Time)","value":"22:37:17"},{"id":151,"name":"Denver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420</v>
      </c>
      <c r="B150" s="7">
        <v>4032</v>
      </c>
      <c r="C150" s="22" t="s">
        <v>216</v>
      </c>
      <c r="D150" s="22" t="s">
        <v>698</v>
      </c>
      <c r="E150" s="13">
        <v>42700.94390046296</v>
      </c>
      <c r="F150" s="13">
        <v>42700.956134259257</v>
      </c>
      <c r="G150" s="7">
        <v>3</v>
      </c>
      <c r="H150" s="22" t="s">
        <v>196</v>
      </c>
      <c r="I150" s="13">
        <v>42700.982905092591</v>
      </c>
      <c r="J150" s="7">
        <v>1</v>
      </c>
      <c r="K150" s="109" t="str">
        <f t="shared" si="50"/>
        <v>4031/4032</v>
      </c>
      <c r="L150" s="22" t="str">
        <f>VLOOKUP(A150,'Trips&amp;Operators'!$C$1:$E$10000,3,FALSE)</f>
        <v>HOLCOMB</v>
      </c>
      <c r="M150" s="6">
        <f t="shared" si="51"/>
        <v>2.6770833334012423E-2</v>
      </c>
      <c r="N150" s="7">
        <f t="shared" si="52"/>
        <v>38.550000000977889</v>
      </c>
      <c r="O150" s="7"/>
      <c r="P150" s="7"/>
      <c r="Q150" s="23"/>
      <c r="R150" s="23"/>
      <c r="S150" s="35">
        <f t="shared" si="53"/>
        <v>1</v>
      </c>
      <c r="T150" s="50" t="str">
        <f t="shared" si="54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21:39:13-700',mode:absolute,to:'2016-11-27 00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0" s="52" t="str">
        <f t="shared" si="56"/>
        <v>N</v>
      </c>
      <c r="X150" s="177">
        <f t="shared" si="57"/>
        <v>1</v>
      </c>
      <c r="Y150" s="67">
        <f t="shared" si="58"/>
        <v>23.302700000000002</v>
      </c>
      <c r="Z150" s="67">
        <f t="shared" si="59"/>
        <v>1.43E-2</v>
      </c>
      <c r="AA150" s="67">
        <f t="shared" si="60"/>
        <v>23.288400000000003</v>
      </c>
      <c r="AB150" s="64" t="str">
        <f>VLOOKUP(A150,Enforcements!$C$7:$K$20,8,0)</f>
        <v>Speed (6)</v>
      </c>
      <c r="AC150" s="60" t="str">
        <f>VLOOKUP(A150,Enforcements!$C$7:$E$20,3,0)</f>
        <v>PERMANENT SPEED RESTRICTION</v>
      </c>
      <c r="AD150" s="61" t="str">
        <f t="shared" si="61"/>
        <v>0234-26</v>
      </c>
      <c r="AE150" s="91" t="str">
        <f t="shared" si="62"/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AF150" s="88" t="str">
        <f t="shared" si="63"/>
        <v>"C:\Program Files (x86)\AstroGrep\AstroGrep.exe" /spath="%USERPROFILE%\AppData\Local\Temp\OnboardLogs" /stypes="app*4032*20161127*" /stext=" 06:.+((SYSTEM_STATE.+slice.+state.+changed )|(ment ac)|(multiple cpu faults)|(system.+state.+changed )|(\[timeout)|(PRM\|1\|D)|(kpr)|(kdp)|(\|lc)|(penalty))" /e /r /s</v>
      </c>
      <c r="AG150" s="1" t="str">
        <f t="shared" si="64"/>
        <v>EC</v>
      </c>
      <c r="AH150" s="92" t="str">
        <f t="shared" si="65"/>
        <v>"%USERPROFILE%\Documents\GitHub\eaglep3\Utilities\RefineRTDCRunTimes.py" --tripid 234-26 --locoid 4032 --swversion DE.1.0.8.0 --startMP 204:233027 --initTime 2016-11-26T22:39:13 --startdatetime 2016-11-26T22:56:50 --delay 3 --endMP 204:143 --enddatetime 2016-11-26T23:35:23 --enforcementcount 1 &gt;&gt;C:\Users\stu\Documents\GitHub\eaglep3-reporting\EC\2016-11-26-refined-times.txt</v>
      </c>
      <c r="AI150" s="119" t="str">
        <f t="shared" si="66"/>
        <v>echo {"issue":{"subject":"","project_id":79,"tracker_id":40,"status_id":1,"priority_id":2,"assigned_to_id":23,"start_date":"2016-11-26","description":"","custom_fields":[{"id":1,"name":"Subdivision","value":"EC"},{"id":4,"name":"Milepost","value":"0.0143"},{"id":17,"name":"Train ID","value":"234-26"},{"id":16,"name":"Locomotive ID","value":"4032"},{"id":130,"name":"Impact","value":""},{"id":150,"name":"Time of Event (Mountain Time)","value":"23:35:23"},{"id":151,"name":"Denver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586</v>
      </c>
      <c r="B151" s="7">
        <v>4003</v>
      </c>
      <c r="C151" s="22" t="s">
        <v>216</v>
      </c>
      <c r="D151" s="22" t="s">
        <v>239</v>
      </c>
      <c r="E151" s="13">
        <v>42700.933946759258</v>
      </c>
      <c r="F151" s="13">
        <v>42700.9377662037</v>
      </c>
      <c r="G151" s="7">
        <v>2</v>
      </c>
      <c r="H151" s="22" t="s">
        <v>199</v>
      </c>
      <c r="I151" s="13">
        <v>42700.962685185186</v>
      </c>
      <c r="J151" s="7">
        <v>0</v>
      </c>
      <c r="K151" s="109" t="str">
        <f t="shared" si="50"/>
        <v>4003/4004</v>
      </c>
      <c r="L151" s="22" t="str">
        <f>VLOOKUP(A151,'Trips&amp;Operators'!$C$1:$E$10000,3,FALSE)</f>
        <v>CHANDLER</v>
      </c>
      <c r="M151" s="6">
        <f t="shared" si="51"/>
        <v>2.4918981485825498E-2</v>
      </c>
      <c r="N151" s="7">
        <f t="shared" si="52"/>
        <v>35.883333339588717</v>
      </c>
      <c r="O151" s="7"/>
      <c r="P151" s="7"/>
      <c r="Q151" s="23"/>
      <c r="R151" s="23"/>
      <c r="S151" s="35">
        <f t="shared" si="53"/>
        <v>1</v>
      </c>
      <c r="T151" s="50" t="str">
        <f t="shared" si="54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21:24:53-700',mode:absolute,to:'2016-11-27 00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1" s="52" t="str">
        <f t="shared" si="56"/>
        <v>N</v>
      </c>
      <c r="X151" s="177">
        <f t="shared" si="57"/>
        <v>1</v>
      </c>
      <c r="Y151" s="67">
        <f t="shared" si="58"/>
        <v>4.6600000000000003E-2</v>
      </c>
      <c r="Z151" s="67">
        <f t="shared" si="59"/>
        <v>23.329499999999999</v>
      </c>
      <c r="AA151" s="67">
        <f t="shared" si="60"/>
        <v>23.282899999999998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61"/>
        <v>0235-26</v>
      </c>
      <c r="AE151" s="91" t="str">
        <f t="shared" si="62"/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AF151" s="88" t="str">
        <f t="shared" si="63"/>
        <v>"C:\Program Files (x86)\AstroGrep\AstroGrep.exe" /spath="%USERPROFILE%\AppData\Local\Temp\OnboardLogs" /stypes="app*4003*20161127*" /stext=" 06:.+((SYSTEM_STATE.+slice.+state.+changed )|(ment ac)|(multiple cpu faults)|(system.+state.+changed )|(\[timeout)|(PRM\|1\|D)|(kpr)|(kdp)|(\|lc)|(penalty))" /e /r /s</v>
      </c>
      <c r="AG151" s="1" t="str">
        <f t="shared" si="64"/>
        <v>EC</v>
      </c>
      <c r="AH151" s="92" t="str">
        <f t="shared" si="65"/>
        <v>"%USERPROFILE%\Documents\GitHub\eaglep3\Utilities\RefineRTDCRunTimes.py" --tripid 235-26 --locoid 4003 --swversion DE.1.0.8.0 --startMP 204:466 --initTime 2016-11-26T22:24:53 --startdatetime 2016-11-26T22:30:23 --delay 2 --endMP 204:233295 --enddatetime 2016-11-26T23:06:16 --enforcementcount 0 &gt;&gt;C:\Users\stu\Documents\GitHub\eaglep3-reporting\EC\2016-11-26-refined-times.txt</v>
      </c>
      <c r="AI151" s="119" t="str">
        <f t="shared" si="66"/>
        <v>echo {"issue":{"subject":"","project_id":79,"tracker_id":40,"status_id":1,"priority_id":2,"assigned_to_id":23,"start_date":"2016-11-26","description":"","custom_fields":[{"id":1,"name":"Subdivision","value":"EC"},{"id":4,"name":"Milepost","value":"23.3295"},{"id":17,"name":"Train ID","value":"235-26"},{"id":16,"name":"Locomotive ID","value":"4003"},{"id":130,"name":"Impact","value":""},{"id":150,"name":"Time of Event (Mountain Time)","value":"23:06:16"},{"id":151,"name":"Denver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590</v>
      </c>
      <c r="B152" s="7">
        <v>4004</v>
      </c>
      <c r="C152" s="22" t="s">
        <v>216</v>
      </c>
      <c r="D152" s="22" t="s">
        <v>239</v>
      </c>
      <c r="E152" s="13">
        <v>42700.933946759258</v>
      </c>
      <c r="F152" s="13">
        <v>42700.975914351853</v>
      </c>
      <c r="G152" s="7">
        <v>2</v>
      </c>
      <c r="H152" s="22" t="s">
        <v>199</v>
      </c>
      <c r="I152" s="13">
        <v>42701.007615740738</v>
      </c>
      <c r="J152" s="7">
        <v>0</v>
      </c>
      <c r="K152" s="109" t="str">
        <f t="shared" ref="K152" si="67">IF(ISEVEN(B152),(B152-1)&amp;"/"&amp;B152,B152&amp;"/"&amp;(B152+1))</f>
        <v>4003/4004</v>
      </c>
      <c r="L152" s="22" t="str">
        <f>VLOOKUP(A152,'Trips&amp;Operators'!$C$1:$E$10000,3,FALSE)</f>
        <v>CHANDLER</v>
      </c>
      <c r="M152" s="6">
        <f t="shared" ref="M152" si="68">I152-F152</f>
        <v>3.1701388885267079E-2</v>
      </c>
      <c r="N152" s="7"/>
      <c r="O152" s="7"/>
      <c r="P152" s="7">
        <f t="shared" si="52"/>
        <v>45.649999994784594</v>
      </c>
      <c r="Q152" s="23"/>
      <c r="R152" s="23" t="s">
        <v>748</v>
      </c>
      <c r="S152" s="35">
        <f t="shared" ref="S152" si="69">SUM(U152:U152)/IF(AG152="EC",12,1)</f>
        <v>0</v>
      </c>
      <c r="T152" s="50" t="str">
        <f t="shared" ref="T152" si="70">IF(ISEVEN(LEFT(AD152,4)),"Southbound","NorthBound")</f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98" t="str">
        <f t="shared" ref="V152" si="71"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https://search-rtdc-monitor-bjffxe2xuh6vdkpspy63sjmuny.us-east-1.es.amazonaws.com/_plugin/kibana/#/discover/Steve-Slow-Train-Analysis-(2080s-and-2083s)?_g=(refreshInterval:(display:Off,section:0,value:0),time:(from:'2016-11-26 21:24:53-700',mode:absolute,to:'2016-11-27 01:10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2" s="52" t="str">
        <f t="shared" ref="W152" si="72">IF(AA152&lt;IF(AG152="EC",23,5.65),"Y","N")</f>
        <v>N</v>
      </c>
      <c r="X152" s="177">
        <f t="shared" ref="X152:X153" si="73">VALUE(LEFT(AD152,4))-VALUE(LEFT(AD151,4))</f>
        <v>1</v>
      </c>
      <c r="Y152" s="67">
        <f t="shared" ref="Y152" si="74">RIGHT(D152,LEN(D152)-4)/10000</f>
        <v>4.6600000000000003E-2</v>
      </c>
      <c r="Z152" s="67">
        <f t="shared" ref="Z152" si="75">RIGHT(H152,LEN(H152)-4)/10000</f>
        <v>23.329499999999999</v>
      </c>
      <c r="AA152" s="67">
        <f t="shared" ref="AA152" si="76">ABS(Z152-Y152)</f>
        <v>23.282899999999998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ref="AD152" si="77">IF(LEN(A152)=6,"0"&amp;A152,A152)</f>
        <v>0236-26</v>
      </c>
      <c r="AE152" s="91" t="str">
        <f t="shared" ref="AE152" si="78"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152" s="88" t="str">
        <f t="shared" ref="AF152" si="79"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/stypes="app*4004*20161127*" /stext=" 07:.+((SYSTEM_STATE.+slice.+state.+changed )|(ment ac)|(multiple cpu faults)|(system.+state.+changed )|(\[timeout)|(PRM\|1\|D)|(kpr)|(kdp)|(\|lc)|(penalty))" /e /r /s</v>
      </c>
      <c r="AG152" s="1" t="str">
        <f t="shared" ref="AG152" si="80">IFERROR(IF(VALUE(LEFT(AD152,2))&lt;=2,"EC",IF(OR(VALUE(LEFT(AD152,2))=8,VALUE(LEFT(AD152,2))=18),"NW","Other")),"Other")</f>
        <v>EC</v>
      </c>
      <c r="AH152" s="92" t="str">
        <f t="shared" ref="AH152" si="81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236-26 --locoid 4004 --swversion DE.1.0.8.0 --startMP 204:466 --initTime 2016-11-26T22:24:53 --startdatetime 2016-11-26T23:25:19 --delay 2 --endMP 204:233295 --enddatetime 2016-11-27T00:10:58 --enforcementcount 0 &gt;&gt;C:\Users\stu\Documents\GitHub\eaglep3-reporting\EC\2016-11-26-refined-times.txt</v>
      </c>
      <c r="AI152" s="119" t="str">
        <f t="shared" ref="AI152" si="82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failure","project_id":79,"tracker_id":40,"status_id":1,"priority_id":2,"assigned_to_id":23,"start_date":"2016-11-27","description":"See logs","custom_fields":[{"id":1,"name":"Subdivision","value":"EC"},{"id":4,"name":"Milepost","value":"23.3295"},{"id":17,"name":"Train ID","value":"236-26"},{"id":16,"name":"Locomotive ID","value":"4004"},{"id":130,"name":"Impact","value":"Failed State"},{"id":150,"name":"Time of Event (Mountain Time)","value":"00:10:58"},{"id":151,"name":"Denver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52" s="53" t="s">
        <v>863</v>
      </c>
      <c r="AK152" s="53" t="s">
        <v>128</v>
      </c>
      <c r="AL152" s="53" t="s">
        <v>177</v>
      </c>
    </row>
    <row r="153" spans="1:91" x14ac:dyDescent="0.25">
      <c r="A153" s="37" t="s">
        <v>588</v>
      </c>
      <c r="B153" s="7">
        <v>4029</v>
      </c>
      <c r="C153" s="22" t="s">
        <v>216</v>
      </c>
      <c r="D153" s="22" t="s">
        <v>240</v>
      </c>
      <c r="E153" s="13">
        <v>42700.953761574077</v>
      </c>
      <c r="F153" s="13">
        <v>42700.958495370367</v>
      </c>
      <c r="G153" s="7">
        <v>1</v>
      </c>
      <c r="H153" s="22" t="s">
        <v>693</v>
      </c>
      <c r="I153" s="13">
        <v>42700.983032407406</v>
      </c>
      <c r="J153" s="7">
        <v>0</v>
      </c>
      <c r="K153" s="109" t="str">
        <f t="shared" si="50"/>
        <v>4029/4030</v>
      </c>
      <c r="L153" s="22" t="str">
        <f>VLOOKUP(A153,'Trips&amp;Operators'!$C$1:$E$10000,3,FALSE)</f>
        <v>LEVIN</v>
      </c>
      <c r="M153" s="6">
        <f t="shared" si="51"/>
        <v>2.453703703940846E-2</v>
      </c>
      <c r="N153" s="7">
        <f t="shared" si="52"/>
        <v>35.333333336748183</v>
      </c>
      <c r="O153" s="7"/>
      <c r="P153" s="7"/>
      <c r="Q153" s="23"/>
      <c r="R153" s="23"/>
      <c r="S153" s="35">
        <f t="shared" si="53"/>
        <v>1</v>
      </c>
      <c r="T153" s="50" t="str">
        <f t="shared" si="54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21:53:25-700',mode:absolute,to:'2016-11-27 00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3" s="52" t="str">
        <f t="shared" si="56"/>
        <v>N</v>
      </c>
      <c r="X153" s="177">
        <f t="shared" si="73"/>
        <v>1</v>
      </c>
      <c r="Y153" s="67">
        <f t="shared" si="58"/>
        <v>4.4900000000000002E-2</v>
      </c>
      <c r="Z153" s="67">
        <f t="shared" si="59"/>
        <v>23.3338</v>
      </c>
      <c r="AA153" s="67">
        <f t="shared" si="60"/>
        <v>23.288900000000002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61"/>
        <v>0237-26</v>
      </c>
      <c r="AE153" s="91" t="str">
        <f t="shared" si="62"/>
        <v>aws s3 cp s3://rtdc.mdm.uploadarchive.raw/RTDC4029/ "%USERPROFILE%\AppData\Local\Temp\OnboardLogs"\RTDC4029\2016-11-26 --exclude "*" --recursive --include "*20161126*" &amp; "%USERPROFILE%\Documents\GitHub\mrs-test-scripts\Headless Mode &amp; Sideloading\WalkAndUnGZ.bat" "%USERPROFILE%\AppData\Local\Temp\OnboardLogs"\RTDC4029\2016-11-26 &amp; 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</v>
      </c>
      <c r="AF153" s="88" t="str">
        <f t="shared" si="63"/>
        <v>"C:\Program Files (x86)\AstroGrep\AstroGrep.exe" /spath="%USERPROFILE%\AppData\Local\Temp\OnboardLogs" /stypes="app*4029*20161127*" /stext=" 06:.+((SYSTEM_STATE.+slice.+state.+changed )|(ment ac)|(multiple cpu faults)|(system.+state.+changed )|(\[timeout)|(PRM\|1\|D)|(kpr)|(kdp)|(\|lc)|(penalty))" /e /r /s</v>
      </c>
      <c r="AG153" s="1" t="str">
        <f t="shared" si="64"/>
        <v>EC</v>
      </c>
      <c r="AH153" s="92" t="str">
        <f t="shared" si="65"/>
        <v>"%USERPROFILE%\Documents\GitHub\eaglep3\Utilities\RefineRTDCRunTimes.py" --tripid 237-26 --locoid 4029 --swversion DE.1.0.8.0 --startMP 204:449 --initTime 2016-11-26T22:53:25 --startdatetime 2016-11-26T23:00:14 --delay 1 --endMP 204:233338 --enddatetime 2016-11-26T23:35:34 --enforcementcount 0 &gt;&gt;C:\Users\stu\Documents\GitHub\eaglep3-reporting\EC\2016-11-26-refined-times.txt</v>
      </c>
      <c r="AI153" s="119" t="str">
        <f t="shared" si="66"/>
        <v>echo {"issue":{"subject":"","project_id":79,"tracker_id":40,"status_id":1,"priority_id":2,"assigned_to_id":23,"start_date":"2016-11-26","description":"","custom_fields":[{"id":1,"name":"Subdivision","value":"EC"},{"id":4,"name":"Milepost","value":"23.3338"},{"id":17,"name":"Train ID","value":"237-26"},{"id":16,"name":"Locomotive ID","value":"4029"},{"id":130,"name":"Impact","value":""},{"id":150,"name":"Time of Event (Mountain Time)","value":"23:35:34"},{"id":151,"name":"Denver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592</v>
      </c>
      <c r="B154" s="7">
        <v>4030</v>
      </c>
      <c r="C154" s="22" t="s">
        <v>216</v>
      </c>
      <c r="D154" s="22" t="s">
        <v>699</v>
      </c>
      <c r="E154" s="13">
        <v>42700.993379629632</v>
      </c>
      <c r="F154" s="13">
        <v>42700.997511574074</v>
      </c>
      <c r="G154" s="7">
        <v>1</v>
      </c>
      <c r="H154" s="22" t="s">
        <v>252</v>
      </c>
      <c r="I154" s="13">
        <v>42701.029085648152</v>
      </c>
      <c r="J154" s="7">
        <v>0</v>
      </c>
      <c r="K154" s="109" t="str">
        <f t="shared" si="50"/>
        <v>4029/4030</v>
      </c>
      <c r="L154" s="22" t="str">
        <f>VLOOKUP(A154,'Trips&amp;Operators'!$C$1:$E$10000,3,FALSE)</f>
        <v>LEVIN</v>
      </c>
      <c r="M154" s="6">
        <f t="shared" si="51"/>
        <v>3.1574074077070691E-2</v>
      </c>
      <c r="N154" s="7">
        <f t="shared" si="52"/>
        <v>45.466666670981795</v>
      </c>
      <c r="O154" s="7"/>
      <c r="P154" s="7"/>
      <c r="Q154" s="23"/>
      <c r="R154" s="23"/>
      <c r="S154" s="35">
        <f t="shared" si="53"/>
        <v>1</v>
      </c>
      <c r="T154" s="50" t="str">
        <f t="shared" si="54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22:50:28-700',mode:absolute,to:'2016-11-27 01:41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4" s="52" t="str">
        <f t="shared" si="56"/>
        <v>N</v>
      </c>
      <c r="X154" s="177">
        <f t="shared" si="57"/>
        <v>1</v>
      </c>
      <c r="Y154" s="67">
        <f t="shared" si="58"/>
        <v>23.302499999999998</v>
      </c>
      <c r="Z154" s="67">
        <f t="shared" si="59"/>
        <v>1.47E-2</v>
      </c>
      <c r="AA154" s="67">
        <f t="shared" si="60"/>
        <v>23.287799999999997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61"/>
        <v>0238-26</v>
      </c>
      <c r="AE154" s="91" t="str">
        <f t="shared" si="62"/>
        <v>aws s3 cp s3://rtdc.mdm.uploadarchive.raw/RTDC4030/ "%USERPROFILE%\AppData\Local\Temp\OnboardLogs"\RTDC4030\2016-11-26 --exclude "*" --recursive --include "*20161126*" &amp; "%USERPROFILE%\Documents\GitHub\mrs-test-scripts\Headless Mode &amp; Sideloading\WalkAndUnGZ.bat" "%USERPROFILE%\AppData\Local\Temp\OnboardLogs"\RTDC4030\2016-11-26 &amp; 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</v>
      </c>
      <c r="AF154" s="88" t="str">
        <f t="shared" si="63"/>
        <v>"C:\Program Files (x86)\AstroGrep\AstroGrep.exe" /spath="%USERPROFILE%\AppData\Local\Temp\OnboardLogs" /stypes="app*4030*20161127*" /stext=" 07:.+((SYSTEM_STATE.+slice.+state.+changed )|(ment ac)|(multiple cpu faults)|(system.+state.+changed )|(\[timeout)|(PRM\|1\|D)|(kpr)|(kdp)|(\|lc)|(penalty))" /e /r /s</v>
      </c>
      <c r="AG154" s="1" t="str">
        <f t="shared" si="64"/>
        <v>EC</v>
      </c>
      <c r="AH154" s="92" t="str">
        <f t="shared" si="65"/>
        <v>"%USERPROFILE%\Documents\GitHub\eaglep3\Utilities\RefineRTDCRunTimes.py" --tripid 238-26 --locoid 4030 --swversion DE.1.0.8.0 --startMP 204:233025 --initTime 2016-11-26T23:50:28 --startdatetime 2016-11-26T23:56:25 --delay 1 --endMP 204:147 --enddatetime 2016-11-27T00:41:53 --enforcementcount 0 &gt;&gt;C:\Users\stu\Documents\GitHub\eaglep3-reporting\EC\2016-11-26-refined-times.txt</v>
      </c>
      <c r="AI154" s="119" t="str">
        <f t="shared" si="66"/>
        <v>echo {"issue":{"subject":"","project_id":79,"tracker_id":40,"status_id":1,"priority_id":2,"assigned_to_id":23,"start_date":"2016-11-27","description":"","custom_fields":[{"id":1,"name":"Subdivision","value":"EC"},{"id":4,"name":"Milepost","value":"0.0147"},{"id":17,"name":"Train ID","value":"238-26"},{"id":16,"name":"Locomotive ID","value":"4030"},{"id":130,"name":"Impact","value":""},{"id":150,"name":"Time of Event (Mountain Time)","value":"00:41:53"},{"id":151,"name":"Denver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421</v>
      </c>
      <c r="B155" s="7">
        <v>4038</v>
      </c>
      <c r="C155" s="22" t="s">
        <v>216</v>
      </c>
      <c r="D155" s="22" t="s">
        <v>269</v>
      </c>
      <c r="E155" s="13">
        <v>42700.968993055554</v>
      </c>
      <c r="F155" s="13">
        <v>42700.979386574072</v>
      </c>
      <c r="G155" s="7">
        <v>2</v>
      </c>
      <c r="H155" s="22" t="s">
        <v>685</v>
      </c>
      <c r="I155" s="13">
        <v>42701.009050925924</v>
      </c>
      <c r="J155" s="7">
        <v>2</v>
      </c>
      <c r="K155" s="109" t="str">
        <f t="shared" si="50"/>
        <v>4037/4038</v>
      </c>
      <c r="L155" s="22" t="str">
        <f>VLOOKUP(A155,'Trips&amp;Operators'!$C$1:$E$10000,3,FALSE)</f>
        <v>NELSON</v>
      </c>
      <c r="M155" s="6">
        <f t="shared" si="51"/>
        <v>2.9664351852261461E-2</v>
      </c>
      <c r="N155" s="7">
        <f t="shared" si="52"/>
        <v>42.716666667256504</v>
      </c>
      <c r="O155" s="7"/>
      <c r="P155" s="7"/>
      <c r="Q155" s="23"/>
      <c r="R155" s="23"/>
      <c r="S155" s="35">
        <f t="shared" si="53"/>
        <v>1</v>
      </c>
      <c r="T155" s="50" t="str">
        <f t="shared" si="54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22:15:21-700',mode:absolute,to:'2016-11-27 01:13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5" s="52" t="str">
        <f t="shared" si="56"/>
        <v>N</v>
      </c>
      <c r="X155" s="177">
        <f t="shared" si="57"/>
        <v>1</v>
      </c>
      <c r="Y155" s="67">
        <f t="shared" si="58"/>
        <v>4.5699999999999998E-2</v>
      </c>
      <c r="Z155" s="67">
        <f t="shared" si="59"/>
        <v>23.331800000000001</v>
      </c>
      <c r="AA155" s="67">
        <f t="shared" si="60"/>
        <v>23.286100000000001</v>
      </c>
      <c r="AB155" s="64" t="str">
        <f>VLOOKUP(A155,Enforcements!$C$7:$K$20,8,0)</f>
        <v>Signal based authority (5)</v>
      </c>
      <c r="AC155" s="60" t="str">
        <f>VLOOKUP(A155,Enforcements!$C$7:$E$20,3,0)</f>
        <v>SIGNAL</v>
      </c>
      <c r="AD155" s="61" t="str">
        <f t="shared" si="61"/>
        <v>0239-26</v>
      </c>
      <c r="AE155" s="91" t="str">
        <f t="shared" si="62"/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AF155" s="88" t="str">
        <f t="shared" si="63"/>
        <v>"C:\Program Files (x86)\AstroGrep\AstroGrep.exe" /spath="%USERPROFILE%\AppData\Local\Temp\OnboardLogs" /stypes="app*4038*20161127*" /stext=" 07:.+((SYSTEM_STATE.+slice.+state.+changed )|(ment ac)|(multiple cpu faults)|(system.+state.+changed )|(\[timeout)|(PRM\|1\|D)|(kpr)|(kdp)|(\|lc)|(penalty))" /e /r /s</v>
      </c>
      <c r="AG155" s="1" t="str">
        <f t="shared" si="64"/>
        <v>EC</v>
      </c>
      <c r="AH155" s="92" t="str">
        <f t="shared" si="65"/>
        <v>"%USERPROFILE%\Documents\GitHub\eaglep3\Utilities\RefineRTDCRunTimes.py" --tripid 239-26 --locoid 4038 --swversion DE.1.0.8.0 --startMP 204:457 --initTime 2016-11-26T23:15:21 --startdatetime 2016-11-26T23:30:19 --delay 2 --endMP 204:233318 --enddatetime 2016-11-27T00:13:02 --enforcementcount 2 &gt;&gt;C:\Users\stu\Documents\GitHub\eaglep3-reporting\EC\2016-11-26-refined-times.txt</v>
      </c>
      <c r="AI155" s="119" t="str">
        <f t="shared" si="66"/>
        <v>echo {"issue":{"subject":"","project_id":79,"tracker_id":40,"status_id":1,"priority_id":2,"assigned_to_id":23,"start_date":"2016-11-27","description":"","custom_fields":[{"id":1,"name":"Subdivision","value":"EC"},{"id":4,"name":"Milepost","value":"23.3318"},{"id":17,"name":"Train ID","value":"239-26"},{"id":16,"name":"Locomotive ID","value":"4038"},{"id":130,"name":"Impact","value":""},{"id":150,"name":"Time of Event (Mountain Time)","value":"00:13:02"},{"id":151,"name":"Denver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593</v>
      </c>
      <c r="B156" s="7">
        <v>4037</v>
      </c>
      <c r="C156" s="22" t="s">
        <v>216</v>
      </c>
      <c r="D156" s="22" t="s">
        <v>631</v>
      </c>
      <c r="E156" s="13">
        <v>42701.015370370369</v>
      </c>
      <c r="F156" s="13">
        <v>42701.01829861111</v>
      </c>
      <c r="G156" s="7">
        <v>2</v>
      </c>
      <c r="H156" s="22" t="s">
        <v>238</v>
      </c>
      <c r="I156" s="13">
        <v>42701.049328703702</v>
      </c>
      <c r="J156" s="7">
        <v>0</v>
      </c>
      <c r="K156" s="109" t="str">
        <f t="shared" si="50"/>
        <v>4037/4038</v>
      </c>
      <c r="L156" s="22" t="str">
        <f>VLOOKUP(A156,'Trips&amp;Operators'!$C$1:$E$10000,3,FALSE)</f>
        <v>NELSON</v>
      </c>
      <c r="M156" s="6">
        <f t="shared" si="51"/>
        <v>3.1030092592118308E-2</v>
      </c>
      <c r="N156" s="7">
        <f t="shared" si="52"/>
        <v>44.683333332650363</v>
      </c>
      <c r="O156" s="7"/>
      <c r="P156" s="7"/>
      <c r="Q156" s="23"/>
      <c r="R156" s="23"/>
      <c r="S156" s="35">
        <f t="shared" si="53"/>
        <v>1</v>
      </c>
      <c r="T156" s="50" t="str">
        <f t="shared" si="54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23:22:08-700',mode:absolute,to:'2016-11-27 02:11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6" s="52" t="str">
        <f t="shared" si="56"/>
        <v>N</v>
      </c>
      <c r="X156" s="177">
        <f t="shared" si="57"/>
        <v>1</v>
      </c>
      <c r="Y156" s="67">
        <f t="shared" si="58"/>
        <v>23.298200000000001</v>
      </c>
      <c r="Z156" s="67">
        <f t="shared" si="59"/>
        <v>1.54E-2</v>
      </c>
      <c r="AA156" s="67">
        <f t="shared" si="60"/>
        <v>23.282800000000002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61"/>
        <v>0240-26</v>
      </c>
      <c r="AE156" s="91" t="str">
        <f t="shared" si="62"/>
        <v>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 &amp; aws s3 cp s3://rtdc.mdm.uploadarchive.raw/RTDC4037/ "%USERPROFILE%\AppData\Local\Temp\OnboardLogs"\RTDC4037\2016-11-28 --exclude "*" --recursive --include "*20161128*" &amp; "%USERPROFILE%\Documents\GitHub\mrs-test-scripts\Headless Mode &amp; Sideloading\WalkAndUnGZ.bat" "%USERPROFILE%\AppData\Local\Temp\OnboardLogs"\RTDC4037\2016-11-28</v>
      </c>
      <c r="AF156" s="88" t="str">
        <f t="shared" si="63"/>
        <v>"C:\Program Files (x86)\AstroGrep\AstroGrep.exe" /spath="%USERPROFILE%\AppData\Local\Temp\OnboardLogs" /stypes="app*4037*20161127*" /stext=" 08:.+((SYSTEM_STATE.+slice.+state.+changed )|(ment ac)|(multiple cpu faults)|(system.+state.+changed )|(\[timeout)|(PRM\|1\|D)|(kpr)|(kdp)|(\|lc)|(penalty))" /e /r /s</v>
      </c>
      <c r="AG156" s="1" t="str">
        <f t="shared" si="64"/>
        <v>EC</v>
      </c>
      <c r="AH156" s="92" t="str">
        <f t="shared" si="65"/>
        <v>"%USERPROFILE%\Documents\GitHub\eaglep3\Utilities\RefineRTDCRunTimes.py" --tripid 240-26 --locoid 4037 --swversion DE.1.0.8.0 --startMP 204:232982 --initTime 2016-11-27T00:22:08 --startdatetime 2016-11-27T00:26:21 --delay 2 --endMP 204:154 --enddatetime 2016-11-27T01:11:02 --enforcementcount 0 &gt;&gt;C:\Users\stu\Documents\GitHub\eaglep3-reporting\EC\2016-11-26-refined-times.txt</v>
      </c>
      <c r="AI156" s="119" t="str">
        <f t="shared" si="66"/>
        <v>echo {"issue":{"subject":"","project_id":79,"tracker_id":40,"status_id":1,"priority_id":2,"assigned_to_id":23,"start_date":"2016-11-27","description":"","custom_fields":[{"id":1,"name":"Subdivision","value":"EC"},{"id":4,"name":"Milepost","value":"0.0154"},{"id":17,"name":"Train ID","value":"240-26"},{"id":16,"name":"Locomotive ID","value":"4037"},{"id":130,"name":"Impact","value":""},{"id":150,"name":"Time of Event (Mountain Time)","value":"01:11:02"},{"id":151,"name":"Denver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591</v>
      </c>
      <c r="B157" s="7">
        <v>4031</v>
      </c>
      <c r="C157" s="22" t="s">
        <v>216</v>
      </c>
      <c r="D157" s="22" t="s">
        <v>197</v>
      </c>
      <c r="E157" s="13">
        <v>42700.988599537035</v>
      </c>
      <c r="F157" s="13">
        <v>42701.000335648147</v>
      </c>
      <c r="G157" s="7">
        <v>1</v>
      </c>
      <c r="H157" s="22" t="s">
        <v>255</v>
      </c>
      <c r="I157" s="13">
        <v>42701.025393518517</v>
      </c>
      <c r="J157" s="7">
        <v>0</v>
      </c>
      <c r="K157" s="109" t="str">
        <f t="shared" si="50"/>
        <v>4031/4032</v>
      </c>
      <c r="L157" s="22" t="str">
        <f>VLOOKUP(A157,'Trips&amp;Operators'!$C$1:$E$10000,3,FALSE)</f>
        <v>HOLCOMB</v>
      </c>
      <c r="M157" s="6">
        <f t="shared" si="51"/>
        <v>2.5057870370801538E-2</v>
      </c>
      <c r="N157" s="7">
        <f t="shared" si="52"/>
        <v>36.083333333954215</v>
      </c>
      <c r="O157" s="7"/>
      <c r="P157" s="7"/>
      <c r="Q157" s="23"/>
      <c r="R157" s="23"/>
      <c r="S157" s="35">
        <f t="shared" si="53"/>
        <v>1</v>
      </c>
      <c r="T157" s="50" t="str">
        <f t="shared" si="54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22:43:35-700',mode:absolute,to:'2016-11-27 01:36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7" s="52" t="str">
        <f t="shared" si="56"/>
        <v>N</v>
      </c>
      <c r="X157" s="177">
        <f t="shared" si="57"/>
        <v>1</v>
      </c>
      <c r="Y157" s="67">
        <f t="shared" si="58"/>
        <v>4.4699999999999997E-2</v>
      </c>
      <c r="Z157" s="67">
        <f t="shared" si="59"/>
        <v>23.331399999999999</v>
      </c>
      <c r="AA157" s="67">
        <f t="shared" si="60"/>
        <v>23.2867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61"/>
        <v>0241-26</v>
      </c>
      <c r="AE157" s="91" t="str">
        <f t="shared" si="62"/>
        <v>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 &amp; aws s3 cp s3://rtdc.mdm.uploadarchive.raw/RTDC4031/ "%USERPROFILE%\AppData\Local\Temp\OnboardLogs"\RTDC4031\2016-11-28 --exclude "*" --recursive --include "*20161128*" &amp; "%USERPROFILE%\Documents\GitHub\mrs-test-scripts\Headless Mode &amp; Sideloading\WalkAndUnGZ.bat" "%USERPROFILE%\AppData\Local\Temp\OnboardLogs"\RTDC4031\2016-11-28</v>
      </c>
      <c r="AF157" s="88" t="str">
        <f t="shared" si="63"/>
        <v>"C:\Program Files (x86)\AstroGrep\AstroGrep.exe" /spath="%USERPROFILE%\AppData\Local\Temp\OnboardLogs" /stypes="app*4031*20161127*" /stext=" 07:.+((SYSTEM_STATE.+slice.+state.+changed )|(ment ac)|(multiple cpu faults)|(system.+state.+changed )|(\[timeout)|(PRM\|1\|D)|(kpr)|(kdp)|(\|lc)|(penalty))" /e /r /s</v>
      </c>
      <c r="AG157" s="1" t="str">
        <f t="shared" si="64"/>
        <v>EC</v>
      </c>
      <c r="AH157" s="92" t="str">
        <f t="shared" si="65"/>
        <v>"%USERPROFILE%\Documents\GitHub\eaglep3\Utilities\RefineRTDCRunTimes.py" --tripid 241-26 --locoid 4031 --swversion DE.1.0.8.0 --startMP 204:447 --initTime 2016-11-26T23:43:35 --startdatetime 2016-11-27T00:00:29 --delay 1 --endMP 204:233314 --enddatetime 2016-11-27T00:36:34 --enforcementcount 0 &gt;&gt;C:\Users\stu\Documents\GitHub\eaglep3-reporting\EC\2016-11-26-refined-times.txt</v>
      </c>
      <c r="AI157" s="119" t="str">
        <f t="shared" si="66"/>
        <v>echo {"issue":{"subject":"","project_id":79,"tracker_id":40,"status_id":1,"priority_id":2,"assigned_to_id":23,"start_date":"2016-11-27","description":"","custom_fields":[{"id":1,"name":"Subdivision","value":"EC"},{"id":4,"name":"Milepost","value":"23.3314"},{"id":17,"name":"Train ID","value":"241-26"},{"id":16,"name":"Locomotive ID","value":"4031"},{"id":130,"name":"Impact","value":""},{"id":150,"name":"Time of Event (Mountain Time)","value":"00:36:34"},{"id":151,"name":"Denver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595</v>
      </c>
      <c r="B158" s="7">
        <v>4032</v>
      </c>
      <c r="C158" s="22" t="s">
        <v>216</v>
      </c>
      <c r="D158" s="22" t="s">
        <v>621</v>
      </c>
      <c r="E158" s="13">
        <v>42701.027974537035</v>
      </c>
      <c r="F158" s="13">
        <v>42701.039270833331</v>
      </c>
      <c r="G158" s="7">
        <v>2</v>
      </c>
      <c r="H158" s="22" t="s">
        <v>700</v>
      </c>
      <c r="I158" s="13">
        <v>42701.066388888888</v>
      </c>
      <c r="J158" s="7">
        <v>0</v>
      </c>
      <c r="K158" s="109" t="str">
        <f t="shared" si="50"/>
        <v>4031/4032</v>
      </c>
      <c r="L158" s="22" t="str">
        <f>VLOOKUP(A158,'Trips&amp;Operators'!$C$1:$E$10000,3,FALSE)</f>
        <v>HOLCOMB</v>
      </c>
      <c r="M158" s="6">
        <f t="shared" si="51"/>
        <v>2.7118055557366461E-2</v>
      </c>
      <c r="N158" s="7">
        <f t="shared" si="52"/>
        <v>39.050000002607703</v>
      </c>
      <c r="O158" s="7"/>
      <c r="P158" s="7"/>
      <c r="Q158" s="23"/>
      <c r="R158" s="23"/>
      <c r="S158" s="35">
        <f t="shared" si="53"/>
        <v>1</v>
      </c>
      <c r="T158" s="50" t="str">
        <f t="shared" si="54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23:40:17-700',mode:absolute,to:'2016-11-27 02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8" s="52" t="str">
        <f t="shared" si="56"/>
        <v>N</v>
      </c>
      <c r="X158" s="177">
        <f t="shared" si="57"/>
        <v>1</v>
      </c>
      <c r="Y158" s="67">
        <f t="shared" si="58"/>
        <v>23.3004</v>
      </c>
      <c r="Z158" s="67">
        <f t="shared" si="59"/>
        <v>0.02</v>
      </c>
      <c r="AA158" s="67">
        <f t="shared" si="60"/>
        <v>23.2804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61"/>
        <v>0242-26</v>
      </c>
      <c r="AE158" s="91" t="str">
        <f t="shared" si="62"/>
        <v>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 &amp; aws s3 cp s3://rtdc.mdm.uploadarchive.raw/RTDC4032/ "%USERPROFILE%\AppData\Local\Temp\OnboardLogs"\RTDC4032\2016-11-28 --exclude "*" --recursive --include "*20161128*" &amp; "%USERPROFILE%\Documents\GitHub\mrs-test-scripts\Headless Mode &amp; Sideloading\WalkAndUnGZ.bat" "%USERPROFILE%\AppData\Local\Temp\OnboardLogs"\RTDC4032\2016-11-28</v>
      </c>
      <c r="AF158" s="88" t="str">
        <f t="shared" si="63"/>
        <v>"C:\Program Files (x86)\AstroGrep\AstroGrep.exe" /spath="%USERPROFILE%\AppData\Local\Temp\OnboardLogs" /stypes="app*4032*20161127*" /stext=" 08:.+((SYSTEM_STATE.+slice.+state.+changed )|(ment ac)|(multiple cpu faults)|(system.+state.+changed )|(\[timeout)|(PRM\|1\|D)|(kpr)|(kdp)|(\|lc)|(penalty))" /e /r /s</v>
      </c>
      <c r="AG158" s="1" t="str">
        <f t="shared" si="64"/>
        <v>EC</v>
      </c>
      <c r="AH158" s="92" t="str">
        <f t="shared" si="65"/>
        <v>"%USERPROFILE%\Documents\GitHub\eaglep3\Utilities\RefineRTDCRunTimes.py" --tripid 242-26 --locoid 4032 --swversion DE.1.0.8.0 --startMP 204:233004 --initTime 2016-11-27T00:40:17 --startdatetime 2016-11-27T00:56:33 --delay 2 --endMP 204:200 --enddatetime 2016-11-27T01:35:36 --enforcementcount 0 &gt;&gt;C:\Users\stu\Documents\GitHub\eaglep3-reporting\EC\2016-11-26-refined-times.txt</v>
      </c>
      <c r="AI158" s="119" t="str">
        <f t="shared" si="66"/>
        <v>echo {"issue":{"subject":"","project_id":79,"tracker_id":40,"status_id":1,"priority_id":2,"assigned_to_id":23,"start_date":"2016-11-27","description":"","custom_fields":[{"id":1,"name":"Subdivision","value":"EC"},{"id":4,"name":"Milepost","value":"0.02"},{"id":17,"name":"Train ID","value":"242-26"},{"id":16,"name":"Locomotive ID","value":"4032"},{"id":130,"name":"Impact","value":""},{"id":150,"name":"Time of Event (Mountain Time)","value":"01:35:36"},{"id":151,"name":"Denver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594</v>
      </c>
      <c r="B159" s="7">
        <v>4040</v>
      </c>
      <c r="C159" s="22" t="s">
        <v>216</v>
      </c>
      <c r="D159" s="22" t="s">
        <v>198</v>
      </c>
      <c r="E159" s="13">
        <v>42701.021423611113</v>
      </c>
      <c r="F159" s="13">
        <v>42701.022418981483</v>
      </c>
      <c r="G159" s="7">
        <v>1</v>
      </c>
      <c r="H159" s="22" t="s">
        <v>701</v>
      </c>
      <c r="I159" s="13">
        <v>42701.047800925924</v>
      </c>
      <c r="J159" s="7">
        <v>0</v>
      </c>
      <c r="K159" s="109" t="str">
        <f t="shared" si="50"/>
        <v>4039/4040</v>
      </c>
      <c r="L159" s="22" t="str">
        <f>VLOOKUP(A159,'Trips&amp;Operators'!$C$1:$E$10000,3,FALSE)</f>
        <v>CHANDLER</v>
      </c>
      <c r="M159" s="6">
        <f t="shared" si="51"/>
        <v>2.5381944440596271E-2</v>
      </c>
      <c r="N159" s="7">
        <f t="shared" si="52"/>
        <v>36.549999994458631</v>
      </c>
      <c r="O159" s="7"/>
      <c r="P159" s="7"/>
      <c r="Q159" s="23"/>
      <c r="R159" s="23"/>
      <c r="S159" s="35">
        <f t="shared" si="53"/>
        <v>1</v>
      </c>
      <c r="T159" s="50" t="str">
        <f t="shared" si="54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23:30:51-700',mode:absolute,to:'2016-11-27 02:08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9" s="52" t="str">
        <f t="shared" si="56"/>
        <v>N</v>
      </c>
      <c r="X159" s="177">
        <f t="shared" si="57"/>
        <v>1</v>
      </c>
      <c r="Y159" s="67">
        <f t="shared" si="58"/>
        <v>4.53E-2</v>
      </c>
      <c r="Z159" s="67">
        <f t="shared" si="59"/>
        <v>23.327400000000001</v>
      </c>
      <c r="AA159" s="67">
        <f t="shared" si="60"/>
        <v>23.2821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61"/>
        <v>0243-26</v>
      </c>
      <c r="AE159" s="91" t="str">
        <f t="shared" si="62"/>
        <v>aws s3 cp s3://rtdc.mdm.uploadarchive.raw/RTDC4040/ "%USERPROFILE%\AppData\Local\Temp\OnboardLogs"\RTDC4040\2016-11-27 --exclude "*" --recursive --include "*20161127*" &amp; "%USERPROFILE%\Documents\GitHub\mrs-test-scripts\Headless Mode &amp; Sideloading\WalkAndUnGZ.bat" "%USERPROFILE%\AppData\Local\Temp\OnboardLogs"\RTDC4040\2016-11-27 &amp; aws s3 cp s3://rtdc.mdm.uploadarchive.raw/RTDC4040/ "%USERPROFILE%\AppData\Local\Temp\OnboardLogs"\RTDC4040\2016-11-28 --exclude "*" --recursive --include "*20161128*" &amp; "%USERPROFILE%\Documents\GitHub\mrs-test-scripts\Headless Mode &amp; Sideloading\WalkAndUnGZ.bat" "%USERPROFILE%\AppData\Local\Temp\OnboardLogs"\RTDC4040\2016-11-28</v>
      </c>
      <c r="AF159" s="88" t="str">
        <f t="shared" si="63"/>
        <v>"C:\Program Files (x86)\AstroGrep\AstroGrep.exe" /spath="%USERPROFILE%\AppData\Local\Temp\OnboardLogs" /stypes="app*4040*20161127*" /stext=" 08:.+((SYSTEM_STATE.+slice.+state.+changed )|(ment ac)|(multiple cpu faults)|(system.+state.+changed )|(\[timeout)|(PRM\|1\|D)|(kpr)|(kdp)|(\|lc)|(penalty))" /e /r /s</v>
      </c>
      <c r="AG159" s="1" t="str">
        <f t="shared" si="64"/>
        <v>EC</v>
      </c>
      <c r="AH159" s="92" t="str">
        <f t="shared" si="65"/>
        <v>"%USERPROFILE%\Documents\GitHub\eaglep3\Utilities\RefineRTDCRunTimes.py" --tripid 243-26 --locoid 4040 --swversion DE.1.0.8.0 --startMP 204:453 --initTime 2016-11-27T00:30:51 --startdatetime 2016-11-27T00:32:17 --delay 1 --endMP 204:233274 --enddatetime 2016-11-27T01:08:50 --enforcementcount 0 &gt;&gt;C:\Users\stu\Documents\GitHub\eaglep3-reporting\EC\2016-11-26-refined-times.txt</v>
      </c>
      <c r="AI159" s="119" t="str">
        <f t="shared" si="66"/>
        <v>echo {"issue":{"subject":"","project_id":79,"tracker_id":40,"status_id":1,"priority_id":2,"assigned_to_id":23,"start_date":"2016-11-27","description":"","custom_fields":[{"id":1,"name":"Subdivision","value":"EC"},{"id":4,"name":"Milepost","value":"23.3274"},{"id":17,"name":"Train ID","value":"243-26"},{"id":16,"name":"Locomotive ID","value":"4040"},{"id":130,"name":"Impact","value":""},{"id":150,"name":"Time of Event (Mountain Time)","value":"01:08:50"},{"id":151,"name":"Denver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598</v>
      </c>
      <c r="B160" s="7">
        <v>4039</v>
      </c>
      <c r="C160" s="22" t="s">
        <v>216</v>
      </c>
      <c r="D160" s="22" t="s">
        <v>380</v>
      </c>
      <c r="E160" s="13">
        <v>42701.056643518517</v>
      </c>
      <c r="F160" s="13">
        <v>42701.060069444444</v>
      </c>
      <c r="G160" s="7">
        <v>1</v>
      </c>
      <c r="H160" s="22" t="s">
        <v>312</v>
      </c>
      <c r="I160" s="13">
        <v>42701.087511574071</v>
      </c>
      <c r="J160" s="7">
        <v>0</v>
      </c>
      <c r="K160" s="109" t="str">
        <f t="shared" si="50"/>
        <v>4039/4040</v>
      </c>
      <c r="L160" s="22" t="str">
        <f>VLOOKUP(A160,'Trips&amp;Operators'!$C$1:$E$10000,3,FALSE)</f>
        <v>CHANDLER</v>
      </c>
      <c r="M160" s="6">
        <f t="shared" si="51"/>
        <v>2.7442129627161194E-2</v>
      </c>
      <c r="N160" s="7">
        <f t="shared" si="52"/>
        <v>39.516666663112119</v>
      </c>
      <c r="O160" s="7"/>
      <c r="P160" s="7"/>
      <c r="Q160" s="23"/>
      <c r="R160" s="23"/>
      <c r="S160" s="35">
        <f t="shared" si="53"/>
        <v>1</v>
      </c>
      <c r="T160" s="50" t="str">
        <f t="shared" si="54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https://search-rtdc-monitor-bjffxe2xuh6vdkpspy63sjmuny.us-east-1.es.amazonaws.com/_plugin/kibana/#/discover/Steve-Slow-Train-Analysis-(2080s-and-2083s)?_g=(refreshInterval:(display:Off,section:0,value:0),time:(from:'2016-11-27 00:21:34-700',mode:absolute,to:'2016-11-27 03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0" s="52" t="str">
        <f t="shared" si="56"/>
        <v>N</v>
      </c>
      <c r="X160" s="177">
        <f t="shared" si="57"/>
        <v>1</v>
      </c>
      <c r="Y160" s="67">
        <f t="shared" si="58"/>
        <v>23.2957</v>
      </c>
      <c r="Z160" s="67">
        <f t="shared" si="59"/>
        <v>1.4500000000000001E-2</v>
      </c>
      <c r="AA160" s="67">
        <f t="shared" si="60"/>
        <v>23.281199999999998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61"/>
        <v>0244-26</v>
      </c>
      <c r="AE160" s="91" t="str">
        <f t="shared" si="62"/>
        <v>aws s3 cp s3://rtdc.mdm.uploadarchive.raw/RTDC4039/ "%USERPROFILE%\AppData\Local\Temp\OnboardLogs"\RTDC4039\2016-11-27 --exclude "*" --recursive --include "*20161127*" &amp; "%USERPROFILE%\Documents\GitHub\mrs-test-scripts\Headless Mode &amp; Sideloading\WalkAndUnGZ.bat" "%USERPROFILE%\AppData\Local\Temp\OnboardLogs"\RTDC4039\2016-11-27 &amp; aws s3 cp s3://rtdc.mdm.uploadarchive.raw/RTDC4039/ "%USERPROFILE%\AppData\Local\Temp\OnboardLogs"\RTDC4039\2016-11-28 --exclude "*" --recursive --include "*20161128*" &amp; "%USERPROFILE%\Documents\GitHub\mrs-test-scripts\Headless Mode &amp; Sideloading\WalkAndUnGZ.bat" "%USERPROFILE%\AppData\Local\Temp\OnboardLogs"\RTDC4039\2016-11-28</v>
      </c>
      <c r="AF160" s="88" t="str">
        <f t="shared" si="63"/>
        <v>"C:\Program Files (x86)\AstroGrep\AstroGrep.exe" /spath="%USERPROFILE%\AppData\Local\Temp\OnboardLogs" /stypes="app*4039*20161127*" /stext=" 09:.+((SYSTEM_STATE.+slice.+state.+changed )|(ment ac)|(multiple cpu faults)|(system.+state.+changed )|(\[timeout)|(PRM\|1\|D)|(kpr)|(kdp)|(\|lc)|(penalty))" /e /r /s</v>
      </c>
      <c r="AG160" s="1" t="str">
        <f t="shared" si="64"/>
        <v>EC</v>
      </c>
      <c r="AH160" s="92" t="str">
        <f t="shared" si="65"/>
        <v>"%USERPROFILE%\Documents\GitHub\eaglep3\Utilities\RefineRTDCRunTimes.py" --tripid 244-26 --locoid 4039 --swversion DE.1.0.8.0 --startMP 204:232957 --initTime 2016-11-27T01:21:34 --startdatetime 2016-11-27T01:26:30 --delay 1 --endMP 204:145 --enddatetime 2016-11-27T02:06:01 --enforcementcount 0 &gt;&gt;C:\Users\stu\Documents\GitHub\eaglep3-reporting\EC\2016-11-26-refined-times.txt</v>
      </c>
      <c r="AI160" s="119" t="str">
        <f t="shared" si="66"/>
        <v>echo {"issue":{"subject":"","project_id":79,"tracker_id":40,"status_id":1,"priority_id":2,"assigned_to_id":23,"start_date":"2016-11-27","description":"","custom_fields":[{"id":1,"name":"Subdivision","value":"EC"},{"id":4,"name":"Milepost","value":"0.0145"},{"id":17,"name":"Train ID","value":"244-26"},{"id":16,"name":"Locomotive ID","value":"4039"},{"id":130,"name":"Impact","value":""},{"id":150,"name":"Time of Event (Mountain Time)","value":"02:06:01"},{"id":151,"name":"Denver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596</v>
      </c>
      <c r="B161" s="7">
        <v>4029</v>
      </c>
      <c r="C161" s="22" t="s">
        <v>216</v>
      </c>
      <c r="D161" s="22" t="s">
        <v>200</v>
      </c>
      <c r="E161" s="13">
        <v>42701.037731481483</v>
      </c>
      <c r="F161" s="13">
        <v>42701.041828703703</v>
      </c>
      <c r="G161" s="7">
        <v>1</v>
      </c>
      <c r="H161" s="22" t="s">
        <v>702</v>
      </c>
      <c r="I161" s="13">
        <v>42701.066388888888</v>
      </c>
      <c r="J161" s="7">
        <v>0</v>
      </c>
      <c r="K161" s="109" t="str">
        <f t="shared" si="50"/>
        <v>4029/4030</v>
      </c>
      <c r="L161" s="22" t="str">
        <f>VLOOKUP(A161,'Trips&amp;Operators'!$C$1:$E$10000,3,FALSE)</f>
        <v>LEVIN</v>
      </c>
      <c r="M161" s="6">
        <f t="shared" si="51"/>
        <v>2.4560185185691807E-2</v>
      </c>
      <c r="N161" s="7">
        <f t="shared" si="52"/>
        <v>35.366666667396203</v>
      </c>
      <c r="O161" s="7"/>
      <c r="P161" s="7"/>
      <c r="Q161" s="23"/>
      <c r="R161" s="23"/>
      <c r="S161" s="35">
        <f t="shared" si="53"/>
        <v>1</v>
      </c>
      <c r="T161" s="50" t="str">
        <f t="shared" si="54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23:54:20-700',mode:absolute,to:'2016-11-27 02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1" s="52" t="str">
        <f t="shared" si="56"/>
        <v>N</v>
      </c>
      <c r="X161" s="177">
        <f t="shared" si="57"/>
        <v>1</v>
      </c>
      <c r="Y161" s="67">
        <f t="shared" si="58"/>
        <v>4.5100000000000001E-2</v>
      </c>
      <c r="Z161" s="67">
        <f t="shared" si="59"/>
        <v>23.334599999999998</v>
      </c>
      <c r="AA161" s="67">
        <f t="shared" si="60"/>
        <v>23.289499999999997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61"/>
        <v>0245-26</v>
      </c>
      <c r="AE161" s="91" t="str">
        <f t="shared" si="62"/>
        <v>aws s3 cp s3://rtdc.mdm.uploadarchive.raw/RTDC4029/ "%USERPROFILE%\AppData\Local\Temp\OnboardLogs"\RTDC4029\2016-11-27 --exclude "*" --recursive --include "*20161127*" &amp; "%USERPROFILE%\Documents\GitHub\mrs-test-scripts\Headless Mode &amp; Sideloading\WalkAndUnGZ.bat" "%USERPROFILE%\AppData\Local\Temp\OnboardLogs"\RTDC4029\2016-11-27 &amp; aws s3 cp s3://rtdc.mdm.uploadarchive.raw/RTDC4029/ "%USERPROFILE%\AppData\Local\Temp\OnboardLogs"\RTDC4029\2016-11-28 --exclude "*" --recursive --include "*20161128*" &amp; "%USERPROFILE%\Documents\GitHub\mrs-test-scripts\Headless Mode &amp; Sideloading\WalkAndUnGZ.bat" "%USERPROFILE%\AppData\Local\Temp\OnboardLogs"\RTDC4029\2016-11-28</v>
      </c>
      <c r="AF161" s="88" t="str">
        <f t="shared" si="63"/>
        <v>"C:\Program Files (x86)\AstroGrep\AstroGrep.exe" /spath="%USERPROFILE%\AppData\Local\Temp\OnboardLogs" /stypes="app*4029*20161127*" /stext=" 08:.+((SYSTEM_STATE.+slice.+state.+changed )|(ment ac)|(multiple cpu faults)|(system.+state.+changed )|(\[timeout)|(PRM\|1\|D)|(kpr)|(kdp)|(\|lc)|(penalty))" /e /r /s</v>
      </c>
      <c r="AG161" s="1" t="str">
        <f t="shared" si="64"/>
        <v>EC</v>
      </c>
      <c r="AH161" s="92" t="str">
        <f t="shared" si="65"/>
        <v>"%USERPROFILE%\Documents\GitHub\eaglep3\Utilities\RefineRTDCRunTimes.py" --tripid 245-26 --locoid 4029 --swversion DE.1.0.8.0 --startMP 204:451 --initTime 2016-11-27T00:54:20 --startdatetime 2016-11-27T01:00:14 --delay 1 --endMP 204:233346 --enddatetime 2016-11-27T01:35:36 --enforcementcount 0 &gt;&gt;C:\Users\stu\Documents\GitHub\eaglep3-reporting\EC\2016-11-26-refined-times.txt</v>
      </c>
      <c r="AI161" s="119" t="str">
        <f t="shared" si="66"/>
        <v>echo {"issue":{"subject":"","project_id":79,"tracker_id":40,"status_id":1,"priority_id":2,"assigned_to_id":23,"start_date":"2016-11-27","description":"","custom_fields":[{"id":1,"name":"Subdivision","value":"EC"},{"id":4,"name":"Milepost","value":"23.3346"},{"id":17,"name":"Train ID","value":"245-26"},{"id":16,"name":"Locomotive ID","value":"4029"},{"id":130,"name":"Impact","value":""},{"id":150,"name":"Time of Event (Mountain Time)","value":"01:35:36"},{"id":151,"name":"Denver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600</v>
      </c>
      <c r="B162" s="7">
        <v>4030</v>
      </c>
      <c r="C162" s="22" t="s">
        <v>216</v>
      </c>
      <c r="D162" s="22" t="s">
        <v>699</v>
      </c>
      <c r="E162" s="13">
        <v>42701.076863425929</v>
      </c>
      <c r="F162" s="13">
        <v>42701.080787037034</v>
      </c>
      <c r="G162" s="7">
        <v>0</v>
      </c>
      <c r="H162" s="22" t="s">
        <v>238</v>
      </c>
      <c r="I162" s="13">
        <v>42701.10670138889</v>
      </c>
      <c r="J162" s="7">
        <v>0</v>
      </c>
      <c r="K162" s="109" t="str">
        <f t="shared" si="50"/>
        <v>4029/4030</v>
      </c>
      <c r="L162" s="22" t="str">
        <f>VLOOKUP(A162,'Trips&amp;Operators'!$C$1:$E$10000,3,FALSE)</f>
        <v>LEVIN</v>
      </c>
      <c r="M162" s="6">
        <f t="shared" si="51"/>
        <v>2.5914351856044959E-2</v>
      </c>
      <c r="N162" s="7">
        <f t="shared" si="52"/>
        <v>37.316666672704741</v>
      </c>
      <c r="O162" s="7"/>
      <c r="P162" s="7"/>
      <c r="Q162" s="23"/>
      <c r="R162" s="23"/>
      <c r="S162" s="35">
        <f t="shared" si="53"/>
        <v>1</v>
      </c>
      <c r="T162" s="50" t="str">
        <f t="shared" si="54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https://search-rtdc-monitor-bjffxe2xuh6vdkpspy63sjmuny.us-east-1.es.amazonaws.com/_plugin/kibana/#/discover/Steve-Slow-Train-Analysis-(2080s-and-2083s)?_g=(refreshInterval:(display:Off,section:0,value:0),time:(from:'2016-11-27 00:50:41-700',mode:absolute,to:'2016-11-27 03:33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2" s="52" t="str">
        <f t="shared" si="56"/>
        <v>N</v>
      </c>
      <c r="X162" s="177">
        <f t="shared" si="57"/>
        <v>1</v>
      </c>
      <c r="Y162" s="67">
        <f t="shared" si="58"/>
        <v>23.302499999999998</v>
      </c>
      <c r="Z162" s="67">
        <f t="shared" si="59"/>
        <v>1.54E-2</v>
      </c>
      <c r="AA162" s="67">
        <f t="shared" si="60"/>
        <v>23.287099999999999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61"/>
        <v>0246-26</v>
      </c>
      <c r="AE162" s="91" t="str">
        <f t="shared" si="62"/>
        <v>aws s3 cp s3://rtdc.mdm.uploadarchive.raw/RTDC4030/ "%USERPROFILE%\AppData\Local\Temp\OnboardLogs"\RTDC4030\2016-11-27 --exclude "*" --recursive --include "*20161127*" &amp; "%USERPROFILE%\Documents\GitHub\mrs-test-scripts\Headless Mode &amp; Sideloading\WalkAndUnGZ.bat" "%USERPROFILE%\AppData\Local\Temp\OnboardLogs"\RTDC4030\2016-11-27 &amp; aws s3 cp s3://rtdc.mdm.uploadarchive.raw/RTDC4030/ "%USERPROFILE%\AppData\Local\Temp\OnboardLogs"\RTDC4030\2016-11-28 --exclude "*" --recursive --include "*20161128*" &amp; "%USERPROFILE%\Documents\GitHub\mrs-test-scripts\Headless Mode &amp; Sideloading\WalkAndUnGZ.bat" "%USERPROFILE%\AppData\Local\Temp\OnboardLogs"\RTDC4030\2016-11-28</v>
      </c>
      <c r="AF162" s="88" t="str">
        <f t="shared" si="63"/>
        <v>"C:\Program Files (x86)\AstroGrep\AstroGrep.exe" /spath="%USERPROFILE%\AppData\Local\Temp\OnboardLogs" /stypes="app*4030*20161127*" /stext=" 09:.+((SYSTEM_STATE.+slice.+state.+changed )|(ment ac)|(multiple cpu faults)|(system.+state.+changed )|(\[timeout)|(PRM\|1\|D)|(kpr)|(kdp)|(\|lc)|(penalty))" /e /r /s</v>
      </c>
      <c r="AG162" s="1" t="str">
        <f t="shared" si="64"/>
        <v>EC</v>
      </c>
      <c r="AH162" s="92" t="str">
        <f t="shared" si="65"/>
        <v>"%USERPROFILE%\Documents\GitHub\eaglep3\Utilities\RefineRTDCRunTimes.py" --tripid 246-26 --locoid 4030 --swversion DE.1.0.8.0 --startMP 204:233025 --initTime 2016-11-27T01:50:41 --startdatetime 2016-11-27T01:56:20 --delay 0 --endMP 204:154 --enddatetime 2016-11-27T02:33:39 --enforcementcount 0 &gt;&gt;C:\Users\stu\Documents\GitHub\eaglep3-reporting\EC\2016-11-26-refined-times.txt</v>
      </c>
      <c r="AI162" s="119" t="str">
        <f t="shared" si="66"/>
        <v>echo {"issue":{"subject":"","project_id":79,"tracker_id":40,"status_id":1,"priority_id":2,"assigned_to_id":23,"start_date":"2016-11-27","description":"","custom_fields":[{"id":1,"name":"Subdivision","value":"EC"},{"id":4,"name":"Milepost","value":"0.0154"},{"id":17,"name":"Train ID","value":"246-26"},{"id":16,"name":"Locomotive ID","value":"4030"},{"id":130,"name":"Impact","value":""},{"id":150,"name":"Time of Event (Mountain Time)","value":"02:33:39"},{"id":151,"name":"Denver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440</v>
      </c>
      <c r="B163" s="7">
        <v>4012</v>
      </c>
      <c r="C163" s="22" t="s">
        <v>216</v>
      </c>
      <c r="D163" s="22" t="s">
        <v>332</v>
      </c>
      <c r="E163" s="13">
        <v>42700.236273148148</v>
      </c>
      <c r="F163" s="13">
        <v>42700.237673611111</v>
      </c>
      <c r="G163" s="7">
        <v>1</v>
      </c>
      <c r="H163" s="22" t="s">
        <v>639</v>
      </c>
      <c r="I163" s="13">
        <v>42700.247025462966</v>
      </c>
      <c r="J163" s="7">
        <v>0</v>
      </c>
      <c r="K163" s="109" t="str">
        <f t="shared" si="50"/>
        <v>4011/4012</v>
      </c>
      <c r="L163" s="22" t="str">
        <f>VLOOKUP(A163,'Trips&amp;Operators'!$C$1:$E$10000,3,FALSE)</f>
        <v>OUN</v>
      </c>
      <c r="M163" s="6">
        <f t="shared" si="51"/>
        <v>9.3518518551718444E-3</v>
      </c>
      <c r="N163" s="7">
        <f t="shared" si="52"/>
        <v>13.466666671447456</v>
      </c>
      <c r="O163" s="7"/>
      <c r="P163" s="7"/>
      <c r="Q163" s="23"/>
      <c r="R163" s="23"/>
      <c r="S163" s="35">
        <f t="shared" si="53"/>
        <v>1</v>
      </c>
      <c r="T163" s="50" t="str">
        <f t="shared" si="54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04:40:14-700',mode:absolute,to:'2016-11-26 06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3" s="52" t="str">
        <f t="shared" si="56"/>
        <v>N</v>
      </c>
      <c r="X163" s="177">
        <f t="shared" si="57"/>
        <v>1554</v>
      </c>
      <c r="Y163" s="67">
        <f t="shared" si="58"/>
        <v>5.8615000000000004</v>
      </c>
      <c r="Z163" s="67">
        <f t="shared" si="59"/>
        <v>6.6100000000000006E-2</v>
      </c>
      <c r="AA163" s="67">
        <f t="shared" si="60"/>
        <v>5.7954000000000008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61"/>
        <v>1800-26</v>
      </c>
      <c r="AE163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63" s="88" t="str">
        <f t="shared" si="63"/>
        <v>"C:\Program Files (x86)\AstroGrep\AstroGrep.exe" /spath="%USERPROFILE%\AppData\Local\Temp\OnboardLogs" /stypes="app*4012*20161126*" /stext=" 12:.+((SYSTEM_STATE.+slice.+state.+changed )|(ment ac)|(multiple cpu faults)|(system.+state.+changed )|(\[timeout)|(PRM\|1\|D)|(kpr)|(kdp)|(\|lc)|(penalty))" /e /r /s</v>
      </c>
      <c r="AG163" s="1" t="str">
        <f t="shared" si="64"/>
        <v>NW</v>
      </c>
      <c r="AH163" s="92" t="str">
        <f t="shared" si="65"/>
        <v>"%USERPROFILE%\Documents\GitHub\eaglep3\Utilities\RefineRTDCRunTimes.py" --tripid 1800-26 --locoid 4012 --swversion DE.1.0.8.0 --startMP 300:58615 --initTime 2016-11-26T05:40:14 --startdatetime 2016-11-26T05:42:15 --delay 1 --endMP 204:661 --enddatetime 2016-11-26T05:55:43 --enforcementcount 0 &gt;&gt;C:\Users\stu\Documents\GitHub\eaglep3-reporting\EC\2016-11-26-refined-times.txt</v>
      </c>
      <c r="AI163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{"issue":{"subject":"","project_id":79,"tracker_id":40,"status_id":1,"priority_id":2,"assigned_to_id":23,"start_date":"2016-11-26","description":"","custom_fields":[{"id":1,"name":"Subdivision","value":"NW"},{"id":4,"name":"Milepost","value":"0.0661"},{"id":17,"name":"Train ID","value":"1800-26"},{"id":16,"name":"Locomotive ID","value":"4012"},{"id":130,"name":"Impact","value":""},{"id":150,"name":"Time of Event (Mountain Time)","value":"05:55:43"},{"id":151,"name":"Denver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445</v>
      </c>
      <c r="B164" s="7">
        <v>4011</v>
      </c>
      <c r="C164" s="22" t="s">
        <v>216</v>
      </c>
      <c r="D164" s="22" t="s">
        <v>640</v>
      </c>
      <c r="E164" s="13">
        <v>42700.257754629631</v>
      </c>
      <c r="F164" s="13">
        <v>42700.264872685184</v>
      </c>
      <c r="G164" s="7">
        <v>1</v>
      </c>
      <c r="H164" s="22" t="s">
        <v>641</v>
      </c>
      <c r="I164" s="13">
        <v>42700.274270833332</v>
      </c>
      <c r="J164" s="7">
        <v>0</v>
      </c>
      <c r="K164" s="109" t="str">
        <f t="shared" si="50"/>
        <v>4011/4012</v>
      </c>
      <c r="L164" s="22" t="str">
        <f>VLOOKUP(A164,'Trips&amp;Operators'!$C$1:$E$10000,3,FALSE)</f>
        <v>OUN</v>
      </c>
      <c r="M164" s="6">
        <f t="shared" si="51"/>
        <v>9.3981481477385387E-3</v>
      </c>
      <c r="N164" s="7">
        <f t="shared" si="52"/>
        <v>13.533333332743496</v>
      </c>
      <c r="O164" s="7"/>
      <c r="P164" s="7"/>
      <c r="Q164" s="23"/>
      <c r="R164" s="23"/>
      <c r="S164" s="35">
        <f t="shared" si="53"/>
        <v>1</v>
      </c>
      <c r="T164" s="50" t="str">
        <f t="shared" si="54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05:11:10-700',mode:absolute,to:'2016-11-26 07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4" s="52" t="str">
        <f t="shared" si="56"/>
        <v>N</v>
      </c>
      <c r="X164" s="177">
        <f t="shared" si="57"/>
        <v>1</v>
      </c>
      <c r="Y164" s="67">
        <f t="shared" si="58"/>
        <v>9.74E-2</v>
      </c>
      <c r="Z164" s="67">
        <f t="shared" si="59"/>
        <v>5.8928000000000003</v>
      </c>
      <c r="AA164" s="67">
        <f t="shared" si="60"/>
        <v>5.7953999999999999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61"/>
        <v>1801-26</v>
      </c>
      <c r="AE164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64" s="88" t="str">
        <f t="shared" si="63"/>
        <v>"C:\Program Files (x86)\AstroGrep\AstroGrep.exe" /spath="%USERPROFILE%\AppData\Local\Temp\OnboardLogs" /stypes="app*4011*20161126*" /stext=" 13:.+((SYSTEM_STATE.+slice.+state.+changed )|(ment ac)|(multiple cpu faults)|(system.+state.+changed )|(\[timeout)|(PRM\|1\|D)|(kpr)|(kdp)|(\|lc)|(penalty))" /e /r /s</v>
      </c>
      <c r="AG164" s="1" t="str">
        <f t="shared" si="64"/>
        <v>NW</v>
      </c>
      <c r="AH164" s="92" t="str">
        <f t="shared" si="65"/>
        <v>"%USERPROFILE%\Documents\GitHub\eaglep3\Utilities\RefineRTDCRunTimes.py" --tripid 1801-26 --locoid 4011 --swversion DE.1.0.8.0 --startMP 204:974 --initTime 2016-11-26T06:11:10 --startdatetime 2016-11-26T06:21:25 --delay 1 --endMP 300:58928 --enddatetime 2016-11-26T06:34:57 --enforcementcount 0 &gt;&gt;C:\Users\stu\Documents\GitHub\eaglep3-reporting\EC\2016-11-26-refined-times.txt</v>
      </c>
      <c r="AI164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{"issue":{"subject":"","project_id":79,"tracker_id":40,"status_id":1,"priority_id":2,"assigned_to_id":23,"start_date":"2016-11-26","description":"","custom_fields":[{"id":1,"name":"Subdivision","value":"NW"},{"id":4,"name":"Milepost","value":"5.8928"},{"id":17,"name":"Train ID","value":"1801-26"},{"id":16,"name":"Locomotive ID","value":"4011"},{"id":130,"name":"Impact","value":""},{"id":150,"name":"Time of Event (Mountain Time)","value":"06:34:57"},{"id":151,"name":"Denver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396</v>
      </c>
      <c r="B165" s="7">
        <v>4012</v>
      </c>
      <c r="C165" s="22" t="s">
        <v>216</v>
      </c>
      <c r="D165" s="22" t="s">
        <v>642</v>
      </c>
      <c r="E165" s="13">
        <v>42700.275416666664</v>
      </c>
      <c r="F165" s="13">
        <v>42700.277060185188</v>
      </c>
      <c r="G165" s="7">
        <v>1</v>
      </c>
      <c r="H165" s="22" t="s">
        <v>290</v>
      </c>
      <c r="I165" s="13">
        <v>42700.289837962962</v>
      </c>
      <c r="J165" s="7">
        <v>1</v>
      </c>
      <c r="K165" s="109" t="str">
        <f t="shared" si="50"/>
        <v>4011/4012</v>
      </c>
      <c r="L165" s="22" t="str">
        <f>VLOOKUP(A165,'Trips&amp;Operators'!$C$1:$E$10000,3,FALSE)</f>
        <v>OUN</v>
      </c>
      <c r="M165" s="6">
        <f t="shared" si="51"/>
        <v>1.2777777774317656E-2</v>
      </c>
      <c r="N165" s="7">
        <f t="shared" si="52"/>
        <v>18.399999995017424</v>
      </c>
      <c r="O165" s="7"/>
      <c r="P165" s="7"/>
      <c r="Q165" s="23"/>
      <c r="R165" s="23"/>
      <c r="S165" s="35">
        <f t="shared" si="53"/>
        <v>1</v>
      </c>
      <c r="T165" s="50" t="str">
        <f t="shared" si="54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05:36:36-700',mode:absolute,to:'2016-11-26 07:57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5" s="52" t="str">
        <f t="shared" si="56"/>
        <v>N</v>
      </c>
      <c r="X165" s="177">
        <f t="shared" si="57"/>
        <v>1</v>
      </c>
      <c r="Y165" s="67">
        <f t="shared" si="58"/>
        <v>5.8616999999999999</v>
      </c>
      <c r="Z165" s="67">
        <f t="shared" si="59"/>
        <v>6.9599999999999995E-2</v>
      </c>
      <c r="AA165" s="67">
        <f t="shared" si="60"/>
        <v>5.7920999999999996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61"/>
        <v>1802-26</v>
      </c>
      <c r="AE165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65" s="88" t="str">
        <f t="shared" si="63"/>
        <v>"C:\Program Files (x86)\AstroGrep\AstroGrep.exe" /spath="%USERPROFILE%\AppData\Local\Temp\OnboardLogs" /stypes="app*4012*20161126*" /stext=" 13:.+((SYSTEM_STATE.+slice.+state.+changed )|(ment ac)|(multiple cpu faults)|(system.+state.+changed )|(\[timeout)|(PRM\|1\|D)|(kpr)|(kdp)|(\|lc)|(penalty))" /e /r /s</v>
      </c>
      <c r="AG165" s="1" t="str">
        <f t="shared" si="64"/>
        <v>NW</v>
      </c>
      <c r="AH165" s="92" t="str">
        <f t="shared" si="65"/>
        <v>"%USERPROFILE%\Documents\GitHub\eaglep3\Utilities\RefineRTDCRunTimes.py" --tripid 1802-26 --locoid 4012 --swversion DE.1.0.8.0 --startMP 300:58617 --initTime 2016-11-26T06:36:36 --startdatetime 2016-11-26T06:38:58 --delay 1 --endMP 204:696 --enddatetime 2016-11-26T06:57:22 --enforcementcount 1 &gt;&gt;C:\Users\stu\Documents\GitHub\eaglep3-reporting\EC\2016-11-26-refined-times.txt</v>
      </c>
      <c r="AI165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{"issue":{"subject":"","project_id":79,"tracker_id":40,"status_id":1,"priority_id":2,"assigned_to_id":23,"start_date":"2016-11-26","description":"","custom_fields":[{"id":1,"name":"Subdivision","value":"NW"},{"id":4,"name":"Milepost","value":"0.0696"},{"id":17,"name":"Train ID","value":"1802-26"},{"id":16,"name":"Locomotive ID","value":"4012"},{"id":130,"name":"Impact","value":""},{"id":150,"name":"Time of Event (Mountain Time)","value":"06:57:22"},{"id":151,"name":"Denver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453</v>
      </c>
      <c r="B166" s="7">
        <v>4011</v>
      </c>
      <c r="C166" s="22" t="s">
        <v>216</v>
      </c>
      <c r="D166" s="22" t="s">
        <v>643</v>
      </c>
      <c r="E166" s="13">
        <v>42700.30128472222</v>
      </c>
      <c r="F166" s="13">
        <v>42700.306516203702</v>
      </c>
      <c r="G166" s="7">
        <v>1</v>
      </c>
      <c r="H166" s="22" t="s">
        <v>641</v>
      </c>
      <c r="I166" s="13">
        <v>42700.315671296295</v>
      </c>
      <c r="J166" s="7">
        <v>0</v>
      </c>
      <c r="K166" s="109" t="str">
        <f t="shared" si="50"/>
        <v>4011/4012</v>
      </c>
      <c r="L166" s="22" t="str">
        <f>VLOOKUP(A166,'Trips&amp;Operators'!$C$1:$E$10000,3,FALSE)</f>
        <v>OUN</v>
      </c>
      <c r="M166" s="6">
        <f t="shared" si="51"/>
        <v>9.1550925935734995E-3</v>
      </c>
      <c r="N166" s="7">
        <f t="shared" si="52"/>
        <v>13.183333334745839</v>
      </c>
      <c r="O166" s="7"/>
      <c r="P166" s="7"/>
      <c r="Q166" s="23"/>
      <c r="R166" s="23"/>
      <c r="S166" s="35">
        <f t="shared" si="53"/>
        <v>1</v>
      </c>
      <c r="T166" s="50" t="str">
        <f t="shared" si="54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06:13:51-700',mode:absolute,to:'2016-11-26 08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6" s="52" t="str">
        <f t="shared" si="56"/>
        <v>N</v>
      </c>
      <c r="X166" s="177">
        <f t="shared" si="57"/>
        <v>1</v>
      </c>
      <c r="Y166" s="67">
        <f t="shared" si="58"/>
        <v>9.7199999999999995E-2</v>
      </c>
      <c r="Z166" s="67">
        <f t="shared" si="59"/>
        <v>5.8928000000000003</v>
      </c>
      <c r="AA166" s="67">
        <f t="shared" si="60"/>
        <v>5.7956000000000003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61"/>
        <v>1803-26</v>
      </c>
      <c r="AE166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66" s="88" t="str">
        <f t="shared" si="63"/>
        <v>"C:\Program Files (x86)\AstroGrep\AstroGrep.exe" /spath="%USERPROFILE%\AppData\Local\Temp\OnboardLogs" /stypes="app*4011*20161126*" /stext=" 14:.+((SYSTEM_STATE.+slice.+state.+changed )|(ment ac)|(multiple cpu faults)|(system.+state.+changed )|(\[timeout)|(PRM\|1\|D)|(kpr)|(kdp)|(\|lc)|(penalty))" /e /r /s</v>
      </c>
      <c r="AG166" s="1" t="str">
        <f t="shared" si="64"/>
        <v>NW</v>
      </c>
      <c r="AH166" s="92" t="str">
        <f t="shared" si="65"/>
        <v>"%USERPROFILE%\Documents\GitHub\eaglep3\Utilities\RefineRTDCRunTimes.py" --tripid 1803-26 --locoid 4011 --swversion DE.1.0.8.0 --startMP 204:972 --initTime 2016-11-26T07:13:51 --startdatetime 2016-11-26T07:21:23 --delay 1 --endMP 300:58928 --enddatetime 2016-11-26T07:34:34 --enforcementcount 0 &gt;&gt;C:\Users\stu\Documents\GitHub\eaglep3-reporting\EC\2016-11-26-refined-times.txt</v>
      </c>
      <c r="AI166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{"issue":{"subject":"","project_id":79,"tracker_id":40,"status_id":1,"priority_id":2,"assigned_to_id":23,"start_date":"2016-11-26","description":"","custom_fields":[{"id":1,"name":"Subdivision","value":"NW"},{"id":4,"name":"Milepost","value":"5.8928"},{"id":17,"name":"Train ID","value":"1803-26"},{"id":16,"name":"Locomotive ID","value":"4011"},{"id":130,"name":"Impact","value":""},{"id":150,"name":"Time of Event (Mountain Time)","value":"07:34:34"},{"id":151,"name":"Denver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457</v>
      </c>
      <c r="B167" s="7">
        <v>4012</v>
      </c>
      <c r="C167" s="22" t="s">
        <v>216</v>
      </c>
      <c r="D167" s="22" t="s">
        <v>302</v>
      </c>
      <c r="E167" s="13">
        <v>42700.317071759258</v>
      </c>
      <c r="F167" s="13">
        <v>42700.318506944444</v>
      </c>
      <c r="G167" s="7">
        <v>1</v>
      </c>
      <c r="H167" s="22" t="s">
        <v>644</v>
      </c>
      <c r="I167" s="13">
        <v>42700.330150462964</v>
      </c>
      <c r="J167" s="7">
        <v>0</v>
      </c>
      <c r="K167" s="109" t="str">
        <f t="shared" si="50"/>
        <v>4011/4012</v>
      </c>
      <c r="L167" s="22" t="str">
        <f>VLOOKUP(A167,'Trips&amp;Operators'!$C$1:$E$10000,3,FALSE)</f>
        <v>OUN</v>
      </c>
      <c r="M167" s="6">
        <f t="shared" si="51"/>
        <v>1.1643518519122154E-2</v>
      </c>
      <c r="N167" s="7">
        <f t="shared" si="52"/>
        <v>16.766666667535901</v>
      </c>
      <c r="O167" s="7"/>
      <c r="P167" s="7"/>
      <c r="Q167" s="23"/>
      <c r="R167" s="23"/>
      <c r="S167" s="35">
        <f t="shared" si="53"/>
        <v>1</v>
      </c>
      <c r="T167" s="50" t="str">
        <f t="shared" si="54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06:36:35-700',mode:absolute,to:'2016-11-26 08:55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7" s="52" t="str">
        <f t="shared" si="56"/>
        <v>N</v>
      </c>
      <c r="X167" s="177">
        <f t="shared" si="57"/>
        <v>1</v>
      </c>
      <c r="Y167" s="67">
        <f t="shared" si="58"/>
        <v>5.8620999999999999</v>
      </c>
      <c r="Z167" s="67">
        <f t="shared" si="59"/>
        <v>6.8699999999999997E-2</v>
      </c>
      <c r="AA167" s="67">
        <f t="shared" si="60"/>
        <v>5.7934000000000001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61"/>
        <v>1804-26</v>
      </c>
      <c r="AE167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67" s="88" t="str">
        <f t="shared" si="63"/>
        <v>"C:\Program Files (x86)\AstroGrep\AstroGrep.exe" /spath="%USERPROFILE%\AppData\Local\Temp\OnboardLogs" /stypes="app*4012*20161126*" /stext=" 14:.+((SYSTEM_STATE.+slice.+state.+changed )|(ment ac)|(multiple cpu faults)|(system.+state.+changed )|(\[timeout)|(PRM\|1\|D)|(kpr)|(kdp)|(\|lc)|(penalty))" /e /r /s</v>
      </c>
      <c r="AG167" s="1" t="str">
        <f t="shared" si="64"/>
        <v>NW</v>
      </c>
      <c r="AH167" s="92" t="str">
        <f t="shared" si="65"/>
        <v>"%USERPROFILE%\Documents\GitHub\eaglep3\Utilities\RefineRTDCRunTimes.py" --tripid 1804-26 --locoid 4012 --swversion DE.1.0.8.0 --startMP 300:58621 --initTime 2016-11-26T07:36:35 --startdatetime 2016-11-26T07:38:39 --delay 1 --endMP 204:687 --enddatetime 2016-11-26T07:55:25 --enforcementcount 0 &gt;&gt;C:\Users\stu\Documents\GitHub\eaglep3-reporting\EC\2016-11-26-refined-times.txt</v>
      </c>
      <c r="AI167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{"issue":{"subject":"","project_id":79,"tracker_id":40,"status_id":1,"priority_id":2,"assigned_to_id":23,"start_date":"2016-11-26","description":"","custom_fields":[{"id":1,"name":"Subdivision","value":"NW"},{"id":4,"name":"Milepost","value":"0.0687"},{"id":17,"name":"Train ID","value":"1804-26"},{"id":16,"name":"Locomotive ID","value":"4012"},{"id":130,"name":"Impact","value":""},{"id":150,"name":"Time of Event (Mountain Time)","value":"07:55:25"},{"id":151,"name":"Denver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398</v>
      </c>
      <c r="B168" s="7">
        <v>4011</v>
      </c>
      <c r="C168" s="22" t="s">
        <v>216</v>
      </c>
      <c r="D168" s="22" t="s">
        <v>645</v>
      </c>
      <c r="E168" s="13">
        <v>42700.337037037039</v>
      </c>
      <c r="F168" s="13">
        <v>42700.348171296297</v>
      </c>
      <c r="G168" s="7">
        <v>1</v>
      </c>
      <c r="H168" s="22" t="s">
        <v>646</v>
      </c>
      <c r="I168" s="13">
        <v>42700.358101851853</v>
      </c>
      <c r="J168" s="7">
        <v>2</v>
      </c>
      <c r="K168" s="109" t="str">
        <f t="shared" si="50"/>
        <v>4011/4012</v>
      </c>
      <c r="L168" s="22" t="str">
        <f>VLOOKUP(A168,'Trips&amp;Operators'!$C$1:$E$10000,3,FALSE)</f>
        <v>OUN</v>
      </c>
      <c r="M168" s="6">
        <f t="shared" si="51"/>
        <v>9.930555555911269E-3</v>
      </c>
      <c r="N168" s="7">
        <f t="shared" si="52"/>
        <v>14.300000000512227</v>
      </c>
      <c r="O168" s="7"/>
      <c r="P168" s="7"/>
      <c r="Q168" s="23"/>
      <c r="R168" s="23"/>
      <c r="S168" s="35">
        <f t="shared" si="53"/>
        <v>1</v>
      </c>
      <c r="T168" s="50" t="str">
        <f t="shared" si="54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07:05:20-700',mode:absolute,to:'2016-11-26 09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8" s="52" t="str">
        <f t="shared" si="56"/>
        <v>N</v>
      </c>
      <c r="X168" s="177">
        <f t="shared" si="57"/>
        <v>1</v>
      </c>
      <c r="Y168" s="67">
        <f t="shared" si="58"/>
        <v>9.7799999999999998E-2</v>
      </c>
      <c r="Z168" s="67">
        <f t="shared" si="59"/>
        <v>5.8916000000000004</v>
      </c>
      <c r="AA168" s="67">
        <f t="shared" si="60"/>
        <v>5.7938000000000001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61"/>
        <v>1805-26</v>
      </c>
      <c r="AE168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68" s="88" t="str">
        <f t="shared" si="63"/>
        <v>"C:\Program Files (x86)\AstroGrep\AstroGrep.exe" /spath="%USERPROFILE%\AppData\Local\Temp\OnboardLogs" /stypes="app*4011*20161126*" /stext=" 15:.+((SYSTEM_STATE.+slice.+state.+changed )|(ment ac)|(multiple cpu faults)|(system.+state.+changed )|(\[timeout)|(PRM\|1\|D)|(kpr)|(kdp)|(\|lc)|(penalty))" /e /r /s</v>
      </c>
      <c r="AG168" s="1" t="str">
        <f t="shared" si="64"/>
        <v>NW</v>
      </c>
      <c r="AH168" s="92" t="str">
        <f t="shared" si="65"/>
        <v>"%USERPROFILE%\Documents\GitHub\eaglep3\Utilities\RefineRTDCRunTimes.py" --tripid 1805-26 --locoid 4011 --swversion DE.1.0.8.0 --startMP 204:978 --initTime 2016-11-26T08:05:20 --startdatetime 2016-11-26T08:21:22 --delay 1 --endMP 300:58916 --enddatetime 2016-11-26T08:35:40 --enforcementcount 2 &gt;&gt;C:\Users\stu\Documents\GitHub\eaglep3-reporting\EC\2016-11-26-refined-times.txt</v>
      </c>
      <c r="AI168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{"issue":{"subject":"","project_id":79,"tracker_id":40,"status_id":1,"priority_id":2,"assigned_to_id":23,"start_date":"2016-11-26","description":"","custom_fields":[{"id":1,"name":"Subdivision","value":"NW"},{"id":4,"name":"Milepost","value":"5.8916"},{"id":17,"name":"Train ID","value":"1805-26"},{"id":16,"name":"Locomotive ID","value":"4011"},{"id":130,"name":"Impact","value":""},{"id":150,"name":"Time of Event (Mountain Time)","value":"08:35:40"},{"id":151,"name":"Denver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464</v>
      </c>
      <c r="B169" s="7">
        <v>4012</v>
      </c>
      <c r="C169" s="22" t="s">
        <v>216</v>
      </c>
      <c r="D169" s="22" t="s">
        <v>329</v>
      </c>
      <c r="E169" s="13">
        <v>42700.359409722223</v>
      </c>
      <c r="F169" s="13">
        <v>42700.36074074074</v>
      </c>
      <c r="G169" s="7">
        <v>1</v>
      </c>
      <c r="H169" s="22" t="s">
        <v>647</v>
      </c>
      <c r="I169" s="13">
        <v>42700.37159722222</v>
      </c>
      <c r="J169" s="7">
        <v>0</v>
      </c>
      <c r="K169" s="109" t="str">
        <f t="shared" si="50"/>
        <v>4011/4012</v>
      </c>
      <c r="L169" s="22" t="str">
        <f>VLOOKUP(A169,'Trips&amp;Operators'!$C$1:$E$10000,3,FALSE)</f>
        <v>OUN</v>
      </c>
      <c r="M169" s="6">
        <f t="shared" si="51"/>
        <v>1.0856481480004732E-2</v>
      </c>
      <c r="N169" s="7">
        <f t="shared" si="52"/>
        <v>15.633333331206813</v>
      </c>
      <c r="O169" s="7"/>
      <c r="P169" s="7"/>
      <c r="Q169" s="23"/>
      <c r="R169" s="23"/>
      <c r="S169" s="35">
        <f t="shared" si="53"/>
        <v>1</v>
      </c>
      <c r="T169" s="50" t="str">
        <f t="shared" si="54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07:37:33-700',mode:absolute,to:'2016-11-26 09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9" s="52" t="str">
        <f t="shared" si="56"/>
        <v>N</v>
      </c>
      <c r="X169" s="177">
        <f t="shared" si="57"/>
        <v>1</v>
      </c>
      <c r="Y169" s="67">
        <f t="shared" si="58"/>
        <v>5.8592000000000004</v>
      </c>
      <c r="Z169" s="67">
        <f t="shared" si="59"/>
        <v>6.8199999999999997E-2</v>
      </c>
      <c r="AA169" s="67">
        <f t="shared" si="60"/>
        <v>5.7910000000000004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61"/>
        <v>1806-26</v>
      </c>
      <c r="AE169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69" s="88" t="str">
        <f t="shared" si="63"/>
        <v>"C:\Program Files (x86)\AstroGrep\AstroGrep.exe" /spath="%USERPROFILE%\AppData\Local\Temp\OnboardLogs" /stypes="app*4012*20161126*" /stext=" 15:.+((SYSTEM_STATE.+slice.+state.+changed )|(ment ac)|(multiple cpu faults)|(system.+state.+changed )|(\[timeout)|(PRM\|1\|D)|(kpr)|(kdp)|(\|lc)|(penalty))" /e /r /s</v>
      </c>
      <c r="AG169" s="1" t="str">
        <f t="shared" si="64"/>
        <v>NW</v>
      </c>
      <c r="AH169" s="92" t="str">
        <f t="shared" si="65"/>
        <v>"%USERPROFILE%\Documents\GitHub\eaglep3\Utilities\RefineRTDCRunTimes.py" --tripid 1806-26 --locoid 4012 --swversion DE.1.0.8.0 --startMP 300:58592 --initTime 2016-11-26T08:37:33 --startdatetime 2016-11-26T08:39:28 --delay 1 --endMP 204:682 --enddatetime 2016-11-26T08:55:06 --enforcementcount 0 &gt;&gt;C:\Users\stu\Documents\GitHub\eaglep3-reporting\EC\2016-11-26-refined-times.txt</v>
      </c>
      <c r="AI169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{"issue":{"subject":"","project_id":79,"tracker_id":40,"status_id":1,"priority_id":2,"assigned_to_id":23,"start_date":"2016-11-26","description":"","custom_fields":[{"id":1,"name":"Subdivision","value":"NW"},{"id":4,"name":"Milepost","value":"0.0682"},{"id":17,"name":"Train ID","value":"1806-26"},{"id":16,"name":"Locomotive ID","value":"4012"},{"id":130,"name":"Impact","value":""},{"id":150,"name":"Time of Event (Mountain Time)","value":"08:55:06"},{"id":151,"name":"Denver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467</v>
      </c>
      <c r="B170" s="7">
        <v>4011</v>
      </c>
      <c r="C170" s="22" t="s">
        <v>216</v>
      </c>
      <c r="D170" s="22" t="s">
        <v>643</v>
      </c>
      <c r="E170" s="13">
        <v>42700.37332175926</v>
      </c>
      <c r="F170" s="13">
        <v>42700.389930555553</v>
      </c>
      <c r="G170" s="7">
        <v>1</v>
      </c>
      <c r="H170" s="22" t="s">
        <v>327</v>
      </c>
      <c r="I170" s="13">
        <v>42700.399305555555</v>
      </c>
      <c r="J170" s="7">
        <v>0</v>
      </c>
      <c r="K170" s="109" t="str">
        <f t="shared" si="50"/>
        <v>4011/4012</v>
      </c>
      <c r="L170" s="22" t="str">
        <f>VLOOKUP(A170,'Trips&amp;Operators'!$C$1:$E$10000,3,FALSE)</f>
        <v>OUN</v>
      </c>
      <c r="M170" s="6">
        <f t="shared" si="51"/>
        <v>9.3750000014551915E-3</v>
      </c>
      <c r="N170" s="7">
        <f t="shared" si="52"/>
        <v>13.500000002095476</v>
      </c>
      <c r="O170" s="7"/>
      <c r="P170" s="7"/>
      <c r="Q170" s="23"/>
      <c r="R170" s="23"/>
      <c r="S170" s="35">
        <f t="shared" si="53"/>
        <v>1</v>
      </c>
      <c r="T170" s="50" t="str">
        <f t="shared" si="54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07:57:35-700',mode:absolute,to:'2016-11-26 10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0" s="52" t="str">
        <f t="shared" si="56"/>
        <v>N</v>
      </c>
      <c r="X170" s="177">
        <f t="shared" si="57"/>
        <v>1</v>
      </c>
      <c r="Y170" s="67">
        <f t="shared" si="58"/>
        <v>9.7199999999999995E-2</v>
      </c>
      <c r="Z170" s="67">
        <f t="shared" si="59"/>
        <v>5.8933</v>
      </c>
      <c r="AA170" s="67">
        <f t="shared" si="60"/>
        <v>5.7961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61"/>
        <v>1807-26</v>
      </c>
      <c r="AE170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70" s="88" t="str">
        <f t="shared" si="63"/>
        <v>"C:\Program Files (x86)\AstroGrep\AstroGrep.exe" /spath="%USERPROFILE%\AppData\Local\Temp\OnboardLogs" /stypes="app*4011*20161126*" /stext=" 16:.+((SYSTEM_STATE.+slice.+state.+changed )|(ment ac)|(multiple cpu faults)|(system.+state.+changed )|(\[timeout)|(PRM\|1\|D)|(kpr)|(kdp)|(\|lc)|(penalty))" /e /r /s</v>
      </c>
      <c r="AG170" s="1" t="str">
        <f t="shared" si="64"/>
        <v>NW</v>
      </c>
      <c r="AH170" s="92" t="str">
        <f t="shared" si="65"/>
        <v>"%USERPROFILE%\Documents\GitHub\eaglep3\Utilities\RefineRTDCRunTimes.py" --tripid 1807-26 --locoid 4011 --swversion DE.1.0.8.0 --startMP 204:972 --initTime 2016-11-26T08:57:35 --startdatetime 2016-11-26T09:21:30 --delay 1 --endMP 300:58933 --enddatetime 2016-11-26T09:35:00 --enforcementcount 0 &gt;&gt;C:\Users\stu\Documents\GitHub\eaglep3-reporting\EC\2016-11-26-refined-times.txt</v>
      </c>
      <c r="AI170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{"issue":{"subject":"","project_id":79,"tracker_id":40,"status_id":1,"priority_id":2,"assigned_to_id":23,"start_date":"2016-11-26","description":"","custom_fields":[{"id":1,"name":"Subdivision","value":"NW"},{"id":4,"name":"Milepost","value":"5.8933"},{"id":17,"name":"Train ID","value":"1807-26"},{"id":16,"name":"Locomotive ID","value":"4011"},{"id":130,"name":"Impact","value":""},{"id":150,"name":"Time of Event (Mountain Time)","value":"09:35:00"},{"id":151,"name":"Denver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473</v>
      </c>
      <c r="B171" s="7">
        <v>4012</v>
      </c>
      <c r="C171" s="22" t="s">
        <v>216</v>
      </c>
      <c r="D171" s="22" t="s">
        <v>325</v>
      </c>
      <c r="E171" s="13">
        <v>42700.400752314818</v>
      </c>
      <c r="F171" s="13">
        <v>42700.402974537035</v>
      </c>
      <c r="G171" s="7">
        <v>2</v>
      </c>
      <c r="H171" s="22" t="s">
        <v>323</v>
      </c>
      <c r="I171" s="13">
        <v>42700.413171296299</v>
      </c>
      <c r="J171" s="7">
        <v>0</v>
      </c>
      <c r="K171" s="109" t="str">
        <f t="shared" si="50"/>
        <v>4011/4012</v>
      </c>
      <c r="L171" s="22" t="str">
        <f>VLOOKUP(A171,'Trips&amp;Operators'!$C$1:$E$10000,3,FALSE)</f>
        <v>OUN</v>
      </c>
      <c r="M171" s="6">
        <f t="shared" si="51"/>
        <v>1.0196759263635613E-2</v>
      </c>
      <c r="N171" s="7">
        <f t="shared" si="52"/>
        <v>14.683333339635283</v>
      </c>
      <c r="O171" s="7"/>
      <c r="P171" s="7"/>
      <c r="Q171" s="23"/>
      <c r="R171" s="23"/>
      <c r="S171" s="35">
        <f t="shared" si="53"/>
        <v>1</v>
      </c>
      <c r="T171" s="50" t="str">
        <f t="shared" si="54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08:37:05-700',mode:absolute,to:'2016-11-26 10:54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1" s="52" t="str">
        <f t="shared" si="56"/>
        <v>N</v>
      </c>
      <c r="X171" s="177">
        <f t="shared" si="57"/>
        <v>1</v>
      </c>
      <c r="Y171" s="67">
        <f t="shared" si="58"/>
        <v>5.8608000000000002</v>
      </c>
      <c r="Z171" s="67">
        <f t="shared" si="59"/>
        <v>6.59E-2</v>
      </c>
      <c r="AA171" s="67">
        <f t="shared" si="60"/>
        <v>5.7949000000000002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61"/>
        <v>1808-26</v>
      </c>
      <c r="AE171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71" s="88" t="str">
        <f t="shared" si="63"/>
        <v>"C:\Program Files (x86)\AstroGrep\AstroGrep.exe" /spath="%USERPROFILE%\AppData\Local\Temp\OnboardLogs" /stypes="app*4012*20161126*" /stext=" 16:.+((SYSTEM_STATE.+slice.+state.+changed )|(ment ac)|(multiple cpu faults)|(system.+state.+changed )|(\[timeout)|(PRM\|1\|D)|(kpr)|(kdp)|(\|lc)|(penalty))" /e /r /s</v>
      </c>
      <c r="AG171" s="1" t="str">
        <f t="shared" si="64"/>
        <v>NW</v>
      </c>
      <c r="AH171" s="92" t="str">
        <f t="shared" si="65"/>
        <v>"%USERPROFILE%\Documents\GitHub\eaglep3\Utilities\RefineRTDCRunTimes.py" --tripid 1808-26 --locoid 4012 --swversion DE.1.0.8.0 --startMP 300:58608 --initTime 2016-11-26T09:37:05 --startdatetime 2016-11-26T09:40:17 --delay 2 --endMP 204:659 --enddatetime 2016-11-26T09:54:58 --enforcementcount 0 &gt;&gt;C:\Users\stu\Documents\GitHub\eaglep3-reporting\EC\2016-11-26-refined-times.txt</v>
      </c>
      <c r="AI171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{"issue":{"subject":"","project_id":79,"tracker_id":40,"status_id":1,"priority_id":2,"assigned_to_id":23,"start_date":"2016-11-26","description":"","custom_fields":[{"id":1,"name":"Subdivision","value":"NW"},{"id":4,"name":"Milepost","value":"0.0659"},{"id":17,"name":"Train ID","value":"1808-26"},{"id":16,"name":"Locomotive ID","value":"4012"},{"id":130,"name":"Impact","value":""},{"id":150,"name":"Time of Event (Mountain Time)","value":"09:54:58"},{"id":151,"name":"Denver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477</v>
      </c>
      <c r="B172" s="7">
        <v>4011</v>
      </c>
      <c r="C172" s="22" t="s">
        <v>216</v>
      </c>
      <c r="D172" s="22" t="s">
        <v>648</v>
      </c>
      <c r="E172" s="13">
        <v>42700.425486111111</v>
      </c>
      <c r="F172" s="13">
        <v>42700.431504629632</v>
      </c>
      <c r="G172" s="7">
        <v>1</v>
      </c>
      <c r="H172" s="22" t="s">
        <v>641</v>
      </c>
      <c r="I172" s="13">
        <v>42700.440798611111</v>
      </c>
      <c r="J172" s="7">
        <v>0</v>
      </c>
      <c r="K172" s="109" t="str">
        <f t="shared" si="50"/>
        <v>4011/4012</v>
      </c>
      <c r="L172" s="22" t="str">
        <f>VLOOKUP(A172,'Trips&amp;Operators'!$C$1:$E$10000,3,FALSE)</f>
        <v>OUN</v>
      </c>
      <c r="M172" s="6">
        <f t="shared" si="51"/>
        <v>9.29398147854954E-3</v>
      </c>
      <c r="N172" s="7">
        <f t="shared" si="52"/>
        <v>13.383333329111338</v>
      </c>
      <c r="O172" s="7"/>
      <c r="P172" s="7"/>
      <c r="Q172" s="23"/>
      <c r="R172" s="23"/>
      <c r="S172" s="35">
        <f t="shared" si="53"/>
        <v>1</v>
      </c>
      <c r="T172" s="50" t="str">
        <f t="shared" si="54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09:12:42-700',mode:absolute,to:'2016-11-26 11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2" s="52" t="str">
        <f t="shared" si="56"/>
        <v>N</v>
      </c>
      <c r="X172" s="177">
        <f t="shared" si="57"/>
        <v>1</v>
      </c>
      <c r="Y172" s="67">
        <f t="shared" si="58"/>
        <v>9.64E-2</v>
      </c>
      <c r="Z172" s="67">
        <f t="shared" si="59"/>
        <v>5.8928000000000003</v>
      </c>
      <c r="AA172" s="67">
        <f t="shared" si="60"/>
        <v>5.7964000000000002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61"/>
        <v>1809-26</v>
      </c>
      <c r="AE172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72" s="88" t="str">
        <f t="shared" si="63"/>
        <v>"C:\Program Files (x86)\AstroGrep\AstroGrep.exe" /spath="%USERPROFILE%\AppData\Local\Temp\OnboardLogs" /stypes="app*4011*20161126*" /stext=" 17:.+((SYSTEM_STATE.+slice.+state.+changed )|(ment ac)|(multiple cpu faults)|(system.+state.+changed )|(\[timeout)|(PRM\|1\|D)|(kpr)|(kdp)|(\|lc)|(penalty))" /e /r /s</v>
      </c>
      <c r="AG172" s="1" t="str">
        <f t="shared" si="64"/>
        <v>NW</v>
      </c>
      <c r="AH172" s="92" t="str">
        <f t="shared" si="65"/>
        <v>"%USERPROFILE%\Documents\GitHub\eaglep3\Utilities\RefineRTDCRunTimes.py" --tripid 1809-26 --locoid 4011 --swversion DE.1.0.8.0 --startMP 204:964 --initTime 2016-11-26T10:12:42 --startdatetime 2016-11-26T10:21:22 --delay 1 --endMP 300:58928 --enddatetime 2016-11-26T10:34:45 --enforcementcount 0 &gt;&gt;C:\Users\stu\Documents\GitHub\eaglep3-reporting\EC\2016-11-26-refined-times.txt</v>
      </c>
      <c r="AI172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{"issue":{"subject":"","project_id":79,"tracker_id":40,"status_id":1,"priority_id":2,"assigned_to_id":23,"start_date":"2016-11-26","description":"","custom_fields":[{"id":1,"name":"Subdivision","value":"NW"},{"id":4,"name":"Milepost","value":"5.8928"},{"id":17,"name":"Train ID","value":"1809-26"},{"id":16,"name":"Locomotive ID","value":"4011"},{"id":130,"name":"Impact","value":""},{"id":150,"name":"Time of Event (Mountain Time)","value":"10:34:45"},{"id":151,"name":"Denver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482</v>
      </c>
      <c r="B173" s="7">
        <v>4012</v>
      </c>
      <c r="C173" s="22" t="s">
        <v>216</v>
      </c>
      <c r="D173" s="22" t="s">
        <v>324</v>
      </c>
      <c r="E173" s="13">
        <v>42700.442280092589</v>
      </c>
      <c r="F173" s="13">
        <v>42700.443576388891</v>
      </c>
      <c r="G173" s="7">
        <v>1</v>
      </c>
      <c r="H173" s="22" t="s">
        <v>650</v>
      </c>
      <c r="I173" s="13">
        <v>42700.454861111109</v>
      </c>
      <c r="J173" s="7">
        <v>0</v>
      </c>
      <c r="K173" s="109" t="str">
        <f t="shared" si="50"/>
        <v>4011/4012</v>
      </c>
      <c r="L173" s="22" t="str">
        <f>VLOOKUP(A173,'Trips&amp;Operators'!$C$1:$E$10000,3,FALSE)</f>
        <v>OUN</v>
      </c>
      <c r="M173" s="6">
        <f t="shared" si="51"/>
        <v>1.1284722218988463E-2</v>
      </c>
      <c r="N173" s="7">
        <f t="shared" si="52"/>
        <v>16.249999995343387</v>
      </c>
      <c r="O173" s="7"/>
      <c r="P173" s="7"/>
      <c r="Q173" s="23"/>
      <c r="R173" s="23"/>
      <c r="S173" s="35">
        <f t="shared" si="53"/>
        <v>1</v>
      </c>
      <c r="T173" s="50" t="str">
        <f t="shared" si="54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09:36:53-700',mode:absolute,to:'2016-11-26 11:55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3" s="52" t="str">
        <f t="shared" si="56"/>
        <v>N</v>
      </c>
      <c r="X173" s="177">
        <f t="shared" si="57"/>
        <v>1</v>
      </c>
      <c r="Y173" s="67">
        <f t="shared" si="58"/>
        <v>5.8611000000000004</v>
      </c>
      <c r="Z173" s="67">
        <f t="shared" si="59"/>
        <v>6.6400000000000001E-2</v>
      </c>
      <c r="AA173" s="67">
        <f t="shared" si="60"/>
        <v>5.7947000000000006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61"/>
        <v>1810-26</v>
      </c>
      <c r="AE173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73" s="88" t="str">
        <f t="shared" si="63"/>
        <v>"C:\Program Files (x86)\AstroGrep\AstroGrep.exe" /spath="%USERPROFILE%\AppData\Local\Temp\OnboardLogs" /stypes="app*4012*20161126*" /stext=" 17:.+((SYSTEM_STATE.+slice.+state.+changed )|(ment ac)|(multiple cpu faults)|(system.+state.+changed )|(\[timeout)|(PRM\|1\|D)|(kpr)|(kdp)|(\|lc)|(penalty))" /e /r /s</v>
      </c>
      <c r="AG173" s="1" t="str">
        <f t="shared" si="64"/>
        <v>NW</v>
      </c>
      <c r="AH173" s="92" t="str">
        <f t="shared" si="65"/>
        <v>"%USERPROFILE%\Documents\GitHub\eaglep3\Utilities\RefineRTDCRunTimes.py" --tripid 1810-26 --locoid 4012 --swversion DE.1.0.8.0 --startMP 300:58611 --initTime 2016-11-26T10:36:53 --startdatetime 2016-11-26T10:38:45 --delay 1 --endMP 204:664 --enddatetime 2016-11-26T10:55:00 --enforcementcount 0 &gt;&gt;C:\Users\stu\Documents\GitHub\eaglep3-reporting\EC\2016-11-26-refined-times.txt</v>
      </c>
      <c r="AI173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{"issue":{"subject":"","project_id":79,"tracker_id":40,"status_id":1,"priority_id":2,"assigned_to_id":23,"start_date":"2016-11-26","description":"","custom_fields":[{"id":1,"name":"Subdivision","value":"NW"},{"id":4,"name":"Milepost","value":"0.0664"},{"id":17,"name":"Train ID","value":"1810-26"},{"id":16,"name":"Locomotive ID","value":"4012"},{"id":130,"name":"Impact","value":""},{"id":150,"name":"Time of Event (Mountain Time)","value":"10:55:00"},{"id":151,"name":"Denver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490</v>
      </c>
      <c r="B174" s="7">
        <v>4011</v>
      </c>
      <c r="C174" s="22" t="s">
        <v>216</v>
      </c>
      <c r="D174" s="22" t="s">
        <v>651</v>
      </c>
      <c r="E174" s="13">
        <v>42700.466886574075</v>
      </c>
      <c r="F174" s="13">
        <v>42700.473194444443</v>
      </c>
      <c r="G174" s="7">
        <v>1</v>
      </c>
      <c r="H174" s="22" t="s">
        <v>331</v>
      </c>
      <c r="I174" s="13">
        <v>42700.482557870368</v>
      </c>
      <c r="J174" s="7">
        <v>0</v>
      </c>
      <c r="K174" s="109" t="str">
        <f t="shared" si="50"/>
        <v>4011/4012</v>
      </c>
      <c r="L174" s="22" t="str">
        <f>VLOOKUP(A174,'Trips&amp;Operators'!$C$1:$E$10000,3,FALSE)</f>
        <v>OUN</v>
      </c>
      <c r="M174" s="6">
        <f t="shared" si="51"/>
        <v>9.3634259246755391E-3</v>
      </c>
      <c r="N174" s="7">
        <f t="shared" si="52"/>
        <v>13.483333331532776</v>
      </c>
      <c r="O174" s="7"/>
      <c r="P174" s="7"/>
      <c r="Q174" s="23"/>
      <c r="R174" s="23"/>
      <c r="S174" s="35">
        <f t="shared" si="53"/>
        <v>1</v>
      </c>
      <c r="T174" s="50" t="str">
        <f t="shared" si="54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10:12:19-700',mode:absolute,to:'2016-11-26 12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4" s="52" t="str">
        <f t="shared" si="56"/>
        <v>N</v>
      </c>
      <c r="X174" s="177">
        <f t="shared" si="57"/>
        <v>1</v>
      </c>
      <c r="Y174" s="67">
        <f t="shared" si="58"/>
        <v>9.7100000000000006E-2</v>
      </c>
      <c r="Z174" s="67">
        <f t="shared" si="59"/>
        <v>5.8921999999999999</v>
      </c>
      <c r="AA174" s="67">
        <f t="shared" si="60"/>
        <v>5.7950999999999997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61"/>
        <v>1811-26</v>
      </c>
      <c r="AE174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74" s="88" t="str">
        <f t="shared" si="63"/>
        <v>"C:\Program Files (x86)\AstroGrep\AstroGrep.exe" /spath="%USERPROFILE%\AppData\Local\Temp\OnboardLogs" /stypes="app*4011*20161126*" /stext=" 18:.+((SYSTEM_STATE.+slice.+state.+changed )|(ment ac)|(multiple cpu faults)|(system.+state.+changed )|(\[timeout)|(PRM\|1\|D)|(kpr)|(kdp)|(\|lc)|(penalty))" /e /r /s</v>
      </c>
      <c r="AG174" s="1" t="str">
        <f t="shared" si="64"/>
        <v>NW</v>
      </c>
      <c r="AH174" s="92" t="str">
        <f t="shared" si="65"/>
        <v>"%USERPROFILE%\Documents\GitHub\eaglep3\Utilities\RefineRTDCRunTimes.py" --tripid 1811-26 --locoid 4011 --swversion DE.1.0.8.0 --startMP 204:971 --initTime 2016-11-26T11:12:19 --startdatetime 2016-11-26T11:21:24 --delay 1 --endMP 300:58922 --enddatetime 2016-11-26T11:34:53 --enforcementcount 0 &gt;&gt;C:\Users\stu\Documents\GitHub\eaglep3-reporting\EC\2016-11-26-refined-times.txt</v>
      </c>
      <c r="AI174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{"issue":{"subject":"","project_id":79,"tracker_id":40,"status_id":1,"priority_id":2,"assigned_to_id":23,"start_date":"2016-11-26","description":"","custom_fields":[{"id":1,"name":"Subdivision","value":"NW"},{"id":4,"name":"Milepost","value":"5.8922"},{"id":17,"name":"Train ID","value":"1811-26"},{"id":16,"name":"Locomotive ID","value":"4011"},{"id":130,"name":"Impact","value":""},{"id":150,"name":"Time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494</v>
      </c>
      <c r="B175" s="7">
        <v>4012</v>
      </c>
      <c r="C175" s="22" t="s">
        <v>216</v>
      </c>
      <c r="D175" s="22" t="s">
        <v>328</v>
      </c>
      <c r="E175" s="13">
        <v>42700.483715277776</v>
      </c>
      <c r="F175" s="13">
        <v>42700.485069444447</v>
      </c>
      <c r="G175" s="7">
        <v>1</v>
      </c>
      <c r="H175" s="22" t="s">
        <v>652</v>
      </c>
      <c r="I175" s="13">
        <v>42700.496365740742</v>
      </c>
      <c r="J175" s="7">
        <v>0</v>
      </c>
      <c r="K175" s="109" t="str">
        <f t="shared" si="50"/>
        <v>4011/4012</v>
      </c>
      <c r="L175" s="22" t="str">
        <f>VLOOKUP(A175,'Trips&amp;Operators'!$C$1:$E$10000,3,FALSE)</f>
        <v>OUN</v>
      </c>
      <c r="M175" s="6">
        <f t="shared" si="51"/>
        <v>1.1296296295768116E-2</v>
      </c>
      <c r="N175" s="7">
        <f t="shared" si="52"/>
        <v>16.266666665906087</v>
      </c>
      <c r="O175" s="7"/>
      <c r="P175" s="7"/>
      <c r="Q175" s="23"/>
      <c r="R175" s="23"/>
      <c r="S175" s="35">
        <f t="shared" si="53"/>
        <v>1</v>
      </c>
      <c r="T175" s="50" t="str">
        <f t="shared" si="54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10:36:33-700',mode:absolute,to:'2016-11-26 12:54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5" s="52" t="str">
        <f t="shared" si="56"/>
        <v>N</v>
      </c>
      <c r="X175" s="177">
        <f t="shared" si="57"/>
        <v>1</v>
      </c>
      <c r="Y175" s="67">
        <f t="shared" si="58"/>
        <v>5.8609</v>
      </c>
      <c r="Z175" s="67">
        <f t="shared" si="59"/>
        <v>6.7500000000000004E-2</v>
      </c>
      <c r="AA175" s="67">
        <f t="shared" si="60"/>
        <v>5.7934000000000001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61"/>
        <v>1812-26</v>
      </c>
      <c r="AE175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75" s="88" t="str">
        <f t="shared" si="63"/>
        <v>"C:\Program Files (x86)\AstroGrep\AstroGrep.exe" /spath="%USERPROFILE%\AppData\Local\Temp\OnboardLogs" /stypes="app*4012*20161126*" /stext=" 18:.+((SYSTEM_STATE.+slice.+state.+changed )|(ment ac)|(multiple cpu faults)|(system.+state.+changed )|(\[timeout)|(PRM\|1\|D)|(kpr)|(kdp)|(\|lc)|(penalty))" /e /r /s</v>
      </c>
      <c r="AG175" s="1" t="str">
        <f t="shared" si="64"/>
        <v>NW</v>
      </c>
      <c r="AH175" s="92" t="str">
        <f t="shared" si="65"/>
        <v>"%USERPROFILE%\Documents\GitHub\eaglep3\Utilities\RefineRTDCRunTimes.py" --tripid 1812-26 --locoid 4012 --swversion DE.1.0.8.0 --startMP 300:58609 --initTime 2016-11-26T11:36:33 --startdatetime 2016-11-26T11:38:30 --delay 1 --endMP 204:675 --enddatetime 2016-11-26T11:54:46 --enforcementcount 0 &gt;&gt;C:\Users\stu\Documents\GitHub\eaglep3-reporting\EC\2016-11-26-refined-times.txt</v>
      </c>
      <c r="AI175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{"issue":{"subject":"","project_id":79,"tracker_id":40,"status_id":1,"priority_id":2,"assigned_to_id":23,"start_date":"2016-11-26","description":"","custom_fields":[{"id":1,"name":"Subdivision","value":"NW"},{"id":4,"name":"Milepost","value":"0.0675"},{"id":17,"name":"Train ID","value":"1812-26"},{"id":16,"name":"Locomotive ID","value":"4012"},{"id":130,"name":"Impact","value":""},{"id":150,"name":"Time of Event (Mountain Time)","value":"11:54:46"},{"id":151,"name":"Denver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404</v>
      </c>
      <c r="B176" s="7">
        <v>4011</v>
      </c>
      <c r="C176" s="22" t="s">
        <v>216</v>
      </c>
      <c r="D176" s="22" t="s">
        <v>653</v>
      </c>
      <c r="E176" s="13">
        <v>42700.508391203701</v>
      </c>
      <c r="F176" s="13">
        <v>42700.514872685184</v>
      </c>
      <c r="G176" s="7">
        <v>1</v>
      </c>
      <c r="H176" s="22" t="s">
        <v>389</v>
      </c>
      <c r="I176" s="13">
        <v>42700.524039351854</v>
      </c>
      <c r="J176" s="7">
        <v>1</v>
      </c>
      <c r="K176" s="109" t="str">
        <f t="shared" si="50"/>
        <v>4011/4012</v>
      </c>
      <c r="L176" s="22" t="str">
        <f>VLOOKUP(A176,'Trips&amp;Operators'!$C$1:$E$10000,3,FALSE)</f>
        <v>OUN</v>
      </c>
      <c r="M176" s="6">
        <f t="shared" si="51"/>
        <v>9.1666666703531519E-3</v>
      </c>
      <c r="N176" s="7">
        <f t="shared" si="52"/>
        <v>13.200000005308539</v>
      </c>
      <c r="O176" s="7"/>
      <c r="P176" s="7"/>
      <c r="Q176" s="23"/>
      <c r="R176" s="23"/>
      <c r="S176" s="35">
        <f t="shared" si="53"/>
        <v>1</v>
      </c>
      <c r="T176" s="50" t="str">
        <f t="shared" si="54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11:12:05-700',mode:absolute,to:'2016-11-26 13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6" s="52" t="str">
        <f t="shared" si="56"/>
        <v>N</v>
      </c>
      <c r="X176" s="177">
        <f t="shared" si="57"/>
        <v>1</v>
      </c>
      <c r="Y176" s="67">
        <f t="shared" si="58"/>
        <v>9.6199999999999994E-2</v>
      </c>
      <c r="Z176" s="67">
        <f t="shared" si="59"/>
        <v>5.8944000000000001</v>
      </c>
      <c r="AA176" s="67">
        <f t="shared" si="60"/>
        <v>5.7982000000000005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61"/>
        <v>1813-26</v>
      </c>
      <c r="AE176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76" s="88" t="str">
        <f t="shared" si="63"/>
        <v>"C:\Program Files (x86)\AstroGrep\AstroGrep.exe" /spath="%USERPROFILE%\AppData\Local\Temp\OnboardLogs" /stypes="app*4011*20161126*" /stext=" 19:.+((SYSTEM_STATE.+slice.+state.+changed )|(ment ac)|(multiple cpu faults)|(system.+state.+changed )|(\[timeout)|(PRM\|1\|D)|(kpr)|(kdp)|(\|lc)|(penalty))" /e /r /s</v>
      </c>
      <c r="AG176" s="1" t="str">
        <f t="shared" si="64"/>
        <v>NW</v>
      </c>
      <c r="AH176" s="92" t="str">
        <f t="shared" si="65"/>
        <v>"%USERPROFILE%\Documents\GitHub\eaglep3\Utilities\RefineRTDCRunTimes.py" --tripid 1813-26 --locoid 4011 --swversion DE.1.0.8.0 --startMP 204:962 --initTime 2016-11-26T12:12:05 --startdatetime 2016-11-26T12:21:25 --delay 1 --endMP 300:58944 --enddatetime 2016-11-26T12:34:37 --enforcementcount 1 &gt;&gt;C:\Users\stu\Documents\GitHub\eaglep3-reporting\EC\2016-11-26-refined-times.txt</v>
      </c>
      <c r="AI176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{"issue":{"subject":"","project_id":79,"tracker_id":40,"status_id":1,"priority_id":2,"assigned_to_id":23,"start_date":"2016-11-26","description":"","custom_fields":[{"id":1,"name":"Subdivision","value":"NW"},{"id":4,"name":"Milepost","value":"5.8944"},{"id":17,"name":"Train ID","value":"1813-26"},{"id":16,"name":"Locomotive ID","value":"4011"},{"id":130,"name":"Impact","value":""},{"id":150,"name":"Time of Event (Mountain Time)","value":"12:34:37"},{"id":151,"name":"Denver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503</v>
      </c>
      <c r="B177" s="7">
        <v>4012</v>
      </c>
      <c r="C177" s="22" t="s">
        <v>216</v>
      </c>
      <c r="D177" s="22" t="s">
        <v>654</v>
      </c>
      <c r="E177" s="13">
        <v>42700.525335648148</v>
      </c>
      <c r="F177" s="13">
        <v>42700.52715277778</v>
      </c>
      <c r="G177" s="7">
        <v>1</v>
      </c>
      <c r="H177" s="22" t="s">
        <v>644</v>
      </c>
      <c r="I177" s="13">
        <v>42700.538182870368</v>
      </c>
      <c r="J177" s="7">
        <v>0</v>
      </c>
      <c r="K177" s="109" t="str">
        <f t="shared" si="50"/>
        <v>4011/4012</v>
      </c>
      <c r="L177" s="22" t="str">
        <f>VLOOKUP(A177,'Trips&amp;Operators'!$C$1:$E$10000,3,FALSE)</f>
        <v>OUN</v>
      </c>
      <c r="M177" s="6">
        <f t="shared" si="51"/>
        <v>1.1030092588043772E-2</v>
      </c>
      <c r="N177" s="7">
        <f t="shared" si="52"/>
        <v>15.883333326783031</v>
      </c>
      <c r="O177" s="7"/>
      <c r="P177" s="7"/>
      <c r="Q177" s="23"/>
      <c r="R177" s="23"/>
      <c r="S177" s="35">
        <f t="shared" si="53"/>
        <v>1</v>
      </c>
      <c r="T177" s="50" t="str">
        <f t="shared" si="54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11:36:29-700',mode:absolute,to:'2016-11-26 13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7" s="52" t="str">
        <f t="shared" si="56"/>
        <v>N</v>
      </c>
      <c r="X177" s="177">
        <f t="shared" si="57"/>
        <v>1</v>
      </c>
      <c r="Y177" s="67">
        <f t="shared" si="58"/>
        <v>5.8624000000000001</v>
      </c>
      <c r="Z177" s="67">
        <f t="shared" si="59"/>
        <v>6.8699999999999997E-2</v>
      </c>
      <c r="AA177" s="67">
        <f t="shared" si="60"/>
        <v>5.7937000000000003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61"/>
        <v>1814-26</v>
      </c>
      <c r="AE177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77" s="88" t="str">
        <f t="shared" si="63"/>
        <v>"C:\Program Files (x86)\AstroGrep\AstroGrep.exe" /spath="%USERPROFILE%\AppData\Local\Temp\OnboardLogs" /stypes="app*4012*20161126*" /stext=" 19:.+((SYSTEM_STATE.+slice.+state.+changed )|(ment ac)|(multiple cpu faults)|(system.+state.+changed )|(\[timeout)|(PRM\|1\|D)|(kpr)|(kdp)|(\|lc)|(penalty))" /e /r /s</v>
      </c>
      <c r="AG177" s="1" t="str">
        <f t="shared" si="64"/>
        <v>NW</v>
      </c>
      <c r="AH177" s="92" t="str">
        <f t="shared" si="65"/>
        <v>"%USERPROFILE%\Documents\GitHub\eaglep3\Utilities\RefineRTDCRunTimes.py" --tripid 1814-26 --locoid 4012 --swversion DE.1.0.8.0 --startMP 300:58624 --initTime 2016-11-26T12:36:29 --startdatetime 2016-11-26T12:39:06 --delay 1 --endMP 204:687 --enddatetime 2016-11-26T12:54:59 --enforcementcount 0 &gt;&gt;C:\Users\stu\Documents\GitHub\eaglep3-reporting\EC\2016-11-26-refined-times.txt</v>
      </c>
      <c r="AI177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{"issue":{"subject":"","project_id":79,"tracker_id":40,"status_id":1,"priority_id":2,"assigned_to_id":23,"start_date":"2016-11-26","description":"","custom_fields":[{"id":1,"name":"Subdivision","value":"NW"},{"id":4,"name":"Milepost","value":"0.0687"},{"id":17,"name":"Train ID","value":"1814-26"},{"id":16,"name":"Locomotive ID","value":"4012"},{"id":130,"name":"Impact","value":""},{"id":150,"name":"Time of Event (Mountain Time)","value":"12:54:59"},{"id":151,"name":"Denver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509</v>
      </c>
      <c r="B178" s="7">
        <v>4011</v>
      </c>
      <c r="C178" s="22" t="s">
        <v>216</v>
      </c>
      <c r="D178" s="22" t="s">
        <v>384</v>
      </c>
      <c r="E178" s="13">
        <v>42700.550671296296</v>
      </c>
      <c r="F178" s="13">
        <v>42700.556574074071</v>
      </c>
      <c r="G178" s="7">
        <v>1</v>
      </c>
      <c r="H178" s="22" t="s">
        <v>655</v>
      </c>
      <c r="I178" s="13">
        <v>42700.56622685185</v>
      </c>
      <c r="J178" s="7">
        <v>0</v>
      </c>
      <c r="K178" s="109" t="str">
        <f t="shared" si="50"/>
        <v>4011/4012</v>
      </c>
      <c r="L178" s="22" t="str">
        <f>VLOOKUP(A178,'Trips&amp;Operators'!$C$1:$E$10000,3,FALSE)</f>
        <v>OUN</v>
      </c>
      <c r="M178" s="6">
        <f t="shared" si="51"/>
        <v>9.6527777786832303E-3</v>
      </c>
      <c r="N178" s="7">
        <f t="shared" si="52"/>
        <v>13.900000001303852</v>
      </c>
      <c r="O178" s="7"/>
      <c r="P178" s="7"/>
      <c r="Q178" s="23"/>
      <c r="R178" s="23"/>
      <c r="S178" s="35">
        <f t="shared" si="53"/>
        <v>1</v>
      </c>
      <c r="T178" s="50" t="str">
        <f t="shared" si="54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12:12:58-700',mode:absolute,to:'2016-11-26 14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8" s="52" t="str">
        <f t="shared" si="56"/>
        <v>N</v>
      </c>
      <c r="X178" s="177">
        <f t="shared" si="57"/>
        <v>1</v>
      </c>
      <c r="Y178" s="67">
        <f t="shared" si="58"/>
        <v>9.6500000000000002E-2</v>
      </c>
      <c r="Z178" s="67">
        <f t="shared" si="59"/>
        <v>5.8917999999999999</v>
      </c>
      <c r="AA178" s="67">
        <f t="shared" si="60"/>
        <v>5.7953000000000001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61"/>
        <v>1815-26</v>
      </c>
      <c r="AE178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78" s="88" t="str">
        <f t="shared" si="63"/>
        <v>"C:\Program Files (x86)\AstroGrep\AstroGrep.exe" /spath="%USERPROFILE%\AppData\Local\Temp\OnboardLogs" /stypes="app*4011*20161126*" /stext=" 20:.+((SYSTEM_STATE.+slice.+state.+changed )|(ment ac)|(multiple cpu faults)|(system.+state.+changed )|(\[timeout)|(PRM\|1\|D)|(kpr)|(kdp)|(\|lc)|(penalty))" /e /r /s</v>
      </c>
      <c r="AG178" s="1" t="str">
        <f t="shared" si="64"/>
        <v>NW</v>
      </c>
      <c r="AH178" s="92" t="str">
        <f t="shared" si="65"/>
        <v>"%USERPROFILE%\Documents\GitHub\eaglep3\Utilities\RefineRTDCRunTimes.py" --tripid 1815-26 --locoid 4011 --swversion DE.1.0.8.0 --startMP 204:965 --initTime 2016-11-26T13:12:58 --startdatetime 2016-11-26T13:21:28 --delay 1 --endMP 300:58918 --enddatetime 2016-11-26T13:35:22 --enforcementcount 0 &gt;&gt;C:\Users\stu\Documents\GitHub\eaglep3-reporting\EC\2016-11-26-refined-times.txt</v>
      </c>
      <c r="AI178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{"issue":{"subject":"","project_id":79,"tracker_id":40,"status_id":1,"priority_id":2,"assigned_to_id":23,"start_date":"2016-11-26","description":"","custom_fields":[{"id":1,"name":"Subdivision","value":"NW"},{"id":4,"name":"Milepost","value":"5.8918"},{"id":17,"name":"Train ID","value":"1815-26"},{"id":16,"name":"Locomotive ID","value":"4011"},{"id":130,"name":"Impact","value":""},{"id":150,"name":"Time of Event (Mountain Time)","value":"13:35:22"},{"id":151,"name":"Denver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513</v>
      </c>
      <c r="B179" s="7">
        <v>4012</v>
      </c>
      <c r="C179" s="22" t="s">
        <v>216</v>
      </c>
      <c r="D179" s="22" t="s">
        <v>656</v>
      </c>
      <c r="E179" s="13">
        <v>42700.567523148151</v>
      </c>
      <c r="F179" s="13">
        <v>42700.569166666668</v>
      </c>
      <c r="G179" s="7">
        <v>1</v>
      </c>
      <c r="H179" s="22" t="s">
        <v>644</v>
      </c>
      <c r="I179" s="13">
        <v>42700.579988425925</v>
      </c>
      <c r="J179" s="7">
        <v>0</v>
      </c>
      <c r="K179" s="109" t="str">
        <f t="shared" si="50"/>
        <v>4011/4012</v>
      </c>
      <c r="L179" s="22" t="str">
        <f>VLOOKUP(A179,'Trips&amp;Operators'!$C$1:$E$10000,3,FALSE)</f>
        <v>OUN</v>
      </c>
      <c r="M179" s="6">
        <f t="shared" si="51"/>
        <v>1.0821759256941732E-2</v>
      </c>
      <c r="N179" s="7">
        <f t="shared" si="52"/>
        <v>15.583333329996094</v>
      </c>
      <c r="O179" s="7"/>
      <c r="P179" s="7"/>
      <c r="Q179" s="23"/>
      <c r="R179" s="23"/>
      <c r="S179" s="35">
        <f t="shared" si="53"/>
        <v>1</v>
      </c>
      <c r="T179" s="50" t="str">
        <f t="shared" si="54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12:37:14-700',mode:absolute,to:'2016-11-26 14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9" s="52" t="str">
        <f t="shared" si="56"/>
        <v>N</v>
      </c>
      <c r="X179" s="177">
        <f t="shared" si="57"/>
        <v>1</v>
      </c>
      <c r="Y179" s="67">
        <f t="shared" si="58"/>
        <v>5.8601999999999999</v>
      </c>
      <c r="Z179" s="67">
        <f t="shared" si="59"/>
        <v>6.8699999999999997E-2</v>
      </c>
      <c r="AA179" s="67">
        <f t="shared" si="60"/>
        <v>5.7915000000000001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61"/>
        <v>1816-26</v>
      </c>
      <c r="AE179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79" s="88" t="str">
        <f t="shared" si="63"/>
        <v>"C:\Program Files (x86)\AstroGrep\AstroGrep.exe" /spath="%USERPROFILE%\AppData\Local\Temp\OnboardLogs" /stypes="app*4012*20161126*" /stext=" 20:.+((SYSTEM_STATE.+slice.+state.+changed )|(ment ac)|(multiple cpu faults)|(system.+state.+changed )|(\[timeout)|(PRM\|1\|D)|(kpr)|(kdp)|(\|lc)|(penalty))" /e /r /s</v>
      </c>
      <c r="AG179" s="1" t="str">
        <f t="shared" si="64"/>
        <v>NW</v>
      </c>
      <c r="AH179" s="92" t="str">
        <f t="shared" si="65"/>
        <v>"%USERPROFILE%\Documents\GitHub\eaglep3\Utilities\RefineRTDCRunTimes.py" --tripid 1816-26 --locoid 4012 --swversion DE.1.0.8.0 --startMP 300:58602 --initTime 2016-11-26T13:37:14 --startdatetime 2016-11-26T13:39:36 --delay 1 --endMP 204:687 --enddatetime 2016-11-26T13:55:11 --enforcementcount 0 &gt;&gt;C:\Users\stu\Documents\GitHub\eaglep3-reporting\EC\2016-11-26-refined-times.txt</v>
      </c>
      <c r="AI179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{"issue":{"subject":"","project_id":79,"tracker_id":40,"status_id":1,"priority_id":2,"assigned_to_id":23,"start_date":"2016-11-26","description":"","custom_fields":[{"id":1,"name":"Subdivision","value":"NW"},{"id":4,"name":"Milepost","value":"0.0687"},{"id":17,"name":"Train ID","value":"1816-26"},{"id":16,"name":"Locomotive ID","value":"4012"},{"id":130,"name":"Impact","value":""},{"id":150,"name":"Time of Event (Mountain Time)","value":"13:55:11"},{"id":151,"name":"Denver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408</v>
      </c>
      <c r="B180" s="7">
        <v>4011</v>
      </c>
      <c r="C180" s="22" t="s">
        <v>216</v>
      </c>
      <c r="D180" s="22" t="s">
        <v>657</v>
      </c>
      <c r="E180" s="13">
        <v>42700.592326388891</v>
      </c>
      <c r="F180" s="13">
        <v>42700.598449074074</v>
      </c>
      <c r="G180" s="7">
        <v>2</v>
      </c>
      <c r="H180" s="22" t="s">
        <v>658</v>
      </c>
      <c r="I180" s="13">
        <v>42700.607476851852</v>
      </c>
      <c r="J180" s="7">
        <v>1</v>
      </c>
      <c r="K180" s="109" t="str">
        <f t="shared" si="50"/>
        <v>4011/4012</v>
      </c>
      <c r="L180" s="22" t="str">
        <f>VLOOKUP(A180,'Trips&amp;Operators'!$C$1:$E$10000,3,FALSE)</f>
        <v>ADANE</v>
      </c>
      <c r="M180" s="6">
        <f t="shared" si="51"/>
        <v>9.0277777781011537E-3</v>
      </c>
      <c r="N180" s="7">
        <f t="shared" si="52"/>
        <v>13.000000000465661</v>
      </c>
      <c r="O180" s="7"/>
      <c r="P180" s="7"/>
      <c r="Q180" s="23"/>
      <c r="R180" s="23"/>
      <c r="S180" s="35">
        <f t="shared" si="53"/>
        <v>1</v>
      </c>
      <c r="T180" s="50" t="str">
        <f t="shared" si="54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13:12:57-700',mode:absolute,to:'2016-11-26 15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0" s="52" t="str">
        <f t="shared" si="56"/>
        <v>N</v>
      </c>
      <c r="X180" s="177">
        <f t="shared" si="57"/>
        <v>1</v>
      </c>
      <c r="Y180" s="67">
        <f t="shared" si="58"/>
        <v>9.6699999999999994E-2</v>
      </c>
      <c r="Z180" s="67">
        <f t="shared" si="59"/>
        <v>5.8983999999999996</v>
      </c>
      <c r="AA180" s="67">
        <f t="shared" si="60"/>
        <v>5.8016999999999994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61"/>
        <v>1817-26</v>
      </c>
      <c r="AE180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80" s="88" t="str">
        <f t="shared" si="63"/>
        <v>"C:\Program Files (x86)\AstroGrep\AstroGrep.exe" /spath="%USERPROFILE%\AppData\Local\Temp\OnboardLogs" /stypes="app*4011*20161126*" /stext=" 21:.+((SYSTEM_STATE.+slice.+state.+changed )|(ment ac)|(multiple cpu faults)|(system.+state.+changed )|(\[timeout)|(PRM\|1\|D)|(kpr)|(kdp)|(\|lc)|(penalty))" /e /r /s</v>
      </c>
      <c r="AG180" s="1" t="str">
        <f t="shared" si="64"/>
        <v>NW</v>
      </c>
      <c r="AH180" s="92" t="str">
        <f t="shared" si="65"/>
        <v>"%USERPROFILE%\Documents\GitHub\eaglep3\Utilities\RefineRTDCRunTimes.py" --tripid 1817-26 --locoid 4011 --swversion DE.1.0.8.0 --startMP 204:967 --initTime 2016-11-26T14:12:57 --startdatetime 2016-11-26T14:21:46 --delay 2 --endMP 300:58984 --enddatetime 2016-11-26T14:34:46 --enforcementcount 1 &gt;&gt;C:\Users\stu\Documents\GitHub\eaglep3-reporting\EC\2016-11-26-refined-times.txt</v>
      </c>
      <c r="AI180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{"issue":{"subject":"","project_id":79,"tracker_id":40,"status_id":1,"priority_id":2,"assigned_to_id":23,"start_date":"2016-11-26","description":"","custom_fields":[{"id":1,"name":"Subdivision","value":"NW"},{"id":4,"name":"Milepost","value":"5.8984"},{"id":17,"name":"Train ID","value":"1817-26"},{"id":16,"name":"Locomotive ID","value":"4011"},{"id":130,"name":"Impact","value":""},{"id":150,"name":"Time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520</v>
      </c>
      <c r="B181" s="7">
        <v>4012</v>
      </c>
      <c r="C181" s="22" t="s">
        <v>216</v>
      </c>
      <c r="D181" s="22" t="s">
        <v>659</v>
      </c>
      <c r="E181" s="13">
        <v>42700.608576388891</v>
      </c>
      <c r="F181" s="13">
        <v>42700.610335648147</v>
      </c>
      <c r="G181" s="7">
        <v>1</v>
      </c>
      <c r="H181" s="22" t="s">
        <v>323</v>
      </c>
      <c r="I181" s="13">
        <v>42700.621331018519</v>
      </c>
      <c r="J181" s="7">
        <v>0</v>
      </c>
      <c r="K181" s="109" t="str">
        <f t="shared" si="50"/>
        <v>4011/4012</v>
      </c>
      <c r="L181" s="22" t="str">
        <f>VLOOKUP(A181,'Trips&amp;Operators'!$C$1:$E$10000,3,FALSE)</f>
        <v>ADANE</v>
      </c>
      <c r="M181" s="6">
        <f t="shared" si="51"/>
        <v>1.099537037225673E-2</v>
      </c>
      <c r="N181" s="7">
        <f t="shared" si="52"/>
        <v>15.833333336049691</v>
      </c>
      <c r="O181" s="7"/>
      <c r="P181" s="7"/>
      <c r="Q181" s="23"/>
      <c r="R181" s="23"/>
      <c r="S181" s="35">
        <f t="shared" si="53"/>
        <v>1</v>
      </c>
      <c r="T181" s="50" t="str">
        <f t="shared" si="54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13:36:21-700',mode:absolute,to:'2016-11-26 15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1" s="52" t="str">
        <f t="shared" si="56"/>
        <v>N</v>
      </c>
      <c r="X181" s="177">
        <f t="shared" si="57"/>
        <v>1</v>
      </c>
      <c r="Y181" s="67">
        <f t="shared" si="58"/>
        <v>5.8672000000000004</v>
      </c>
      <c r="Z181" s="67">
        <f t="shared" si="59"/>
        <v>6.59E-2</v>
      </c>
      <c r="AA181" s="67">
        <f t="shared" si="60"/>
        <v>5.8013000000000003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61"/>
        <v>1818-26</v>
      </c>
      <c r="AE181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81" s="88" t="str">
        <f t="shared" si="63"/>
        <v>"C:\Program Files (x86)\AstroGrep\AstroGrep.exe" /spath="%USERPROFILE%\AppData\Local\Temp\OnboardLogs" /stypes="app*4012*20161126*" /stext=" 21:.+((SYSTEM_STATE.+slice.+state.+changed )|(ment ac)|(multiple cpu faults)|(system.+state.+changed )|(\[timeout)|(PRM\|1\|D)|(kpr)|(kdp)|(\|lc)|(penalty))" /e /r /s</v>
      </c>
      <c r="AG181" s="1" t="str">
        <f t="shared" si="64"/>
        <v>NW</v>
      </c>
      <c r="AH181" s="92" t="str">
        <f t="shared" si="65"/>
        <v>"%USERPROFILE%\Documents\GitHub\eaglep3\Utilities\RefineRTDCRunTimes.py" --tripid 1818-26 --locoid 4012 --swversion DE.1.0.8.0 --startMP 300:58672 --initTime 2016-11-26T14:36:21 --startdatetime 2016-11-26T14:38:53 --delay 1 --endMP 204:659 --enddatetime 2016-11-26T14:54:43 --enforcementcount 0 &gt;&gt;C:\Users\stu\Documents\GitHub\eaglep3-reporting\EC\2016-11-26-refined-times.txt</v>
      </c>
      <c r="AI181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{"issue":{"subject":"","project_id":79,"tracker_id":40,"status_id":1,"priority_id":2,"assigned_to_id":23,"start_date":"2016-11-26","description":"","custom_fields":[{"id":1,"name":"Subdivision","value":"NW"},{"id":4,"name":"Milepost","value":"0.0659"},{"id":17,"name":"Train ID","value":"1818-26"},{"id":16,"name":"Locomotive ID","value":"4012"},{"id":130,"name":"Impact","value":""},{"id":150,"name":"Time of Event (Mountain Time)","value":"14:54:43"},{"id":151,"name":"Denver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411</v>
      </c>
      <c r="B182" s="7">
        <v>4011</v>
      </c>
      <c r="C182" s="22" t="s">
        <v>216</v>
      </c>
      <c r="D182" s="22" t="s">
        <v>660</v>
      </c>
      <c r="E182" s="13">
        <v>42700.623078703706</v>
      </c>
      <c r="F182" s="13">
        <v>42700.640046296299</v>
      </c>
      <c r="G182" s="7">
        <v>1</v>
      </c>
      <c r="H182" s="22" t="s">
        <v>661</v>
      </c>
      <c r="I182" s="13">
        <v>42700.649155092593</v>
      </c>
      <c r="J182" s="7">
        <v>0</v>
      </c>
      <c r="K182" s="109" t="str">
        <f t="shared" si="50"/>
        <v>4011/4012</v>
      </c>
      <c r="L182" s="22" t="str">
        <f>VLOOKUP(A182,'Trips&amp;Operators'!$C$1:$E$10000,3,FALSE)</f>
        <v>ADANE</v>
      </c>
      <c r="M182" s="6">
        <f t="shared" si="51"/>
        <v>9.1087962937308475E-3</v>
      </c>
      <c r="N182" s="7">
        <f t="shared" si="52"/>
        <v>13.11666666297242</v>
      </c>
      <c r="O182" s="7"/>
      <c r="P182" s="7"/>
      <c r="Q182" s="23"/>
      <c r="R182" s="23"/>
      <c r="S182" s="35">
        <f t="shared" si="53"/>
        <v>1</v>
      </c>
      <c r="T182" s="50" t="str">
        <f t="shared" si="54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13:57:14-700',mode:absolute,to:'2016-11-26 16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2" s="52" t="str">
        <f t="shared" si="56"/>
        <v>N</v>
      </c>
      <c r="X182" s="177">
        <f t="shared" si="57"/>
        <v>1</v>
      </c>
      <c r="Y182" s="67">
        <f t="shared" si="58"/>
        <v>9.4600000000000004E-2</v>
      </c>
      <c r="Z182" s="67">
        <f t="shared" si="59"/>
        <v>5.9001000000000001</v>
      </c>
      <c r="AA182" s="67">
        <f t="shared" si="60"/>
        <v>5.8055000000000003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61"/>
        <v>1819-26</v>
      </c>
      <c r="AE182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82" s="88" t="str">
        <f t="shared" si="63"/>
        <v>"C:\Program Files (x86)\AstroGrep\AstroGrep.exe" /spath="%USERPROFILE%\AppData\Local\Temp\OnboardLogs" /stypes="app*4011*20161126*" /stext=" 22:.+((SYSTEM_STATE.+slice.+state.+changed )|(ment ac)|(multiple cpu faults)|(system.+state.+changed )|(\[timeout)|(PRM\|1\|D)|(kpr)|(kdp)|(\|lc)|(penalty))" /e /r /s</v>
      </c>
      <c r="AG182" s="1" t="str">
        <f t="shared" si="64"/>
        <v>NW</v>
      </c>
      <c r="AH182" s="92" t="str">
        <f t="shared" si="65"/>
        <v>"%USERPROFILE%\Documents\GitHub\eaglep3\Utilities\RefineRTDCRunTimes.py" --tripid 1819-26 --locoid 4011 --swversion DE.1.0.8.0 --startMP 204:946 --initTime 2016-11-26T14:57:14 --startdatetime 2016-11-26T15:21:40 --delay 1 --endMP 300:59001 --enddatetime 2016-11-26T15:34:47 --enforcementcount 0 &gt;&gt;C:\Users\stu\Documents\GitHub\eaglep3-reporting\EC\2016-11-26-refined-times.txt</v>
      </c>
      <c r="AI182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{"issue":{"subject":"","project_id":79,"tracker_id":40,"status_id":1,"priority_id":2,"assigned_to_id":23,"start_date":"2016-11-26","description":"","custom_fields":[{"id":1,"name":"Subdivision","value":"NW"},{"id":4,"name":"Milepost","value":"5.9001"},{"id":17,"name":"Train ID","value":"1819-26"},{"id":16,"name":"Locomotive ID","value":"4011"},{"id":130,"name":"Impact","value":""},{"id":150,"name":"Time of Event (Mountain Time)","value":"15:34:47"},{"id":151,"name":"Denver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528</v>
      </c>
      <c r="B183" s="7">
        <v>4012</v>
      </c>
      <c r="C183" s="22" t="s">
        <v>216</v>
      </c>
      <c r="D183" s="22" t="s">
        <v>662</v>
      </c>
      <c r="E183" s="13">
        <v>42700.650173611109</v>
      </c>
      <c r="F183" s="13">
        <v>42700.651550925926</v>
      </c>
      <c r="G183" s="7">
        <v>1</v>
      </c>
      <c r="H183" s="22" t="s">
        <v>663</v>
      </c>
      <c r="I183" s="13">
        <v>42700.662974537037</v>
      </c>
      <c r="J183" s="7">
        <v>0</v>
      </c>
      <c r="K183" s="109" t="str">
        <f t="shared" si="50"/>
        <v>4011/4012</v>
      </c>
      <c r="L183" s="22" t="str">
        <f>VLOOKUP(A183,'Trips&amp;Operators'!$C$1:$E$10000,3,FALSE)</f>
        <v>ADANE</v>
      </c>
      <c r="M183" s="6">
        <f t="shared" si="51"/>
        <v>1.1423611111240461E-2</v>
      </c>
      <c r="N183" s="7">
        <f t="shared" si="52"/>
        <v>16.450000000186265</v>
      </c>
      <c r="O183" s="7"/>
      <c r="P183" s="7"/>
      <c r="Q183" s="23"/>
      <c r="R183" s="23"/>
      <c r="S183" s="35">
        <f t="shared" si="53"/>
        <v>1</v>
      </c>
      <c r="T183" s="50" t="str">
        <f t="shared" si="54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14:36:15-700',mode:absolute,to:'2016-11-26 16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3" s="52" t="str">
        <f t="shared" si="56"/>
        <v>N</v>
      </c>
      <c r="X183" s="177">
        <f t="shared" si="57"/>
        <v>1</v>
      </c>
      <c r="Y183" s="67">
        <f t="shared" si="58"/>
        <v>5.8688000000000002</v>
      </c>
      <c r="Z183" s="67">
        <f t="shared" si="59"/>
        <v>6.7000000000000004E-2</v>
      </c>
      <c r="AA183" s="67">
        <f t="shared" si="60"/>
        <v>5.8018000000000001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61"/>
        <v>1820-26</v>
      </c>
      <c r="AE183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83" s="88" t="str">
        <f t="shared" si="63"/>
        <v>"C:\Program Files (x86)\AstroGrep\AstroGrep.exe" /spath="%USERPROFILE%\AppData\Local\Temp\OnboardLogs" /stypes="app*4012*20161126*" /stext=" 22:.+((SYSTEM_STATE.+slice.+state.+changed )|(ment ac)|(multiple cpu faults)|(system.+state.+changed )|(\[timeout)|(PRM\|1\|D)|(kpr)|(kdp)|(\|lc)|(penalty))" /e /r /s</v>
      </c>
      <c r="AG183" s="1" t="str">
        <f t="shared" si="64"/>
        <v>NW</v>
      </c>
      <c r="AH183" s="92" t="str">
        <f t="shared" si="65"/>
        <v>"%USERPROFILE%\Documents\GitHub\eaglep3\Utilities\RefineRTDCRunTimes.py" --tripid 1820-26 --locoid 4012 --swversion DE.1.0.8.0 --startMP 300:58688 --initTime 2016-11-26T15:36:15 --startdatetime 2016-11-26T15:38:14 --delay 1 --endMP 204:670 --enddatetime 2016-11-26T15:54:41 --enforcementcount 0 &gt;&gt;C:\Users\stu\Documents\GitHub\eaglep3-reporting\EC\2016-11-26-refined-times.txt</v>
      </c>
      <c r="AI183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{"issue":{"subject":"","project_id":79,"tracker_id":40,"status_id":1,"priority_id":2,"assigned_to_id":23,"start_date":"2016-11-26","description":"","custom_fields":[{"id":1,"name":"Subdivision","value":"NW"},{"id":4,"name":"Milepost","value":"0.067"},{"id":17,"name":"Train ID","value":"1820-26"},{"id":16,"name":"Locomotive ID","value":"4012"},{"id":130,"name":"Impact","value":""},{"id":150,"name":"Time of Event (Mountain Time)","value":"15:54:41"},{"id":151,"name":"Denver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412</v>
      </c>
      <c r="B184" s="7">
        <v>4011</v>
      </c>
      <c r="C184" s="22" t="s">
        <v>216</v>
      </c>
      <c r="D184" s="22" t="s">
        <v>648</v>
      </c>
      <c r="E184" s="13">
        <v>42700.665000000001</v>
      </c>
      <c r="F184" s="13">
        <v>42700.681608796294</v>
      </c>
      <c r="G184" s="7">
        <v>1</v>
      </c>
      <c r="H184" s="22" t="s">
        <v>664</v>
      </c>
      <c r="I184" s="13">
        <v>42700.690439814818</v>
      </c>
      <c r="J184" s="7">
        <v>0</v>
      </c>
      <c r="K184" s="109" t="str">
        <f t="shared" si="50"/>
        <v>4011/4012</v>
      </c>
      <c r="L184" s="22" t="str">
        <f>VLOOKUP(A184,'Trips&amp;Operators'!$C$1:$E$10000,3,FALSE)</f>
        <v>ADANE</v>
      </c>
      <c r="M184" s="6">
        <f t="shared" si="51"/>
        <v>8.8310185237787664E-3</v>
      </c>
      <c r="N184" s="7">
        <f t="shared" si="52"/>
        <v>12.716666674241424</v>
      </c>
      <c r="O184" s="7"/>
      <c r="P184" s="7"/>
      <c r="Q184" s="23"/>
      <c r="R184" s="23"/>
      <c r="S184" s="35">
        <f t="shared" si="53"/>
        <v>1</v>
      </c>
      <c r="T184" s="50" t="str">
        <f t="shared" si="54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14:57:36-700',mode:absolute,to:'2016-11-26 17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4" s="52" t="str">
        <f t="shared" si="56"/>
        <v>N</v>
      </c>
      <c r="X184" s="177">
        <f t="shared" si="57"/>
        <v>1</v>
      </c>
      <c r="Y184" s="67">
        <f t="shared" si="58"/>
        <v>9.64E-2</v>
      </c>
      <c r="Z184" s="67">
        <f t="shared" si="59"/>
        <v>5.8992000000000004</v>
      </c>
      <c r="AA184" s="67">
        <f t="shared" si="60"/>
        <v>5.8028000000000004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61"/>
        <v>1821-26</v>
      </c>
      <c r="AE184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84" s="88" t="str">
        <f t="shared" si="63"/>
        <v>"C:\Program Files (x86)\AstroGrep\AstroGrep.exe" /spath="%USERPROFILE%\AppData\Local\Temp\OnboardLogs" /stypes="app*4011*20161126*" /stext=" 23:.+((SYSTEM_STATE.+slice.+state.+changed )|(ment ac)|(multiple cpu faults)|(system.+state.+changed )|(\[timeout)|(PRM\|1\|D)|(kpr)|(kdp)|(\|lc)|(penalty))" /e /r /s</v>
      </c>
      <c r="AG184" s="1" t="str">
        <f t="shared" si="64"/>
        <v>NW</v>
      </c>
      <c r="AH184" s="92" t="str">
        <f t="shared" si="65"/>
        <v>"%USERPROFILE%\Documents\GitHub\eaglep3\Utilities\RefineRTDCRunTimes.py" --tripid 1821-26 --locoid 4011 --swversion DE.1.0.8.0 --startMP 204:964 --initTime 2016-11-26T15:57:36 --startdatetime 2016-11-26T16:21:31 --delay 1 --endMP 300:58992 --enddatetime 2016-11-26T16:34:14 --enforcementcount 0 &gt;&gt;C:\Users\stu\Documents\GitHub\eaglep3-reporting\EC\2016-11-26-refined-times.txt</v>
      </c>
      <c r="AI184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{"issue":{"subject":"","project_id":79,"tracker_id":40,"status_id":1,"priority_id":2,"assigned_to_id":23,"start_date":"2016-11-26","description":"","custom_fields":[{"id":1,"name":"Subdivision","value":"NW"},{"id":4,"name":"Milepost","value":"5.8992"},{"id":17,"name":"Train ID","value":"1821-26"},{"id":16,"name":"Locomotive ID","value":"4011"},{"id":130,"name":"Impact","value":""},{"id":150,"name":"Time of Event (Mountain Time)","value":"16:34:14"},{"id":151,"name":"Denver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413</v>
      </c>
      <c r="B185" s="7">
        <v>4012</v>
      </c>
      <c r="C185" s="22" t="s">
        <v>216</v>
      </c>
      <c r="D185" s="22" t="s">
        <v>665</v>
      </c>
      <c r="E185" s="13">
        <v>42700.691412037035</v>
      </c>
      <c r="F185" s="13">
        <v>42700.723263888889</v>
      </c>
      <c r="G185" s="7">
        <v>1</v>
      </c>
      <c r="H185" s="22" t="s">
        <v>647</v>
      </c>
      <c r="I185" s="13">
        <v>42700.732291666667</v>
      </c>
      <c r="J185" s="7">
        <v>1</v>
      </c>
      <c r="K185" s="109" t="str">
        <f t="shared" si="50"/>
        <v>4011/4012</v>
      </c>
      <c r="L185" s="22" t="str">
        <f>VLOOKUP(A185,'Trips&amp;Operators'!$C$1:$E$10000,3,FALSE)</f>
        <v>ADANE</v>
      </c>
      <c r="M185" s="6">
        <f t="shared" si="51"/>
        <v>9.0277777781011537E-3</v>
      </c>
      <c r="N185" s="7">
        <f t="shared" si="52"/>
        <v>13.000000000465661</v>
      </c>
      <c r="O185" s="7"/>
      <c r="P185" s="7"/>
      <c r="Q185" s="23"/>
      <c r="R185" s="23"/>
      <c r="S185" s="35">
        <f t="shared" si="53"/>
        <v>1</v>
      </c>
      <c r="T185" s="50" t="str">
        <f t="shared" si="54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15:35:38-700',mode:absolute,to:'2016-11-26 18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5" s="52" t="str">
        <f t="shared" si="56"/>
        <v>N</v>
      </c>
      <c r="X185" s="177">
        <f t="shared" si="57"/>
        <v>1</v>
      </c>
      <c r="Y185" s="67">
        <f t="shared" si="58"/>
        <v>5.8674999999999997</v>
      </c>
      <c r="Z185" s="67">
        <f t="shared" si="59"/>
        <v>6.8199999999999997E-2</v>
      </c>
      <c r="AA185" s="67">
        <f t="shared" si="60"/>
        <v>5.7992999999999997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61"/>
        <v>1822-26</v>
      </c>
      <c r="AE185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85" s="88" t="str">
        <f t="shared" si="63"/>
        <v>"C:\Program Files (x86)\AstroGrep\AstroGrep.exe" /spath="%USERPROFILE%\AppData\Local\Temp\OnboardLogs" /stypes="app*4012*20161127*" /stext=" 00:.+((SYSTEM_STATE.+slice.+state.+changed )|(ment ac)|(multiple cpu faults)|(system.+state.+changed )|(\[timeout)|(PRM\|1\|D)|(kpr)|(kdp)|(\|lc)|(penalty))" /e /r /s</v>
      </c>
      <c r="AG185" s="1" t="str">
        <f t="shared" si="64"/>
        <v>NW</v>
      </c>
      <c r="AH185" s="92" t="str">
        <f t="shared" si="65"/>
        <v>"%USERPROFILE%\Documents\GitHub\eaglep3\Utilities\RefineRTDCRunTimes.py" --tripid 1822-26 --locoid 4012 --swversion DE.1.0.8.0 --startMP 300:58675 --initTime 2016-11-26T16:35:38 --startdatetime 2016-11-26T17:21:30 --delay 1 --endMP 204:682 --enddatetime 2016-11-26T17:34:30 --enforcementcount 1 &gt;&gt;C:\Users\stu\Documents\GitHub\eaglep3-reporting\EC\2016-11-26-refined-times.txt</v>
      </c>
      <c r="AI185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{"issue":{"subject":"","project_id":79,"tracker_id":40,"status_id":1,"priority_id":2,"assigned_to_id":23,"start_date":"2016-11-26","description":"","custom_fields":[{"id":1,"name":"Subdivision","value":"NW"},{"id":4,"name":"Milepost","value":"0.0682"},{"id":17,"name":"Train ID","value":"1822-26"},{"id":16,"name":"Locomotive ID","value":"4012"},{"id":130,"name":"Impact","value":""},{"id":150,"name":"Time of Event (Mountain Time)","value":"17:34:30"},{"id":151,"name":"Denver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540</v>
      </c>
      <c r="B186" s="7">
        <v>4011</v>
      </c>
      <c r="C186" s="22" t="s">
        <v>216</v>
      </c>
      <c r="D186" s="22" t="s">
        <v>666</v>
      </c>
      <c r="E186" s="13">
        <v>42700.707916666666</v>
      </c>
      <c r="F186" s="13">
        <v>42700.723263888889</v>
      </c>
      <c r="G186" s="7">
        <v>1</v>
      </c>
      <c r="H186" s="22" t="s">
        <v>667</v>
      </c>
      <c r="I186" s="13">
        <v>42700.732291666667</v>
      </c>
      <c r="J186" s="7">
        <v>0</v>
      </c>
      <c r="K186" s="109" t="str">
        <f t="shared" si="50"/>
        <v>4011/4012</v>
      </c>
      <c r="L186" s="22" t="str">
        <f>VLOOKUP(A186,'Trips&amp;Operators'!$C$1:$E$10000,3,FALSE)</f>
        <v>ADANE</v>
      </c>
      <c r="M186" s="6">
        <f t="shared" si="51"/>
        <v>9.0277777781011537E-3</v>
      </c>
      <c r="N186" s="7">
        <f t="shared" si="52"/>
        <v>13.000000000465661</v>
      </c>
      <c r="O186" s="7"/>
      <c r="P186" s="7"/>
      <c r="Q186" s="23"/>
      <c r="R186" s="23"/>
      <c r="S186" s="35">
        <f t="shared" si="53"/>
        <v>1</v>
      </c>
      <c r="T186" s="50" t="str">
        <f t="shared" si="54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15:59:24-700',mode:absolute,to:'2016-11-26 18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6" s="52" t="str">
        <f t="shared" si="56"/>
        <v>N</v>
      </c>
      <c r="X186" s="177">
        <f t="shared" si="57"/>
        <v>1</v>
      </c>
      <c r="Y186" s="67">
        <f t="shared" si="58"/>
        <v>9.5299999999999996E-2</v>
      </c>
      <c r="Z186" s="67">
        <f t="shared" si="59"/>
        <v>5.8968999999999996</v>
      </c>
      <c r="AA186" s="67">
        <f t="shared" si="60"/>
        <v>5.8015999999999996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61"/>
        <v>1823-26</v>
      </c>
      <c r="AE186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86" s="88" t="str">
        <f t="shared" si="63"/>
        <v>"C:\Program Files (x86)\AstroGrep\AstroGrep.exe" /spath="%USERPROFILE%\AppData\Local\Temp\OnboardLogs" /stypes="app*4011*20161127*" /stext=" 00:.+((SYSTEM_STATE.+slice.+state.+changed )|(ment ac)|(multiple cpu faults)|(system.+state.+changed )|(\[timeout)|(PRM\|1\|D)|(kpr)|(kdp)|(\|lc)|(penalty))" /e /r /s</v>
      </c>
      <c r="AG186" s="1" t="str">
        <f t="shared" si="64"/>
        <v>NW</v>
      </c>
      <c r="AH186" s="92" t="str">
        <f t="shared" si="65"/>
        <v>"%USERPROFILE%\Documents\GitHub\eaglep3\Utilities\RefineRTDCRunTimes.py" --tripid 1823-26 --locoid 4011 --swversion DE.1.0.8.0 --startMP 204:953 --initTime 2016-11-26T16:59:24 --startdatetime 2016-11-26T17:21:30 --delay 1 --endMP 300:58969 --enddatetime 2016-11-26T17:34:30 --enforcementcount 0 &gt;&gt;C:\Users\stu\Documents\GitHub\eaglep3-reporting\EC\2016-11-26-refined-times.txt</v>
      </c>
      <c r="AI186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{"issue":{"subject":"","project_id":79,"tracker_id":40,"status_id":1,"priority_id":2,"assigned_to_id":23,"start_date":"2016-11-26","description":"","custom_fields":[{"id":1,"name":"Subdivision","value":"NW"},{"id":4,"name":"Milepost","value":"5.8969"},{"id":17,"name":"Train ID","value":"1823-26"},{"id":16,"name":"Locomotive ID","value":"4011"},{"id":130,"name":"Impact","value":""},{"id":150,"name":"Time of Event (Mountain Time)","value":"17:34:30"},{"id":151,"name":"Denver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549</v>
      </c>
      <c r="B187" s="7">
        <v>4012</v>
      </c>
      <c r="C187" s="22" t="s">
        <v>216</v>
      </c>
      <c r="D187" s="22" t="s">
        <v>668</v>
      </c>
      <c r="E187" s="13">
        <v>42700.733287037037</v>
      </c>
      <c r="F187" s="13">
        <v>42700.734861111108</v>
      </c>
      <c r="G187" s="7">
        <v>1</v>
      </c>
      <c r="H187" s="22" t="s">
        <v>652</v>
      </c>
      <c r="I187" s="13">
        <v>42700.746307870373</v>
      </c>
      <c r="J187" s="7">
        <v>0</v>
      </c>
      <c r="K187" s="109" t="str">
        <f t="shared" si="50"/>
        <v>4011/4012</v>
      </c>
      <c r="L187" s="22" t="str">
        <f>VLOOKUP(A187,'Trips&amp;Operators'!$C$1:$E$10000,3,FALSE)</f>
        <v>ADANE</v>
      </c>
      <c r="M187" s="6">
        <f t="shared" si="51"/>
        <v>1.1446759264799766E-2</v>
      </c>
      <c r="N187" s="7">
        <f t="shared" si="52"/>
        <v>16.483333341311663</v>
      </c>
      <c r="O187" s="7"/>
      <c r="P187" s="7"/>
      <c r="Q187" s="23"/>
      <c r="R187" s="23"/>
      <c r="S187" s="35">
        <f t="shared" si="53"/>
        <v>1</v>
      </c>
      <c r="T187" s="50" t="str">
        <f t="shared" si="54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16:35:56-700',mode:absolute,to:'2016-11-26 18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7" s="52" t="str">
        <f t="shared" si="56"/>
        <v>N</v>
      </c>
      <c r="X187" s="177">
        <f t="shared" si="57"/>
        <v>1</v>
      </c>
      <c r="Y187" s="67">
        <f t="shared" si="58"/>
        <v>5.8653000000000004</v>
      </c>
      <c r="Z187" s="67">
        <f t="shared" si="59"/>
        <v>6.7500000000000004E-2</v>
      </c>
      <c r="AA187" s="67">
        <f t="shared" si="60"/>
        <v>5.7978000000000005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61"/>
        <v>1824-26</v>
      </c>
      <c r="AE187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87" s="88" t="str">
        <f t="shared" si="63"/>
        <v>"C:\Program Files (x86)\AstroGrep\AstroGrep.exe" /spath="%USERPROFILE%\AppData\Local\Temp\OnboardLogs" /stypes="app*4012*20161127*" /stext=" 00:.+((SYSTEM_STATE.+slice.+state.+changed )|(ment ac)|(multiple cpu faults)|(system.+state.+changed )|(\[timeout)|(PRM\|1\|D)|(kpr)|(kdp)|(\|lc)|(penalty))" /e /r /s</v>
      </c>
      <c r="AG187" s="1" t="str">
        <f t="shared" si="64"/>
        <v>NW</v>
      </c>
      <c r="AH187" s="92" t="str">
        <f t="shared" si="65"/>
        <v>"%USERPROFILE%\Documents\GitHub\eaglep3\Utilities\RefineRTDCRunTimes.py" --tripid 1824-26 --locoid 4012 --swversion DE.1.0.8.0 --startMP 300:58653 --initTime 2016-11-26T17:35:56 --startdatetime 2016-11-26T17:38:12 --delay 1 --endMP 204:675 --enddatetime 2016-11-26T17:54:41 --enforcementcount 0 &gt;&gt;C:\Users\stu\Documents\GitHub\eaglep3-reporting\EC\2016-11-26-refined-times.txt</v>
      </c>
      <c r="AI187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{"issue":{"subject":"","project_id":79,"tracker_id":40,"status_id":1,"priority_id":2,"assigned_to_id":23,"start_date":"2016-11-26","description":"","custom_fields":[{"id":1,"name":"Subdivision","value":"NW"},{"id":4,"name":"Milepost","value":"0.0675"},{"id":17,"name":"Train ID","value":"1824-26"},{"id":16,"name":"Locomotive ID","value":"4012"},{"id":130,"name":"Impact","value":""},{"id":150,"name":"Time of Event (Mountain Time)","value":"17:54:41"},{"id":151,"name":"Denver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557</v>
      </c>
      <c r="B188" s="7">
        <v>4011</v>
      </c>
      <c r="C188" s="22" t="s">
        <v>216</v>
      </c>
      <c r="D188" s="22" t="s">
        <v>384</v>
      </c>
      <c r="E188" s="13">
        <v>42700.748298611114</v>
      </c>
      <c r="F188" s="13">
        <v>42700.765162037038</v>
      </c>
      <c r="G188" s="7">
        <v>1</v>
      </c>
      <c r="H188" s="22" t="s">
        <v>669</v>
      </c>
      <c r="I188" s="13">
        <v>42700.774016203701</v>
      </c>
      <c r="J188" s="7">
        <v>0</v>
      </c>
      <c r="K188" s="109" t="str">
        <f t="shared" si="50"/>
        <v>4011/4012</v>
      </c>
      <c r="L188" s="22" t="str">
        <f>VLOOKUP(A188,'Trips&amp;Operators'!$C$1:$E$10000,3,FALSE)</f>
        <v>ADANE</v>
      </c>
      <c r="M188" s="6">
        <f t="shared" si="51"/>
        <v>8.8541666627861559E-3</v>
      </c>
      <c r="N188" s="7">
        <f t="shared" si="52"/>
        <v>12.749999994412065</v>
      </c>
      <c r="O188" s="7"/>
      <c r="P188" s="7"/>
      <c r="Q188" s="23"/>
      <c r="R188" s="23"/>
      <c r="S188" s="35">
        <f t="shared" si="53"/>
        <v>1</v>
      </c>
      <c r="T188" s="50" t="str">
        <f t="shared" si="54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16:57:33-700',mode:absolute,to:'2016-11-26 19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8" s="52" t="str">
        <f t="shared" si="56"/>
        <v>N</v>
      </c>
      <c r="X188" s="177">
        <f t="shared" si="57"/>
        <v>1</v>
      </c>
      <c r="Y188" s="67">
        <f t="shared" si="58"/>
        <v>9.6500000000000002E-2</v>
      </c>
      <c r="Z188" s="67">
        <f t="shared" si="59"/>
        <v>5.8986000000000001</v>
      </c>
      <c r="AA188" s="67">
        <f t="shared" si="60"/>
        <v>5.8021000000000003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61"/>
        <v>1825-26</v>
      </c>
      <c r="AE188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88" s="88" t="str">
        <f t="shared" si="63"/>
        <v>"C:\Program Files (x86)\AstroGrep\AstroGrep.exe" /spath="%USERPROFILE%\AppData\Local\Temp\OnboardLogs" /stypes="app*4011*20161127*" /stext=" 01:.+((SYSTEM_STATE.+slice.+state.+changed )|(ment ac)|(multiple cpu faults)|(system.+state.+changed )|(\[timeout)|(PRM\|1\|D)|(kpr)|(kdp)|(\|lc)|(penalty))" /e /r /s</v>
      </c>
      <c r="AG188" s="1" t="str">
        <f t="shared" si="64"/>
        <v>NW</v>
      </c>
      <c r="AH188" s="92" t="str">
        <f t="shared" si="65"/>
        <v>"%USERPROFILE%\Documents\GitHub\eaglep3\Utilities\RefineRTDCRunTimes.py" --tripid 1825-26 --locoid 4011 --swversion DE.1.0.8.0 --startMP 204:965 --initTime 2016-11-26T17:57:33 --startdatetime 2016-11-26T18:21:50 --delay 1 --endMP 300:58986 --enddatetime 2016-11-26T18:34:35 --enforcementcount 0 &gt;&gt;C:\Users\stu\Documents\GitHub\eaglep3-reporting\EC\2016-11-26-refined-times.txt</v>
      </c>
      <c r="AI188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{"issue":{"subject":"","project_id":79,"tracker_id":40,"status_id":1,"priority_id":2,"assigned_to_id":23,"start_date":"2016-11-26","description":"","custom_fields":[{"id":1,"name":"Subdivision","value":"NW"},{"id":4,"name":"Milepost","value":"5.8986"},{"id":17,"name":"Train ID","value":"1825-26"},{"id":16,"name":"Locomotive ID","value":"4011"},{"id":130,"name":"Impact","value":""},{"id":150,"name":"Time of Event (Mountain Time)","value":"18:34:35"},{"id":151,"name":"Denver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7" t="s">
        <v>415</v>
      </c>
      <c r="B189" s="7">
        <v>4012</v>
      </c>
      <c r="C189" s="22" t="s">
        <v>216</v>
      </c>
      <c r="D189" s="22" t="s">
        <v>670</v>
      </c>
      <c r="E189" s="13">
        <v>42700.775381944448</v>
      </c>
      <c r="F189" s="13">
        <v>42700.776608796295</v>
      </c>
      <c r="G189" s="7">
        <v>1</v>
      </c>
      <c r="H189" s="22" t="s">
        <v>671</v>
      </c>
      <c r="I189" s="13">
        <v>42700.787847222222</v>
      </c>
      <c r="J189" s="7">
        <v>0</v>
      </c>
      <c r="K189" s="109" t="str">
        <f t="shared" si="50"/>
        <v>4011/4012</v>
      </c>
      <c r="L189" s="22" t="str">
        <f>VLOOKUP(A189,'Trips&amp;Operators'!$C$1:$E$10000,3,FALSE)</f>
        <v>ADANE</v>
      </c>
      <c r="M189" s="6">
        <f t="shared" si="51"/>
        <v>1.1238425926421769E-2</v>
      </c>
      <c r="N189" s="7">
        <f t="shared" si="52"/>
        <v>16.183333334047347</v>
      </c>
      <c r="O189" s="7"/>
      <c r="P189" s="7"/>
      <c r="Q189" s="23"/>
      <c r="R189" s="23"/>
      <c r="S189" s="35">
        <f t="shared" si="53"/>
        <v>1</v>
      </c>
      <c r="T189" s="50" t="str">
        <f t="shared" si="54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17:36:33-700',mode:absolute,to:'2016-11-26 19:54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9" s="52" t="str">
        <f t="shared" si="56"/>
        <v>N</v>
      </c>
      <c r="X189" s="177">
        <f t="shared" si="57"/>
        <v>1</v>
      </c>
      <c r="Y189" s="67">
        <f t="shared" si="58"/>
        <v>5.8677000000000001</v>
      </c>
      <c r="Z189" s="67">
        <f t="shared" si="59"/>
        <v>6.7699999999999996E-2</v>
      </c>
      <c r="AA189" s="67">
        <f t="shared" si="60"/>
        <v>5.8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61"/>
        <v>1826-26</v>
      </c>
      <c r="AE189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89" s="88" t="str">
        <f t="shared" si="63"/>
        <v>"C:\Program Files (x86)\AstroGrep\AstroGrep.exe" /spath="%USERPROFILE%\AppData\Local\Temp\OnboardLogs" /stypes="app*4012*20161127*" /stext=" 01:.+((SYSTEM_STATE.+slice.+state.+changed )|(ment ac)|(multiple cpu faults)|(system.+state.+changed )|(\[timeout)|(PRM\|1\|D)|(kpr)|(kdp)|(\|lc)|(penalty))" /e /r /s</v>
      </c>
      <c r="AG189" s="1" t="str">
        <f t="shared" si="64"/>
        <v>NW</v>
      </c>
      <c r="AH189" s="92" t="str">
        <f t="shared" si="65"/>
        <v>"%USERPROFILE%\Documents\GitHub\eaglep3\Utilities\RefineRTDCRunTimes.py" --tripid 1826-26 --locoid 4012 --swversion DE.1.0.8.0 --startMP 300:58677 --initTime 2016-11-26T18:36:33 --startdatetime 2016-11-26T18:38:19 --delay 1 --endMP 204:677 --enddatetime 2016-11-26T18:54:30 --enforcementcount 0 &gt;&gt;C:\Users\stu\Documents\GitHub\eaglep3-reporting\EC\2016-11-26-refined-times.txt</v>
      </c>
      <c r="AI189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{"issue":{"subject":"","project_id":79,"tracker_id":40,"status_id":1,"priority_id":2,"assigned_to_id":23,"start_date":"2016-11-26","description":"","custom_fields":[{"id":1,"name":"Subdivision","value":"NW"},{"id":4,"name":"Milepost","value":"0.0677"},{"id":17,"name":"Train ID","value":"1826-26"},{"id":16,"name":"Locomotive ID","value":"4012"},{"id":130,"name":"Impact","value":""},{"id":150,"name":"Time of Event (Mountain Time)","value":"18:54:30"},{"id":151,"name":"Denver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566</v>
      </c>
      <c r="B190" s="7">
        <v>4011</v>
      </c>
      <c r="C190" s="22" t="s">
        <v>216</v>
      </c>
      <c r="D190" s="22" t="s">
        <v>640</v>
      </c>
      <c r="E190" s="13">
        <v>42700.801435185182</v>
      </c>
      <c r="F190" s="13">
        <v>42700.806759259256</v>
      </c>
      <c r="G190" s="7">
        <v>1</v>
      </c>
      <c r="H190" s="22" t="s">
        <v>672</v>
      </c>
      <c r="I190" s="13">
        <v>42700.815983796296</v>
      </c>
      <c r="J190" s="7">
        <v>0</v>
      </c>
      <c r="K190" s="109" t="str">
        <f t="shared" si="50"/>
        <v>4011/4012</v>
      </c>
      <c r="L190" s="22" t="str">
        <f>VLOOKUP(A190,'Trips&amp;Operators'!$C$1:$E$10000,3,FALSE)</f>
        <v>ADANE</v>
      </c>
      <c r="M190" s="6">
        <f t="shared" si="51"/>
        <v>9.2245370396994986E-3</v>
      </c>
      <c r="N190" s="7">
        <f t="shared" si="52"/>
        <v>13.283333337167278</v>
      </c>
      <c r="O190" s="7"/>
      <c r="P190" s="7"/>
      <c r="Q190" s="23"/>
      <c r="R190" s="23"/>
      <c r="S190" s="35">
        <f t="shared" si="53"/>
        <v>1</v>
      </c>
      <c r="T190" s="50" t="str">
        <f t="shared" si="54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18:14:04-700',mode:absolute,to:'2016-11-26 20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0" s="52" t="str">
        <f t="shared" si="56"/>
        <v>N</v>
      </c>
      <c r="X190" s="177">
        <f t="shared" si="57"/>
        <v>1</v>
      </c>
      <c r="Y190" s="67">
        <f t="shared" si="58"/>
        <v>9.74E-2</v>
      </c>
      <c r="Z190" s="67">
        <f t="shared" si="59"/>
        <v>5.8975</v>
      </c>
      <c r="AA190" s="67">
        <f t="shared" si="60"/>
        <v>5.8000999999999996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61"/>
        <v>1827-26</v>
      </c>
      <c r="AE190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90" s="88" t="str">
        <f t="shared" si="63"/>
        <v>"C:\Program Files (x86)\AstroGrep\AstroGrep.exe" /spath="%USERPROFILE%\AppData\Local\Temp\OnboardLogs" /stypes="app*4011*20161127*" /stext=" 02:.+((SYSTEM_STATE.+slice.+state.+changed )|(ment ac)|(multiple cpu faults)|(system.+state.+changed )|(\[timeout)|(PRM\|1\|D)|(kpr)|(kdp)|(\|lc)|(penalty))" /e /r /s</v>
      </c>
      <c r="AG190" s="1" t="str">
        <f t="shared" si="64"/>
        <v>NW</v>
      </c>
      <c r="AH190" s="92" t="str">
        <f t="shared" si="65"/>
        <v>"%USERPROFILE%\Documents\GitHub\eaglep3\Utilities\RefineRTDCRunTimes.py" --tripid 1827-26 --locoid 4011 --swversion DE.1.0.8.0 --startMP 204:974 --initTime 2016-11-26T19:14:04 --startdatetime 2016-11-26T19:21:44 --delay 1 --endMP 300:58975 --enddatetime 2016-11-26T19:35:01 --enforcementcount 0 &gt;&gt;C:\Users\stu\Documents\GitHub\eaglep3-reporting\EC\2016-11-26-refined-times.txt</v>
      </c>
      <c r="AI190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{"issue":{"subject":"","project_id":79,"tracker_id":40,"status_id":1,"priority_id":2,"assigned_to_id":23,"start_date":"2016-11-26","description":"","custom_fields":[{"id":1,"name":"Subdivision","value":"NW"},{"id":4,"name":"Milepost","value":"5.8975"},{"id":17,"name":"Train ID","value":"1827-26"},{"id":16,"name":"Locomotive ID","value":"4011"},{"id":130,"name":"Impact","value":""},{"id":150,"name":"Time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570</v>
      </c>
      <c r="B191" s="7">
        <v>4012</v>
      </c>
      <c r="C191" s="22" t="s">
        <v>216</v>
      </c>
      <c r="D191" s="22" t="s">
        <v>673</v>
      </c>
      <c r="E191" s="13">
        <v>42700.817430555559</v>
      </c>
      <c r="F191" s="13">
        <v>42700.819189814814</v>
      </c>
      <c r="G191" s="7">
        <v>1</v>
      </c>
      <c r="H191" s="22" t="s">
        <v>674</v>
      </c>
      <c r="I191" s="13">
        <v>42700.830462962964</v>
      </c>
      <c r="J191" s="7">
        <v>0</v>
      </c>
      <c r="K191" s="109" t="str">
        <f t="shared" si="50"/>
        <v>4011/4012</v>
      </c>
      <c r="L191" s="22" t="str">
        <f>VLOOKUP(A191,'Trips&amp;Operators'!$C$1:$E$10000,3,FALSE)</f>
        <v>ADANE</v>
      </c>
      <c r="M191" s="6">
        <f t="shared" si="51"/>
        <v>1.1273148149484769E-2</v>
      </c>
      <c r="N191" s="7">
        <f t="shared" si="52"/>
        <v>16.233333335258067</v>
      </c>
      <c r="O191" s="7"/>
      <c r="P191" s="7"/>
      <c r="Q191" s="23"/>
      <c r="R191" s="23"/>
      <c r="S191" s="35">
        <f t="shared" si="53"/>
        <v>1</v>
      </c>
      <c r="T191" s="50" t="str">
        <f t="shared" si="54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18:37:06-700',mode:absolute,to:'2016-11-26 20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1" s="52" t="str">
        <f t="shared" si="56"/>
        <v>N</v>
      </c>
      <c r="X191" s="177">
        <f t="shared" si="57"/>
        <v>1</v>
      </c>
      <c r="Y191" s="67">
        <f t="shared" si="58"/>
        <v>5.8662000000000001</v>
      </c>
      <c r="Z191" s="67">
        <f t="shared" si="59"/>
        <v>6.8000000000000005E-2</v>
      </c>
      <c r="AA191" s="67">
        <f t="shared" si="60"/>
        <v>5.7982000000000005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61"/>
        <v>1828-26</v>
      </c>
      <c r="AE191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91" s="88" t="str">
        <f t="shared" si="63"/>
        <v>"C:\Program Files (x86)\AstroGrep\AstroGrep.exe" /spath="%USERPROFILE%\AppData\Local\Temp\OnboardLogs" /stypes="app*4012*20161127*" /stext=" 02:.+((SYSTEM_STATE.+slice.+state.+changed )|(ment ac)|(multiple cpu faults)|(system.+state.+changed )|(\[timeout)|(PRM\|1\|D)|(kpr)|(kdp)|(\|lc)|(penalty))" /e /r /s</v>
      </c>
      <c r="AG191" s="1" t="str">
        <f t="shared" si="64"/>
        <v>NW</v>
      </c>
      <c r="AH191" s="92" t="str">
        <f t="shared" si="65"/>
        <v>"%USERPROFILE%\Documents\GitHub\eaglep3\Utilities\RefineRTDCRunTimes.py" --tripid 1828-26 --locoid 4012 --swversion DE.1.0.8.0 --startMP 300:58662 --initTime 2016-11-26T19:37:06 --startdatetime 2016-11-26T19:39:38 --delay 1 --endMP 204:680 --enddatetime 2016-11-26T19:55:52 --enforcementcount 0 &gt;&gt;C:\Users\stu\Documents\GitHub\eaglep3-reporting\EC\2016-11-26-refined-times.txt</v>
      </c>
      <c r="AI191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{"issue":{"subject":"","project_id":79,"tracker_id":40,"status_id":1,"priority_id":2,"assigned_to_id":23,"start_date":"2016-11-26","description":"","custom_fields":[{"id":1,"name":"Subdivision","value":"NW"},{"id":4,"name":"Milepost","value":"0.068"},{"id":17,"name":"Train ID","value":"1828-26"},{"id":16,"name":"Locomotive ID","value":"4012"},{"id":130,"name":"Impact","value":""},{"id":150,"name":"Time of Event (Mountain Time)","value":"19:55:52"},{"id":151,"name":"Denver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418</v>
      </c>
      <c r="B192" s="7">
        <v>4011</v>
      </c>
      <c r="C192" s="22" t="s">
        <v>216</v>
      </c>
      <c r="D192" s="22" t="s">
        <v>657</v>
      </c>
      <c r="E192" s="13">
        <v>42700.832094907404</v>
      </c>
      <c r="F192" s="13">
        <v>42700.848368055558</v>
      </c>
      <c r="G192" s="7">
        <v>1</v>
      </c>
      <c r="H192" s="22" t="s">
        <v>641</v>
      </c>
      <c r="I192" s="13">
        <v>42700.85738425926</v>
      </c>
      <c r="J192" s="7">
        <v>1</v>
      </c>
      <c r="K192" s="109" t="str">
        <f t="shared" si="50"/>
        <v>4011/4012</v>
      </c>
      <c r="L192" s="22" t="str">
        <f>VLOOKUP(A192,'Trips&amp;Operators'!$C$1:$E$10000,3,FALSE)</f>
        <v>ADANE</v>
      </c>
      <c r="M192" s="6">
        <f t="shared" si="51"/>
        <v>9.0162037013215013E-3</v>
      </c>
      <c r="N192" s="7">
        <f t="shared" si="52"/>
        <v>12.983333329902962</v>
      </c>
      <c r="O192" s="7"/>
      <c r="P192" s="7"/>
      <c r="Q192" s="23"/>
      <c r="R192" s="23"/>
      <c r="S192" s="35">
        <f t="shared" si="53"/>
        <v>1</v>
      </c>
      <c r="T192" s="50" t="str">
        <f t="shared" si="54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18:58:13-700',mode:absolute,to:'2016-11-26 21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2" s="52" t="str">
        <f t="shared" si="56"/>
        <v>N</v>
      </c>
      <c r="X192" s="177">
        <f t="shared" si="57"/>
        <v>1</v>
      </c>
      <c r="Y192" s="67">
        <f t="shared" si="58"/>
        <v>9.6699999999999994E-2</v>
      </c>
      <c r="Z192" s="67">
        <f t="shared" si="59"/>
        <v>5.8928000000000003</v>
      </c>
      <c r="AA192" s="67">
        <f t="shared" si="60"/>
        <v>5.7961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61"/>
        <v>1829-26</v>
      </c>
      <c r="AE192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92" s="88" t="str">
        <f t="shared" si="63"/>
        <v>"C:\Program Files (x86)\AstroGrep\AstroGrep.exe" /spath="%USERPROFILE%\AppData\Local\Temp\OnboardLogs" /stypes="app*4011*20161127*" /stext=" 03:.+((SYSTEM_STATE.+slice.+state.+changed )|(ment ac)|(multiple cpu faults)|(system.+state.+changed )|(\[timeout)|(PRM\|1\|D)|(kpr)|(kdp)|(\|lc)|(penalty))" /e /r /s</v>
      </c>
      <c r="AG192" s="1" t="str">
        <f t="shared" si="64"/>
        <v>NW</v>
      </c>
      <c r="AH192" s="92" t="str">
        <f t="shared" si="65"/>
        <v>"%USERPROFILE%\Documents\GitHub\eaglep3\Utilities\RefineRTDCRunTimes.py" --tripid 1829-26 --locoid 4011 --swversion DE.1.0.8.0 --startMP 204:967 --initTime 2016-11-26T19:58:13 --startdatetime 2016-11-26T20:21:39 --delay 1 --endMP 300:58928 --enddatetime 2016-11-26T20:34:38 --enforcementcount 1 &gt;&gt;C:\Users\stu\Documents\GitHub\eaglep3-reporting\EC\2016-11-26-refined-times.txt</v>
      </c>
      <c r="AI192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{"issue":{"subject":"","project_id":79,"tracker_id":40,"status_id":1,"priority_id":2,"assigned_to_id":23,"start_date":"2016-11-26","description":"","custom_fields":[{"id":1,"name":"Subdivision","value":"NW"},{"id":4,"name":"Milepost","value":"5.8928"},{"id":17,"name":"Train ID","value":"1829-26"},{"id":16,"name":"Locomotive ID","value":"4011"},{"id":130,"name":"Impact","value":""},{"id":150,"name":"Time of Event (Mountain Time)","value":"20:34:38"},{"id":151,"name":"Denver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575</v>
      </c>
      <c r="B193" s="7">
        <v>4012</v>
      </c>
      <c r="C193" s="22" t="s">
        <v>216</v>
      </c>
      <c r="D193" s="22" t="s">
        <v>326</v>
      </c>
      <c r="E193" s="13">
        <v>42700.858541666668</v>
      </c>
      <c r="F193" s="13">
        <v>42700.860636574071</v>
      </c>
      <c r="G193" s="7">
        <v>1</v>
      </c>
      <c r="H193" s="22" t="s">
        <v>675</v>
      </c>
      <c r="I193" s="13">
        <v>42700.871261574073</v>
      </c>
      <c r="J193" s="7">
        <v>0</v>
      </c>
      <c r="K193" s="109" t="str">
        <f t="shared" si="50"/>
        <v>4011/4012</v>
      </c>
      <c r="L193" s="22" t="str">
        <f>VLOOKUP(A193,'Trips&amp;Operators'!$C$1:$E$10000,3,FALSE)</f>
        <v>ADANE</v>
      </c>
      <c r="M193" s="6">
        <f t="shared" si="51"/>
        <v>1.0625000002619345E-2</v>
      </c>
      <c r="N193" s="7">
        <f t="shared" si="52"/>
        <v>15.300000003771856</v>
      </c>
      <c r="O193" s="7"/>
      <c r="P193" s="7"/>
      <c r="Q193" s="23"/>
      <c r="R193" s="23"/>
      <c r="S193" s="35">
        <f t="shared" si="53"/>
        <v>1</v>
      </c>
      <c r="T193" s="50" t="str">
        <f t="shared" si="54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19:36:18-700',mode:absolute,to:'2016-11-26 21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3" s="52" t="str">
        <f t="shared" si="56"/>
        <v>N</v>
      </c>
      <c r="X193" s="177">
        <f t="shared" si="57"/>
        <v>1</v>
      </c>
      <c r="Y193" s="67">
        <f t="shared" si="58"/>
        <v>5.8623000000000003</v>
      </c>
      <c r="Z193" s="67">
        <f t="shared" si="59"/>
        <v>0.191</v>
      </c>
      <c r="AA193" s="67">
        <f t="shared" si="60"/>
        <v>5.6713000000000005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61"/>
        <v>1830-26</v>
      </c>
      <c r="AE193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93" s="88" t="str">
        <f t="shared" si="63"/>
        <v>"C:\Program Files (x86)\AstroGrep\AstroGrep.exe" /spath="%USERPROFILE%\AppData\Local\Temp\OnboardLogs" /stypes="app*4012*20161127*" /stext=" 03:.+((SYSTEM_STATE.+slice.+state.+changed )|(ment ac)|(multiple cpu faults)|(system.+state.+changed )|(\[timeout)|(PRM\|1\|D)|(kpr)|(kdp)|(\|lc)|(penalty))" /e /r /s</v>
      </c>
      <c r="AG193" s="1" t="str">
        <f t="shared" si="64"/>
        <v>NW</v>
      </c>
      <c r="AH193" s="92" t="str">
        <f t="shared" si="65"/>
        <v>"%USERPROFILE%\Documents\GitHub\eaglep3\Utilities\RefineRTDCRunTimes.py" --tripid 1830-26 --locoid 4012 --swversion DE.1.0.8.0 --startMP 300:58623 --initTime 2016-11-26T20:36:18 --startdatetime 2016-11-26T20:39:19 --delay 1 --endMP 204:1910 --enddatetime 2016-11-26T20:54:37 --enforcementcount 0 &gt;&gt;C:\Users\stu\Documents\GitHub\eaglep3-reporting\EC\2016-11-26-refined-times.txt</v>
      </c>
      <c r="AI193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{"issue":{"subject":"","project_id":79,"tracker_id":40,"status_id":1,"priority_id":2,"assigned_to_id":23,"start_date":"2016-11-26","description":"","custom_fields":[{"id":1,"name":"Subdivision","value":"NW"},{"id":4,"name":"Milepost","value":"0.191"},{"id":17,"name":"Train ID","value":"1830-26"},{"id":16,"name":"Locomotive ID","value":"4012"},{"id":130,"name":"Impact","value":""},{"id":150,"name":"Time of Event (Mountain Time)","value":"20:54:37"},{"id":151,"name":"Denver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578</v>
      </c>
      <c r="B194" s="7">
        <v>4011</v>
      </c>
      <c r="C194" s="22" t="s">
        <v>216</v>
      </c>
      <c r="D194" s="22" t="s">
        <v>648</v>
      </c>
      <c r="E194" s="13">
        <v>42700.872881944444</v>
      </c>
      <c r="F194" s="13">
        <v>42700.890057870369</v>
      </c>
      <c r="G194" s="7">
        <v>1</v>
      </c>
      <c r="H194" s="22" t="s">
        <v>676</v>
      </c>
      <c r="I194" s="13">
        <v>42700.899201388886</v>
      </c>
      <c r="J194" s="7">
        <v>0</v>
      </c>
      <c r="K194" s="109" t="str">
        <f t="shared" si="50"/>
        <v>4011/4012</v>
      </c>
      <c r="L194" s="22" t="str">
        <f>VLOOKUP(A194,'Trips&amp;Operators'!$C$1:$E$10000,3,FALSE)</f>
        <v>ADANE</v>
      </c>
      <c r="M194" s="6">
        <f t="shared" si="51"/>
        <v>9.1435185167938471E-3</v>
      </c>
      <c r="N194" s="7">
        <f t="shared" si="52"/>
        <v>13.16666666418314</v>
      </c>
      <c r="O194" s="7"/>
      <c r="P194" s="7"/>
      <c r="Q194" s="23"/>
      <c r="R194" s="23"/>
      <c r="S194" s="35">
        <f t="shared" si="53"/>
        <v>1</v>
      </c>
      <c r="T194" s="50" t="str">
        <f t="shared" si="54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19:56:57-700',mode:absolute,to:'2016-11-26 22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4" s="52" t="str">
        <f t="shared" si="56"/>
        <v>N</v>
      </c>
      <c r="X194" s="177">
        <f t="shared" si="57"/>
        <v>1</v>
      </c>
      <c r="Y194" s="67">
        <f t="shared" si="58"/>
        <v>9.64E-2</v>
      </c>
      <c r="Z194" s="67">
        <f t="shared" si="59"/>
        <v>5.8979999999999997</v>
      </c>
      <c r="AA194" s="67">
        <f t="shared" si="60"/>
        <v>5.8015999999999996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61"/>
        <v>1831-26</v>
      </c>
      <c r="AE194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94" s="88" t="str">
        <f t="shared" si="63"/>
        <v>"C:\Program Files (x86)\AstroGrep\AstroGrep.exe" /spath="%USERPROFILE%\AppData\Local\Temp\OnboardLogs" /stypes="app*4011*20161127*" /stext=" 04:.+((SYSTEM_STATE.+slice.+state.+changed )|(ment ac)|(multiple cpu faults)|(system.+state.+changed )|(\[timeout)|(PRM\|1\|D)|(kpr)|(kdp)|(\|lc)|(penalty))" /e /r /s</v>
      </c>
      <c r="AG194" s="1" t="str">
        <f t="shared" si="64"/>
        <v>NW</v>
      </c>
      <c r="AH194" s="92" t="str">
        <f t="shared" si="65"/>
        <v>"%USERPROFILE%\Documents\GitHub\eaglep3\Utilities\RefineRTDCRunTimes.py" --tripid 1831-26 --locoid 4011 --swversion DE.1.0.8.0 --startMP 204:964 --initTime 2016-11-26T20:56:57 --startdatetime 2016-11-26T21:21:41 --delay 1 --endMP 300:58980 --enddatetime 2016-11-26T21:34:51 --enforcementcount 0 &gt;&gt;C:\Users\stu\Documents\GitHub\eaglep3-reporting\EC\2016-11-26-refined-times.txt</v>
      </c>
      <c r="AI194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{"issue":{"subject":"","project_id":79,"tracker_id":40,"status_id":1,"priority_id":2,"assigned_to_id":23,"start_date":"2016-11-26","description":"","custom_fields":[{"id":1,"name":"Subdivision","value":"NW"},{"id":4,"name":"Milepost","value":"5.898"},{"id":17,"name":"Train ID","value":"1831-26"},{"id":16,"name":"Locomotive ID","value":"4011"},{"id":130,"name":"Impact","value":""},{"id":150,"name":"Time of Event (Mountain Time)","value":"21:34:51"},{"id":151,"name":"Denver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581</v>
      </c>
      <c r="B195" s="7">
        <v>4012</v>
      </c>
      <c r="C195" s="22" t="s">
        <v>216</v>
      </c>
      <c r="D195" s="22" t="s">
        <v>668</v>
      </c>
      <c r="E195" s="13">
        <v>42700.900370370371</v>
      </c>
      <c r="F195" s="13">
        <v>42700.901863425926</v>
      </c>
      <c r="G195" s="7">
        <v>1</v>
      </c>
      <c r="H195" s="22" t="s">
        <v>677</v>
      </c>
      <c r="I195" s="13">
        <v>42700.912881944445</v>
      </c>
      <c r="J195" s="7">
        <v>0</v>
      </c>
      <c r="K195" s="109" t="str">
        <f t="shared" si="50"/>
        <v>4011/4012</v>
      </c>
      <c r="L195" s="22" t="str">
        <f>VLOOKUP(A195,'Trips&amp;Operators'!$C$1:$E$10000,3,FALSE)</f>
        <v>ADANE</v>
      </c>
      <c r="M195" s="6">
        <f t="shared" si="51"/>
        <v>1.1018518518540077E-2</v>
      </c>
      <c r="N195" s="7">
        <f t="shared" si="52"/>
        <v>15.866666666697711</v>
      </c>
      <c r="O195" s="7"/>
      <c r="P195" s="7"/>
      <c r="Q195" s="23"/>
      <c r="R195" s="23"/>
      <c r="S195" s="35">
        <f t="shared" si="53"/>
        <v>1</v>
      </c>
      <c r="T195" s="50" t="str">
        <f t="shared" si="54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20:36:32-700',mode:absolute,to:'2016-11-26 22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5" s="52" t="str">
        <f t="shared" si="56"/>
        <v>N</v>
      </c>
      <c r="X195" s="177">
        <f t="shared" si="57"/>
        <v>1</v>
      </c>
      <c r="Y195" s="67">
        <f t="shared" si="58"/>
        <v>5.8653000000000004</v>
      </c>
      <c r="Z195" s="67">
        <f t="shared" si="59"/>
        <v>6.9800000000000001E-2</v>
      </c>
      <c r="AA195" s="67">
        <f t="shared" si="60"/>
        <v>5.7955000000000005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61"/>
        <v>1832-26</v>
      </c>
      <c r="AE195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95" s="88" t="str">
        <f t="shared" si="63"/>
        <v>"C:\Program Files (x86)\AstroGrep\AstroGrep.exe" /spath="%USERPROFILE%\AppData\Local\Temp\OnboardLogs" /stypes="app*4012*20161127*" /stext=" 04:.+((SYSTEM_STATE.+slice.+state.+changed )|(ment ac)|(multiple cpu faults)|(system.+state.+changed )|(\[timeout)|(PRM\|1\|D)|(kpr)|(kdp)|(\|lc)|(penalty))" /e /r /s</v>
      </c>
      <c r="AG195" s="1" t="str">
        <f t="shared" si="64"/>
        <v>NW</v>
      </c>
      <c r="AH195" s="92" t="str">
        <f t="shared" si="65"/>
        <v>"%USERPROFILE%\Documents\GitHub\eaglep3\Utilities\RefineRTDCRunTimes.py" --tripid 1832-26 --locoid 4012 --swversion DE.1.0.8.0 --startMP 300:58653 --initTime 2016-11-26T21:36:32 --startdatetime 2016-11-26T21:38:41 --delay 1 --endMP 204:698 --enddatetime 2016-11-26T21:54:33 --enforcementcount 0 &gt;&gt;C:\Users\stu\Documents\GitHub\eaglep3-reporting\EC\2016-11-26-refined-times.txt</v>
      </c>
      <c r="AI195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{"issue":{"subject":"","project_id":79,"tracker_id":40,"status_id":1,"priority_id":2,"assigned_to_id":23,"start_date":"2016-11-26","description":"","custom_fields":[{"id":1,"name":"Subdivision","value":"NW"},{"id":4,"name":"Milepost","value":"0.0698"},{"id":17,"name":"Train ID","value":"1832-26"},{"id":16,"name":"Locomotive ID","value":"4012"},{"id":130,"name":"Impact","value":""},{"id":150,"name":"Time of Event (Mountain Time)","value":"21:54:33"},{"id":151,"name":"Denver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584</v>
      </c>
      <c r="B196" s="7">
        <v>4011</v>
      </c>
      <c r="C196" s="22" t="s">
        <v>216</v>
      </c>
      <c r="D196" s="22" t="s">
        <v>651</v>
      </c>
      <c r="E196" s="13">
        <v>42700.914236111108</v>
      </c>
      <c r="F196" s="13">
        <v>42700.931585648148</v>
      </c>
      <c r="G196" s="7">
        <v>1</v>
      </c>
      <c r="H196" s="22" t="s">
        <v>678</v>
      </c>
      <c r="I196" s="13">
        <v>42700.940752314818</v>
      </c>
      <c r="J196" s="7">
        <v>0</v>
      </c>
      <c r="K196" s="109" t="str">
        <f t="shared" si="50"/>
        <v>4011/4012</v>
      </c>
      <c r="L196" s="22" t="str">
        <f>VLOOKUP(A196,'Trips&amp;Operators'!$C$1:$E$10000,3,FALSE)</f>
        <v>ADANE</v>
      </c>
      <c r="M196" s="6">
        <f t="shared" si="51"/>
        <v>9.1666666703531519E-3</v>
      </c>
      <c r="N196" s="7">
        <f t="shared" si="52"/>
        <v>13.200000005308539</v>
      </c>
      <c r="O196" s="7"/>
      <c r="P196" s="7"/>
      <c r="Q196" s="23"/>
      <c r="R196" s="23"/>
      <c r="S196" s="35">
        <f t="shared" si="53"/>
        <v>1</v>
      </c>
      <c r="T196" s="50" t="str">
        <f t="shared" si="54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20:56:30-700',mode:absolute,to:'2016-11-26 23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6" s="52" t="str">
        <f t="shared" si="56"/>
        <v>N</v>
      </c>
      <c r="X196" s="177">
        <f t="shared" si="57"/>
        <v>1</v>
      </c>
      <c r="Y196" s="67">
        <f t="shared" si="58"/>
        <v>9.7100000000000006E-2</v>
      </c>
      <c r="Z196" s="67">
        <f t="shared" si="59"/>
        <v>5.8964999999999996</v>
      </c>
      <c r="AA196" s="67">
        <f t="shared" si="60"/>
        <v>5.7993999999999994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61"/>
        <v>1833-26</v>
      </c>
      <c r="AE196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96" s="88" t="str">
        <f t="shared" si="63"/>
        <v>"C:\Program Files (x86)\AstroGrep\AstroGrep.exe" /spath="%USERPROFILE%\AppData\Local\Temp\OnboardLogs" /stypes="app*4011*20161127*" /stext=" 05:.+((SYSTEM_STATE.+slice.+state.+changed )|(ment ac)|(multiple cpu faults)|(system.+state.+changed )|(\[timeout)|(PRM\|1\|D)|(kpr)|(kdp)|(\|lc)|(penalty))" /e /r /s</v>
      </c>
      <c r="AG196" s="1" t="str">
        <f t="shared" si="64"/>
        <v>NW</v>
      </c>
      <c r="AH196" s="92" t="str">
        <f t="shared" si="65"/>
        <v>"%USERPROFILE%\Documents\GitHub\eaglep3\Utilities\RefineRTDCRunTimes.py" --tripid 1833-26 --locoid 4011 --swversion DE.1.0.8.0 --startMP 204:971 --initTime 2016-11-26T21:56:30 --startdatetime 2016-11-26T22:21:29 --delay 1 --endMP 300:58965 --enddatetime 2016-11-26T22:34:41 --enforcementcount 0 &gt;&gt;C:\Users\stu\Documents\GitHub\eaglep3-reporting\EC\2016-11-26-refined-times.txt</v>
      </c>
      <c r="AI196" s="119" t="str">
        <f t="shared" si="66"/>
        <v>echo {"issue":{"subject":"","project_id":79,"tracker_id":40,"status_id":1,"priority_id":2,"assigned_to_id":23,"start_date":"2016-11-26","description":"","custom_fields":[{"id":1,"name":"Subdivision","value":"NW"},{"id":4,"name":"Milepost","value":"5.8965"},{"id":17,"name":"Train ID","value":"1833-26"},{"id":16,"name":"Locomotive ID","value":"4011"},{"id":130,"name":"Impact","value":""},{"id":150,"name":"Time of Event (Mountain Time)","value":"22:34:41"},{"id":151,"name":"Denver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439</v>
      </c>
      <c r="B197" s="7">
        <v>4011</v>
      </c>
      <c r="C197" s="22" t="s">
        <v>216</v>
      </c>
      <c r="D197" s="22" t="s">
        <v>681</v>
      </c>
      <c r="E197" s="13">
        <v>42700.228020833332</v>
      </c>
      <c r="F197" s="13">
        <v>42700.229988425926</v>
      </c>
      <c r="G197" s="7">
        <v>2</v>
      </c>
      <c r="H197" s="22" t="s">
        <v>330</v>
      </c>
      <c r="I197" s="13">
        <v>42700.234988425924</v>
      </c>
      <c r="J197" s="7">
        <v>0</v>
      </c>
      <c r="K197" s="109" t="str">
        <f t="shared" si="50"/>
        <v>4011/4012</v>
      </c>
      <c r="L197" s="22" t="str">
        <f>VLOOKUP(A197,'Trips&amp;Operators'!$C$1:$E$10000,3,FALSE)</f>
        <v>OUN</v>
      </c>
      <c r="M197" s="6">
        <f t="shared" si="51"/>
        <v>4.9999999973806553E-3</v>
      </c>
      <c r="N197" s="7">
        <f t="shared" si="52"/>
        <v>7.1999999962281436</v>
      </c>
      <c r="O197" s="7"/>
      <c r="P197" s="7"/>
      <c r="Q197" s="23"/>
      <c r="R197" s="23"/>
      <c r="S197" s="35">
        <f t="shared" si="53"/>
        <v>0</v>
      </c>
      <c r="T197" s="50" t="str">
        <f t="shared" si="54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04:28:21-700',mode:absolute,to:'2016-11-26 06:38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7" s="52" t="str">
        <f t="shared" si="56"/>
        <v>Y</v>
      </c>
      <c r="X197" s="177">
        <f t="shared" si="57"/>
        <v>68</v>
      </c>
      <c r="Y197" s="67">
        <f t="shared" si="58"/>
        <v>3.0139999999999998</v>
      </c>
      <c r="Z197" s="67">
        <f t="shared" si="59"/>
        <v>5.8935000000000004</v>
      </c>
      <c r="AA197" s="67">
        <f t="shared" si="60"/>
        <v>2.8795000000000006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61"/>
        <v>1901-26</v>
      </c>
      <c r="AE197" s="91" t="str">
        <f t="shared" si="62"/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AF197" s="88" t="str">
        <f t="shared" si="63"/>
        <v>"C:\Program Files (x86)\AstroGrep\AstroGrep.exe" /spath="%USERPROFILE%\AppData\Local\Temp\OnboardLogs" /stypes="app*4011*20161126*" /stext=" 12:.+((SYSTEM_STATE.+slice.+state.+changed )|(ment ac)|(multiple cpu faults)|(system.+state.+changed )|(\[timeout)|(PRM\|1\|D)|(kpr)|(kdp)|(\|lc)|(penalty))" /e /r /s</v>
      </c>
      <c r="AG197" s="1" t="str">
        <f t="shared" si="64"/>
        <v>Other</v>
      </c>
      <c r="AH197" s="92" t="str">
        <f t="shared" si="65"/>
        <v>"%USERPROFILE%\Documents\GitHub\eaglep3\Utilities\RefineRTDCRunTimes.py" --tripid 1901-26 --locoid 4011 --swversion DE.1.0.8.0 --startMP 300:30140 --initTime 2016-11-26T05:28:21 --startdatetime 2016-11-26T05:31:11 --delay 2 --endMP 300:58935 --enddatetime 2016-11-26T05:38:23 --enforcementcount 0 &gt;&gt;C:\Users\stu\Documents\GitHub\eaglep3-reporting\EC\2016-11-26-refined-times.txt</v>
      </c>
      <c r="AI197" s="119" t="str">
        <f t="shared" si="66"/>
        <v>echo {"issue":{"subject":"","project_id":79,"tracker_id":40,"status_id":1,"priority_id":2,"assigned_to_id":23,"start_date":"2016-11-26","description":"","custom_fields":[{"id":1,"name":"Subdivision","value":"Other"},{"id":4,"name":"Milepost","value":"5.8935"},{"id":17,"name":"Train ID","value":"1901-26"},{"id":16,"name":"Locomotive ID","value":"4011"},{"id":130,"name":"Impact","value":""},{"id":150,"name":"Time of Event (Mountain Time)","value":"05:38:23"},{"id":151,"name":"Denver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587</v>
      </c>
      <c r="B198" s="7">
        <v>4012</v>
      </c>
      <c r="C198" s="22" t="s">
        <v>216</v>
      </c>
      <c r="D198" s="22" t="s">
        <v>682</v>
      </c>
      <c r="E198" s="13">
        <v>42700.942569444444</v>
      </c>
      <c r="F198" s="13">
        <v>42700.944687499999</v>
      </c>
      <c r="G198" s="7">
        <v>1</v>
      </c>
      <c r="H198" s="22" t="s">
        <v>683</v>
      </c>
      <c r="I198" s="13">
        <v>42700.948877314811</v>
      </c>
      <c r="J198" s="7">
        <v>0</v>
      </c>
      <c r="K198" s="109" t="str">
        <f t="shared" si="50"/>
        <v>4011/4012</v>
      </c>
      <c r="L198" s="22" t="str">
        <f>VLOOKUP(A198,'Trips&amp;Operators'!$C$1:$E$10000,3,FALSE)</f>
        <v>ADANE</v>
      </c>
      <c r="M198" s="6">
        <f t="shared" si="51"/>
        <v>4.1898148119798861E-3</v>
      </c>
      <c r="N198" s="7">
        <f t="shared" si="52"/>
        <v>6.033333329251036</v>
      </c>
      <c r="O198" s="7"/>
      <c r="P198" s="7"/>
      <c r="Q198" s="23"/>
      <c r="R198" s="23"/>
      <c r="S198" s="35">
        <f t="shared" si="53"/>
        <v>0</v>
      </c>
      <c r="T198" s="50" t="str">
        <f t="shared" si="54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21:37:18-700',mode:absolute,to:'2016-11-26 23:46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8" s="52" t="str">
        <f t="shared" si="56"/>
        <v>Y</v>
      </c>
      <c r="X198" s="177">
        <f t="shared" si="57"/>
        <v>1</v>
      </c>
      <c r="Y198" s="67">
        <f t="shared" si="58"/>
        <v>5.8648999999999996</v>
      </c>
      <c r="Z198" s="67">
        <f t="shared" si="59"/>
        <v>2.149</v>
      </c>
      <c r="AA198" s="67">
        <f t="shared" si="60"/>
        <v>3.7158999999999995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61"/>
        <v>1902-26</v>
      </c>
      <c r="AE198" s="91" t="str">
        <f t="shared" si="62"/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AF198" s="88" t="str">
        <f t="shared" si="63"/>
        <v>"C:\Program Files (x86)\AstroGrep\AstroGrep.exe" /spath="%USERPROFILE%\AppData\Local\Temp\OnboardLogs" /stypes="app*4012*20161127*" /stext=" 05:.+((SYSTEM_STATE.+slice.+state.+changed )|(ment ac)|(multiple cpu faults)|(system.+state.+changed )|(\[timeout)|(PRM\|1\|D)|(kpr)|(kdp)|(\|lc)|(penalty))" /e /r /s</v>
      </c>
      <c r="AG198" s="1" t="str">
        <f t="shared" si="64"/>
        <v>Other</v>
      </c>
      <c r="AH198" s="92" t="str">
        <f t="shared" si="65"/>
        <v>"%USERPROFILE%\Documents\GitHub\eaglep3\Utilities\RefineRTDCRunTimes.py" --tripid 1902-26 --locoid 4012 --swversion DE.1.0.8.0 --startMP 300:58649 --initTime 2016-11-26T22:37:18 --startdatetime 2016-11-26T22:40:21 --delay 1 --endMP 300:21490 --enddatetime 2016-11-26T22:46:23 --enforcementcount 0 &gt;&gt;C:\Users\stu\Documents\GitHub\eaglep3-reporting\EC\2016-11-26-refined-times.txt</v>
      </c>
      <c r="AI198" s="119" t="str">
        <f t="shared" si="66"/>
        <v>echo {"issue":{"subject":"","project_id":79,"tracker_id":40,"status_id":1,"priority_id":2,"assigned_to_id":23,"start_date":"2016-11-26","description":"","custom_fields":[{"id":1,"name":"Subdivision","value":"Other"},{"id":4,"name":"Milepost","value":"2.149"},{"id":17,"name":"Train ID","value":"1902-26"},{"id":16,"name":"Locomotive ID","value":"4012"},{"id":130,"name":"Impact","value":""},{"id":150,"name":"Time of Event (Mountain Time)","value":"22:46:23"},{"id":151,"name":"Denver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422</v>
      </c>
      <c r="B199" s="7">
        <v>4043</v>
      </c>
      <c r="C199" s="22" t="s">
        <v>216</v>
      </c>
      <c r="D199" s="22" t="s">
        <v>703</v>
      </c>
      <c r="E199" s="13">
        <v>42700.11986111111</v>
      </c>
      <c r="F199" s="13">
        <v>42700.124837962961</v>
      </c>
      <c r="G199" s="7">
        <v>6</v>
      </c>
      <c r="H199" s="22" t="s">
        <v>312</v>
      </c>
      <c r="I199" s="13">
        <v>42700.13003472222</v>
      </c>
      <c r="J199" s="7">
        <v>0</v>
      </c>
      <c r="K199" s="109" t="str">
        <f t="shared" si="50"/>
        <v>4043/4044</v>
      </c>
      <c r="L199" s="22" t="str">
        <f>VLOOKUP(A199,'Trips&amp;Operators'!$C$1:$E$10000,3,FALSE)</f>
        <v>MAELZER</v>
      </c>
      <c r="M199" s="6">
        <f t="shared" si="51"/>
        <v>5.1967592589790002E-3</v>
      </c>
      <c r="N199" s="7">
        <f t="shared" si="52"/>
        <v>7.4833333329297602</v>
      </c>
      <c r="O199" s="7"/>
      <c r="P199" s="7"/>
      <c r="Q199" s="23"/>
      <c r="R199" s="23"/>
      <c r="S199" s="35">
        <f t="shared" si="53"/>
        <v>1</v>
      </c>
      <c r="T199" s="50" t="str">
        <f t="shared" si="54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01:52:36-700',mode:absolute,to:'2016-11-26 04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9" s="52" t="str">
        <f t="shared" si="56"/>
        <v>Y</v>
      </c>
      <c r="X199" s="177">
        <f t="shared" si="57"/>
        <v>-1600</v>
      </c>
      <c r="Y199" s="67">
        <f t="shared" si="58"/>
        <v>1.9103000000000001</v>
      </c>
      <c r="Z199" s="67">
        <f t="shared" si="59"/>
        <v>1.4500000000000001E-2</v>
      </c>
      <c r="AA199" s="67">
        <f t="shared" si="60"/>
        <v>1.8958000000000002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61"/>
        <v>0302-26</v>
      </c>
      <c r="AE199" s="91" t="str">
        <f t="shared" si="62"/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AF199" s="88" t="str">
        <f t="shared" si="63"/>
        <v>"C:\Program Files (x86)\AstroGrep\AstroGrep.exe" /spath="%USERPROFILE%\AppData\Local\Temp\OnboardLogs" /stypes="app*4043*20161126*" /stext=" 10:.+((SYSTEM_STATE.+slice.+state.+changed )|(ment ac)|(multiple cpu faults)|(system.+state.+changed )|(\[timeout)|(PRM\|1\|D)|(kpr)|(kdp)|(\|lc)|(penalty))" /e /r /s</v>
      </c>
      <c r="AG199" s="1" t="str">
        <f t="shared" si="64"/>
        <v>Other</v>
      </c>
      <c r="AH199" s="92" t="str">
        <f t="shared" si="65"/>
        <v>"%USERPROFILE%\Documents\GitHub\eaglep3\Utilities\RefineRTDCRunTimes.py" --tripid 302-26 --locoid 4043 --swversion DE.1.0.8.0 --startMP 300:19103 --initTime 2016-11-26T02:52:36 --startdatetime 2016-11-26T02:59:46 --delay 6 --endMP 204:145 --enddatetime 2016-11-26T03:07:15 --enforcementcount 0 &gt;&gt;C:\Users\stu\Documents\GitHub\eaglep3-reporting\EC\2016-11-26-refined-times.txt</v>
      </c>
      <c r="AI199" s="119" t="str">
        <f t="shared" si="66"/>
        <v>echo {"issue":{"subject":"","project_id":79,"tracker_id":40,"status_id":1,"priority_id":2,"assigned_to_id":23,"start_date":"2016-11-26","description":"","custom_fields":[{"id":1,"name":"Subdivision","value":"Other"},{"id":4,"name":"Milepost","value":"0.0145"},{"id":17,"name":"Train ID","value":"302-26"},{"id":16,"name":"Locomotive ID","value":"4043"},{"id":130,"name":"Impact","value":""},{"id":150,"name":"Time of Event (Mountain Time)","value":"03:07:15"},{"id":151,"name":"Denver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562</v>
      </c>
      <c r="B200" s="7">
        <v>4046</v>
      </c>
      <c r="C200" s="22" t="s">
        <v>216</v>
      </c>
      <c r="D200" s="22" t="s">
        <v>269</v>
      </c>
      <c r="E200" s="13">
        <v>42700.778773148151</v>
      </c>
      <c r="F200" s="13">
        <v>25568.708333333332</v>
      </c>
      <c r="G200" s="7">
        <v>1</v>
      </c>
      <c r="H200" s="22" t="s">
        <v>704</v>
      </c>
      <c r="I200" s="13">
        <v>25568.708333333332</v>
      </c>
      <c r="J200" s="7">
        <v>0</v>
      </c>
      <c r="K200" s="109" t="str">
        <f t="shared" si="50"/>
        <v>4045/4046</v>
      </c>
      <c r="L200" s="22" t="str">
        <f>VLOOKUP(A200,'Trips&amp;Operators'!$C$1:$E$10000,3,FALSE)</f>
        <v>BROWN</v>
      </c>
      <c r="M200" s="6">
        <f t="shared" si="51"/>
        <v>0</v>
      </c>
      <c r="N200" s="7">
        <f t="shared" si="52"/>
        <v>0</v>
      </c>
      <c r="O200" s="7"/>
      <c r="P200" s="7"/>
      <c r="Q200" s="23"/>
      <c r="R200" s="23"/>
      <c r="S200" s="35">
        <f t="shared" si="53"/>
        <v>1</v>
      </c>
      <c r="T200" s="50" t="str">
        <f t="shared" si="54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17:41:26-700',mode:absolute,to:'1969-12-31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0" s="52" t="str">
        <f t="shared" si="56"/>
        <v>Y</v>
      </c>
      <c r="X200" s="177">
        <f t="shared" si="57"/>
        <v>1</v>
      </c>
      <c r="Y200" s="67">
        <f t="shared" si="58"/>
        <v>4.5699999999999998E-2</v>
      </c>
      <c r="Z200" s="67">
        <f t="shared" si="59"/>
        <v>2.3176000000000001</v>
      </c>
      <c r="AA200" s="67">
        <f t="shared" si="60"/>
        <v>2.2719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61"/>
        <v>0303-26</v>
      </c>
      <c r="AE200" s="91" t="str">
        <f t="shared" si="62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0" s="88" t="str">
        <f t="shared" si="63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00" s="1" t="str">
        <f t="shared" si="64"/>
        <v>Other</v>
      </c>
      <c r="AH200" s="92" t="str">
        <f t="shared" si="65"/>
        <v>"%USERPROFILE%\Documents\GitHub\eaglep3\Utilities\RefineRTDCRunTimes.py" --tripid 303-26 --locoid 4046 --swversion DE.1.0.8.0 --startMP 204:457 --initTime 2016-11-26T18:41:26 --startdatetime 1969-12-31T17:00:00 --delay 1 --endMP 300:23176 --enddatetime 1969-12-31T17:00:00 --enforcementcount 0 &gt;&gt;C:\Users\stu\Documents\GitHub\eaglep3-reporting\EC\2016-11-26-refined-times.txt</v>
      </c>
      <c r="AI200" s="11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{"issue":{"subject":"","project_id":79,"tracker_id":40,"status_id":1,"priority_id":2,"assigned_to_id":23,"start_date":"1969-12-31","description":"","custom_fields":[{"id":1,"name":"Subdivision","value":"Other"},{"id":4,"name":"Milepost","value":"2.3176"},{"id":17,"name":"Train ID","value":"303-26"},{"id":16,"name":"Locomotive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390</v>
      </c>
      <c r="B201" s="7">
        <v>4010</v>
      </c>
      <c r="C201" s="22" t="s">
        <v>216</v>
      </c>
      <c r="D201" s="22" t="s">
        <v>705</v>
      </c>
      <c r="E201" s="13">
        <v>42700.138761574075</v>
      </c>
      <c r="F201" s="13">
        <v>42700.140092592592</v>
      </c>
      <c r="G201" s="7">
        <v>1</v>
      </c>
      <c r="H201" s="22" t="s">
        <v>252</v>
      </c>
      <c r="I201" s="13">
        <v>42700.146840277775</v>
      </c>
      <c r="J201" s="7">
        <v>1</v>
      </c>
      <c r="K201" s="109" t="str">
        <f t="shared" si="50"/>
        <v>4009/4010</v>
      </c>
      <c r="L201" s="22" t="str">
        <f>VLOOKUP(A201,'Trips&amp;Operators'!$C$1:$E$10000,3,FALSE)</f>
        <v>ROBINSON</v>
      </c>
      <c r="M201" s="6">
        <f t="shared" si="51"/>
        <v>6.7476851836545393E-3</v>
      </c>
      <c r="N201" s="7">
        <f t="shared" si="52"/>
        <v>9.7166666644625366</v>
      </c>
      <c r="O201" s="7"/>
      <c r="P201" s="7"/>
      <c r="Q201" s="23"/>
      <c r="R201" s="23"/>
      <c r="S201" s="35">
        <f t="shared" si="53"/>
        <v>1</v>
      </c>
      <c r="T201" s="50" t="str">
        <f t="shared" si="54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02:19:49-700',mode:absolute,to:'2016-11-26 04:31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1" s="52" t="str">
        <f t="shared" si="56"/>
        <v>Y</v>
      </c>
      <c r="X201" s="177">
        <f t="shared" si="57"/>
        <v>1</v>
      </c>
      <c r="Y201" s="67">
        <f t="shared" si="58"/>
        <v>2.3374999999999999</v>
      </c>
      <c r="Z201" s="67">
        <f t="shared" si="59"/>
        <v>1.47E-2</v>
      </c>
      <c r="AA201" s="67">
        <f t="shared" si="60"/>
        <v>2.3228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61"/>
        <v>0304-26</v>
      </c>
      <c r="AE201" s="91" t="str">
        <f t="shared" si="62"/>
        <v>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 &amp; 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</v>
      </c>
      <c r="AF201" s="88" t="str">
        <f t="shared" si="63"/>
        <v>"C:\Program Files (x86)\AstroGrep\AstroGrep.exe" /spath="%USERPROFILE%\AppData\Local\Temp\OnboardLogs" /stypes="app*4010*20161126*" /stext=" 10:.+((SYSTEM_STATE.+slice.+state.+changed )|(ment ac)|(multiple cpu faults)|(system.+state.+changed )|(\[timeout)|(PRM\|1\|D)|(kpr)|(kdp)|(\|lc)|(penalty))" /e /r /s</v>
      </c>
      <c r="AG201" s="1" t="str">
        <f t="shared" si="64"/>
        <v>Other</v>
      </c>
      <c r="AH201" s="92" t="str">
        <f t="shared" si="65"/>
        <v>"%USERPROFILE%\Documents\GitHub\eaglep3\Utilities\RefineRTDCRunTimes.py" --tripid 304-26 --locoid 4010 --swversion DE.1.0.8.0 --startMP 300:23375 --initTime 2016-11-26T03:19:49 --startdatetime 2016-11-26T03:21:44 --delay 1 --endMP 204:147 --enddatetime 2016-11-26T03:31:27 --enforcementcount 1 &gt;&gt;C:\Users\stu\Documents\GitHub\eaglep3-reporting\EC\2016-11-26-refined-times.txt</v>
      </c>
      <c r="AI201" s="119" t="str">
        <f t="shared" si="66"/>
        <v>echo {"issue":{"subject":"","project_id":79,"tracker_id":40,"status_id":1,"priority_id":2,"assigned_to_id":23,"start_date":"2016-11-26","description":"","custom_fields":[{"id":1,"name":"Subdivision","value":"Other"},{"id":4,"name":"Milepost","value":"0.0147"},{"id":17,"name":"Train ID","value":"304-26"},{"id":16,"name":"Locomotive ID","value":"4010"},{"id":130,"name":"Impact","value":""},{"id":150,"name":"Time of Event (Mountain Time)","value":"03:31:27"},{"id":151,"name":"Denver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567</v>
      </c>
      <c r="B202" s="7">
        <v>4044</v>
      </c>
      <c r="C202" s="22" t="s">
        <v>216</v>
      </c>
      <c r="D202" s="22" t="s">
        <v>706</v>
      </c>
      <c r="E202" s="13">
        <v>42700.802939814814</v>
      </c>
      <c r="F202" s="13">
        <v>25568.708333333332</v>
      </c>
      <c r="G202" s="7">
        <v>0</v>
      </c>
      <c r="H202" s="22" t="s">
        <v>707</v>
      </c>
      <c r="I202" s="13">
        <v>25568.708333333332</v>
      </c>
      <c r="J202" s="7">
        <v>0</v>
      </c>
      <c r="K202" s="109" t="str">
        <f t="shared" si="50"/>
        <v>4043/4044</v>
      </c>
      <c r="L202" s="22" t="str">
        <f>VLOOKUP(A202,'Trips&amp;Operators'!$C$1:$E$10000,3,FALSE)</f>
        <v>CLARK</v>
      </c>
      <c r="M202" s="6">
        <f t="shared" si="51"/>
        <v>0</v>
      </c>
      <c r="N202" s="7">
        <f t="shared" si="52"/>
        <v>0</v>
      </c>
      <c r="O202" s="7"/>
      <c r="P202" s="7"/>
      <c r="Q202" s="23"/>
      <c r="R202" s="23"/>
      <c r="S202" s="35">
        <f t="shared" si="53"/>
        <v>1</v>
      </c>
      <c r="T202" s="50" t="str">
        <f t="shared" si="54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18:16:14-700',mode:absolute,to:'1969-12-31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2" s="52" t="str">
        <f t="shared" si="56"/>
        <v>Y</v>
      </c>
      <c r="X202" s="177">
        <f t="shared" si="57"/>
        <v>1</v>
      </c>
      <c r="Y202" s="67">
        <f t="shared" si="58"/>
        <v>4.9700000000000001E-2</v>
      </c>
      <c r="Z202" s="67">
        <f t="shared" si="59"/>
        <v>2.3308</v>
      </c>
      <c r="AA202" s="67">
        <f t="shared" si="60"/>
        <v>2.2810999999999999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1"/>
        <v>0305-26</v>
      </c>
      <c r="AE202" s="91" t="str">
        <f t="shared" si="62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2" s="88" t="str">
        <f t="shared" si="63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2" s="1" t="str">
        <f t="shared" si="64"/>
        <v>Other</v>
      </c>
      <c r="AH202" s="92" t="str">
        <f t="shared" si="65"/>
        <v>"%USERPROFILE%\Documents\GitHub\eaglep3\Utilities\RefineRTDCRunTimes.py" --tripid 305-26 --locoid 4044 --swversion DE.1.0.8.0 --startMP 204:497 --initTime 2016-11-26T19:16:14 --startdatetime 1969-12-31T17:00:00 --delay 0 --endMP 300:23308 --enddatetime 1969-12-31T17:00:00 --enforcementcount 0 &gt;&gt;C:\Users\stu\Documents\GitHub\eaglep3-reporting\EC\2016-11-26-refined-times.txt</v>
      </c>
      <c r="AI202" s="11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ID","value":"305-26"},{"id":16,"name":"Locomotive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392</v>
      </c>
      <c r="B203" s="7">
        <v>4026</v>
      </c>
      <c r="C203" s="22" t="s">
        <v>216</v>
      </c>
      <c r="D203" s="22" t="s">
        <v>708</v>
      </c>
      <c r="E203" s="13">
        <v>42700.163761574076</v>
      </c>
      <c r="F203" s="13">
        <v>42700.164895833332</v>
      </c>
      <c r="G203" s="7">
        <v>1</v>
      </c>
      <c r="H203" s="22" t="s">
        <v>709</v>
      </c>
      <c r="I203" s="13">
        <v>42700.172280092593</v>
      </c>
      <c r="J203" s="7">
        <v>2</v>
      </c>
      <c r="K203" s="109" t="str">
        <f t="shared" si="50"/>
        <v>4025/4026</v>
      </c>
      <c r="L203" s="22" t="str">
        <f>VLOOKUP(A203,'Trips&amp;Operators'!$C$1:$E$10000,3,FALSE)</f>
        <v>ACKERMAN</v>
      </c>
      <c r="M203" s="6">
        <f t="shared" si="51"/>
        <v>7.3842592610162683E-3</v>
      </c>
      <c r="N203" s="7">
        <f t="shared" si="52"/>
        <v>10.633333335863426</v>
      </c>
      <c r="O203" s="7"/>
      <c r="P203" s="7"/>
      <c r="Q203" s="23"/>
      <c r="R203" s="23"/>
      <c r="S203" s="35">
        <f t="shared" si="53"/>
        <v>1</v>
      </c>
      <c r="T203" s="50" t="str">
        <f t="shared" si="54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02:55:49-700',mode:absolute,to:'2016-11-26 05:08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3" s="52" t="str">
        <f t="shared" si="56"/>
        <v>Y</v>
      </c>
      <c r="X203" s="177">
        <f t="shared" si="57"/>
        <v>1</v>
      </c>
      <c r="Y203" s="67">
        <f t="shared" si="58"/>
        <v>2.2332999999999998</v>
      </c>
      <c r="Z203" s="67">
        <f t="shared" si="59"/>
        <v>1.0500000000000001E-2</v>
      </c>
      <c r="AA203" s="67">
        <f t="shared" si="60"/>
        <v>2.2227999999999999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1"/>
        <v>0306-26</v>
      </c>
      <c r="AE203" s="91" t="str">
        <f t="shared" si="62"/>
        <v>aws s3 cp s3://rtdc.mdm.uploadarchive.raw/RTDC4026/ "%USERPROFILE%\AppData\Local\Temp\OnboardLogs"\RTDC4026\2016-11-26 --exclude "*" --recursive --include "*20161126*" &amp; "%USERPROFILE%\Documents\GitHub\mrs-test-scripts\Headless Mode &amp; Sideloading\WalkAndUnGZ.bat" "%USERPROFILE%\AppData\Local\Temp\OnboardLogs"\RTDC4026\2016-11-26 &amp; 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</v>
      </c>
      <c r="AF203" s="88" t="str">
        <f t="shared" si="63"/>
        <v>"C:\Program Files (x86)\AstroGrep\AstroGrep.exe" /spath="%USERPROFILE%\AppData\Local\Temp\OnboardLogs" /stypes="app*4026*20161126*" /stext=" 11:.+((SYSTEM_STATE.+slice.+state.+changed )|(ment ac)|(multiple cpu faults)|(system.+state.+changed )|(\[timeout)|(PRM\|1\|D)|(kpr)|(kdp)|(\|lc)|(penalty))" /e /r /s</v>
      </c>
      <c r="AG203" s="1" t="str">
        <f t="shared" si="64"/>
        <v>Other</v>
      </c>
      <c r="AH203" s="92" t="str">
        <f t="shared" si="65"/>
        <v>"%USERPROFILE%\Documents\GitHub\eaglep3\Utilities\RefineRTDCRunTimes.py" --tripid 306-26 --locoid 4026 --swversion DE.1.0.8.0 --startMP 300:22333 --initTime 2016-11-26T03:55:49 --startdatetime 2016-11-26T03:57:27 --delay 1 --endMP 204:105 --enddatetime 2016-11-26T04:08:05 --enforcementcount 2 &gt;&gt;C:\Users\stu\Documents\GitHub\eaglep3-reporting\EC\2016-11-26-refined-times.txt</v>
      </c>
      <c r="AI203" s="119" t="str">
        <f t="shared" si="66"/>
        <v>echo {"issue":{"subject":"","project_id":79,"tracker_id":40,"status_id":1,"priority_id":2,"assigned_to_id":23,"start_date":"2016-11-26","description":"","custom_fields":[{"id":1,"name":"Subdivision","value":"Other"},{"id":4,"name":"Milepost","value":"0.0105"},{"id":17,"name":"Train ID","value":"306-26"},{"id":16,"name":"Locomotive ID","value":"4026"},{"id":130,"name":"Impact","value":""},{"id":150,"name":"Time of Event (Mountain Time)","value":"04:08:05"},{"id":151,"name":"Denver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571</v>
      </c>
      <c r="B204" s="7">
        <v>4025</v>
      </c>
      <c r="C204" s="22" t="s">
        <v>216</v>
      </c>
      <c r="D204" s="22" t="s">
        <v>710</v>
      </c>
      <c r="E204" s="13">
        <v>42700.8200462963</v>
      </c>
      <c r="F204" s="13">
        <v>25568.708333333332</v>
      </c>
      <c r="G204" s="7">
        <v>2</v>
      </c>
      <c r="H204" s="22" t="s">
        <v>711</v>
      </c>
      <c r="I204" s="13">
        <v>25568.708333333332</v>
      </c>
      <c r="J204" s="7">
        <v>0</v>
      </c>
      <c r="K204" s="109" t="str">
        <f t="shared" si="50"/>
        <v>4025/4026</v>
      </c>
      <c r="L204" s="22" t="str">
        <f>VLOOKUP(A204,'Trips&amp;Operators'!$C$1:$E$10000,3,FALSE)</f>
        <v>STORY</v>
      </c>
      <c r="M204" s="6">
        <f t="shared" si="51"/>
        <v>0</v>
      </c>
      <c r="N204" s="7">
        <f t="shared" si="52"/>
        <v>0</v>
      </c>
      <c r="O204" s="7"/>
      <c r="P204" s="7"/>
      <c r="Q204" s="23"/>
      <c r="R204" s="23"/>
      <c r="S204" s="35">
        <f t="shared" si="53"/>
        <v>1</v>
      </c>
      <c r="T204" s="50" t="str">
        <f t="shared" si="54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18:40:52-700',mode:absolute,to:'1969-12-31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4" s="52" t="str">
        <f t="shared" si="56"/>
        <v>Y</v>
      </c>
      <c r="X204" s="177">
        <f t="shared" si="57"/>
        <v>1</v>
      </c>
      <c r="Y204" s="67">
        <f t="shared" si="58"/>
        <v>0.2117</v>
      </c>
      <c r="Z204" s="67">
        <f t="shared" si="59"/>
        <v>2.3302</v>
      </c>
      <c r="AA204" s="67">
        <f t="shared" si="60"/>
        <v>2.1185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61"/>
        <v>0307-26</v>
      </c>
      <c r="AE204" s="91" t="str">
        <f t="shared" si="62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4" s="88" t="str">
        <f t="shared" si="63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04" s="1" t="str">
        <f t="shared" si="64"/>
        <v>Other</v>
      </c>
      <c r="AH204" s="92" t="str">
        <f t="shared" si="65"/>
        <v>"%USERPROFILE%\Documents\GitHub\eaglep3\Utilities\RefineRTDCRunTimes.py" --tripid 307-26 --locoid 4025 --swversion DE.1.0.8.0 --startMP 204:2117 --initTime 2016-11-26T19:40:52 --startdatetime 1969-12-31T17:00:00 --delay 2 --endMP 300:23302 --enddatetime 1969-12-31T17:00:00 --enforcementcount 0 &gt;&gt;C:\Users\stu\Documents\GitHub\eaglep3-reporting\EC\2016-11-26-refined-times.txt</v>
      </c>
      <c r="AI204" s="11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ID","value":"307-26"},{"id":16,"name":"Locomotive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427</v>
      </c>
      <c r="B205" s="7">
        <v>4004</v>
      </c>
      <c r="C205" s="22" t="s">
        <v>216</v>
      </c>
      <c r="D205" s="22" t="s">
        <v>712</v>
      </c>
      <c r="E205" s="13">
        <v>42700.176782407405</v>
      </c>
      <c r="F205" s="13">
        <v>42700.177905092591</v>
      </c>
      <c r="G205" s="7">
        <v>0</v>
      </c>
      <c r="H205" s="22" t="s">
        <v>617</v>
      </c>
      <c r="I205" s="13">
        <v>42700.183495370373</v>
      </c>
      <c r="J205" s="7">
        <v>0</v>
      </c>
      <c r="K205" s="109" t="str">
        <f t="shared" si="50"/>
        <v>4003/4004</v>
      </c>
      <c r="L205" s="22" t="str">
        <f>VLOOKUP(A205,'Trips&amp;Operators'!$C$1:$E$10000,3,FALSE)</f>
        <v>DAVIS</v>
      </c>
      <c r="M205" s="6">
        <f t="shared" si="51"/>
        <v>5.5902777821756899E-3</v>
      </c>
      <c r="N205" s="7">
        <f t="shared" si="52"/>
        <v>8.0500000063329935</v>
      </c>
      <c r="O205" s="7"/>
      <c r="P205" s="7"/>
      <c r="Q205" s="23"/>
      <c r="R205" s="23"/>
      <c r="S205" s="35">
        <f t="shared" si="53"/>
        <v>1</v>
      </c>
      <c r="T205" s="50" t="str">
        <f t="shared" si="54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https://search-rtdc-monitor-bjffxe2xuh6vdkpspy63sjmuny.us-east-1.es.amazonaws.com/_plugin/kibana/#/discover/Steve-Slow-Train-Analysis-(2080s-and-2083s)?_g=(refreshInterval:(display:Off,section:0,value:0),time:(from:'2016-11-26 03:14:34-700',mode:absolute,to:'2016-11-26 05:24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5" s="52" t="str">
        <f t="shared" si="56"/>
        <v>Y</v>
      </c>
      <c r="X205" s="177">
        <f t="shared" si="57"/>
        <v>1</v>
      </c>
      <c r="Y205" s="67">
        <f t="shared" si="58"/>
        <v>2.2107999999999999</v>
      </c>
      <c r="Z205" s="67">
        <f t="shared" si="59"/>
        <v>1.38E-2</v>
      </c>
      <c r="AA205" s="67">
        <f t="shared" si="60"/>
        <v>2.1970000000000001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61"/>
        <v>0308-26</v>
      </c>
      <c r="AE205" s="91" t="str">
        <f t="shared" si="62"/>
        <v>aws s3 cp s3://rtdc.mdm.uploadarchive.raw/RTDC4004/ "%USERPROFILE%\AppData\Local\Temp\OnboardLogs"\RTDC4004\2016-11-26 --exclude "*" --recursive --include "*20161126*" &amp; "%USERPROFILE%\Documents\GitHub\mrs-test-scripts\Headless Mode &amp; Sideloading\WalkAndUnGZ.bat" "%USERPROFILE%\AppData\Local\Temp\OnboardLogs"\RTDC4004\2016-11-26 &amp; aws s3 cp s3://rtdc.mdm.uploadarchive.raw/RTDC4004/ "%USERPROFILE%\AppData\Local\Temp\OnboardLogs"\RTDC4004\2016-11-27 --exclude "*" --recursive --include "*20161127*" &amp; "%USERPROFILE%\Documents\GitHub\mrs-test-scripts\Headless Mode &amp; Sideloading\WalkAndUnGZ.bat" "%USERPROFILE%\AppData\Local\Temp\OnboardLogs"\RTDC4004\2016-11-27</v>
      </c>
      <c r="AF205" s="88" t="str">
        <f t="shared" si="63"/>
        <v>"C:\Program Files (x86)\AstroGrep\AstroGrep.exe" /spath="%USERPROFILE%\AppData\Local\Temp\OnboardLogs" /stypes="app*4004*20161126*" /stext=" 11:.+((SYSTEM_STATE.+slice.+state.+changed )|(ment ac)|(multiple cpu faults)|(system.+state.+changed )|(\[timeout)|(PRM\|1\|D)|(kpr)|(kdp)|(\|lc)|(penalty))" /e /r /s</v>
      </c>
      <c r="AG205" s="1" t="str">
        <f t="shared" si="64"/>
        <v>Other</v>
      </c>
      <c r="AH205" s="92" t="str">
        <f t="shared" si="65"/>
        <v>"%USERPROFILE%\Documents\GitHub\eaglep3\Utilities\RefineRTDCRunTimes.py" --tripid 308-26 --locoid 4004 --swversion DE.1.0.8.0 --startMP 300:22108 --initTime 2016-11-26T04:14:34 --startdatetime 2016-11-26T04:16:11 --delay 0 --endMP 204:138 --enddatetime 2016-11-26T04:24:14 --enforcementcount 0 &gt;&gt;C:\Users\stu\Documents\GitHub\eaglep3-reporting\EC\2016-11-26-refined-times.txt</v>
      </c>
      <c r="AI205" s="119" t="str">
        <f t="shared" si="66"/>
        <v>echo {"issue":{"subject":"","project_id":79,"tracker_id":40,"status_id":1,"priority_id":2,"assigned_to_id":23,"start_date":"2016-11-26","description":"","custom_fields":[{"id":1,"name":"Subdivision","value":"Other"},{"id":4,"name":"Milepost","value":"0.0138"},{"id":17,"name":"Train ID","value":"308-26"},{"id":16,"name":"Locomotive ID","value":"4004"},{"id":130,"name":"Impact","value":""},{"id":150,"name":"Time of Event (Mountain Time)","value":"04:24:14"},{"id":151,"name":"Denver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597</v>
      </c>
      <c r="B206" s="7">
        <v>4038</v>
      </c>
      <c r="C206" s="22" t="s">
        <v>216</v>
      </c>
      <c r="D206" s="22" t="s">
        <v>270</v>
      </c>
      <c r="E206" s="13">
        <v>42701.051157407404</v>
      </c>
      <c r="F206" s="13">
        <v>25568.708333333332</v>
      </c>
      <c r="G206" s="7">
        <v>2</v>
      </c>
      <c r="H206" s="22" t="s">
        <v>713</v>
      </c>
      <c r="I206" s="13">
        <v>25568.708333333332</v>
      </c>
      <c r="J206" s="7">
        <v>0</v>
      </c>
      <c r="K206" s="109" t="str">
        <f t="shared" ref="K206:K225" si="83">IF(ISEVEN(B206),(B206-1)&amp;"/"&amp;B206,B206&amp;"/"&amp;(B206+1))</f>
        <v>4037/4038</v>
      </c>
      <c r="L206" s="22" t="str">
        <f>VLOOKUP(A206,'Trips&amp;Operators'!$C$1:$E$10000,3,FALSE)</f>
        <v>NELSON</v>
      </c>
      <c r="M206" s="6">
        <f t="shared" ref="M206:M225" si="84">I206-F206</f>
        <v>0</v>
      </c>
      <c r="N206" s="7">
        <f t="shared" ref="N206:N225" si="85">24*60*SUM($M206:$M206)</f>
        <v>0</v>
      </c>
      <c r="O206" s="7"/>
      <c r="P206" s="7"/>
      <c r="Q206" s="23"/>
      <c r="R206" s="23"/>
      <c r="S206" s="35">
        <f t="shared" ref="S206:S225" si="86">SUM(U206:U206)/IF(AG206="EC",12,1)</f>
        <v>1</v>
      </c>
      <c r="T206" s="50" t="str">
        <f t="shared" ref="T206:T225" si="87">IF(ISEVEN(LEFT(AD206,4)),"Southbound","NorthBound")</f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ref="V206:V225" si="88"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https://search-rtdc-monitor-bjffxe2xuh6vdkpspy63sjmuny.us-east-1.es.amazonaws.com/_plugin/kibana/#/discover/Steve-Slow-Train-Analysis-(2080s-and-2083s)?_g=(refreshInterval:(display:Off,section:0,value:0),time:(from:'2016-11-27 00:13:40-700',mode:absolute,to:'1969-12-31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6" s="52" t="str">
        <f t="shared" ref="W206:W225" si="89">IF(AA206&lt;IF(AG206="EC",23,5.65),"Y","N")</f>
        <v>Y</v>
      </c>
      <c r="X206" s="177">
        <f t="shared" ref="X206:X225" si="90">VALUE(LEFT(AD206,4))-VALUE(LEFT(AD205,4))</f>
        <v>1</v>
      </c>
      <c r="Y206" s="67">
        <f t="shared" ref="Y206:Y225" si="91">RIGHT(D206,LEN(D206)-4)/10000</f>
        <v>4.7100000000000003E-2</v>
      </c>
      <c r="Z206" s="67">
        <f t="shared" ref="Z206:Z225" si="92">RIGHT(H206,LEN(H206)-4)/10000</f>
        <v>2.3304</v>
      </c>
      <c r="AA206" s="67">
        <f t="shared" ref="AA206:AA225" si="93">ABS(Z206-Y206)</f>
        <v>2.2833000000000001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ref="AD206:AD225" si="94">IF(LEN(A206)=6,"0"&amp;A206,A206)</f>
        <v>0309-26</v>
      </c>
      <c r="AE206" s="91" t="str">
        <f t="shared" ref="AE206:AE225" si="95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6" s="88" t="str">
        <f t="shared" ref="AF206:AF225" si="96"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06" s="1" t="str">
        <f t="shared" ref="AG206:AG225" si="97">IFERROR(IF(VALUE(LEFT(AD206,2))&lt;=2,"EC",IF(OR(VALUE(LEFT(AD206,2))=8,VALUE(LEFT(AD206,2))=18),"NW","Other")),"Other")</f>
        <v>Other</v>
      </c>
      <c r="AH206" s="92" t="str">
        <f t="shared" si="65"/>
        <v>"%USERPROFILE%\Documents\GitHub\eaglep3\Utilities\RefineRTDCRunTimes.py" --tripid 309-26 --locoid 4038 --swversion DE.1.0.8.0 --startMP 204:471 --initTime 2016-11-27T01:13:40 --startdatetime 1969-12-31T17:00:00 --delay 2 --endMP 300:23304 --enddatetime 1969-12-31T17:00:00 --enforcementcount 0 &gt;&gt;C:\Users\stu\Documents\GitHub\eaglep3-reporting\EC\2016-11-26-refined-times.txt</v>
      </c>
      <c r="AI206" s="11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ID","value":"309-26"},{"id":16,"name":"Locomotive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393</v>
      </c>
      <c r="B207" s="7">
        <v>4045</v>
      </c>
      <c r="C207" s="22" t="s">
        <v>216</v>
      </c>
      <c r="D207" s="22" t="s">
        <v>714</v>
      </c>
      <c r="E207" s="13">
        <v>42700.177164351851</v>
      </c>
      <c r="F207" s="13">
        <v>42700.180648148147</v>
      </c>
      <c r="G207" s="7">
        <v>4</v>
      </c>
      <c r="H207" s="22" t="s">
        <v>617</v>
      </c>
      <c r="I207" s="13">
        <v>42700.187604166669</v>
      </c>
      <c r="J207" s="7">
        <v>1</v>
      </c>
      <c r="K207" s="109" t="str">
        <f t="shared" si="83"/>
        <v>4045/4046</v>
      </c>
      <c r="L207" s="22" t="str">
        <f>VLOOKUP(A207,'Trips&amp;Operators'!$C$1:$E$10000,3,FALSE)</f>
        <v>KILLION</v>
      </c>
      <c r="M207" s="6">
        <f t="shared" si="84"/>
        <v>6.9560185220325366E-3</v>
      </c>
      <c r="N207" s="7">
        <f t="shared" si="85"/>
        <v>10.016666671726853</v>
      </c>
      <c r="O207" s="7"/>
      <c r="P207" s="7"/>
      <c r="Q207" s="23"/>
      <c r="R207" s="23"/>
      <c r="S207" s="35">
        <f t="shared" si="86"/>
        <v>1</v>
      </c>
      <c r="T207" s="50" t="str">
        <f t="shared" si="87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03:15:07-700',mode:absolute,to:'2016-11-26 05:30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7" s="52" t="str">
        <f t="shared" si="89"/>
        <v>Y</v>
      </c>
      <c r="X207" s="177">
        <f t="shared" si="90"/>
        <v>1</v>
      </c>
      <c r="Y207" s="67">
        <f t="shared" si="91"/>
        <v>2.3167</v>
      </c>
      <c r="Z207" s="67">
        <f t="shared" si="92"/>
        <v>1.38E-2</v>
      </c>
      <c r="AA207" s="67">
        <f t="shared" si="93"/>
        <v>2.3029000000000002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94"/>
        <v>0310-26</v>
      </c>
      <c r="AE207" s="91" t="str">
        <f t="shared" si="95"/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AF207" s="88" t="str">
        <f t="shared" si="96"/>
        <v>"C:\Program Files (x86)\AstroGrep\AstroGrep.exe" /spath="%USERPROFILE%\AppData\Local\Temp\OnboardLogs" /stypes="app*4045*20161126*" /stext=" 11:.+((SYSTEM_STATE.+slice.+state.+changed )|(ment ac)|(multiple cpu faults)|(system.+state.+changed )|(\[timeout)|(PRM\|1\|D)|(kpr)|(kdp)|(\|lc)|(penalty))" /e /r /s</v>
      </c>
      <c r="AG207" s="1" t="str">
        <f t="shared" si="97"/>
        <v>Other</v>
      </c>
      <c r="AH207" s="92" t="str">
        <f t="shared" ref="AH207:AH225" si="98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310-26 --locoid 4045 --swversion DE.1.0.8.0 --startMP 300:23167 --initTime 2016-11-26T04:15:07 --startdatetime 2016-11-26T04:20:08 --delay 4 --endMP 204:138 --enddatetime 2016-11-26T04:30:09 --enforcementcount 1 &gt;&gt;C:\Users\stu\Documents\GitHub\eaglep3-reporting\EC\2016-11-26-refined-times.txt</v>
      </c>
      <c r="AI207" s="119" t="str">
        <f t="shared" ref="AI207:AI225" si="99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{"issue":{"subject":"","project_id":79,"tracker_id":40,"status_id":1,"priority_id":2,"assigned_to_id":23,"start_date":"2016-11-26","description":"","custom_fields":[{"id":1,"name":"Subdivision","value":"Other"},{"id":4,"name":"Milepost","value":"0.0138"},{"id":17,"name":"Train ID","value":"310-26"},{"id":16,"name":"Locomotive ID","value":"4045"},{"id":130,"name":"Impact","value":""},{"id":150,"name":"Time of Event (Mountain Time)","value":"04:30:09"},{"id":151,"name":"Denver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359</v>
      </c>
      <c r="B208" s="7">
        <v>4014</v>
      </c>
      <c r="C208" s="22" t="s">
        <v>216</v>
      </c>
      <c r="D208" s="22" t="s">
        <v>381</v>
      </c>
      <c r="E208" s="13">
        <v>42700.072511574072</v>
      </c>
      <c r="F208" s="13">
        <v>42700.073819444442</v>
      </c>
      <c r="G208" s="7">
        <v>1</v>
      </c>
      <c r="H208" s="22" t="s">
        <v>322</v>
      </c>
      <c r="I208" s="13">
        <v>42700.080185185187</v>
      </c>
      <c r="J208" s="7">
        <v>0</v>
      </c>
      <c r="K208" s="109" t="str">
        <f t="shared" si="83"/>
        <v>4013/4014</v>
      </c>
      <c r="L208" s="22" t="str">
        <f>VLOOKUP(A208,'Trips&amp;Operators'!$C$1:$E$10000,3,FALSE)</f>
        <v>CHANDLER</v>
      </c>
      <c r="M208" s="6">
        <f t="shared" si="84"/>
        <v>6.3657407445134595E-3</v>
      </c>
      <c r="N208" s="7">
        <f t="shared" si="85"/>
        <v>9.1666666720993817</v>
      </c>
      <c r="O208" s="7"/>
      <c r="P208" s="7"/>
      <c r="Q208" s="23"/>
      <c r="R208" s="23"/>
      <c r="S208" s="35">
        <f t="shared" si="86"/>
        <v>1</v>
      </c>
      <c r="T208" s="50" t="str">
        <f t="shared" si="87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00:44:25-700',mode:absolute,to:'2016-11-26 02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8" s="52" t="str">
        <f t="shared" si="89"/>
        <v>Y</v>
      </c>
      <c r="X208" s="177">
        <f t="shared" si="90"/>
        <v>1</v>
      </c>
      <c r="Y208" s="67">
        <f t="shared" si="91"/>
        <v>5.3699999999999998E-2</v>
      </c>
      <c r="Z208" s="67">
        <f t="shared" si="92"/>
        <v>2.2846000000000002</v>
      </c>
      <c r="AA208" s="67">
        <f t="shared" si="93"/>
        <v>2.2309000000000001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94"/>
        <v>0311-25</v>
      </c>
      <c r="AE208" s="91" t="str">
        <f t="shared" si="95"/>
        <v>aws s3 cp s3://rtdc.mdm.uploadarchive.raw/RTDC4014/ "%USERPROFILE%\AppData\Local\Temp\OnboardLogs"\RTDC4014\2016-11-26 --exclude "*" --recursive --include "*20161126*" &amp; "%USERPROFILE%\Documents\GitHub\mrs-test-scripts\Headless Mode &amp; Sideloading\WalkAndUnGZ.bat" "%USERPROFILE%\AppData\Local\Temp\OnboardLogs"\RTDC4014\2016-11-26 &amp; aws s3 cp s3://rtdc.mdm.uploadarchive.raw/RTDC4014/ "%USERPROFILE%\AppData\Local\Temp\OnboardLogs"\RTDC4014\2016-11-27 --exclude "*" --recursive --include "*20161127*" &amp; "%USERPROFILE%\Documents\GitHub\mrs-test-scripts\Headless Mode &amp; Sideloading\WalkAndUnGZ.bat" "%USERPROFILE%\AppData\Local\Temp\OnboardLogs"\RTDC4014\2016-11-27</v>
      </c>
      <c r="AF208" s="88" t="str">
        <f t="shared" si="96"/>
        <v>"C:\Program Files (x86)\AstroGrep\AstroGrep.exe" /spath="%USERPROFILE%\AppData\Local\Temp\OnboardLogs" /stypes="app*4014*20161126*" /stext=" 08:.+((SYSTEM_STATE.+slice.+state.+changed )|(ment ac)|(multiple cpu faults)|(system.+state.+changed )|(\[timeout)|(PRM\|1\|D)|(kpr)|(kdp)|(\|lc)|(penalty))" /e /r /s</v>
      </c>
      <c r="AG208" s="1" t="str">
        <f t="shared" si="97"/>
        <v>Other</v>
      </c>
      <c r="AH208" s="92" t="str">
        <f t="shared" si="98"/>
        <v>"%USERPROFILE%\Documents\GitHub\eaglep3\Utilities\RefineRTDCRunTimes.py" --tripid 311-25 --locoid 4014 --swversion DE.1.0.8.0 --startMP 204:537 --initTime 2016-11-26T01:44:25 --startdatetime 2016-11-26T01:46:18 --delay 1 --endMP 300:22846 --enddatetime 2016-11-26T01:55:28 --enforcementcount 0 &gt;&gt;C:\Users\stu\Documents\GitHub\eaglep3-reporting\EC\2016-11-26-refined-times.txt</v>
      </c>
      <c r="AI208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{"issue":{"subject":"","project_id":79,"tracker_id":40,"status_id":1,"priority_id":2,"assigned_to_id":23,"start_date":"2016-11-26","description":"","custom_fields":[{"id":1,"name":"Subdivision","value":"Other"},{"id":4,"name":"Milepost","value":"2.2846"},{"id":17,"name":"Train ID","value":"311-25"},{"id":16,"name":"Locomotive ID","value":"4014"},{"id":130,"name":"Impact","value":""},{"id":150,"name":"Time of Event (Mountain Time)","value":"01:55:28"},{"id":151,"name":"Denver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599</v>
      </c>
      <c r="B209" s="7">
        <v>4031</v>
      </c>
      <c r="C209" s="22" t="s">
        <v>216</v>
      </c>
      <c r="D209" s="22" t="s">
        <v>715</v>
      </c>
      <c r="E209" s="13">
        <v>42701.068078703705</v>
      </c>
      <c r="F209" s="13">
        <v>25568.708333333332</v>
      </c>
      <c r="G209" s="7">
        <v>1</v>
      </c>
      <c r="H209" s="22" t="s">
        <v>716</v>
      </c>
      <c r="I209" s="13">
        <v>25568.708333333332</v>
      </c>
      <c r="J209" s="7">
        <v>0</v>
      </c>
      <c r="K209" s="109" t="str">
        <f t="shared" si="83"/>
        <v>4031/4032</v>
      </c>
      <c r="L209" s="22" t="str">
        <f>VLOOKUP(A209,'Trips&amp;Operators'!$C$1:$E$10000,3,FALSE)</f>
        <v>HOLCOMB</v>
      </c>
      <c r="M209" s="6">
        <f t="shared" si="84"/>
        <v>0</v>
      </c>
      <c r="N209" s="7">
        <f t="shared" si="85"/>
        <v>0</v>
      </c>
      <c r="O209" s="7"/>
      <c r="P209" s="7"/>
      <c r="Q209" s="23"/>
      <c r="R209" s="23"/>
      <c r="S209" s="35">
        <f t="shared" si="86"/>
        <v>1</v>
      </c>
      <c r="T209" s="50" t="str">
        <f t="shared" si="87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https://search-rtdc-monitor-bjffxe2xuh6vdkpspy63sjmuny.us-east-1.es.amazonaws.com/_plugin/kibana/#/discover/Steve-Slow-Train-Analysis-(2080s-and-2083s)?_g=(refreshInterval:(display:Off,section:0,value:0),time:(from:'2016-11-27 00:38:02-700',mode:absolute,to:'1969-12-31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9" s="52" t="str">
        <f t="shared" si="89"/>
        <v>Y</v>
      </c>
      <c r="X209" s="177">
        <f t="shared" si="90"/>
        <v>0</v>
      </c>
      <c r="Y209" s="67">
        <f t="shared" si="91"/>
        <v>5.0599999999999999E-2</v>
      </c>
      <c r="Z209" s="67">
        <f t="shared" si="92"/>
        <v>2.3300999999999998</v>
      </c>
      <c r="AA209" s="67">
        <f t="shared" si="93"/>
        <v>2.2794999999999996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94"/>
        <v>0311-26</v>
      </c>
      <c r="AE209" s="91" t="str">
        <f t="shared" si="95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9" s="88" t="str">
        <f t="shared" si="96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9" s="1" t="str">
        <f t="shared" si="97"/>
        <v>Other</v>
      </c>
      <c r="AH209" s="92" t="str">
        <f t="shared" si="98"/>
        <v>"%USERPROFILE%\Documents\GitHub\eaglep3\Utilities\RefineRTDCRunTimes.py" --tripid 311-26 --locoid 4031 --swversion DE.1.0.8.0 --startMP 204:506 --initTime 2016-11-27T01:38:02 --startdatetime 1969-12-31T17:00:00 --delay 1 --endMP 300:23301 --enddatetime 1969-12-31T17:00:00 --enforcementcount 0 &gt;&gt;C:\Users\stu\Documents\GitHub\eaglep3-reporting\EC\2016-11-26-refined-times.txt</v>
      </c>
      <c r="AI209" s="119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ID","value":"311-26"},{"id":16,"name":"Locomotive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361</v>
      </c>
      <c r="B210" s="7">
        <v>4042</v>
      </c>
      <c r="C210" s="22" t="s">
        <v>216</v>
      </c>
      <c r="D210" s="22" t="s">
        <v>239</v>
      </c>
      <c r="E210" s="13">
        <v>42700.086967592593</v>
      </c>
      <c r="F210" s="13">
        <v>42700.088865740741</v>
      </c>
      <c r="G210" s="7">
        <v>1</v>
      </c>
      <c r="H210" s="22" t="s">
        <v>382</v>
      </c>
      <c r="I210" s="13">
        <v>42700.089039351849</v>
      </c>
      <c r="J210" s="7">
        <v>0</v>
      </c>
      <c r="K210" s="109" t="str">
        <f t="shared" si="83"/>
        <v>4041/4042</v>
      </c>
      <c r="L210" s="22" t="str">
        <f>VLOOKUP(A210,'Trips&amp;Operators'!$C$1:$E$10000,3,FALSE)</f>
        <v>STAMBAUGH</v>
      </c>
      <c r="M210" s="6">
        <f t="shared" si="84"/>
        <v>1.7361110803904012E-4</v>
      </c>
      <c r="N210" s="7">
        <f t="shared" si="85"/>
        <v>0.24999999557621777</v>
      </c>
      <c r="O210" s="7"/>
      <c r="P210" s="7"/>
      <c r="Q210" s="23"/>
      <c r="R210" s="23"/>
      <c r="S210" s="35">
        <f t="shared" si="86"/>
        <v>0</v>
      </c>
      <c r="T210" s="50" t="str">
        <f t="shared" si="87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01:05:14-700',mode:absolute,to:'2016-11-26 03:08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0" s="52" t="str">
        <f t="shared" si="89"/>
        <v>Y</v>
      </c>
      <c r="X210" s="177">
        <f t="shared" si="90"/>
        <v>2</v>
      </c>
      <c r="Y210" s="67">
        <f t="shared" si="91"/>
        <v>4.6600000000000003E-2</v>
      </c>
      <c r="Z210" s="67">
        <f t="shared" si="92"/>
        <v>0.14349999999999999</v>
      </c>
      <c r="AA210" s="67">
        <f t="shared" si="93"/>
        <v>9.6899999999999986E-2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94"/>
        <v>0313-25</v>
      </c>
      <c r="AE210" s="91" t="str">
        <f t="shared" si="95"/>
        <v>aws s3 cp s3://rtdc.mdm.uploadarchive.raw/RTDC4042/ "%USERPROFILE%\AppData\Local\Temp\OnboardLogs"\RTDC4042\2016-11-26 --exclude "*" --recursive --include "*20161126*" &amp; "%USERPROFILE%\Documents\GitHub\mrs-test-scripts\Headless Mode &amp; Sideloading\WalkAndUnGZ.bat" "%USERPROFILE%\AppData\Local\Temp\OnboardLogs"\RTDC4042\2016-11-26 &amp; aws s3 cp s3://rtdc.mdm.uploadarchive.raw/RTDC4042/ "%USERPROFILE%\AppData\Local\Temp\OnboardLogs"\RTDC4042\2016-11-27 --exclude "*" --recursive --include "*20161127*" &amp; "%USERPROFILE%\Documents\GitHub\mrs-test-scripts\Headless Mode &amp; Sideloading\WalkAndUnGZ.bat" "%USERPROFILE%\AppData\Local\Temp\OnboardLogs"\RTDC4042\2016-11-27</v>
      </c>
      <c r="AF210" s="88" t="str">
        <f t="shared" si="96"/>
        <v>"C:\Program Files (x86)\AstroGrep\AstroGrep.exe" /spath="%USERPROFILE%\AppData\Local\Temp\OnboardLogs" /stypes="app*4042*20161126*" /stext=" 09:.+((SYSTEM_STATE.+slice.+state.+changed )|(ment ac)|(multiple cpu faults)|(system.+state.+changed )|(\[timeout)|(PRM\|1\|D)|(kpr)|(kdp)|(\|lc)|(penalty))" /e /r /s</v>
      </c>
      <c r="AG210" s="1" t="str">
        <f t="shared" si="97"/>
        <v>Other</v>
      </c>
      <c r="AH210" s="92" t="str">
        <f t="shared" si="98"/>
        <v>"%USERPROFILE%\Documents\GitHub\eaglep3\Utilities\RefineRTDCRunTimes.py" --tripid 313-25 --locoid 4042 --swversion DE.1.0.8.0 --startMP 204:466 --initTime 2016-11-26T02:05:14 --startdatetime 2016-11-26T02:07:58 --delay 1 --endMP 204:1435 --enddatetime 2016-11-26T02:08:13 --enforcementcount 0 &gt;&gt;C:\Users\stu\Documents\GitHub\eaglep3-reporting\EC\2016-11-26-refined-times.txt</v>
      </c>
      <c r="AI210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{"issue":{"subject":"","project_id":79,"tracker_id":40,"status_id":1,"priority_id":2,"assigned_to_id":23,"start_date":"2016-11-26","description":"","custom_fields":[{"id":1,"name":"Subdivision","value":"Other"},{"id":4,"name":"Milepost","value":"0.1435"},{"id":17,"name":"Train ID","value":"313-25"},{"id":16,"name":"Locomotive ID","value":"4042"},{"id":130,"name":"Impact","value":""},{"id":150,"name":"Time of Event (Mountain Time)","value":"02:08:13"},{"id":151,"name":"Denver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362</v>
      </c>
      <c r="B211" s="7">
        <v>4040</v>
      </c>
      <c r="C211" s="22" t="s">
        <v>216</v>
      </c>
      <c r="D211" s="22" t="s">
        <v>197</v>
      </c>
      <c r="E211" s="13">
        <v>42700.11078703704</v>
      </c>
      <c r="F211" s="13">
        <v>25568.708333333332</v>
      </c>
      <c r="G211" s="7">
        <v>1</v>
      </c>
      <c r="H211" s="22" t="s">
        <v>383</v>
      </c>
      <c r="I211" s="13">
        <v>25568.708333333332</v>
      </c>
      <c r="J211" s="7">
        <v>0</v>
      </c>
      <c r="K211" s="109" t="str">
        <f t="shared" si="83"/>
        <v>4039/4040</v>
      </c>
      <c r="L211" s="22" t="str">
        <f>VLOOKUP(A211,'Trips&amp;Operators'!$C$1:$E$10000,3,FALSE)</f>
        <v>DAVIDSON</v>
      </c>
      <c r="M211" s="6">
        <f t="shared" si="84"/>
        <v>0</v>
      </c>
      <c r="N211" s="7">
        <f t="shared" si="85"/>
        <v>0</v>
      </c>
      <c r="O211" s="7"/>
      <c r="P211" s="7"/>
      <c r="Q211" s="23"/>
      <c r="R211" s="23"/>
      <c r="S211" s="35">
        <f t="shared" si="86"/>
        <v>1</v>
      </c>
      <c r="T211" s="50" t="str">
        <f t="shared" si="87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01:39:32-700',mode:absolute,to:'1969-12-31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1" s="52" t="str">
        <f t="shared" si="89"/>
        <v>Y</v>
      </c>
      <c r="X211" s="177">
        <f t="shared" si="90"/>
        <v>2</v>
      </c>
      <c r="Y211" s="67">
        <f t="shared" si="91"/>
        <v>4.4699999999999997E-2</v>
      </c>
      <c r="Z211" s="67">
        <f t="shared" si="92"/>
        <v>2.3346</v>
      </c>
      <c r="AA211" s="67">
        <f t="shared" si="93"/>
        <v>2.2898999999999998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94"/>
        <v>0315-25</v>
      </c>
      <c r="AE211" s="91" t="str">
        <f t="shared" si="95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1" s="88" t="str">
        <f t="shared" si="96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11" s="1" t="str">
        <f t="shared" si="97"/>
        <v>Other</v>
      </c>
      <c r="AH211" s="92" t="str">
        <f t="shared" si="98"/>
        <v>"%USERPROFILE%\Documents\GitHub\eaglep3\Utilities\RefineRTDCRunTimes.py" --tripid 315-25 --locoid 4040 --swversion DE.1.0.8.0 --startMP 204:447 --initTime 2016-11-26T02:39:32 --startdatetime 1969-12-31T17:00:00 --delay 1 --endMP 300:23346 --enddatetime 1969-12-31T17:00:00 --enforcementcount 0 &gt;&gt;C:\Users\stu\Documents\GitHub\eaglep3-reporting\EC\2016-11-26-refined-times.txt</v>
      </c>
      <c r="AI211" s="119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ID","value":"315-25"},{"id":16,"name":"Locomotive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601</v>
      </c>
      <c r="B212" s="7">
        <v>4029</v>
      </c>
      <c r="C212" s="22" t="s">
        <v>216</v>
      </c>
      <c r="D212" s="22" t="s">
        <v>198</v>
      </c>
      <c r="E212" s="13">
        <v>42701.108819444446</v>
      </c>
      <c r="F212" s="13">
        <v>25568.708333333332</v>
      </c>
      <c r="G212" s="7">
        <v>1</v>
      </c>
      <c r="H212" s="22" t="s">
        <v>717</v>
      </c>
      <c r="I212" s="13">
        <v>25568.708333333332</v>
      </c>
      <c r="J212" s="7">
        <v>0</v>
      </c>
      <c r="K212" s="109" t="str">
        <f t="shared" si="83"/>
        <v>4029/4030</v>
      </c>
      <c r="L212" s="22" t="str">
        <f>VLOOKUP(A212,'Trips&amp;Operators'!$C$1:$E$10000,3,FALSE)</f>
        <v>LEVIN</v>
      </c>
      <c r="M212" s="6">
        <f t="shared" si="84"/>
        <v>0</v>
      </c>
      <c r="N212" s="7">
        <f t="shared" si="85"/>
        <v>0</v>
      </c>
      <c r="O212" s="7"/>
      <c r="P212" s="7"/>
      <c r="Q212" s="23"/>
      <c r="R212" s="23"/>
      <c r="S212" s="35">
        <f t="shared" si="86"/>
        <v>1</v>
      </c>
      <c r="T212" s="50" t="str">
        <f t="shared" si="87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https://search-rtdc-monitor-bjffxe2xuh6vdkpspy63sjmuny.us-east-1.es.amazonaws.com/_plugin/kibana/#/discover/Steve-Slow-Train-Analysis-(2080s-and-2083s)?_g=(refreshInterval:(display:Off,section:0,value:0),time:(from:'2016-11-27 01:36:42-700',mode:absolute,to:'1969-12-31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2" s="52" t="str">
        <f t="shared" si="89"/>
        <v>Y</v>
      </c>
      <c r="X212" s="177">
        <f t="shared" si="90"/>
        <v>0</v>
      </c>
      <c r="Y212" s="67">
        <f t="shared" si="91"/>
        <v>4.53E-2</v>
      </c>
      <c r="Z212" s="67">
        <f t="shared" si="92"/>
        <v>2.3294999999999999</v>
      </c>
      <c r="AA212" s="67">
        <f t="shared" si="93"/>
        <v>2.2841999999999998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94"/>
        <v>0315-26</v>
      </c>
      <c r="AE212" s="91" t="str">
        <f t="shared" si="95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2" s="88" t="str">
        <f t="shared" si="96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2" s="1" t="str">
        <f t="shared" si="97"/>
        <v>Other</v>
      </c>
      <c r="AH212" s="92" t="str">
        <f t="shared" si="98"/>
        <v>"%USERPROFILE%\Documents\GitHub\eaglep3\Utilities\RefineRTDCRunTimes.py" --tripid 315-26 --locoid 4029 --swversion DE.1.0.8.0 --startMP 204:453 --initTime 2016-11-27T02:36:42 --startdatetime 1969-12-31T17:00:00 --delay 1 --endMP 300:23295 --enddatetime 1969-12-31T17:00:00 --enforcementcount 0 &gt;&gt;C:\Users\stu\Documents\GitHub\eaglep3-reporting\EC\2016-11-26-refined-times.txt</v>
      </c>
      <c r="AI212" s="119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ID","value":"315-26"},{"id":16,"name":"Locomotive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419</v>
      </c>
      <c r="B213" s="7">
        <v>4051</v>
      </c>
      <c r="C213" s="22" t="s">
        <v>216</v>
      </c>
      <c r="D213" s="22" t="s">
        <v>718</v>
      </c>
      <c r="E213" s="13">
        <v>42700.863333333335</v>
      </c>
      <c r="F213" s="13">
        <v>42700.865312499998</v>
      </c>
      <c r="G213" s="7">
        <v>1</v>
      </c>
      <c r="H213" s="22" t="s">
        <v>719</v>
      </c>
      <c r="I213" s="13">
        <v>42700.880474537036</v>
      </c>
      <c r="J213" s="7">
        <v>0</v>
      </c>
      <c r="K213" s="109" t="str">
        <f t="shared" si="83"/>
        <v>4051/4052</v>
      </c>
      <c r="L213" s="22" t="str">
        <f>VLOOKUP(A213,'Trips&amp;Operators'!$C$1:$E$10000,3,FALSE)</f>
        <v>WHITED</v>
      </c>
      <c r="M213" s="6">
        <f t="shared" si="84"/>
        <v>1.5162037037953269E-2</v>
      </c>
      <c r="N213" s="7">
        <f t="shared" si="85"/>
        <v>21.833333334652707</v>
      </c>
      <c r="O213" s="7"/>
      <c r="P213" s="7"/>
      <c r="Q213" s="23"/>
      <c r="R213" s="23"/>
      <c r="S213" s="35">
        <f t="shared" si="86"/>
        <v>0</v>
      </c>
      <c r="T213" s="50" t="e">
        <f t="shared" si="87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19:43:12-700',mode:absolute,to:'2016-11-26 22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3" s="52" t="str">
        <f t="shared" si="89"/>
        <v>N</v>
      </c>
      <c r="X213" s="177" t="e">
        <f t="shared" si="90"/>
        <v>#VALUE!</v>
      </c>
      <c r="Y213" s="67">
        <f t="shared" si="91"/>
        <v>1.0528</v>
      </c>
      <c r="Z213" s="67">
        <f t="shared" si="92"/>
        <v>12.916700000000001</v>
      </c>
      <c r="AA213" s="67">
        <f t="shared" si="93"/>
        <v>11.863900000000001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94"/>
        <v>65-26</v>
      </c>
      <c r="AE213" s="91" t="str">
        <f t="shared" si="95"/>
        <v>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 &amp; 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</v>
      </c>
      <c r="AF213" s="88" t="str">
        <f t="shared" si="96"/>
        <v>"C:\Program Files (x86)\AstroGrep\AstroGrep.exe" /spath="%USERPROFILE%\AppData\Local\Temp\OnboardLogs" /stypes="app*4051*20161127*" /stext=" 04:.+((SYSTEM_STATE.+slice.+state.+changed )|(ment ac)|(multiple cpu faults)|(system.+state.+changed )|(\[timeout)|(PRM\|1\|D)|(kpr)|(kdp)|(\|lc)|(penalty))" /e /r /s</v>
      </c>
      <c r="AG213" s="1" t="str">
        <f t="shared" si="97"/>
        <v>Other</v>
      </c>
      <c r="AH213" s="92" t="str">
        <f t="shared" si="98"/>
        <v>"%USERPROFILE%\Documents\GitHub\eaglep3\Utilities\RefineRTDCRunTimes.py" --tripid 65-26 --locoid 4051 --swversion DE.1.0.8.0 --startMP 204:10528 --initTime 2016-11-26T20:43:12 --startdatetime 2016-11-26T20:46:03 --delay 1 --endMP 204:129167 --enddatetime 2016-11-26T21:07:53 --enforcementcount 0 &gt;&gt;C:\Users\stu\Documents\GitHub\eaglep3-reporting\EC\2016-11-26-refined-times.txt</v>
      </c>
      <c r="AI213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{"issue":{"subject":"","project_id":79,"tracker_id":40,"status_id":1,"priority_id":2,"assigned_to_id":23,"start_date":"2016-11-26","description":"","custom_fields":[{"id":1,"name":"Subdivision","value":"Other"},{"id":4,"name":"Milepost","value":"12.9167"},{"id":17,"name":"Train ID","value":"65-26"},{"id":16,"name":"Locomotive ID","value":"4051"},{"id":130,"name":"Impact","value":""},{"id":150,"name":"Time of Event (Mountain Time)","value":"21:07:53"},{"id":151,"name":"Denver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419</v>
      </c>
      <c r="B214" s="7">
        <v>4051</v>
      </c>
      <c r="C214" s="22" t="s">
        <v>216</v>
      </c>
      <c r="D214" s="22" t="s">
        <v>720</v>
      </c>
      <c r="E214" s="13">
        <v>42700.903865740744</v>
      </c>
      <c r="F214" s="13">
        <v>42700.905601851853</v>
      </c>
      <c r="G214" s="7">
        <v>1</v>
      </c>
      <c r="H214" s="22" t="s">
        <v>721</v>
      </c>
      <c r="I214" s="13">
        <v>42700.9216087963</v>
      </c>
      <c r="J214" s="7">
        <v>1</v>
      </c>
      <c r="K214" s="109" t="str">
        <f t="shared" si="83"/>
        <v>4051/4052</v>
      </c>
      <c r="L214" s="22" t="str">
        <f>VLOOKUP(A214,'Trips&amp;Operators'!$C$1:$E$10000,3,FALSE)</f>
        <v>WHITED</v>
      </c>
      <c r="M214" s="6">
        <f t="shared" si="84"/>
        <v>1.6006944446417037E-2</v>
      </c>
      <c r="N214" s="7">
        <f t="shared" si="85"/>
        <v>23.050000002840534</v>
      </c>
      <c r="O214" s="7"/>
      <c r="P214" s="7"/>
      <c r="Q214" s="23"/>
      <c r="R214" s="23"/>
      <c r="S214" s="35">
        <f t="shared" si="86"/>
        <v>0</v>
      </c>
      <c r="T214" s="50" t="e">
        <f t="shared" si="87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20:41:34-700',mode:absolute,to:'2016-11-26 23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4" s="52" t="str">
        <f t="shared" si="89"/>
        <v>N</v>
      </c>
      <c r="X214" s="177" t="e">
        <f t="shared" si="90"/>
        <v>#VALUE!</v>
      </c>
      <c r="Y214" s="67">
        <f t="shared" si="91"/>
        <v>1.0542</v>
      </c>
      <c r="Z214" s="67">
        <f t="shared" si="92"/>
        <v>12.915800000000001</v>
      </c>
      <c r="AA214" s="67">
        <f t="shared" si="93"/>
        <v>11.861600000000001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94"/>
        <v>65-26</v>
      </c>
      <c r="AE214" s="91" t="str">
        <f t="shared" si="95"/>
        <v>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 &amp; 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</v>
      </c>
      <c r="AF214" s="88" t="str">
        <f t="shared" si="96"/>
        <v>"C:\Program Files (x86)\AstroGrep\AstroGrep.exe" /spath="%USERPROFILE%\AppData\Local\Temp\OnboardLogs" /stypes="app*4051*20161127*" /stext=" 05:.+((SYSTEM_STATE.+slice.+state.+changed )|(ment ac)|(multiple cpu faults)|(system.+state.+changed )|(\[timeout)|(PRM\|1\|D)|(kpr)|(kdp)|(\|lc)|(penalty))" /e /r /s</v>
      </c>
      <c r="AG214" s="1" t="str">
        <f t="shared" si="97"/>
        <v>Other</v>
      </c>
      <c r="AH214" s="92" t="str">
        <f t="shared" si="98"/>
        <v>"%USERPROFILE%\Documents\GitHub\eaglep3\Utilities\RefineRTDCRunTimes.py" --tripid 65-26 --locoid 4051 --swversion DE.1.0.8.0 --startMP 204:10542 --initTime 2016-11-26T21:41:34 --startdatetime 2016-11-26T21:44:04 --delay 1 --endMP 204:129158 --enddatetime 2016-11-26T22:07:07 --enforcementcount 1 &gt;&gt;C:\Users\stu\Documents\GitHub\eaglep3-reporting\EC\2016-11-26-refined-times.txt</v>
      </c>
      <c r="AI214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{"issue":{"subject":"","project_id":79,"tracker_id":40,"status_id":1,"priority_id":2,"assigned_to_id":23,"start_date":"2016-11-26","description":"","custom_fields":[{"id":1,"name":"Subdivision","value":"Other"},{"id":4,"name":"Milepost","value":"12.9158"},{"id":17,"name":"Train ID","value":"65-26"},{"id":16,"name":"Locomotive ID","value":"4051"},{"id":130,"name":"Impact","value":""},{"id":150,"name":"Time of Event (Mountain Time)","value":"22:07:07"},{"id":151,"name":"Denver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419</v>
      </c>
      <c r="B215" s="7">
        <v>4051</v>
      </c>
      <c r="C215" s="22" t="s">
        <v>216</v>
      </c>
      <c r="D215" s="22" t="s">
        <v>722</v>
      </c>
      <c r="E215" s="13">
        <v>42700.810243055559</v>
      </c>
      <c r="F215" s="13">
        <v>42700.818171296298</v>
      </c>
      <c r="G215" s="7">
        <v>1</v>
      </c>
      <c r="H215" s="22" t="s">
        <v>723</v>
      </c>
      <c r="I215" s="13">
        <v>42700.835115740738</v>
      </c>
      <c r="J215" s="7">
        <v>0</v>
      </c>
      <c r="K215" s="109" t="str">
        <f t="shared" si="83"/>
        <v>4051/4052</v>
      </c>
      <c r="L215" s="22" t="str">
        <f>VLOOKUP(A215,'Trips&amp;Operators'!$C$1:$E$10000,3,FALSE)</f>
        <v>WHITED</v>
      </c>
      <c r="M215" s="6">
        <f t="shared" si="84"/>
        <v>1.6944444440014195E-2</v>
      </c>
      <c r="N215" s="7">
        <f t="shared" si="85"/>
        <v>24.39999999362044</v>
      </c>
      <c r="O215" s="7"/>
      <c r="P215" s="7"/>
      <c r="Q215" s="23"/>
      <c r="R215" s="23"/>
      <c r="S215" s="35">
        <f t="shared" si="86"/>
        <v>0</v>
      </c>
      <c r="T215" s="50" t="e">
        <f t="shared" si="87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18:26:45-700',mode:absolute,to:'2016-11-26 21:02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5" s="52" t="str">
        <f t="shared" si="89"/>
        <v>N</v>
      </c>
      <c r="X215" s="177" t="e">
        <f t="shared" si="90"/>
        <v>#VALUE!</v>
      </c>
      <c r="Y215" s="67">
        <f t="shared" si="91"/>
        <v>0.15049999999999999</v>
      </c>
      <c r="Z215" s="67">
        <f t="shared" si="92"/>
        <v>12.895</v>
      </c>
      <c r="AA215" s="67">
        <f t="shared" si="93"/>
        <v>12.7445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94"/>
        <v>65-26</v>
      </c>
      <c r="AE215" s="91" t="str">
        <f t="shared" si="95"/>
        <v>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 &amp; 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</v>
      </c>
      <c r="AF215" s="88" t="str">
        <f t="shared" si="96"/>
        <v>"C:\Program Files (x86)\AstroGrep\AstroGrep.exe" /spath="%USERPROFILE%\AppData\Local\Temp\OnboardLogs" /stypes="app*4051*20161127*" /stext=" 03:.+((SYSTEM_STATE.+slice.+state.+changed )|(ment ac)|(multiple cpu faults)|(system.+state.+changed )|(\[timeout)|(PRM\|1\|D)|(kpr)|(kdp)|(\|lc)|(penalty))" /e /r /s</v>
      </c>
      <c r="AG215" s="1" t="str">
        <f t="shared" si="97"/>
        <v>Other</v>
      </c>
      <c r="AH215" s="92" t="str">
        <f t="shared" si="98"/>
        <v>"%USERPROFILE%\Documents\GitHub\eaglep3\Utilities\RefineRTDCRunTimes.py" --tripid 65-26 --locoid 4051 --swversion DE.1.0.8.0 --startMP 204:1505 --initTime 2016-11-26T19:26:45 --startdatetime 2016-11-26T19:38:10 --delay 1 --endMP 204:128950 --enddatetime 2016-11-26T20:02:34 --enforcementcount 0 &gt;&gt;C:\Users\stu\Documents\GitHub\eaglep3-reporting\EC\2016-11-26-refined-times.txt</v>
      </c>
      <c r="AI215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{"issue":{"subject":"","project_id":79,"tracker_id":40,"status_id":1,"priority_id":2,"assigned_to_id":23,"start_date":"2016-11-26","description":"","custom_fields":[{"id":1,"name":"Subdivision","value":"Other"},{"id":4,"name":"Milepost","value":"12.895"},{"id":17,"name":"Train ID","value":"65-26"},{"id":16,"name":"Locomotive ID","value":"4051"},{"id":130,"name":"Impact","value":""},{"id":150,"name":"Time of Event (Mountain Time)","value":"20:02:34"},{"id":151,"name":"Denver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419</v>
      </c>
      <c r="B216" s="7">
        <v>4051</v>
      </c>
      <c r="C216" s="22" t="s">
        <v>216</v>
      </c>
      <c r="D216" s="22" t="s">
        <v>256</v>
      </c>
      <c r="E216" s="13">
        <v>42700.953993055555</v>
      </c>
      <c r="F216" s="13">
        <v>42700.956909722219</v>
      </c>
      <c r="G216" s="7">
        <v>1</v>
      </c>
      <c r="H216" s="22" t="s">
        <v>724</v>
      </c>
      <c r="I216" s="13">
        <v>42700.96365740741</v>
      </c>
      <c r="J216" s="7">
        <v>0</v>
      </c>
      <c r="K216" s="109" t="str">
        <f t="shared" si="83"/>
        <v>4051/4052</v>
      </c>
      <c r="L216" s="22" t="str">
        <f>VLOOKUP(A216,'Trips&amp;Operators'!$C$1:$E$10000,3,FALSE)</f>
        <v>WHITED</v>
      </c>
      <c r="M216" s="6">
        <f t="shared" si="84"/>
        <v>6.7476851909304969E-3</v>
      </c>
      <c r="N216" s="7">
        <f t="shared" si="85"/>
        <v>9.7166666749399155</v>
      </c>
      <c r="O216" s="7"/>
      <c r="P216" s="7"/>
      <c r="Q216" s="23"/>
      <c r="R216" s="23"/>
      <c r="S216" s="35">
        <f t="shared" si="86"/>
        <v>0</v>
      </c>
      <c r="T216" s="50" t="e">
        <f t="shared" si="87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21:53:45-700',mode:absolute,to:'2016-11-27 00:07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6" s="52" t="str">
        <f t="shared" si="89"/>
        <v>Y</v>
      </c>
      <c r="X216" s="177" t="e">
        <f t="shared" si="90"/>
        <v>#VALUE!</v>
      </c>
      <c r="Y216" s="67">
        <f t="shared" si="91"/>
        <v>4.5499999999999999E-2</v>
      </c>
      <c r="Z216" s="67">
        <f t="shared" si="92"/>
        <v>3.1349</v>
      </c>
      <c r="AA216" s="67">
        <f t="shared" si="93"/>
        <v>3.0893999999999999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94"/>
        <v>65-26</v>
      </c>
      <c r="AE216" s="91" t="str">
        <f t="shared" si="95"/>
        <v>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 &amp; 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</v>
      </c>
      <c r="AF216" s="88" t="str">
        <f t="shared" si="96"/>
        <v>"C:\Program Files (x86)\AstroGrep\AstroGrep.exe" /spath="%USERPROFILE%\AppData\Local\Temp\OnboardLogs" /stypes="app*4051*20161127*" /stext=" 06:.+((SYSTEM_STATE.+slice.+state.+changed )|(ment ac)|(multiple cpu faults)|(system.+state.+changed )|(\[timeout)|(PRM\|1\|D)|(kpr)|(kdp)|(\|lc)|(penalty))" /e /r /s</v>
      </c>
      <c r="AG216" s="1" t="str">
        <f t="shared" si="97"/>
        <v>Other</v>
      </c>
      <c r="AH216" s="92" t="str">
        <f t="shared" si="98"/>
        <v>"%USERPROFILE%\Documents\GitHub\eaglep3\Utilities\RefineRTDCRunTimes.py" --tripid 65-26 --locoid 4051 --swversion DE.1.0.8.0 --startMP 204:455 --initTime 2016-11-26T22:53:45 --startdatetime 2016-11-26T22:57:57 --delay 1 --endMP 300:31349 --enddatetime 2016-11-26T23:07:40 --enforcementcount 0 &gt;&gt;C:\Users\stu\Documents\GitHub\eaglep3-reporting\EC\2016-11-26-refined-times.txt</v>
      </c>
      <c r="AI216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{"issue":{"subject":"","project_id":79,"tracker_id":40,"status_id":1,"priority_id":2,"assigned_to_id":23,"start_date":"2016-11-26","description":"","custom_fields":[{"id":1,"name":"Subdivision","value":"Other"},{"id":4,"name":"Milepost","value":"3.1349"},{"id":17,"name":"Train ID","value":"65-26"},{"id":16,"name":"Locomotive ID","value":"4051"},{"id":130,"name":"Impact","value":""},{"id":150,"name":"Time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416</v>
      </c>
      <c r="B217" s="7">
        <v>4052</v>
      </c>
      <c r="C217" s="22" t="s">
        <v>216</v>
      </c>
      <c r="D217" s="22" t="s">
        <v>725</v>
      </c>
      <c r="E217" s="13">
        <v>42700.836967592593</v>
      </c>
      <c r="F217" s="13">
        <v>42700.886458333334</v>
      </c>
      <c r="G217" s="7">
        <v>5</v>
      </c>
      <c r="H217" s="22" t="s">
        <v>726</v>
      </c>
      <c r="I217" s="13">
        <v>42700.902060185188</v>
      </c>
      <c r="J217" s="7">
        <v>1</v>
      </c>
      <c r="K217" s="109" t="str">
        <f t="shared" si="83"/>
        <v>4051/4052</v>
      </c>
      <c r="L217" s="22" t="str">
        <f>VLOOKUP(A217,'Trips&amp;Operators'!$C$1:$E$10000,3,FALSE)</f>
        <v>WHITED</v>
      </c>
      <c r="M217" s="6">
        <f t="shared" si="84"/>
        <v>1.5601851853716653E-2</v>
      </c>
      <c r="N217" s="7">
        <f t="shared" si="85"/>
        <v>22.46666666935198</v>
      </c>
      <c r="O217" s="7"/>
      <c r="P217" s="7"/>
      <c r="Q217" s="23"/>
      <c r="R217" s="23"/>
      <c r="S217" s="35">
        <f t="shared" si="86"/>
        <v>0</v>
      </c>
      <c r="T217" s="50" t="e">
        <f t="shared" si="87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19:05:14-700',mode:absolute,to:'2016-11-26 22:38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7" s="52" t="str">
        <f t="shared" si="89"/>
        <v>N</v>
      </c>
      <c r="X217" s="177" t="e">
        <f t="shared" si="90"/>
        <v>#VALUE!</v>
      </c>
      <c r="Y217" s="67">
        <f t="shared" si="91"/>
        <v>12.8568</v>
      </c>
      <c r="Z217" s="67">
        <f t="shared" si="92"/>
        <v>1.0294000000000001</v>
      </c>
      <c r="AA217" s="67">
        <f t="shared" si="93"/>
        <v>11.827399999999999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94"/>
        <v>66-26</v>
      </c>
      <c r="AE217" s="91" t="str">
        <f t="shared" si="95"/>
        <v>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 &amp; 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</v>
      </c>
      <c r="AF217" s="88" t="str">
        <f t="shared" si="96"/>
        <v>"C:\Program Files (x86)\AstroGrep\AstroGrep.exe" /spath="%USERPROFILE%\AppData\Local\Temp\OnboardLogs" /stypes="app*4052*20161127*" /stext=" 04:.+((SYSTEM_STATE.+slice.+state.+changed )|(ment ac)|(multiple cpu faults)|(system.+state.+changed )|(\[timeout)|(PRM\|1\|D)|(kpr)|(kdp)|(\|lc)|(penalty))" /e /r /s</v>
      </c>
      <c r="AG217" s="1" t="str">
        <f t="shared" si="97"/>
        <v>Other</v>
      </c>
      <c r="AH217" s="92" t="str">
        <f t="shared" si="98"/>
        <v>"%USERPROFILE%\Documents\GitHub\eaglep3\Utilities\RefineRTDCRunTimes.py" --tripid 66-26 --locoid 4052 --swversion DE.1.0.8.0 --startMP 204:128568 --initTime 2016-11-26T20:05:14 --startdatetime 2016-11-26T21:16:30 --delay 5 --endMP 204:10294 --enddatetime 2016-11-26T21:38:58 --enforcementcount 1 &gt;&gt;C:\Users\stu\Documents\GitHub\eaglep3-reporting\EC\2016-11-26-refined-times.txt</v>
      </c>
      <c r="AI217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{"issue":{"subject":"","project_id":79,"tracker_id":40,"status_id":1,"priority_id":2,"assigned_to_id":23,"start_date":"2016-11-26","description":"","custom_fields":[{"id":1,"name":"Subdivision","value":"Other"},{"id":4,"name":"Milepost","value":"1.0294"},{"id":17,"name":"Train ID","value":"66-26"},{"id":16,"name":"Locomotive ID","value":"4052"},{"id":130,"name":"Impact","value":""},{"id":150,"name":"Time of Event (Mountain Time)","value":"21:38:58"},{"id":151,"name":"Denver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416</v>
      </c>
      <c r="B218" s="7">
        <v>4052</v>
      </c>
      <c r="C218" s="22" t="s">
        <v>216</v>
      </c>
      <c r="D218" s="22" t="s">
        <v>727</v>
      </c>
      <c r="E218" s="13">
        <v>42700.836967592593</v>
      </c>
      <c r="F218" s="13">
        <v>42700.886458333334</v>
      </c>
      <c r="G218" s="7">
        <v>1</v>
      </c>
      <c r="H218" s="22" t="s">
        <v>726</v>
      </c>
      <c r="I218" s="13">
        <v>42700.902060185188</v>
      </c>
      <c r="J218" s="7">
        <v>1</v>
      </c>
      <c r="K218" s="109" t="str">
        <f t="shared" si="83"/>
        <v>4051/4052</v>
      </c>
      <c r="L218" s="22" t="str">
        <f>VLOOKUP(A218,'Trips&amp;Operators'!$C$1:$E$10000,3,FALSE)</f>
        <v>WHITED</v>
      </c>
      <c r="M218" s="6">
        <f t="shared" si="84"/>
        <v>1.5601851853716653E-2</v>
      </c>
      <c r="N218" s="7">
        <f t="shared" si="85"/>
        <v>22.46666666935198</v>
      </c>
      <c r="O218" s="7"/>
      <c r="P218" s="7"/>
      <c r="Q218" s="23"/>
      <c r="R218" s="23"/>
      <c r="S218" s="35">
        <f t="shared" si="86"/>
        <v>0</v>
      </c>
      <c r="T218" s="50" t="e">
        <f t="shared" si="87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19:05:14-700',mode:absolute,to:'2016-11-26 22:38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8" s="52" t="str">
        <f t="shared" si="89"/>
        <v>N</v>
      </c>
      <c r="X218" s="177" t="e">
        <f t="shared" si="90"/>
        <v>#VALUE!</v>
      </c>
      <c r="Y218" s="67">
        <f t="shared" si="91"/>
        <v>12.856999999999999</v>
      </c>
      <c r="Z218" s="67">
        <f t="shared" si="92"/>
        <v>1.0294000000000001</v>
      </c>
      <c r="AA218" s="67">
        <f t="shared" si="93"/>
        <v>11.827599999999999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94"/>
        <v>66-26</v>
      </c>
      <c r="AE218" s="91" t="str">
        <f t="shared" si="95"/>
        <v>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 &amp; 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</v>
      </c>
      <c r="AF218" s="88" t="str">
        <f t="shared" si="96"/>
        <v>"C:\Program Files (x86)\AstroGrep\AstroGrep.exe" /spath="%USERPROFILE%\AppData\Local\Temp\OnboardLogs" /stypes="app*4052*20161127*" /stext=" 04:.+((SYSTEM_STATE.+slice.+state.+changed )|(ment ac)|(multiple cpu faults)|(system.+state.+changed )|(\[timeout)|(PRM\|1\|D)|(kpr)|(kdp)|(\|lc)|(penalty))" /e /r /s</v>
      </c>
      <c r="AG218" s="1" t="str">
        <f t="shared" si="97"/>
        <v>Other</v>
      </c>
      <c r="AH218" s="92" t="str">
        <f t="shared" si="98"/>
        <v>"%USERPROFILE%\Documents\GitHub\eaglep3\Utilities\RefineRTDCRunTimes.py" --tripid 66-26 --locoid 4052 --swversion DE.1.0.8.0 --startMP 204:128570 --initTime 2016-11-26T20:05:14 --startdatetime 2016-11-26T21:16:30 --delay 1 --endMP 204:10294 --enddatetime 2016-11-26T21:38:58 --enforcementcount 1 &gt;&gt;C:\Users\stu\Documents\GitHub\eaglep3-reporting\EC\2016-11-26-refined-times.txt</v>
      </c>
      <c r="AI218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{"issue":{"subject":"","project_id":79,"tracker_id":40,"status_id":1,"priority_id":2,"assigned_to_id":23,"start_date":"2016-11-26","description":"","custom_fields":[{"id":1,"name":"Subdivision","value":"Other"},{"id":4,"name":"Milepost","value":"1.0294"},{"id":17,"name":"Train ID","value":"66-26"},{"id":16,"name":"Locomotive ID","value":"4052"},{"id":130,"name":"Impact","value":""},{"id":150,"name":"Time of Event (Mountain Time)","value":"21:38:58"},{"id":151,"name":"Denver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416</v>
      </c>
      <c r="B219" s="7">
        <v>4052</v>
      </c>
      <c r="C219" s="22" t="s">
        <v>216</v>
      </c>
      <c r="D219" s="22" t="s">
        <v>728</v>
      </c>
      <c r="E219" s="13">
        <v>42700.882106481484</v>
      </c>
      <c r="F219" s="13">
        <v>42700.886458333334</v>
      </c>
      <c r="G219" s="7">
        <v>1</v>
      </c>
      <c r="H219" s="22" t="s">
        <v>729</v>
      </c>
      <c r="I219" s="13">
        <v>42700.902060185188</v>
      </c>
      <c r="J219" s="7">
        <v>0</v>
      </c>
      <c r="K219" s="109" t="str">
        <f t="shared" si="83"/>
        <v>4051/4052</v>
      </c>
      <c r="L219" s="22" t="str">
        <f>VLOOKUP(A219,'Trips&amp;Operators'!$C$1:$E$10000,3,FALSE)</f>
        <v>WHITED</v>
      </c>
      <c r="M219" s="6">
        <f t="shared" si="84"/>
        <v>1.5601851853716653E-2</v>
      </c>
      <c r="N219" s="7">
        <f t="shared" si="85"/>
        <v>22.46666666935198</v>
      </c>
      <c r="O219" s="7"/>
      <c r="P219" s="7"/>
      <c r="Q219" s="23"/>
      <c r="R219" s="23"/>
      <c r="S219" s="35">
        <f t="shared" si="86"/>
        <v>0</v>
      </c>
      <c r="T219" s="50" t="e">
        <f t="shared" si="87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20:10:14-700',mode:absolute,to:'2016-11-26 22:38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9" s="52" t="str">
        <f t="shared" si="89"/>
        <v>N</v>
      </c>
      <c r="X219" s="177" t="e">
        <f t="shared" si="90"/>
        <v>#VALUE!</v>
      </c>
      <c r="Y219" s="67">
        <f t="shared" si="91"/>
        <v>12.877599999999999</v>
      </c>
      <c r="Z219" s="67">
        <f t="shared" si="92"/>
        <v>1.0306</v>
      </c>
      <c r="AA219" s="67">
        <f t="shared" si="93"/>
        <v>11.847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94"/>
        <v>66-26</v>
      </c>
      <c r="AE219" s="91" t="str">
        <f t="shared" si="95"/>
        <v>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 &amp; 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</v>
      </c>
      <c r="AF219" s="88" t="str">
        <f t="shared" si="96"/>
        <v>"C:\Program Files (x86)\AstroGrep\AstroGrep.exe" /spath="%USERPROFILE%\AppData\Local\Temp\OnboardLogs" /stypes="app*4052*20161127*" /stext=" 04:.+((SYSTEM_STATE.+slice.+state.+changed )|(ment ac)|(multiple cpu faults)|(system.+state.+changed )|(\[timeout)|(PRM\|1\|D)|(kpr)|(kdp)|(\|lc)|(penalty))" /e /r /s</v>
      </c>
      <c r="AG219" s="1" t="str">
        <f t="shared" si="97"/>
        <v>Other</v>
      </c>
      <c r="AH219" s="92" t="str">
        <f t="shared" si="98"/>
        <v>"%USERPROFILE%\Documents\GitHub\eaglep3\Utilities\RefineRTDCRunTimes.py" --tripid 66-26 --locoid 4052 --swversion DE.1.0.8.0 --startMP 204:128776 --initTime 2016-11-26T21:10:14 --startdatetime 2016-11-26T21:16:30 --delay 1 --endMP 204:10306 --enddatetime 2016-11-26T21:38:58 --enforcementcount 0 &gt;&gt;C:\Users\stu\Documents\GitHub\eaglep3-reporting\EC\2016-11-26-refined-times.txt</v>
      </c>
      <c r="AI219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{"issue":{"subject":"","project_id":79,"tracker_id":40,"status_id":1,"priority_id":2,"assigned_to_id":23,"start_date":"2016-11-26","description":"","custom_fields":[{"id":1,"name":"Subdivision","value":"Other"},{"id":4,"name":"Milepost","value":"1.0306"},{"id":17,"name":"Train ID","value":"66-26"},{"id":16,"name":"Locomotive ID","value":"4052"},{"id":130,"name":"Impact","value":""},{"id":150,"name":"Time of Event (Mountain Time)","value":"21:38:58"},{"id":151,"name":"Denver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416</v>
      </c>
      <c r="B220" s="7">
        <v>4052</v>
      </c>
      <c r="C220" s="22" t="s">
        <v>216</v>
      </c>
      <c r="D220" s="22" t="s">
        <v>730</v>
      </c>
      <c r="E220" s="13">
        <v>42700.923611111109</v>
      </c>
      <c r="F220" s="13">
        <v>42700.926782407405</v>
      </c>
      <c r="G220" s="7">
        <v>2</v>
      </c>
      <c r="H220" s="22" t="s">
        <v>312</v>
      </c>
      <c r="I220" s="13">
        <v>42700.945810185185</v>
      </c>
      <c r="J220" s="7">
        <v>0</v>
      </c>
      <c r="K220" s="109" t="str">
        <f t="shared" si="83"/>
        <v>4051/4052</v>
      </c>
      <c r="L220" s="22" t="str">
        <f>VLOOKUP(A220,'Trips&amp;Operators'!$C$1:$E$10000,3,FALSE)</f>
        <v>WHITED</v>
      </c>
      <c r="M220" s="6">
        <f t="shared" si="84"/>
        <v>1.9027777780138422E-2</v>
      </c>
      <c r="N220" s="7">
        <f t="shared" si="85"/>
        <v>27.400000003399327</v>
      </c>
      <c r="O220" s="7"/>
      <c r="P220" s="7"/>
      <c r="Q220" s="23"/>
      <c r="R220" s="23"/>
      <c r="S220" s="35">
        <f t="shared" si="86"/>
        <v>0</v>
      </c>
      <c r="T220" s="50" t="e">
        <f t="shared" si="87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21:10:00-700',mode:absolute,to:'2016-11-26 23:41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0" s="52" t="str">
        <f t="shared" si="89"/>
        <v>N</v>
      </c>
      <c r="X220" s="177" t="e">
        <f t="shared" si="90"/>
        <v>#VALUE!</v>
      </c>
      <c r="Y220" s="67">
        <f t="shared" si="91"/>
        <v>12.8782</v>
      </c>
      <c r="Z220" s="67">
        <f t="shared" si="92"/>
        <v>1.4500000000000001E-2</v>
      </c>
      <c r="AA220" s="67">
        <f t="shared" si="93"/>
        <v>12.8637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94"/>
        <v>66-26</v>
      </c>
      <c r="AE220" s="91" t="str">
        <f t="shared" si="95"/>
        <v>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 &amp; 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</v>
      </c>
      <c r="AF220" s="88" t="str">
        <f t="shared" si="96"/>
        <v>"C:\Program Files (x86)\AstroGrep\AstroGrep.exe" /spath="%USERPROFILE%\AppData\Local\Temp\OnboardLogs" /stypes="app*4052*20161127*" /stext=" 05:.+((SYSTEM_STATE.+slice.+state.+changed )|(ment ac)|(multiple cpu faults)|(system.+state.+changed )|(\[timeout)|(PRM\|1\|D)|(kpr)|(kdp)|(\|lc)|(penalty))" /e /r /s</v>
      </c>
      <c r="AG220" s="1" t="str">
        <f t="shared" si="97"/>
        <v>Other</v>
      </c>
      <c r="AH220" s="92" t="str">
        <f t="shared" si="98"/>
        <v>"%USERPROFILE%\Documents\GitHub\eaglep3\Utilities\RefineRTDCRunTimes.py" --tripid 66-26 --locoid 4052 --swversion DE.1.0.8.0 --startMP 204:128782 --initTime 2016-11-26T22:10:00 --startdatetime 2016-11-26T22:14:34 --delay 2 --endMP 204:145 --enddatetime 2016-11-26T22:41:58 --enforcementcount 0 &gt;&gt;C:\Users\stu\Documents\GitHub\eaglep3-reporting\EC\2016-11-26-refined-times.txt</v>
      </c>
      <c r="AI220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{"issue":{"subject":"","project_id":79,"tracker_id":40,"status_id":1,"priority_id":2,"assigned_to_id":23,"start_date":"2016-11-26","description":"","custom_fields":[{"id":1,"name":"Subdivision","value":"Other"},{"id":4,"name":"Milepost","value":"0.0145"},{"id":17,"name":"Train ID","value":"66-26"},{"id":16,"name":"Locomotive ID","value":"4052"},{"id":130,"name":"Impact","value":""},{"id":150,"name":"Time of Event (Mountain Time)","value":"22:41:58"},{"id":151,"name":"Denver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545</v>
      </c>
      <c r="B221" s="7">
        <v>4009</v>
      </c>
      <c r="C221" s="22" t="s">
        <v>216</v>
      </c>
      <c r="D221" s="22" t="s">
        <v>722</v>
      </c>
      <c r="E221" s="13">
        <v>42700.715370370373</v>
      </c>
      <c r="F221" s="13">
        <v>25568.708333333332</v>
      </c>
      <c r="G221" s="7">
        <v>1</v>
      </c>
      <c r="H221" s="22" t="s">
        <v>717</v>
      </c>
      <c r="I221" s="13">
        <v>25568.708333333332</v>
      </c>
      <c r="J221" s="7">
        <v>0</v>
      </c>
      <c r="K221" s="109" t="str">
        <f t="shared" si="83"/>
        <v>4009/4010</v>
      </c>
      <c r="L221" s="22" t="str">
        <f>VLOOKUP(A221,'Trips&amp;Operators'!$C$1:$E$10000,3,FALSE)</f>
        <v>HAITHCOX</v>
      </c>
      <c r="M221" s="6">
        <f t="shared" si="84"/>
        <v>0</v>
      </c>
      <c r="N221" s="7">
        <f t="shared" si="85"/>
        <v>0</v>
      </c>
      <c r="O221" s="7"/>
      <c r="P221" s="7"/>
      <c r="Q221" s="23"/>
      <c r="R221" s="23"/>
      <c r="S221" s="35">
        <f t="shared" si="86"/>
        <v>0</v>
      </c>
      <c r="T221" s="50" t="e">
        <f t="shared" si="87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16:10:08-700',mode:absolute,to:'1969-12-31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1" s="52" t="str">
        <f t="shared" si="89"/>
        <v>Y</v>
      </c>
      <c r="X221" s="177" t="e">
        <f t="shared" si="90"/>
        <v>#VALUE!</v>
      </c>
      <c r="Y221" s="67">
        <f t="shared" si="91"/>
        <v>0.15049999999999999</v>
      </c>
      <c r="Z221" s="67">
        <f t="shared" si="92"/>
        <v>2.3294999999999999</v>
      </c>
      <c r="AA221" s="67">
        <f t="shared" si="93"/>
        <v>2.1789999999999998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94"/>
        <v>67-26</v>
      </c>
      <c r="AE221" s="91" t="str">
        <f t="shared" si="95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21" s="88" t="str">
        <f t="shared" si="96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21" s="1" t="str">
        <f t="shared" si="97"/>
        <v>Other</v>
      </c>
      <c r="AH221" s="92" t="str">
        <f t="shared" si="98"/>
        <v>"%USERPROFILE%\Documents\GitHub\eaglep3\Utilities\RefineRTDCRunTimes.py" --tripid 67-26 --locoid 4009 --swversion DE.1.0.8.0 --startMP 204:1505 --initTime 2016-11-26T17:10:08 --startdatetime 1969-12-31T17:00:00 --delay 1 --endMP 300:23295 --enddatetime 1969-12-31T17:00:00 --enforcementcount 0 &gt;&gt;C:\Users\stu\Documents\GitHub\eaglep3-reporting\EC\2016-11-26-refined-times.txt</v>
      </c>
      <c r="AI221" s="119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ID","value":"67-26"},{"id":16,"name":"Locomotive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552</v>
      </c>
      <c r="B222" s="7">
        <v>4039</v>
      </c>
      <c r="C222" s="22" t="s">
        <v>216</v>
      </c>
      <c r="D222" s="22" t="s">
        <v>731</v>
      </c>
      <c r="E222" s="13">
        <v>42700.743576388886</v>
      </c>
      <c r="F222" s="13">
        <v>42700.744733796295</v>
      </c>
      <c r="G222" s="7">
        <v>1</v>
      </c>
      <c r="H222" s="22" t="s">
        <v>732</v>
      </c>
      <c r="I222" s="13">
        <v>42700.755474537036</v>
      </c>
      <c r="J222" s="7">
        <v>0</v>
      </c>
      <c r="K222" s="109" t="str">
        <f t="shared" si="83"/>
        <v>4039/4040</v>
      </c>
      <c r="L222" s="22" t="str">
        <f>VLOOKUP(A222,'Trips&amp;Operators'!$C$1:$E$10000,3,FALSE)</f>
        <v>MCREYNOLDS</v>
      </c>
      <c r="M222" s="6">
        <f t="shared" si="84"/>
        <v>1.0740740741312038E-2</v>
      </c>
      <c r="N222" s="7">
        <f t="shared" si="85"/>
        <v>15.466666667489335</v>
      </c>
      <c r="O222" s="7"/>
      <c r="P222" s="7"/>
      <c r="Q222" s="23"/>
      <c r="R222" s="23"/>
      <c r="S222" s="35">
        <f t="shared" si="86"/>
        <v>0</v>
      </c>
      <c r="T222" s="50" t="e">
        <f t="shared" si="87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16:50:45-700',mode:absolute,to:'2016-11-26 19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2" s="52" t="str">
        <f t="shared" si="89"/>
        <v>Y</v>
      </c>
      <c r="X222" s="177" t="e">
        <f t="shared" si="90"/>
        <v>#VALUE!</v>
      </c>
      <c r="Y222" s="67">
        <f t="shared" si="91"/>
        <v>2.1947000000000001</v>
      </c>
      <c r="Z222" s="67">
        <f t="shared" si="92"/>
        <v>0.11940000000000001</v>
      </c>
      <c r="AA222" s="67">
        <f t="shared" si="93"/>
        <v>2.0752999999999999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94"/>
        <v>74-26</v>
      </c>
      <c r="AE222" s="91" t="str">
        <f t="shared" si="95"/>
        <v>aws s3 cp s3://rtdc.mdm.uploadarchive.raw/RTDC4039/ "%USERPROFILE%\AppData\Local\Temp\OnboardLogs"\RTDC4039\2016-11-26 --exclude "*" --recursive --include "*20161126*" &amp; "%USERPROFILE%\Documents\GitHub\mrs-test-scripts\Headless Mode &amp; Sideloading\WalkAndUnGZ.bat" "%USERPROFILE%\AppData\Local\Temp\OnboardLogs"\RTDC4039\2016-11-26 &amp; aws s3 cp s3://rtdc.mdm.uploadarchive.raw/RTDC4039/ "%USERPROFILE%\AppData\Local\Temp\OnboardLogs"\RTDC4039\2016-11-27 --exclude "*" --recursive --include "*20161127*" &amp; "%USERPROFILE%\Documents\GitHub\mrs-test-scripts\Headless Mode &amp; Sideloading\WalkAndUnGZ.bat" "%USERPROFILE%\AppData\Local\Temp\OnboardLogs"\RTDC4039\2016-11-27</v>
      </c>
      <c r="AF222" s="88" t="str">
        <f t="shared" si="96"/>
        <v>"C:\Program Files (x86)\AstroGrep\AstroGrep.exe" /spath="%USERPROFILE%\AppData\Local\Temp\OnboardLogs" /stypes="app*4039*20161127*" /stext=" 01:.+((SYSTEM_STATE.+slice.+state.+changed )|(ment ac)|(multiple cpu faults)|(system.+state.+changed )|(\[timeout)|(PRM\|1\|D)|(kpr)|(kdp)|(\|lc)|(penalty))" /e /r /s</v>
      </c>
      <c r="AG222" s="1" t="str">
        <f t="shared" si="97"/>
        <v>Other</v>
      </c>
      <c r="AH222" s="92" t="str">
        <f t="shared" si="98"/>
        <v>"%USERPROFILE%\Documents\GitHub\eaglep3\Utilities\RefineRTDCRunTimes.py" --tripid 74-26 --locoid 4039 --swversion DE.1.0.8.0 --startMP 300:21947 --initTime 2016-11-26T17:50:45 --startdatetime 2016-11-26T17:52:25 --delay 1 --endMP 204:1194 --enddatetime 2016-11-26T18:07:53 --enforcementcount 0 &gt;&gt;C:\Users\stu\Documents\GitHub\eaglep3-reporting\EC\2016-11-26-refined-times.txt</v>
      </c>
      <c r="AI222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{"issue":{"subject":"","project_id":79,"tracker_id":40,"status_id":1,"priority_id":2,"assigned_to_id":23,"start_date":"2016-11-26","description":"","custom_fields":[{"id":1,"name":"Subdivision","value":"Other"},{"id":4,"name":"Milepost","value":"0.1194"},{"id":17,"name":"Train ID","value":"74-26"},{"id":16,"name":"Locomotive ID","value":"4039"},{"id":130,"name":"Impact","value":""},{"id":150,"name":"Time of Event (Mountain Time)","value":"18:07:53"},{"id":151,"name":"Denver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555</v>
      </c>
      <c r="B223" s="7">
        <v>4052</v>
      </c>
      <c r="C223" s="22" t="s">
        <v>216</v>
      </c>
      <c r="D223" s="22" t="s">
        <v>733</v>
      </c>
      <c r="E223" s="13">
        <v>42700.747557870367</v>
      </c>
      <c r="F223" s="13">
        <v>42700.748865740738</v>
      </c>
      <c r="G223" s="7">
        <v>1</v>
      </c>
      <c r="H223" s="22" t="s">
        <v>734</v>
      </c>
      <c r="I223" s="13">
        <v>42700.7580787037</v>
      </c>
      <c r="J223" s="7">
        <v>0</v>
      </c>
      <c r="K223" s="109" t="str">
        <f t="shared" si="83"/>
        <v>4051/4052</v>
      </c>
      <c r="L223" s="22" t="str">
        <f>VLOOKUP(A223,'Trips&amp;Operators'!$C$1:$E$10000,3,FALSE)</f>
        <v>WHITED</v>
      </c>
      <c r="M223" s="6">
        <f t="shared" si="84"/>
        <v>9.2129629629198462E-3</v>
      </c>
      <c r="N223" s="7">
        <f t="shared" si="85"/>
        <v>13.266666666604578</v>
      </c>
      <c r="O223" s="7"/>
      <c r="P223" s="7"/>
      <c r="Q223" s="23"/>
      <c r="R223" s="23"/>
      <c r="S223" s="35">
        <f t="shared" si="86"/>
        <v>0</v>
      </c>
      <c r="T223" s="50" t="e">
        <f t="shared" si="87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16:56:29-700',mode:absolute,to:'2016-11-26 19:11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3" s="52" t="str">
        <f t="shared" si="89"/>
        <v>Y</v>
      </c>
      <c r="X223" s="177" t="e">
        <f t="shared" si="90"/>
        <v>#VALUE!</v>
      </c>
      <c r="Y223" s="67">
        <f t="shared" si="91"/>
        <v>2.3443999999999998</v>
      </c>
      <c r="Z223" s="67">
        <f t="shared" si="92"/>
        <v>0.1181</v>
      </c>
      <c r="AA223" s="67">
        <f t="shared" si="93"/>
        <v>2.2262999999999997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94"/>
        <v>76-26</v>
      </c>
      <c r="AE223" s="91" t="str">
        <f t="shared" si="95"/>
        <v>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 &amp; 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</v>
      </c>
      <c r="AF223" s="88" t="str">
        <f t="shared" si="96"/>
        <v>"C:\Program Files (x86)\AstroGrep\AstroGrep.exe" /spath="%USERPROFILE%\AppData\Local\Temp\OnboardLogs" /stypes="app*4052*20161127*" /stext=" 01:.+((SYSTEM_STATE.+slice.+state.+changed )|(ment ac)|(multiple cpu faults)|(system.+state.+changed )|(\[timeout)|(PRM\|1\|D)|(kpr)|(kdp)|(\|lc)|(penalty))" /e /r /s</v>
      </c>
      <c r="AG223" s="1" t="str">
        <f t="shared" si="97"/>
        <v>Other</v>
      </c>
      <c r="AH223" s="92" t="str">
        <f t="shared" si="98"/>
        <v>"%USERPROFILE%\Documents\GitHub\eaglep3\Utilities\RefineRTDCRunTimes.py" --tripid 76-26 --locoid 4052 --swversion DE.1.0.8.0 --startMP 300:23444 --initTime 2016-11-26T17:56:29 --startdatetime 2016-11-26T17:58:22 --delay 1 --endMP 204:1181 --enddatetime 2016-11-26T18:11:38 --enforcementcount 0 &gt;&gt;C:\Users\stu\Documents\GitHub\eaglep3-reporting\EC\2016-11-26-refined-times.txt</v>
      </c>
      <c r="AI223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{"issue":{"subject":"","project_id":79,"tracker_id":40,"status_id":1,"priority_id":2,"assigned_to_id":23,"start_date":"2016-11-26","description":"","custom_fields":[{"id":1,"name":"Subdivision","value":"Other"},{"id":4,"name":"Milepost","value":"0.1181"},{"id":17,"name":"Train ID","value":"76-26"},{"id":16,"name":"Locomotive ID","value":"4052"},{"id":130,"name":"Impact","value":""},{"id":150,"name":"Time of Event (Mountain Time)","value":"18:11:38"},{"id":151,"name":"Denver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341</v>
      </c>
      <c r="B224" s="7">
        <v>4052</v>
      </c>
      <c r="C224" s="22" t="s">
        <v>216</v>
      </c>
      <c r="D224" s="22" t="s">
        <v>385</v>
      </c>
      <c r="E224" s="13">
        <v>42700.082951388889</v>
      </c>
      <c r="F224" s="13">
        <v>42700.084270833337</v>
      </c>
      <c r="G224" s="7">
        <v>1</v>
      </c>
      <c r="H224" s="22" t="s">
        <v>386</v>
      </c>
      <c r="I224" s="13">
        <v>42700.099803240744</v>
      </c>
      <c r="J224" s="7">
        <v>0</v>
      </c>
      <c r="K224" s="109" t="str">
        <f t="shared" si="83"/>
        <v>4051/4052</v>
      </c>
      <c r="L224" s="22" t="str">
        <f>VLOOKUP(A224,'Trips&amp;Operators'!$C$1:$E$10000,3,FALSE)</f>
        <v>LALONDE</v>
      </c>
      <c r="M224" s="6">
        <f t="shared" si="84"/>
        <v>1.5532407407590654E-2</v>
      </c>
      <c r="N224" s="7">
        <f t="shared" si="85"/>
        <v>22.366666666930541</v>
      </c>
      <c r="O224" s="7"/>
      <c r="P224" s="7"/>
      <c r="Q224" s="23"/>
      <c r="R224" s="23"/>
      <c r="S224" s="35">
        <f t="shared" si="86"/>
        <v>0</v>
      </c>
      <c r="T224" s="50" t="e">
        <f t="shared" si="87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00:59:27-700',mode:absolute,to:'2016-11-26 03:23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4" s="52" t="str">
        <f t="shared" si="89"/>
        <v>N</v>
      </c>
      <c r="X224" s="177" t="e">
        <f t="shared" si="90"/>
        <v>#VALUE!</v>
      </c>
      <c r="Y224" s="67">
        <f t="shared" si="91"/>
        <v>12.9198</v>
      </c>
      <c r="Z224" s="67">
        <f t="shared" si="92"/>
        <v>0.98150000000000004</v>
      </c>
      <c r="AA224" s="67">
        <f t="shared" si="93"/>
        <v>11.9383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94"/>
        <v>80-25</v>
      </c>
      <c r="AE224" s="91" t="str">
        <f t="shared" si="95"/>
        <v>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 &amp; 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</v>
      </c>
      <c r="AF224" s="88" t="str">
        <f t="shared" si="96"/>
        <v>"C:\Program Files (x86)\AstroGrep\AstroGrep.exe" /spath="%USERPROFILE%\AppData\Local\Temp\OnboardLogs" /stypes="app*4052*20161126*" /stext=" 09:.+((SYSTEM_STATE.+slice.+state.+changed )|(ment ac)|(multiple cpu faults)|(system.+state.+changed )|(\[timeout)|(PRM\|1\|D)|(kpr)|(kdp)|(\|lc)|(penalty))" /e /r /s</v>
      </c>
      <c r="AG224" s="1" t="str">
        <f t="shared" si="97"/>
        <v>Other</v>
      </c>
      <c r="AH224" s="92" t="str">
        <f t="shared" si="98"/>
        <v>"%USERPROFILE%\Documents\GitHub\eaglep3\Utilities\RefineRTDCRunTimes.py" --tripid 80-25 --locoid 4052 --swversion DE.1.0.8.0 --startMP 204:129198 --initTime 2016-11-26T01:59:27 --startdatetime 2016-11-26T02:01:21 --delay 1 --endMP 204:9815 --enddatetime 2016-11-26T02:23:43 --enforcementcount 0 &gt;&gt;C:\Users\stu\Documents\GitHub\eaglep3-reporting\EC\2016-11-26-refined-times.txt</v>
      </c>
      <c r="AI224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{"issue":{"subject":"","project_id":79,"tracker_id":40,"status_id":1,"priority_id":2,"assigned_to_id":23,"start_date":"2016-11-26","description":"","custom_fields":[{"id":1,"name":"Subdivision","value":"Other"},{"id":4,"name":"Milepost","value":"0.9815"},{"id":17,"name":"Train ID","value":"80-25"},{"id":16,"name":"Locomotive ID","value":"4052"},{"id":130,"name":"Impact","value":""},{"id":150,"name":"Time of Event (Mountain Time)","value":"02:23:43"},{"id":151,"name":"Denver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340</v>
      </c>
      <c r="B225" s="7">
        <v>4051</v>
      </c>
      <c r="C225" s="22" t="s">
        <v>216</v>
      </c>
      <c r="D225" s="22" t="s">
        <v>363</v>
      </c>
      <c r="E225" s="13">
        <v>42700.106377314813</v>
      </c>
      <c r="F225" s="13">
        <v>42700.107916666668</v>
      </c>
      <c r="G225" s="7">
        <v>1</v>
      </c>
      <c r="H225" s="22" t="s">
        <v>387</v>
      </c>
      <c r="I225" s="13">
        <v>42700.113449074073</v>
      </c>
      <c r="J225" s="7">
        <v>0</v>
      </c>
      <c r="K225" s="109" t="str">
        <f t="shared" si="83"/>
        <v>4051/4052</v>
      </c>
      <c r="L225" s="22" t="str">
        <f>VLOOKUP(A225,'Trips&amp;Operators'!$C$1:$E$10000,3,FALSE)</f>
        <v>LALONDE</v>
      </c>
      <c r="M225" s="6">
        <f t="shared" si="84"/>
        <v>5.5324074055533856E-3</v>
      </c>
      <c r="N225" s="7">
        <f t="shared" si="85"/>
        <v>7.9666666639968753</v>
      </c>
      <c r="O225" s="7"/>
      <c r="P225" s="7"/>
      <c r="Q225" s="23"/>
      <c r="R225" s="23"/>
      <c r="S225" s="35">
        <f t="shared" si="86"/>
        <v>0</v>
      </c>
      <c r="T225" s="50" t="e">
        <f t="shared" si="87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https://search-rtdc-monitor-bjffxe2xuh6vdkpspy63sjmuny.us-east-1.es.amazonaws.com/_plugin/kibana/#/discover/Steve-Slow-Train-Analysis-(2080s-and-2083s)?_g=(refreshInterval:(display:Off,section:0,value:0),time:(from:'2016-11-26 01:33:11-700',mode:absolute,to:'2016-11-26 03:43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5" s="52" t="str">
        <f t="shared" si="89"/>
        <v>Y</v>
      </c>
      <c r="X225" s="177" t="e">
        <f t="shared" si="90"/>
        <v>#VALUE!</v>
      </c>
      <c r="Y225" s="67">
        <f t="shared" si="91"/>
        <v>7.6999999999999999E-2</v>
      </c>
      <c r="Z225" s="67">
        <f t="shared" si="92"/>
        <v>3.1257999999999999</v>
      </c>
      <c r="AA225" s="67">
        <f t="shared" si="93"/>
        <v>3.0488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94"/>
        <v>81-25</v>
      </c>
      <c r="AE225" s="91" t="str">
        <f t="shared" si="95"/>
        <v>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 &amp; 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</v>
      </c>
      <c r="AF225" s="88" t="str">
        <f t="shared" si="96"/>
        <v>"C:\Program Files (x86)\AstroGrep\AstroGrep.exe" /spath="%USERPROFILE%\AppData\Local\Temp\OnboardLogs" /stypes="app*4051*20161126*" /stext=" 09:.+((SYSTEM_STATE.+slice.+state.+changed )|(ment ac)|(multiple cpu faults)|(system.+state.+changed )|(\[timeout)|(PRM\|1\|D)|(kpr)|(kdp)|(\|lc)|(penalty))" /e /r /s</v>
      </c>
      <c r="AG225" s="1" t="str">
        <f t="shared" si="97"/>
        <v>Other</v>
      </c>
      <c r="AH225" s="92" t="str">
        <f t="shared" si="98"/>
        <v>"%USERPROFILE%\Documents\GitHub\eaglep3\Utilities\RefineRTDCRunTimes.py" --tripid 81-25 --locoid 4051 --swversion DE.1.0.8.0 --startMP 204:770 --initTime 2016-11-26T02:33:11 --startdatetime 2016-11-26T02:35:24 --delay 1 --endMP 300:31258 --enddatetime 2016-11-26T02:43:22 --enforcementcount 0 &gt;&gt;C:\Users\stu\Documents\GitHub\eaglep3-reporting\EC\2016-11-26-refined-times.txt</v>
      </c>
      <c r="AI225" s="119" t="str">
        <f t="shared" si="99"/>
        <v>echo {"issue":{"subject":"","project_id":79,"tracker_id":40,"status_id":1,"priority_id":2,"assigned_to_id":23,"start_date":"2016-11-26","description":"","custom_fields":[{"id":1,"name":"Subdivision","value":"Other"},{"id":4,"name":"Milepost","value":"3.1258"},{"id":17,"name":"Train ID","value":"81-25"},{"id":16,"name":"Locomotive ID","value":"4051"},{"id":130,"name":"Impact","value":""},{"id":150,"name":"Time of Event (Mountain Time)","value":"02:43:22"},{"id":151,"name":"Denver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</sheetData>
  <autoFilter ref="A12:AG245">
    <sortState ref="A13:AG244">
      <sortCondition ref="AG13:AG224"/>
      <sortCondition ref="AD13:AD224"/>
    </sortState>
  </autoFilter>
  <sortState ref="A13:AH200">
    <sortCondition ref="AG13:AG200"/>
    <sortCondition ref="AD13:AD200"/>
  </sortState>
  <mergeCells count="1">
    <mergeCell ref="A11:P11"/>
  </mergeCells>
  <conditionalFormatting sqref="W11:W12 W255:X1048576 W13:X225">
    <cfRule type="cellIs" dxfId="10" priority="344" operator="equal">
      <formula>"Y"</formula>
    </cfRule>
  </conditionalFormatting>
  <conditionalFormatting sqref="X255:X1048576 X13:X225">
    <cfRule type="cellIs" dxfId="9" priority="327" operator="greaterThan">
      <formula>1</formula>
    </cfRule>
  </conditionalFormatting>
  <conditionalFormatting sqref="X255:X1048576 X12:X225">
    <cfRule type="cellIs" dxfId="8" priority="324" operator="equal">
      <formula>0</formula>
    </cfRule>
  </conditionalFormatting>
  <conditionalFormatting sqref="A13:S225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Values'!$C$2:$C$15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workbookViewId="0">
      <selection activeCell="P12" sqref="P1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30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- 2016-11-26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249</v>
      </c>
    </row>
    <row r="7" spans="1:30" s="1" customFormat="1" x14ac:dyDescent="0.25">
      <c r="A7" s="36">
        <v>42700.857314814813</v>
      </c>
      <c r="B7" s="31" t="s">
        <v>291</v>
      </c>
      <c r="C7" s="31" t="s">
        <v>417</v>
      </c>
      <c r="D7" s="31" t="s">
        <v>49</v>
      </c>
      <c r="E7" s="31" t="s">
        <v>202</v>
      </c>
      <c r="F7" s="47">
        <v>400</v>
      </c>
      <c r="G7" s="47">
        <v>467</v>
      </c>
      <c r="H7" s="47">
        <v>17336</v>
      </c>
      <c r="I7" s="47">
        <v>18097</v>
      </c>
      <c r="J7" s="31" t="s">
        <v>203</v>
      </c>
      <c r="K7" s="47">
        <v>17867</v>
      </c>
      <c r="L7" s="154" t="s">
        <v>50</v>
      </c>
      <c r="M7" s="155">
        <f t="shared" ref="M7:M43" si="0">CONVERT((I7-K7)/10000,"mi","ft")*IF(L7="Increasing Mileposts (1)",-1,1)</f>
        <v>-121.44</v>
      </c>
      <c r="N7" s="156" t="str">
        <f>VLOOKUP(C7,'Trips&amp;Operators'!$C$1:$E$99999,3,FALSE)</f>
        <v>CHANDLER</v>
      </c>
      <c r="O7" s="182" t="s">
        <v>201</v>
      </c>
      <c r="P7" s="157"/>
      <c r="Q7" s="31"/>
      <c r="R7" s="100" t="str">
        <f>VLOOKUP(C7,'Train Runs'!$A$13:$AE$9989,31,0)</f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S7" s="103" t="str">
        <f>VLOOKUP(C7,'Train Runs'!$A$13:$AE$9989,22,0)</f>
        <v>https://search-rtdc-monitor-bjffxe2xuh6vdkpspy63sjmuny.us-east-1.es.amazonaws.com/_plugin/kibana/#/discover/Steve-Slow-Train-Analysis-(2080s-and-2083s)?_g=(refreshInterval:(display:Off,section:0,value:0),time:(from:'2016-11-26 19:24:02-700',mode:absolute,to:'2016-11-26 22:09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7" s="105" t="str">
        <f t="shared" ref="T7:T4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/stypes="*4003*201611270*" /stext=" 03:.+((SYSTEM_STATE.+slice.+state.+changed )|(ment ac)|(multiple cpu faults)|(system.+state.+changed )|(\[timeout)|(PRM\|1\|D)|(kpr)|(kdp)|(\|lc)|(penalty))" /e /r /s</v>
      </c>
      <c r="U7" s="9" t="str">
        <f t="shared" ref="U7:U43" si="2">MID(B7,13,4)</f>
        <v>4003</v>
      </c>
      <c r="V7" s="36">
        <f t="shared" ref="V7:V43" si="3">A7-utc_offset/24</f>
        <v>42701.148981481478</v>
      </c>
      <c r="W7" s="50" t="str">
        <f t="shared" ref="W7:W43" si="4">IF(VALUE(LEFT(IF(LEN(C7)=6,"0"&amp;C7,C7),2))&lt;=2,"EC",IF(OR(VALUE(LEFT(IF(LEN(C7)=6,"0"&amp;C7,C7),2))=8,VALUE(LEFT(IF(LEN(C7)=6,"0"&amp;C7,C7),2))=18),"NW","Other"))</f>
        <v>EC</v>
      </c>
      <c r="X7" s="50" t="str">
        <f t="shared" ref="X7:X43" si="5">IF(AND(E7="TRACK WARRANT AUTHORITY",G7&lt;10),"OMIT","KEEP")</f>
        <v>KEEP</v>
      </c>
      <c r="Y7" s="119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{"issue":{"subject":"","project_id":79,"tracker_id":40,"status_id":1,"priority_id":2,"assigned_to_id":23,"start_date":"2016-11-26","description":"","custom_fields":[{"id":1,"name":"Subdivision","value":"EC"},{"id":4,"name":"Milepost","value":"1.7867"},{"id":17,"name":"Train ID","value":"227-26"},{"id":16,"name":"Locomotive ID","value":"4003"},{"id":130,"name":"Impact","value":""},{"id":150,"name":"Time of Event (Mountain Time)","value":"20:34:32"},{"id":151,"name":"Denver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"%USERPROFILE%\AppData\Local\Temp\OnboardLogs"\RTDC4003\*4003*201611270*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"%USERPROFILE%\AppData\Local\Temp\OnboardLogs"\RTDC4003\*4003*201611270* &gt;&gt; 42700-slicedisagreementcheck.txt</v>
      </c>
    </row>
    <row r="8" spans="1:30" s="1" customFormat="1" x14ac:dyDescent="0.25">
      <c r="A8" s="36">
        <v>42700.365335648145</v>
      </c>
      <c r="B8" s="31" t="s">
        <v>231</v>
      </c>
      <c r="C8" s="31" t="s">
        <v>399</v>
      </c>
      <c r="D8" s="31" t="s">
        <v>49</v>
      </c>
      <c r="E8" s="31" t="s">
        <v>202</v>
      </c>
      <c r="F8" s="47">
        <v>300</v>
      </c>
      <c r="G8" s="47">
        <v>412</v>
      </c>
      <c r="H8" s="47">
        <v>23410</v>
      </c>
      <c r="I8" s="47">
        <v>22338</v>
      </c>
      <c r="J8" s="31" t="s">
        <v>203</v>
      </c>
      <c r="K8" s="47">
        <v>21848</v>
      </c>
      <c r="L8" s="154" t="s">
        <v>51</v>
      </c>
      <c r="M8" s="155">
        <f t="shared" si="0"/>
        <v>258.72000000000003</v>
      </c>
      <c r="N8" s="156" t="str">
        <f>VLOOKUP(C8,'Trips&amp;Operators'!$C$1:$E$99999,3,FALSE)</f>
        <v>STRICKLAND</v>
      </c>
      <c r="O8" s="182" t="s">
        <v>201</v>
      </c>
      <c r="P8" s="157"/>
      <c r="Q8" s="31"/>
      <c r="R8" s="100" t="str">
        <f>VLOOKUP(C8,'Train Runs'!$A$13:$AE$9989,31,0)</f>
        <v>aws s3 cp s3://rtdc.mdm.uploadarchive.raw/RTDC4037/ "%USERPROFILE%\AppData\Local\Temp\OnboardLogs"\RTDC4037\2016-11-26 --exclude "*" --recursive --include "*20161126*" &amp; "%USERPROFILE%\Documents\GitHub\mrs-test-scripts\Headless Mode &amp; Sideloading\WalkAndUnGZ.bat" "%USERPROFILE%\AppData\Local\Temp\OnboardLogs"\RTDC4037\2016-11-26 &amp; aws s3 cp s3://rtdc.mdm.uploadarchive.raw/RTDC4037/ "%USERPROFILE%\AppData\Local\Temp\OnboardLogs"\RTDC4037\2016-11-27 --exclude "*" --recursive --include "*20161127*" &amp; "%USERPROFILE%\Documents\GitHub\mrs-test-scripts\Headless Mode &amp; Sideloading\WalkAndUnGZ.bat" "%USERPROFILE%\AppData\Local\Temp\OnboardLogs"\RTDC4037\2016-11-27</v>
      </c>
      <c r="S8" s="103" t="str">
        <f>VLOOKUP(C8,'Train Runs'!$A$13:$AE$9989,22,0)</f>
        <v>https://search-rtdc-monitor-bjffxe2xuh6vdkpspy63sjmuny.us-east-1.es.amazonaws.com/_plugin/kibana/#/discover/Steve-Slow-Train-Analysis-(2080s-and-2083s)?_g=(refreshInterval:(display:Off,section:0,value:0),time:(from:'2016-11-26 07:05:38-700',mode:absolute,to:'2016-11-26 09:53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8" s="105" t="str">
        <f t="shared" si="1"/>
        <v>"C:\Program Files (x86)\AstroGrep\AstroGrep.exe" /spath="%USERPROFILE%\AppData\Local\Temp\OnboardLogs" /stypes="*4037*201611261*" /stext=" 15:.+((SYSTEM_STATE.+slice.+state.+changed )|(ment ac)|(multiple cpu faults)|(system.+state.+changed )|(\[timeout)|(PRM\|1\|D)|(kpr)|(kdp)|(\|lc)|(penalty))" /e /r /s</v>
      </c>
      <c r="U8" s="9" t="str">
        <f t="shared" si="2"/>
        <v>4037</v>
      </c>
      <c r="V8" s="36">
        <f t="shared" si="3"/>
        <v>42700.657002314809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{"issue":{"subject":"","project_id":79,"tracker_id":40,"status_id":1,"priority_id":2,"assigned_to_id":23,"start_date":"2016-11-26","description":"","custom_fields":[{"id":1,"name":"Subdivision","value":"EC"},{"id":4,"name":"Milepost","value":"2.1848"},{"id":17,"name":"Train ID","value":"130-26"},{"id":16,"name":"Locomotive ID","value":"4037"},{"id":130,"name":"Impact","value":""},{"id":150,"name":"Time of Event (Mountain Time)","value":"08:46:05"},{"id":151,"name":"Denver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"%USERPROFILE%\AppData\Local\Temp\OnboardLogs"\RTDC4037\*4037*201611261*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"%USERPROFILE%\AppData\Local\Temp\OnboardLogs"\RTDC4037\*4037*201611261* &gt;&gt; 42700-slicedisagreementcheck.txt</v>
      </c>
    </row>
    <row r="9" spans="1:30" s="1" customFormat="1" x14ac:dyDescent="0.25">
      <c r="A9" s="36">
        <v>42700.44635416667</v>
      </c>
      <c r="B9" s="31" t="s">
        <v>303</v>
      </c>
      <c r="C9" s="31" t="s">
        <v>403</v>
      </c>
      <c r="D9" s="31" t="s">
        <v>49</v>
      </c>
      <c r="E9" s="31" t="s">
        <v>202</v>
      </c>
      <c r="F9" s="47">
        <v>300</v>
      </c>
      <c r="G9" s="47">
        <v>385</v>
      </c>
      <c r="H9" s="47">
        <v>23062</v>
      </c>
      <c r="I9" s="47">
        <v>22147</v>
      </c>
      <c r="J9" s="31" t="s">
        <v>203</v>
      </c>
      <c r="K9" s="47">
        <v>21848</v>
      </c>
      <c r="L9" s="154" t="s">
        <v>51</v>
      </c>
      <c r="M9" s="155">
        <f t="shared" si="0"/>
        <v>157.87200000000001</v>
      </c>
      <c r="N9" s="156" t="str">
        <f>VLOOKUP(C9,'Trips&amp;Operators'!$C$1:$E$99999,3,FALSE)</f>
        <v>ROBINSON</v>
      </c>
      <c r="O9" s="182" t="s">
        <v>251</v>
      </c>
      <c r="P9" s="157" t="s">
        <v>861</v>
      </c>
      <c r="Q9" s="31"/>
      <c r="R9" s="100" t="str">
        <f>VLOOKUP(C9,'Train Runs'!$A$13:$AE$9989,31,0)</f>
        <v>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 &amp; 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</v>
      </c>
      <c r="S9" s="103" t="str">
        <f>VLOOKUP(C9,'Train Runs'!$A$13:$AE$9989,22,0)</f>
        <v>https://search-rtdc-monitor-bjffxe2xuh6vdkpspy63sjmuny.us-east-1.es.amazonaws.com/_plugin/kibana/#/discover/Steve-Slow-Train-Analysis-(2080s-and-2083s)?_g=(refreshInterval:(display:Off,section:0,value:0),time:(from:'2016-11-26 09:02:27-700',mode:absolute,to:'2016-11-26 11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/stypes="*4010*201611261*" /stext=" 17:.+((SYSTEM_STATE.+slice.+state.+changed )|(ment ac)|(multiple cpu faults)|(system.+state.+changed )|(\[timeout)|(PRM\|1\|D)|(kpr)|(kdp)|(\|lc)|(penalty))" /e /r /s</v>
      </c>
      <c r="U9" s="9" t="str">
        <f t="shared" si="2"/>
        <v>4010</v>
      </c>
      <c r="V9" s="36">
        <f t="shared" si="3"/>
        <v>42700.738020833334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{"issue":{"subject":"Banner without braking","project_id":79,"tracker_id":40,"status_id":1,"priority_id":2,"assigned_to_id":23,"start_date":"2016-11-26","description":"CPU3 commanded braking, other 2 did not","custom_fields":[{"id":1,"name":"Subdivision","value":"EC"},{"id":4,"name":"Milepost","value":"2.1848"},{"id":17,"name":"Train ID","value":"146-26"},{"id":16,"name":"Locomotive ID","value":"4010"},{"id":130,"name":"Impact","value":""},{"id":150,"name":"Time of Event (Mountain Time)","value":"10:42:45"},{"id":151,"name":"Denver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 t="s">
        <v>860</v>
      </c>
      <c r="AA9" s="53"/>
      <c r="AB9" s="53"/>
      <c r="AC9" s="138" t="str">
        <f t="shared" si="7"/>
        <v>grep -hSE -A100 "Enforcement Action" "%USERPROFILE%\AppData\Local\Temp\OnboardLogs"\RTDC4010\*4010*201611261*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"%USERPROFILE%\AppData\Local\Temp\OnboardLogs"\RTDC4010\*4010*201611261* &gt;&gt; 42700-slicedisagreementcheck.txt</v>
      </c>
    </row>
    <row r="10" spans="1:30" s="1" customFormat="1" x14ac:dyDescent="0.25">
      <c r="A10" s="36">
        <v>42700.606979166667</v>
      </c>
      <c r="B10" s="31" t="s">
        <v>261</v>
      </c>
      <c r="C10" s="31" t="s">
        <v>407</v>
      </c>
      <c r="D10" s="31" t="s">
        <v>98</v>
      </c>
      <c r="E10" s="31" t="s">
        <v>202</v>
      </c>
      <c r="F10" s="47">
        <v>700</v>
      </c>
      <c r="G10" s="47">
        <v>750</v>
      </c>
      <c r="H10" s="47">
        <v>175648</v>
      </c>
      <c r="I10" s="47">
        <v>172477</v>
      </c>
      <c r="J10" s="31" t="s">
        <v>203</v>
      </c>
      <c r="K10" s="47">
        <v>183829</v>
      </c>
      <c r="L10" s="154" t="s">
        <v>51</v>
      </c>
      <c r="M10" s="155">
        <f t="shared" si="0"/>
        <v>-5993.8559999999998</v>
      </c>
      <c r="N10" s="156" t="str">
        <f>VLOOKUP(C10,'Trips&amp;Operators'!$C$1:$E$99999,3,FALSE)</f>
        <v>BROWN</v>
      </c>
      <c r="O10" s="182" t="s">
        <v>201</v>
      </c>
      <c r="P10" s="157"/>
      <c r="Q10" s="31"/>
      <c r="R10" s="100" t="str">
        <f>VLOOKUP(C10,'Train Runs'!$A$13:$AE$9989,31,0)</f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S10" s="103" t="str">
        <f>VLOOKUP(C10,'Train Runs'!$A$13:$AE$9989,22,0)</f>
        <v>https://search-rtdc-monitor-bjffxe2xuh6vdkpspy63sjmuny.us-east-1.es.amazonaws.com/_plugin/kibana/#/discover/Steve-Slow-Train-Analysis-(2080s-and-2083s)?_g=(refreshInterval:(display:Off,section:0,value:0),time:(from:'2016-11-26 13:13:54-700',mode:absolute,to:'2016-11-26 16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0" s="105" t="str">
        <f t="shared" si="1"/>
        <v>"C:\Program Files (x86)\AstroGrep\AstroGrep.exe" /spath="%USERPROFILE%\AppData\Local\Temp\OnboardLogs" /stypes="*4045*201611262*" /stext=" 21:.+((SYSTEM_STATE.+slice.+state.+changed )|(ment ac)|(multiple cpu faults)|(system.+state.+changed )|(\[timeout)|(PRM\|1\|D)|(kpr)|(kdp)|(\|lc)|(penalty))" /e /r /s</v>
      </c>
      <c r="U10" s="9" t="str">
        <f t="shared" si="2"/>
        <v>4045</v>
      </c>
      <c r="V10" s="36">
        <f t="shared" si="3"/>
        <v>42700.898645833331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{"issue":{"subject":"","project_id":79,"tracker_id":40,"status_id":1,"priority_id":2,"assigned_to_id":23,"start_date":"2016-11-26","description":"","custom_fields":[{"id":1,"name":"Subdivision","value":"EC"},{"id":4,"name":"Milepost","value":"18.3829"},{"id":17,"name":"Train ID","value":"180-26"},{"id":16,"name":"Locomotive ID","value":"4045"},{"id":130,"name":"Impact","value":""},{"id":150,"name":"Time of Event (Mountain Time)","value":"14:34:03"},{"id":151,"name":"Denver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"%USERPROFILE%\AppData\Local\Temp\OnboardLogs"\RTDC4045\*4045*201611262*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"%USERPROFILE%\AppData\Local\Temp\OnboardLogs"\RTDC4045\*4045*201611262* &gt;&gt; 42700-slicedisagreementcheck.txt</v>
      </c>
    </row>
    <row r="11" spans="1:30" s="1" customFormat="1" x14ac:dyDescent="0.25">
      <c r="A11" s="36">
        <v>42700.616863425923</v>
      </c>
      <c r="B11" s="31" t="s">
        <v>230</v>
      </c>
      <c r="C11" s="31" t="s">
        <v>409</v>
      </c>
      <c r="D11" s="31" t="s">
        <v>49</v>
      </c>
      <c r="E11" s="31" t="s">
        <v>202</v>
      </c>
      <c r="F11" s="47">
        <v>450</v>
      </c>
      <c r="G11" s="47">
        <v>680</v>
      </c>
      <c r="H11" s="47">
        <v>215129</v>
      </c>
      <c r="I11" s="47">
        <v>218200</v>
      </c>
      <c r="J11" s="31" t="s">
        <v>203</v>
      </c>
      <c r="K11" s="47">
        <v>218954</v>
      </c>
      <c r="L11" s="154" t="s">
        <v>50</v>
      </c>
      <c r="M11" s="155">
        <f t="shared" si="0"/>
        <v>398.11200000000002</v>
      </c>
      <c r="N11" s="156" t="str">
        <f>VLOOKUP(C11,'Trips&amp;Operators'!$C$1:$E$99999,3,FALSE)</f>
        <v>STORY</v>
      </c>
      <c r="O11" s="182" t="s">
        <v>201</v>
      </c>
      <c r="P11" s="157"/>
      <c r="Q11" s="31"/>
      <c r="R11" s="100" t="str">
        <f>VLOOKUP(C11,'Train Runs'!$A$13:$AE$9989,31,0)</f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S11" s="103" t="str">
        <f>VLOOKUP(C11,'Train Runs'!$A$13:$AE$9989,22,0)</f>
        <v>https://search-rtdc-monitor-bjffxe2xuh6vdkpspy63sjmuny.us-east-1.es.amazonaws.com/_plugin/kibana/#/discover/Steve-Slow-Train-Analysis-(2080s-and-2083s)?_g=(refreshInterval:(display:Off,section:0,value:0),time:(from:'2016-11-26 13:08:11-700',mode:absolute,to:'2016-11-26 15:52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1" s="105" t="str">
        <f t="shared" si="1"/>
        <v>"C:\Program Files (x86)\AstroGrep\AstroGrep.exe" /spath="%USERPROFILE%\AppData\Local\Temp\OnboardLogs" /stypes="*4038*201611262*" /stext=" 21:.+((SYSTEM_STATE.+slice.+state.+changed )|(ment ac)|(multiple cpu faults)|(system.+state.+changed )|(\[timeout)|(PRM\|1\|D)|(kpr)|(kdp)|(\|lc)|(penalty))" /e /r /s</v>
      </c>
      <c r="U11" s="9" t="str">
        <f t="shared" si="2"/>
        <v>4038</v>
      </c>
      <c r="V11" s="36">
        <f t="shared" si="3"/>
        <v>42700.908530092587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{"issue":{"subject":"","project_id":79,"tracker_id":40,"status_id":1,"priority_id":2,"assigned_to_id":23,"start_date":"2016-11-26","description":"","custom_fields":[{"id":1,"name":"Subdivision","value":"EC"},{"id":4,"name":"Milepost","value":"21.8954"},{"id":17,"name":"Train ID","value":"185-26"},{"id":16,"name":"Locomotive ID","value":"4038"},{"id":130,"name":"Impact","value":""},{"id":150,"name":"Time of Event (Mountain Time)","value":"14:48:17"},{"id":151,"name":"Denver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"%USERPROFILE%\AppData\Local\Temp\OnboardLogs"\RTDC4038\*4038*201611262*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"%USERPROFILE%\AppData\Local\Temp\OnboardLogs"\RTDC4038\*4038*201611262* &gt;&gt; 42700-slicedisagreementcheck.txt</v>
      </c>
    </row>
    <row r="12" spans="1:30" s="1" customFormat="1" x14ac:dyDescent="0.25">
      <c r="A12" s="36">
        <v>42700.956956018519</v>
      </c>
      <c r="B12" s="31" t="s">
        <v>334</v>
      </c>
      <c r="C12" s="31" t="s">
        <v>420</v>
      </c>
      <c r="D12" s="31" t="s">
        <v>98</v>
      </c>
      <c r="E12" s="31" t="s">
        <v>202</v>
      </c>
      <c r="F12" s="47">
        <v>350</v>
      </c>
      <c r="G12" s="47">
        <v>400</v>
      </c>
      <c r="H12" s="47">
        <v>229093</v>
      </c>
      <c r="I12" s="47">
        <v>228141</v>
      </c>
      <c r="J12" s="31" t="s">
        <v>203</v>
      </c>
      <c r="K12" s="47">
        <v>232107</v>
      </c>
      <c r="L12" s="154" t="s">
        <v>51</v>
      </c>
      <c r="M12" s="155">
        <f t="shared" si="0"/>
        <v>-2094.0479999999998</v>
      </c>
      <c r="N12" s="156" t="str">
        <f>VLOOKUP(C12,'Trips&amp;Operators'!$C$1:$E$99999,3,FALSE)</f>
        <v>HOLCOMB</v>
      </c>
      <c r="O12" s="182" t="s">
        <v>201</v>
      </c>
      <c r="P12" s="157"/>
      <c r="Q12" s="31"/>
      <c r="R12" s="100" t="str">
        <f>VLOOKUP(C12,'Train Runs'!$A$13:$AE$9989,31,0)</f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S12" s="103" t="str">
        <f>VLOOKUP(C12,'Train Runs'!$A$13:$AE$9989,22,0)</f>
        <v>https://search-rtdc-monitor-bjffxe2xuh6vdkpspy63sjmuny.us-east-1.es.amazonaws.com/_plugin/kibana/#/discover/Steve-Slow-Train-Analysis-(2080s-and-2083s)?_g=(refreshInterval:(display:Off,section:0,value:0),time:(from:'2016-11-26 21:39:13-700',mode:absolute,to:'2016-11-27 00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2" s="105" t="str">
        <f t="shared" si="1"/>
        <v>"C:\Program Files (x86)\AstroGrep\AstroGrep.exe" /spath="%USERPROFILE%\AppData\Local\Temp\OnboardLogs" /stypes="*4032*201611270*" /stext=" 05:.+((SYSTEM_STATE.+slice.+state.+changed )|(ment ac)|(multiple cpu faults)|(system.+state.+changed )|(\[timeout)|(PRM\|1\|D)|(kpr)|(kdp)|(\|lc)|(penalty))" /e /r /s</v>
      </c>
      <c r="U12" s="9" t="str">
        <f t="shared" si="2"/>
        <v>4032</v>
      </c>
      <c r="V12" s="36">
        <f t="shared" si="3"/>
        <v>42701.248622685183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{"issue":{"subject":"","project_id":79,"tracker_id":40,"status_id":1,"priority_id":2,"assigned_to_id":23,"start_date":"2016-11-26","description":"","custom_fields":[{"id":1,"name":"Subdivision","value":"EC"},{"id":4,"name":"Milepost","value":"23.2107"},{"id":17,"name":"Train ID","value":"234-26"},{"id":16,"name":"Locomotive ID","value":"4032"},{"id":130,"name":"Impact","value":""},{"id":150,"name":"Time of Event (Mountain Time)","value":"22:58:01"},{"id":151,"name":"Denver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"%USERPROFILE%\AppData\Local\Temp\OnboardLogs"\RTDC4032\*4032*201611270*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"%USERPROFILE%\AppData\Local\Temp\OnboardLogs"\RTDC4032\*4032*201611270* &gt;&gt; 42700-slicedisagreementcheck.txt</v>
      </c>
    </row>
    <row r="13" spans="1:30" s="1" customFormat="1" x14ac:dyDescent="0.25">
      <c r="A13" s="36">
        <v>42700.987071759257</v>
      </c>
      <c r="B13" s="31" t="s">
        <v>230</v>
      </c>
      <c r="C13" s="31" t="s">
        <v>421</v>
      </c>
      <c r="D13" s="31" t="s">
        <v>49</v>
      </c>
      <c r="E13" s="31" t="s">
        <v>204</v>
      </c>
      <c r="F13" s="47">
        <v>0</v>
      </c>
      <c r="G13" s="47">
        <v>318</v>
      </c>
      <c r="H13" s="47">
        <v>35650</v>
      </c>
      <c r="I13" s="47">
        <v>36318</v>
      </c>
      <c r="J13" s="31" t="s">
        <v>205</v>
      </c>
      <c r="K13" s="47">
        <v>36645</v>
      </c>
      <c r="L13" s="154" t="s">
        <v>50</v>
      </c>
      <c r="M13" s="155">
        <f t="shared" si="0"/>
        <v>172.65600000000001</v>
      </c>
      <c r="N13" s="156" t="str">
        <f>VLOOKUP(C13,'Trips&amp;Operators'!$C$1:$E$99999,3,FALSE)</f>
        <v>NELSON</v>
      </c>
      <c r="O13" s="182" t="s">
        <v>251</v>
      </c>
      <c r="P13" s="157" t="s">
        <v>756</v>
      </c>
      <c r="Q13" s="31"/>
      <c r="R13" s="100" t="str">
        <f>VLOOKUP(C13,'Train Runs'!$A$13:$AE$9989,31,0)</f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S13" s="103" t="str">
        <f>VLOOKUP(C13,'Train Runs'!$A$13:$AE$9989,22,0)</f>
        <v>https://search-rtdc-monitor-bjffxe2xuh6vdkpspy63sjmuny.us-east-1.es.amazonaws.com/_plugin/kibana/#/discover/Steve-Slow-Train-Analysis-(2080s-and-2083s)?_g=(refreshInterval:(display:Off,section:0,value:0),time:(from:'2016-11-26 22:15:21-700',mode:absolute,to:'2016-11-27 01:13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3" s="105" t="str">
        <f t="shared" si="1"/>
        <v>"C:\Program Files (x86)\AstroGrep\AstroGrep.exe" /spath="%USERPROFILE%\AppData\Local\Temp\OnboardLogs" /stypes="*4038*201611270*" /stext=" 06:.+((SYSTEM_STATE.+slice.+state.+changed )|(ment ac)|(multiple cpu faults)|(system.+state.+changed )|(\[timeout)|(PRM\|1\|D)|(kpr)|(kdp)|(\|lc)|(penalty))" /e /r /s</v>
      </c>
      <c r="U13" s="9" t="str">
        <f t="shared" si="2"/>
        <v>4038</v>
      </c>
      <c r="V13" s="36">
        <f t="shared" si="3"/>
        <v>42701.278738425921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{"issue":{"subject":"Wi-MAX data drop","project_id":79,"tracker_id":40,"status_id":1,"priority_id":2,"assigned_to_id":23,"start_date":"2016-11-26","description":"http://stevetu21.github.io/eaglep3/load_kml.html?kml=http://rtdc.gmaps-snips.s3.amazonaws.com/d7582be8-4e5b-4083-bbbc-8f29377697fb.kml","custom_fields":[{"id":1,"name":"Subdivision","value":"EC"},{"id":4,"name":"Milepost","value":"3.6645"},{"id":17,"name":"Train ID","value":"239-26"},{"id":16,"name":"Locomotive ID","value":"4038"},{"id":130,"name":"Impact","value":"Enforcement"},{"id":150,"name":"Time of Event (Mountain Time)","value":"23:41:23"},{"id":151,"name":"Denver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3" s="21" t="s">
        <v>755</v>
      </c>
      <c r="AA13" s="53" t="s">
        <v>125</v>
      </c>
      <c r="AB13" s="53" t="s">
        <v>138</v>
      </c>
      <c r="AC13" s="138" t="str">
        <f t="shared" si="7"/>
        <v>grep -hSE -A100 "Enforcement Action" "%USERPROFILE%\AppData\Local\Temp\OnboardLogs"\RTDC4038\*4038*201611270*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"%USERPROFILE%\AppData\Local\Temp\OnboardLogs"\RTDC4038\*4038*201611270* &gt;&gt; 42700-slicedisagreementcheck.txt</v>
      </c>
    </row>
    <row r="14" spans="1:30" s="1" customFormat="1" x14ac:dyDescent="0.25">
      <c r="A14" s="36">
        <v>42700.987754629627</v>
      </c>
      <c r="B14" s="31" t="s">
        <v>230</v>
      </c>
      <c r="C14" s="31" t="s">
        <v>421</v>
      </c>
      <c r="D14" s="31" t="s">
        <v>49</v>
      </c>
      <c r="E14" s="31" t="s">
        <v>204</v>
      </c>
      <c r="F14" s="47">
        <v>0</v>
      </c>
      <c r="G14" s="47">
        <v>318</v>
      </c>
      <c r="H14" s="47">
        <v>35650</v>
      </c>
      <c r="I14" s="47">
        <v>36320</v>
      </c>
      <c r="J14" s="31" t="s">
        <v>205</v>
      </c>
      <c r="K14" s="47">
        <v>36645</v>
      </c>
      <c r="L14" s="154" t="s">
        <v>50</v>
      </c>
      <c r="M14" s="155">
        <f t="shared" si="0"/>
        <v>171.6</v>
      </c>
      <c r="N14" s="156" t="str">
        <f>VLOOKUP(C14,'Trips&amp;Operators'!$C$1:$E$99999,3,FALSE)</f>
        <v>NELSON</v>
      </c>
      <c r="O14" s="182" t="s">
        <v>251</v>
      </c>
      <c r="P14" s="157" t="s">
        <v>756</v>
      </c>
      <c r="Q14" s="31"/>
      <c r="R14" s="100" t="str">
        <f>VLOOKUP(C14,'Train Runs'!$A$13:$AE$9989,31,0)</f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S14" s="103" t="str">
        <f>VLOOKUP(C14,'Train Runs'!$A$13:$AE$9989,22,0)</f>
        <v>https://search-rtdc-monitor-bjffxe2xuh6vdkpspy63sjmuny.us-east-1.es.amazonaws.com/_plugin/kibana/#/discover/Steve-Slow-Train-Analysis-(2080s-and-2083s)?_g=(refreshInterval:(display:Off,section:0,value:0),time:(from:'2016-11-26 22:15:21-700',mode:absolute,to:'2016-11-27 01:13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4" s="105" t="str">
        <f t="shared" si="1"/>
        <v>"C:\Program Files (x86)\AstroGrep\AstroGrep.exe" /spath="%USERPROFILE%\AppData\Local\Temp\OnboardLogs" /stypes="*4038*201611270*" /stext=" 06:.+((SYSTEM_STATE.+slice.+state.+changed )|(ment ac)|(multiple cpu faults)|(system.+state.+changed )|(\[timeout)|(PRM\|1\|D)|(kpr)|(kdp)|(\|lc)|(penalty))" /e /r /s</v>
      </c>
      <c r="U14" s="9" t="str">
        <f t="shared" si="2"/>
        <v>4038</v>
      </c>
      <c r="V14" s="36">
        <f t="shared" si="3"/>
        <v>42701.279421296291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{"issue":{"subject":"Wi-MAX data drop","project_id":79,"tracker_id":40,"status_id":1,"priority_id":2,"assigned_to_id":23,"start_date":"2016-11-26","description":"","custom_fields":[{"id":1,"name":"Subdivision","value":"EC"},{"id":4,"name":"Milepost","value":"3.6645"},{"id":17,"name":"Train ID","value":"239-26"},{"id":16,"name":"Locomotive ID","value":"4038"},{"id":130,"name":"Impact","value":""},{"id":150,"name":"Time of Event (Mountain Time)","value":"23:42:22"},{"id":151,"name":"Denver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"%USERPROFILE%\AppData\Local\Temp\OnboardLogs"\RTDC4038\*4038*201611270*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"%USERPROFILE%\AppData\Local\Temp\OnboardLogs"\RTDC4038\*4038*201611270* &gt;&gt; 42700-slicedisagreementcheck.txt</v>
      </c>
    </row>
    <row r="15" spans="1:30" s="1" customFormat="1" x14ac:dyDescent="0.25">
      <c r="A15" s="36">
        <v>42700.863194444442</v>
      </c>
      <c r="B15" s="31" t="s">
        <v>291</v>
      </c>
      <c r="C15" s="31" t="s">
        <v>417</v>
      </c>
      <c r="D15" s="31" t="s">
        <v>49</v>
      </c>
      <c r="E15" s="31" t="s">
        <v>204</v>
      </c>
      <c r="F15" s="47">
        <v>0</v>
      </c>
      <c r="G15" s="47">
        <v>349</v>
      </c>
      <c r="H15" s="47">
        <v>42634</v>
      </c>
      <c r="I15" s="47">
        <v>43473</v>
      </c>
      <c r="J15" s="31" t="s">
        <v>205</v>
      </c>
      <c r="K15" s="47">
        <v>43651</v>
      </c>
      <c r="L15" s="154" t="s">
        <v>50</v>
      </c>
      <c r="M15" s="155">
        <f t="shared" si="0"/>
        <v>93.983999999999995</v>
      </c>
      <c r="N15" s="156" t="str">
        <f>VLOOKUP(C15,'Trips&amp;Operators'!$C$1:$E$99999,3,FALSE)</f>
        <v>CHANDLER</v>
      </c>
      <c r="O15" s="182" t="s">
        <v>251</v>
      </c>
      <c r="P15" s="157" t="s">
        <v>756</v>
      </c>
      <c r="Q15" s="31"/>
      <c r="R15" s="100" t="str">
        <f>VLOOKUP(C15,'Train Runs'!$A$13:$AE$9989,31,0)</f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S15" s="103" t="str">
        <f>VLOOKUP(C15,'Train Runs'!$A$13:$AE$9989,22,0)</f>
        <v>https://search-rtdc-monitor-bjffxe2xuh6vdkpspy63sjmuny.us-east-1.es.amazonaws.com/_plugin/kibana/#/discover/Steve-Slow-Train-Analysis-(2080s-and-2083s)?_g=(refreshInterval:(display:Off,section:0,value:0),time:(from:'2016-11-26 19:24:02-700',mode:absolute,to:'2016-11-26 22:09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5" s="105" t="str">
        <f t="shared" si="1"/>
        <v>"C:\Program Files (x86)\AstroGrep\AstroGrep.exe" /spath="%USERPROFILE%\AppData\Local\Temp\OnboardLogs" /stypes="*4003*201611270*" /stext=" 03:.+((SYSTEM_STATE.+slice.+state.+changed )|(ment ac)|(multiple cpu faults)|(system.+state.+changed )|(\[timeout)|(PRM\|1\|D)|(kpr)|(kdp)|(\|lc)|(penalty))" /e /r /s</v>
      </c>
      <c r="U15" s="9" t="str">
        <f t="shared" si="2"/>
        <v>4003</v>
      </c>
      <c r="V15" s="36">
        <f t="shared" si="3"/>
        <v>42701.154861111107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{"issue":{"subject":"Wi-MAX data drop","project_id":79,"tracker_id":40,"status_id":1,"priority_id":2,"assigned_to_id":23,"start_date":"2016-11-26","description":"http://stevetu21.github.io/eaglep3/load_kml.html?kml=http://rtdc.gmaps-snips.s3.amazonaws.com/3be8f818-4848-4276-bcb1-51bd69dcd7bb.kml","custom_fields":[{"id":1,"name":"Subdivision","value":"EC"},{"id":4,"name":"Milepost","value":"4.3651"},{"id":17,"name":"Train ID","value":"227-26"},{"id":16,"name":"Locomotive ID","value":"4003"},{"id":130,"name":"Impact","value":"Enforcement"},{"id":150,"name":"Time of Event (Mountain Time)","value":"20:43:00"},{"id":151,"name":"Denver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s="183" t="s">
        <v>757</v>
      </c>
      <c r="AA15" s="53" t="s">
        <v>125</v>
      </c>
      <c r="AB15" s="53" t="s">
        <v>138</v>
      </c>
      <c r="AC15" s="138" t="str">
        <f t="shared" si="7"/>
        <v>grep -hSE -A100 "Enforcement Action" "%USERPROFILE%\AppData\Local\Temp\OnboardLogs"\RTDC4003\*4003*201611270*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"%USERPROFILE%\AppData\Local\Temp\OnboardLogs"\RTDC4003\*4003*201611270* &gt;&gt; 42700-slicedisagreementcheck.txt</v>
      </c>
    </row>
    <row r="16" spans="1:30" s="1" customFormat="1" x14ac:dyDescent="0.25">
      <c r="A16" s="36">
        <v>42700.567164351851</v>
      </c>
      <c r="B16" s="31" t="s">
        <v>227</v>
      </c>
      <c r="C16" s="31" t="s">
        <v>406</v>
      </c>
      <c r="D16" s="31" t="s">
        <v>49</v>
      </c>
      <c r="E16" s="31" t="s">
        <v>204</v>
      </c>
      <c r="F16" s="47">
        <v>0</v>
      </c>
      <c r="G16" s="47">
        <v>81</v>
      </c>
      <c r="H16" s="47">
        <v>69653</v>
      </c>
      <c r="I16" s="47">
        <v>69567</v>
      </c>
      <c r="J16" s="31" t="s">
        <v>205</v>
      </c>
      <c r="K16" s="47">
        <v>69363</v>
      </c>
      <c r="L16" s="154" t="s">
        <v>51</v>
      </c>
      <c r="M16" s="155">
        <f t="shared" si="0"/>
        <v>107.712</v>
      </c>
      <c r="N16" s="156" t="str">
        <f>VLOOKUP(C16,'Trips&amp;Operators'!$C$1:$E$99999,3,FALSE)</f>
        <v>CLARK</v>
      </c>
      <c r="O16" s="182" t="s">
        <v>251</v>
      </c>
      <c r="P16" s="157" t="s">
        <v>758</v>
      </c>
      <c r="Q16" s="31"/>
      <c r="R16" s="100" t="str">
        <f>VLOOKUP(C16,'Train Runs'!$A$13:$AE$9989,31,0)</f>
        <v>aws s3 cp s3://rtdc.mdm.uploadarchive.raw/RTDC4043/ "%USERPROFILE%\AppData\Local\Temp\OnboardLogs"\RTDC4043\2016-11-26 --exclude "*" --recursive --include "*20161126*" &amp; "%USERPROFILE%\Documents\GitHub\mrs-test-scripts\Headless Mode &amp; Sideloading\WalkAndUnGZ.bat" "%USERPROFILE%\AppData\Local\Temp\OnboardLogs"\RTDC4043\2016-11-26 &amp; aws s3 cp s3://rtdc.mdm.uploadarchive.raw/RTDC4043/ "%USERPROFILE%\AppData\Local\Temp\OnboardLogs"\RTDC4043\2016-11-27 --exclude "*" --recursive --include "*20161127*" &amp; "%USERPROFILE%\Documents\GitHub\mrs-test-scripts\Headless Mode &amp; Sideloading\WalkAndUnGZ.bat" "%USERPROFILE%\AppData\Local\Temp\OnboardLogs"\RTDC4043\2016-11-27</v>
      </c>
      <c r="S16" s="103" t="str">
        <f>VLOOKUP(C16,'Train Runs'!$A$13:$AE$9989,22,0)</f>
        <v>https://search-rtdc-monitor-bjffxe2xuh6vdkpspy63sjmuny.us-east-1.es.amazonaws.com/_plugin/kibana/#/discover/Steve-Slow-Train-Analysis-(2080s-and-2083s)?_g=(refreshInterval:(display:Off,section:0,value:0),time:(from:'2016-11-26 12:03:58-700',mode:absolute,to:'2016-11-26 14:56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6" s="105" t="str">
        <f t="shared" si="1"/>
        <v>"C:\Program Files (x86)\AstroGrep\AstroGrep.exe" /spath="%USERPROFILE%\AppData\Local\Temp\OnboardLogs" /stypes="*4043*201611262*" /stext=" 20:.+((SYSTEM_STATE.+slice.+state.+changed )|(ment ac)|(multiple cpu faults)|(system.+state.+changed )|(\[timeout)|(PRM\|1\|D)|(kpr)|(kdp)|(\|lc)|(penalty))" /e /r /s</v>
      </c>
      <c r="U16" s="9" t="str">
        <f t="shared" si="2"/>
        <v>4043</v>
      </c>
      <c r="V16" s="36">
        <f t="shared" si="3"/>
        <v>42700.858831018515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{"issue":{"subject":"Onboard in-route failure (slice vote out -&gt; comm outage)","project_id":79,"tracker_id":40,"status_id":1,"priority_id":2,"assigned_to_id":23,"start_date":"2016-11-26","description":"","custom_fields":[{"id":1,"name":"Subdivision","value":"EC"},{"id":4,"name":"Milepost","value":"6.9363"},{"id":17,"name":"Train ID","value":"170-26"},{"id":16,"name":"Locomotive ID","value":"4043"},{"id":130,"name":"Impact","value":""},{"id":150,"name":"Time of Event (Mountain Time)","value":"13:36:43"},{"id":151,"name":"Denver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"%USERPROFILE%\AppData\Local\Temp\OnboardLogs"\RTDC4043\*4043*201611262*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"%USERPROFILE%\AppData\Local\Temp\OnboardLogs"\RTDC4043\*4043*201611262* &gt;&gt; 42700-slicedisagreementcheck.txt</v>
      </c>
    </row>
    <row r="17" spans="1:30" s="1" customFormat="1" x14ac:dyDescent="0.25">
      <c r="A17" s="36">
        <v>42700.646932870368</v>
      </c>
      <c r="B17" s="31" t="s">
        <v>262</v>
      </c>
      <c r="C17" s="31" t="s">
        <v>410</v>
      </c>
      <c r="D17" s="31" t="s">
        <v>49</v>
      </c>
      <c r="E17" s="31" t="s">
        <v>204</v>
      </c>
      <c r="F17" s="47">
        <v>0</v>
      </c>
      <c r="G17" s="47">
        <v>668</v>
      </c>
      <c r="H17" s="47">
        <v>79085</v>
      </c>
      <c r="I17" s="47">
        <v>82171</v>
      </c>
      <c r="J17" s="31" t="s">
        <v>205</v>
      </c>
      <c r="K17" s="47">
        <v>81738</v>
      </c>
      <c r="L17" s="154" t="s">
        <v>50</v>
      </c>
      <c r="M17" s="155">
        <f t="shared" si="0"/>
        <v>-228.624</v>
      </c>
      <c r="N17" s="156" t="str">
        <f>VLOOKUP(C17,'Trips&amp;Operators'!$C$1:$E$99999,3,FALSE)</f>
        <v>BROWN</v>
      </c>
      <c r="O17" s="182" t="s">
        <v>251</v>
      </c>
      <c r="P17" s="157" t="s">
        <v>759</v>
      </c>
      <c r="Q17" s="31"/>
      <c r="R17" s="100" t="str">
        <f>VLOOKUP(C17,'Train Runs'!$A$13:$AE$9989,31,0)</f>
        <v>aws s3 cp s3://rtdc.mdm.uploadarchive.raw/RTDC4046/ "%USERPROFILE%\AppData\Local\Temp\OnboardLogs"\RTDC4046\2016-11-26 --exclude "*" --recursive --include "*20161126*" &amp; "%USERPROFILE%\Documents\GitHub\mrs-test-scripts\Headless Mode &amp; Sideloading\WalkAndUnGZ.bat" "%USERPROFILE%\AppData\Local\Temp\OnboardLogs"\RTDC4046\2016-11-26 &amp; aws s3 cp s3://rtdc.mdm.uploadarchive.raw/RTDC4046/ "%USERPROFILE%\AppData\Local\Temp\OnboardLogs"\RTDC4046\2016-11-27 --exclude "*" --recursive --include "*20161127*" &amp; "%USERPROFILE%\Documents\GitHub\mrs-test-scripts\Headless Mode &amp; Sideloading\WalkAndUnGZ.bat" "%USERPROFILE%\AppData\Local\Temp\OnboardLogs"\RTDC4046\2016-11-27</v>
      </c>
      <c r="S17" s="103" t="str">
        <f>VLOOKUP(C17,'Train Runs'!$A$13:$AE$9989,22,0)</f>
        <v>https://search-rtdc-monitor-bjffxe2xuh6vdkpspy63sjmuny.us-east-1.es.amazonaws.com/_plugin/kibana/#/discover/Steve-Slow-Train-Analysis-(2080s-and-2083s)?_g=(refreshInterval:(display:Off,section:0,value:0),time:(from:'2016-11-26 14:12:34-700',mode:absolute,to:'2016-11-26 16:59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7" s="105" t="str">
        <f t="shared" si="1"/>
        <v>"C:\Program Files (x86)\AstroGrep\AstroGrep.exe" /spath="%USERPROFILE%\AppData\Local\Temp\OnboardLogs" /stypes="*4046*201611262*" /stext=" 22:.+((SYSTEM_STATE.+slice.+state.+changed )|(ment ac)|(multiple cpu faults)|(system.+state.+changed )|(\[timeout)|(PRM\|1\|D)|(kpr)|(kdp)|(\|lc)|(penalty))" /e /r /s</v>
      </c>
      <c r="U17" s="9" t="str">
        <f t="shared" si="2"/>
        <v>4046</v>
      </c>
      <c r="V17" s="36">
        <f t="shared" si="3"/>
        <v>42700.938599537032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{"issue":{"subject":"Premature downgrade at EC0816RH 75-1T 1N","project_id":79,"tracker_id":40,"status_id":1,"priority_id":2,"assigned_to_id":23,"start_date":"2016-11-26","description":"At 15:31:05, EC0816RH 75-1T 1N dropped from 270 to 0, do logs show anything odd happening at this time?","custom_fields":[{"id":1,"name":"Subdivision","value":"EC"},{"id":4,"name":"Milepost","value":"8.1738"},{"id":17,"name":"Train ID","value":"193-26"},{"id":16,"name":"Locomotive ID","value":"4046"},{"id":130,"name":"Impact","value":"Enforcement"},{"id":150,"name":"Time of Event (Mountain Time)","value":"15:31:35"},{"id":151,"name":"Denver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7" s="53" t="s">
        <v>760</v>
      </c>
      <c r="AA17" s="53" t="s">
        <v>125</v>
      </c>
      <c r="AB17" s="53" t="s">
        <v>130</v>
      </c>
      <c r="AC17" s="138" t="str">
        <f t="shared" si="7"/>
        <v>grep -hSE -A100 "Enforcement Action" "%USERPROFILE%\AppData\Local\Temp\OnboardLogs"\RTDC4046\*4046*201611262*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"%USERPROFILE%\AppData\Local\Temp\OnboardLogs"\RTDC4046\*4046*201611262* &gt;&gt; 42700-slicedisagreementcheck.txt</v>
      </c>
    </row>
    <row r="18" spans="1:30" s="1" customFormat="1" x14ac:dyDescent="0.25">
      <c r="A18" s="36">
        <v>42700.3825462963</v>
      </c>
      <c r="B18" s="31" t="s">
        <v>187</v>
      </c>
      <c r="C18" s="31" t="s">
        <v>400</v>
      </c>
      <c r="D18" s="31" t="s">
        <v>49</v>
      </c>
      <c r="E18" s="31" t="s">
        <v>204</v>
      </c>
      <c r="F18" s="47">
        <v>0</v>
      </c>
      <c r="G18" s="47">
        <v>722</v>
      </c>
      <c r="H18" s="47">
        <v>149692</v>
      </c>
      <c r="I18" s="47">
        <v>153156</v>
      </c>
      <c r="J18" s="31" t="s">
        <v>205</v>
      </c>
      <c r="K18" s="47">
        <v>155600</v>
      </c>
      <c r="L18" s="154" t="s">
        <v>50</v>
      </c>
      <c r="M18" s="155">
        <f t="shared" si="0"/>
        <v>1290.432</v>
      </c>
      <c r="N18" s="156" t="str">
        <f>VLOOKUP(C18,'Trips&amp;Operators'!$C$1:$E$99999,3,FALSE)</f>
        <v>MAELZER</v>
      </c>
      <c r="O18" s="182" t="s">
        <v>201</v>
      </c>
      <c r="P18" s="157" t="s">
        <v>761</v>
      </c>
      <c r="Q18" s="31"/>
      <c r="R18" s="100" t="str">
        <f>VLOOKUP(C18,'Train Runs'!$A$13:$AE$9989,31,0)</f>
        <v>aws s3 cp s3://rtdc.mdm.uploadarchive.raw/RTDC4044/ "%USERPROFILE%\AppData\Local\Temp\OnboardLogs"\RTDC4044\2016-11-26 --exclude "*" --recursive --include "*20161126*" &amp; "%USERPROFILE%\Documents\GitHub\mrs-test-scripts\Headless Mode &amp; Sideloading\WalkAndUnGZ.bat" "%USERPROFILE%\AppData\Local\Temp\OnboardLogs"\RTDC4044\2016-11-26 &amp; aws s3 cp s3://rtdc.mdm.uploadarchive.raw/RTDC4044/ "%USERPROFILE%\AppData\Local\Temp\OnboardLogs"\RTDC4044\2016-11-27 --exclude "*" --recursive --include "*20161127*" &amp; "%USERPROFILE%\Documents\GitHub\mrs-test-scripts\Headless Mode &amp; Sideloading\WalkAndUnGZ.bat" "%USERPROFILE%\AppData\Local\Temp\OnboardLogs"\RTDC4044\2016-11-27</v>
      </c>
      <c r="S18" s="103" t="str">
        <f>VLOOKUP(C18,'Train Runs'!$A$13:$AE$9989,22,0)</f>
        <v>https://search-rtdc-monitor-bjffxe2xuh6vdkpspy63sjmuny.us-east-1.es.amazonaws.com/_plugin/kibana/#/discover/Steve-Slow-Train-Analysis-(2080s-and-2083s)?_g=(refreshInterval:(display:Off,section:0,value:0),time:(from:'2016-11-26 07:40:05-700',mode:absolute,to:'2016-11-26 10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8" s="105" t="str">
        <f t="shared" si="1"/>
        <v>"C:\Program Files (x86)\AstroGrep\AstroGrep.exe" /spath="%USERPROFILE%\AppData\Local\Temp\OnboardLogs" /stypes="*4044*201611261*" /stext=" 16:.+((SYSTEM_STATE.+slice.+state.+changed )|(ment ac)|(multiple cpu faults)|(system.+state.+changed )|(\[timeout)|(PRM\|1\|D)|(kpr)|(kdp)|(\|lc)|(penalty))" /e /r /s</v>
      </c>
      <c r="U18" s="9" t="str">
        <f t="shared" si="2"/>
        <v>4044</v>
      </c>
      <c r="V18" s="36">
        <f t="shared" si="3"/>
        <v>42700.674212962964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{"issue":{"subject":"61st 2N STOP","project_id":79,"tracker_id":40,"status_id":1,"priority_id":2,"assigned_to_id":23,"start_date":"2016-11-26","description":"","custom_fields":[{"id":1,"name":"Subdivision","value":"EC"},{"id":4,"name":"Milepost","value":"15.56"},{"id":17,"name":"Train ID","value":"141-26"},{"id":16,"name":"Locomotive ID","value":"4044"},{"id":130,"name":"Impact","value":""},{"id":150,"name":"Time of Event (Mountain Time)","value":"09:10:52"},{"id":151,"name":"Denver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"%USERPROFILE%\AppData\Local\Temp\OnboardLogs"\RTDC4044\*4044*201611261*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"%USERPROFILE%\AppData\Local\Temp\OnboardLogs"\RTDC4044\*4044*201611261* &gt;&gt; 42700-slicedisagreementcheck.txt</v>
      </c>
    </row>
    <row r="19" spans="1:30" s="1" customFormat="1" x14ac:dyDescent="0.25">
      <c r="A19" s="36">
        <v>42700.786770833336</v>
      </c>
      <c r="B19" s="31" t="s">
        <v>258</v>
      </c>
      <c r="C19" s="31" t="s">
        <v>414</v>
      </c>
      <c r="D19" s="31" t="s">
        <v>49</v>
      </c>
      <c r="E19" s="31" t="s">
        <v>204</v>
      </c>
      <c r="F19" s="47">
        <v>0</v>
      </c>
      <c r="G19" s="47">
        <v>27</v>
      </c>
      <c r="H19" s="47">
        <v>228194</v>
      </c>
      <c r="I19" s="47">
        <v>228234</v>
      </c>
      <c r="J19" s="31" t="s">
        <v>205</v>
      </c>
      <c r="K19" s="47">
        <v>228572</v>
      </c>
      <c r="L19" s="154" t="s">
        <v>50</v>
      </c>
      <c r="M19" s="155">
        <f t="shared" si="0"/>
        <v>178.46399999999997</v>
      </c>
      <c r="N19" s="156" t="str">
        <f>VLOOKUP(C19,'Trips&amp;Operators'!$C$1:$E$99999,3,FALSE)</f>
        <v>HOLCOMB</v>
      </c>
      <c r="O19" s="182" t="s">
        <v>201</v>
      </c>
      <c r="P19" s="157" t="s">
        <v>762</v>
      </c>
      <c r="Q19" s="31"/>
      <c r="R19" s="100" t="str">
        <f>VLOOKUP(C19,'Train Runs'!$A$13:$AE$9989,31,0)</f>
        <v>aws s3 cp s3://rtdc.mdm.uploadarchive.raw/RTDC4031/ "%USERPROFILE%\AppData\Local\Temp\OnboardLogs"\RTDC4031\2016-11-26 --exclude "*" --recursive --include "*20161126*" &amp; "%USERPROFILE%\Documents\GitHub\mrs-test-scripts\Headless Mode &amp; Sideloading\WalkAndUnGZ.bat" "%USERPROFILE%\AppData\Local\Temp\OnboardLogs"\RTDC4031\2016-11-26 &amp; aws s3 cp s3://rtdc.mdm.uploadarchive.raw/RTDC4031/ "%USERPROFILE%\AppData\Local\Temp\OnboardLogs"\RTDC4031\2016-11-27 --exclude "*" --recursive --include "*20161127*" &amp; "%USERPROFILE%\Documents\GitHub\mrs-test-scripts\Headless Mode &amp; Sideloading\WalkAndUnGZ.bat" "%USERPROFILE%\AppData\Local\Temp\OnboardLogs"\RTDC4031\2016-11-27</v>
      </c>
      <c r="S19" s="103" t="str">
        <f>VLOOKUP(C19,'Train Runs'!$A$13:$AE$9989,22,0)</f>
        <v>https://search-rtdc-monitor-bjffxe2xuh6vdkpspy63sjmuny.us-east-1.es.amazonaws.com/_plugin/kibana/#/discover/Steve-Slow-Train-Analysis-(2080s-and-2083s)?_g=(refreshInterval:(display:Off,section:0,value:0),time:(from:'2016-11-26 17:10:14-700',mode:absolute,to:'2016-11-26 19:58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9" s="105" t="str">
        <f t="shared" si="1"/>
        <v>"C:\Program Files (x86)\AstroGrep\AstroGrep.exe" /spath="%USERPROFILE%\AppData\Local\Temp\OnboardLogs" /stypes="*4031*201611270*" /stext=" 01:.+((SYSTEM_STATE.+slice.+state.+changed )|(ment ac)|(multiple cpu faults)|(system.+state.+changed )|(\[timeout)|(PRM\|1\|D)|(kpr)|(kdp)|(\|lc)|(penalty))" /e /r /s</v>
      </c>
      <c r="U19" s="9" t="str">
        <f t="shared" si="2"/>
        <v>4031</v>
      </c>
      <c r="V19" s="36">
        <f t="shared" si="3"/>
        <v>42701.0784375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{"issue":{"subject":"DIA 2N STOP, didn't accept PSS before enforcing","project_id":79,"tracker_id":40,"status_id":1,"priority_id":2,"assigned_to_id":23,"start_date":"2016-11-26","description":"","custom_fields":[{"id":1,"name":"Subdivision","value":"EC"},{"id":4,"name":"Milepost","value":"22.8572"},{"id":17,"name":"Train ID","value":"217-26"},{"id":16,"name":"Locomotive ID","value":"4031"},{"id":130,"name":"Impact","value":""},{"id":150,"name":"Time of Event (Mountain Time)","value":"18:52:57"},{"id":151,"name":"Denver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"%USERPROFILE%\AppData\Local\Temp\OnboardLogs"\RTDC4031\*4031*201611270*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"%USERPROFILE%\AppData\Local\Temp\OnboardLogs"\RTDC4031\*4031*201611270* &gt;&gt; 42700-slicedisagreementcheck.txt</v>
      </c>
    </row>
    <row r="20" spans="1:30" s="1" customFormat="1" x14ac:dyDescent="0.25">
      <c r="A20" s="36">
        <v>42700.258564814816</v>
      </c>
      <c r="B20" s="31" t="s">
        <v>261</v>
      </c>
      <c r="C20" s="31" t="s">
        <v>395</v>
      </c>
      <c r="D20" s="31" t="s">
        <v>98</v>
      </c>
      <c r="E20" s="31" t="s">
        <v>333</v>
      </c>
      <c r="F20" s="47">
        <v>150</v>
      </c>
      <c r="G20" s="47">
        <v>203</v>
      </c>
      <c r="H20" s="47">
        <v>26845</v>
      </c>
      <c r="I20" s="47">
        <v>26355</v>
      </c>
      <c r="J20" s="31" t="s">
        <v>153</v>
      </c>
      <c r="K20" s="47">
        <v>27399</v>
      </c>
      <c r="L20" s="154" t="s">
        <v>51</v>
      </c>
      <c r="M20" s="155">
        <f t="shared" si="0"/>
        <v>-551.23199999999997</v>
      </c>
      <c r="N20" s="156" t="str">
        <f>VLOOKUP(C20,'Trips&amp;Operators'!$C$1:$E$99999,3,FALSE)</f>
        <v>KILLION</v>
      </c>
      <c r="O20" s="182" t="s">
        <v>201</v>
      </c>
      <c r="P20" s="157"/>
      <c r="Q20" s="31"/>
      <c r="R20" s="100" t="str">
        <f>VLOOKUP(C20,'Train Runs'!$A$13:$AE$9989,31,0)</f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S20" s="103" t="str">
        <f>VLOOKUP(C20,'Train Runs'!$A$13:$AE$9989,22,0)</f>
        <v>https://search-rtdc-monitor-bjffxe2xuh6vdkpspy63sjmuny.us-east-1.es.amazonaws.com/_plugin/kibana/#/discover/Steve-Slow-Train-Analysis-(2080s-and-2083s)?_g=(refreshInterval:(display:Off,section:0,value:0),time:(from:'2016-11-26 04:36:20-700',mode:absolute,to:'2016-11-26 07:19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5" t="str">
        <f t="shared" si="1"/>
        <v>"C:\Program Files (x86)\AstroGrep\AstroGrep.exe" /spath="%USERPROFILE%\AppData\Local\Temp\OnboardLogs" /stypes="*4045*201611261*" /stext=" 13:.+((SYSTEM_STATE.+slice.+state.+changed )|(ment ac)|(multiple cpu faults)|(system.+state.+changed )|(\[timeout)|(PRM\|1\|D)|(kpr)|(kdp)|(\|lc)|(penalty))" /e /r /s</v>
      </c>
      <c r="U20" s="9" t="str">
        <f t="shared" si="2"/>
        <v>4045</v>
      </c>
      <c r="V20" s="36">
        <f t="shared" si="3"/>
        <v>42700.55023148148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{"issue":{"subject":"","project_id":79,"tracker_id":40,"status_id":1,"priority_id":2,"assigned_to_id":23,"start_date":"2016-11-26","description":"","custom_fields":[{"id":1,"name":"Subdivision","value":"EC"},{"id":4,"name":"Milepost","value":"2.7399"},{"id":17,"name":"Train ID","value":"110-26"},{"id":16,"name":"Locomotive ID","value":"4045"},{"id":130,"name":"Impact","value":""},{"id":150,"name":"Time of Event (Mountain Time)","value":"06:12:20"},{"id":151,"name":"Denver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"%USERPROFILE%\AppData\Local\Temp\OnboardLogs"\RTDC4045\*4045*201611261*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"%USERPROFILE%\AppData\Local\Temp\OnboardLogs"\RTDC4045\*4045*201611261* &gt;&gt; 42700-slicedisagreementcheck.txt</v>
      </c>
    </row>
    <row r="21" spans="1:30" x14ac:dyDescent="0.25">
      <c r="A21" s="36">
        <v>42700.242812500001</v>
      </c>
      <c r="B21" s="31" t="s">
        <v>391</v>
      </c>
      <c r="C21" s="31" t="s">
        <v>394</v>
      </c>
      <c r="D21" s="31" t="s">
        <v>49</v>
      </c>
      <c r="E21" s="31" t="s">
        <v>206</v>
      </c>
      <c r="F21" s="47">
        <v>0</v>
      </c>
      <c r="G21" s="47">
        <v>38</v>
      </c>
      <c r="H21" s="47">
        <v>121</v>
      </c>
      <c r="I21" s="47">
        <v>90</v>
      </c>
      <c r="J21" s="31" t="s">
        <v>207</v>
      </c>
      <c r="K21" s="47">
        <v>1</v>
      </c>
      <c r="L21" s="154" t="s">
        <v>51</v>
      </c>
      <c r="M21" s="155">
        <f t="shared" si="0"/>
        <v>46.991999999999997</v>
      </c>
      <c r="N21" s="156" t="str">
        <f>VLOOKUP(C21,'Trips&amp;Operators'!$C$1:$E$99999,3,FALSE)</f>
        <v>ACKERMAN</v>
      </c>
      <c r="O21" s="182" t="s">
        <v>201</v>
      </c>
      <c r="P21" s="157"/>
      <c r="Q21" s="31"/>
      <c r="R21" s="100" t="str">
        <f>VLOOKUP(C21,'Train Runs'!$A$13:$AE$9989,31,0)</f>
        <v>aws s3 cp s3://rtdc.mdm.uploadarchive.raw/RTDC4026/ "%USERPROFILE%\AppData\Local\Temp\OnboardLogs"\RTDC4026\2016-11-26 --exclude "*" --recursive --include "*20161126*" &amp; "%USERPROFILE%\Documents\GitHub\mrs-test-scripts\Headless Mode &amp; Sideloading\WalkAndUnGZ.bat" "%USERPROFILE%\AppData\Local\Temp\OnboardLogs"\RTDC4026\2016-11-26 &amp; 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</v>
      </c>
      <c r="S21" s="103" t="str">
        <f>VLOOKUP(C21,'Train Runs'!$A$13:$AE$9989,22,0)</f>
        <v>https://search-rtdc-monitor-bjffxe2xuh6vdkpspy63sjmuny.us-east-1.es.amazonaws.com/_plugin/kibana/#/discover/Steve-Slow-Train-Analysis-(2080s-and-2083s)?_g=(refreshInterval:(display:Off,section:0,value:0),time:(from:'2016-11-26 04:02:17-700',mode:absolute,to:'2016-11-26 06:49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 t="shared" si="1"/>
        <v>"C:\Program Files (x86)\AstroGrep\AstroGrep.exe" /spath="%USERPROFILE%\AppData\Local\Temp\OnboardLogs" /stypes="*4026*201611261*" /stext=" 12:.+((SYSTEM_STATE.+slice.+state.+changed )|(ment ac)|(multiple cpu faults)|(system.+state.+changed )|(\[timeout)|(PRM\|1\|D)|(kpr)|(kdp)|(\|lc)|(penalty))" /e /r /s</v>
      </c>
      <c r="U21" s="9" t="str">
        <f t="shared" si="2"/>
        <v>4026</v>
      </c>
      <c r="V21" s="36">
        <f t="shared" si="3"/>
        <v>42700.534479166665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{"issue":{"subject":"","project_id":79,"tracker_id":40,"status_id":1,"priority_id":2,"assigned_to_id":23,"start_date":"2016-11-26","description":"","custom_fields":[{"id":1,"name":"Subdivision","value":"EC"},{"id":4,"name":"Milepost","value":"0.0001"},{"id":17,"name":"Train ID","value":"106-26"},{"id":16,"name":"Locomotive ID","value":"4026"},{"id":130,"name":"Impact","value":""},{"id":150,"name":"Time of Event (Mountain Time)","value":"05:49:39"},{"id":151,"name":"Denver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"%USERPROFILE%\AppData\Local\Temp\OnboardLogs"\RTDC4026\*4026*201611261*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"%USERPROFILE%\AppData\Local\Temp\OnboardLogs"\RTDC4026\*4026*201611261* &gt;&gt; 42700-slicedisagreementcheck.txt</v>
      </c>
    </row>
    <row r="22" spans="1:30" x14ac:dyDescent="0.25">
      <c r="A22" s="36">
        <v>42700.315486111111</v>
      </c>
      <c r="B22" s="31" t="s">
        <v>334</v>
      </c>
      <c r="C22" s="31" t="s">
        <v>397</v>
      </c>
      <c r="D22" s="31" t="s">
        <v>49</v>
      </c>
      <c r="E22" s="31" t="s">
        <v>206</v>
      </c>
      <c r="F22" s="47">
        <v>0</v>
      </c>
      <c r="G22" s="47">
        <v>42</v>
      </c>
      <c r="H22" s="47">
        <v>129</v>
      </c>
      <c r="I22" s="47">
        <v>114</v>
      </c>
      <c r="J22" s="31" t="s">
        <v>207</v>
      </c>
      <c r="K22" s="47">
        <v>1</v>
      </c>
      <c r="L22" s="154" t="s">
        <v>51</v>
      </c>
      <c r="M22" s="155">
        <f t="shared" si="0"/>
        <v>59.664000000000001</v>
      </c>
      <c r="N22" s="156" t="str">
        <f>VLOOKUP(C22,'Trips&amp;Operators'!$C$1:$E$99999,3,FALSE)</f>
        <v>ACKERMAN</v>
      </c>
      <c r="O22" s="182" t="s">
        <v>201</v>
      </c>
      <c r="P22" s="157"/>
      <c r="Q22" s="31"/>
      <c r="R22" s="100" t="str">
        <f>VLOOKUP(C22,'Train Runs'!$A$13:$AE$9989,31,0)</f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S22" s="103" t="str">
        <f>VLOOKUP(C22,'Train Runs'!$A$13:$AE$9989,22,0)</f>
        <v>https://search-rtdc-monitor-bjffxe2xuh6vdkpspy63sjmuny.us-east-1.es.amazonaws.com/_plugin/kibana/#/discover/Steve-Slow-Train-Analysis-(2080s-and-2083s)?_g=(refreshInterval:(display:Off,section:0,value:0),time:(from:'2016-11-26 05:46:49-700',mode:absolute,to:'2016-11-26 08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2" s="105" t="str">
        <f t="shared" si="1"/>
        <v>"C:\Program Files (x86)\AstroGrep\AstroGrep.exe" /spath="%USERPROFILE%\AppData\Local\Temp\OnboardLogs" /stypes="*4032*201611261*" /stext=" 14:.+((SYSTEM_STATE.+slice.+state.+changed )|(ment ac)|(multiple cpu faults)|(system.+state.+changed )|(\[timeout)|(PRM\|1\|D)|(kpr)|(kdp)|(\|lc)|(penalty))" /e /r /s</v>
      </c>
      <c r="U22" s="9" t="str">
        <f t="shared" si="2"/>
        <v>4032</v>
      </c>
      <c r="V22" s="36">
        <f t="shared" si="3"/>
        <v>42700.607152777775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{"issue":{"subject":"","project_id":79,"tracker_id":40,"status_id":1,"priority_id":2,"assigned_to_id":23,"start_date":"2016-11-26","description":"","custom_fields":[{"id":1,"name":"Subdivision","value":"EC"},{"id":4,"name":"Milepost","value":"0.0001"},{"id":17,"name":"Train ID","value":"120-26"},{"id":16,"name":"Locomotive ID","value":"4032"},{"id":130,"name":"Impact","value":""},{"id":150,"name":"Time of Event (Mountain Time)","value":"07:34:18"},{"id":151,"name":"Denver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"%USERPROFILE%\AppData\Local\Temp\OnboardLogs"\RTDC4032\*4032*201611261*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"%USERPROFILE%\AppData\Local\Temp\OnboardLogs"\RTDC4032\*4032*201611261* &gt;&gt; 42700-slicedisagreementcheck.txt</v>
      </c>
    </row>
    <row r="23" spans="1:30" x14ac:dyDescent="0.25">
      <c r="A23" s="36">
        <v>42700.388437499998</v>
      </c>
      <c r="B23" s="31" t="s">
        <v>334</v>
      </c>
      <c r="C23" s="31" t="s">
        <v>401</v>
      </c>
      <c r="D23" s="31" t="s">
        <v>49</v>
      </c>
      <c r="E23" s="31" t="s">
        <v>206</v>
      </c>
      <c r="F23" s="47">
        <v>0</v>
      </c>
      <c r="G23" s="47">
        <v>38</v>
      </c>
      <c r="H23" s="47">
        <v>129</v>
      </c>
      <c r="I23" s="47">
        <v>110</v>
      </c>
      <c r="J23" s="31" t="s">
        <v>207</v>
      </c>
      <c r="K23" s="47">
        <v>1</v>
      </c>
      <c r="L23" s="154" t="s">
        <v>51</v>
      </c>
      <c r="M23" s="155">
        <f t="shared" si="0"/>
        <v>57.552</v>
      </c>
      <c r="N23" s="156" t="str">
        <f>VLOOKUP(C23,'Trips&amp;Operators'!$C$1:$E$99999,3,FALSE)</f>
        <v>ACKERMAN</v>
      </c>
      <c r="O23" s="182" t="s">
        <v>201</v>
      </c>
      <c r="P23" s="157"/>
      <c r="Q23" s="31"/>
      <c r="R23" s="100" t="str">
        <f>VLOOKUP(C23,'Train Runs'!$A$13:$AE$9989,31,0)</f>
        <v>aws s3 cp s3://rtdc.mdm.uploadarchive.raw/RTDC4032/ "%USERPROFILE%\AppData\Local\Temp\OnboardLogs"\RTDC4032\2016-11-26 --exclude "*" --recursive --include "*20161126*" &amp; "%USERPROFILE%\Documents\GitHub\mrs-test-scripts\Headless Mode &amp; Sideloading\WalkAndUnGZ.bat" "%USERPROFILE%\AppData\Local\Temp\OnboardLogs"\RTDC4032\2016-11-26 &amp; aws s3 cp s3://rtdc.mdm.uploadarchive.raw/RTDC4032/ "%USERPROFILE%\AppData\Local\Temp\OnboardLogs"\RTDC4032\2016-11-27 --exclude "*" --recursive --include "*20161127*" &amp; "%USERPROFILE%\Documents\GitHub\mrs-test-scripts\Headless Mode &amp; Sideloading\WalkAndUnGZ.bat" "%USERPROFILE%\AppData\Local\Temp\OnboardLogs"\RTDC4032\2016-11-27</v>
      </c>
      <c r="S23" s="103" t="str">
        <f>VLOOKUP(C23,'Train Runs'!$A$13:$AE$9989,22,0)</f>
        <v>https://search-rtdc-monitor-bjffxe2xuh6vdkpspy63sjmuny.us-east-1.es.amazonaws.com/_plugin/kibana/#/discover/Steve-Slow-Train-Analysis-(2080s-and-2083s)?_g=(refreshInterval:(display:Off,section:0,value:0),time:(from:'2016-11-26 07:30:24-700',mode:absolute,to:'2016-11-26 10:19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5" t="str">
        <f t="shared" si="1"/>
        <v>"C:\Program Files (x86)\AstroGrep\AstroGrep.exe" /spath="%USERPROFILE%\AppData\Local\Temp\OnboardLogs" /stypes="*4032*201611261*" /stext=" 16:.+((SYSTEM_STATE.+slice.+state.+changed )|(ment ac)|(multiple cpu faults)|(system.+state.+changed )|(\[timeout)|(PRM\|1\|D)|(kpr)|(kdp)|(\|lc)|(penalty))" /e /r /s</v>
      </c>
      <c r="U23" s="9" t="str">
        <f t="shared" si="2"/>
        <v>4032</v>
      </c>
      <c r="V23" s="36">
        <f t="shared" si="3"/>
        <v>42700.680104166662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{"issue":{"subject":"","project_id":79,"tracker_id":40,"status_id":1,"priority_id":2,"assigned_to_id":23,"start_date":"2016-11-26","description":"","custom_fields":[{"id":1,"name":"Subdivision","value":"EC"},{"id":4,"name":"Milepost","value":"0.0001"},{"id":17,"name":"Train ID","value":"134-26"},{"id":16,"name":"Locomotive ID","value":"4032"},{"id":130,"name":"Impact","value":""},{"id":150,"name":"Time of Event (Mountain Time)","value":"09:19:21"},{"id":151,"name":"Denver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"%USERPROFILE%\AppData\Local\Temp\OnboardLogs"\RTDC4032\*4032*201611261*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"%USERPROFILE%\AppData\Local\Temp\OnboardLogs"\RTDC4032\*4032*201611261* &gt;&gt; 42700-slicedisagreementcheck.txt</v>
      </c>
    </row>
    <row r="24" spans="1:30" ht="15" customHeight="1" x14ac:dyDescent="0.25">
      <c r="A24" s="36">
        <v>42700.555208333331</v>
      </c>
      <c r="B24" s="31" t="s">
        <v>261</v>
      </c>
      <c r="C24" s="31" t="s">
        <v>405</v>
      </c>
      <c r="D24" s="31" t="s">
        <v>49</v>
      </c>
      <c r="E24" s="31" t="s">
        <v>206</v>
      </c>
      <c r="F24" s="47">
        <v>0</v>
      </c>
      <c r="G24" s="47">
        <v>59</v>
      </c>
      <c r="H24" s="47">
        <v>198</v>
      </c>
      <c r="I24" s="47">
        <v>145</v>
      </c>
      <c r="J24" s="31" t="s">
        <v>207</v>
      </c>
      <c r="K24" s="47">
        <v>1</v>
      </c>
      <c r="L24" s="154" t="s">
        <v>51</v>
      </c>
      <c r="M24" s="155">
        <f t="shared" si="0"/>
        <v>76.031999999999996</v>
      </c>
      <c r="N24" s="156" t="str">
        <f>VLOOKUP(C24,'Trips&amp;Operators'!$C$1:$E$99999,3,FALSE)</f>
        <v>BROWN</v>
      </c>
      <c r="O24" s="182" t="s">
        <v>201</v>
      </c>
      <c r="P24" s="157"/>
      <c r="Q24" s="31"/>
      <c r="R24" s="100" t="str">
        <f>VLOOKUP(C24,'Train Runs'!$A$13:$AE$9989,31,0)</f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S24" s="103" t="str">
        <f>VLOOKUP(C24,'Train Runs'!$A$13:$AE$9989,22,0)</f>
        <v>https://search-rtdc-monitor-bjffxe2xuh6vdkpspy63sjmuny.us-east-1.es.amazonaws.com/_plugin/kibana/#/discover/Steve-Slow-Train-Analysis-(2080s-and-2083s)?_g=(refreshInterval:(display:Off,section:0,value:0),time:(from:'2016-11-26 11:34:09-700',mode:absolute,to:'2016-11-26 14:19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4" s="105" t="str">
        <f t="shared" si="1"/>
        <v>"C:\Program Files (x86)\AstroGrep\AstroGrep.exe" /spath="%USERPROFILE%\AppData\Local\Temp\OnboardLogs" /stypes="*4045*201611262*" /stext=" 20:.+((SYSTEM_STATE.+slice.+state.+changed )|(ment ac)|(multiple cpu faults)|(system.+state.+changed )|(\[timeout)|(PRM\|1\|D)|(kpr)|(kdp)|(\|lc)|(penalty))" /e /r /s</v>
      </c>
      <c r="U24" s="9" t="str">
        <f t="shared" si="2"/>
        <v>4045</v>
      </c>
      <c r="V24" s="36">
        <f t="shared" si="3"/>
        <v>42700.846874999996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{"issue":{"subject":"","project_id":79,"tracker_id":40,"status_id":1,"priority_id":2,"assigned_to_id":23,"start_date":"2016-11-26","description":"","custom_fields":[{"id":1,"name":"Subdivision","value":"EC"},{"id":4,"name":"Milepost","value":"0.0001"},{"id":17,"name":"Train ID","value":"166-26"},{"id":16,"name":"Locomotive ID","value":"4045"},{"id":130,"name":"Impact","value":""},{"id":150,"name":"Time of Event (Mountain Time)","value":"13:19:30"},{"id":151,"name":"Denver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"%USERPROFILE%\AppData\Local\Temp\OnboardLogs"\RTDC4045\*4045*201611262*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"%USERPROFILE%\AppData\Local\Temp\OnboardLogs"\RTDC4045\*4045*201611262* &gt;&gt; 42700-slicedisagreementcheck.txt</v>
      </c>
    </row>
    <row r="25" spans="1:30" x14ac:dyDescent="0.25">
      <c r="A25" s="36">
        <v>42700.431469907409</v>
      </c>
      <c r="B25" s="31" t="s">
        <v>291</v>
      </c>
      <c r="C25" s="31" t="s">
        <v>402</v>
      </c>
      <c r="D25" s="31" t="s">
        <v>49</v>
      </c>
      <c r="E25" s="31" t="s">
        <v>206</v>
      </c>
      <c r="F25" s="47">
        <v>0</v>
      </c>
      <c r="G25" s="47">
        <v>163</v>
      </c>
      <c r="H25" s="47">
        <v>232566</v>
      </c>
      <c r="I25" s="47">
        <v>232855</v>
      </c>
      <c r="J25" s="31" t="s">
        <v>207</v>
      </c>
      <c r="K25" s="47">
        <v>233491</v>
      </c>
      <c r="L25" s="154" t="s">
        <v>50</v>
      </c>
      <c r="M25" s="155">
        <f t="shared" si="0"/>
        <v>335.80799999999999</v>
      </c>
      <c r="N25" s="156" t="str">
        <f>VLOOKUP(C25,'Trips&amp;Operators'!$C$1:$E$99999,3,FALSE)</f>
        <v>DAVIS</v>
      </c>
      <c r="O25" s="182" t="s">
        <v>201</v>
      </c>
      <c r="P25" s="157"/>
      <c r="Q25" s="31"/>
      <c r="R25" s="100" t="str">
        <f>VLOOKUP(C25,'Train Runs'!$A$13:$AE$9989,31,0)</f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S25" s="103" t="str">
        <f>VLOOKUP(C25,'Train Runs'!$A$13:$AE$9989,22,0)</f>
        <v>https://search-rtdc-monitor-bjffxe2xuh6vdkpspy63sjmuny.us-east-1.es.amazonaws.com/_plugin/kibana/#/discover/Steve-Slow-Train-Analysis-(2080s-and-2083s)?_g=(refreshInterval:(display:Off,section:0,value:0),time:(from:'2016-11-26 08:36:56-700',mode:absolute,to:'2016-11-26 11:24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5" s="105" t="str">
        <f t="shared" si="1"/>
        <v>"C:\Program Files (x86)\AstroGrep\AstroGrep.exe" /spath="%USERPROFILE%\AppData\Local\Temp\OnboardLogs" /stypes="*4003*201611261*" /stext=" 17:.+((SYSTEM_STATE.+slice.+state.+changed )|(ment ac)|(multiple cpu faults)|(system.+state.+changed )|(\[timeout)|(PRM\|1\|D)|(kpr)|(kdp)|(\|lc)|(penalty))" /e /r /s</v>
      </c>
      <c r="U25" s="9" t="str">
        <f t="shared" si="2"/>
        <v>4003</v>
      </c>
      <c r="V25" s="36">
        <f t="shared" si="3"/>
        <v>42700.723136574074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{"issue":{"subject":"","project_id":79,"tracker_id":40,"status_id":1,"priority_id":2,"assigned_to_id":23,"start_date":"2016-11-26","description":"","custom_fields":[{"id":1,"name":"Subdivision","value":"EC"},{"id":4,"name":"Milepost","value":"23.3491"},{"id":17,"name":"Train ID","value":"149-26"},{"id":16,"name":"Locomotive ID","value":"4003"},{"id":130,"name":"Impact","value":""},{"id":150,"name":"Time of Event (Mountain Time)","value":"10:21:19"},{"id":151,"name":"Denver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"%USERPROFILE%\AppData\Local\Temp\OnboardLogs"\RTDC4003\*4003*201611261*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"%USERPROFILE%\AppData\Local\Temp\OnboardLogs"\RTDC4003\*4003*201611261* &gt;&gt; 42700-slicedisagreementcheck.txt</v>
      </c>
    </row>
    <row r="26" spans="1:30" x14ac:dyDescent="0.25">
      <c r="A26" s="36">
        <v>42700.431921296295</v>
      </c>
      <c r="B26" s="31" t="s">
        <v>291</v>
      </c>
      <c r="C26" s="31" t="s">
        <v>402</v>
      </c>
      <c r="D26" s="31" t="s">
        <v>49</v>
      </c>
      <c r="E26" s="31" t="s">
        <v>206</v>
      </c>
      <c r="F26" s="47">
        <v>0</v>
      </c>
      <c r="G26" s="47">
        <v>66</v>
      </c>
      <c r="H26" s="47">
        <v>232962</v>
      </c>
      <c r="I26" s="47">
        <v>233027</v>
      </c>
      <c r="J26" s="31" t="s">
        <v>207</v>
      </c>
      <c r="K26" s="47">
        <v>233491</v>
      </c>
      <c r="L26" s="154" t="s">
        <v>50</v>
      </c>
      <c r="M26" s="155">
        <f t="shared" si="0"/>
        <v>244.99199999999999</v>
      </c>
      <c r="N26" s="156" t="str">
        <f>VLOOKUP(C26,'Trips&amp;Operators'!$C$1:$E$99999,3,FALSE)</f>
        <v>DAVIS</v>
      </c>
      <c r="O26" s="182" t="s">
        <v>201</v>
      </c>
      <c r="P26" s="157"/>
      <c r="Q26" s="31"/>
      <c r="R26" s="100" t="str">
        <f>VLOOKUP(C26,'Train Runs'!$A$13:$AE$9989,31,0)</f>
        <v>aws s3 cp s3://rtdc.mdm.uploadarchive.raw/RTDC4003/ "%USERPROFILE%\AppData\Local\Temp\OnboardLogs"\RTDC4003\2016-11-26 --exclude "*" --recursive --include "*20161126*" &amp; "%USERPROFILE%\Documents\GitHub\mrs-test-scripts\Headless Mode &amp; Sideloading\WalkAndUnGZ.bat" "%USERPROFILE%\AppData\Local\Temp\OnboardLogs"\RTDC4003\2016-11-26 &amp; aws s3 cp s3://rtdc.mdm.uploadarchive.raw/RTDC4003/ "%USERPROFILE%\AppData\Local\Temp\OnboardLogs"\RTDC4003\2016-11-27 --exclude "*" --recursive --include "*20161127*" &amp; "%USERPROFILE%\Documents\GitHub\mrs-test-scripts\Headless Mode &amp; Sideloading\WalkAndUnGZ.bat" "%USERPROFILE%\AppData\Local\Temp\OnboardLogs"\RTDC4003\2016-11-27</v>
      </c>
      <c r="S26" s="103" t="str">
        <f>VLOOKUP(C26,'Train Runs'!$A$13:$AE$9989,22,0)</f>
        <v>https://search-rtdc-monitor-bjffxe2xuh6vdkpspy63sjmuny.us-east-1.es.amazonaws.com/_plugin/kibana/#/discover/Steve-Slow-Train-Analysis-(2080s-and-2083s)?_g=(refreshInterval:(display:Off,section:0,value:0),time:(from:'2016-11-26 08:36:56-700',mode:absolute,to:'2016-11-26 11:24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6" s="105" t="str">
        <f t="shared" si="1"/>
        <v>"C:\Program Files (x86)\AstroGrep\AstroGrep.exe" /spath="%USERPROFILE%\AppData\Local\Temp\OnboardLogs" /stypes="*4003*201611261*" /stext=" 17:.+((SYSTEM_STATE.+slice.+state.+changed )|(ment ac)|(multiple cpu faults)|(system.+state.+changed )|(\[timeout)|(PRM\|1\|D)|(kpr)|(kdp)|(\|lc)|(penalty))" /e /r /s</v>
      </c>
      <c r="U26" s="9" t="str">
        <f t="shared" si="2"/>
        <v>4003</v>
      </c>
      <c r="V26" s="36">
        <f t="shared" si="3"/>
        <v>42700.723587962959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{"issue":{"subject":"","project_id":79,"tracker_id":40,"status_id":1,"priority_id":2,"assigned_to_id":23,"start_date":"2016-11-26","description":"","custom_fields":[{"id":1,"name":"Subdivision","value":"EC"},{"id":4,"name":"Milepost","value":"23.3491"},{"id":17,"name":"Train ID","value":"149-26"},{"id":16,"name":"Locomotive ID","value":"4003"},{"id":130,"name":"Impact","value":""},{"id":150,"name":"Time of Event (Mountain Time)","value":"10:21:58"},{"id":151,"name":"Denver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"%USERPROFILE%\AppData\Local\Temp\OnboardLogs"\RTDC4003\*4003*201611261*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"%USERPROFILE%\AppData\Local\Temp\OnboardLogs"\RTDC4003\*4003*201611261* &gt;&gt; 42700-slicedisagreementcheck.txt</v>
      </c>
    </row>
    <row r="27" spans="1:30" x14ac:dyDescent="0.25">
      <c r="A27" s="36">
        <v>42700.619884259257</v>
      </c>
      <c r="B27" s="31" t="s">
        <v>230</v>
      </c>
      <c r="C27" s="31" t="s">
        <v>409</v>
      </c>
      <c r="D27" s="31" t="s">
        <v>49</v>
      </c>
      <c r="E27" s="31" t="s">
        <v>206</v>
      </c>
      <c r="F27" s="47">
        <v>0</v>
      </c>
      <c r="G27" s="47">
        <v>55</v>
      </c>
      <c r="H27" s="47">
        <v>233297</v>
      </c>
      <c r="I27" s="47">
        <v>233340</v>
      </c>
      <c r="J27" s="31" t="s">
        <v>207</v>
      </c>
      <c r="K27" s="47">
        <v>233491</v>
      </c>
      <c r="L27" s="154" t="s">
        <v>50</v>
      </c>
      <c r="M27" s="155">
        <f t="shared" si="0"/>
        <v>79.727999999999994</v>
      </c>
      <c r="N27" s="156" t="str">
        <f>VLOOKUP(C27,'Trips&amp;Operators'!$C$1:$E$99999,3,FALSE)</f>
        <v>STORY</v>
      </c>
      <c r="O27" s="182" t="s">
        <v>201</v>
      </c>
      <c r="P27" s="157"/>
      <c r="Q27" s="31"/>
      <c r="R27" s="100" t="str">
        <f>VLOOKUP(C27,'Train Runs'!$A$13:$AE$9989,31,0)</f>
        <v>aws s3 cp s3://rtdc.mdm.uploadarchive.raw/RTDC4038/ "%USERPROFILE%\AppData\Local\Temp\OnboardLogs"\RTDC4038\2016-11-26 --exclude "*" --recursive --include "*20161126*" &amp; "%USERPROFILE%\Documents\GitHub\mrs-test-scripts\Headless Mode &amp; Sideloading\WalkAndUnGZ.bat" "%USERPROFILE%\AppData\Local\Temp\OnboardLogs"\RTDC4038\2016-11-26 &amp; aws s3 cp s3://rtdc.mdm.uploadarchive.raw/RTDC4038/ "%USERPROFILE%\AppData\Local\Temp\OnboardLogs"\RTDC4038\2016-11-27 --exclude "*" --recursive --include "*20161127*" &amp; "%USERPROFILE%\Documents\GitHub\mrs-test-scripts\Headless Mode &amp; Sideloading\WalkAndUnGZ.bat" "%USERPROFILE%\AppData\Local\Temp\OnboardLogs"\RTDC4038\2016-11-27</v>
      </c>
      <c r="S27" s="103" t="str">
        <f>VLOOKUP(C27,'Train Runs'!$A$13:$AE$9989,22,0)</f>
        <v>https://search-rtdc-monitor-bjffxe2xuh6vdkpspy63sjmuny.us-east-1.es.amazonaws.com/_plugin/kibana/#/discover/Steve-Slow-Train-Analysis-(2080s-and-2083s)?_g=(refreshInterval:(display:Off,section:0,value:0),time:(from:'2016-11-26 13:08:11-700',mode:absolute,to:'2016-11-26 15:52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7" s="105" t="str">
        <f t="shared" si="1"/>
        <v>"C:\Program Files (x86)\AstroGrep\AstroGrep.exe" /spath="%USERPROFILE%\AppData\Local\Temp\OnboardLogs" /stypes="*4038*201611262*" /stext=" 21:.+((SYSTEM_STATE.+slice.+state.+changed )|(ment ac)|(multiple cpu faults)|(system.+state.+changed )|(\[timeout)|(PRM\|1\|D)|(kpr)|(kdp)|(\|lc)|(penalty))" /e /r /s</v>
      </c>
      <c r="U27" s="9" t="str">
        <f t="shared" si="2"/>
        <v>4038</v>
      </c>
      <c r="V27" s="36">
        <f t="shared" si="3"/>
        <v>42700.911550925921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{"issue":{"subject":"","project_id":79,"tracker_id":40,"status_id":1,"priority_id":2,"assigned_to_id":23,"start_date":"2016-11-26","description":"","custom_fields":[{"id":1,"name":"Subdivision","value":"EC"},{"id":4,"name":"Milepost","value":"23.3491"},{"id":17,"name":"Train ID","value":"185-26"},{"id":16,"name":"Locomotive ID","value":"4038"},{"id":130,"name":"Impact","value":""},{"id":150,"name":"Time of Event (Mountain Time)","value":"14:52:38"},{"id":151,"name":"Denver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"%USERPROFILE%\AppData\Local\Temp\OnboardLogs"\RTDC4038\*4038*201611262*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"%USERPROFILE%\AppData\Local\Temp\OnboardLogs"\RTDC4038\*4038*201611262* &gt;&gt; 42700-slicedisagreementcheck.txt</v>
      </c>
    </row>
    <row r="28" spans="1:30" x14ac:dyDescent="0.25">
      <c r="A28" s="36">
        <v>42700.284571759257</v>
      </c>
      <c r="B28" s="31" t="s">
        <v>222</v>
      </c>
      <c r="C28" s="31" t="s">
        <v>396</v>
      </c>
      <c r="D28" s="31" t="s">
        <v>49</v>
      </c>
      <c r="E28" s="31" t="s">
        <v>154</v>
      </c>
      <c r="F28" s="47">
        <v>390</v>
      </c>
      <c r="G28" s="47">
        <v>440</v>
      </c>
      <c r="H28" s="47">
        <v>17023</v>
      </c>
      <c r="I28" s="47">
        <v>15803</v>
      </c>
      <c r="J28" s="31" t="s">
        <v>153</v>
      </c>
      <c r="K28" s="47">
        <v>15777</v>
      </c>
      <c r="L28" s="154" t="s">
        <v>51</v>
      </c>
      <c r="M28" s="155">
        <f t="shared" si="0"/>
        <v>13.728</v>
      </c>
      <c r="N28" s="156" t="str">
        <f>VLOOKUP(C28,'Trips&amp;Operators'!$C$1:$E$99999,3,FALSE)</f>
        <v>OUN</v>
      </c>
      <c r="O28" s="182" t="s">
        <v>251</v>
      </c>
      <c r="P28" s="157" t="s">
        <v>754</v>
      </c>
      <c r="Q28" s="31"/>
      <c r="R28" s="100" t="str">
        <f>VLOOKUP(C28,'Train Runs'!$A$13:$AE$9989,31,0)</f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S28" s="103" t="str">
        <f>VLOOKUP(C28,'Train Runs'!$A$13:$AE$9989,22,0)</f>
        <v>https://search-rtdc-monitor-bjffxe2xuh6vdkpspy63sjmuny.us-east-1.es.amazonaws.com/_plugin/kibana/#/discover/Steve-Slow-Train-Analysis-(2080s-and-2083s)?_g=(refreshInterval:(display:Off,section:0,value:0),time:(from:'2016-11-26 05:36:36-700',mode:absolute,to:'2016-11-26 07:57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8" s="105" t="str">
        <f t="shared" si="1"/>
        <v>"C:\Program Files (x86)\AstroGrep\AstroGrep.exe" /spath="%USERPROFILE%\AppData\Local\Temp\OnboardLogs" /stypes="*4012*201611261*" /stext=" 13:.+((SYSTEM_STATE.+slice.+state.+changed )|(ment ac)|(multiple cpu faults)|(system.+state.+changed )|(\[timeout)|(PRM\|1\|D)|(kpr)|(kdp)|(\|lc)|(penalty))" /e /r /s</v>
      </c>
      <c r="U28" s="9" t="str">
        <f t="shared" si="2"/>
        <v>4012</v>
      </c>
      <c r="V28" s="36">
        <f t="shared" si="3"/>
        <v>42700.576238425921</v>
      </c>
      <c r="W28" s="50" t="str">
        <f t="shared" si="4"/>
        <v>NW</v>
      </c>
      <c r="X28" s="50" t="str">
        <f t="shared" si="5"/>
        <v>KEEP</v>
      </c>
      <c r="Y28" s="119" t="str">
        <f t="shared" si="6"/>
        <v>echo {"issue":{"subject":"Early arrival (41st)","project_id":79,"tracker_id":40,"status_id":1,"priority_id":2,"assigned_to_id":23,"start_date":"2016-11-26","description":"","custom_fields":[{"id":1,"name":"Subdivision","value":"NW"},{"id":4,"name":"Milepost","value":"1.5777"},{"id":17,"name":"Train ID","value":"1802-26"},{"id":16,"name":"Locomotive ID","value":"4012"},{"id":130,"name":"Impact","value":""},{"id":150,"name":"Time of Event (Mountain Time)","value":"06:49:47"},{"id":151,"name":"Denver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"%USERPROFILE%\AppData\Local\Temp\OnboardLogs"\RTDC4012\*4012*201611261*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"%USERPROFILE%\AppData\Local\Temp\OnboardLogs"\RTDC4012\*4012*201611261* &gt;&gt; 42700-slicedisagreementcheck.txt</v>
      </c>
    </row>
    <row r="29" spans="1:30" x14ac:dyDescent="0.25">
      <c r="A29" s="36">
        <v>42700.697013888886</v>
      </c>
      <c r="B29" s="31" t="s">
        <v>222</v>
      </c>
      <c r="C29" s="31" t="s">
        <v>413</v>
      </c>
      <c r="D29" s="31" t="s">
        <v>98</v>
      </c>
      <c r="E29" s="31" t="s">
        <v>202</v>
      </c>
      <c r="F29" s="47">
        <v>150</v>
      </c>
      <c r="G29" s="47">
        <v>215</v>
      </c>
      <c r="H29" s="47">
        <v>56952</v>
      </c>
      <c r="I29" s="47">
        <v>56355</v>
      </c>
      <c r="J29" s="31" t="s">
        <v>203</v>
      </c>
      <c r="K29" s="47">
        <v>59050</v>
      </c>
      <c r="L29" s="154" t="s">
        <v>51</v>
      </c>
      <c r="M29" s="155">
        <f t="shared" si="0"/>
        <v>-1422.9600000000003</v>
      </c>
      <c r="N29" s="156" t="str">
        <f>VLOOKUP(C29,'Trips&amp;Operators'!$C$1:$E$99999,3,FALSE)</f>
        <v>ADANE</v>
      </c>
      <c r="O29" s="182" t="s">
        <v>201</v>
      </c>
      <c r="P29" s="157"/>
      <c r="Q29" s="31"/>
      <c r="R29" s="100" t="str">
        <f>VLOOKUP(C29,'Train Runs'!$A$13:$AE$9989,31,0)</f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S29" s="103" t="str">
        <f>VLOOKUP(C29,'Train Runs'!$A$13:$AE$9989,22,0)</f>
        <v>https://search-rtdc-monitor-bjffxe2xuh6vdkpspy63sjmuny.us-east-1.es.amazonaws.com/_plugin/kibana/#/discover/Steve-Slow-Train-Analysis-(2080s-and-2083s)?_g=(refreshInterval:(display:Off,section:0,value:0),time:(from:'2016-11-26 15:35:38-700',mode:absolute,to:'2016-11-26 18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9" s="105" t="str">
        <f t="shared" si="1"/>
        <v>"C:\Program Files (x86)\AstroGrep\AstroGrep.exe" /spath="%USERPROFILE%\AppData\Local\Temp\OnboardLogs" /stypes="*4012*201611262*" /stext=" 23:.+((SYSTEM_STATE.+slice.+state.+changed )|(ment ac)|(multiple cpu faults)|(system.+state.+changed )|(\[timeout)|(PRM\|1\|D)|(kpr)|(kdp)|(\|lc)|(penalty))" /e /r /s</v>
      </c>
      <c r="U29" s="9" t="str">
        <f t="shared" si="2"/>
        <v>4012</v>
      </c>
      <c r="V29" s="36">
        <f t="shared" si="3"/>
        <v>42700.988680555551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{"issue":{"subject":"","project_id":79,"tracker_id":40,"status_id":1,"priority_id":2,"assigned_to_id":23,"start_date":"2016-11-26","description":"","custom_fields":[{"id":1,"name":"Subdivision","value":"NW"},{"id":4,"name":"Milepost","value":"5.905"},{"id":17,"name":"Train ID","value":"1822-26"},{"id":16,"name":"Locomotive ID","value":"4012"},{"id":130,"name":"Impact","value":""},{"id":150,"name":"Time of Event (Mountain Time)","value":"16:43:42"},{"id":151,"name":"Denver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"%USERPROFILE%\AppData\Local\Temp\OnboardLogs"\RTDC4012\*4012*201611262*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"%USERPROFILE%\AppData\Local\Temp\OnboardLogs"\RTDC4012\*4012*201611262* &gt;&gt; 42700-slicedisagreementcheck.txt</v>
      </c>
    </row>
    <row r="30" spans="1:30" ht="15" customHeight="1" x14ac:dyDescent="0.25">
      <c r="A30" s="36">
        <v>42700.787835648145</v>
      </c>
      <c r="B30" s="31" t="s">
        <v>222</v>
      </c>
      <c r="C30" s="31" t="s">
        <v>415</v>
      </c>
      <c r="D30" s="31" t="s">
        <v>49</v>
      </c>
      <c r="E30" s="31" t="s">
        <v>206</v>
      </c>
      <c r="F30" s="47">
        <v>0</v>
      </c>
      <c r="G30" s="47">
        <v>33</v>
      </c>
      <c r="H30" s="47">
        <v>671</v>
      </c>
      <c r="I30" s="47">
        <v>647</v>
      </c>
      <c r="J30" s="31" t="s">
        <v>207</v>
      </c>
      <c r="K30" s="47">
        <v>575</v>
      </c>
      <c r="L30" s="154" t="s">
        <v>51</v>
      </c>
      <c r="M30" s="155">
        <f t="shared" si="0"/>
        <v>38.015999999999998</v>
      </c>
      <c r="N30" s="156" t="str">
        <f>VLOOKUP(C30,'Trips&amp;Operators'!$C$1:$E$99999,3,FALSE)</f>
        <v>ADANE</v>
      </c>
      <c r="O30" s="182" t="s">
        <v>201</v>
      </c>
      <c r="P30" s="157"/>
      <c r="Q30" s="31"/>
      <c r="R30" s="100" t="str">
        <f>VLOOKUP(C30,'Train Runs'!$A$13:$AE$9989,31,0)</f>
        <v>aws s3 cp s3://rtdc.mdm.uploadarchive.raw/RTDC4012/ "%USERPROFILE%\AppData\Local\Temp\OnboardLogs"\RTDC4012\2016-11-26 --exclude "*" --recursive --include "*20161126*" &amp; "%USERPROFILE%\Documents\GitHub\mrs-test-scripts\Headless Mode &amp; Sideloading\WalkAndUnGZ.bat" "%USERPROFILE%\AppData\Local\Temp\OnboardLogs"\RTDC4012\2016-11-26 &amp; aws s3 cp s3://rtdc.mdm.uploadarchive.raw/RTDC4012/ "%USERPROFILE%\AppData\Local\Temp\OnboardLogs"\RTDC4012\2016-11-27 --exclude "*" --recursive --include "*20161127*" &amp; "%USERPROFILE%\Documents\GitHub\mrs-test-scripts\Headless Mode &amp; Sideloading\WalkAndUnGZ.bat" "%USERPROFILE%\AppData\Local\Temp\OnboardLogs"\RTDC4012\2016-11-27</v>
      </c>
      <c r="S30" s="103" t="str">
        <f>VLOOKUP(C30,'Train Runs'!$A$13:$AE$9989,22,0)</f>
        <v>https://search-rtdc-monitor-bjffxe2xuh6vdkpspy63sjmuny.us-east-1.es.amazonaws.com/_plugin/kibana/#/discover/Steve-Slow-Train-Analysis-(2080s-and-2083s)?_g=(refreshInterval:(display:Off,section:0,value:0),time:(from:'2016-11-26 17:36:33-700',mode:absolute,to:'2016-11-26 19:54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0" s="105" t="str">
        <f t="shared" si="1"/>
        <v>"C:\Program Files (x86)\AstroGrep\AstroGrep.exe" /spath="%USERPROFILE%\AppData\Local\Temp\OnboardLogs" /stypes="*4012*201611270*" /stext=" 01:.+((SYSTEM_STATE.+slice.+state.+changed )|(ment ac)|(multiple cpu faults)|(system.+state.+changed )|(\[timeout)|(PRM\|1\|D)|(kpr)|(kdp)|(\|lc)|(penalty))" /e /r /s</v>
      </c>
      <c r="U30" s="9" t="str">
        <f t="shared" si="2"/>
        <v>4012</v>
      </c>
      <c r="V30" s="36">
        <f t="shared" si="3"/>
        <v>42701.079502314809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{"issue":{"subject":"","project_id":79,"tracker_id":40,"status_id":1,"priority_id":2,"assigned_to_id":23,"start_date":"2016-11-26","description":"","custom_fields":[{"id":1,"name":"Subdivision","value":"NW"},{"id":4,"name":"Milepost","value":"0.0575"},{"id":17,"name":"Train ID","value":"1826-26"},{"id":16,"name":"Locomotive ID","value":"4012"},{"id":130,"name":"Impact","value":""},{"id":150,"name":"Time of Event (Mountain Time)","value":"18:54:29"},{"id":151,"name":"Denver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"%USERPROFILE%\AppData\Local\Temp\OnboardLogs"\RTDC4012\*4012*201611270*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"%USERPROFILE%\AppData\Local\Temp\OnboardLogs"\RTDC4012\*4012*201611270* &gt;&gt; 42700-slicedisagreementcheck.txt</v>
      </c>
    </row>
    <row r="31" spans="1:30" ht="15" customHeight="1" x14ac:dyDescent="0.25">
      <c r="A31" s="36">
        <v>42700.357164351852</v>
      </c>
      <c r="B31" s="31" t="s">
        <v>214</v>
      </c>
      <c r="C31" s="31" t="s">
        <v>398</v>
      </c>
      <c r="D31" s="31" t="s">
        <v>49</v>
      </c>
      <c r="E31" s="31" t="s">
        <v>206</v>
      </c>
      <c r="F31" s="47">
        <v>0</v>
      </c>
      <c r="G31" s="47">
        <v>153</v>
      </c>
      <c r="H31" s="47">
        <v>57925</v>
      </c>
      <c r="I31" s="47">
        <v>58092</v>
      </c>
      <c r="J31" s="31" t="s">
        <v>207</v>
      </c>
      <c r="K31" s="47">
        <v>59048</v>
      </c>
      <c r="L31" s="154" t="s">
        <v>50</v>
      </c>
      <c r="M31" s="155">
        <f t="shared" si="0"/>
        <v>504.76799999999997</v>
      </c>
      <c r="N31" s="156" t="str">
        <f>VLOOKUP(C31,'Trips&amp;Operators'!$C$1:$E$99999,3,FALSE)</f>
        <v>OUN</v>
      </c>
      <c r="O31" s="182" t="s">
        <v>201</v>
      </c>
      <c r="P31" s="157"/>
      <c r="Q31" s="31"/>
      <c r="R31" s="100" t="str">
        <f>VLOOKUP(C31,'Train Runs'!$A$13:$AE$9989,31,0)</f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S31" s="103" t="str">
        <f>VLOOKUP(C31,'Train Runs'!$A$13:$AE$9989,22,0)</f>
        <v>https://search-rtdc-monitor-bjffxe2xuh6vdkpspy63sjmuny.us-east-1.es.amazonaws.com/_plugin/kibana/#/discover/Steve-Slow-Train-Analysis-(2080s-and-2083s)?_g=(refreshInterval:(display:Off,section:0,value:0),time:(from:'2016-11-26 07:05:20-700',mode:absolute,to:'2016-11-26 09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1" s="105" t="str">
        <f t="shared" si="1"/>
        <v>"C:\Program Files (x86)\AstroGrep\AstroGrep.exe" /spath="%USERPROFILE%\AppData\Local\Temp\OnboardLogs" /stypes="*4011*201611261*" /stext=" 15:.+((SYSTEM_STATE.+slice.+state.+changed )|(ment ac)|(multiple cpu faults)|(system.+state.+changed )|(\[timeout)|(PRM\|1\|D)|(kpr)|(kdp)|(\|lc)|(penalty))" /e /r /s</v>
      </c>
      <c r="U31" s="9" t="str">
        <f t="shared" si="2"/>
        <v>4011</v>
      </c>
      <c r="V31" s="36">
        <f t="shared" si="3"/>
        <v>42700.648831018516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{"issue":{"subject":"","project_id":79,"tracker_id":40,"status_id":1,"priority_id":2,"assigned_to_id":23,"start_date":"2016-11-26","description":"","custom_fields":[{"id":1,"name":"Subdivision","value":"NW"},{"id":4,"name":"Milepost","value":"5.9048"},{"id":17,"name":"Train ID","value":"1805-26"},{"id":16,"name":"Locomotive ID","value":"4011"},{"id":130,"name":"Impact","value":""},{"id":150,"name":"Time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"%USERPROFILE%\AppData\Local\Temp\OnboardLogs"\RTDC4011\*4011*201611261*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"%USERPROFILE%\AppData\Local\Temp\OnboardLogs"\RTDC4011\*4011*201611261* &gt;&gt; 42700-slicedisagreementcheck.txt</v>
      </c>
    </row>
    <row r="32" spans="1:30" x14ac:dyDescent="0.25">
      <c r="A32" s="36">
        <v>42700.358090277776</v>
      </c>
      <c r="B32" s="31" t="s">
        <v>214</v>
      </c>
      <c r="C32" s="31" t="s">
        <v>398</v>
      </c>
      <c r="D32" s="31" t="s">
        <v>49</v>
      </c>
      <c r="E32" s="31" t="s">
        <v>206</v>
      </c>
      <c r="F32" s="47">
        <v>0</v>
      </c>
      <c r="G32" s="47">
        <v>39</v>
      </c>
      <c r="H32" s="47">
        <v>58935</v>
      </c>
      <c r="I32" s="47">
        <v>58952</v>
      </c>
      <c r="J32" s="31" t="s">
        <v>207</v>
      </c>
      <c r="K32" s="47">
        <v>59048</v>
      </c>
      <c r="L32" s="154" t="s">
        <v>50</v>
      </c>
      <c r="M32" s="155">
        <f t="shared" si="0"/>
        <v>50.688000000000002</v>
      </c>
      <c r="N32" s="156" t="str">
        <f>VLOOKUP(C32,'Trips&amp;Operators'!$C$1:$E$99999,3,FALSE)</f>
        <v>OUN</v>
      </c>
      <c r="O32" s="182" t="s">
        <v>201</v>
      </c>
      <c r="P32" s="157"/>
      <c r="Q32" s="31"/>
      <c r="R32" s="100" t="str">
        <f>VLOOKUP(C32,'Train Runs'!$A$13:$AE$9989,31,0)</f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S32" s="103" t="str">
        <f>VLOOKUP(C32,'Train Runs'!$A$13:$AE$9989,22,0)</f>
        <v>https://search-rtdc-monitor-bjffxe2xuh6vdkpspy63sjmuny.us-east-1.es.amazonaws.com/_plugin/kibana/#/discover/Steve-Slow-Train-Analysis-(2080s-and-2083s)?_g=(refreshInterval:(display:Off,section:0,value:0),time:(from:'2016-11-26 07:05:20-700',mode:absolute,to:'2016-11-26 09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2" s="105" t="str">
        <f t="shared" si="1"/>
        <v>"C:\Program Files (x86)\AstroGrep\AstroGrep.exe" /spath="%USERPROFILE%\AppData\Local\Temp\OnboardLogs" /stypes="*4011*201611261*" /stext=" 15:.+((SYSTEM_STATE.+slice.+state.+changed )|(ment ac)|(multiple cpu faults)|(system.+state.+changed )|(\[timeout)|(PRM\|1\|D)|(kpr)|(kdp)|(\|lc)|(penalty))" /e /r /s</v>
      </c>
      <c r="U32" s="9" t="str">
        <f t="shared" si="2"/>
        <v>4011</v>
      </c>
      <c r="V32" s="36">
        <f t="shared" si="3"/>
        <v>42700.64975694444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{"issue":{"subject":"","project_id":79,"tracker_id":40,"status_id":1,"priority_id":2,"assigned_to_id":23,"start_date":"2016-11-26","description":"","custom_fields":[{"id":1,"name":"Subdivision","value":"NW"},{"id":4,"name":"Milepost","value":"5.9048"},{"id":17,"name":"Train ID","value":"1805-26"},{"id":16,"name":"Locomotive ID","value":"4011"},{"id":130,"name":"Impact","value":""},{"id":150,"name":"Time of Event (Mountain Time)","value":"08:35:39"},{"id":151,"name":"Denver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"%USERPROFILE%\AppData\Local\Temp\OnboardLogs"\RTDC4011\*4011*201611261*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"%USERPROFILE%\AppData\Local\Temp\OnboardLogs"\RTDC4011\*4011*201611261* &gt;&gt; 42700-slicedisagreementcheck.txt</v>
      </c>
    </row>
    <row r="33" spans="1:30" x14ac:dyDescent="0.25">
      <c r="A33" s="36">
        <v>42700.524027777778</v>
      </c>
      <c r="B33" s="31" t="s">
        <v>214</v>
      </c>
      <c r="C33" s="31" t="s">
        <v>404</v>
      </c>
      <c r="D33" s="31" t="s">
        <v>49</v>
      </c>
      <c r="E33" s="31" t="s">
        <v>206</v>
      </c>
      <c r="F33" s="47">
        <v>0</v>
      </c>
      <c r="G33" s="47">
        <v>40</v>
      </c>
      <c r="H33" s="47">
        <v>58956</v>
      </c>
      <c r="I33" s="47">
        <v>58976</v>
      </c>
      <c r="J33" s="31" t="s">
        <v>207</v>
      </c>
      <c r="K33" s="47">
        <v>59048</v>
      </c>
      <c r="L33" s="154" t="s">
        <v>50</v>
      </c>
      <c r="M33" s="155">
        <f t="shared" si="0"/>
        <v>38.015999999999998</v>
      </c>
      <c r="N33" s="156" t="str">
        <f>VLOOKUP(C33,'Trips&amp;Operators'!$C$1:$E$99999,3,FALSE)</f>
        <v>OUN</v>
      </c>
      <c r="O33" s="182" t="s">
        <v>201</v>
      </c>
      <c r="P33" s="157"/>
      <c r="Q33" s="31"/>
      <c r="R33" s="100" t="str">
        <f>VLOOKUP(C33,'Train Runs'!$A$13:$AE$9989,31,0)</f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S33" s="103" t="str">
        <f>VLOOKUP(C33,'Train Runs'!$A$13:$AE$9989,22,0)</f>
        <v>https://search-rtdc-monitor-bjffxe2xuh6vdkpspy63sjmuny.us-east-1.es.amazonaws.com/_plugin/kibana/#/discover/Steve-Slow-Train-Analysis-(2080s-and-2083s)?_g=(refreshInterval:(display:Off,section:0,value:0),time:(from:'2016-11-26 11:12:05-700',mode:absolute,to:'2016-11-26 13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3" s="105" t="str">
        <f t="shared" si="1"/>
        <v>"C:\Program Files (x86)\AstroGrep\AstroGrep.exe" /spath="%USERPROFILE%\AppData\Local\Temp\OnboardLogs" /stypes="*4011*201611261*" /stext=" 19:.+((SYSTEM_STATE.+slice.+state.+changed )|(ment ac)|(multiple cpu faults)|(system.+state.+changed )|(\[timeout)|(PRM\|1\|D)|(kpr)|(kdp)|(\|lc)|(penalty))" /e /r /s</v>
      </c>
      <c r="U33" s="9" t="str">
        <f t="shared" si="2"/>
        <v>4011</v>
      </c>
      <c r="V33" s="36">
        <f t="shared" si="3"/>
        <v>42700.815694444442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{"issue":{"subject":"","project_id":79,"tracker_id":40,"status_id":1,"priority_id":2,"assigned_to_id":23,"start_date":"2016-11-26","description":"","custom_fields":[{"id":1,"name":"Subdivision","value":"NW"},{"id":4,"name":"Milepost","value":"5.9048"},{"id":17,"name":"Train ID","value":"1813-26"},{"id":16,"name":"Locomotive ID","value":"4011"},{"id":130,"name":"Impact","value":""},{"id":150,"name":"Time of Event (Mountain Time)","value":"12:34:36"},{"id":151,"name":"Denver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"%USERPROFILE%\AppData\Local\Temp\OnboardLogs"\RTDC4011\*4011*201611261*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"%USERPROFILE%\AppData\Local\Temp\OnboardLogs"\RTDC4011\*4011*201611261* &gt;&gt; 42700-slicedisagreementcheck.txt</v>
      </c>
    </row>
    <row r="34" spans="1:30" x14ac:dyDescent="0.25">
      <c r="A34" s="36">
        <v>42700.607465277775</v>
      </c>
      <c r="B34" s="31" t="s">
        <v>214</v>
      </c>
      <c r="C34" s="31" t="s">
        <v>408</v>
      </c>
      <c r="D34" s="31" t="s">
        <v>49</v>
      </c>
      <c r="E34" s="31" t="s">
        <v>206</v>
      </c>
      <c r="F34" s="47">
        <v>0</v>
      </c>
      <c r="G34" s="47">
        <v>18</v>
      </c>
      <c r="H34" s="47">
        <v>59012</v>
      </c>
      <c r="I34" s="47">
        <v>59018</v>
      </c>
      <c r="J34" s="31" t="s">
        <v>207</v>
      </c>
      <c r="K34" s="47">
        <v>59048</v>
      </c>
      <c r="L34" s="154" t="s">
        <v>50</v>
      </c>
      <c r="M34" s="155">
        <f t="shared" si="0"/>
        <v>15.84</v>
      </c>
      <c r="N34" s="156" t="str">
        <f>VLOOKUP(C34,'Trips&amp;Operators'!$C$1:$E$99999,3,FALSE)</f>
        <v>ADANE</v>
      </c>
      <c r="O34" s="182" t="s">
        <v>201</v>
      </c>
      <c r="P34" s="157"/>
      <c r="Q34" s="31"/>
      <c r="R34" s="100" t="str">
        <f>VLOOKUP(C34,'Train Runs'!$A$13:$AE$9989,31,0)</f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S34" s="103" t="str">
        <f>VLOOKUP(C34,'Train Runs'!$A$13:$AE$9989,22,0)</f>
        <v>https://search-rtdc-monitor-bjffxe2xuh6vdkpspy63sjmuny.us-east-1.es.amazonaws.com/_plugin/kibana/#/discover/Steve-Slow-Train-Analysis-(2080s-and-2083s)?_g=(refreshInterval:(display:Off,section:0,value:0),time:(from:'2016-11-26 13:12:57-700',mode:absolute,to:'2016-11-26 15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4" s="105" t="str">
        <f t="shared" si="1"/>
        <v>"C:\Program Files (x86)\AstroGrep\AstroGrep.exe" /spath="%USERPROFILE%\AppData\Local\Temp\OnboardLogs" /stypes="*4011*201611262*" /stext=" 21:.+((SYSTEM_STATE.+slice.+state.+changed )|(ment ac)|(multiple cpu faults)|(system.+state.+changed )|(\[timeout)|(PRM\|1\|D)|(kpr)|(kdp)|(\|lc)|(penalty))" /e /r /s</v>
      </c>
      <c r="U34" s="9" t="str">
        <f t="shared" si="2"/>
        <v>4011</v>
      </c>
      <c r="V34" s="36">
        <f t="shared" si="3"/>
        <v>42700.899131944439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{"issue":{"subject":"","project_id":79,"tracker_id":40,"status_id":1,"priority_id":2,"assigned_to_id":23,"start_date":"2016-11-26","description":"","custom_fields":[{"id":1,"name":"Subdivision","value":"NW"},{"id":4,"name":"Milepost","value":"5.9048"},{"id":17,"name":"Train ID","value":"1817-26"},{"id":16,"name":"Locomotive ID","value":"4011"},{"id":130,"name":"Impact","value":""},{"id":150,"name":"Time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"%USERPROFILE%\AppData\Local\Temp\OnboardLogs"\RTDC4011\*4011*201611262*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"%USERPROFILE%\AppData\Local\Temp\OnboardLogs"\RTDC4011\*4011*201611262* &gt;&gt; 42700-slicedisagreementcheck.txt</v>
      </c>
    </row>
    <row r="35" spans="1:30" x14ac:dyDescent="0.25">
      <c r="A35" s="36">
        <v>42700.649143518516</v>
      </c>
      <c r="B35" s="31" t="s">
        <v>214</v>
      </c>
      <c r="C35" s="31" t="s">
        <v>411</v>
      </c>
      <c r="D35" s="31" t="s">
        <v>49</v>
      </c>
      <c r="E35" s="31" t="s">
        <v>206</v>
      </c>
      <c r="F35" s="47">
        <v>0</v>
      </c>
      <c r="G35" s="47">
        <v>19</v>
      </c>
      <c r="H35" s="47">
        <v>59025</v>
      </c>
      <c r="I35" s="47">
        <v>59033</v>
      </c>
      <c r="J35" s="31" t="s">
        <v>207</v>
      </c>
      <c r="K35" s="47">
        <v>59048</v>
      </c>
      <c r="L35" s="154" t="s">
        <v>50</v>
      </c>
      <c r="M35" s="155">
        <f t="shared" si="0"/>
        <v>7.92</v>
      </c>
      <c r="N35" s="156" t="str">
        <f>VLOOKUP(C35,'Trips&amp;Operators'!$C$1:$E$99999,3,FALSE)</f>
        <v>ADANE</v>
      </c>
      <c r="O35" s="182" t="s">
        <v>201</v>
      </c>
      <c r="P35" s="157"/>
      <c r="Q35" s="31"/>
      <c r="R35" s="100" t="str">
        <f>VLOOKUP(C35,'Train Runs'!$A$13:$AE$9989,31,0)</f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S35" s="103" t="str">
        <f>VLOOKUP(C35,'Train Runs'!$A$13:$AE$9989,22,0)</f>
        <v>https://search-rtdc-monitor-bjffxe2xuh6vdkpspy63sjmuny.us-east-1.es.amazonaws.com/_plugin/kibana/#/discover/Steve-Slow-Train-Analysis-(2080s-and-2083s)?_g=(refreshInterval:(display:Off,section:0,value:0),time:(from:'2016-11-26 13:57:14-700',mode:absolute,to:'2016-11-26 16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5" s="105" t="str">
        <f t="shared" si="1"/>
        <v>"C:\Program Files (x86)\AstroGrep\AstroGrep.exe" /spath="%USERPROFILE%\AppData\Local\Temp\OnboardLogs" /stypes="*4011*201611262*" /stext=" 22:.+((SYSTEM_STATE.+slice.+state.+changed )|(ment ac)|(multiple cpu faults)|(system.+state.+changed )|(\[timeout)|(PRM\|1\|D)|(kpr)|(kdp)|(\|lc)|(penalty))" /e /r /s</v>
      </c>
      <c r="U35" s="9" t="str">
        <f t="shared" si="2"/>
        <v>4011</v>
      </c>
      <c r="V35" s="36">
        <f t="shared" si="3"/>
        <v>42700.94081018518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{"issue":{"subject":"","project_id":79,"tracker_id":40,"status_id":1,"priority_id":2,"assigned_to_id":23,"start_date":"2016-11-26","description":"","custom_fields":[{"id":1,"name":"Subdivision","value":"NW"},{"id":4,"name":"Milepost","value":"5.9048"},{"id":17,"name":"Train ID","value":"1819-26"},{"id":16,"name":"Locomotive ID","value":"4011"},{"id":130,"name":"Impact","value":""},{"id":150,"name":"Time of Event (Mountain Time)","value":"15:34:46"},{"id":151,"name":"Denver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"%USERPROFILE%\AppData\Local\Temp\OnboardLogs"\RTDC4011\*4011*201611262*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"%USERPROFILE%\AppData\Local\Temp\OnboardLogs"\RTDC4011\*4011*201611262* &gt;&gt; 42700-slicedisagreementcheck.txt</v>
      </c>
    </row>
    <row r="36" spans="1:30" x14ac:dyDescent="0.25">
      <c r="A36" s="36">
        <v>42700.690428240741</v>
      </c>
      <c r="B36" s="31" t="s">
        <v>214</v>
      </c>
      <c r="C36" s="31" t="s">
        <v>412</v>
      </c>
      <c r="D36" s="31" t="s">
        <v>49</v>
      </c>
      <c r="E36" s="31" t="s">
        <v>206</v>
      </c>
      <c r="F36" s="47">
        <v>0</v>
      </c>
      <c r="G36" s="47">
        <v>31</v>
      </c>
      <c r="H36" s="47">
        <v>59010</v>
      </c>
      <c r="I36" s="47">
        <v>59024</v>
      </c>
      <c r="J36" s="31" t="s">
        <v>207</v>
      </c>
      <c r="K36" s="47">
        <v>59048</v>
      </c>
      <c r="L36" s="154" t="s">
        <v>50</v>
      </c>
      <c r="M36" s="155">
        <f t="shared" si="0"/>
        <v>12.672000000000001</v>
      </c>
      <c r="N36" s="156" t="str">
        <f>VLOOKUP(C36,'Trips&amp;Operators'!$C$1:$E$99999,3,FALSE)</f>
        <v>ADANE</v>
      </c>
      <c r="O36" s="182" t="s">
        <v>201</v>
      </c>
      <c r="P36" s="157"/>
      <c r="Q36" s="31"/>
      <c r="R36" s="100" t="str">
        <f>VLOOKUP(C36,'Train Runs'!$A$13:$AE$9989,31,0)</f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S36" s="103" t="str">
        <f>VLOOKUP(C36,'Train Runs'!$A$13:$AE$9989,22,0)</f>
        <v>https://search-rtdc-monitor-bjffxe2xuh6vdkpspy63sjmuny.us-east-1.es.amazonaws.com/_plugin/kibana/#/discover/Steve-Slow-Train-Analysis-(2080s-and-2083s)?_g=(refreshInterval:(display:Off,section:0,value:0),time:(from:'2016-11-26 14:57:36-700',mode:absolute,to:'2016-11-26 17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6" s="105" t="str">
        <f t="shared" si="1"/>
        <v>"C:\Program Files (x86)\AstroGrep\AstroGrep.exe" /spath="%USERPROFILE%\AppData\Local\Temp\OnboardLogs" /stypes="*4011*201611262*" /stext=" 23:.+((SYSTEM_STATE.+slice.+state.+changed )|(ment ac)|(multiple cpu faults)|(system.+state.+changed )|(\[timeout)|(PRM\|1\|D)|(kpr)|(kdp)|(\|lc)|(penalty))" /e /r /s</v>
      </c>
      <c r="U36" s="9" t="str">
        <f t="shared" si="2"/>
        <v>4011</v>
      </c>
      <c r="V36" s="36">
        <f t="shared" si="3"/>
        <v>42700.982094907406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{"issue":{"subject":"","project_id":79,"tracker_id":40,"status_id":1,"priority_id":2,"assigned_to_id":23,"start_date":"2016-11-26","description":"","custom_fields":[{"id":1,"name":"Subdivision","value":"NW"},{"id":4,"name":"Milepost","value":"5.9048"},{"id":17,"name":"Train ID","value":"1821-26"},{"id":16,"name":"Locomotive ID","value":"4011"},{"id":130,"name":"Impact","value":""},{"id":150,"name":"Time of Event (Mountain Time)","value":"16:34:13"},{"id":151,"name":"Denver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"%USERPROFILE%\AppData\Local\Temp\OnboardLogs"\RTDC4011\*4011*201611262*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"%USERPROFILE%\AppData\Local\Temp\OnboardLogs"\RTDC4011\*4011*201611262* &gt;&gt; 42700-slicedisagreementcheck.txt</v>
      </c>
    </row>
    <row r="37" spans="1:30" x14ac:dyDescent="0.25">
      <c r="A37" s="36">
        <v>42700.857372685183</v>
      </c>
      <c r="B37" s="31" t="s">
        <v>214</v>
      </c>
      <c r="C37" s="31" t="s">
        <v>418</v>
      </c>
      <c r="D37" s="31" t="s">
        <v>49</v>
      </c>
      <c r="E37" s="31" t="s">
        <v>206</v>
      </c>
      <c r="F37" s="47">
        <v>0</v>
      </c>
      <c r="G37" s="47">
        <v>50</v>
      </c>
      <c r="H37" s="47">
        <v>58922</v>
      </c>
      <c r="I37" s="47">
        <v>58961</v>
      </c>
      <c r="J37" s="31" t="s">
        <v>207</v>
      </c>
      <c r="K37" s="47">
        <v>59048</v>
      </c>
      <c r="L37" s="154" t="s">
        <v>50</v>
      </c>
      <c r="M37" s="155">
        <f t="shared" si="0"/>
        <v>45.936</v>
      </c>
      <c r="N37" s="156" t="str">
        <f>VLOOKUP(C37,'Trips&amp;Operators'!$C$1:$E$99999,3,FALSE)</f>
        <v>ADANE</v>
      </c>
      <c r="O37" s="182" t="s">
        <v>201</v>
      </c>
      <c r="P37" s="157"/>
      <c r="Q37" s="31"/>
      <c r="R37" s="100" t="str">
        <f>VLOOKUP(C37,'Train Runs'!$A$13:$AE$9989,31,0)</f>
        <v>aws s3 cp s3://rtdc.mdm.uploadarchive.raw/RTDC4011/ "%USERPROFILE%\AppData\Local\Temp\OnboardLogs"\RTDC4011\2016-11-26 --exclude "*" --recursive --include "*20161126*" &amp; "%USERPROFILE%\Documents\GitHub\mrs-test-scripts\Headless Mode &amp; Sideloading\WalkAndUnGZ.bat" "%USERPROFILE%\AppData\Local\Temp\OnboardLogs"\RTDC4011\2016-11-26 &amp; aws s3 cp s3://rtdc.mdm.uploadarchive.raw/RTDC4011/ "%USERPROFILE%\AppData\Local\Temp\OnboardLogs"\RTDC4011\2016-11-27 --exclude "*" --recursive --include "*20161127*" &amp; "%USERPROFILE%\Documents\GitHub\mrs-test-scripts\Headless Mode &amp; Sideloading\WalkAndUnGZ.bat" "%USERPROFILE%\AppData\Local\Temp\OnboardLogs"\RTDC4011\2016-11-27</v>
      </c>
      <c r="S37" s="103" t="str">
        <f>VLOOKUP(C37,'Train Runs'!$A$13:$AE$9989,22,0)</f>
        <v>https://search-rtdc-monitor-bjffxe2xuh6vdkpspy63sjmuny.us-east-1.es.amazonaws.com/_plugin/kibana/#/discover/Steve-Slow-Train-Analysis-(2080s-and-2083s)?_g=(refreshInterval:(display:Off,section:0,value:0),time:(from:'2016-11-26 18:58:13-700',mode:absolute,to:'2016-11-26 21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7" s="105" t="str">
        <f t="shared" si="1"/>
        <v>"C:\Program Files (x86)\AstroGrep\AstroGrep.exe" /spath="%USERPROFILE%\AppData\Local\Temp\OnboardLogs" /stypes="*4011*201611270*" /stext=" 03:.+((SYSTEM_STATE.+slice.+state.+changed )|(ment ac)|(multiple cpu faults)|(system.+state.+changed )|(\[timeout)|(PRM\|1\|D)|(kpr)|(kdp)|(\|lc)|(penalty))" /e /r /s</v>
      </c>
      <c r="U37" s="9" t="str">
        <f t="shared" si="2"/>
        <v>4011</v>
      </c>
      <c r="V37" s="36">
        <f t="shared" si="3"/>
        <v>42701.149039351847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{"issue":{"subject":"","project_id":79,"tracker_id":40,"status_id":1,"priority_id":2,"assigned_to_id":23,"start_date":"2016-11-26","description":"","custom_fields":[{"id":1,"name":"Subdivision","value":"NW"},{"id":4,"name":"Milepost","value":"5.9048"},{"id":17,"name":"Train ID","value":"1829-26"},{"id":16,"name":"Locomotive ID","value":"4011"},{"id":130,"name":"Impact","value":""},{"id":150,"name":"Time of Event (Mountain Time)","value":"20:34:37"},{"id":151,"name":"Denver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"%USERPROFILE%\AppData\Local\Temp\OnboardLogs"\RTDC4011\*4011*201611270*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"%USERPROFILE%\AppData\Local\Temp\OnboardLogs"\RTDC4011\*4011*201611270* &gt;&gt; 42700-slicedisagreementcheck.txt</v>
      </c>
    </row>
    <row r="38" spans="1:30" x14ac:dyDescent="0.25">
      <c r="A38" s="36">
        <v>42700.85292824074</v>
      </c>
      <c r="B38" s="31" t="s">
        <v>157</v>
      </c>
      <c r="C38" s="31" t="s">
        <v>416</v>
      </c>
      <c r="D38" s="31" t="s">
        <v>49</v>
      </c>
      <c r="E38" s="31" t="s">
        <v>154</v>
      </c>
      <c r="F38" s="47">
        <v>170</v>
      </c>
      <c r="G38" s="47">
        <v>229</v>
      </c>
      <c r="H38" s="47">
        <v>63707</v>
      </c>
      <c r="I38" s="47">
        <v>63359</v>
      </c>
      <c r="J38" s="31" t="s">
        <v>153</v>
      </c>
      <c r="K38" s="47">
        <v>63309</v>
      </c>
      <c r="L38" s="154" t="s">
        <v>51</v>
      </c>
      <c r="M38" s="155">
        <f t="shared" si="0"/>
        <v>26.4</v>
      </c>
      <c r="N38" s="156" t="str">
        <f>VLOOKUP(C38,'Trips&amp;Operators'!$C$1:$E$99999,3,FALSE)</f>
        <v>WHITED</v>
      </c>
      <c r="O38" s="182" t="s">
        <v>201</v>
      </c>
      <c r="P38" s="157"/>
      <c r="Q38" s="31"/>
      <c r="R38" s="100" t="str">
        <f>VLOOKUP(C38,'Train Runs'!$A$13:$AE$9989,31,0)</f>
        <v>aws s3 cp s3://rtdc.mdm.uploadarchive.raw/RTDC4052/ "%USERPROFILE%\AppData\Local\Temp\OnboardLogs"\RTDC4052\2016-11-26 --exclude "*" --recursive --include "*20161126*" &amp; "%USERPROFILE%\Documents\GitHub\mrs-test-scripts\Headless Mode &amp; Sideloading\WalkAndUnGZ.bat" "%USERPROFILE%\AppData\Local\Temp\OnboardLogs"\RTDC4052\2016-11-26 &amp; aws s3 cp s3://rtdc.mdm.uploadarchive.raw/RTDC4052/ "%USERPROFILE%\AppData\Local\Temp\OnboardLogs"\RTDC4052\2016-11-27 --exclude "*" --recursive --include "*20161127*" &amp; "%USERPROFILE%\Documents\GitHub\mrs-test-scripts\Headless Mode &amp; Sideloading\WalkAndUnGZ.bat" "%USERPROFILE%\AppData\Local\Temp\OnboardLogs"\RTDC4052\2016-11-27</v>
      </c>
      <c r="S38" s="103" t="str">
        <f>VLOOKUP(C38,'Train Runs'!$A$13:$AE$9989,22,0)</f>
        <v>https://search-rtdc-monitor-bjffxe2xuh6vdkpspy63sjmuny.us-east-1.es.amazonaws.com/_plugin/kibana/#/discover/Steve-Slow-Train-Analysis-(2080s-and-2083s)?_g=(refreshInterval:(display:Off,section:0,value:0),time:(from:'2016-11-26 19:05:14-700',mode:absolute,to:'2016-11-26 22:38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38" s="105" t="str">
        <f t="shared" si="1"/>
        <v>"C:\Program Files (x86)\AstroGrep\AstroGrep.exe" /spath="%USERPROFILE%\AppData\Local\Temp\OnboardLogs" /stypes="*4052*201611270*" /stext=" 03:.+((SYSTEM_STATE.+slice.+state.+changed )|(ment ac)|(multiple cpu faults)|(system.+state.+changed )|(\[timeout)|(PRM\|1\|D)|(kpr)|(kdp)|(\|lc)|(penalty))" /e /r /s</v>
      </c>
      <c r="U38" s="9" t="str">
        <f t="shared" si="2"/>
        <v>4052</v>
      </c>
      <c r="V38" s="36">
        <f t="shared" si="3"/>
        <v>42701.144594907404</v>
      </c>
      <c r="W38" s="50" t="str">
        <f t="shared" si="4"/>
        <v>Other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{"issue":{"subject":"","project_id":79,"tracker_id":40,"status_id":1,"priority_id":2,"assigned_to_id":23,"start_date":"2016-11-26","description":"","custom_fields":[{"id":1,"name":"Subdivision","value":"Other"},{"id":4,"name":"Milepost","value":"6.3309"},{"id":17,"name":"Train ID","value":"66-26"},{"id":16,"name":"Locomotive ID","value":"4052"},{"id":130,"name":"Impact","value":""},{"id":150,"name":"Time of Event (Mountain Time)","value":"20:28:13"},{"id":151,"name":"Denver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"%USERPROFILE%\AppData\Local\Temp\OnboardLogs"\RTDC4052\*4052*201611270*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"%USERPROFILE%\AppData\Local\Temp\OnboardLogs"\RTDC4052\*4052*201611270* &gt;&gt; 42700-slicedisagreementcheck.txt</v>
      </c>
    </row>
    <row r="39" spans="1:30" x14ac:dyDescent="0.25">
      <c r="A39" s="36">
        <v>42700.919791666667</v>
      </c>
      <c r="B39" s="31" t="s">
        <v>156</v>
      </c>
      <c r="C39" s="31" t="s">
        <v>419</v>
      </c>
      <c r="D39" s="31" t="s">
        <v>98</v>
      </c>
      <c r="E39" s="31" t="s">
        <v>202</v>
      </c>
      <c r="F39" s="47">
        <v>400</v>
      </c>
      <c r="G39" s="47">
        <v>452</v>
      </c>
      <c r="H39" s="47">
        <v>119706</v>
      </c>
      <c r="I39" s="47">
        <v>120943</v>
      </c>
      <c r="J39" s="31" t="s">
        <v>203</v>
      </c>
      <c r="K39" s="47">
        <v>116838</v>
      </c>
      <c r="L39" s="154" t="s">
        <v>50</v>
      </c>
      <c r="M39" s="155">
        <f t="shared" si="0"/>
        <v>-2167.44</v>
      </c>
      <c r="N39" s="156" t="str">
        <f>VLOOKUP(C39,'Trips&amp;Operators'!$C$1:$E$99999,3,FALSE)</f>
        <v>WHITED</v>
      </c>
      <c r="O39" s="182" t="s">
        <v>201</v>
      </c>
      <c r="P39" s="157"/>
      <c r="Q39" s="31"/>
      <c r="R39" s="100" t="str">
        <f>VLOOKUP(C39,'Train Runs'!$A$13:$AE$9989,31,0)</f>
        <v>aws s3 cp s3://rtdc.mdm.uploadarchive.raw/RTDC4051/ "%USERPROFILE%\AppData\Local\Temp\OnboardLogs"\RTDC4051\2016-11-26 --exclude "*" --recursive --include "*20161126*" &amp; "%USERPROFILE%\Documents\GitHub\mrs-test-scripts\Headless Mode &amp; Sideloading\WalkAndUnGZ.bat" "%USERPROFILE%\AppData\Local\Temp\OnboardLogs"\RTDC4051\2016-11-26 &amp; aws s3 cp s3://rtdc.mdm.uploadarchive.raw/RTDC4051/ "%USERPROFILE%\AppData\Local\Temp\OnboardLogs"\RTDC4051\2016-11-27 --exclude "*" --recursive --include "*20161127*" &amp; "%USERPROFILE%\Documents\GitHub\mrs-test-scripts\Headless Mode &amp; Sideloading\WalkAndUnGZ.bat" "%USERPROFILE%\AppData\Local\Temp\OnboardLogs"\RTDC4051\2016-11-27</v>
      </c>
      <c r="S39" s="103" t="str">
        <f>VLOOKUP(C39,'Train Runs'!$A$13:$AE$9989,22,0)</f>
        <v>https://search-rtdc-monitor-bjffxe2xuh6vdkpspy63sjmuny.us-east-1.es.amazonaws.com/_plugin/kibana/#/discover/Steve-Slow-Train-Analysis-(2080s-and-2083s)?_g=(refreshInterval:(display:Off,section:0,value:0),time:(from:'2016-11-26 19:43:12-700',mode:absolute,to:'2016-11-26 22:07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39" s="105" t="str">
        <f t="shared" si="1"/>
        <v>"C:\Program Files (x86)\AstroGrep\AstroGrep.exe" /spath="%USERPROFILE%\AppData\Local\Temp\OnboardLogs" /stypes="*4051*201611270*" /stext=" 05:.+((SYSTEM_STATE.+slice.+state.+changed )|(ment ac)|(multiple cpu faults)|(system.+state.+changed )|(\[timeout)|(PRM\|1\|D)|(kpr)|(kdp)|(\|lc)|(penalty))" /e /r /s</v>
      </c>
      <c r="U39" s="9" t="str">
        <f t="shared" si="2"/>
        <v>4051</v>
      </c>
      <c r="V39" s="36">
        <f t="shared" si="3"/>
        <v>42701.211458333331</v>
      </c>
      <c r="W39" s="50" t="str">
        <f t="shared" si="4"/>
        <v>Other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{"issue":{"subject":"","project_id":79,"tracker_id":40,"status_id":1,"priority_id":2,"assigned_to_id":23,"start_date":"2016-11-26","description":"","custom_fields":[{"id":1,"name":"Subdivision","value":"Other"},{"id":4,"name":"Milepost","value":"11.6838"},{"id":17,"name":"Train ID","value":"65-26"},{"id":16,"name":"Locomotive ID","value":"4051"},{"id":130,"name":"Impact","value":""},{"id":150,"name":"Time of Event (Mountain Time)","value":"22:04:30"},{"id":151,"name":"Denver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"%USERPROFILE%\AppData\Local\Temp\OnboardLogs"\RTDC4051\*4051*201611270*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"%USERPROFILE%\AppData\Local\Temp\OnboardLogs"\RTDC4051\*4051*201611270* &gt;&gt; 42700-slicedisagreementcheck.txt</v>
      </c>
    </row>
    <row r="40" spans="1:30" x14ac:dyDescent="0.25">
      <c r="A40" s="36">
        <v>42700.166805555556</v>
      </c>
      <c r="B40" s="31" t="s">
        <v>391</v>
      </c>
      <c r="C40" s="31" t="s">
        <v>392</v>
      </c>
      <c r="D40" s="31" t="s">
        <v>49</v>
      </c>
      <c r="E40" s="31" t="s">
        <v>204</v>
      </c>
      <c r="F40" s="47">
        <v>0</v>
      </c>
      <c r="G40" s="47">
        <v>283</v>
      </c>
      <c r="H40" s="47">
        <v>17894</v>
      </c>
      <c r="I40" s="47">
        <v>17106</v>
      </c>
      <c r="J40" s="31" t="s">
        <v>205</v>
      </c>
      <c r="K40" s="47">
        <v>16590</v>
      </c>
      <c r="L40" s="154" t="s">
        <v>51</v>
      </c>
      <c r="M40" s="155">
        <f t="shared" si="0"/>
        <v>272.44799999999998</v>
      </c>
      <c r="N40" s="156" t="str">
        <f>VLOOKUP(C40,'Trips&amp;Operators'!$C$1:$E$99999,3,FALSE)</f>
        <v>ACKERMAN</v>
      </c>
      <c r="O40" s="182" t="s">
        <v>201</v>
      </c>
      <c r="P40" s="157"/>
      <c r="Q40" s="31"/>
      <c r="R40" s="100" t="str">
        <f>VLOOKUP(C40,'Train Runs'!$A$13:$AE$9989,31,0)</f>
        <v>aws s3 cp s3://rtdc.mdm.uploadarchive.raw/RTDC4026/ "%USERPROFILE%\AppData\Local\Temp\OnboardLogs"\RTDC4026\2016-11-26 --exclude "*" --recursive --include "*20161126*" &amp; "%USERPROFILE%\Documents\GitHub\mrs-test-scripts\Headless Mode &amp; Sideloading\WalkAndUnGZ.bat" "%USERPROFILE%\AppData\Local\Temp\OnboardLogs"\RTDC4026\2016-11-26 &amp; 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</v>
      </c>
      <c r="S40" s="103" t="str">
        <f>VLOOKUP(C40,'Train Runs'!$A$13:$AE$9989,22,0)</f>
        <v>https://search-rtdc-monitor-bjffxe2xuh6vdkpspy63sjmuny.us-east-1.es.amazonaws.com/_plugin/kibana/#/discover/Steve-Slow-Train-Analysis-(2080s-and-2083s)?_g=(refreshInterval:(display:Off,section:0,value:0),time:(from:'2016-11-26 02:55:49-700',mode:absolute,to:'2016-11-26 05:08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0" s="105" t="str">
        <f t="shared" si="1"/>
        <v>"C:\Program Files (x86)\AstroGrep\AstroGrep.exe" /spath="%USERPROFILE%\AppData\Local\Temp\OnboardLogs" /stypes="*4026*201611261*" /stext=" 11:.+((SYSTEM_STATE.+slice.+state.+changed )|(ment ac)|(multiple cpu faults)|(system.+state.+changed )|(\[timeout)|(PRM\|1\|D)|(kpr)|(kdp)|(\|lc)|(penalty))" /e /r /s</v>
      </c>
      <c r="U40" s="9" t="str">
        <f t="shared" si="2"/>
        <v>4026</v>
      </c>
      <c r="V40" s="36">
        <f t="shared" si="3"/>
        <v>42700.458472222221</v>
      </c>
      <c r="W40" s="50" t="str">
        <f t="shared" si="4"/>
        <v>Other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{"issue":{"subject":"","project_id":79,"tracker_id":40,"status_id":1,"priority_id":2,"assigned_to_id":23,"start_date":"2016-11-26","description":"","custom_fields":[{"id":1,"name":"Subdivision","value":"Other"},{"id":4,"name":"Milepost","value":"1.659"},{"id":17,"name":"Train ID","value":"306-26"},{"id":16,"name":"Locomotive ID","value":"4026"},{"id":130,"name":"Impact","value":""},{"id":150,"name":"Time of Event (Mountain Time)","value":"04:00:12"},{"id":151,"name":"Denver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"%USERPROFILE%\AppData\Local\Temp\OnboardLogs"\RTDC4026\*4026*201611261*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"%USERPROFILE%\AppData\Local\Temp\OnboardLogs"\RTDC4026\*4026*201611261* &gt;&gt; 42700-slicedisagreementcheck.txt</v>
      </c>
    </row>
    <row r="41" spans="1:30" x14ac:dyDescent="0.25">
      <c r="A41" s="36">
        <v>42700.181956018518</v>
      </c>
      <c r="B41" s="31" t="s">
        <v>261</v>
      </c>
      <c r="C41" s="31" t="s">
        <v>393</v>
      </c>
      <c r="D41" s="31" t="s">
        <v>49</v>
      </c>
      <c r="E41" s="31" t="s">
        <v>204</v>
      </c>
      <c r="F41" s="47">
        <v>0</v>
      </c>
      <c r="G41" s="47">
        <v>211</v>
      </c>
      <c r="H41" s="47">
        <v>18214</v>
      </c>
      <c r="I41" s="47">
        <v>17710</v>
      </c>
      <c r="J41" s="31" t="s">
        <v>205</v>
      </c>
      <c r="K41" s="47">
        <v>16590</v>
      </c>
      <c r="L41" s="154" t="s">
        <v>51</v>
      </c>
      <c r="M41" s="155">
        <f t="shared" si="0"/>
        <v>591.36</v>
      </c>
      <c r="N41" s="156" t="str">
        <f>VLOOKUP(C41,'Trips&amp;Operators'!$C$1:$E$99999,3,FALSE)</f>
        <v>KILLION</v>
      </c>
      <c r="O41" s="182" t="s">
        <v>201</v>
      </c>
      <c r="P41" s="157"/>
      <c r="Q41" s="31"/>
      <c r="R41" s="100" t="str">
        <f>VLOOKUP(C41,'Train Runs'!$A$13:$AE$9989,31,0)</f>
        <v>aws s3 cp s3://rtdc.mdm.uploadarchive.raw/RTDC4045/ "%USERPROFILE%\AppData\Local\Temp\OnboardLogs"\RTDC4045\2016-11-26 --exclude "*" --recursive --include "*20161126*" &amp; "%USERPROFILE%\Documents\GitHub\mrs-test-scripts\Headless Mode &amp; Sideloading\WalkAndUnGZ.bat" "%USERPROFILE%\AppData\Local\Temp\OnboardLogs"\RTDC4045\2016-11-26 &amp; aws s3 cp s3://rtdc.mdm.uploadarchive.raw/RTDC4045/ "%USERPROFILE%\AppData\Local\Temp\OnboardLogs"\RTDC4045\2016-11-27 --exclude "*" --recursive --include "*20161127*" &amp; "%USERPROFILE%\Documents\GitHub\mrs-test-scripts\Headless Mode &amp; Sideloading\WalkAndUnGZ.bat" "%USERPROFILE%\AppData\Local\Temp\OnboardLogs"\RTDC4045\2016-11-27</v>
      </c>
      <c r="S41" s="103" t="str">
        <f>VLOOKUP(C41,'Train Runs'!$A$13:$AE$9989,22,0)</f>
        <v>https://search-rtdc-monitor-bjffxe2xuh6vdkpspy63sjmuny.us-east-1.es.amazonaws.com/_plugin/kibana/#/discover/Steve-Slow-Train-Analysis-(2080s-and-2083s)?_g=(refreshInterval:(display:Off,section:0,value:0),time:(from:'2016-11-26 03:15:07-700',mode:absolute,to:'2016-11-26 05:30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1" s="105" t="str">
        <f t="shared" si="1"/>
        <v>"C:\Program Files (x86)\AstroGrep\AstroGrep.exe" /spath="%USERPROFILE%\AppData\Local\Temp\OnboardLogs" /stypes="*4045*201611261*" /stext=" 11:.+((SYSTEM_STATE.+slice.+state.+changed )|(ment ac)|(multiple cpu faults)|(system.+state.+changed )|(\[timeout)|(PRM\|1\|D)|(kpr)|(kdp)|(\|lc)|(penalty))" /e /r /s</v>
      </c>
      <c r="U41" s="9" t="str">
        <f t="shared" si="2"/>
        <v>4045</v>
      </c>
      <c r="V41" s="36">
        <f t="shared" si="3"/>
        <v>42700.473622685182</v>
      </c>
      <c r="W41" s="50" t="str">
        <f t="shared" si="4"/>
        <v>Other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{"issue":{"subject":"","project_id":79,"tracker_id":40,"status_id":1,"priority_id":2,"assigned_to_id":23,"start_date":"2016-11-26","description":"","custom_fields":[{"id":1,"name":"Subdivision","value":"Other"},{"id":4,"name":"Milepost","value":"1.659"},{"id":17,"name":"Train ID","value":"310-26"},{"id":16,"name":"Locomotive ID","value":"4045"},{"id":130,"name":"Impact","value":""},{"id":150,"name":"Time of Event (Mountain Time)","value":"04:22:01"},{"id":151,"name":"Denver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"%USERPROFILE%\AppData\Local\Temp\OnboardLogs"\RTDC4045\*4045*201611261*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"%USERPROFILE%\AppData\Local\Temp\OnboardLogs"\RTDC4045\*4045*201611261* &gt;&gt; 42700-slicedisagreementcheck.txt</v>
      </c>
    </row>
    <row r="42" spans="1:30" x14ac:dyDescent="0.25">
      <c r="A42" s="36">
        <v>42700.165752314817</v>
      </c>
      <c r="B42" s="31" t="s">
        <v>391</v>
      </c>
      <c r="C42" s="31" t="s">
        <v>392</v>
      </c>
      <c r="D42" s="31" t="s">
        <v>49</v>
      </c>
      <c r="E42" s="31" t="s">
        <v>204</v>
      </c>
      <c r="F42" s="47">
        <v>0</v>
      </c>
      <c r="G42" s="47">
        <v>162</v>
      </c>
      <c r="H42" s="47">
        <v>19363</v>
      </c>
      <c r="I42" s="47">
        <v>19120</v>
      </c>
      <c r="J42" s="31" t="s">
        <v>205</v>
      </c>
      <c r="K42" s="47">
        <v>19000</v>
      </c>
      <c r="L42" s="154" t="s">
        <v>51</v>
      </c>
      <c r="M42" s="155">
        <f t="shared" si="0"/>
        <v>63.36</v>
      </c>
      <c r="N42" s="156" t="str">
        <f>VLOOKUP(C42,'Trips&amp;Operators'!$C$1:$E$99999,3,FALSE)</f>
        <v>ACKERMAN</v>
      </c>
      <c r="O42" s="182" t="s">
        <v>201</v>
      </c>
      <c r="P42" s="157"/>
      <c r="Q42" s="31"/>
      <c r="R42" s="100" t="str">
        <f>VLOOKUP(C42,'Train Runs'!$A$13:$AE$9989,31,0)</f>
        <v>aws s3 cp s3://rtdc.mdm.uploadarchive.raw/RTDC4026/ "%USERPROFILE%\AppData\Local\Temp\OnboardLogs"\RTDC4026\2016-11-26 --exclude "*" --recursive --include "*20161126*" &amp; "%USERPROFILE%\Documents\GitHub\mrs-test-scripts\Headless Mode &amp; Sideloading\WalkAndUnGZ.bat" "%USERPROFILE%\AppData\Local\Temp\OnboardLogs"\RTDC4026\2016-11-26 &amp; aws s3 cp s3://rtdc.mdm.uploadarchive.raw/RTDC4026/ "%USERPROFILE%\AppData\Local\Temp\OnboardLogs"\RTDC4026\2016-11-27 --exclude "*" --recursive --include "*20161127*" &amp; "%USERPROFILE%\Documents\GitHub\mrs-test-scripts\Headless Mode &amp; Sideloading\WalkAndUnGZ.bat" "%USERPROFILE%\AppData\Local\Temp\OnboardLogs"\RTDC4026\2016-11-27</v>
      </c>
      <c r="S42" s="103" t="str">
        <f>VLOOKUP(C42,'Train Runs'!$A$13:$AE$9989,22,0)</f>
        <v>https://search-rtdc-monitor-bjffxe2xuh6vdkpspy63sjmuny.us-east-1.es.amazonaws.com/_plugin/kibana/#/discover/Steve-Slow-Train-Analysis-(2080s-and-2083s)?_g=(refreshInterval:(display:Off,section:0,value:0),time:(from:'2016-11-26 02:55:49-700',mode:absolute,to:'2016-11-26 05:08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2" s="105" t="str">
        <f t="shared" si="1"/>
        <v>"C:\Program Files (x86)\AstroGrep\AstroGrep.exe" /spath="%USERPROFILE%\AppData\Local\Temp\OnboardLogs" /stypes="*4026*201611261*" /stext=" 10:.+((SYSTEM_STATE.+slice.+state.+changed )|(ment ac)|(multiple cpu faults)|(system.+state.+changed )|(\[timeout)|(PRM\|1\|D)|(kpr)|(kdp)|(\|lc)|(penalty))" /e /r /s</v>
      </c>
      <c r="U42" s="9" t="str">
        <f t="shared" si="2"/>
        <v>4026</v>
      </c>
      <c r="V42" s="36">
        <f t="shared" si="3"/>
        <v>42700.457418981481</v>
      </c>
      <c r="W42" s="50" t="str">
        <f t="shared" si="4"/>
        <v>Other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{"issue":{"subject":"","project_id":79,"tracker_id":40,"status_id":1,"priority_id":2,"assigned_to_id":23,"start_date":"2016-11-26","description":"","custom_fields":[{"id":1,"name":"Subdivision","value":"Other"},{"id":4,"name":"Milepost","value":"1.9"},{"id":17,"name":"Train ID","value":"306-26"},{"id":16,"name":"Locomotive ID","value":"4026"},{"id":130,"name":"Impact","value":""},{"id":150,"name":"Time of Event (Mountain Time)","value":"03:58:41"},{"id":151,"name":"Denver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"%USERPROFILE%\AppData\Local\Temp\OnboardLogs"\RTDC4026\*4026*201611261*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"%USERPROFILE%\AppData\Local\Temp\OnboardLogs"\RTDC4026\*4026*201611261* &gt;&gt; 42700-slicedisagreementcheck.txt</v>
      </c>
    </row>
    <row r="43" spans="1:30" x14ac:dyDescent="0.25">
      <c r="A43" s="36">
        <v>42700.141701388886</v>
      </c>
      <c r="B43" s="31" t="s">
        <v>303</v>
      </c>
      <c r="C43" s="31" t="s">
        <v>390</v>
      </c>
      <c r="D43" s="31" t="s">
        <v>49</v>
      </c>
      <c r="E43" s="31" t="s">
        <v>282</v>
      </c>
      <c r="F43" s="47">
        <v>0</v>
      </c>
      <c r="G43" s="47">
        <v>395</v>
      </c>
      <c r="H43" s="47">
        <v>15363</v>
      </c>
      <c r="I43" s="47">
        <v>14447</v>
      </c>
      <c r="J43" s="31" t="s">
        <v>283</v>
      </c>
      <c r="K43" s="47">
        <v>14177</v>
      </c>
      <c r="L43" s="154" t="s">
        <v>51</v>
      </c>
      <c r="M43" s="155">
        <f t="shared" si="0"/>
        <v>142.56</v>
      </c>
      <c r="N43" s="156" t="str">
        <f>VLOOKUP(C43,'Trips&amp;Operators'!$C$1:$E$99999,3,FALSE)</f>
        <v>ROBINSON</v>
      </c>
      <c r="O43" s="182" t="s">
        <v>201</v>
      </c>
      <c r="P43" s="157"/>
      <c r="Q43" s="31"/>
      <c r="R43" s="100" t="str">
        <f>VLOOKUP(C43,'Train Runs'!$A$13:$AE$9989,31,0)</f>
        <v>aws s3 cp s3://rtdc.mdm.uploadarchive.raw/RTDC4010/ "%USERPROFILE%\AppData\Local\Temp\OnboardLogs"\RTDC4010\2016-11-26 --exclude "*" --recursive --include "*20161126*" &amp; "%USERPROFILE%\Documents\GitHub\mrs-test-scripts\Headless Mode &amp; Sideloading\WalkAndUnGZ.bat" "%USERPROFILE%\AppData\Local\Temp\OnboardLogs"\RTDC4010\2016-11-26 &amp; aws s3 cp s3://rtdc.mdm.uploadarchive.raw/RTDC4010/ "%USERPROFILE%\AppData\Local\Temp\OnboardLogs"\RTDC4010\2016-11-27 --exclude "*" --recursive --include "*20161127*" &amp; "%USERPROFILE%\Documents\GitHub\mrs-test-scripts\Headless Mode &amp; Sideloading\WalkAndUnGZ.bat" "%USERPROFILE%\AppData\Local\Temp\OnboardLogs"\RTDC4010\2016-11-27</v>
      </c>
      <c r="S43" s="103" t="str">
        <f>VLOOKUP(C43,'Train Runs'!$A$13:$AE$9989,22,0)</f>
        <v>https://search-rtdc-monitor-bjffxe2xuh6vdkpspy63sjmuny.us-east-1.es.amazonaws.com/_plugin/kibana/#/discover/Steve-Slow-Train-Analysis-(2080s-and-2083s)?_g=(refreshInterval:(display:Off,section:0,value:0),time:(from:'2016-11-26 02:19:49-700',mode:absolute,to:'2016-11-26 04:31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3" s="105" t="str">
        <f t="shared" si="1"/>
        <v>"C:\Program Files (x86)\AstroGrep\AstroGrep.exe" /spath="%USERPROFILE%\AppData\Local\Temp\OnboardLogs" /stypes="*4010*201611261*" /stext=" 10:.+((SYSTEM_STATE.+slice.+state.+changed )|(ment ac)|(multiple cpu faults)|(system.+state.+changed )|(\[timeout)|(PRM\|1\|D)|(kpr)|(kdp)|(\|lc)|(penalty))" /e /r /s</v>
      </c>
      <c r="U43" s="9" t="str">
        <f t="shared" si="2"/>
        <v>4010</v>
      </c>
      <c r="V43" s="36">
        <f t="shared" si="3"/>
        <v>42700.43336805555</v>
      </c>
      <c r="W43" s="50" t="str">
        <f t="shared" si="4"/>
        <v>Other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{"issue":{"subject":"","project_id":79,"tracker_id":40,"status_id":1,"priority_id":2,"assigned_to_id":23,"start_date":"2016-11-26","description":"","custom_fields":[{"id":1,"name":"Subdivision","value":"Other"},{"id":4,"name":"Milepost","value":"1.4177"},{"id":17,"name":"Train ID","value":"304-26"},{"id":16,"name":"Locomotive ID","value":"4010"},{"id":130,"name":"Impact","value":""},{"id":150,"name":"Time of Event (Mountain Time)","value":"03:24:03"},{"id":151,"name":"Denver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"%USERPROFILE%\AppData\Local\Temp\OnboardLogs"\RTDC4010\*4010*201611261*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"%USERPROFILE%\AppData\Local\Temp\OnboardLogs"\RTDC4010\*4010*201611261* &gt;&gt; 42700-slicedisagreementcheck.txt</v>
      </c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V6:V46"/>
    </sortState>
  </autoFilter>
  <sortState ref="A7:AD43">
    <sortCondition ref="W7:W43"/>
    <sortCondition ref="E7:E43"/>
    <sortCondition ref="K7:K43"/>
    <sortCondition ref="C7:C43"/>
    <sortCondition ref="F7:F43"/>
  </sortState>
  <mergeCells count="1">
    <mergeCell ref="A5:O5"/>
  </mergeCells>
  <conditionalFormatting sqref="O6:P6 R6 O76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hyperlinks>
    <hyperlink ref="Z1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>
      <selection activeCell="D10" sqref="D10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2016-11-26</v>
      </c>
      <c r="C1" s="185"/>
      <c r="D1" s="185"/>
      <c r="E1" s="185"/>
      <c r="F1" s="185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236</v>
      </c>
      <c r="B3" s="47" t="str">
        <f>A3&amp;"-"&amp;IF(DAY(Variables!$A$2)&lt;10,0,"")&amp;DAY(Variables!$A$2)</f>
        <v>236-26</v>
      </c>
      <c r="C3" s="158"/>
      <c r="D3" s="163"/>
      <c r="E3" s="31"/>
      <c r="F3" s="22" t="str">
        <f>VLOOKUP(B3,'Trips&amp;Operators'!$C$2:$E$10000,3,FALSE)</f>
        <v>CHANDLER</v>
      </c>
      <c r="G3" s="22" t="str">
        <f>VLOOKUP(B3,'Trips&amp;Operators'!$C$1:$F$10000,4,FALSE)</f>
        <v>rtdc.l.rtdc.4004:itc</v>
      </c>
      <c r="H3" s="30">
        <f>VLOOKUP(B3,'Trips&amp;Operators'!$C$1:$H$10000,5,FALSE)</f>
        <v>42700.976018518515</v>
      </c>
      <c r="I3" s="50" t="str">
        <f t="shared" ref="I3:I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22236-26%22)),sort:!(Time,asc))</v>
      </c>
      <c r="J3" s="31" t="str">
        <f>VLOOKUP(B3,'Train Runs'!$A$13:$A$99986,1,FALSE)</f>
        <v>236-26</v>
      </c>
      <c r="K3" s="31" t="e">
        <f>IF(VLOOKUP(A3,$K$41:$K$64,1,FALSE),"Cancelled")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-26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4" s="31" t="e">
        <f>VLOOKUP(B4,'Train Runs'!$A$13:$A$99986,1,FALSE)</f>
        <v>#N/A</v>
      </c>
      <c r="K4" s="31" t="e">
        <f>IF(VLOOKUP(A4,$K$41:$K$64,1,FALSE),"Cancelled")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-26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5" s="31" t="e">
        <f>VLOOKUP(B5,'Train Runs'!$A$13:$A$99986,1,FALSE)</f>
        <v>#N/A</v>
      </c>
      <c r="K5" s="31" t="e">
        <f>IF(VLOOKUP(A5,$K$41:$K$64,1,FALSE),"Cancelled")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-26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6" s="31" t="e">
        <f>VLOOKUP(B6,'Train Runs'!$A$13:$A$99986,1,FALSE)</f>
        <v>#N/A</v>
      </c>
      <c r="K6" s="31" t="e">
        <f>IF(VLOOKUP(A6,$K$41:$K$64,1,FALSE),"Cancelled")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42700.032500000001</v>
      </c>
      <c r="B2" s="21" t="s">
        <v>244</v>
      </c>
      <c r="C2" s="21" t="s">
        <v>335</v>
      </c>
      <c r="D2" s="21">
        <v>1800000</v>
      </c>
      <c r="E2" s="21" t="s">
        <v>338</v>
      </c>
      <c r="F2" s="21" t="str">
        <f t="shared" ref="F2:F65" si="0">B2</f>
        <v>rtdc.l.rtdc.4013:itc</v>
      </c>
      <c r="G2" s="8">
        <f t="shared" ref="G2:G65" si="1">A2</f>
        <v>42700.032500000001</v>
      </c>
    </row>
    <row r="3" spans="1:7" x14ac:dyDescent="0.25">
      <c r="A3" s="8">
        <v>42700.037488425929</v>
      </c>
      <c r="B3" s="21" t="s">
        <v>217</v>
      </c>
      <c r="C3" s="21" t="s">
        <v>356</v>
      </c>
      <c r="D3" s="21">
        <v>2600000</v>
      </c>
      <c r="E3" s="21" t="s">
        <v>276</v>
      </c>
      <c r="F3" s="21" t="str">
        <f t="shared" si="0"/>
        <v>rtdc.l.rtdc.4040:itc</v>
      </c>
      <c r="G3" s="8">
        <f t="shared" si="1"/>
        <v>42700.037488425929</v>
      </c>
    </row>
    <row r="4" spans="1:7" x14ac:dyDescent="0.25">
      <c r="A4" s="8">
        <v>42700.045208333337</v>
      </c>
      <c r="B4" s="21" t="s">
        <v>157</v>
      </c>
      <c r="C4" s="21" t="s">
        <v>341</v>
      </c>
      <c r="D4" s="21">
        <v>2530000</v>
      </c>
      <c r="E4" s="21" t="s">
        <v>339</v>
      </c>
      <c r="F4" s="21" t="str">
        <f t="shared" si="0"/>
        <v>rtdc.l.rtdc.4052:itc</v>
      </c>
      <c r="G4" s="8">
        <f t="shared" si="1"/>
        <v>42700.045208333337</v>
      </c>
    </row>
    <row r="5" spans="1:7" x14ac:dyDescent="0.25">
      <c r="A5" s="8">
        <v>42700.045347222222</v>
      </c>
      <c r="B5" s="21" t="s">
        <v>262</v>
      </c>
      <c r="C5" s="21" t="s">
        <v>357</v>
      </c>
      <c r="D5" s="21">
        <v>2630000</v>
      </c>
      <c r="E5" s="21" t="s">
        <v>277</v>
      </c>
      <c r="F5" s="21" t="str">
        <f t="shared" si="0"/>
        <v>rtdc.l.rtdc.4046:itc</v>
      </c>
      <c r="G5" s="8">
        <f t="shared" si="1"/>
        <v>42700.045347222222</v>
      </c>
    </row>
    <row r="6" spans="1:7" x14ac:dyDescent="0.25">
      <c r="A6" s="8">
        <v>42700.053495370368</v>
      </c>
      <c r="B6" s="21" t="s">
        <v>275</v>
      </c>
      <c r="C6" s="21" t="s">
        <v>358</v>
      </c>
      <c r="D6" s="21">
        <v>2000000</v>
      </c>
      <c r="E6" s="21" t="s">
        <v>221</v>
      </c>
      <c r="F6" s="21" t="str">
        <f t="shared" si="0"/>
        <v>rtdc.l.rtdc.4041:itc</v>
      </c>
      <c r="G6" s="8">
        <f t="shared" si="1"/>
        <v>42700.053495370368</v>
      </c>
    </row>
    <row r="7" spans="1:7" x14ac:dyDescent="0.25">
      <c r="A7" s="8">
        <v>42700.064895833333</v>
      </c>
      <c r="B7" s="21" t="s">
        <v>156</v>
      </c>
      <c r="C7" s="21" t="s">
        <v>340</v>
      </c>
      <c r="D7" s="21">
        <v>2530000</v>
      </c>
      <c r="E7" s="21" t="s">
        <v>339</v>
      </c>
      <c r="F7" s="21" t="str">
        <f t="shared" si="0"/>
        <v>rtdc.l.rtdc.4051:itc</v>
      </c>
      <c r="G7" s="8">
        <f t="shared" si="1"/>
        <v>42700.064895833333</v>
      </c>
    </row>
    <row r="8" spans="1:7" x14ac:dyDescent="0.25">
      <c r="A8" s="8">
        <v>42700.072881944441</v>
      </c>
      <c r="B8" s="21" t="s">
        <v>243</v>
      </c>
      <c r="C8" s="21" t="s">
        <v>359</v>
      </c>
      <c r="D8" s="21">
        <v>1800000</v>
      </c>
      <c r="E8" s="21" t="s">
        <v>338</v>
      </c>
      <c r="F8" s="21" t="str">
        <f t="shared" si="0"/>
        <v>rtdc.l.rtdc.4014:itc</v>
      </c>
      <c r="G8" s="8">
        <f t="shared" si="1"/>
        <v>42700.072881944441</v>
      </c>
    </row>
    <row r="9" spans="1:7" ht="15.75" thickBot="1" x14ac:dyDescent="0.3">
      <c r="A9" s="25">
        <v>42700.07576388889</v>
      </c>
      <c r="B9" s="21" t="s">
        <v>219</v>
      </c>
      <c r="C9" s="21" t="s">
        <v>360</v>
      </c>
      <c r="D9" s="21">
        <v>2600000</v>
      </c>
      <c r="E9" s="21" t="s">
        <v>276</v>
      </c>
      <c r="F9" s="21" t="str">
        <f t="shared" si="0"/>
        <v>rtdc.l.rtdc.4039:itc</v>
      </c>
      <c r="G9" s="8">
        <f t="shared" si="1"/>
        <v>42700.07576388889</v>
      </c>
    </row>
    <row r="10" spans="1:7" x14ac:dyDescent="0.25">
      <c r="A10" s="8">
        <v>42700.083275462966</v>
      </c>
      <c r="B10" s="21" t="s">
        <v>157</v>
      </c>
      <c r="C10" s="21" t="s">
        <v>341</v>
      </c>
      <c r="D10" s="21">
        <v>2530000</v>
      </c>
      <c r="E10" s="21" t="s">
        <v>339</v>
      </c>
      <c r="F10" s="21" t="str">
        <f t="shared" si="0"/>
        <v>rtdc.l.rtdc.4052:itc</v>
      </c>
      <c r="G10" s="8">
        <f t="shared" si="1"/>
        <v>42700.083275462966</v>
      </c>
    </row>
    <row r="11" spans="1:7" x14ac:dyDescent="0.25">
      <c r="A11" s="8">
        <v>42700.08734953704</v>
      </c>
      <c r="B11" s="21" t="s">
        <v>274</v>
      </c>
      <c r="C11" s="21" t="s">
        <v>361</v>
      </c>
      <c r="D11" s="21">
        <v>2000000</v>
      </c>
      <c r="E11" s="21" t="s">
        <v>221</v>
      </c>
      <c r="F11" s="21" t="str">
        <f t="shared" si="0"/>
        <v>rtdc.l.rtdc.4042:itc</v>
      </c>
      <c r="G11" s="8">
        <f t="shared" si="1"/>
        <v>42700.08734953704</v>
      </c>
    </row>
    <row r="12" spans="1:7" x14ac:dyDescent="0.25">
      <c r="A12" s="8">
        <v>42700.106736111113</v>
      </c>
      <c r="B12" s="21" t="s">
        <v>156</v>
      </c>
      <c r="C12" s="21" t="s">
        <v>340</v>
      </c>
      <c r="D12" s="21">
        <v>2530000</v>
      </c>
      <c r="E12" s="21" t="s">
        <v>339</v>
      </c>
      <c r="F12" s="21" t="str">
        <f t="shared" si="0"/>
        <v>rtdc.l.rtdc.4051:itc</v>
      </c>
      <c r="G12" s="8">
        <f t="shared" si="1"/>
        <v>42700.106736111113</v>
      </c>
    </row>
    <row r="13" spans="1:7" x14ac:dyDescent="0.25">
      <c r="A13" s="8">
        <v>42700.111076388886</v>
      </c>
      <c r="B13" s="21" t="s">
        <v>217</v>
      </c>
      <c r="C13" s="21" t="s">
        <v>362</v>
      </c>
      <c r="D13" s="21">
        <v>2600000</v>
      </c>
      <c r="E13" s="21" t="s">
        <v>276</v>
      </c>
      <c r="F13" s="21" t="str">
        <f t="shared" si="0"/>
        <v>rtdc.l.rtdc.4040:itc</v>
      </c>
      <c r="G13" s="8">
        <f t="shared" si="1"/>
        <v>42700.111076388886</v>
      </c>
    </row>
    <row r="14" spans="1:7" x14ac:dyDescent="0.25">
      <c r="A14" s="8">
        <v>42700.120694444442</v>
      </c>
      <c r="B14" s="21" t="s">
        <v>227</v>
      </c>
      <c r="C14" s="21" t="s">
        <v>422</v>
      </c>
      <c r="D14" s="21">
        <v>2010000</v>
      </c>
      <c r="E14" s="21" t="s">
        <v>293</v>
      </c>
      <c r="F14" s="21" t="str">
        <f t="shared" si="0"/>
        <v>rtdc.l.rtdc.4043:itc</v>
      </c>
      <c r="G14" s="8">
        <f t="shared" si="1"/>
        <v>42700.120694444442</v>
      </c>
    </row>
    <row r="15" spans="1:7" x14ac:dyDescent="0.25">
      <c r="A15" s="8">
        <v>42700.132870370369</v>
      </c>
      <c r="B15" s="21" t="s">
        <v>284</v>
      </c>
      <c r="C15" s="21" t="s">
        <v>423</v>
      </c>
      <c r="D15" s="21">
        <v>2010000</v>
      </c>
      <c r="E15" s="21" t="s">
        <v>293</v>
      </c>
      <c r="F15" s="21" t="str">
        <f t="shared" si="0"/>
        <v>rtdc.l.rtdc.4029:itc</v>
      </c>
      <c r="G15" s="8">
        <f t="shared" si="1"/>
        <v>42700.132870370369</v>
      </c>
    </row>
    <row r="16" spans="1:7" x14ac:dyDescent="0.25">
      <c r="A16" s="8">
        <v>42700.139293981483</v>
      </c>
      <c r="B16" s="21" t="s">
        <v>303</v>
      </c>
      <c r="C16" s="21" t="s">
        <v>390</v>
      </c>
      <c r="D16" s="21">
        <v>2140000</v>
      </c>
      <c r="E16" s="21" t="s">
        <v>304</v>
      </c>
      <c r="F16" s="21" t="str">
        <f t="shared" si="0"/>
        <v>rtdc.l.rtdc.4010:itc</v>
      </c>
      <c r="G16" s="8">
        <f t="shared" si="1"/>
        <v>42700.139293981483</v>
      </c>
    </row>
    <row r="17" spans="1:7" x14ac:dyDescent="0.25">
      <c r="A17" s="8">
        <v>42700.150347222225</v>
      </c>
      <c r="B17" s="21" t="s">
        <v>230</v>
      </c>
      <c r="C17" s="21" t="s">
        <v>424</v>
      </c>
      <c r="D17" s="21">
        <v>2140000</v>
      </c>
      <c r="E17" s="21" t="s">
        <v>304</v>
      </c>
      <c r="F17" s="21" t="str">
        <f t="shared" si="0"/>
        <v>rtdc.l.rtdc.4038:itc</v>
      </c>
      <c r="G17" s="8">
        <f t="shared" si="1"/>
        <v>42700.150347222225</v>
      </c>
    </row>
    <row r="18" spans="1:7" x14ac:dyDescent="0.25">
      <c r="A18" s="8">
        <v>42700.163136574076</v>
      </c>
      <c r="B18" s="21" t="s">
        <v>391</v>
      </c>
      <c r="C18" s="21" t="s">
        <v>392</v>
      </c>
      <c r="D18" s="21">
        <v>1260000</v>
      </c>
      <c r="E18" s="21" t="s">
        <v>425</v>
      </c>
      <c r="F18" s="21" t="str">
        <f t="shared" si="0"/>
        <v>rtdc.l.rtdc.4026:itc</v>
      </c>
      <c r="G18" s="8">
        <f t="shared" si="1"/>
        <v>42700.163136574076</v>
      </c>
    </row>
    <row r="19" spans="1:7" x14ac:dyDescent="0.25">
      <c r="A19" s="8">
        <v>42700.164143518516</v>
      </c>
      <c r="B19" s="21" t="s">
        <v>391</v>
      </c>
      <c r="C19" s="21" t="s">
        <v>392</v>
      </c>
      <c r="D19" s="21">
        <v>1260000</v>
      </c>
      <c r="E19" s="21" t="s">
        <v>425</v>
      </c>
      <c r="F19" s="21" t="str">
        <f t="shared" si="0"/>
        <v>rtdc.l.rtdc.4026:itc</v>
      </c>
      <c r="G19" s="8">
        <f t="shared" si="1"/>
        <v>42700.164143518516</v>
      </c>
    </row>
    <row r="20" spans="1:7" x14ac:dyDescent="0.25">
      <c r="A20" s="8">
        <v>42700.168761574074</v>
      </c>
      <c r="B20" s="21" t="s">
        <v>227</v>
      </c>
      <c r="C20" s="21" t="s">
        <v>426</v>
      </c>
      <c r="D20" s="21">
        <v>2010000</v>
      </c>
      <c r="E20" s="21" t="s">
        <v>293</v>
      </c>
      <c r="F20" s="21" t="str">
        <f t="shared" si="0"/>
        <v>rtdc.l.rtdc.4043:itc</v>
      </c>
      <c r="G20" s="8">
        <f t="shared" si="1"/>
        <v>42700.168761574074</v>
      </c>
    </row>
    <row r="21" spans="1:7" x14ac:dyDescent="0.25">
      <c r="A21" s="8">
        <v>42700.174826388888</v>
      </c>
      <c r="B21" s="21" t="s">
        <v>292</v>
      </c>
      <c r="C21" s="21" t="s">
        <v>427</v>
      </c>
      <c r="D21" s="21">
        <v>1990000</v>
      </c>
      <c r="E21" s="21" t="s">
        <v>263</v>
      </c>
      <c r="F21" s="21" t="str">
        <f t="shared" si="0"/>
        <v>rtdc.l.rtdc.4004:itc</v>
      </c>
      <c r="G21" s="8">
        <f t="shared" si="1"/>
        <v>42700.174826388888</v>
      </c>
    </row>
    <row r="22" spans="1:7" x14ac:dyDescent="0.25">
      <c r="A22" s="27">
        <v>42700.175092592595</v>
      </c>
      <c r="B22" s="21" t="s">
        <v>258</v>
      </c>
      <c r="C22" s="21" t="s">
        <v>428</v>
      </c>
      <c r="D22" s="21">
        <v>1260000</v>
      </c>
      <c r="E22" s="21" t="s">
        <v>425</v>
      </c>
      <c r="F22" s="21" t="str">
        <f t="shared" si="0"/>
        <v>rtdc.l.rtdc.4031:itc</v>
      </c>
      <c r="G22" s="8">
        <f t="shared" si="1"/>
        <v>42700.175092592595</v>
      </c>
    </row>
    <row r="23" spans="1:7" x14ac:dyDescent="0.25">
      <c r="A23" s="8">
        <v>42700.175983796296</v>
      </c>
      <c r="B23" s="21" t="s">
        <v>292</v>
      </c>
      <c r="C23" s="21" t="s">
        <v>427</v>
      </c>
      <c r="D23" s="21">
        <v>1990000</v>
      </c>
      <c r="E23" s="21" t="s">
        <v>263</v>
      </c>
      <c r="F23" s="21" t="str">
        <f t="shared" si="0"/>
        <v>rtdc.l.rtdc.4004:itc</v>
      </c>
      <c r="G23" s="8">
        <f t="shared" si="1"/>
        <v>42700.175983796296</v>
      </c>
    </row>
    <row r="24" spans="1:7" x14ac:dyDescent="0.25">
      <c r="A24" s="8">
        <v>42700.177083333336</v>
      </c>
      <c r="B24" s="21" t="s">
        <v>292</v>
      </c>
      <c r="C24" s="21" t="s">
        <v>427</v>
      </c>
      <c r="D24" s="21">
        <v>1990000</v>
      </c>
      <c r="E24" s="21" t="s">
        <v>263</v>
      </c>
      <c r="F24" s="21" t="str">
        <f t="shared" si="0"/>
        <v>rtdc.l.rtdc.4004:itc</v>
      </c>
      <c r="G24" s="8">
        <f t="shared" si="1"/>
        <v>42700.177083333336</v>
      </c>
    </row>
    <row r="25" spans="1:7" x14ac:dyDescent="0.25">
      <c r="A25" s="8">
        <v>42700.179907407408</v>
      </c>
      <c r="B25" s="21" t="s">
        <v>261</v>
      </c>
      <c r="C25" s="21" t="s">
        <v>393</v>
      </c>
      <c r="D25" s="21">
        <v>2030000</v>
      </c>
      <c r="E25" s="21" t="s">
        <v>429</v>
      </c>
      <c r="F25" s="21" t="str">
        <f t="shared" si="0"/>
        <v>rtdc.l.rtdc.4045:itc</v>
      </c>
      <c r="G25" s="8">
        <f t="shared" si="1"/>
        <v>42700.179907407408</v>
      </c>
    </row>
    <row r="26" spans="1:7" x14ac:dyDescent="0.25">
      <c r="A26" s="8">
        <v>42700.185324074075</v>
      </c>
      <c r="B26" s="21" t="s">
        <v>291</v>
      </c>
      <c r="C26" s="21" t="s">
        <v>430</v>
      </c>
      <c r="D26" s="21">
        <v>1990000</v>
      </c>
      <c r="E26" s="21" t="s">
        <v>263</v>
      </c>
      <c r="F26" s="21" t="str">
        <f t="shared" si="0"/>
        <v>rtdc.l.rtdc.4003:itc</v>
      </c>
      <c r="G26" s="8">
        <f t="shared" si="1"/>
        <v>42700.185324074075</v>
      </c>
    </row>
    <row r="27" spans="1:7" x14ac:dyDescent="0.25">
      <c r="A27" s="8">
        <v>42700.186400462961</v>
      </c>
      <c r="B27" s="21" t="s">
        <v>291</v>
      </c>
      <c r="C27" s="21" t="s">
        <v>430</v>
      </c>
      <c r="D27" s="21">
        <v>1990000</v>
      </c>
      <c r="E27" s="21" t="s">
        <v>263</v>
      </c>
      <c r="F27" s="21" t="str">
        <f t="shared" si="0"/>
        <v>rtdc.l.rtdc.4003:itc</v>
      </c>
      <c r="G27" s="8">
        <f t="shared" si="1"/>
        <v>42700.186400462961</v>
      </c>
    </row>
    <row r="28" spans="1:7" x14ac:dyDescent="0.25">
      <c r="A28" s="8">
        <v>42700.187291666669</v>
      </c>
      <c r="B28" s="21" t="s">
        <v>303</v>
      </c>
      <c r="C28" s="21" t="s">
        <v>431</v>
      </c>
      <c r="D28" s="21">
        <v>2140000</v>
      </c>
      <c r="E28" s="21" t="s">
        <v>304</v>
      </c>
      <c r="F28" s="21" t="str">
        <f t="shared" si="0"/>
        <v>rtdc.l.rtdc.4010:itc</v>
      </c>
      <c r="G28" s="8">
        <f t="shared" si="1"/>
        <v>42700.187291666669</v>
      </c>
    </row>
    <row r="29" spans="1:7" x14ac:dyDescent="0.25">
      <c r="A29" s="8">
        <v>42700.190497685187</v>
      </c>
      <c r="B29" s="21" t="s">
        <v>262</v>
      </c>
      <c r="C29" s="21" t="s">
        <v>432</v>
      </c>
      <c r="D29" s="21">
        <v>2030000</v>
      </c>
      <c r="E29" s="21" t="s">
        <v>429</v>
      </c>
      <c r="F29" s="21" t="str">
        <f t="shared" si="0"/>
        <v>rtdc.l.rtdc.4046:itc</v>
      </c>
      <c r="G29" s="8">
        <f t="shared" si="1"/>
        <v>42700.190497685187</v>
      </c>
    </row>
    <row r="30" spans="1:7" x14ac:dyDescent="0.25">
      <c r="A30" s="8">
        <v>42700.20385416667</v>
      </c>
      <c r="B30" s="21" t="s">
        <v>284</v>
      </c>
      <c r="C30" s="21" t="s">
        <v>433</v>
      </c>
      <c r="D30" s="21">
        <v>1100000</v>
      </c>
      <c r="E30" s="21" t="s">
        <v>434</v>
      </c>
      <c r="F30" s="21" t="str">
        <f t="shared" si="0"/>
        <v>rtdc.l.rtdc.4029:itc</v>
      </c>
      <c r="G30" s="8">
        <f t="shared" si="1"/>
        <v>42700.20385416667</v>
      </c>
    </row>
    <row r="31" spans="1:7" x14ac:dyDescent="0.25">
      <c r="A31" s="8">
        <v>42700.204837962963</v>
      </c>
      <c r="B31" s="21" t="s">
        <v>187</v>
      </c>
      <c r="C31" s="21" t="s">
        <v>435</v>
      </c>
      <c r="D31" s="21">
        <v>2010000</v>
      </c>
      <c r="E31" s="21" t="s">
        <v>293</v>
      </c>
      <c r="F31" s="21" t="str">
        <f t="shared" si="0"/>
        <v>rtdc.l.rtdc.4044:itc</v>
      </c>
      <c r="G31" s="8">
        <f t="shared" si="1"/>
        <v>42700.204837962963</v>
      </c>
    </row>
    <row r="32" spans="1:7" x14ac:dyDescent="0.25">
      <c r="A32" s="8">
        <v>42700.205324074072</v>
      </c>
      <c r="B32" s="21" t="s">
        <v>284</v>
      </c>
      <c r="C32" s="21" t="s">
        <v>433</v>
      </c>
      <c r="D32" s="21">
        <v>1100000</v>
      </c>
      <c r="E32" s="21" t="s">
        <v>434</v>
      </c>
      <c r="F32" s="21" t="str">
        <f t="shared" si="0"/>
        <v>rtdc.l.rtdc.4029:itc</v>
      </c>
      <c r="G32" s="8">
        <f t="shared" si="1"/>
        <v>42700.205324074072</v>
      </c>
    </row>
    <row r="33" spans="1:7" x14ac:dyDescent="0.25">
      <c r="A33" s="8">
        <v>42700.205960648149</v>
      </c>
      <c r="B33" s="21" t="s">
        <v>284</v>
      </c>
      <c r="C33" s="21" t="s">
        <v>433</v>
      </c>
      <c r="D33" s="21">
        <v>1100000</v>
      </c>
      <c r="E33" s="21" t="s">
        <v>434</v>
      </c>
      <c r="F33" s="21" t="str">
        <f t="shared" si="0"/>
        <v>rtdc.l.rtdc.4029:itc</v>
      </c>
      <c r="G33" s="8">
        <f t="shared" si="1"/>
        <v>42700.205960648149</v>
      </c>
    </row>
    <row r="34" spans="1:7" x14ac:dyDescent="0.25">
      <c r="A34" s="8">
        <v>42700.210509259261</v>
      </c>
      <c r="B34" s="21" t="s">
        <v>391</v>
      </c>
      <c r="C34" s="21" t="s">
        <v>394</v>
      </c>
      <c r="D34" s="21">
        <v>1260000</v>
      </c>
      <c r="E34" s="21" t="s">
        <v>425</v>
      </c>
      <c r="F34" s="21" t="str">
        <f t="shared" si="0"/>
        <v>rtdc.l.rtdc.4026:itc</v>
      </c>
      <c r="G34" s="8">
        <f t="shared" si="1"/>
        <v>42700.210509259261</v>
      </c>
    </row>
    <row r="35" spans="1:7" x14ac:dyDescent="0.25">
      <c r="A35" s="8">
        <v>42700.220671296294</v>
      </c>
      <c r="B35" s="21" t="s">
        <v>292</v>
      </c>
      <c r="C35" s="21" t="s">
        <v>436</v>
      </c>
      <c r="D35" s="21">
        <v>1990000</v>
      </c>
      <c r="E35" s="21" t="s">
        <v>263</v>
      </c>
      <c r="F35" s="21" t="str">
        <f t="shared" si="0"/>
        <v>rtdc.l.rtdc.4004:itc</v>
      </c>
      <c r="G35" s="8">
        <f t="shared" si="1"/>
        <v>42700.220671296294</v>
      </c>
    </row>
    <row r="36" spans="1:7" x14ac:dyDescent="0.25">
      <c r="A36" s="8">
        <v>42700.224317129629</v>
      </c>
      <c r="B36" s="21" t="s">
        <v>230</v>
      </c>
      <c r="C36" s="21" t="s">
        <v>437</v>
      </c>
      <c r="D36" s="21">
        <v>1760000</v>
      </c>
      <c r="E36" s="21" t="s">
        <v>305</v>
      </c>
      <c r="F36" s="21" t="str">
        <f t="shared" si="0"/>
        <v>rtdc.l.rtdc.4038:itc</v>
      </c>
      <c r="G36" s="8">
        <f t="shared" si="1"/>
        <v>42700.224317129629</v>
      </c>
    </row>
    <row r="37" spans="1:7" x14ac:dyDescent="0.25">
      <c r="A37" s="8">
        <v>42700.227476851855</v>
      </c>
      <c r="B37" s="21" t="s">
        <v>186</v>
      </c>
      <c r="C37" s="21" t="s">
        <v>438</v>
      </c>
      <c r="D37" s="21">
        <v>2140000</v>
      </c>
      <c r="E37" s="21" t="s">
        <v>304</v>
      </c>
      <c r="F37" s="21" t="str">
        <f t="shared" si="0"/>
        <v>rtdc.l.rtdc.4009:itc</v>
      </c>
      <c r="G37" s="8">
        <f t="shared" si="1"/>
        <v>42700.227476851855</v>
      </c>
    </row>
    <row r="38" spans="1:7" x14ac:dyDescent="0.25">
      <c r="A38" s="8">
        <v>42700.229155092595</v>
      </c>
      <c r="B38" s="21" t="s">
        <v>214</v>
      </c>
      <c r="C38" s="21" t="s">
        <v>439</v>
      </c>
      <c r="D38" s="21">
        <v>2110000</v>
      </c>
      <c r="E38" s="21" t="s">
        <v>306</v>
      </c>
      <c r="F38" s="21" t="str">
        <f t="shared" si="0"/>
        <v>rtdc.l.rtdc.4011:itc</v>
      </c>
      <c r="G38" s="8">
        <f t="shared" si="1"/>
        <v>42700.229155092595</v>
      </c>
    </row>
    <row r="39" spans="1:7" x14ac:dyDescent="0.25">
      <c r="A39" s="8">
        <v>42700.234016203707</v>
      </c>
      <c r="B39" s="21" t="s">
        <v>261</v>
      </c>
      <c r="C39" s="21" t="s">
        <v>395</v>
      </c>
      <c r="D39" s="21">
        <v>2030000</v>
      </c>
      <c r="E39" s="21" t="s">
        <v>429</v>
      </c>
      <c r="F39" s="21" t="str">
        <f t="shared" si="0"/>
        <v>rtdc.l.rtdc.4045:itc</v>
      </c>
      <c r="G39" s="8">
        <f t="shared" si="1"/>
        <v>42700.234016203707</v>
      </c>
    </row>
    <row r="40" spans="1:7" x14ac:dyDescent="0.25">
      <c r="A40" s="8">
        <v>42700.236724537041</v>
      </c>
      <c r="B40" s="26" t="s">
        <v>222</v>
      </c>
      <c r="C40" s="21" t="s">
        <v>440</v>
      </c>
      <c r="D40" s="21">
        <v>2110000</v>
      </c>
      <c r="E40" s="21" t="s">
        <v>306</v>
      </c>
      <c r="F40" s="21" t="str">
        <f t="shared" si="0"/>
        <v>rtdc.l.rtdc.4012:itc</v>
      </c>
      <c r="G40" s="8">
        <f t="shared" si="1"/>
        <v>42700.236724537041</v>
      </c>
    </row>
    <row r="41" spans="1:7" x14ac:dyDescent="0.25">
      <c r="A41" s="8">
        <v>42700.242766203701</v>
      </c>
      <c r="B41" s="21" t="s">
        <v>212</v>
      </c>
      <c r="C41" s="21" t="s">
        <v>441</v>
      </c>
      <c r="D41" s="21">
        <v>1100000</v>
      </c>
      <c r="E41" s="21" t="s">
        <v>434</v>
      </c>
      <c r="F41" s="21" t="str">
        <f t="shared" si="0"/>
        <v>rtdc.l.rtdc.4030:itc</v>
      </c>
      <c r="G41" s="8">
        <f t="shared" si="1"/>
        <v>42700.242766203701</v>
      </c>
    </row>
    <row r="42" spans="1:7" x14ac:dyDescent="0.25">
      <c r="A42" s="8">
        <v>42700.24659722222</v>
      </c>
      <c r="B42" s="21" t="s">
        <v>258</v>
      </c>
      <c r="C42" s="21" t="s">
        <v>442</v>
      </c>
      <c r="D42" s="21">
        <v>1260000</v>
      </c>
      <c r="E42" s="21" t="s">
        <v>425</v>
      </c>
      <c r="F42" s="21" t="str">
        <f t="shared" si="0"/>
        <v>rtdc.l.rtdc.4031:itc</v>
      </c>
      <c r="G42" s="8">
        <f t="shared" si="1"/>
        <v>42700.24659722222</v>
      </c>
    </row>
    <row r="43" spans="1:7" x14ac:dyDescent="0.25">
      <c r="A43" s="8">
        <v>42700.256516203706</v>
      </c>
      <c r="B43" s="21" t="s">
        <v>291</v>
      </c>
      <c r="C43" s="21" t="s">
        <v>443</v>
      </c>
      <c r="D43" s="21">
        <v>1990000</v>
      </c>
      <c r="E43" s="21" t="s">
        <v>263</v>
      </c>
      <c r="F43" s="21" t="str">
        <f t="shared" si="0"/>
        <v>rtdc.l.rtdc.4003:itc</v>
      </c>
      <c r="G43" s="8">
        <f t="shared" si="1"/>
        <v>42700.256516203706</v>
      </c>
    </row>
    <row r="44" spans="1:7" x14ac:dyDescent="0.25">
      <c r="A44" s="8">
        <v>42700.256724537037</v>
      </c>
      <c r="B44" s="21" t="s">
        <v>227</v>
      </c>
      <c r="C44" s="21" t="s">
        <v>444</v>
      </c>
      <c r="D44" s="21">
        <v>2010000</v>
      </c>
      <c r="E44" s="21" t="s">
        <v>293</v>
      </c>
      <c r="F44" s="21" t="str">
        <f t="shared" si="0"/>
        <v>rtdc.l.rtdc.4043:itc</v>
      </c>
      <c r="G44" s="8">
        <f t="shared" si="1"/>
        <v>42700.256724537037</v>
      </c>
    </row>
    <row r="45" spans="1:7" x14ac:dyDescent="0.25">
      <c r="A45" s="8">
        <v>42700.258206018516</v>
      </c>
      <c r="B45" s="21" t="s">
        <v>214</v>
      </c>
      <c r="C45" s="21" t="s">
        <v>445</v>
      </c>
      <c r="D45" s="21">
        <v>2110000</v>
      </c>
      <c r="E45" s="21" t="s">
        <v>306</v>
      </c>
      <c r="F45" s="21" t="str">
        <f t="shared" si="0"/>
        <v>rtdc.l.rtdc.4011:itc</v>
      </c>
      <c r="G45" s="8">
        <f t="shared" si="1"/>
        <v>42700.258206018516</v>
      </c>
    </row>
    <row r="46" spans="1:7" x14ac:dyDescent="0.25">
      <c r="A46" s="8">
        <v>42700.265057870369</v>
      </c>
      <c r="B46" s="21" t="s">
        <v>231</v>
      </c>
      <c r="C46" s="21" t="s">
        <v>446</v>
      </c>
      <c r="D46" s="21">
        <v>1760000</v>
      </c>
      <c r="E46" s="21" t="s">
        <v>305</v>
      </c>
      <c r="F46" s="21" t="str">
        <f t="shared" si="0"/>
        <v>rtdc.l.rtdc.4037:itc</v>
      </c>
      <c r="G46" s="8">
        <f t="shared" si="1"/>
        <v>42700.265057870369</v>
      </c>
    </row>
    <row r="47" spans="1:7" x14ac:dyDescent="0.25">
      <c r="A47" s="8">
        <v>42700.265752314815</v>
      </c>
      <c r="B47" s="21" t="s">
        <v>262</v>
      </c>
      <c r="C47" s="21" t="s">
        <v>447</v>
      </c>
      <c r="D47" s="21">
        <v>2030000</v>
      </c>
      <c r="E47" s="21" t="s">
        <v>429</v>
      </c>
      <c r="F47" s="21" t="str">
        <f t="shared" si="0"/>
        <v>rtdc.l.rtdc.4046:itc</v>
      </c>
      <c r="G47" s="8">
        <f t="shared" si="1"/>
        <v>42700.265752314815</v>
      </c>
    </row>
    <row r="48" spans="1:7" x14ac:dyDescent="0.25">
      <c r="A48" s="8">
        <v>42700.272974537038</v>
      </c>
      <c r="B48" s="21" t="s">
        <v>303</v>
      </c>
      <c r="C48" s="21" t="s">
        <v>448</v>
      </c>
      <c r="D48" s="21">
        <v>2140000</v>
      </c>
      <c r="E48" s="21" t="s">
        <v>304</v>
      </c>
      <c r="F48" s="21" t="str">
        <f t="shared" si="0"/>
        <v>rtdc.l.rtdc.4010:itc</v>
      </c>
      <c r="G48" s="8">
        <f t="shared" si="1"/>
        <v>42700.272974537038</v>
      </c>
    </row>
    <row r="49" spans="1:7" x14ac:dyDescent="0.25">
      <c r="A49" s="8">
        <v>42700.27584490741</v>
      </c>
      <c r="B49" s="21" t="s">
        <v>222</v>
      </c>
      <c r="C49" s="21" t="s">
        <v>396</v>
      </c>
      <c r="D49" s="21">
        <v>2110000</v>
      </c>
      <c r="E49" s="21" t="s">
        <v>306</v>
      </c>
      <c r="F49" s="21" t="str">
        <f t="shared" si="0"/>
        <v>rtdc.l.rtdc.4012:itc</v>
      </c>
      <c r="G49" s="8">
        <f t="shared" si="1"/>
        <v>42700.27584490741</v>
      </c>
    </row>
    <row r="50" spans="1:7" x14ac:dyDescent="0.25">
      <c r="A50" s="8">
        <v>42700.276666666665</v>
      </c>
      <c r="B50" s="21" t="s">
        <v>284</v>
      </c>
      <c r="C50" s="21" t="s">
        <v>449</v>
      </c>
      <c r="D50" s="21">
        <v>1100000</v>
      </c>
      <c r="E50" s="21" t="s">
        <v>434</v>
      </c>
      <c r="F50" s="21" t="str">
        <f t="shared" si="0"/>
        <v>rtdc.l.rtdc.4029:itc</v>
      </c>
      <c r="G50" s="8">
        <f t="shared" si="1"/>
        <v>42700.276666666665</v>
      </c>
    </row>
    <row r="51" spans="1:7" x14ac:dyDescent="0.25">
      <c r="A51" s="8">
        <v>42700.283414351848</v>
      </c>
      <c r="B51" s="21" t="s">
        <v>334</v>
      </c>
      <c r="C51" s="21" t="s">
        <v>397</v>
      </c>
      <c r="D51" s="21">
        <v>1260000</v>
      </c>
      <c r="E51" s="21" t="s">
        <v>425</v>
      </c>
      <c r="F51" s="21" t="str">
        <f t="shared" si="0"/>
        <v>rtdc.l.rtdc.4032:itc</v>
      </c>
      <c r="G51" s="8">
        <f t="shared" si="1"/>
        <v>42700.283414351848</v>
      </c>
    </row>
    <row r="52" spans="1:7" x14ac:dyDescent="0.25">
      <c r="A52" s="8">
        <v>42700.289050925923</v>
      </c>
      <c r="B52" s="21" t="s">
        <v>187</v>
      </c>
      <c r="C52" s="21" t="s">
        <v>450</v>
      </c>
      <c r="D52" s="21">
        <v>2010000</v>
      </c>
      <c r="E52" s="21" t="s">
        <v>293</v>
      </c>
      <c r="F52" s="21" t="str">
        <f t="shared" si="0"/>
        <v>rtdc.l.rtdc.4044:itc</v>
      </c>
      <c r="G52" s="8">
        <f t="shared" si="1"/>
        <v>42700.289050925923</v>
      </c>
    </row>
    <row r="53" spans="1:7" x14ac:dyDescent="0.25">
      <c r="A53" s="8">
        <v>42700.296574074076</v>
      </c>
      <c r="B53" s="21" t="s">
        <v>292</v>
      </c>
      <c r="C53" s="21" t="s">
        <v>451</v>
      </c>
      <c r="D53" s="21">
        <v>1990000</v>
      </c>
      <c r="E53" s="21" t="s">
        <v>263</v>
      </c>
      <c r="F53" s="21" t="str">
        <f t="shared" si="0"/>
        <v>rtdc.l.rtdc.4004:itc</v>
      </c>
      <c r="G53" s="8">
        <f t="shared" si="1"/>
        <v>42700.296574074076</v>
      </c>
    </row>
    <row r="54" spans="1:7" x14ac:dyDescent="0.25">
      <c r="A54" s="8">
        <v>42700.297754629632</v>
      </c>
      <c r="B54" s="21" t="s">
        <v>230</v>
      </c>
      <c r="C54" s="21" t="s">
        <v>452</v>
      </c>
      <c r="D54" s="21">
        <v>1760000</v>
      </c>
      <c r="E54" s="21" t="s">
        <v>305</v>
      </c>
      <c r="F54" s="21" t="str">
        <f t="shared" si="0"/>
        <v>rtdc.l.rtdc.4038:itc</v>
      </c>
      <c r="G54" s="8">
        <f t="shared" si="1"/>
        <v>42700.297754629632</v>
      </c>
    </row>
    <row r="55" spans="1:7" x14ac:dyDescent="0.25">
      <c r="A55" s="8">
        <v>42700.301701388889</v>
      </c>
      <c r="B55" s="21" t="s">
        <v>214</v>
      </c>
      <c r="C55" s="21" t="s">
        <v>453</v>
      </c>
      <c r="D55" s="21">
        <v>2110000</v>
      </c>
      <c r="E55" s="21" t="s">
        <v>306</v>
      </c>
      <c r="F55" s="21" t="str">
        <f t="shared" si="0"/>
        <v>rtdc.l.rtdc.4011:itc</v>
      </c>
      <c r="G55" s="8">
        <f t="shared" si="1"/>
        <v>42700.301701388889</v>
      </c>
    </row>
    <row r="56" spans="1:7" x14ac:dyDescent="0.25">
      <c r="A56" s="8">
        <v>42700.302141203705</v>
      </c>
      <c r="B56" s="21" t="s">
        <v>261</v>
      </c>
      <c r="C56" s="21" t="s">
        <v>454</v>
      </c>
      <c r="D56" s="21">
        <v>2030000</v>
      </c>
      <c r="E56" s="21" t="s">
        <v>429</v>
      </c>
      <c r="F56" s="21" t="str">
        <f t="shared" si="0"/>
        <v>rtdc.l.rtdc.4045:itc</v>
      </c>
      <c r="G56" s="8">
        <f t="shared" si="1"/>
        <v>42700.302141203705</v>
      </c>
    </row>
    <row r="57" spans="1:7" x14ac:dyDescent="0.25">
      <c r="A57" s="8">
        <v>42700.308206018519</v>
      </c>
      <c r="B57" s="21" t="s">
        <v>186</v>
      </c>
      <c r="C57" s="21" t="s">
        <v>455</v>
      </c>
      <c r="D57" s="21">
        <v>2140000</v>
      </c>
      <c r="E57" s="21" t="s">
        <v>304</v>
      </c>
      <c r="F57" s="21" t="str">
        <f t="shared" si="0"/>
        <v>rtdc.l.rtdc.4009:itc</v>
      </c>
      <c r="G57" s="8">
        <f t="shared" si="1"/>
        <v>42700.308206018519</v>
      </c>
    </row>
    <row r="58" spans="1:7" x14ac:dyDescent="0.25">
      <c r="A58" s="8">
        <v>42700.316851851851</v>
      </c>
      <c r="B58" s="21" t="s">
        <v>212</v>
      </c>
      <c r="C58" s="21" t="s">
        <v>456</v>
      </c>
      <c r="D58" s="21">
        <v>1100000</v>
      </c>
      <c r="E58" s="21" t="s">
        <v>434</v>
      </c>
      <c r="F58" s="21" t="str">
        <f t="shared" si="0"/>
        <v>rtdc.l.rtdc.4030:itc</v>
      </c>
      <c r="G58" s="8">
        <f t="shared" si="1"/>
        <v>42700.316851851851</v>
      </c>
    </row>
    <row r="59" spans="1:7" x14ac:dyDescent="0.25">
      <c r="A59" s="8">
        <v>42700.317442129628</v>
      </c>
      <c r="B59" s="21" t="s">
        <v>222</v>
      </c>
      <c r="C59" s="21" t="s">
        <v>457</v>
      </c>
      <c r="D59" s="21">
        <v>2110000</v>
      </c>
      <c r="E59" s="21" t="s">
        <v>306</v>
      </c>
      <c r="F59" s="21" t="str">
        <f t="shared" si="0"/>
        <v>rtdc.l.rtdc.4012:itc</v>
      </c>
      <c r="G59" s="8">
        <f t="shared" si="1"/>
        <v>42700.317442129628</v>
      </c>
    </row>
    <row r="60" spans="1:7" x14ac:dyDescent="0.25">
      <c r="A60" s="8">
        <v>42700.317812499998</v>
      </c>
      <c r="B60" s="21" t="s">
        <v>258</v>
      </c>
      <c r="C60" s="21" t="s">
        <v>458</v>
      </c>
      <c r="D60" s="21">
        <v>1260000</v>
      </c>
      <c r="E60" s="21" t="s">
        <v>425</v>
      </c>
      <c r="F60" s="21" t="str">
        <f t="shared" si="0"/>
        <v>rtdc.l.rtdc.4031:itc</v>
      </c>
      <c r="G60" s="8">
        <f t="shared" si="1"/>
        <v>42700.317812499998</v>
      </c>
    </row>
    <row r="61" spans="1:7" x14ac:dyDescent="0.25">
      <c r="A61" s="8">
        <v>42700.322268518517</v>
      </c>
      <c r="B61" s="21" t="s">
        <v>227</v>
      </c>
      <c r="C61" s="21" t="s">
        <v>459</v>
      </c>
      <c r="D61" s="21">
        <v>2010000</v>
      </c>
      <c r="E61" s="21" t="s">
        <v>293</v>
      </c>
      <c r="F61" s="21" t="str">
        <f t="shared" si="0"/>
        <v>rtdc.l.rtdc.4043:itc</v>
      </c>
      <c r="G61" s="8">
        <f t="shared" si="1"/>
        <v>42700.322268518517</v>
      </c>
    </row>
    <row r="62" spans="1:7" x14ac:dyDescent="0.25">
      <c r="A62" s="8">
        <v>42700.328611111108</v>
      </c>
      <c r="B62" s="21" t="s">
        <v>291</v>
      </c>
      <c r="C62" s="21" t="s">
        <v>460</v>
      </c>
      <c r="D62" s="21">
        <v>1990000</v>
      </c>
      <c r="E62" s="21" t="s">
        <v>263</v>
      </c>
      <c r="F62" s="21" t="str">
        <f t="shared" si="0"/>
        <v>rtdc.l.rtdc.4003:itc</v>
      </c>
      <c r="G62" s="8">
        <f t="shared" si="1"/>
        <v>42700.328611111108</v>
      </c>
    </row>
    <row r="63" spans="1:7" x14ac:dyDescent="0.25">
      <c r="A63" s="8">
        <v>42700.33761574074</v>
      </c>
      <c r="B63" s="21" t="s">
        <v>214</v>
      </c>
      <c r="C63" s="21" t="s">
        <v>398</v>
      </c>
      <c r="D63" s="21">
        <v>2110000</v>
      </c>
      <c r="E63" s="21" t="s">
        <v>306</v>
      </c>
      <c r="F63" s="21" t="str">
        <f t="shared" si="0"/>
        <v>rtdc.l.rtdc.4011:itc</v>
      </c>
      <c r="G63" s="8">
        <f t="shared" si="1"/>
        <v>42700.33761574074</v>
      </c>
    </row>
    <row r="64" spans="1:7" x14ac:dyDescent="0.25">
      <c r="A64" s="27">
        <v>42700.337824074071</v>
      </c>
      <c r="B64" s="21" t="s">
        <v>231</v>
      </c>
      <c r="C64" s="21" t="s">
        <v>399</v>
      </c>
      <c r="D64" s="21">
        <v>1760000</v>
      </c>
      <c r="E64" s="21" t="s">
        <v>305</v>
      </c>
      <c r="F64" s="21" t="str">
        <f t="shared" si="0"/>
        <v>rtdc.l.rtdc.4037:itc</v>
      </c>
      <c r="G64" s="8">
        <f t="shared" si="1"/>
        <v>42700.337824074071</v>
      </c>
    </row>
    <row r="65" spans="1:7" x14ac:dyDescent="0.25">
      <c r="A65" s="8">
        <v>42700.339780092596</v>
      </c>
      <c r="B65" s="21" t="s">
        <v>262</v>
      </c>
      <c r="C65" s="21" t="s">
        <v>461</v>
      </c>
      <c r="D65" s="21">
        <v>2030000</v>
      </c>
      <c r="E65" s="21" t="s">
        <v>429</v>
      </c>
      <c r="F65" s="21" t="str">
        <f t="shared" si="0"/>
        <v>rtdc.l.rtdc.4046:itc</v>
      </c>
      <c r="G65" s="8">
        <f t="shared" si="1"/>
        <v>42700.339780092596</v>
      </c>
    </row>
    <row r="66" spans="1:7" x14ac:dyDescent="0.25">
      <c r="A66" s="8">
        <v>42700.345543981479</v>
      </c>
      <c r="B66" s="21" t="s">
        <v>303</v>
      </c>
      <c r="C66" s="21" t="s">
        <v>462</v>
      </c>
      <c r="D66" s="21">
        <v>2140000</v>
      </c>
      <c r="E66" s="21" t="s">
        <v>304</v>
      </c>
      <c r="F66" s="21" t="str">
        <f t="shared" ref="F66:F129" si="2">B66</f>
        <v>rtdc.l.rtdc.4010:itc</v>
      </c>
      <c r="G66" s="8">
        <f t="shared" ref="G66:G129" si="3">A66</f>
        <v>42700.345543981479</v>
      </c>
    </row>
    <row r="67" spans="1:7" x14ac:dyDescent="0.25">
      <c r="A67" s="8">
        <v>42700.349120370367</v>
      </c>
      <c r="B67" s="21" t="s">
        <v>284</v>
      </c>
      <c r="C67" s="21" t="s">
        <v>463</v>
      </c>
      <c r="D67" s="21">
        <v>1100000</v>
      </c>
      <c r="E67" s="21" t="s">
        <v>434</v>
      </c>
      <c r="F67" s="21" t="str">
        <f t="shared" si="2"/>
        <v>rtdc.l.rtdc.4029:itc</v>
      </c>
      <c r="G67" s="8">
        <f t="shared" si="3"/>
        <v>42700.349120370367</v>
      </c>
    </row>
    <row r="68" spans="1:7" x14ac:dyDescent="0.25">
      <c r="A68" s="8">
        <v>42700.350243055553</v>
      </c>
      <c r="B68" s="21" t="s">
        <v>262</v>
      </c>
      <c r="C68" s="21" t="s">
        <v>461</v>
      </c>
      <c r="D68" s="21">
        <v>2030000</v>
      </c>
      <c r="E68" s="21" t="s">
        <v>429</v>
      </c>
      <c r="F68" s="21" t="str">
        <f t="shared" si="2"/>
        <v>rtdc.l.rtdc.4046:itc</v>
      </c>
      <c r="G68" s="8">
        <f t="shared" si="3"/>
        <v>42700.350243055553</v>
      </c>
    </row>
    <row r="69" spans="1:7" x14ac:dyDescent="0.25">
      <c r="A69" s="8">
        <v>42700.355324074073</v>
      </c>
      <c r="B69" s="21" t="s">
        <v>334</v>
      </c>
      <c r="C69" s="21" t="s">
        <v>401</v>
      </c>
      <c r="D69" s="21">
        <v>1260000</v>
      </c>
      <c r="E69" s="21" t="s">
        <v>425</v>
      </c>
      <c r="F69" s="21" t="str">
        <f t="shared" si="2"/>
        <v>rtdc.l.rtdc.4032:itc</v>
      </c>
      <c r="G69" s="8">
        <f t="shared" si="3"/>
        <v>42700.355324074073</v>
      </c>
    </row>
    <row r="70" spans="1:7" x14ac:dyDescent="0.25">
      <c r="A70" s="8">
        <v>42700.359780092593</v>
      </c>
      <c r="B70" s="21" t="s">
        <v>222</v>
      </c>
      <c r="C70" s="21" t="s">
        <v>464</v>
      </c>
      <c r="D70" s="21">
        <v>2110000</v>
      </c>
      <c r="E70" s="21" t="s">
        <v>306</v>
      </c>
      <c r="F70" s="21" t="str">
        <f t="shared" si="2"/>
        <v>rtdc.l.rtdc.4012:itc</v>
      </c>
      <c r="G70" s="8">
        <f t="shared" si="3"/>
        <v>42700.359780092593</v>
      </c>
    </row>
    <row r="71" spans="1:7" x14ac:dyDescent="0.25">
      <c r="A71" s="8">
        <v>42700.361504629633</v>
      </c>
      <c r="B71" s="21" t="s">
        <v>187</v>
      </c>
      <c r="C71" s="21" t="s">
        <v>400</v>
      </c>
      <c r="D71" s="21">
        <v>2010000</v>
      </c>
      <c r="E71" s="21" t="s">
        <v>293</v>
      </c>
      <c r="F71" s="21" t="str">
        <f t="shared" si="2"/>
        <v>rtdc.l.rtdc.4044:itc</v>
      </c>
      <c r="G71" s="8">
        <f t="shared" si="3"/>
        <v>42700.361504629633</v>
      </c>
    </row>
    <row r="72" spans="1:7" x14ac:dyDescent="0.25">
      <c r="A72" s="8">
        <v>42700.369189814817</v>
      </c>
      <c r="B72" s="21" t="s">
        <v>292</v>
      </c>
      <c r="C72" s="21" t="s">
        <v>465</v>
      </c>
      <c r="D72" s="21">
        <v>1990000</v>
      </c>
      <c r="E72" s="21" t="s">
        <v>263</v>
      </c>
      <c r="F72" s="21" t="str">
        <f t="shared" si="2"/>
        <v>rtdc.l.rtdc.4004:itc</v>
      </c>
      <c r="G72" s="8">
        <f t="shared" si="3"/>
        <v>42700.369189814817</v>
      </c>
    </row>
    <row r="73" spans="1:7" x14ac:dyDescent="0.25">
      <c r="A73" s="8">
        <v>42700.373217592591</v>
      </c>
      <c r="B73" s="21" t="s">
        <v>230</v>
      </c>
      <c r="C73" s="21" t="s">
        <v>466</v>
      </c>
      <c r="D73" s="21">
        <v>1760000</v>
      </c>
      <c r="E73" s="21" t="s">
        <v>305</v>
      </c>
      <c r="F73" s="21" t="str">
        <f t="shared" si="2"/>
        <v>rtdc.l.rtdc.4038:itc</v>
      </c>
      <c r="G73" s="8">
        <f t="shared" si="3"/>
        <v>42700.373217592591</v>
      </c>
    </row>
    <row r="74" spans="1:7" x14ac:dyDescent="0.25">
      <c r="A74" s="8">
        <v>42700.373761574076</v>
      </c>
      <c r="B74" s="21" t="s">
        <v>214</v>
      </c>
      <c r="C74" s="21" t="s">
        <v>467</v>
      </c>
      <c r="D74" s="21">
        <v>2110000</v>
      </c>
      <c r="E74" s="21" t="s">
        <v>306</v>
      </c>
      <c r="F74" s="21" t="str">
        <f t="shared" si="2"/>
        <v>rtdc.l.rtdc.4011:itc</v>
      </c>
      <c r="G74" s="8">
        <f t="shared" si="3"/>
        <v>42700.373761574076</v>
      </c>
    </row>
    <row r="75" spans="1:7" x14ac:dyDescent="0.25">
      <c r="A75" s="8">
        <v>42700.378229166665</v>
      </c>
      <c r="B75" s="21" t="s">
        <v>303</v>
      </c>
      <c r="C75" s="21" t="s">
        <v>462</v>
      </c>
      <c r="D75" s="21">
        <v>2140000</v>
      </c>
      <c r="E75" s="21" t="s">
        <v>304</v>
      </c>
      <c r="F75" s="21" t="str">
        <f t="shared" si="2"/>
        <v>rtdc.l.rtdc.4010:itc</v>
      </c>
      <c r="G75" s="8">
        <f t="shared" si="3"/>
        <v>42700.378229166665</v>
      </c>
    </row>
    <row r="76" spans="1:7" x14ac:dyDescent="0.25">
      <c r="A76" s="8">
        <v>42700.380949074075</v>
      </c>
      <c r="B76" s="21" t="s">
        <v>261</v>
      </c>
      <c r="C76" s="21" t="s">
        <v>468</v>
      </c>
      <c r="D76" s="21">
        <v>2030000</v>
      </c>
      <c r="E76" s="21" t="s">
        <v>429</v>
      </c>
      <c r="F76" s="21" t="str">
        <f t="shared" si="2"/>
        <v>rtdc.l.rtdc.4045:itc</v>
      </c>
      <c r="G76" s="8">
        <f t="shared" si="3"/>
        <v>42700.380949074075</v>
      </c>
    </row>
    <row r="77" spans="1:7" x14ac:dyDescent="0.25">
      <c r="A77" s="8">
        <v>42700.380960648145</v>
      </c>
      <c r="B77" s="21" t="s">
        <v>186</v>
      </c>
      <c r="C77" s="21" t="s">
        <v>469</v>
      </c>
      <c r="D77" s="21">
        <v>2140000</v>
      </c>
      <c r="E77" s="21" t="s">
        <v>304</v>
      </c>
      <c r="F77" s="21" t="str">
        <f t="shared" si="2"/>
        <v>rtdc.l.rtdc.4009:itc</v>
      </c>
      <c r="G77" s="8">
        <f t="shared" si="3"/>
        <v>42700.380960648145</v>
      </c>
    </row>
    <row r="78" spans="1:7" x14ac:dyDescent="0.25">
      <c r="A78" s="8">
        <v>42700.38790509259</v>
      </c>
      <c r="B78" s="21" t="s">
        <v>212</v>
      </c>
      <c r="C78" s="21" t="s">
        <v>470</v>
      </c>
      <c r="D78" s="21">
        <v>1100000</v>
      </c>
      <c r="E78" s="21" t="s">
        <v>434</v>
      </c>
      <c r="F78" s="21" t="str">
        <f t="shared" si="2"/>
        <v>rtdc.l.rtdc.4030:itc</v>
      </c>
      <c r="G78" s="8">
        <f t="shared" si="3"/>
        <v>42700.38790509259</v>
      </c>
    </row>
    <row r="79" spans="1:7" x14ac:dyDescent="0.25">
      <c r="A79" s="8">
        <v>42700.390960648147</v>
      </c>
      <c r="B79" s="21" t="s">
        <v>258</v>
      </c>
      <c r="C79" s="21" t="s">
        <v>471</v>
      </c>
      <c r="D79" s="21">
        <v>1260000</v>
      </c>
      <c r="E79" s="21" t="s">
        <v>425</v>
      </c>
      <c r="F79" s="21" t="str">
        <f t="shared" si="2"/>
        <v>rtdc.l.rtdc.4031:itc</v>
      </c>
      <c r="G79" s="8">
        <f t="shared" si="3"/>
        <v>42700.390960648147</v>
      </c>
    </row>
    <row r="80" spans="1:7" x14ac:dyDescent="0.25">
      <c r="A80" s="8">
        <v>42700.396631944444</v>
      </c>
      <c r="B80" s="21" t="s">
        <v>227</v>
      </c>
      <c r="C80" s="21" t="s">
        <v>472</v>
      </c>
      <c r="D80" s="21">
        <v>2010000</v>
      </c>
      <c r="E80" s="21" t="s">
        <v>293</v>
      </c>
      <c r="F80" s="21" t="str">
        <f t="shared" si="2"/>
        <v>rtdc.l.rtdc.4043:itc</v>
      </c>
      <c r="G80" s="8">
        <f t="shared" si="3"/>
        <v>42700.396631944444</v>
      </c>
    </row>
    <row r="81" spans="1:7" x14ac:dyDescent="0.25">
      <c r="A81" s="8">
        <v>42700.400925925926</v>
      </c>
      <c r="B81" s="21" t="s">
        <v>291</v>
      </c>
      <c r="C81" s="21" t="s">
        <v>402</v>
      </c>
      <c r="D81" s="21">
        <v>1990000</v>
      </c>
      <c r="E81" s="21" t="s">
        <v>263</v>
      </c>
      <c r="F81" s="21" t="str">
        <f t="shared" si="2"/>
        <v>rtdc.l.rtdc.4003:itc</v>
      </c>
      <c r="G81" s="8">
        <f t="shared" si="3"/>
        <v>42700.400925925926</v>
      </c>
    </row>
    <row r="82" spans="1:7" x14ac:dyDescent="0.25">
      <c r="A82" s="8">
        <v>42700.401956018519</v>
      </c>
      <c r="B82" s="21" t="s">
        <v>222</v>
      </c>
      <c r="C82" s="21" t="s">
        <v>473</v>
      </c>
      <c r="D82" s="21">
        <v>2110000</v>
      </c>
      <c r="E82" s="21" t="s">
        <v>306</v>
      </c>
      <c r="F82" s="21" t="str">
        <f t="shared" si="2"/>
        <v>rtdc.l.rtdc.4012:itc</v>
      </c>
      <c r="G82" s="8">
        <f t="shared" si="3"/>
        <v>42700.401956018519</v>
      </c>
    </row>
    <row r="83" spans="1:7" x14ac:dyDescent="0.25">
      <c r="A83" s="8">
        <v>42700.40420138889</v>
      </c>
      <c r="B83" s="21" t="s">
        <v>231</v>
      </c>
      <c r="C83" s="21" t="s">
        <v>474</v>
      </c>
      <c r="D83" s="21">
        <v>1760000</v>
      </c>
      <c r="E83" s="21" t="s">
        <v>305</v>
      </c>
      <c r="F83" s="21" t="str">
        <f t="shared" si="2"/>
        <v>rtdc.l.rtdc.4037:itc</v>
      </c>
      <c r="G83" s="8">
        <f t="shared" si="3"/>
        <v>42700.40420138889</v>
      </c>
    </row>
    <row r="84" spans="1:7" x14ac:dyDescent="0.25">
      <c r="A84" s="8">
        <v>42700.411550925928</v>
      </c>
      <c r="B84" s="21" t="s">
        <v>262</v>
      </c>
      <c r="C84" s="21" t="s">
        <v>475</v>
      </c>
      <c r="D84" s="21">
        <v>2030000</v>
      </c>
      <c r="E84" s="21" t="s">
        <v>429</v>
      </c>
      <c r="F84" s="21" t="str">
        <f t="shared" si="2"/>
        <v>rtdc.l.rtdc.4046:itc</v>
      </c>
      <c r="G84" s="8">
        <f t="shared" si="3"/>
        <v>42700.411550925928</v>
      </c>
    </row>
    <row r="85" spans="1:7" x14ac:dyDescent="0.25">
      <c r="A85" s="8">
        <v>42700.418877314813</v>
      </c>
      <c r="B85" s="21" t="s">
        <v>303</v>
      </c>
      <c r="C85" s="21" t="s">
        <v>403</v>
      </c>
      <c r="D85" s="21">
        <v>2140000</v>
      </c>
      <c r="E85" s="21" t="s">
        <v>304</v>
      </c>
      <c r="F85" s="21" t="str">
        <f t="shared" si="2"/>
        <v>rtdc.l.rtdc.4010:itc</v>
      </c>
      <c r="G85" s="8">
        <f t="shared" si="3"/>
        <v>42700.418877314813</v>
      </c>
    </row>
    <row r="86" spans="1:7" x14ac:dyDescent="0.25">
      <c r="A86" s="8">
        <v>42700.423495370371</v>
      </c>
      <c r="B86" s="21" t="s">
        <v>284</v>
      </c>
      <c r="C86" s="21" t="s">
        <v>476</v>
      </c>
      <c r="D86" s="21">
        <v>1100000</v>
      </c>
      <c r="E86" s="21" t="s">
        <v>434</v>
      </c>
      <c r="F86" s="21" t="str">
        <f t="shared" si="2"/>
        <v>rtdc.l.rtdc.4029:itc</v>
      </c>
      <c r="G86" s="8">
        <f t="shared" si="3"/>
        <v>42700.423495370371</v>
      </c>
    </row>
    <row r="87" spans="1:7" x14ac:dyDescent="0.25">
      <c r="A87" s="8">
        <v>42700.426006944443</v>
      </c>
      <c r="B87" s="21" t="s">
        <v>214</v>
      </c>
      <c r="C87" s="21" t="s">
        <v>477</v>
      </c>
      <c r="D87" s="21">
        <v>2110000</v>
      </c>
      <c r="E87" s="21" t="s">
        <v>306</v>
      </c>
      <c r="F87" s="21" t="str">
        <f t="shared" si="2"/>
        <v>rtdc.l.rtdc.4011:itc</v>
      </c>
      <c r="G87" s="8">
        <f t="shared" si="3"/>
        <v>42700.426006944443</v>
      </c>
    </row>
    <row r="88" spans="1:7" x14ac:dyDescent="0.25">
      <c r="A88" s="8">
        <v>42700.428263888891</v>
      </c>
      <c r="B88" s="21" t="s">
        <v>334</v>
      </c>
      <c r="C88" s="21" t="s">
        <v>478</v>
      </c>
      <c r="D88" s="21">
        <v>1260000</v>
      </c>
      <c r="E88" s="21" t="s">
        <v>425</v>
      </c>
      <c r="F88" s="21" t="str">
        <f t="shared" si="2"/>
        <v>rtdc.l.rtdc.4032:itc</v>
      </c>
      <c r="G88" s="8">
        <f t="shared" si="3"/>
        <v>42700.428263888891</v>
      </c>
    </row>
    <row r="89" spans="1:7" x14ac:dyDescent="0.25">
      <c r="A89" s="8">
        <v>42700.432939814818</v>
      </c>
      <c r="B89" s="21" t="s">
        <v>187</v>
      </c>
      <c r="C89" s="21" t="s">
        <v>479</v>
      </c>
      <c r="D89" s="21">
        <v>930000</v>
      </c>
      <c r="E89" s="21" t="s">
        <v>480</v>
      </c>
      <c r="F89" s="21" t="str">
        <f t="shared" si="2"/>
        <v>rtdc.l.rtdc.4044:itc</v>
      </c>
      <c r="G89" s="8">
        <f t="shared" si="3"/>
        <v>42700.432939814818</v>
      </c>
    </row>
    <row r="90" spans="1:7" x14ac:dyDescent="0.25">
      <c r="A90" s="8">
        <v>42700.442453703705</v>
      </c>
      <c r="B90" s="21" t="s">
        <v>292</v>
      </c>
      <c r="C90" s="21" t="s">
        <v>481</v>
      </c>
      <c r="D90" s="21">
        <v>1990000</v>
      </c>
      <c r="E90" s="21" t="s">
        <v>263</v>
      </c>
      <c r="F90" s="21" t="str">
        <f t="shared" si="2"/>
        <v>rtdc.l.rtdc.4004:itc</v>
      </c>
      <c r="G90" s="8">
        <f t="shared" si="3"/>
        <v>42700.442453703705</v>
      </c>
    </row>
    <row r="91" spans="1:7" x14ac:dyDescent="0.25">
      <c r="A91" s="8">
        <v>42700.44263888889</v>
      </c>
      <c r="B91" s="21" t="s">
        <v>222</v>
      </c>
      <c r="C91" s="21" t="s">
        <v>482</v>
      </c>
      <c r="D91" s="21">
        <v>2110000</v>
      </c>
      <c r="E91" s="21" t="s">
        <v>306</v>
      </c>
      <c r="F91" s="21" t="str">
        <f t="shared" si="2"/>
        <v>rtdc.l.rtdc.4012:itc</v>
      </c>
      <c r="G91" s="8">
        <f t="shared" si="3"/>
        <v>42700.44263888889</v>
      </c>
    </row>
    <row r="92" spans="1:7" x14ac:dyDescent="0.25">
      <c r="A92" s="8">
        <v>42700.443379629629</v>
      </c>
      <c r="B92" s="21" t="s">
        <v>230</v>
      </c>
      <c r="C92" s="21" t="s">
        <v>483</v>
      </c>
      <c r="D92" s="21">
        <v>1760000</v>
      </c>
      <c r="E92" s="21" t="s">
        <v>305</v>
      </c>
      <c r="F92" s="21" t="str">
        <f t="shared" si="2"/>
        <v>rtdc.l.rtdc.4038:itc</v>
      </c>
      <c r="G92" s="8">
        <f t="shared" si="3"/>
        <v>42700.443379629629</v>
      </c>
    </row>
    <row r="93" spans="1:7" x14ac:dyDescent="0.25">
      <c r="A93" s="8">
        <v>42700.448391203703</v>
      </c>
      <c r="B93" s="21" t="s">
        <v>261</v>
      </c>
      <c r="C93" s="21" t="s">
        <v>484</v>
      </c>
      <c r="D93" s="21">
        <v>2030000</v>
      </c>
      <c r="E93" s="21" t="s">
        <v>429</v>
      </c>
      <c r="F93" s="21" t="str">
        <f t="shared" si="2"/>
        <v>rtdc.l.rtdc.4045:itc</v>
      </c>
      <c r="G93" s="8">
        <f t="shared" si="3"/>
        <v>42700.448391203703</v>
      </c>
    </row>
    <row r="94" spans="1:7" x14ac:dyDescent="0.25">
      <c r="A94" s="8">
        <v>42700.455509259256</v>
      </c>
      <c r="B94" s="21" t="s">
        <v>186</v>
      </c>
      <c r="C94" s="21" t="s">
        <v>485</v>
      </c>
      <c r="D94" s="21">
        <v>880000</v>
      </c>
      <c r="E94" s="21" t="s">
        <v>486</v>
      </c>
      <c r="F94" s="21" t="str">
        <f t="shared" si="2"/>
        <v>rtdc.l.rtdc.4009:itc</v>
      </c>
      <c r="G94" s="8">
        <f t="shared" si="3"/>
        <v>42700.455509259256</v>
      </c>
    </row>
    <row r="95" spans="1:7" x14ac:dyDescent="0.25">
      <c r="A95" s="8">
        <v>42700.461319444446</v>
      </c>
      <c r="B95" s="21" t="s">
        <v>212</v>
      </c>
      <c r="C95" s="21" t="s">
        <v>487</v>
      </c>
      <c r="D95" s="21">
        <v>1100000</v>
      </c>
      <c r="E95" s="21" t="s">
        <v>434</v>
      </c>
      <c r="F95" s="21" t="str">
        <f t="shared" si="2"/>
        <v>rtdc.l.rtdc.4030:itc</v>
      </c>
      <c r="G95" s="8">
        <f t="shared" si="3"/>
        <v>42700.461319444446</v>
      </c>
    </row>
    <row r="96" spans="1:7" x14ac:dyDescent="0.25">
      <c r="A96" s="8">
        <v>42700.464768518519</v>
      </c>
      <c r="B96" s="21" t="s">
        <v>258</v>
      </c>
      <c r="C96" s="21" t="s">
        <v>488</v>
      </c>
      <c r="D96" s="21">
        <v>1280000</v>
      </c>
      <c r="E96" s="21" t="s">
        <v>489</v>
      </c>
      <c r="F96" s="21" t="str">
        <f t="shared" si="2"/>
        <v>rtdc.l.rtdc.4031:itc</v>
      </c>
      <c r="G96" s="8">
        <f t="shared" si="3"/>
        <v>42700.464768518519</v>
      </c>
    </row>
    <row r="97" spans="1:7" x14ac:dyDescent="0.25">
      <c r="A97" s="8">
        <v>42700.467326388891</v>
      </c>
      <c r="B97" s="21" t="s">
        <v>214</v>
      </c>
      <c r="C97" s="21" t="s">
        <v>490</v>
      </c>
      <c r="D97" s="21">
        <v>2110000</v>
      </c>
      <c r="E97" s="21" t="s">
        <v>306</v>
      </c>
      <c r="F97" s="21" t="str">
        <f t="shared" si="2"/>
        <v>rtdc.l.rtdc.4011:itc</v>
      </c>
      <c r="G97" s="8">
        <f t="shared" si="3"/>
        <v>42700.467326388891</v>
      </c>
    </row>
    <row r="98" spans="1:7" x14ac:dyDescent="0.25">
      <c r="A98" s="8">
        <v>42700.474374999998</v>
      </c>
      <c r="B98" s="21" t="s">
        <v>227</v>
      </c>
      <c r="C98" s="21" t="s">
        <v>491</v>
      </c>
      <c r="D98" s="21">
        <v>930000</v>
      </c>
      <c r="E98" s="21" t="s">
        <v>480</v>
      </c>
      <c r="F98" s="21" t="str">
        <f t="shared" si="2"/>
        <v>rtdc.l.rtdc.4043:itc</v>
      </c>
      <c r="G98" s="8">
        <f t="shared" si="3"/>
        <v>42700.474374999998</v>
      </c>
    </row>
    <row r="99" spans="1:7" x14ac:dyDescent="0.25">
      <c r="A99" s="8">
        <v>42700.476099537038</v>
      </c>
      <c r="B99" s="21" t="s">
        <v>291</v>
      </c>
      <c r="C99" s="21" t="s">
        <v>492</v>
      </c>
      <c r="D99" s="21">
        <v>2040000</v>
      </c>
      <c r="E99" s="21" t="s">
        <v>295</v>
      </c>
      <c r="F99" s="21" t="str">
        <f t="shared" si="2"/>
        <v>rtdc.l.rtdc.4003:itc</v>
      </c>
      <c r="G99" s="8">
        <f t="shared" si="3"/>
        <v>42700.476099537038</v>
      </c>
    </row>
    <row r="100" spans="1:7" x14ac:dyDescent="0.25">
      <c r="A100" s="8">
        <v>42700.482488425929</v>
      </c>
      <c r="B100" s="21" t="s">
        <v>231</v>
      </c>
      <c r="C100" s="21" t="s">
        <v>493</v>
      </c>
      <c r="D100" s="21">
        <v>1760000</v>
      </c>
      <c r="E100" s="21" t="s">
        <v>305</v>
      </c>
      <c r="F100" s="21" t="str">
        <f t="shared" si="2"/>
        <v>rtdc.l.rtdc.4037:itc</v>
      </c>
      <c r="G100" s="8">
        <f t="shared" si="3"/>
        <v>42700.482488425929</v>
      </c>
    </row>
    <row r="101" spans="1:7" x14ac:dyDescent="0.25">
      <c r="A101" s="8">
        <v>42700.484097222223</v>
      </c>
      <c r="B101" s="21" t="s">
        <v>222</v>
      </c>
      <c r="C101" s="21" t="s">
        <v>494</v>
      </c>
      <c r="D101" s="21">
        <v>2110000</v>
      </c>
      <c r="E101" s="21" t="s">
        <v>306</v>
      </c>
      <c r="F101" s="21" t="str">
        <f t="shared" si="2"/>
        <v>rtdc.l.rtdc.4012:itc</v>
      </c>
      <c r="G101" s="8">
        <f t="shared" si="3"/>
        <v>42700.484097222223</v>
      </c>
    </row>
    <row r="102" spans="1:7" x14ac:dyDescent="0.25">
      <c r="A102" s="8">
        <v>42700.48505787037</v>
      </c>
      <c r="B102" s="21" t="s">
        <v>262</v>
      </c>
      <c r="C102" s="21" t="s">
        <v>495</v>
      </c>
      <c r="D102" s="21">
        <v>2270000</v>
      </c>
      <c r="E102" s="21" t="s">
        <v>336</v>
      </c>
      <c r="F102" s="21" t="str">
        <f t="shared" si="2"/>
        <v>rtdc.l.rtdc.4046:itc</v>
      </c>
      <c r="G102" s="8">
        <f t="shared" si="3"/>
        <v>42700.48505787037</v>
      </c>
    </row>
    <row r="103" spans="1:7" x14ac:dyDescent="0.25">
      <c r="A103" s="8">
        <v>42700.494513888887</v>
      </c>
      <c r="B103" s="21" t="s">
        <v>303</v>
      </c>
      <c r="C103" s="21" t="s">
        <v>496</v>
      </c>
      <c r="D103" s="21">
        <v>880000</v>
      </c>
      <c r="E103" s="21" t="s">
        <v>486</v>
      </c>
      <c r="F103" s="21" t="str">
        <f t="shared" si="2"/>
        <v>rtdc.l.rtdc.4010:itc</v>
      </c>
      <c r="G103" s="8">
        <f t="shared" si="3"/>
        <v>42700.494513888887</v>
      </c>
    </row>
    <row r="104" spans="1:7" x14ac:dyDescent="0.25">
      <c r="A104" s="8">
        <v>42700.497731481482</v>
      </c>
      <c r="B104" s="21" t="s">
        <v>334</v>
      </c>
      <c r="C104" s="21" t="s">
        <v>497</v>
      </c>
      <c r="D104" s="21">
        <v>1280000</v>
      </c>
      <c r="E104" s="21" t="s">
        <v>489</v>
      </c>
      <c r="F104" s="21" t="str">
        <f t="shared" si="2"/>
        <v>rtdc.l.rtdc.4032:itc</v>
      </c>
      <c r="G104" s="8">
        <f t="shared" si="3"/>
        <v>42700.497731481482</v>
      </c>
    </row>
    <row r="105" spans="1:7" x14ac:dyDescent="0.25">
      <c r="A105" s="8">
        <v>42700.498043981483</v>
      </c>
      <c r="B105" s="21" t="s">
        <v>284</v>
      </c>
      <c r="C105" s="21" t="s">
        <v>498</v>
      </c>
      <c r="D105" s="21">
        <v>1770000</v>
      </c>
      <c r="E105" s="21" t="s">
        <v>499</v>
      </c>
      <c r="F105" s="21" t="str">
        <f t="shared" si="2"/>
        <v>rtdc.l.rtdc.4029:itc</v>
      </c>
      <c r="G105" s="8">
        <f t="shared" si="3"/>
        <v>42700.498043981483</v>
      </c>
    </row>
    <row r="106" spans="1:7" x14ac:dyDescent="0.25">
      <c r="A106" s="8">
        <v>42700.508333333331</v>
      </c>
      <c r="B106" s="21" t="s">
        <v>187</v>
      </c>
      <c r="C106" s="21" t="s">
        <v>500</v>
      </c>
      <c r="D106" s="21">
        <v>930000</v>
      </c>
      <c r="E106" s="21" t="s">
        <v>480</v>
      </c>
      <c r="F106" s="21" t="str">
        <f t="shared" si="2"/>
        <v>rtdc.l.rtdc.4044:itc</v>
      </c>
      <c r="G106" s="8">
        <f t="shared" si="3"/>
        <v>42700.508333333331</v>
      </c>
    </row>
    <row r="107" spans="1:7" x14ac:dyDescent="0.25">
      <c r="A107" s="8">
        <v>42700.508831018517</v>
      </c>
      <c r="B107" s="21" t="s">
        <v>214</v>
      </c>
      <c r="C107" s="21" t="s">
        <v>404</v>
      </c>
      <c r="D107" s="21">
        <v>2110000</v>
      </c>
      <c r="E107" s="21" t="s">
        <v>306</v>
      </c>
      <c r="F107" s="21" t="str">
        <f t="shared" si="2"/>
        <v>rtdc.l.rtdc.4011:itc</v>
      </c>
      <c r="G107" s="8">
        <f t="shared" si="3"/>
        <v>42700.508831018517</v>
      </c>
    </row>
    <row r="108" spans="1:7" x14ac:dyDescent="0.25">
      <c r="A108" s="8">
        <v>42700.514745370368</v>
      </c>
      <c r="B108" s="21" t="s">
        <v>292</v>
      </c>
      <c r="C108" s="21" t="s">
        <v>501</v>
      </c>
      <c r="D108" s="21">
        <v>2040000</v>
      </c>
      <c r="E108" s="21" t="s">
        <v>295</v>
      </c>
      <c r="F108" s="21" t="str">
        <f t="shared" si="2"/>
        <v>rtdc.l.rtdc.4004:itc</v>
      </c>
      <c r="G108" s="8">
        <f t="shared" si="3"/>
        <v>42700.514745370368</v>
      </c>
    </row>
    <row r="109" spans="1:7" x14ac:dyDescent="0.25">
      <c r="A109" s="8">
        <v>42700.518055555556</v>
      </c>
      <c r="B109" s="21" t="s">
        <v>230</v>
      </c>
      <c r="C109" s="21" t="s">
        <v>502</v>
      </c>
      <c r="D109" s="21">
        <v>1740000</v>
      </c>
      <c r="E109" s="21" t="s">
        <v>294</v>
      </c>
      <c r="F109" s="21" t="str">
        <f t="shared" si="2"/>
        <v>rtdc.l.rtdc.4038:itc</v>
      </c>
      <c r="G109" s="8">
        <f t="shared" si="3"/>
        <v>42700.518055555556</v>
      </c>
    </row>
    <row r="110" spans="1:7" x14ac:dyDescent="0.25">
      <c r="A110" s="8">
        <v>42700.524236111109</v>
      </c>
      <c r="B110" s="21" t="s">
        <v>261</v>
      </c>
      <c r="C110" s="21" t="s">
        <v>405</v>
      </c>
      <c r="D110" s="21">
        <v>2270000</v>
      </c>
      <c r="E110" s="21" t="s">
        <v>336</v>
      </c>
      <c r="F110" s="21" t="str">
        <f t="shared" si="2"/>
        <v>rtdc.l.rtdc.4045:itc</v>
      </c>
      <c r="G110" s="8">
        <f t="shared" si="3"/>
        <v>42700.524236111109</v>
      </c>
    </row>
    <row r="111" spans="1:7" x14ac:dyDescent="0.25">
      <c r="A111" s="8">
        <v>42700.525717592594</v>
      </c>
      <c r="B111" s="21" t="s">
        <v>222</v>
      </c>
      <c r="C111" s="21" t="s">
        <v>503</v>
      </c>
      <c r="D111" s="21">
        <v>2110000</v>
      </c>
      <c r="E111" s="21" t="s">
        <v>306</v>
      </c>
      <c r="F111" s="21" t="str">
        <f t="shared" si="2"/>
        <v>rtdc.l.rtdc.4012:itc</v>
      </c>
      <c r="G111" s="8">
        <f t="shared" si="3"/>
        <v>42700.525717592594</v>
      </c>
    </row>
    <row r="112" spans="1:7" x14ac:dyDescent="0.25">
      <c r="A112" s="8">
        <v>42700.531909722224</v>
      </c>
      <c r="B112" s="21" t="s">
        <v>504</v>
      </c>
      <c r="C112" s="21" t="s">
        <v>505</v>
      </c>
      <c r="D112" s="21">
        <v>880000</v>
      </c>
      <c r="E112" s="21" t="s">
        <v>486</v>
      </c>
      <c r="F112" s="21" t="str">
        <f t="shared" si="2"/>
        <v>rtdc.l.rtdc.4025:itc</v>
      </c>
      <c r="G112" s="8">
        <f t="shared" si="3"/>
        <v>42700.531909722224</v>
      </c>
    </row>
    <row r="113" spans="1:7" x14ac:dyDescent="0.25">
      <c r="A113" s="8">
        <v>42700.535300925927</v>
      </c>
      <c r="B113" s="21" t="s">
        <v>212</v>
      </c>
      <c r="C113" s="21" t="s">
        <v>506</v>
      </c>
      <c r="D113" s="21">
        <v>1770000</v>
      </c>
      <c r="E113" s="21" t="s">
        <v>499</v>
      </c>
      <c r="F113" s="21" t="str">
        <f t="shared" si="2"/>
        <v>rtdc.l.rtdc.4030:itc</v>
      </c>
      <c r="G113" s="8">
        <f t="shared" si="3"/>
        <v>42700.535300925927</v>
      </c>
    </row>
    <row r="114" spans="1:7" x14ac:dyDescent="0.25">
      <c r="A114" s="8">
        <v>42700.53701388889</v>
      </c>
      <c r="B114" s="21" t="s">
        <v>258</v>
      </c>
      <c r="C114" s="21" t="s">
        <v>507</v>
      </c>
      <c r="D114" s="21">
        <v>1280000</v>
      </c>
      <c r="E114" s="21" t="s">
        <v>489</v>
      </c>
      <c r="F114" s="21" t="str">
        <f t="shared" si="2"/>
        <v>rtdc.l.rtdc.4031:itc</v>
      </c>
      <c r="G114" s="8">
        <f t="shared" si="3"/>
        <v>42700.53701388889</v>
      </c>
    </row>
    <row r="115" spans="1:7" x14ac:dyDescent="0.25">
      <c r="A115" s="8">
        <v>42700.544722222221</v>
      </c>
      <c r="B115" s="21" t="s">
        <v>227</v>
      </c>
      <c r="C115" s="21" t="s">
        <v>406</v>
      </c>
      <c r="D115" s="21">
        <v>930000</v>
      </c>
      <c r="E115" s="21" t="s">
        <v>480</v>
      </c>
      <c r="F115" s="21" t="str">
        <f t="shared" si="2"/>
        <v>rtdc.l.rtdc.4043:itc</v>
      </c>
      <c r="G115" s="8">
        <f t="shared" si="3"/>
        <v>42700.544722222221</v>
      </c>
    </row>
    <row r="116" spans="1:7" x14ac:dyDescent="0.25">
      <c r="A116" s="8">
        <v>42700.549398148149</v>
      </c>
      <c r="B116" s="21" t="s">
        <v>291</v>
      </c>
      <c r="C116" s="21" t="s">
        <v>508</v>
      </c>
      <c r="D116" s="21">
        <v>2040000</v>
      </c>
      <c r="E116" s="21" t="s">
        <v>295</v>
      </c>
      <c r="F116" s="21" t="str">
        <f t="shared" si="2"/>
        <v>rtdc.l.rtdc.4003:itc</v>
      </c>
      <c r="G116" s="8">
        <f t="shared" si="3"/>
        <v>42700.549398148149</v>
      </c>
    </row>
    <row r="117" spans="1:7" x14ac:dyDescent="0.25">
      <c r="A117" s="8">
        <v>42700.551053240742</v>
      </c>
      <c r="B117" s="21" t="s">
        <v>214</v>
      </c>
      <c r="C117" s="21" t="s">
        <v>509</v>
      </c>
      <c r="D117" s="21">
        <v>2110000</v>
      </c>
      <c r="E117" s="21" t="s">
        <v>306</v>
      </c>
      <c r="F117" s="21" t="str">
        <f t="shared" si="2"/>
        <v>rtdc.l.rtdc.4011:itc</v>
      </c>
      <c r="G117" s="8">
        <f t="shared" si="3"/>
        <v>42700.551053240742</v>
      </c>
    </row>
    <row r="118" spans="1:7" x14ac:dyDescent="0.25">
      <c r="A118" s="8">
        <v>42700.555162037039</v>
      </c>
      <c r="B118" s="21" t="s">
        <v>231</v>
      </c>
      <c r="C118" s="21" t="s">
        <v>510</v>
      </c>
      <c r="D118" s="21">
        <v>1740000</v>
      </c>
      <c r="E118" s="21" t="s">
        <v>294</v>
      </c>
      <c r="F118" s="21" t="str">
        <f t="shared" si="2"/>
        <v>rtdc.l.rtdc.4037:itc</v>
      </c>
      <c r="G118" s="8">
        <f t="shared" si="3"/>
        <v>42700.555162037039</v>
      </c>
    </row>
    <row r="119" spans="1:7" x14ac:dyDescent="0.25">
      <c r="A119" s="8">
        <v>42700.55810185185</v>
      </c>
      <c r="B119" s="21" t="s">
        <v>262</v>
      </c>
      <c r="C119" s="21" t="s">
        <v>511</v>
      </c>
      <c r="D119" s="21">
        <v>2270000</v>
      </c>
      <c r="E119" s="21" t="s">
        <v>336</v>
      </c>
      <c r="F119" s="21" t="str">
        <f t="shared" si="2"/>
        <v>rtdc.l.rtdc.4046:itc</v>
      </c>
      <c r="G119" s="8">
        <f t="shared" si="3"/>
        <v>42700.55810185185</v>
      </c>
    </row>
    <row r="120" spans="1:7" x14ac:dyDescent="0.25">
      <c r="A120" s="8">
        <v>42700.567743055559</v>
      </c>
      <c r="B120" s="21" t="s">
        <v>391</v>
      </c>
      <c r="C120" s="21" t="s">
        <v>512</v>
      </c>
      <c r="D120" s="21">
        <v>880000</v>
      </c>
      <c r="E120" s="21" t="s">
        <v>486</v>
      </c>
      <c r="F120" s="21" t="str">
        <f t="shared" si="2"/>
        <v>rtdc.l.rtdc.4026:itc</v>
      </c>
      <c r="G120" s="8">
        <f t="shared" si="3"/>
        <v>42700.567743055559</v>
      </c>
    </row>
    <row r="121" spans="1:7" x14ac:dyDescent="0.25">
      <c r="A121" s="8">
        <v>42700.568032407406</v>
      </c>
      <c r="B121" s="21" t="s">
        <v>222</v>
      </c>
      <c r="C121" s="21" t="s">
        <v>513</v>
      </c>
      <c r="D121" s="21">
        <v>2110000</v>
      </c>
      <c r="E121" s="21" t="s">
        <v>306</v>
      </c>
      <c r="F121" s="21" t="str">
        <f t="shared" si="2"/>
        <v>rtdc.l.rtdc.4012:itc</v>
      </c>
      <c r="G121" s="8">
        <f t="shared" si="3"/>
        <v>42700.568032407406</v>
      </c>
    </row>
    <row r="122" spans="1:7" x14ac:dyDescent="0.25">
      <c r="A122" s="8">
        <v>42700.568506944444</v>
      </c>
      <c r="B122" s="26" t="s">
        <v>284</v>
      </c>
      <c r="C122" s="21" t="s">
        <v>514</v>
      </c>
      <c r="D122" s="21">
        <v>1770000</v>
      </c>
      <c r="E122" s="21" t="s">
        <v>499</v>
      </c>
      <c r="F122" s="21" t="str">
        <f t="shared" si="2"/>
        <v>rtdc.l.rtdc.4029:itc</v>
      </c>
      <c r="G122" s="8">
        <f t="shared" si="3"/>
        <v>42700.568506944444</v>
      </c>
    </row>
    <row r="123" spans="1:7" x14ac:dyDescent="0.25">
      <c r="A123" s="8">
        <v>42700.568958333337</v>
      </c>
      <c r="B123" s="21" t="s">
        <v>227</v>
      </c>
      <c r="C123" s="21" t="s">
        <v>406</v>
      </c>
      <c r="D123" s="21">
        <v>930000</v>
      </c>
      <c r="E123" s="21" t="s">
        <v>480</v>
      </c>
      <c r="F123" s="21" t="str">
        <f t="shared" si="2"/>
        <v>rtdc.l.rtdc.4043:itc</v>
      </c>
      <c r="G123" s="8">
        <f t="shared" si="3"/>
        <v>42700.568958333337</v>
      </c>
    </row>
    <row r="124" spans="1:7" x14ac:dyDescent="0.25">
      <c r="A124" s="8">
        <v>42700.5700462963</v>
      </c>
      <c r="B124" s="21" t="s">
        <v>334</v>
      </c>
      <c r="C124" s="21" t="s">
        <v>515</v>
      </c>
      <c r="D124" s="21">
        <v>1280000</v>
      </c>
      <c r="E124" s="21" t="s">
        <v>489</v>
      </c>
      <c r="F124" s="21" t="str">
        <f t="shared" si="2"/>
        <v>rtdc.l.rtdc.4032:itc</v>
      </c>
      <c r="G124" s="8">
        <f t="shared" si="3"/>
        <v>42700.5700462963</v>
      </c>
    </row>
    <row r="125" spans="1:7" x14ac:dyDescent="0.25">
      <c r="A125" s="8">
        <v>42700.582430555558</v>
      </c>
      <c r="B125" s="21" t="s">
        <v>187</v>
      </c>
      <c r="C125" s="21" t="s">
        <v>516</v>
      </c>
      <c r="D125" s="21">
        <v>930000</v>
      </c>
      <c r="E125" s="21" t="s">
        <v>480</v>
      </c>
      <c r="F125" s="21" t="str">
        <f t="shared" si="2"/>
        <v>rtdc.l.rtdc.4044:itc</v>
      </c>
      <c r="G125" s="8">
        <f t="shared" si="3"/>
        <v>42700.582430555558</v>
      </c>
    </row>
    <row r="126" spans="1:7" x14ac:dyDescent="0.25">
      <c r="A126" s="8">
        <v>42700.586875000001</v>
      </c>
      <c r="B126" s="21" t="s">
        <v>292</v>
      </c>
      <c r="C126" s="21" t="s">
        <v>517</v>
      </c>
      <c r="D126" s="21">
        <v>2040000</v>
      </c>
      <c r="E126" s="21" t="s">
        <v>295</v>
      </c>
      <c r="F126" s="21" t="str">
        <f t="shared" si="2"/>
        <v>rtdc.l.rtdc.4004:itc</v>
      </c>
      <c r="G126" s="8">
        <f t="shared" si="3"/>
        <v>42700.586875000001</v>
      </c>
    </row>
    <row r="127" spans="1:7" x14ac:dyDescent="0.25">
      <c r="A127" s="8">
        <v>42700.589386574073</v>
      </c>
      <c r="B127" s="21" t="s">
        <v>230</v>
      </c>
      <c r="C127" s="21" t="s">
        <v>409</v>
      </c>
      <c r="D127" s="21">
        <v>1740000</v>
      </c>
      <c r="E127" s="21" t="s">
        <v>294</v>
      </c>
      <c r="F127" s="21" t="str">
        <f t="shared" si="2"/>
        <v>rtdc.l.rtdc.4038:itc</v>
      </c>
      <c r="G127" s="8">
        <f t="shared" si="3"/>
        <v>42700.589386574073</v>
      </c>
    </row>
    <row r="128" spans="1:7" x14ac:dyDescent="0.25">
      <c r="A128" s="8">
        <v>42700.593124999999</v>
      </c>
      <c r="B128" s="21" t="s">
        <v>214</v>
      </c>
      <c r="C128" s="21" t="s">
        <v>408</v>
      </c>
      <c r="D128" s="21">
        <v>1820000</v>
      </c>
      <c r="E128" s="21" t="s">
        <v>307</v>
      </c>
      <c r="F128" s="21" t="str">
        <f t="shared" si="2"/>
        <v>rtdc.l.rtdc.4011:itc</v>
      </c>
      <c r="G128" s="8">
        <f t="shared" si="3"/>
        <v>42700.593124999999</v>
      </c>
    </row>
    <row r="129" spans="1:7" x14ac:dyDescent="0.25">
      <c r="A129" s="8">
        <v>42700.5934375</v>
      </c>
      <c r="B129" s="21" t="s">
        <v>261</v>
      </c>
      <c r="C129" s="21" t="s">
        <v>407</v>
      </c>
      <c r="D129" s="21">
        <v>2270000</v>
      </c>
      <c r="E129" s="21" t="s">
        <v>336</v>
      </c>
      <c r="F129" s="21" t="str">
        <f t="shared" si="2"/>
        <v>rtdc.l.rtdc.4045:itc</v>
      </c>
      <c r="G129" s="8">
        <f t="shared" si="3"/>
        <v>42700.5934375</v>
      </c>
    </row>
    <row r="130" spans="1:7" x14ac:dyDescent="0.25">
      <c r="A130" s="8">
        <v>42700.599305555559</v>
      </c>
      <c r="B130" s="21" t="s">
        <v>504</v>
      </c>
      <c r="C130" s="21" t="s">
        <v>518</v>
      </c>
      <c r="D130" s="21">
        <v>880000</v>
      </c>
      <c r="E130" s="21" t="s">
        <v>486</v>
      </c>
      <c r="F130" s="21" t="str">
        <f t="shared" ref="F130:F193" si="4">B130</f>
        <v>rtdc.l.rtdc.4025:itc</v>
      </c>
      <c r="G130" s="8">
        <f t="shared" ref="G130:G193" si="5">A130</f>
        <v>42700.599305555559</v>
      </c>
    </row>
    <row r="131" spans="1:7" x14ac:dyDescent="0.25">
      <c r="A131" s="8">
        <v>42700.606504629628</v>
      </c>
      <c r="B131" s="21" t="s">
        <v>212</v>
      </c>
      <c r="C131" s="21" t="s">
        <v>519</v>
      </c>
      <c r="D131" s="21">
        <v>1770000</v>
      </c>
      <c r="E131" s="21" t="s">
        <v>499</v>
      </c>
      <c r="F131" s="21" t="str">
        <f t="shared" si="4"/>
        <v>rtdc.l.rtdc.4030:itc</v>
      </c>
      <c r="G131" s="8">
        <f t="shared" si="5"/>
        <v>42700.606504629628</v>
      </c>
    </row>
    <row r="132" spans="1:7" x14ac:dyDescent="0.25">
      <c r="A132" s="8">
        <v>42700.609212962961</v>
      </c>
      <c r="B132" s="21" t="s">
        <v>222</v>
      </c>
      <c r="C132" s="21" t="s">
        <v>520</v>
      </c>
      <c r="D132" s="21">
        <v>1820000</v>
      </c>
      <c r="E132" s="21" t="s">
        <v>307</v>
      </c>
      <c r="F132" s="21" t="str">
        <f t="shared" si="4"/>
        <v>rtdc.l.rtdc.4012:itc</v>
      </c>
      <c r="G132" s="8">
        <f t="shared" si="5"/>
        <v>42700.609212962961</v>
      </c>
    </row>
    <row r="133" spans="1:7" x14ac:dyDescent="0.25">
      <c r="A133" s="8">
        <v>42700.610069444447</v>
      </c>
      <c r="B133" s="21" t="s">
        <v>258</v>
      </c>
      <c r="C133" s="21" t="s">
        <v>521</v>
      </c>
      <c r="D133" s="21">
        <v>1280000</v>
      </c>
      <c r="E133" s="21" t="s">
        <v>489</v>
      </c>
      <c r="F133" s="21" t="str">
        <f t="shared" si="4"/>
        <v>rtdc.l.rtdc.4031:itc</v>
      </c>
      <c r="G133" s="8">
        <f t="shared" si="5"/>
        <v>42700.610069444447</v>
      </c>
    </row>
    <row r="134" spans="1:7" x14ac:dyDescent="0.25">
      <c r="A134" s="8">
        <v>42700.616168981483</v>
      </c>
      <c r="B134" s="21" t="s">
        <v>227</v>
      </c>
      <c r="C134" s="21" t="s">
        <v>522</v>
      </c>
      <c r="D134" s="21">
        <v>930000</v>
      </c>
      <c r="E134" s="21" t="s">
        <v>480</v>
      </c>
      <c r="F134" s="21" t="str">
        <f t="shared" si="4"/>
        <v>rtdc.l.rtdc.4043:itc</v>
      </c>
      <c r="G134" s="8">
        <f t="shared" si="5"/>
        <v>42700.616168981483</v>
      </c>
    </row>
    <row r="135" spans="1:7" x14ac:dyDescent="0.25">
      <c r="A135" s="8">
        <v>42700.621967592589</v>
      </c>
      <c r="B135" s="21" t="s">
        <v>258</v>
      </c>
      <c r="C135" s="21" t="s">
        <v>521</v>
      </c>
      <c r="D135" s="21">
        <v>1280000</v>
      </c>
      <c r="E135" s="21" t="s">
        <v>489</v>
      </c>
      <c r="F135" s="21" t="str">
        <f t="shared" si="4"/>
        <v>rtdc.l.rtdc.4031:itc</v>
      </c>
      <c r="G135" s="8">
        <f t="shared" si="5"/>
        <v>42700.621967592589</v>
      </c>
    </row>
    <row r="136" spans="1:7" x14ac:dyDescent="0.25">
      <c r="A136" s="8">
        <v>42700.622164351851</v>
      </c>
      <c r="B136" s="21" t="s">
        <v>291</v>
      </c>
      <c r="C136" s="21" t="s">
        <v>523</v>
      </c>
      <c r="D136" s="21">
        <v>2040000</v>
      </c>
      <c r="E136" s="21" t="s">
        <v>295</v>
      </c>
      <c r="F136" s="21" t="str">
        <f t="shared" si="4"/>
        <v>rtdc.l.rtdc.4003:itc</v>
      </c>
      <c r="G136" s="8">
        <f t="shared" si="5"/>
        <v>42700.622164351851</v>
      </c>
    </row>
    <row r="137" spans="1:7" x14ac:dyDescent="0.25">
      <c r="A137" s="8">
        <v>42700.623483796298</v>
      </c>
      <c r="B137" s="21" t="s">
        <v>214</v>
      </c>
      <c r="C137" s="21" t="s">
        <v>411</v>
      </c>
      <c r="D137" s="21">
        <v>1820000</v>
      </c>
      <c r="E137" s="21" t="s">
        <v>307</v>
      </c>
      <c r="F137" s="21" t="str">
        <f t="shared" si="4"/>
        <v>rtdc.l.rtdc.4011:itc</v>
      </c>
      <c r="G137" s="8">
        <f t="shared" si="5"/>
        <v>42700.623483796298</v>
      </c>
    </row>
    <row r="138" spans="1:7" x14ac:dyDescent="0.25">
      <c r="A138" s="8">
        <v>42700.629918981482</v>
      </c>
      <c r="B138" s="21" t="s">
        <v>231</v>
      </c>
      <c r="C138" s="21" t="s">
        <v>524</v>
      </c>
      <c r="D138" s="21">
        <v>1740000</v>
      </c>
      <c r="E138" s="21" t="s">
        <v>294</v>
      </c>
      <c r="F138" s="21" t="str">
        <f t="shared" si="4"/>
        <v>rtdc.l.rtdc.4037:itc</v>
      </c>
      <c r="G138" s="8">
        <f t="shared" si="5"/>
        <v>42700.629918981482</v>
      </c>
    </row>
    <row r="139" spans="1:7" x14ac:dyDescent="0.25">
      <c r="A139" s="8">
        <v>42700.634143518517</v>
      </c>
      <c r="B139" s="21" t="s">
        <v>262</v>
      </c>
      <c r="C139" s="21" t="s">
        <v>410</v>
      </c>
      <c r="D139" s="21">
        <v>2270000</v>
      </c>
      <c r="E139" s="21" t="s">
        <v>336</v>
      </c>
      <c r="F139" s="21" t="str">
        <f t="shared" si="4"/>
        <v>rtdc.l.rtdc.4046:itc</v>
      </c>
      <c r="G139" s="8">
        <f t="shared" si="5"/>
        <v>42700.634143518517</v>
      </c>
    </row>
    <row r="140" spans="1:7" x14ac:dyDescent="0.25">
      <c r="A140" s="8">
        <v>42700.638460648152</v>
      </c>
      <c r="B140" s="21" t="s">
        <v>391</v>
      </c>
      <c r="C140" s="21" t="s">
        <v>525</v>
      </c>
      <c r="D140" s="21">
        <v>880000</v>
      </c>
      <c r="E140" s="21" t="s">
        <v>486</v>
      </c>
      <c r="F140" s="21" t="str">
        <f t="shared" si="4"/>
        <v>rtdc.l.rtdc.4026:itc</v>
      </c>
      <c r="G140" s="8">
        <f t="shared" si="5"/>
        <v>42700.638460648152</v>
      </c>
    </row>
    <row r="141" spans="1:7" x14ac:dyDescent="0.25">
      <c r="A141" s="8">
        <v>42700.640486111108</v>
      </c>
      <c r="B141" s="21" t="s">
        <v>284</v>
      </c>
      <c r="C141" s="21" t="s">
        <v>526</v>
      </c>
      <c r="D141" s="21">
        <v>1770000</v>
      </c>
      <c r="E141" s="21" t="s">
        <v>499</v>
      </c>
      <c r="F141" s="21" t="str">
        <f t="shared" si="4"/>
        <v>rtdc.l.rtdc.4029:itc</v>
      </c>
      <c r="G141" s="8">
        <f t="shared" si="5"/>
        <v>42700.640486111108</v>
      </c>
    </row>
    <row r="142" spans="1:7" x14ac:dyDescent="0.25">
      <c r="A142" s="8">
        <v>42700.643518518518</v>
      </c>
      <c r="B142" s="21" t="s">
        <v>334</v>
      </c>
      <c r="C142" s="21" t="s">
        <v>527</v>
      </c>
      <c r="D142" s="21">
        <v>1280000</v>
      </c>
      <c r="E142" s="21" t="s">
        <v>489</v>
      </c>
      <c r="F142" s="21" t="str">
        <f t="shared" si="4"/>
        <v>rtdc.l.rtdc.4032:itc</v>
      </c>
      <c r="G142" s="8">
        <f t="shared" si="5"/>
        <v>42700.643518518518</v>
      </c>
    </row>
    <row r="143" spans="1:7" x14ac:dyDescent="0.25">
      <c r="A143" s="8">
        <v>42700.650740740741</v>
      </c>
      <c r="B143" s="21" t="s">
        <v>222</v>
      </c>
      <c r="C143" s="21" t="s">
        <v>528</v>
      </c>
      <c r="D143" s="21">
        <v>1820000</v>
      </c>
      <c r="E143" s="21" t="s">
        <v>307</v>
      </c>
      <c r="F143" s="21" t="str">
        <f t="shared" si="4"/>
        <v>rtdc.l.rtdc.4012:itc</v>
      </c>
      <c r="G143" s="8">
        <f t="shared" si="5"/>
        <v>42700.650740740741</v>
      </c>
    </row>
    <row r="144" spans="1:7" x14ac:dyDescent="0.25">
      <c r="A144" s="8">
        <v>42700.651192129626</v>
      </c>
      <c r="B144" s="21" t="s">
        <v>262</v>
      </c>
      <c r="C144" s="21" t="s">
        <v>410</v>
      </c>
      <c r="D144" s="21">
        <v>2270000</v>
      </c>
      <c r="E144" s="21" t="s">
        <v>336</v>
      </c>
      <c r="F144" s="21" t="str">
        <f t="shared" si="4"/>
        <v>rtdc.l.rtdc.4046:itc</v>
      </c>
      <c r="G144" s="8">
        <f t="shared" si="5"/>
        <v>42700.651192129626</v>
      </c>
    </row>
    <row r="145" spans="1:7" x14ac:dyDescent="0.25">
      <c r="A145" s="8">
        <v>42700.654756944445</v>
      </c>
      <c r="B145" s="21" t="s">
        <v>187</v>
      </c>
      <c r="C145" s="21" t="s">
        <v>529</v>
      </c>
      <c r="D145" s="21">
        <v>930000</v>
      </c>
      <c r="E145" s="21" t="s">
        <v>480</v>
      </c>
      <c r="F145" s="21" t="str">
        <f t="shared" si="4"/>
        <v>rtdc.l.rtdc.4044:itc</v>
      </c>
      <c r="G145" s="8">
        <f t="shared" si="5"/>
        <v>42700.654756944445</v>
      </c>
    </row>
    <row r="146" spans="1:7" x14ac:dyDescent="0.25">
      <c r="A146" s="8">
        <v>42700.659930555557</v>
      </c>
      <c r="B146" s="21" t="s">
        <v>292</v>
      </c>
      <c r="C146" s="21" t="s">
        <v>530</v>
      </c>
      <c r="D146" s="21">
        <v>2040000</v>
      </c>
      <c r="E146" s="21" t="s">
        <v>295</v>
      </c>
      <c r="F146" s="21" t="str">
        <f t="shared" si="4"/>
        <v>rtdc.l.rtdc.4004:itc</v>
      </c>
      <c r="G146" s="8">
        <f t="shared" si="5"/>
        <v>42700.659930555557</v>
      </c>
    </row>
    <row r="147" spans="1:7" x14ac:dyDescent="0.25">
      <c r="A147" s="8">
        <v>42700.662881944445</v>
      </c>
      <c r="B147" s="21" t="s">
        <v>230</v>
      </c>
      <c r="C147" s="21" t="s">
        <v>531</v>
      </c>
      <c r="D147" s="21">
        <v>1740000</v>
      </c>
      <c r="E147" s="21" t="s">
        <v>294</v>
      </c>
      <c r="F147" s="21" t="str">
        <f t="shared" si="4"/>
        <v>rtdc.l.rtdc.4038:itc</v>
      </c>
      <c r="G147" s="8">
        <f t="shared" si="5"/>
        <v>42700.662881944445</v>
      </c>
    </row>
    <row r="148" spans="1:7" x14ac:dyDescent="0.25">
      <c r="A148" s="8">
        <v>42700.665381944447</v>
      </c>
      <c r="B148" s="21" t="s">
        <v>214</v>
      </c>
      <c r="C148" s="21" t="s">
        <v>412</v>
      </c>
      <c r="D148" s="21">
        <v>1820000</v>
      </c>
      <c r="E148" s="21" t="s">
        <v>307</v>
      </c>
      <c r="F148" s="21" t="str">
        <f t="shared" si="4"/>
        <v>rtdc.l.rtdc.4011:itc</v>
      </c>
      <c r="G148" s="8">
        <f t="shared" si="5"/>
        <v>42700.665381944447</v>
      </c>
    </row>
    <row r="149" spans="1:7" x14ac:dyDescent="0.25">
      <c r="A149" s="8">
        <v>42700.671759259261</v>
      </c>
      <c r="B149" s="21" t="s">
        <v>261</v>
      </c>
      <c r="C149" s="21" t="s">
        <v>532</v>
      </c>
      <c r="D149" s="21">
        <v>2270000</v>
      </c>
      <c r="E149" s="21" t="s">
        <v>336</v>
      </c>
      <c r="F149" s="21" t="str">
        <f t="shared" si="4"/>
        <v>rtdc.l.rtdc.4045:itc</v>
      </c>
      <c r="G149" s="8">
        <f t="shared" si="5"/>
        <v>42700.671759259261</v>
      </c>
    </row>
    <row r="150" spans="1:7" x14ac:dyDescent="0.25">
      <c r="A150" s="8">
        <v>42700.676203703704</v>
      </c>
      <c r="B150" s="21" t="s">
        <v>504</v>
      </c>
      <c r="C150" s="21" t="s">
        <v>533</v>
      </c>
      <c r="D150" s="21">
        <v>880000</v>
      </c>
      <c r="E150" s="21" t="s">
        <v>486</v>
      </c>
      <c r="F150" s="21" t="str">
        <f t="shared" si="4"/>
        <v>rtdc.l.rtdc.4025:itc</v>
      </c>
      <c r="G150" s="8">
        <f t="shared" si="5"/>
        <v>42700.676203703704</v>
      </c>
    </row>
    <row r="151" spans="1:7" x14ac:dyDescent="0.25">
      <c r="A151" s="8">
        <v>42700.680694444447</v>
      </c>
      <c r="B151" s="21" t="s">
        <v>212</v>
      </c>
      <c r="C151" s="21" t="s">
        <v>534</v>
      </c>
      <c r="D151" s="21">
        <v>1770000</v>
      </c>
      <c r="E151" s="21" t="s">
        <v>499</v>
      </c>
      <c r="F151" s="21" t="str">
        <f t="shared" si="4"/>
        <v>rtdc.l.rtdc.4030:itc</v>
      </c>
      <c r="G151" s="8">
        <f t="shared" si="5"/>
        <v>42700.680694444447</v>
      </c>
    </row>
    <row r="152" spans="1:7" x14ac:dyDescent="0.25">
      <c r="A152" s="8">
        <v>42700.681875000002</v>
      </c>
      <c r="B152" s="21" t="s">
        <v>258</v>
      </c>
      <c r="C152" s="21" t="s">
        <v>535</v>
      </c>
      <c r="D152" s="21">
        <v>1280000</v>
      </c>
      <c r="E152" s="21" t="s">
        <v>489</v>
      </c>
      <c r="F152" s="21" t="str">
        <f t="shared" si="4"/>
        <v>rtdc.l.rtdc.4031:itc</v>
      </c>
      <c r="G152" s="8">
        <f t="shared" si="5"/>
        <v>42700.681875000002</v>
      </c>
    </row>
    <row r="153" spans="1:7" x14ac:dyDescent="0.25">
      <c r="A153" s="8">
        <v>42700.688923611109</v>
      </c>
      <c r="B153" s="21" t="s">
        <v>227</v>
      </c>
      <c r="C153" s="21" t="s">
        <v>536</v>
      </c>
      <c r="D153" s="21">
        <v>930000</v>
      </c>
      <c r="E153" s="21" t="s">
        <v>480</v>
      </c>
      <c r="F153" s="21" t="str">
        <f t="shared" si="4"/>
        <v>rtdc.l.rtdc.4043:itc</v>
      </c>
      <c r="G153" s="8">
        <f t="shared" si="5"/>
        <v>42700.688923611109</v>
      </c>
    </row>
    <row r="154" spans="1:7" x14ac:dyDescent="0.25">
      <c r="A154" s="8">
        <v>42700.691863425927</v>
      </c>
      <c r="B154" s="21" t="s">
        <v>222</v>
      </c>
      <c r="C154" s="21" t="s">
        <v>413</v>
      </c>
      <c r="D154" s="21">
        <v>1820000</v>
      </c>
      <c r="E154" s="21" t="s">
        <v>307</v>
      </c>
      <c r="F154" s="21" t="str">
        <f t="shared" si="4"/>
        <v>rtdc.l.rtdc.4012:itc</v>
      </c>
      <c r="G154" s="8">
        <f t="shared" si="5"/>
        <v>42700.691863425927</v>
      </c>
    </row>
    <row r="155" spans="1:7" x14ac:dyDescent="0.25">
      <c r="A155" s="8">
        <v>42700.695162037038</v>
      </c>
      <c r="B155" s="21" t="s">
        <v>291</v>
      </c>
      <c r="C155" s="21" t="s">
        <v>537</v>
      </c>
      <c r="D155" s="21">
        <v>2040000</v>
      </c>
      <c r="E155" s="21" t="s">
        <v>295</v>
      </c>
      <c r="F155" s="21" t="str">
        <f t="shared" si="4"/>
        <v>rtdc.l.rtdc.4003:itc</v>
      </c>
      <c r="G155" s="8">
        <f t="shared" si="5"/>
        <v>42700.695162037038</v>
      </c>
    </row>
    <row r="156" spans="1:7" x14ac:dyDescent="0.25">
      <c r="A156" s="8">
        <v>42700.703032407408</v>
      </c>
      <c r="B156" s="21" t="s">
        <v>231</v>
      </c>
      <c r="C156" s="21" t="s">
        <v>538</v>
      </c>
      <c r="D156" s="21">
        <v>1740000</v>
      </c>
      <c r="E156" s="21" t="s">
        <v>294</v>
      </c>
      <c r="F156" s="21" t="str">
        <f t="shared" si="4"/>
        <v>rtdc.l.rtdc.4037:itc</v>
      </c>
      <c r="G156" s="8">
        <f t="shared" si="5"/>
        <v>42700.703032407408</v>
      </c>
    </row>
    <row r="157" spans="1:7" x14ac:dyDescent="0.25">
      <c r="A157" s="8">
        <v>42700.706388888888</v>
      </c>
      <c r="B157" s="21" t="s">
        <v>262</v>
      </c>
      <c r="C157" s="21" t="s">
        <v>539</v>
      </c>
      <c r="D157" s="21">
        <v>2270000</v>
      </c>
      <c r="E157" s="21" t="s">
        <v>336</v>
      </c>
      <c r="F157" s="21" t="str">
        <f t="shared" si="4"/>
        <v>rtdc.l.rtdc.4046:itc</v>
      </c>
      <c r="G157" s="8">
        <f t="shared" si="5"/>
        <v>42700.706388888888</v>
      </c>
    </row>
    <row r="158" spans="1:7" x14ac:dyDescent="0.25">
      <c r="A158" s="8">
        <v>42700.707604166666</v>
      </c>
      <c r="B158" s="21" t="s">
        <v>214</v>
      </c>
      <c r="C158" s="21" t="s">
        <v>413</v>
      </c>
      <c r="D158" s="21">
        <v>1820000</v>
      </c>
      <c r="E158" s="21" t="s">
        <v>307</v>
      </c>
      <c r="F158" s="21" t="str">
        <f t="shared" si="4"/>
        <v>rtdc.l.rtdc.4011:itc</v>
      </c>
      <c r="G158" s="8">
        <f t="shared" si="5"/>
        <v>42700.707604166666</v>
      </c>
    </row>
    <row r="159" spans="1:7" x14ac:dyDescent="0.25">
      <c r="A159" s="8">
        <v>42700.708368055559</v>
      </c>
      <c r="B159" s="21" t="s">
        <v>214</v>
      </c>
      <c r="C159" s="21" t="s">
        <v>540</v>
      </c>
      <c r="D159" s="21">
        <v>1820000</v>
      </c>
      <c r="E159" s="21" t="s">
        <v>307</v>
      </c>
      <c r="F159" s="21" t="str">
        <f t="shared" si="4"/>
        <v>rtdc.l.rtdc.4011:itc</v>
      </c>
      <c r="G159" s="8">
        <f t="shared" si="5"/>
        <v>42700.708368055559</v>
      </c>
    </row>
    <row r="160" spans="1:7" x14ac:dyDescent="0.25">
      <c r="A160" s="8">
        <v>42700.712835648148</v>
      </c>
      <c r="B160" s="21" t="s">
        <v>391</v>
      </c>
      <c r="C160" s="21" t="s">
        <v>541</v>
      </c>
      <c r="D160" s="21">
        <v>880000</v>
      </c>
      <c r="E160" s="21" t="s">
        <v>486</v>
      </c>
      <c r="F160" s="21" t="str">
        <f t="shared" si="4"/>
        <v>rtdc.l.rtdc.4026:itc</v>
      </c>
      <c r="G160" s="8">
        <f t="shared" si="5"/>
        <v>42700.712835648148</v>
      </c>
    </row>
    <row r="161" spans="1:7" x14ac:dyDescent="0.25">
      <c r="A161" s="8">
        <v>42700.713136574072</v>
      </c>
      <c r="B161" s="21" t="s">
        <v>186</v>
      </c>
      <c r="C161" s="21" t="s">
        <v>542</v>
      </c>
      <c r="D161" s="21">
        <v>2090000</v>
      </c>
      <c r="E161" s="21" t="s">
        <v>543</v>
      </c>
      <c r="F161" s="21" t="str">
        <f t="shared" si="4"/>
        <v>rtdc.l.rtdc.4009:itc</v>
      </c>
      <c r="G161" s="8">
        <f t="shared" si="5"/>
        <v>42700.713136574072</v>
      </c>
    </row>
    <row r="162" spans="1:7" x14ac:dyDescent="0.25">
      <c r="A162" s="8">
        <v>42700.71371527778</v>
      </c>
      <c r="B162" s="21" t="s">
        <v>284</v>
      </c>
      <c r="C162" s="21" t="s">
        <v>544</v>
      </c>
      <c r="D162" s="21">
        <v>1770000</v>
      </c>
      <c r="E162" s="21" t="s">
        <v>499</v>
      </c>
      <c r="F162" s="21" t="str">
        <f t="shared" si="4"/>
        <v>rtdc.l.rtdc.4029:itc</v>
      </c>
      <c r="G162" s="8">
        <f t="shared" si="5"/>
        <v>42700.71371527778</v>
      </c>
    </row>
    <row r="163" spans="1:7" x14ac:dyDescent="0.25">
      <c r="A163" s="8">
        <v>42700.714236111111</v>
      </c>
      <c r="B163" s="21" t="s">
        <v>186</v>
      </c>
      <c r="C163" s="21" t="s">
        <v>542</v>
      </c>
      <c r="D163" s="21">
        <v>2090000</v>
      </c>
      <c r="E163" s="21" t="s">
        <v>543</v>
      </c>
      <c r="F163" s="21" t="str">
        <f t="shared" si="4"/>
        <v>rtdc.l.rtdc.4009:itc</v>
      </c>
      <c r="G163" s="8">
        <f t="shared" si="5"/>
        <v>42700.714236111111</v>
      </c>
    </row>
    <row r="164" spans="1:7" x14ac:dyDescent="0.25">
      <c r="A164" s="8">
        <v>42700.715914351851</v>
      </c>
      <c r="B164" s="21" t="s">
        <v>186</v>
      </c>
      <c r="C164" s="21" t="s">
        <v>545</v>
      </c>
      <c r="D164" s="21">
        <v>2090000</v>
      </c>
      <c r="E164" s="21" t="s">
        <v>543</v>
      </c>
      <c r="F164" s="21" t="str">
        <f t="shared" si="4"/>
        <v>rtdc.l.rtdc.4009:itc</v>
      </c>
      <c r="G164" s="8">
        <f t="shared" si="5"/>
        <v>42700.715914351851</v>
      </c>
    </row>
    <row r="165" spans="1:7" x14ac:dyDescent="0.25">
      <c r="A165" s="8">
        <v>42700.716122685182</v>
      </c>
      <c r="B165" s="21" t="s">
        <v>334</v>
      </c>
      <c r="C165" s="21" t="s">
        <v>546</v>
      </c>
      <c r="D165" s="21">
        <v>1280000</v>
      </c>
      <c r="E165" s="21" t="s">
        <v>489</v>
      </c>
      <c r="F165" s="21" t="str">
        <f t="shared" si="4"/>
        <v>rtdc.l.rtdc.4032:itc</v>
      </c>
      <c r="G165" s="8">
        <f t="shared" si="5"/>
        <v>42700.716122685182</v>
      </c>
    </row>
    <row r="166" spans="1:7" x14ac:dyDescent="0.25">
      <c r="A166" s="8">
        <v>42700.726423611108</v>
      </c>
      <c r="B166" s="21" t="s">
        <v>187</v>
      </c>
      <c r="C166" s="21" t="s">
        <v>547</v>
      </c>
      <c r="D166" s="21">
        <v>930000</v>
      </c>
      <c r="E166" s="21" t="s">
        <v>480</v>
      </c>
      <c r="F166" s="21" t="str">
        <f t="shared" si="4"/>
        <v>rtdc.l.rtdc.4044:itc</v>
      </c>
      <c r="G166" s="8">
        <f t="shared" si="5"/>
        <v>42700.726423611108</v>
      </c>
    </row>
    <row r="167" spans="1:7" x14ac:dyDescent="0.25">
      <c r="A167" s="8">
        <v>42700.733206018522</v>
      </c>
      <c r="B167" s="21" t="s">
        <v>292</v>
      </c>
      <c r="C167" s="21" t="s">
        <v>548</v>
      </c>
      <c r="D167" s="21">
        <v>2040000</v>
      </c>
      <c r="E167" s="21" t="s">
        <v>295</v>
      </c>
      <c r="F167" s="21" t="str">
        <f t="shared" si="4"/>
        <v>rtdc.l.rtdc.4004:itc</v>
      </c>
      <c r="G167" s="8">
        <f t="shared" si="5"/>
        <v>42700.733206018522</v>
      </c>
    </row>
    <row r="168" spans="1:7" x14ac:dyDescent="0.25">
      <c r="A168" s="8">
        <v>42700.733749999999</v>
      </c>
      <c r="B168" s="21" t="s">
        <v>222</v>
      </c>
      <c r="C168" s="21" t="s">
        <v>549</v>
      </c>
      <c r="D168" s="21">
        <v>1820000</v>
      </c>
      <c r="E168" s="21" t="s">
        <v>307</v>
      </c>
      <c r="F168" s="21" t="str">
        <f t="shared" si="4"/>
        <v>rtdc.l.rtdc.4012:itc</v>
      </c>
      <c r="G168" s="8">
        <f t="shared" si="5"/>
        <v>42700.733749999999</v>
      </c>
    </row>
    <row r="169" spans="1:7" x14ac:dyDescent="0.25">
      <c r="A169" s="8">
        <v>42700.737025462964</v>
      </c>
      <c r="B169" s="21" t="s">
        <v>230</v>
      </c>
      <c r="C169" s="21" t="s">
        <v>550</v>
      </c>
      <c r="D169" s="21">
        <v>1810000</v>
      </c>
      <c r="E169" s="21" t="s">
        <v>551</v>
      </c>
      <c r="F169" s="21" t="str">
        <f t="shared" si="4"/>
        <v>rtdc.l.rtdc.4038:itc</v>
      </c>
      <c r="G169" s="8">
        <f t="shared" si="5"/>
        <v>42700.737025462964</v>
      </c>
    </row>
    <row r="170" spans="1:7" x14ac:dyDescent="0.25">
      <c r="A170" s="8">
        <v>42700.744131944448</v>
      </c>
      <c r="B170" s="21" t="s">
        <v>219</v>
      </c>
      <c r="C170" s="21" t="s">
        <v>552</v>
      </c>
      <c r="D170" s="21">
        <v>2540000</v>
      </c>
      <c r="E170" s="21" t="s">
        <v>337</v>
      </c>
      <c r="F170" s="21" t="str">
        <f t="shared" si="4"/>
        <v>rtdc.l.rtdc.4039:itc</v>
      </c>
      <c r="G170" s="8">
        <f t="shared" si="5"/>
        <v>42700.744131944448</v>
      </c>
    </row>
    <row r="171" spans="1:7" x14ac:dyDescent="0.25">
      <c r="A171" s="8">
        <v>42700.745219907411</v>
      </c>
      <c r="B171" s="21" t="s">
        <v>261</v>
      </c>
      <c r="C171" s="21" t="s">
        <v>553</v>
      </c>
      <c r="D171" s="21">
        <v>2270000</v>
      </c>
      <c r="E171" s="21" t="s">
        <v>336</v>
      </c>
      <c r="F171" s="21" t="str">
        <f t="shared" si="4"/>
        <v>rtdc.l.rtdc.4045:itc</v>
      </c>
      <c r="G171" s="8">
        <f t="shared" si="5"/>
        <v>42700.745219907411</v>
      </c>
    </row>
    <row r="172" spans="1:7" x14ac:dyDescent="0.25">
      <c r="A172" s="8">
        <v>42700.746458333335</v>
      </c>
      <c r="B172" s="21" t="s">
        <v>504</v>
      </c>
      <c r="C172" s="21" t="s">
        <v>554</v>
      </c>
      <c r="D172" s="21">
        <v>1740000</v>
      </c>
      <c r="E172" s="21" t="s">
        <v>294</v>
      </c>
      <c r="F172" s="21" t="str">
        <f t="shared" si="4"/>
        <v>rtdc.l.rtdc.4025:itc</v>
      </c>
      <c r="G172" s="8">
        <f t="shared" si="5"/>
        <v>42700.746458333335</v>
      </c>
    </row>
    <row r="173" spans="1:7" x14ac:dyDescent="0.25">
      <c r="A173" s="8">
        <v>42700.748136574075</v>
      </c>
      <c r="B173" s="21" t="s">
        <v>157</v>
      </c>
      <c r="C173" s="21" t="s">
        <v>555</v>
      </c>
      <c r="D173" s="21">
        <v>2480000</v>
      </c>
      <c r="E173" s="21" t="s">
        <v>556</v>
      </c>
      <c r="F173" s="21" t="str">
        <f t="shared" si="4"/>
        <v>rtdc.l.rtdc.4052:itc</v>
      </c>
      <c r="G173" s="8">
        <f t="shared" si="5"/>
        <v>42700.748136574075</v>
      </c>
    </row>
    <row r="174" spans="1:7" x14ac:dyDescent="0.25">
      <c r="A174" s="8">
        <v>42700.748738425929</v>
      </c>
      <c r="B174" s="21" t="s">
        <v>214</v>
      </c>
      <c r="C174" s="21" t="s">
        <v>557</v>
      </c>
      <c r="D174" s="21">
        <v>1820000</v>
      </c>
      <c r="E174" s="21" t="s">
        <v>307</v>
      </c>
      <c r="F174" s="21" t="str">
        <f t="shared" si="4"/>
        <v>rtdc.l.rtdc.4011:itc</v>
      </c>
      <c r="G174" s="8">
        <f t="shared" si="5"/>
        <v>42700.748738425929</v>
      </c>
    </row>
    <row r="175" spans="1:7" x14ac:dyDescent="0.25">
      <c r="A175" s="8">
        <v>42700.752997685187</v>
      </c>
      <c r="B175" s="21" t="s">
        <v>212</v>
      </c>
      <c r="C175" s="21" t="s">
        <v>558</v>
      </c>
      <c r="D175" s="21">
        <v>1770000</v>
      </c>
      <c r="E175" s="21" t="s">
        <v>499</v>
      </c>
      <c r="F175" s="21" t="str">
        <f t="shared" si="4"/>
        <v>rtdc.l.rtdc.4030:itc</v>
      </c>
      <c r="G175" s="8">
        <f t="shared" si="5"/>
        <v>42700.752997685187</v>
      </c>
    </row>
    <row r="176" spans="1:7" x14ac:dyDescent="0.25">
      <c r="A176" s="8">
        <v>42700.758657407408</v>
      </c>
      <c r="B176" s="21" t="s">
        <v>258</v>
      </c>
      <c r="C176" s="21" t="s">
        <v>414</v>
      </c>
      <c r="D176" s="21">
        <v>2420000</v>
      </c>
      <c r="E176" s="21" t="s">
        <v>229</v>
      </c>
      <c r="F176" s="21" t="str">
        <f t="shared" si="4"/>
        <v>rtdc.l.rtdc.4031:itc</v>
      </c>
      <c r="G176" s="8">
        <f t="shared" si="5"/>
        <v>42700.758657407408</v>
      </c>
    </row>
    <row r="177" spans="1:7" x14ac:dyDescent="0.25">
      <c r="A177" s="8">
        <v>42700.764120370368</v>
      </c>
      <c r="B177" s="21" t="s">
        <v>227</v>
      </c>
      <c r="C177" s="21" t="s">
        <v>559</v>
      </c>
      <c r="D177" s="21">
        <v>930000</v>
      </c>
      <c r="E177" s="21" t="s">
        <v>480</v>
      </c>
      <c r="F177" s="21" t="str">
        <f t="shared" si="4"/>
        <v>rtdc.l.rtdc.4043:itc</v>
      </c>
      <c r="G177" s="8">
        <f t="shared" si="5"/>
        <v>42700.764120370368</v>
      </c>
    </row>
    <row r="178" spans="1:7" x14ac:dyDescent="0.25">
      <c r="A178" s="8">
        <v>42700.770590277774</v>
      </c>
      <c r="B178" s="21" t="s">
        <v>291</v>
      </c>
      <c r="C178" s="21" t="s">
        <v>560</v>
      </c>
      <c r="D178" s="21">
        <v>1800000</v>
      </c>
      <c r="E178" s="21" t="s">
        <v>338</v>
      </c>
      <c r="F178" s="21" t="str">
        <f t="shared" si="4"/>
        <v>rtdc.l.rtdc.4003:itc</v>
      </c>
      <c r="G178" s="8">
        <f t="shared" si="5"/>
        <v>42700.770590277774</v>
      </c>
    </row>
    <row r="179" spans="1:7" x14ac:dyDescent="0.25">
      <c r="A179" s="8">
        <v>42700.771793981483</v>
      </c>
      <c r="B179" s="21" t="s">
        <v>231</v>
      </c>
      <c r="C179" s="21" t="s">
        <v>561</v>
      </c>
      <c r="D179" s="21">
        <v>1810000</v>
      </c>
      <c r="E179" s="21" t="s">
        <v>551</v>
      </c>
      <c r="F179" s="21" t="str">
        <f t="shared" si="4"/>
        <v>rtdc.l.rtdc.4037:itc</v>
      </c>
      <c r="G179" s="8">
        <f t="shared" si="5"/>
        <v>42700.771793981483</v>
      </c>
    </row>
    <row r="180" spans="1:7" x14ac:dyDescent="0.25">
      <c r="A180" s="8">
        <v>42700.775810185187</v>
      </c>
      <c r="B180" s="21" t="s">
        <v>222</v>
      </c>
      <c r="C180" s="21" t="s">
        <v>415</v>
      </c>
      <c r="D180" s="21">
        <v>1820000</v>
      </c>
      <c r="E180" s="21" t="s">
        <v>307</v>
      </c>
      <c r="F180" s="21" t="str">
        <f t="shared" si="4"/>
        <v>rtdc.l.rtdc.4012:itc</v>
      </c>
      <c r="G180" s="8">
        <f t="shared" si="5"/>
        <v>42700.775810185187</v>
      </c>
    </row>
    <row r="181" spans="1:7" x14ac:dyDescent="0.25">
      <c r="A181" s="8">
        <v>42700.77915509259</v>
      </c>
      <c r="B181" s="21" t="s">
        <v>262</v>
      </c>
      <c r="C181" s="21" t="s">
        <v>562</v>
      </c>
      <c r="D181" s="21">
        <v>2270000</v>
      </c>
      <c r="E181" s="21" t="s">
        <v>336</v>
      </c>
      <c r="F181" s="21" t="str">
        <f t="shared" si="4"/>
        <v>rtdc.l.rtdc.4046:itc</v>
      </c>
      <c r="G181" s="8">
        <f t="shared" si="5"/>
        <v>42700.77915509259</v>
      </c>
    </row>
    <row r="182" spans="1:7" x14ac:dyDescent="0.25">
      <c r="A182" s="8">
        <v>42700.786851851852</v>
      </c>
      <c r="B182" s="21" t="s">
        <v>391</v>
      </c>
      <c r="C182" s="21" t="s">
        <v>563</v>
      </c>
      <c r="D182" s="21">
        <v>1740000</v>
      </c>
      <c r="E182" s="21" t="s">
        <v>294</v>
      </c>
      <c r="F182" s="21" t="str">
        <f t="shared" si="4"/>
        <v>rtdc.l.rtdc.4026:itc</v>
      </c>
      <c r="G182" s="8">
        <f t="shared" si="5"/>
        <v>42700.786851851852</v>
      </c>
    </row>
    <row r="183" spans="1:7" x14ac:dyDescent="0.25">
      <c r="A183" s="8">
        <v>42700.787407407406</v>
      </c>
      <c r="B183" s="21" t="s">
        <v>284</v>
      </c>
      <c r="C183" s="21" t="s">
        <v>564</v>
      </c>
      <c r="D183" s="21">
        <v>1300000</v>
      </c>
      <c r="E183" s="21" t="s">
        <v>113</v>
      </c>
      <c r="F183" s="21" t="str">
        <f t="shared" si="4"/>
        <v>rtdc.l.rtdc.4029:itc</v>
      </c>
      <c r="G183" s="8">
        <f t="shared" si="5"/>
        <v>42700.787407407406</v>
      </c>
    </row>
    <row r="184" spans="1:7" x14ac:dyDescent="0.25">
      <c r="A184" s="8">
        <v>42700.795451388891</v>
      </c>
      <c r="B184" s="21" t="s">
        <v>334</v>
      </c>
      <c r="C184" s="21" t="s">
        <v>565</v>
      </c>
      <c r="D184" s="21">
        <v>2420000</v>
      </c>
      <c r="E184" s="21" t="s">
        <v>229</v>
      </c>
      <c r="F184" s="21" t="str">
        <f t="shared" si="4"/>
        <v>rtdc.l.rtdc.4032:itc</v>
      </c>
      <c r="G184" s="8">
        <f t="shared" si="5"/>
        <v>42700.795451388891</v>
      </c>
    </row>
    <row r="185" spans="1:7" x14ac:dyDescent="0.25">
      <c r="A185" s="8">
        <v>42700.801898148151</v>
      </c>
      <c r="B185" s="21" t="s">
        <v>214</v>
      </c>
      <c r="C185" s="21" t="s">
        <v>566</v>
      </c>
      <c r="D185" s="21">
        <v>1820000</v>
      </c>
      <c r="E185" s="21" t="s">
        <v>307</v>
      </c>
      <c r="F185" s="21" t="str">
        <f t="shared" si="4"/>
        <v>rtdc.l.rtdc.4011:itc</v>
      </c>
      <c r="G185" s="8">
        <f t="shared" si="5"/>
        <v>42700.801898148151</v>
      </c>
    </row>
    <row r="186" spans="1:7" x14ac:dyDescent="0.25">
      <c r="A186" s="8">
        <v>42700.803252314814</v>
      </c>
      <c r="B186" s="21" t="s">
        <v>187</v>
      </c>
      <c r="C186" s="21" t="s">
        <v>567</v>
      </c>
      <c r="D186" s="21">
        <v>930000</v>
      </c>
      <c r="E186" s="21" t="s">
        <v>480</v>
      </c>
      <c r="F186" s="21" t="str">
        <f t="shared" si="4"/>
        <v>rtdc.l.rtdc.4044:itc</v>
      </c>
      <c r="G186" s="8">
        <f t="shared" si="5"/>
        <v>42700.803252314814</v>
      </c>
    </row>
    <row r="187" spans="1:7" x14ac:dyDescent="0.25">
      <c r="A187" s="8">
        <v>42700.806666666664</v>
      </c>
      <c r="B187" s="21" t="s">
        <v>292</v>
      </c>
      <c r="C187" s="21" t="s">
        <v>568</v>
      </c>
      <c r="D187" s="21">
        <v>1800000</v>
      </c>
      <c r="E187" s="21" t="s">
        <v>338</v>
      </c>
      <c r="F187" s="21" t="str">
        <f t="shared" si="4"/>
        <v>rtdc.l.rtdc.4004:itc</v>
      </c>
      <c r="G187" s="8">
        <f t="shared" si="5"/>
        <v>42700.806666666664</v>
      </c>
    </row>
    <row r="188" spans="1:7" x14ac:dyDescent="0.25">
      <c r="A188" s="8">
        <v>42700.809490740743</v>
      </c>
      <c r="B188" s="21" t="s">
        <v>230</v>
      </c>
      <c r="C188" s="21" t="s">
        <v>569</v>
      </c>
      <c r="D188" s="21">
        <v>1810000</v>
      </c>
      <c r="E188" s="21" t="s">
        <v>551</v>
      </c>
      <c r="F188" s="21" t="str">
        <f t="shared" si="4"/>
        <v>rtdc.l.rtdc.4038:itc</v>
      </c>
      <c r="G188" s="8">
        <f t="shared" si="5"/>
        <v>42700.809490740743</v>
      </c>
    </row>
    <row r="189" spans="1:7" x14ac:dyDescent="0.25">
      <c r="A189" s="8">
        <v>42700.810844907406</v>
      </c>
      <c r="B189" s="21" t="s">
        <v>156</v>
      </c>
      <c r="C189" s="21" t="s">
        <v>419</v>
      </c>
      <c r="D189" s="21">
        <v>2480000</v>
      </c>
      <c r="E189" s="21" t="s">
        <v>556</v>
      </c>
      <c r="F189" s="21" t="str">
        <f t="shared" si="4"/>
        <v>rtdc.l.rtdc.4051:itc</v>
      </c>
      <c r="G189" s="8">
        <f t="shared" si="5"/>
        <v>42700.810844907406</v>
      </c>
    </row>
    <row r="190" spans="1:7" x14ac:dyDescent="0.25">
      <c r="A190" s="8">
        <v>42700.818229166667</v>
      </c>
      <c r="B190" s="21" t="s">
        <v>222</v>
      </c>
      <c r="C190" s="21" t="s">
        <v>570</v>
      </c>
      <c r="D190" s="21">
        <v>1820000</v>
      </c>
      <c r="E190" s="21" t="s">
        <v>307</v>
      </c>
      <c r="F190" s="21" t="str">
        <f t="shared" si="4"/>
        <v>rtdc.l.rtdc.4012:itc</v>
      </c>
      <c r="G190" s="8">
        <f t="shared" si="5"/>
        <v>42700.818229166667</v>
      </c>
    </row>
    <row r="191" spans="1:7" x14ac:dyDescent="0.25">
      <c r="A191" s="8">
        <v>42700.820381944446</v>
      </c>
      <c r="B191" s="21" t="s">
        <v>504</v>
      </c>
      <c r="C191" s="21" t="s">
        <v>571</v>
      </c>
      <c r="D191" s="21">
        <v>1740000</v>
      </c>
      <c r="E191" s="21" t="s">
        <v>294</v>
      </c>
      <c r="F191" s="21" t="str">
        <f t="shared" si="4"/>
        <v>rtdc.l.rtdc.4025:itc</v>
      </c>
      <c r="G191" s="8">
        <f t="shared" si="5"/>
        <v>42700.820381944446</v>
      </c>
    </row>
    <row r="192" spans="1:7" x14ac:dyDescent="0.25">
      <c r="A192" s="8">
        <v>42700.827418981484</v>
      </c>
      <c r="B192" s="21" t="s">
        <v>212</v>
      </c>
      <c r="C192" s="21" t="s">
        <v>572</v>
      </c>
      <c r="D192" s="21">
        <v>1300000</v>
      </c>
      <c r="E192" s="21" t="s">
        <v>113</v>
      </c>
      <c r="F192" s="21" t="str">
        <f t="shared" si="4"/>
        <v>rtdc.l.rtdc.4030:itc</v>
      </c>
      <c r="G192" s="8">
        <f t="shared" si="5"/>
        <v>42700.827418981484</v>
      </c>
    </row>
    <row r="193" spans="1:7" x14ac:dyDescent="0.25">
      <c r="A193" s="8">
        <v>42700.828773148147</v>
      </c>
      <c r="B193" s="21" t="s">
        <v>258</v>
      </c>
      <c r="C193" s="21" t="s">
        <v>573</v>
      </c>
      <c r="D193" s="21">
        <v>2420000</v>
      </c>
      <c r="E193" s="21" t="s">
        <v>229</v>
      </c>
      <c r="F193" s="21" t="str">
        <f t="shared" si="4"/>
        <v>rtdc.l.rtdc.4031:itc</v>
      </c>
      <c r="G193" s="8">
        <f t="shared" si="5"/>
        <v>42700.828773148147</v>
      </c>
    </row>
    <row r="194" spans="1:7" x14ac:dyDescent="0.25">
      <c r="A194" s="8">
        <v>42700.832557870373</v>
      </c>
      <c r="B194" s="21" t="s">
        <v>214</v>
      </c>
      <c r="C194" s="21" t="s">
        <v>418</v>
      </c>
      <c r="D194" s="21">
        <v>1820000</v>
      </c>
      <c r="E194" s="21" t="s">
        <v>307</v>
      </c>
      <c r="F194" s="21" t="str">
        <f t="shared" ref="F194:F235" si="6">B194</f>
        <v>rtdc.l.rtdc.4011:itc</v>
      </c>
      <c r="G194" s="8">
        <f t="shared" ref="G194:G235" si="7">A194</f>
        <v>42700.832557870373</v>
      </c>
    </row>
    <row r="195" spans="1:7" x14ac:dyDescent="0.25">
      <c r="A195" s="8">
        <v>42700.837523148148</v>
      </c>
      <c r="B195" s="21" t="s">
        <v>157</v>
      </c>
      <c r="C195" s="21" t="s">
        <v>416</v>
      </c>
      <c r="D195" s="21">
        <v>2480000</v>
      </c>
      <c r="E195" s="21" t="s">
        <v>556</v>
      </c>
      <c r="F195" s="21" t="str">
        <f t="shared" si="6"/>
        <v>rtdc.l.rtdc.4052:itc</v>
      </c>
      <c r="G195" s="8">
        <f t="shared" si="7"/>
        <v>42700.837523148148</v>
      </c>
    </row>
    <row r="196" spans="1:7" x14ac:dyDescent="0.25">
      <c r="A196" s="8">
        <v>42700.844074074077</v>
      </c>
      <c r="B196" s="21" t="s">
        <v>231</v>
      </c>
      <c r="C196" s="21" t="s">
        <v>574</v>
      </c>
      <c r="D196" s="21">
        <v>1810000</v>
      </c>
      <c r="E196" s="21" t="s">
        <v>551</v>
      </c>
      <c r="F196" s="21" t="str">
        <f t="shared" si="6"/>
        <v>rtdc.l.rtdc.4037:itc</v>
      </c>
      <c r="G196" s="8">
        <f t="shared" si="7"/>
        <v>42700.844074074077</v>
      </c>
    </row>
    <row r="197" spans="1:7" x14ac:dyDescent="0.25">
      <c r="A197" s="8">
        <v>42700.850335648145</v>
      </c>
      <c r="B197" s="21" t="s">
        <v>291</v>
      </c>
      <c r="C197" s="21" t="s">
        <v>417</v>
      </c>
      <c r="D197" s="21">
        <v>1800000</v>
      </c>
      <c r="E197" s="21" t="s">
        <v>338</v>
      </c>
      <c r="F197" s="21" t="str">
        <f t="shared" si="6"/>
        <v>rtdc.l.rtdc.4003:itc</v>
      </c>
      <c r="G197" s="8">
        <f t="shared" si="7"/>
        <v>42700.850335648145</v>
      </c>
    </row>
    <row r="198" spans="1:7" x14ac:dyDescent="0.25">
      <c r="A198" s="8">
        <v>42700.858877314815</v>
      </c>
      <c r="B198" s="21" t="s">
        <v>222</v>
      </c>
      <c r="C198" s="21" t="s">
        <v>575</v>
      </c>
      <c r="D198" s="21">
        <v>1820000</v>
      </c>
      <c r="E198" s="21" t="s">
        <v>307</v>
      </c>
      <c r="F198" s="21" t="str">
        <f t="shared" si="6"/>
        <v>rtdc.l.rtdc.4012:itc</v>
      </c>
      <c r="G198" s="8">
        <f t="shared" si="7"/>
        <v>42700.858877314815</v>
      </c>
    </row>
    <row r="199" spans="1:7" x14ac:dyDescent="0.25">
      <c r="A199" s="8">
        <v>42700.86378472222</v>
      </c>
      <c r="B199" s="21" t="s">
        <v>156</v>
      </c>
      <c r="C199" s="21" t="s">
        <v>419</v>
      </c>
      <c r="D199" s="21">
        <v>2480000</v>
      </c>
      <c r="E199" s="21" t="s">
        <v>556</v>
      </c>
      <c r="F199" s="21" t="str">
        <f t="shared" si="6"/>
        <v>rtdc.l.rtdc.4051:itc</v>
      </c>
      <c r="G199" s="8">
        <f t="shared" si="7"/>
        <v>42700.86378472222</v>
      </c>
    </row>
    <row r="200" spans="1:7" x14ac:dyDescent="0.25">
      <c r="A200" s="8">
        <v>42700.868414351855</v>
      </c>
      <c r="B200" s="21" t="s">
        <v>334</v>
      </c>
      <c r="C200" s="21" t="s">
        <v>576</v>
      </c>
      <c r="D200" s="21">
        <v>2420000</v>
      </c>
      <c r="E200" s="21" t="s">
        <v>229</v>
      </c>
      <c r="F200" s="21" t="str">
        <f t="shared" si="6"/>
        <v>rtdc.l.rtdc.4032:itc</v>
      </c>
      <c r="G200" s="8">
        <f t="shared" si="7"/>
        <v>42700.868414351855</v>
      </c>
    </row>
    <row r="201" spans="1:7" x14ac:dyDescent="0.25">
      <c r="A201" s="8">
        <v>42700.870659722219</v>
      </c>
      <c r="B201" s="21" t="s">
        <v>284</v>
      </c>
      <c r="C201" s="21" t="s">
        <v>577</v>
      </c>
      <c r="D201" s="21">
        <v>1300000</v>
      </c>
      <c r="E201" s="21" t="s">
        <v>113</v>
      </c>
      <c r="F201" s="21" t="str">
        <f t="shared" si="6"/>
        <v>rtdc.l.rtdc.4029:itc</v>
      </c>
      <c r="G201" s="8">
        <f t="shared" si="7"/>
        <v>42700.870659722219</v>
      </c>
    </row>
    <row r="202" spans="1:7" x14ac:dyDescent="0.25">
      <c r="A202" s="27">
        <v>42700.873530092591</v>
      </c>
      <c r="B202" s="21" t="s">
        <v>214</v>
      </c>
      <c r="C202" s="21" t="s">
        <v>578</v>
      </c>
      <c r="D202" s="21">
        <v>1820000</v>
      </c>
      <c r="E202" s="21" t="s">
        <v>307</v>
      </c>
      <c r="F202" s="21" t="str">
        <f t="shared" si="6"/>
        <v>rtdc.l.rtdc.4011:itc</v>
      </c>
      <c r="G202" s="8">
        <f t="shared" si="7"/>
        <v>42700.873530092591</v>
      </c>
    </row>
    <row r="203" spans="1:7" x14ac:dyDescent="0.25">
      <c r="A203" s="8">
        <v>42700.882662037038</v>
      </c>
      <c r="B203" s="21" t="s">
        <v>157</v>
      </c>
      <c r="C203" s="21" t="s">
        <v>416</v>
      </c>
      <c r="D203" s="21">
        <v>2480000</v>
      </c>
      <c r="E203" s="21" t="s">
        <v>556</v>
      </c>
      <c r="F203" s="21" t="str">
        <f t="shared" si="6"/>
        <v>rtdc.l.rtdc.4052:itc</v>
      </c>
      <c r="G203" s="8">
        <f t="shared" si="7"/>
        <v>42700.882662037038</v>
      </c>
    </row>
    <row r="204" spans="1:7" x14ac:dyDescent="0.25">
      <c r="A204" s="8">
        <v>42700.889675925922</v>
      </c>
      <c r="B204" s="21" t="s">
        <v>292</v>
      </c>
      <c r="C204" s="21" t="s">
        <v>579</v>
      </c>
      <c r="D204" s="21">
        <v>1800000</v>
      </c>
      <c r="E204" s="21" t="s">
        <v>338</v>
      </c>
      <c r="F204" s="21" t="str">
        <f t="shared" si="6"/>
        <v>rtdc.l.rtdc.4004:itc</v>
      </c>
      <c r="G204" s="8">
        <f t="shared" si="7"/>
        <v>42700.889675925922</v>
      </c>
    </row>
    <row r="205" spans="1:7" x14ac:dyDescent="0.25">
      <c r="A205" s="8">
        <v>42700.890787037039</v>
      </c>
      <c r="B205" s="21" t="s">
        <v>230</v>
      </c>
      <c r="C205" s="21" t="s">
        <v>580</v>
      </c>
      <c r="D205" s="21">
        <v>1810000</v>
      </c>
      <c r="E205" s="21" t="s">
        <v>551</v>
      </c>
      <c r="F205" s="21" t="str">
        <f t="shared" si="6"/>
        <v>rtdc.l.rtdc.4038:itc</v>
      </c>
      <c r="G205" s="8">
        <f t="shared" si="7"/>
        <v>42700.890787037039</v>
      </c>
    </row>
    <row r="206" spans="1:7" x14ac:dyDescent="0.25">
      <c r="A206" s="8">
        <v>42700.900810185187</v>
      </c>
      <c r="B206" s="21" t="s">
        <v>222</v>
      </c>
      <c r="C206" s="21" t="s">
        <v>581</v>
      </c>
      <c r="D206" s="21">
        <v>1820000</v>
      </c>
      <c r="E206" s="21" t="s">
        <v>307</v>
      </c>
      <c r="F206" s="21" t="str">
        <f t="shared" si="6"/>
        <v>rtdc.l.rtdc.4012:itc</v>
      </c>
      <c r="G206" s="8">
        <f t="shared" si="7"/>
        <v>42700.900810185187</v>
      </c>
    </row>
    <row r="207" spans="1:7" x14ac:dyDescent="0.25">
      <c r="A207" s="8">
        <v>42700.904282407406</v>
      </c>
      <c r="B207" s="21" t="s">
        <v>156</v>
      </c>
      <c r="C207" s="21" t="s">
        <v>419</v>
      </c>
      <c r="D207" s="21">
        <v>2480000</v>
      </c>
      <c r="E207" s="21" t="s">
        <v>556</v>
      </c>
      <c r="F207" s="21" t="str">
        <f t="shared" si="6"/>
        <v>rtdc.l.rtdc.4051:itc</v>
      </c>
      <c r="G207" s="8">
        <f t="shared" si="7"/>
        <v>42700.904282407406</v>
      </c>
    </row>
    <row r="208" spans="1:7" x14ac:dyDescent="0.25">
      <c r="A208" s="8">
        <v>42700.907164351855</v>
      </c>
      <c r="B208" s="21" t="s">
        <v>258</v>
      </c>
      <c r="C208" s="21" t="s">
        <v>582</v>
      </c>
      <c r="D208" s="21">
        <v>2420000</v>
      </c>
      <c r="E208" s="21" t="s">
        <v>229</v>
      </c>
      <c r="F208" s="21" t="str">
        <f t="shared" si="6"/>
        <v>rtdc.l.rtdc.4031:itc</v>
      </c>
      <c r="G208" s="8">
        <f t="shared" si="7"/>
        <v>42700.907164351855</v>
      </c>
    </row>
    <row r="209" spans="1:7" x14ac:dyDescent="0.25">
      <c r="A209" s="8">
        <v>42700.912210648145</v>
      </c>
      <c r="B209" s="21" t="s">
        <v>212</v>
      </c>
      <c r="C209" s="21" t="s">
        <v>583</v>
      </c>
      <c r="D209" s="21">
        <v>1300000</v>
      </c>
      <c r="E209" s="21" t="s">
        <v>113</v>
      </c>
      <c r="F209" s="21" t="str">
        <f t="shared" si="6"/>
        <v>rtdc.l.rtdc.4030:itc</v>
      </c>
      <c r="G209" s="8">
        <f t="shared" si="7"/>
        <v>42700.912210648145</v>
      </c>
    </row>
    <row r="210" spans="1:7" x14ac:dyDescent="0.25">
      <c r="A210" s="8">
        <v>42700.914606481485</v>
      </c>
      <c r="B210" s="21" t="s">
        <v>214</v>
      </c>
      <c r="C210" s="21" t="s">
        <v>584</v>
      </c>
      <c r="D210" s="21">
        <v>1820000</v>
      </c>
      <c r="E210" s="21" t="s">
        <v>307</v>
      </c>
      <c r="F210" s="21" t="str">
        <f t="shared" si="6"/>
        <v>rtdc.l.rtdc.4011:itc</v>
      </c>
      <c r="G210" s="8">
        <f t="shared" si="7"/>
        <v>42700.914606481485</v>
      </c>
    </row>
    <row r="211" spans="1:7" x14ac:dyDescent="0.25">
      <c r="A211" s="8">
        <v>42700.924074074072</v>
      </c>
      <c r="B211" s="21" t="s">
        <v>157</v>
      </c>
      <c r="C211" s="21" t="s">
        <v>416</v>
      </c>
      <c r="D211" s="21">
        <v>2480000</v>
      </c>
      <c r="E211" s="21" t="s">
        <v>556</v>
      </c>
      <c r="F211" s="21" t="str">
        <f t="shared" si="6"/>
        <v>rtdc.l.rtdc.4052:itc</v>
      </c>
      <c r="G211" s="8">
        <f t="shared" si="7"/>
        <v>42700.924074074072</v>
      </c>
    </row>
    <row r="212" spans="1:7" x14ac:dyDescent="0.25">
      <c r="A212" s="8">
        <v>42700.928136574075</v>
      </c>
      <c r="B212" s="21" t="s">
        <v>231</v>
      </c>
      <c r="C212" s="21" t="s">
        <v>585</v>
      </c>
      <c r="D212" s="21">
        <v>1810000</v>
      </c>
      <c r="E212" s="21" t="s">
        <v>551</v>
      </c>
      <c r="F212" s="21" t="str">
        <f t="shared" si="6"/>
        <v>rtdc.l.rtdc.4037:itc</v>
      </c>
      <c r="G212" s="8">
        <f t="shared" si="7"/>
        <v>42700.928136574075</v>
      </c>
    </row>
    <row r="213" spans="1:7" x14ac:dyDescent="0.25">
      <c r="A213" s="8">
        <v>42700.934953703705</v>
      </c>
      <c r="B213" s="21" t="s">
        <v>291</v>
      </c>
      <c r="C213" s="21" t="s">
        <v>586</v>
      </c>
      <c r="D213" s="21">
        <v>1800000</v>
      </c>
      <c r="E213" s="21" t="s">
        <v>338</v>
      </c>
      <c r="F213" s="21" t="str">
        <f t="shared" si="6"/>
        <v>rtdc.l.rtdc.4003:itc</v>
      </c>
      <c r="G213" s="8">
        <f t="shared" si="7"/>
        <v>42700.934953703705</v>
      </c>
    </row>
    <row r="214" spans="1:7" x14ac:dyDescent="0.25">
      <c r="A214" s="8">
        <v>42700.942974537036</v>
      </c>
      <c r="B214" s="21" t="s">
        <v>222</v>
      </c>
      <c r="C214" s="21" t="s">
        <v>587</v>
      </c>
      <c r="D214" s="21">
        <v>1820000</v>
      </c>
      <c r="E214" s="21" t="s">
        <v>307</v>
      </c>
      <c r="F214" s="21" t="str">
        <f t="shared" si="6"/>
        <v>rtdc.l.rtdc.4012:itc</v>
      </c>
      <c r="G214" s="8">
        <f t="shared" si="7"/>
        <v>42700.942974537036</v>
      </c>
    </row>
    <row r="215" spans="1:7" x14ac:dyDescent="0.25">
      <c r="A215" s="8">
        <v>42700.944212962961</v>
      </c>
      <c r="B215" s="21" t="s">
        <v>334</v>
      </c>
      <c r="C215" s="21" t="s">
        <v>420</v>
      </c>
      <c r="D215" s="21">
        <v>2420000</v>
      </c>
      <c r="E215" s="21" t="s">
        <v>229</v>
      </c>
      <c r="F215" s="21" t="str">
        <f t="shared" si="6"/>
        <v>rtdc.l.rtdc.4032:itc</v>
      </c>
      <c r="G215" s="8">
        <f t="shared" si="7"/>
        <v>42700.944212962961</v>
      </c>
    </row>
    <row r="216" spans="1:7" x14ac:dyDescent="0.25">
      <c r="A216" s="8">
        <v>42700.954212962963</v>
      </c>
      <c r="B216" s="21" t="s">
        <v>284</v>
      </c>
      <c r="C216" s="21" t="s">
        <v>588</v>
      </c>
      <c r="D216" s="21">
        <v>1300000</v>
      </c>
      <c r="E216" s="21" t="s">
        <v>113</v>
      </c>
      <c r="F216" s="21" t="str">
        <f t="shared" si="6"/>
        <v>rtdc.l.rtdc.4029:itc</v>
      </c>
      <c r="G216" s="8">
        <f t="shared" si="7"/>
        <v>42700.954212962963</v>
      </c>
    </row>
    <row r="217" spans="1:7" x14ac:dyDescent="0.25">
      <c r="A217" s="8">
        <v>42700.954571759263</v>
      </c>
      <c r="B217" s="21" t="s">
        <v>156</v>
      </c>
      <c r="C217" s="21" t="s">
        <v>419</v>
      </c>
      <c r="D217" s="21">
        <v>2480000</v>
      </c>
      <c r="E217" s="21" t="s">
        <v>556</v>
      </c>
      <c r="F217" s="21" t="str">
        <f t="shared" si="6"/>
        <v>rtdc.l.rtdc.4051:itc</v>
      </c>
      <c r="G217" s="8">
        <f t="shared" si="7"/>
        <v>42700.954571759263</v>
      </c>
    </row>
    <row r="218" spans="1:7" x14ac:dyDescent="0.25">
      <c r="A218" s="8">
        <v>42700.970578703702</v>
      </c>
      <c r="B218" s="21" t="s">
        <v>230</v>
      </c>
      <c r="C218" s="21" t="s">
        <v>421</v>
      </c>
      <c r="D218" s="21">
        <v>2450000</v>
      </c>
      <c r="E218" s="21" t="s">
        <v>589</v>
      </c>
      <c r="F218" s="21" t="str">
        <f t="shared" si="6"/>
        <v>rtdc.l.rtdc.4038:itc</v>
      </c>
      <c r="G218" s="8">
        <f t="shared" si="7"/>
        <v>42700.970578703702</v>
      </c>
    </row>
    <row r="219" spans="1:7" x14ac:dyDescent="0.25">
      <c r="A219" s="8">
        <v>42700.976018518515</v>
      </c>
      <c r="B219" s="21" t="s">
        <v>292</v>
      </c>
      <c r="C219" s="21" t="s">
        <v>590</v>
      </c>
      <c r="D219" s="21">
        <v>1800000</v>
      </c>
      <c r="E219" s="21" t="s">
        <v>338</v>
      </c>
      <c r="F219" s="21" t="str">
        <f t="shared" si="6"/>
        <v>rtdc.l.rtdc.4004:itc</v>
      </c>
      <c r="G219" s="8">
        <f t="shared" si="7"/>
        <v>42700.976018518515</v>
      </c>
    </row>
    <row r="220" spans="1:7" x14ac:dyDescent="0.25">
      <c r="A220" s="8">
        <v>42700.989027777781</v>
      </c>
      <c r="B220" s="21" t="s">
        <v>258</v>
      </c>
      <c r="C220" s="21" t="s">
        <v>591</v>
      </c>
      <c r="D220" s="21">
        <v>2420000</v>
      </c>
      <c r="E220" s="21" t="s">
        <v>229</v>
      </c>
      <c r="F220" s="21" t="str">
        <f t="shared" si="6"/>
        <v>rtdc.l.rtdc.4031:itc</v>
      </c>
      <c r="G220" s="8">
        <f t="shared" si="7"/>
        <v>42700.989027777781</v>
      </c>
    </row>
    <row r="221" spans="1:7" x14ac:dyDescent="0.25">
      <c r="A221" s="8">
        <v>42700.99391203704</v>
      </c>
      <c r="B221" s="21" t="s">
        <v>212</v>
      </c>
      <c r="C221" s="21" t="s">
        <v>592</v>
      </c>
      <c r="D221" s="21">
        <v>1300000</v>
      </c>
      <c r="E221" s="21" t="s">
        <v>113</v>
      </c>
      <c r="F221" s="21" t="str">
        <f t="shared" si="6"/>
        <v>rtdc.l.rtdc.4030:itc</v>
      </c>
      <c r="G221" s="8">
        <f t="shared" si="7"/>
        <v>42700.99391203704</v>
      </c>
    </row>
    <row r="222" spans="1:7" x14ac:dyDescent="0.25">
      <c r="A222" s="8">
        <v>42701.016041666669</v>
      </c>
      <c r="B222" s="21" t="s">
        <v>231</v>
      </c>
      <c r="C222" s="21" t="s">
        <v>593</v>
      </c>
      <c r="D222" s="21">
        <v>2450000</v>
      </c>
      <c r="E222" s="21" t="s">
        <v>589</v>
      </c>
      <c r="F222" s="21" t="str">
        <f t="shared" si="6"/>
        <v>rtdc.l.rtdc.4037:itc</v>
      </c>
      <c r="G222" s="8">
        <f t="shared" si="7"/>
        <v>42701.016041666669</v>
      </c>
    </row>
    <row r="223" spans="1:7" x14ac:dyDescent="0.25">
      <c r="A223" s="8">
        <v>42701.021851851852</v>
      </c>
      <c r="B223" s="21" t="s">
        <v>217</v>
      </c>
      <c r="C223" s="21" t="s">
        <v>594</v>
      </c>
      <c r="D223" s="21">
        <v>1800000</v>
      </c>
      <c r="E223" s="21" t="s">
        <v>338</v>
      </c>
      <c r="F223" s="21" t="str">
        <f t="shared" si="6"/>
        <v>rtdc.l.rtdc.4040:itc</v>
      </c>
      <c r="G223" s="8">
        <f t="shared" si="7"/>
        <v>42701.021851851852</v>
      </c>
    </row>
    <row r="224" spans="1:7" x14ac:dyDescent="0.25">
      <c r="A224" s="8">
        <v>42701.02857638889</v>
      </c>
      <c r="B224" t="s">
        <v>334</v>
      </c>
      <c r="C224" t="s">
        <v>595</v>
      </c>
      <c r="D224">
        <v>2420000</v>
      </c>
      <c r="E224" t="s">
        <v>229</v>
      </c>
      <c r="F224" s="21" t="str">
        <f t="shared" si="6"/>
        <v>rtdc.l.rtdc.4032:itc</v>
      </c>
      <c r="G224" s="8">
        <f t="shared" si="7"/>
        <v>42701.02857638889</v>
      </c>
    </row>
    <row r="225" spans="1:7" x14ac:dyDescent="0.25">
      <c r="A225" s="8">
        <v>42701.038287037038</v>
      </c>
      <c r="B225" t="s">
        <v>284</v>
      </c>
      <c r="C225" t="s">
        <v>596</v>
      </c>
      <c r="D225">
        <v>1300000</v>
      </c>
      <c r="E225" t="s">
        <v>113</v>
      </c>
      <c r="F225" s="21" t="str">
        <f t="shared" si="6"/>
        <v>rtdc.l.rtdc.4029:itc</v>
      </c>
      <c r="G225" s="8">
        <f t="shared" si="7"/>
        <v>42701.038287037038</v>
      </c>
    </row>
    <row r="226" spans="1:7" x14ac:dyDescent="0.25">
      <c r="A226" s="8">
        <v>42701.051562499997</v>
      </c>
      <c r="B226" t="s">
        <v>230</v>
      </c>
      <c r="C226" t="s">
        <v>597</v>
      </c>
      <c r="D226">
        <v>2450000</v>
      </c>
      <c r="E226" t="s">
        <v>589</v>
      </c>
      <c r="F226" s="21" t="str">
        <f t="shared" si="6"/>
        <v>rtdc.l.rtdc.4038:itc</v>
      </c>
      <c r="G226" s="8">
        <f t="shared" si="7"/>
        <v>42701.051562499997</v>
      </c>
    </row>
    <row r="227" spans="1:7" x14ac:dyDescent="0.25">
      <c r="A227" s="8">
        <v>42701.057245370372</v>
      </c>
      <c r="B227" t="s">
        <v>219</v>
      </c>
      <c r="C227" t="s">
        <v>598</v>
      </c>
      <c r="D227">
        <v>1800000</v>
      </c>
      <c r="E227" t="s">
        <v>338</v>
      </c>
      <c r="F227" s="21" t="str">
        <f t="shared" si="6"/>
        <v>rtdc.l.rtdc.4039:itc</v>
      </c>
      <c r="G227" s="8">
        <f t="shared" si="7"/>
        <v>42701.057245370372</v>
      </c>
    </row>
    <row r="228" spans="1:7" x14ac:dyDescent="0.25">
      <c r="A228" s="8">
        <v>42701.068472222221</v>
      </c>
      <c r="B228" t="s">
        <v>258</v>
      </c>
      <c r="C228" t="s">
        <v>599</v>
      </c>
      <c r="D228">
        <v>2420000</v>
      </c>
      <c r="E228" t="s">
        <v>229</v>
      </c>
      <c r="F228" s="21" t="str">
        <f t="shared" si="6"/>
        <v>rtdc.l.rtdc.4031:itc</v>
      </c>
      <c r="G228" s="8">
        <f t="shared" si="7"/>
        <v>42701.068472222221</v>
      </c>
    </row>
    <row r="229" spans="1:7" x14ac:dyDescent="0.25">
      <c r="A229" s="8">
        <v>42701.077199074076</v>
      </c>
      <c r="B229" t="s">
        <v>212</v>
      </c>
      <c r="C229" t="s">
        <v>600</v>
      </c>
      <c r="D229">
        <v>1300000</v>
      </c>
      <c r="E229" t="s">
        <v>113</v>
      </c>
      <c r="F229" s="21" t="str">
        <f t="shared" si="6"/>
        <v>rtdc.l.rtdc.4030:itc</v>
      </c>
      <c r="G229" s="8">
        <f t="shared" si="7"/>
        <v>42701.077199074076</v>
      </c>
    </row>
    <row r="230" spans="1:7" x14ac:dyDescent="0.25">
      <c r="A230" s="8">
        <v>42701.109178240738</v>
      </c>
      <c r="B230" t="s">
        <v>284</v>
      </c>
      <c r="C230" t="s">
        <v>601</v>
      </c>
      <c r="D230">
        <v>1300000</v>
      </c>
      <c r="E230" t="s">
        <v>113</v>
      </c>
      <c r="F230" s="21" t="str">
        <f t="shared" si="6"/>
        <v>rtdc.l.rtdc.4029:itc</v>
      </c>
      <c r="G230" s="8">
        <f t="shared" si="7"/>
        <v>42701.109178240738</v>
      </c>
    </row>
    <row r="231" spans="1:7" x14ac:dyDescent="0.25">
      <c r="A231" s="8">
        <v>42699.910057870373</v>
      </c>
      <c r="B231" t="s">
        <v>219</v>
      </c>
      <c r="C231" t="s">
        <v>342</v>
      </c>
      <c r="D231">
        <v>2600000</v>
      </c>
      <c r="E231" t="s">
        <v>276</v>
      </c>
      <c r="F231" s="21" t="str">
        <f t="shared" si="6"/>
        <v>rtdc.l.rtdc.4039:itc</v>
      </c>
      <c r="G231" s="8">
        <f t="shared" si="7"/>
        <v>42699.910057870373</v>
      </c>
    </row>
    <row r="232" spans="1:7" x14ac:dyDescent="0.25">
      <c r="A232" s="8">
        <v>42699.910868055558</v>
      </c>
      <c r="B232" t="s">
        <v>156</v>
      </c>
      <c r="C232" t="s">
        <v>340</v>
      </c>
      <c r="D232">
        <v>2530000</v>
      </c>
      <c r="E232" t="s">
        <v>339</v>
      </c>
      <c r="F232" s="21" t="str">
        <f t="shared" si="6"/>
        <v>rtdc.l.rtdc.4051:itc</v>
      </c>
      <c r="G232" s="8">
        <f t="shared" si="7"/>
        <v>42699.910868055558</v>
      </c>
    </row>
    <row r="233" spans="1:7" x14ac:dyDescent="0.25">
      <c r="A233" s="8">
        <v>42699.916064814817</v>
      </c>
      <c r="B233" t="s">
        <v>243</v>
      </c>
      <c r="C233" t="s">
        <v>343</v>
      </c>
      <c r="D233">
        <v>1800000</v>
      </c>
      <c r="E233" t="s">
        <v>338</v>
      </c>
      <c r="F233" s="21" t="str">
        <f t="shared" si="6"/>
        <v>rtdc.l.rtdc.4014:itc</v>
      </c>
      <c r="G233" s="8">
        <f t="shared" si="7"/>
        <v>42699.916064814817</v>
      </c>
    </row>
    <row r="234" spans="1:7" x14ac:dyDescent="0.25">
      <c r="A234" s="8">
        <v>42699.918020833335</v>
      </c>
      <c r="B234" t="s">
        <v>291</v>
      </c>
      <c r="C234" t="s">
        <v>344</v>
      </c>
      <c r="D234">
        <v>2610000</v>
      </c>
      <c r="E234" t="s">
        <v>226</v>
      </c>
      <c r="F234" s="21" t="str">
        <f t="shared" si="6"/>
        <v>rtdc.l.rtdc.4003:itc</v>
      </c>
      <c r="G234" s="8">
        <f t="shared" si="7"/>
        <v>42699.918020833335</v>
      </c>
    </row>
    <row r="235" spans="1:7" x14ac:dyDescent="0.25">
      <c r="A235" s="8">
        <v>42699.922662037039</v>
      </c>
      <c r="B235" t="s">
        <v>261</v>
      </c>
      <c r="C235" t="s">
        <v>345</v>
      </c>
      <c r="D235">
        <v>2630000</v>
      </c>
      <c r="E235" t="s">
        <v>277</v>
      </c>
      <c r="F235" s="21" t="str">
        <f t="shared" si="6"/>
        <v>rtdc.l.rtdc.4045:itc</v>
      </c>
      <c r="G235" s="8">
        <f t="shared" si="7"/>
        <v>42699.922662037039</v>
      </c>
    </row>
    <row r="236" spans="1:7" x14ac:dyDescent="0.25">
      <c r="A236" s="8">
        <v>42699.926388888889</v>
      </c>
      <c r="B236" t="s">
        <v>274</v>
      </c>
      <c r="C236" t="s">
        <v>346</v>
      </c>
      <c r="D236">
        <v>2000000</v>
      </c>
      <c r="E236" t="s">
        <v>221</v>
      </c>
      <c r="F236" s="21" t="str">
        <f t="shared" ref="F236:F265" si="8">B236</f>
        <v>rtdc.l.rtdc.4042:itc</v>
      </c>
      <c r="G236" s="8">
        <f t="shared" ref="G236:G265" si="9">A236</f>
        <v>42699.926388888889</v>
      </c>
    </row>
    <row r="237" spans="1:7" x14ac:dyDescent="0.25">
      <c r="A237" s="8">
        <v>42699.932384259257</v>
      </c>
      <c r="B237" t="s">
        <v>157</v>
      </c>
      <c r="C237" t="s">
        <v>341</v>
      </c>
      <c r="D237">
        <v>2530000</v>
      </c>
      <c r="E237" t="s">
        <v>339</v>
      </c>
      <c r="F237" s="21" t="str">
        <f t="shared" si="8"/>
        <v>rtdc.l.rtdc.4052:itc</v>
      </c>
      <c r="G237" s="8">
        <f t="shared" si="9"/>
        <v>42699.932384259257</v>
      </c>
    </row>
    <row r="238" spans="1:7" x14ac:dyDescent="0.25">
      <c r="A238" s="8">
        <v>42699.942499999997</v>
      </c>
      <c r="B238" t="s">
        <v>292</v>
      </c>
      <c r="C238" t="s">
        <v>347</v>
      </c>
      <c r="D238">
        <v>2610000</v>
      </c>
      <c r="E238" t="s">
        <v>226</v>
      </c>
      <c r="F238" s="21" t="str">
        <f t="shared" si="8"/>
        <v>rtdc.l.rtdc.4004:itc</v>
      </c>
      <c r="G238" s="8">
        <f t="shared" si="9"/>
        <v>42699.942499999997</v>
      </c>
    </row>
    <row r="239" spans="1:7" x14ac:dyDescent="0.25">
      <c r="A239" s="8">
        <v>42699.951481481483</v>
      </c>
      <c r="B239" t="s">
        <v>244</v>
      </c>
      <c r="C239" t="s">
        <v>348</v>
      </c>
      <c r="D239">
        <v>1800000</v>
      </c>
      <c r="E239" t="s">
        <v>338</v>
      </c>
      <c r="F239" s="21" t="str">
        <f t="shared" si="8"/>
        <v>rtdc.l.rtdc.4013:itc</v>
      </c>
      <c r="G239" s="8">
        <f t="shared" si="9"/>
        <v>42699.951481481483</v>
      </c>
    </row>
    <row r="240" spans="1:7" x14ac:dyDescent="0.25">
      <c r="A240" s="8">
        <v>42699.9528125</v>
      </c>
      <c r="B240" t="s">
        <v>217</v>
      </c>
      <c r="C240" t="s">
        <v>349</v>
      </c>
      <c r="D240">
        <v>2600000</v>
      </c>
      <c r="E240" t="s">
        <v>276</v>
      </c>
      <c r="F240" s="21" t="str">
        <f t="shared" si="8"/>
        <v>rtdc.l.rtdc.4040:itc</v>
      </c>
      <c r="G240" s="8">
        <f t="shared" si="9"/>
        <v>42699.9528125</v>
      </c>
    </row>
    <row r="241" spans="1:7" x14ac:dyDescent="0.25">
      <c r="A241" s="8">
        <v>42699.954050925924</v>
      </c>
      <c r="B241" t="s">
        <v>156</v>
      </c>
      <c r="C241" t="s">
        <v>340</v>
      </c>
      <c r="D241">
        <v>2530000</v>
      </c>
      <c r="E241" t="s">
        <v>339</v>
      </c>
      <c r="F241" s="21" t="str">
        <f t="shared" si="8"/>
        <v>rtdc.l.rtdc.4051:itc</v>
      </c>
      <c r="G241" s="8">
        <f t="shared" si="9"/>
        <v>42699.954050925924</v>
      </c>
    </row>
    <row r="242" spans="1:7" x14ac:dyDescent="0.25">
      <c r="A242" s="8">
        <v>42699.963761574072</v>
      </c>
      <c r="B242" t="s">
        <v>262</v>
      </c>
      <c r="C242" t="s">
        <v>350</v>
      </c>
      <c r="D242">
        <v>2630000</v>
      </c>
      <c r="E242" t="s">
        <v>277</v>
      </c>
      <c r="F242" s="21" t="str">
        <f t="shared" si="8"/>
        <v>rtdc.l.rtdc.4046:itc</v>
      </c>
      <c r="G242" s="8">
        <f t="shared" si="9"/>
        <v>42699.963761574072</v>
      </c>
    </row>
    <row r="243" spans="1:7" x14ac:dyDescent="0.25">
      <c r="A243" s="8">
        <v>42699.971608796295</v>
      </c>
      <c r="B243" t="s">
        <v>275</v>
      </c>
      <c r="C243" t="s">
        <v>351</v>
      </c>
      <c r="D243">
        <v>2000000</v>
      </c>
      <c r="E243" t="s">
        <v>221</v>
      </c>
      <c r="F243" s="21" t="str">
        <f t="shared" si="8"/>
        <v>rtdc.l.rtdc.4041:itc</v>
      </c>
      <c r="G243" s="8">
        <f t="shared" si="9"/>
        <v>42699.971608796295</v>
      </c>
    </row>
    <row r="244" spans="1:7" x14ac:dyDescent="0.25">
      <c r="A244" s="8">
        <v>42699.974247685182</v>
      </c>
      <c r="B244" t="s">
        <v>157</v>
      </c>
      <c r="C244" t="s">
        <v>341</v>
      </c>
      <c r="D244">
        <v>2530000</v>
      </c>
      <c r="E244" t="s">
        <v>339</v>
      </c>
      <c r="F244" s="21" t="str">
        <f t="shared" si="8"/>
        <v>rtdc.l.rtdc.4052:itc</v>
      </c>
      <c r="G244" s="8">
        <f t="shared" si="9"/>
        <v>42699.974247685182</v>
      </c>
    </row>
    <row r="245" spans="1:7" x14ac:dyDescent="0.25">
      <c r="A245" s="8">
        <v>42699.978321759256</v>
      </c>
      <c r="B245" t="s">
        <v>262</v>
      </c>
      <c r="C245" t="s">
        <v>350</v>
      </c>
      <c r="D245">
        <v>2630000</v>
      </c>
      <c r="E245" t="s">
        <v>277</v>
      </c>
      <c r="F245" s="21" t="str">
        <f t="shared" si="8"/>
        <v>rtdc.l.rtdc.4046:itc</v>
      </c>
      <c r="G245" s="8">
        <f t="shared" si="9"/>
        <v>42699.978321759256</v>
      </c>
    </row>
    <row r="246" spans="1:7" x14ac:dyDescent="0.25">
      <c r="A246" s="8">
        <v>42699.992013888892</v>
      </c>
      <c r="B246" t="s">
        <v>243</v>
      </c>
      <c r="C246" t="s">
        <v>352</v>
      </c>
      <c r="D246">
        <v>1800000</v>
      </c>
      <c r="E246" t="s">
        <v>338</v>
      </c>
      <c r="F246" s="21" t="str">
        <f t="shared" si="8"/>
        <v>rtdc.l.rtdc.4014:itc</v>
      </c>
      <c r="G246" s="8">
        <f t="shared" si="9"/>
        <v>42699.992013888892</v>
      </c>
    </row>
    <row r="247" spans="1:7" x14ac:dyDescent="0.25">
      <c r="A247" s="8">
        <v>42699.99428240741</v>
      </c>
      <c r="B247" t="s">
        <v>219</v>
      </c>
      <c r="C247" t="s">
        <v>353</v>
      </c>
      <c r="D247">
        <v>2600000</v>
      </c>
      <c r="E247" t="s">
        <v>276</v>
      </c>
      <c r="F247" s="21" t="str">
        <f t="shared" si="8"/>
        <v>rtdc.l.rtdc.4039:itc</v>
      </c>
      <c r="G247" s="8">
        <f t="shared" si="9"/>
        <v>42699.99428240741</v>
      </c>
    </row>
    <row r="248" spans="1:7" x14ac:dyDescent="0.25">
      <c r="A248" s="8">
        <v>42700.005150462966</v>
      </c>
      <c r="B248" t="s">
        <v>274</v>
      </c>
      <c r="C248" t="s">
        <v>354</v>
      </c>
      <c r="D248">
        <v>2000000</v>
      </c>
      <c r="E248" t="s">
        <v>221</v>
      </c>
      <c r="F248" s="21" t="str">
        <f t="shared" si="8"/>
        <v>rtdc.l.rtdc.4042:itc</v>
      </c>
      <c r="G248" s="8">
        <f t="shared" si="9"/>
        <v>42700.005150462966</v>
      </c>
    </row>
    <row r="249" spans="1:7" x14ac:dyDescent="0.25">
      <c r="A249" s="8">
        <v>42700.015486111108</v>
      </c>
      <c r="B249" t="s">
        <v>261</v>
      </c>
      <c r="C249" t="s">
        <v>355</v>
      </c>
      <c r="D249">
        <v>2630000</v>
      </c>
      <c r="E249" t="s">
        <v>277</v>
      </c>
      <c r="F249" s="21" t="str">
        <f t="shared" si="8"/>
        <v>rtdc.l.rtdc.4045:itc</v>
      </c>
      <c r="G249" s="8">
        <f t="shared" si="9"/>
        <v>42700.015486111108</v>
      </c>
    </row>
    <row r="250" spans="1:7" x14ac:dyDescent="0.25">
      <c r="A250" s="8">
        <v>42700.022650462961</v>
      </c>
      <c r="B250" t="s">
        <v>156</v>
      </c>
      <c r="C250" t="s">
        <v>340</v>
      </c>
      <c r="D250">
        <v>2530000</v>
      </c>
      <c r="E250" t="s">
        <v>339</v>
      </c>
      <c r="F250" s="21" t="str">
        <f t="shared" si="8"/>
        <v>rtdc.l.rtdc.4051:itc</v>
      </c>
      <c r="G250" s="8">
        <f t="shared" si="9"/>
        <v>42700.022650462961</v>
      </c>
    </row>
    <row r="251" spans="1:7" x14ac:dyDescent="0.25">
      <c r="A251" s="8">
        <v>42700.032500000001</v>
      </c>
      <c r="B251" t="s">
        <v>244</v>
      </c>
      <c r="C251" t="s">
        <v>335</v>
      </c>
      <c r="D251">
        <v>1800000</v>
      </c>
      <c r="E251" t="s">
        <v>338</v>
      </c>
      <c r="F251" s="21" t="str">
        <f t="shared" si="8"/>
        <v>rtdc.l.rtdc.4013:itc</v>
      </c>
      <c r="G251" s="8">
        <f t="shared" si="9"/>
        <v>42700.032500000001</v>
      </c>
    </row>
    <row r="252" spans="1:7" x14ac:dyDescent="0.25">
      <c r="A252" s="8">
        <v>42700.037488425929</v>
      </c>
      <c r="B252" t="s">
        <v>217</v>
      </c>
      <c r="C252" t="s">
        <v>356</v>
      </c>
      <c r="D252">
        <v>2600000</v>
      </c>
      <c r="E252" t="s">
        <v>276</v>
      </c>
      <c r="F252" s="21" t="str">
        <f t="shared" si="8"/>
        <v>rtdc.l.rtdc.4040:itc</v>
      </c>
      <c r="G252" s="8">
        <f t="shared" si="9"/>
        <v>42700.037488425929</v>
      </c>
    </row>
    <row r="253" spans="1:7" x14ac:dyDescent="0.25">
      <c r="A253" s="8">
        <v>42700.045208333337</v>
      </c>
      <c r="B253" t="s">
        <v>157</v>
      </c>
      <c r="C253" t="s">
        <v>341</v>
      </c>
      <c r="D253">
        <v>2530000</v>
      </c>
      <c r="E253" t="s">
        <v>339</v>
      </c>
      <c r="F253" s="21" t="str">
        <f t="shared" si="8"/>
        <v>rtdc.l.rtdc.4052:itc</v>
      </c>
      <c r="G253" s="8">
        <f t="shared" si="9"/>
        <v>42700.045208333337</v>
      </c>
    </row>
    <row r="254" spans="1:7" x14ac:dyDescent="0.25">
      <c r="A254" s="8">
        <v>42700.045347222222</v>
      </c>
      <c r="B254" t="s">
        <v>262</v>
      </c>
      <c r="C254" t="s">
        <v>357</v>
      </c>
      <c r="D254">
        <v>2630000</v>
      </c>
      <c r="E254" t="s">
        <v>277</v>
      </c>
      <c r="F254" s="21" t="str">
        <f t="shared" si="8"/>
        <v>rtdc.l.rtdc.4046:itc</v>
      </c>
      <c r="G254" s="8">
        <f t="shared" si="9"/>
        <v>42700.045347222222</v>
      </c>
    </row>
    <row r="255" spans="1:7" x14ac:dyDescent="0.25">
      <c r="A255" s="8">
        <v>42700.053495370368</v>
      </c>
      <c r="B255" t="s">
        <v>275</v>
      </c>
      <c r="C255" t="s">
        <v>358</v>
      </c>
      <c r="D255">
        <v>2000000</v>
      </c>
      <c r="E255" t="s">
        <v>221</v>
      </c>
      <c r="F255" s="21" t="str">
        <f t="shared" si="8"/>
        <v>rtdc.l.rtdc.4041:itc</v>
      </c>
      <c r="G255" s="8">
        <f t="shared" si="9"/>
        <v>42700.053495370368</v>
      </c>
    </row>
    <row r="256" spans="1:7" x14ac:dyDescent="0.25">
      <c r="A256" s="8">
        <v>42700.064895833333</v>
      </c>
      <c r="B256" t="s">
        <v>156</v>
      </c>
      <c r="C256" t="s">
        <v>340</v>
      </c>
      <c r="D256">
        <v>2530000</v>
      </c>
      <c r="E256" t="s">
        <v>339</v>
      </c>
      <c r="F256" s="21" t="str">
        <f t="shared" si="8"/>
        <v>rtdc.l.rtdc.4051:itc</v>
      </c>
      <c r="G256" s="8">
        <f t="shared" si="9"/>
        <v>42700.064895833333</v>
      </c>
    </row>
    <row r="257" spans="1:7" x14ac:dyDescent="0.25">
      <c r="A257" s="8">
        <v>42700.072881944441</v>
      </c>
      <c r="B257" t="s">
        <v>243</v>
      </c>
      <c r="C257" t="s">
        <v>359</v>
      </c>
      <c r="D257">
        <v>1800000</v>
      </c>
      <c r="E257" t="s">
        <v>338</v>
      </c>
      <c r="F257" s="21" t="str">
        <f t="shared" si="8"/>
        <v>rtdc.l.rtdc.4014:itc</v>
      </c>
      <c r="G257" s="8">
        <f t="shared" si="9"/>
        <v>42700.072881944441</v>
      </c>
    </row>
    <row r="258" spans="1:7" x14ac:dyDescent="0.25">
      <c r="A258" s="8">
        <v>42700.07576388889</v>
      </c>
      <c r="B258" t="s">
        <v>219</v>
      </c>
      <c r="C258" t="s">
        <v>360</v>
      </c>
      <c r="D258">
        <v>2600000</v>
      </c>
      <c r="E258" t="s">
        <v>276</v>
      </c>
      <c r="F258" s="21" t="str">
        <f t="shared" si="8"/>
        <v>rtdc.l.rtdc.4039:itc</v>
      </c>
      <c r="G258" s="8">
        <f t="shared" si="9"/>
        <v>42700.07576388889</v>
      </c>
    </row>
    <row r="259" spans="1:7" x14ac:dyDescent="0.25">
      <c r="A259" s="8">
        <v>42700.083275462966</v>
      </c>
      <c r="B259" t="s">
        <v>157</v>
      </c>
      <c r="C259" t="s">
        <v>341</v>
      </c>
      <c r="D259">
        <v>2530000</v>
      </c>
      <c r="E259" t="s">
        <v>339</v>
      </c>
      <c r="F259" s="21" t="str">
        <f t="shared" si="8"/>
        <v>rtdc.l.rtdc.4052:itc</v>
      </c>
      <c r="G259" s="8">
        <f t="shared" si="9"/>
        <v>42700.083275462966</v>
      </c>
    </row>
    <row r="260" spans="1:7" x14ac:dyDescent="0.25">
      <c r="A260" s="8">
        <v>42700.08734953704</v>
      </c>
      <c r="B260" t="s">
        <v>274</v>
      </c>
      <c r="C260" t="s">
        <v>361</v>
      </c>
      <c r="D260">
        <v>2000000</v>
      </c>
      <c r="E260" t="s">
        <v>221</v>
      </c>
      <c r="F260" s="21" t="str">
        <f t="shared" si="8"/>
        <v>rtdc.l.rtdc.4042:itc</v>
      </c>
      <c r="G260" s="8">
        <f t="shared" si="9"/>
        <v>42700.08734953704</v>
      </c>
    </row>
    <row r="261" spans="1:7" x14ac:dyDescent="0.25">
      <c r="A261" s="8">
        <v>42700.106736111113</v>
      </c>
      <c r="B261" t="s">
        <v>156</v>
      </c>
      <c r="C261" t="s">
        <v>340</v>
      </c>
      <c r="D261">
        <v>2530000</v>
      </c>
      <c r="E261" t="s">
        <v>339</v>
      </c>
      <c r="F261" s="21" t="str">
        <f t="shared" si="8"/>
        <v>rtdc.l.rtdc.4051:itc</v>
      </c>
      <c r="G261" s="8">
        <f t="shared" si="9"/>
        <v>42700.106736111113</v>
      </c>
    </row>
    <row r="262" spans="1:7" x14ac:dyDescent="0.25">
      <c r="A262" s="8">
        <v>42700.111076388886</v>
      </c>
      <c r="B262" t="s">
        <v>217</v>
      </c>
      <c r="C262" t="s">
        <v>362</v>
      </c>
      <c r="D262">
        <v>2600000</v>
      </c>
      <c r="E262" t="s">
        <v>276</v>
      </c>
      <c r="F262" s="21" t="str">
        <f t="shared" si="8"/>
        <v>rtdc.l.rtdc.4040:itc</v>
      </c>
      <c r="G262" s="8">
        <f t="shared" si="9"/>
        <v>42700.111076388886</v>
      </c>
    </row>
    <row r="263" spans="1:7" x14ac:dyDescent="0.25">
      <c r="A263" s="8">
        <v>42685.016226851854</v>
      </c>
      <c r="B263" t="s">
        <v>214</v>
      </c>
      <c r="C263" t="s">
        <v>232</v>
      </c>
      <c r="D263">
        <v>2000000</v>
      </c>
      <c r="E263" t="s">
        <v>221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228</v>
      </c>
      <c r="C264" t="s">
        <v>233</v>
      </c>
      <c r="D264">
        <v>2550000</v>
      </c>
      <c r="E264" t="s">
        <v>225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231</v>
      </c>
      <c r="C265" t="s">
        <v>234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224</v>
      </c>
      <c r="C266" t="s">
        <v>235</v>
      </c>
      <c r="D266">
        <v>2420000</v>
      </c>
      <c r="E266" t="s">
        <v>229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222</v>
      </c>
      <c r="C267" t="s">
        <v>236</v>
      </c>
      <c r="D267">
        <v>2000000</v>
      </c>
      <c r="E267" t="s">
        <v>221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230</v>
      </c>
      <c r="C268" t="s">
        <v>237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188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189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188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188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188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G34" sqref="G34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  <c r="R1"/>
    </row>
    <row r="2" spans="1:18" x14ac:dyDescent="0.25">
      <c r="A2" s="165">
        <v>31.12</v>
      </c>
      <c r="B2" s="165">
        <v>0.22</v>
      </c>
      <c r="C2" s="165">
        <v>11.27</v>
      </c>
      <c r="D2" s="8">
        <v>42700</v>
      </c>
      <c r="E2" s="165">
        <v>0.37</v>
      </c>
      <c r="F2" s="165" t="s">
        <v>285</v>
      </c>
      <c r="G2" s="165">
        <v>272.39</v>
      </c>
      <c r="H2" s="165">
        <v>0</v>
      </c>
      <c r="I2" s="165">
        <v>0</v>
      </c>
      <c r="J2" s="165">
        <v>1023.83</v>
      </c>
      <c r="K2" s="165" t="s">
        <v>286</v>
      </c>
      <c r="L2" s="165">
        <v>34.869999999999997</v>
      </c>
      <c r="M2" s="165">
        <v>1480143600</v>
      </c>
      <c r="N2" s="165">
        <v>5.54</v>
      </c>
      <c r="O2" s="165">
        <v>235</v>
      </c>
      <c r="P2" s="165">
        <v>4.2699999999999996</v>
      </c>
      <c r="Q2"/>
      <c r="R2"/>
    </row>
    <row r="3" spans="1:18" x14ac:dyDescent="0.25">
      <c r="A3" s="165">
        <v>33.15</v>
      </c>
      <c r="B3" s="165">
        <v>0.28000000000000003</v>
      </c>
      <c r="C3" s="165">
        <v>12.76</v>
      </c>
      <c r="D3" s="8">
        <v>42700.041666666664</v>
      </c>
      <c r="E3" s="165">
        <v>0.38</v>
      </c>
      <c r="F3" s="165" t="s">
        <v>602</v>
      </c>
      <c r="G3" s="165">
        <v>272.3</v>
      </c>
      <c r="H3" s="165">
        <v>0</v>
      </c>
      <c r="I3" s="165">
        <v>0</v>
      </c>
      <c r="J3" s="165">
        <v>1024.43</v>
      </c>
      <c r="K3" s="165" t="s">
        <v>603</v>
      </c>
      <c r="L3" s="165">
        <v>35.56</v>
      </c>
      <c r="M3" s="165">
        <v>1480147200</v>
      </c>
      <c r="N3" s="165">
        <v>5.22</v>
      </c>
      <c r="O3" s="165">
        <v>247</v>
      </c>
      <c r="P3" s="165">
        <v>3.15</v>
      </c>
      <c r="Q3"/>
      <c r="R3"/>
    </row>
    <row r="4" spans="1:18" x14ac:dyDescent="0.25">
      <c r="A4" s="165">
        <v>31.18</v>
      </c>
      <c r="B4" s="165">
        <v>0.31</v>
      </c>
      <c r="C4" s="165">
        <v>9.2799999999999994</v>
      </c>
      <c r="D4" s="8">
        <v>42700.083333333336</v>
      </c>
      <c r="E4" s="165">
        <v>0.39</v>
      </c>
      <c r="F4" s="165" t="s">
        <v>602</v>
      </c>
      <c r="G4" s="165">
        <v>272.22000000000003</v>
      </c>
      <c r="H4" s="165">
        <v>0</v>
      </c>
      <c r="I4" s="165">
        <v>0</v>
      </c>
      <c r="J4" s="165">
        <v>1024.92</v>
      </c>
      <c r="K4" s="165" t="s">
        <v>603</v>
      </c>
      <c r="L4" s="165">
        <v>31.18</v>
      </c>
      <c r="M4" s="165">
        <v>1480150800</v>
      </c>
      <c r="N4" s="165">
        <v>4.1900000000000004</v>
      </c>
      <c r="O4" s="165">
        <v>258</v>
      </c>
      <c r="P4" s="165">
        <v>2.4300000000000002</v>
      </c>
      <c r="Q4"/>
      <c r="R4"/>
    </row>
    <row r="5" spans="1:18" x14ac:dyDescent="0.25">
      <c r="A5" s="165">
        <v>33.57</v>
      </c>
      <c r="B5" s="165">
        <v>0.33</v>
      </c>
      <c r="C5" s="165">
        <v>10.59</v>
      </c>
      <c r="D5" s="8">
        <v>42700.125</v>
      </c>
      <c r="E5" s="165">
        <v>0.38</v>
      </c>
      <c r="F5" s="165" t="s">
        <v>602</v>
      </c>
      <c r="G5" s="165">
        <v>271.95</v>
      </c>
      <c r="H5" s="165">
        <v>0</v>
      </c>
      <c r="I5" s="165">
        <v>0</v>
      </c>
      <c r="J5" s="165">
        <v>1024.72</v>
      </c>
      <c r="K5" s="165" t="s">
        <v>603</v>
      </c>
      <c r="L5" s="165">
        <v>33.57</v>
      </c>
      <c r="M5" s="165">
        <v>1480154400</v>
      </c>
      <c r="N5" s="165">
        <v>3.63</v>
      </c>
      <c r="O5" s="165">
        <v>259</v>
      </c>
      <c r="P5" s="165">
        <v>2.13</v>
      </c>
      <c r="Q5"/>
      <c r="R5"/>
    </row>
    <row r="6" spans="1:18" x14ac:dyDescent="0.25">
      <c r="A6" s="165">
        <v>26.8</v>
      </c>
      <c r="B6" s="165">
        <v>0.35</v>
      </c>
      <c r="C6" s="165">
        <v>7.1</v>
      </c>
      <c r="D6" s="8">
        <v>42700.166666666664</v>
      </c>
      <c r="E6" s="165">
        <v>0.37</v>
      </c>
      <c r="F6" s="165" t="s">
        <v>602</v>
      </c>
      <c r="G6" s="165">
        <v>271.61</v>
      </c>
      <c r="H6" s="165">
        <v>0</v>
      </c>
      <c r="I6" s="165">
        <v>0</v>
      </c>
      <c r="J6" s="165">
        <v>1024.19</v>
      </c>
      <c r="K6" s="165" t="s">
        <v>603</v>
      </c>
      <c r="L6" s="165">
        <v>30.18</v>
      </c>
      <c r="M6" s="165">
        <v>1480158000</v>
      </c>
      <c r="N6" s="165">
        <v>3.82</v>
      </c>
      <c r="O6" s="165">
        <v>244</v>
      </c>
      <c r="P6" s="165">
        <v>3.33</v>
      </c>
      <c r="Q6"/>
      <c r="R6"/>
    </row>
    <row r="7" spans="1:18" x14ac:dyDescent="0.25">
      <c r="A7" s="165">
        <v>31</v>
      </c>
      <c r="B7" s="165">
        <v>0.38</v>
      </c>
      <c r="C7" s="165">
        <v>8.01</v>
      </c>
      <c r="D7" s="8">
        <v>42700.208333333336</v>
      </c>
      <c r="E7" s="165">
        <v>0.37</v>
      </c>
      <c r="F7" s="165" t="s">
        <v>602</v>
      </c>
      <c r="G7" s="165">
        <v>271.26</v>
      </c>
      <c r="H7" s="165">
        <v>0</v>
      </c>
      <c r="I7" s="165">
        <v>0</v>
      </c>
      <c r="J7" s="165">
        <v>1023.81</v>
      </c>
      <c r="K7" s="165" t="s">
        <v>603</v>
      </c>
      <c r="L7" s="165">
        <v>31</v>
      </c>
      <c r="M7" s="165">
        <v>1480161600</v>
      </c>
      <c r="N7" s="165">
        <v>5.7</v>
      </c>
      <c r="O7" s="165">
        <v>208</v>
      </c>
      <c r="P7" s="165">
        <v>2.57</v>
      </c>
      <c r="Q7"/>
      <c r="R7"/>
    </row>
    <row r="8" spans="1:18" x14ac:dyDescent="0.25">
      <c r="A8" s="165">
        <v>27.56</v>
      </c>
      <c r="B8" s="165">
        <v>0.43</v>
      </c>
      <c r="C8" s="165">
        <v>8.3000000000000007</v>
      </c>
      <c r="D8" s="8">
        <v>42700.25</v>
      </c>
      <c r="E8" s="165">
        <v>0.38</v>
      </c>
      <c r="F8" s="165" t="s">
        <v>602</v>
      </c>
      <c r="G8" s="165">
        <v>271.08999999999997</v>
      </c>
      <c r="H8" s="165">
        <v>0</v>
      </c>
      <c r="I8" s="165">
        <v>0</v>
      </c>
      <c r="J8" s="165">
        <v>1024.1400000000001</v>
      </c>
      <c r="K8" s="165" t="s">
        <v>603</v>
      </c>
      <c r="L8" s="165">
        <v>31.21</v>
      </c>
      <c r="M8" s="165">
        <v>1480165200</v>
      </c>
      <c r="N8" s="165">
        <v>3.78</v>
      </c>
      <c r="O8" s="165">
        <v>220</v>
      </c>
      <c r="P8" s="165">
        <v>3.66</v>
      </c>
      <c r="Q8"/>
      <c r="R8"/>
    </row>
    <row r="9" spans="1:18" x14ac:dyDescent="0.25">
      <c r="A9" s="165">
        <v>30.17</v>
      </c>
      <c r="B9" s="165">
        <v>0.48</v>
      </c>
      <c r="C9" s="165">
        <v>11.82</v>
      </c>
      <c r="D9" s="8">
        <v>42700.291666666664</v>
      </c>
      <c r="E9" s="165">
        <v>0.4</v>
      </c>
      <c r="F9" s="165" t="s">
        <v>602</v>
      </c>
      <c r="G9" s="165">
        <v>270.92</v>
      </c>
      <c r="H9" s="165">
        <v>0</v>
      </c>
      <c r="I9" s="165">
        <v>0</v>
      </c>
      <c r="J9" s="165">
        <v>1024.3499999999999</v>
      </c>
      <c r="K9" s="165" t="s">
        <v>603</v>
      </c>
      <c r="L9" s="165">
        <v>33.43</v>
      </c>
      <c r="M9" s="165">
        <v>1480168800</v>
      </c>
      <c r="N9" s="165">
        <v>3.12</v>
      </c>
      <c r="O9" s="165">
        <v>219</v>
      </c>
      <c r="P9" s="165">
        <v>3.61</v>
      </c>
      <c r="Q9"/>
      <c r="R9"/>
    </row>
    <row r="10" spans="1:18" x14ac:dyDescent="0.25">
      <c r="A10" s="165">
        <v>30.14</v>
      </c>
      <c r="B10" s="165">
        <v>0.52</v>
      </c>
      <c r="C10" s="165">
        <v>10.96</v>
      </c>
      <c r="D10" s="8">
        <v>42700.333333333336</v>
      </c>
      <c r="E10" s="165">
        <v>0.39</v>
      </c>
      <c r="F10" s="165" t="s">
        <v>604</v>
      </c>
      <c r="G10" s="165">
        <v>270.27</v>
      </c>
      <c r="H10" s="165">
        <v>0</v>
      </c>
      <c r="I10" s="165">
        <v>0</v>
      </c>
      <c r="J10" s="165">
        <v>1023.96</v>
      </c>
      <c r="K10" s="165" t="s">
        <v>603</v>
      </c>
      <c r="L10" s="165">
        <v>33.06</v>
      </c>
      <c r="M10" s="165">
        <v>1480172400</v>
      </c>
      <c r="N10" s="165">
        <v>2.86</v>
      </c>
      <c r="O10" s="165">
        <v>218</v>
      </c>
      <c r="P10" s="165">
        <v>3.28</v>
      </c>
      <c r="Q10"/>
      <c r="R10"/>
    </row>
    <row r="11" spans="1:18" x14ac:dyDescent="0.25">
      <c r="A11" s="165">
        <v>37.85</v>
      </c>
      <c r="B11" s="165">
        <v>0.59</v>
      </c>
      <c r="C11" s="165">
        <v>13.5</v>
      </c>
      <c r="D11" s="8">
        <v>42700.375</v>
      </c>
      <c r="E11" s="165">
        <v>0.36</v>
      </c>
      <c r="F11" s="165" t="s">
        <v>604</v>
      </c>
      <c r="G11" s="165">
        <v>268.68</v>
      </c>
      <c r="H11" s="165">
        <v>0</v>
      </c>
      <c r="I11" s="165">
        <v>0</v>
      </c>
      <c r="J11" s="165">
        <v>1022.48</v>
      </c>
      <c r="K11" s="165" t="s">
        <v>603</v>
      </c>
      <c r="L11" s="165">
        <v>37.85</v>
      </c>
      <c r="M11" s="165">
        <v>1480176000</v>
      </c>
      <c r="N11" s="165">
        <v>2.76</v>
      </c>
      <c r="O11" s="165">
        <v>219</v>
      </c>
      <c r="P11" s="165">
        <v>3</v>
      </c>
      <c r="Q11"/>
      <c r="R11"/>
    </row>
    <row r="12" spans="1:18" x14ac:dyDescent="0.25">
      <c r="A12" s="165">
        <v>45.3</v>
      </c>
      <c r="B12" s="165">
        <v>0.62</v>
      </c>
      <c r="C12" s="165">
        <v>15.8</v>
      </c>
      <c r="D12" s="8">
        <v>42700.416666666664</v>
      </c>
      <c r="E12" s="165">
        <v>0.3</v>
      </c>
      <c r="F12" s="165" t="s">
        <v>604</v>
      </c>
      <c r="G12" s="165">
        <v>266.62</v>
      </c>
      <c r="H12" s="165">
        <v>0</v>
      </c>
      <c r="I12" s="165">
        <v>0</v>
      </c>
      <c r="J12" s="165">
        <v>1020.15</v>
      </c>
      <c r="K12" s="165" t="s">
        <v>605</v>
      </c>
      <c r="L12" s="165">
        <v>45.3</v>
      </c>
      <c r="M12" s="165">
        <v>1480179600</v>
      </c>
      <c r="N12" s="165">
        <v>2.73</v>
      </c>
      <c r="O12" s="165">
        <v>222</v>
      </c>
      <c r="P12" s="165">
        <v>2.61</v>
      </c>
      <c r="Q12"/>
      <c r="R12"/>
    </row>
    <row r="13" spans="1:18" x14ac:dyDescent="0.25">
      <c r="A13" s="165">
        <v>49.81</v>
      </c>
      <c r="B13" s="165">
        <v>0.63</v>
      </c>
      <c r="C13" s="165">
        <v>11.79</v>
      </c>
      <c r="D13" s="8">
        <v>42700.458333333336</v>
      </c>
      <c r="E13" s="165">
        <v>0.21</v>
      </c>
      <c r="F13" s="165" t="s">
        <v>604</v>
      </c>
      <c r="G13" s="165">
        <v>264.97000000000003</v>
      </c>
      <c r="H13" s="165">
        <v>0</v>
      </c>
      <c r="I13" s="165">
        <v>0</v>
      </c>
      <c r="J13" s="165">
        <v>1018.41</v>
      </c>
      <c r="K13" s="165" t="s">
        <v>605</v>
      </c>
      <c r="L13" s="165">
        <v>49.81</v>
      </c>
      <c r="M13" s="165">
        <v>1480183200</v>
      </c>
      <c r="N13" s="165">
        <v>2.72</v>
      </c>
      <c r="O13" s="165">
        <v>202</v>
      </c>
      <c r="P13" s="165">
        <v>2.19</v>
      </c>
      <c r="Q13"/>
      <c r="R13"/>
    </row>
    <row r="14" spans="1:18" x14ac:dyDescent="0.25">
      <c r="A14" s="165">
        <v>55.65</v>
      </c>
      <c r="B14" s="165">
        <v>0.53</v>
      </c>
      <c r="C14" s="165">
        <v>8.15</v>
      </c>
      <c r="D14" s="8">
        <v>42700.5</v>
      </c>
      <c r="E14" s="165">
        <v>0.15</v>
      </c>
      <c r="F14" s="165" t="s">
        <v>604</v>
      </c>
      <c r="G14" s="165">
        <v>264.23</v>
      </c>
      <c r="H14" s="165">
        <v>0</v>
      </c>
      <c r="I14" s="165">
        <v>0</v>
      </c>
      <c r="J14" s="165">
        <v>1017.19</v>
      </c>
      <c r="K14" s="165" t="s">
        <v>603</v>
      </c>
      <c r="L14" s="165">
        <v>55.65</v>
      </c>
      <c r="M14" s="165">
        <v>1480186800</v>
      </c>
      <c r="N14" s="165">
        <v>2.73</v>
      </c>
      <c r="O14" s="165">
        <v>166</v>
      </c>
      <c r="P14" s="165">
        <v>1.28</v>
      </c>
      <c r="Q14"/>
      <c r="R14"/>
    </row>
    <row r="15" spans="1:18" x14ac:dyDescent="0.25">
      <c r="A15" s="165">
        <v>57.8</v>
      </c>
      <c r="B15" s="165">
        <v>0.38</v>
      </c>
      <c r="C15" s="165">
        <v>5.52</v>
      </c>
      <c r="D15" s="8">
        <v>42700.541666666664</v>
      </c>
      <c r="E15" s="165">
        <v>0.12</v>
      </c>
      <c r="F15" s="165" t="s">
        <v>604</v>
      </c>
      <c r="G15" s="165">
        <v>263.89999999999998</v>
      </c>
      <c r="H15" s="165">
        <v>0</v>
      </c>
      <c r="I15" s="165">
        <v>0</v>
      </c>
      <c r="J15" s="165">
        <v>1016.13</v>
      </c>
      <c r="K15" s="165" t="s">
        <v>603</v>
      </c>
      <c r="L15" s="165">
        <v>57.8</v>
      </c>
      <c r="M15" s="165">
        <v>1480190400</v>
      </c>
      <c r="N15" s="165">
        <v>2.78</v>
      </c>
      <c r="O15" s="165">
        <v>161</v>
      </c>
      <c r="P15" s="165">
        <v>2.8</v>
      </c>
      <c r="Q15"/>
      <c r="R15"/>
    </row>
    <row r="16" spans="1:18" x14ac:dyDescent="0.25">
      <c r="A16" s="165">
        <v>58.81</v>
      </c>
      <c r="B16" s="165">
        <v>0.27</v>
      </c>
      <c r="C16" s="165">
        <v>6.35</v>
      </c>
      <c r="D16" s="8">
        <v>42700.583333333336</v>
      </c>
      <c r="E16" s="165">
        <v>0.12</v>
      </c>
      <c r="F16" s="165" t="s">
        <v>604</v>
      </c>
      <c r="G16" s="165">
        <v>263.37</v>
      </c>
      <c r="H16" s="165">
        <v>0</v>
      </c>
      <c r="I16" s="165">
        <v>0</v>
      </c>
      <c r="J16" s="165">
        <v>1015.22</v>
      </c>
      <c r="K16" s="165" t="s">
        <v>603</v>
      </c>
      <c r="L16" s="165">
        <v>58.81</v>
      </c>
      <c r="M16" s="165">
        <v>1480194000</v>
      </c>
      <c r="N16" s="165">
        <v>2.88</v>
      </c>
      <c r="O16" s="165">
        <v>139</v>
      </c>
      <c r="P16" s="165">
        <v>2.54</v>
      </c>
      <c r="Q16"/>
      <c r="R16"/>
    </row>
    <row r="17" spans="1:18" x14ac:dyDescent="0.25">
      <c r="A17" s="165">
        <v>57.32</v>
      </c>
      <c r="B17" s="165">
        <v>0.24</v>
      </c>
      <c r="C17" s="165">
        <v>4.83</v>
      </c>
      <c r="D17" s="8">
        <v>42700.625</v>
      </c>
      <c r="E17" s="165">
        <v>0.12</v>
      </c>
      <c r="F17" s="165" t="s">
        <v>296</v>
      </c>
      <c r="G17" s="165">
        <v>262.49</v>
      </c>
      <c r="H17" s="165">
        <v>0</v>
      </c>
      <c r="I17" s="165">
        <v>0</v>
      </c>
      <c r="J17" s="165">
        <v>1014.47</v>
      </c>
      <c r="K17" s="165" t="s">
        <v>286</v>
      </c>
      <c r="L17" s="165">
        <v>57.32</v>
      </c>
      <c r="M17" s="165">
        <v>1480197600</v>
      </c>
      <c r="N17" s="165">
        <v>2.79</v>
      </c>
      <c r="O17" s="165">
        <v>145</v>
      </c>
      <c r="P17" s="165">
        <v>3.14</v>
      </c>
      <c r="Q17"/>
      <c r="R17"/>
    </row>
    <row r="18" spans="1:18" x14ac:dyDescent="0.25">
      <c r="A18" s="165">
        <v>52.85</v>
      </c>
      <c r="B18" s="165">
        <v>0.23</v>
      </c>
      <c r="C18" s="165">
        <v>2.0499999999999998</v>
      </c>
      <c r="D18" s="8">
        <v>42700.666666666664</v>
      </c>
      <c r="E18" s="165">
        <v>0.12</v>
      </c>
      <c r="F18" s="165" t="s">
        <v>296</v>
      </c>
      <c r="G18" s="165">
        <v>261.39999999999998</v>
      </c>
      <c r="H18" s="165">
        <v>0</v>
      </c>
      <c r="I18" s="165">
        <v>0</v>
      </c>
      <c r="J18" s="165">
        <v>1013.9</v>
      </c>
      <c r="K18" s="165" t="s">
        <v>286</v>
      </c>
      <c r="L18" s="165">
        <v>52.85</v>
      </c>
      <c r="M18" s="165">
        <v>1480201200</v>
      </c>
      <c r="N18" s="165">
        <v>5.22</v>
      </c>
      <c r="O18" s="165">
        <v>102</v>
      </c>
      <c r="P18" s="165">
        <v>3.72</v>
      </c>
      <c r="Q18"/>
      <c r="R18"/>
    </row>
    <row r="19" spans="1:18" x14ac:dyDescent="0.25">
      <c r="A19" s="165">
        <v>47.55</v>
      </c>
      <c r="B19" s="165">
        <v>0.18</v>
      </c>
      <c r="C19" s="165">
        <v>3.41</v>
      </c>
      <c r="D19" s="8">
        <v>42700.708333333336</v>
      </c>
      <c r="E19" s="165">
        <v>0.15</v>
      </c>
      <c r="F19" s="165" t="s">
        <v>285</v>
      </c>
      <c r="G19" s="165">
        <v>259.98</v>
      </c>
      <c r="H19" s="165">
        <v>0</v>
      </c>
      <c r="I19" s="165">
        <v>0</v>
      </c>
      <c r="J19" s="165">
        <v>1013.45</v>
      </c>
      <c r="K19" s="165" t="s">
        <v>286</v>
      </c>
      <c r="L19" s="165">
        <v>48.81</v>
      </c>
      <c r="M19" s="165">
        <v>1480204800</v>
      </c>
      <c r="N19" s="165">
        <v>5.44</v>
      </c>
      <c r="O19" s="165">
        <v>136</v>
      </c>
      <c r="P19" s="165">
        <v>3.92</v>
      </c>
      <c r="Q19"/>
      <c r="R19"/>
    </row>
    <row r="20" spans="1:18" x14ac:dyDescent="0.25">
      <c r="A20" s="165">
        <v>45.29</v>
      </c>
      <c r="B20" s="165">
        <v>0.37</v>
      </c>
      <c r="C20" s="165">
        <v>5.1100000000000003</v>
      </c>
      <c r="D20" s="8">
        <v>42700.75</v>
      </c>
      <c r="E20" s="165">
        <v>0.19</v>
      </c>
      <c r="F20" s="165" t="s">
        <v>602</v>
      </c>
      <c r="G20" s="165">
        <v>257.99</v>
      </c>
      <c r="H20" s="165">
        <v>0</v>
      </c>
      <c r="I20" s="165">
        <v>0</v>
      </c>
      <c r="J20" s="165">
        <v>1013.32</v>
      </c>
      <c r="K20" s="165" t="s">
        <v>603</v>
      </c>
      <c r="L20" s="165">
        <v>45.29</v>
      </c>
      <c r="M20" s="165">
        <v>1480208400</v>
      </c>
      <c r="N20" s="165">
        <v>6.14</v>
      </c>
      <c r="O20" s="165">
        <v>143</v>
      </c>
      <c r="P20" s="165">
        <v>2.25</v>
      </c>
      <c r="Q20"/>
      <c r="R20"/>
    </row>
    <row r="21" spans="1:18" x14ac:dyDescent="0.25">
      <c r="A21" s="165">
        <v>43.26</v>
      </c>
      <c r="B21" s="165">
        <v>0.48</v>
      </c>
      <c r="C21" s="165">
        <v>7.1</v>
      </c>
      <c r="D21" s="8">
        <v>42700.791666666664</v>
      </c>
      <c r="E21" s="165">
        <v>0.22</v>
      </c>
      <c r="F21" s="165" t="s">
        <v>602</v>
      </c>
      <c r="G21" s="165">
        <v>255.67</v>
      </c>
      <c r="H21" s="165">
        <v>0</v>
      </c>
      <c r="I21" s="165">
        <v>0</v>
      </c>
      <c r="J21" s="165">
        <v>1013.31</v>
      </c>
      <c r="K21" s="165" t="s">
        <v>603</v>
      </c>
      <c r="L21" s="165">
        <v>43.26</v>
      </c>
      <c r="M21" s="165">
        <v>1480212000</v>
      </c>
      <c r="N21" s="165">
        <v>7.29</v>
      </c>
      <c r="O21" s="165">
        <v>177</v>
      </c>
      <c r="P21" s="165">
        <v>2.56</v>
      </c>
      <c r="Q21"/>
      <c r="R21"/>
    </row>
    <row r="22" spans="1:18" x14ac:dyDescent="0.25">
      <c r="A22" s="165">
        <v>42.39</v>
      </c>
      <c r="B22" s="165">
        <v>0.6</v>
      </c>
      <c r="C22" s="165">
        <v>8.67</v>
      </c>
      <c r="D22" s="8">
        <v>42700.833333333336</v>
      </c>
      <c r="E22" s="165">
        <v>0.25</v>
      </c>
      <c r="F22" s="165" t="s">
        <v>602</v>
      </c>
      <c r="G22" s="165">
        <v>253.68</v>
      </c>
      <c r="H22" s="165">
        <v>0</v>
      </c>
      <c r="I22" s="165">
        <v>0</v>
      </c>
      <c r="J22" s="165">
        <v>1012.84</v>
      </c>
      <c r="K22" s="165" t="s">
        <v>605</v>
      </c>
      <c r="L22" s="165">
        <v>42.39</v>
      </c>
      <c r="M22" s="165">
        <v>1480215600</v>
      </c>
      <c r="N22" s="165">
        <v>6.82</v>
      </c>
      <c r="O22" s="165">
        <v>175</v>
      </c>
      <c r="P22" s="165">
        <v>1.57</v>
      </c>
      <c r="Q22"/>
      <c r="R22"/>
    </row>
    <row r="23" spans="1:18" x14ac:dyDescent="0.25">
      <c r="A23" s="165">
        <v>40.19</v>
      </c>
      <c r="B23" s="165">
        <v>0.72</v>
      </c>
      <c r="C23" s="165">
        <v>8.86</v>
      </c>
      <c r="D23" s="8">
        <v>42700.875</v>
      </c>
      <c r="E23" s="165">
        <v>0.27</v>
      </c>
      <c r="F23" s="165" t="s">
        <v>602</v>
      </c>
      <c r="G23" s="165">
        <v>252.22</v>
      </c>
      <c r="H23" s="165">
        <v>0</v>
      </c>
      <c r="I23" s="165">
        <v>0</v>
      </c>
      <c r="J23" s="165">
        <v>1011.54</v>
      </c>
      <c r="K23" s="165" t="s">
        <v>605</v>
      </c>
      <c r="L23" s="165">
        <v>40.19</v>
      </c>
      <c r="M23" s="165">
        <v>1480219200</v>
      </c>
      <c r="N23" s="165">
        <v>6.44</v>
      </c>
      <c r="O23" s="165">
        <v>209</v>
      </c>
      <c r="P23" s="165">
        <v>2</v>
      </c>
      <c r="Q23"/>
      <c r="R23"/>
    </row>
    <row r="24" spans="1:18" x14ac:dyDescent="0.25">
      <c r="A24" s="165">
        <v>40.78</v>
      </c>
      <c r="B24" s="165">
        <v>0.86</v>
      </c>
      <c r="C24" s="165">
        <v>9.08</v>
      </c>
      <c r="D24" s="8">
        <v>42700.916666666664</v>
      </c>
      <c r="E24" s="165">
        <v>0.27</v>
      </c>
      <c r="F24" s="165" t="s">
        <v>602</v>
      </c>
      <c r="G24" s="165">
        <v>251.1</v>
      </c>
      <c r="H24" s="165">
        <v>0</v>
      </c>
      <c r="I24" s="165">
        <v>0</v>
      </c>
      <c r="J24" s="165">
        <v>1010.12</v>
      </c>
      <c r="K24" s="165" t="s">
        <v>605</v>
      </c>
      <c r="L24" s="165">
        <v>40.78</v>
      </c>
      <c r="M24" s="165">
        <v>1480222800</v>
      </c>
      <c r="N24" s="165">
        <v>6.77</v>
      </c>
      <c r="O24" s="165">
        <v>206</v>
      </c>
      <c r="P24" s="165">
        <v>2.0099999999999998</v>
      </c>
      <c r="Q24"/>
      <c r="R24"/>
    </row>
    <row r="25" spans="1:18" x14ac:dyDescent="0.25">
      <c r="A25" s="165">
        <v>41.15</v>
      </c>
      <c r="B25" s="165">
        <v>0.92</v>
      </c>
      <c r="C25" s="165">
        <v>12.07</v>
      </c>
      <c r="D25" s="8">
        <v>42700.958333333336</v>
      </c>
      <c r="E25" s="165">
        <v>0.3</v>
      </c>
      <c r="F25" s="165" t="s">
        <v>602</v>
      </c>
      <c r="G25" s="165">
        <v>250.32</v>
      </c>
      <c r="H25" s="165">
        <v>0</v>
      </c>
      <c r="I25" s="165">
        <v>0</v>
      </c>
      <c r="J25" s="165">
        <v>1008.37</v>
      </c>
      <c r="K25" s="165" t="s">
        <v>605</v>
      </c>
      <c r="L25" s="165">
        <v>41.15</v>
      </c>
      <c r="M25" s="165">
        <v>1480226400</v>
      </c>
      <c r="N25" s="165">
        <v>7.21</v>
      </c>
      <c r="O25" s="165">
        <v>236</v>
      </c>
      <c r="P25" s="165">
        <v>0.95</v>
      </c>
      <c r="Q25"/>
      <c r="R25"/>
    </row>
    <row r="26" spans="1:18" x14ac:dyDescent="0.25">
      <c r="A26" s="165">
        <v>40.24</v>
      </c>
      <c r="B26" s="165">
        <v>0.81</v>
      </c>
      <c r="C26" s="165">
        <v>10.84</v>
      </c>
      <c r="D26" s="8">
        <v>42701</v>
      </c>
      <c r="E26" s="165">
        <v>0.28999999999999998</v>
      </c>
      <c r="F26" s="165" t="s">
        <v>602</v>
      </c>
      <c r="G26" s="165">
        <v>250.26</v>
      </c>
      <c r="H26" s="165">
        <v>0</v>
      </c>
      <c r="I26" s="165">
        <v>0</v>
      </c>
      <c r="J26" s="165">
        <v>1007.18</v>
      </c>
      <c r="K26" s="165" t="s">
        <v>605</v>
      </c>
      <c r="L26" s="165">
        <v>40.24</v>
      </c>
      <c r="M26" s="165">
        <v>1480230000</v>
      </c>
      <c r="N26" s="165">
        <v>8</v>
      </c>
      <c r="O26" s="165">
        <v>260</v>
      </c>
      <c r="P26" s="165">
        <v>1.45</v>
      </c>
      <c r="Q26"/>
      <c r="R26"/>
    </row>
    <row r="27" spans="1:18" x14ac:dyDescent="0.25">
      <c r="A27" s="165">
        <v>39.9</v>
      </c>
      <c r="B27" s="165">
        <v>0.79</v>
      </c>
      <c r="C27" s="165">
        <v>11.9</v>
      </c>
      <c r="D27" s="8">
        <v>42701.041666666664</v>
      </c>
      <c r="E27" s="165">
        <v>0.31</v>
      </c>
      <c r="F27" s="165" t="s">
        <v>602</v>
      </c>
      <c r="G27" s="165">
        <v>250.2</v>
      </c>
      <c r="H27" s="165">
        <v>0</v>
      </c>
      <c r="I27" s="165">
        <v>0</v>
      </c>
      <c r="J27" s="165">
        <v>1005.89</v>
      </c>
      <c r="K27" s="165" t="s">
        <v>605</v>
      </c>
      <c r="L27" s="165">
        <v>39.9</v>
      </c>
      <c r="M27" s="165">
        <v>1480233600</v>
      </c>
      <c r="N27" s="165">
        <v>7.72</v>
      </c>
      <c r="O27" s="165">
        <v>249</v>
      </c>
      <c r="P27" s="165">
        <v>2.11</v>
      </c>
      <c r="Q27"/>
      <c r="R27"/>
    </row>
    <row r="28" spans="1:18" x14ac:dyDescent="0.25">
      <c r="A28" s="165">
        <v>38.549999999999997</v>
      </c>
      <c r="B28" s="165">
        <v>0.75</v>
      </c>
      <c r="C28" s="165">
        <v>10.91</v>
      </c>
      <c r="D28" s="8">
        <v>42701.083333333336</v>
      </c>
      <c r="E28" s="165">
        <v>0.31</v>
      </c>
      <c r="F28" s="165" t="s">
        <v>602</v>
      </c>
      <c r="G28" s="165">
        <v>250.13</v>
      </c>
      <c r="H28" s="165">
        <v>0</v>
      </c>
      <c r="I28" s="165">
        <v>0</v>
      </c>
      <c r="J28" s="165">
        <v>1004.87</v>
      </c>
      <c r="K28" s="165" t="s">
        <v>605</v>
      </c>
      <c r="L28" s="165">
        <v>38.549999999999997</v>
      </c>
      <c r="M28" s="165">
        <v>1480237200</v>
      </c>
      <c r="N28" s="165">
        <v>6.66</v>
      </c>
      <c r="O28" s="165">
        <v>319</v>
      </c>
      <c r="P28" s="165">
        <v>1.65</v>
      </c>
      <c r="Q28"/>
      <c r="R28"/>
    </row>
    <row r="29" spans="1:18" x14ac:dyDescent="0.25">
      <c r="A29" s="165">
        <v>37.75</v>
      </c>
      <c r="B29" s="165">
        <v>0.81</v>
      </c>
      <c r="C29" s="165">
        <v>11.32</v>
      </c>
      <c r="D29" s="8">
        <v>42701.125</v>
      </c>
      <c r="E29" s="165">
        <v>0.33</v>
      </c>
      <c r="F29" s="165" t="s">
        <v>602</v>
      </c>
      <c r="G29" s="165">
        <v>255.75</v>
      </c>
      <c r="H29" s="165">
        <v>0</v>
      </c>
      <c r="I29" s="165">
        <v>0</v>
      </c>
      <c r="J29" s="165">
        <v>1003</v>
      </c>
      <c r="K29" s="165" t="s">
        <v>605</v>
      </c>
      <c r="L29" s="165">
        <v>37.75</v>
      </c>
      <c r="M29" s="165">
        <v>1480240800</v>
      </c>
      <c r="N29" s="165">
        <v>6.13</v>
      </c>
      <c r="O29" s="165">
        <v>286</v>
      </c>
      <c r="P29" s="165">
        <v>1.17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208</v>
      </c>
    </row>
    <row r="33" spans="1:1" x14ac:dyDescent="0.25">
      <c r="A33" s="133" t="s">
        <v>190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42700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210</v>
      </c>
      <c r="J17" s="33"/>
      <c r="K17" s="34"/>
      <c r="L17" s="34"/>
    </row>
    <row r="18" spans="3:13" x14ac:dyDescent="0.25">
      <c r="C18" t="s">
        <v>735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736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737</v>
      </c>
      <c r="J20" t="s">
        <v>87</v>
      </c>
      <c r="M20" s="68" t="s">
        <v>749</v>
      </c>
    </row>
    <row r="21" spans="3:13" x14ac:dyDescent="0.25">
      <c r="C21" t="s">
        <v>738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739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740</v>
      </c>
      <c r="J23" s="29" t="s">
        <v>95</v>
      </c>
      <c r="K23" s="21"/>
      <c r="M23" s="69">
        <v>-7</v>
      </c>
    </row>
    <row r="24" spans="3:13" x14ac:dyDescent="0.25">
      <c r="C24" t="s">
        <v>741</v>
      </c>
      <c r="J24" s="21" t="s">
        <v>108</v>
      </c>
      <c r="K24" s="21"/>
      <c r="M24" s="68" t="s">
        <v>110</v>
      </c>
    </row>
    <row r="25" spans="3:13" x14ac:dyDescent="0.25">
      <c r="C25" t="s">
        <v>742</v>
      </c>
      <c r="J25" t="s">
        <v>151</v>
      </c>
      <c r="M25" s="68" t="b">
        <v>1</v>
      </c>
    </row>
    <row r="26" spans="3:13" x14ac:dyDescent="0.25">
      <c r="C26" t="s">
        <v>743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C:\Users\stu\Documents\GitHub\eaglep3-reporting\EC\2016-11-26-refined-times.txt</v>
      </c>
    </row>
    <row r="27" spans="3:13" x14ac:dyDescent="0.25">
      <c r="C27" t="s">
        <v>744</v>
      </c>
      <c r="J27" t="s">
        <v>191</v>
      </c>
      <c r="M27" s="68" t="str">
        <f>"C:\Users\stu\Documents\GitHub\eaglep3-reporting\EC\"&amp;TEXT(A2,"YYYY-MM-DD")&amp;"-Enforcements.txt"</f>
        <v>C:\Users\stu\Documents\GitHub\eaglep3-reporting\EC\2016-11-26-Enforcements.txt</v>
      </c>
    </row>
    <row r="28" spans="3:13" x14ac:dyDescent="0.25">
      <c r="C28" t="s">
        <v>745</v>
      </c>
      <c r="J28" t="s">
        <v>192</v>
      </c>
      <c r="M28" s="106" t="str">
        <f>"C:\Users\stu\Documents\GitHub\eaglep3-reporting\EC\"&amp;TEXT(A2,"YYYY-MM-DD")&amp;"-Runs.txt"</f>
        <v>C:\Users\stu\Documents\GitHub\eaglep3-reporting\EC\2016-11-26-Runs.txt</v>
      </c>
    </row>
    <row r="29" spans="3:13" x14ac:dyDescent="0.25">
      <c r="C29" t="s">
        <v>746</v>
      </c>
      <c r="J29" t="s">
        <v>193</v>
      </c>
      <c r="M29" s="106" t="str">
        <f>"C:\Users\stu\Documents\GitHub\eaglep3-reporting\EC\"&amp;TEXT(A2,"YYYY-MM-DD")&amp;"-Trips.txt"</f>
        <v>C:\Users\stu\Documents\GitHub\eaglep3-reporting\EC\2016-11-26-Trips.txt</v>
      </c>
    </row>
    <row r="30" spans="3:13" x14ac:dyDescent="0.25">
      <c r="C30" t="s">
        <v>747</v>
      </c>
      <c r="J30" t="s">
        <v>194</v>
      </c>
      <c r="M30" s="106" t="str">
        <f>"C:\Users\stu\Documents\GitHub\eaglep3-reporting\EC\"&amp;TEXT(A2,"YYYY-MM-DD")&amp;"-Weather.txt"</f>
        <v>C:\Users\stu\Documents\GitHub\eaglep3-reporting\EC\2016-11-26-Weather.txt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763</v>
      </c>
      <c r="B1" t="str">
        <f t="shared" ref="B1:B64" si="0">MID(A1,6,23)</f>
        <v>2016/11/26 10:23:45.508</v>
      </c>
      <c r="C1" t="e">
        <f>ABS(B1-#REF!)</f>
        <v>#REF!</v>
      </c>
    </row>
    <row r="2" spans="1:3" x14ac:dyDescent="0.25">
      <c r="A2" t="s">
        <v>764</v>
      </c>
      <c r="B2" s="21" t="str">
        <f t="shared" si="0"/>
        <v>2016/11/26 10:23:45.760</v>
      </c>
      <c r="C2">
        <f>ABS(B2-B1)</f>
        <v>2.9166621970944107E-6</v>
      </c>
    </row>
    <row r="3" spans="1:3" x14ac:dyDescent="0.25">
      <c r="A3" t="s">
        <v>765</v>
      </c>
      <c r="B3" s="21" t="str">
        <f t="shared" si="0"/>
        <v>2016/11/26 10:23:46.563</v>
      </c>
      <c r="C3" s="21">
        <f t="shared" ref="C3:C66" si="1">ABS(B3-B2)</f>
        <v>9.29398083826527E-6</v>
      </c>
    </row>
    <row r="4" spans="1:3" x14ac:dyDescent="0.25">
      <c r="A4" t="s">
        <v>766</v>
      </c>
      <c r="B4" s="21" t="str">
        <f t="shared" si="0"/>
        <v>2016/11/26 10:58:29.637</v>
      </c>
      <c r="C4" s="21">
        <f t="shared" si="1"/>
        <v>2.4109652782499325E-2</v>
      </c>
    </row>
    <row r="5" spans="1:3" x14ac:dyDescent="0.25">
      <c r="A5" t="s">
        <v>767</v>
      </c>
      <c r="B5" s="21" t="str">
        <f t="shared" si="0"/>
        <v>2016/11/26 10:58:30.174</v>
      </c>
      <c r="C5" s="21">
        <f t="shared" si="1"/>
        <v>6.2152757891453803E-6</v>
      </c>
    </row>
    <row r="6" spans="1:3" x14ac:dyDescent="0.25">
      <c r="A6" t="s">
        <v>768</v>
      </c>
      <c r="B6" s="21" t="str">
        <f t="shared" si="0"/>
        <v>2016/11/26 10:58:32.132</v>
      </c>
      <c r="C6" s="21">
        <f t="shared" si="1"/>
        <v>2.2662039555143565E-5</v>
      </c>
    </row>
    <row r="7" spans="1:3" x14ac:dyDescent="0.25">
      <c r="A7" t="s">
        <v>769</v>
      </c>
      <c r="B7" s="21" t="str">
        <f t="shared" si="0"/>
        <v>2016/11/26 10:59:50.661</v>
      </c>
      <c r="C7" s="21">
        <f t="shared" si="1"/>
        <v>9.0890045976266265E-4</v>
      </c>
    </row>
    <row r="8" spans="1:3" x14ac:dyDescent="0.25">
      <c r="A8" t="s">
        <v>770</v>
      </c>
      <c r="B8" s="21" t="str">
        <f t="shared" si="0"/>
        <v>2016/11/26 10:59:52.121</v>
      </c>
      <c r="C8" s="21">
        <f t="shared" si="1"/>
        <v>1.6898149624466896E-5</v>
      </c>
    </row>
    <row r="9" spans="1:3" x14ac:dyDescent="0.25">
      <c r="A9" t="s">
        <v>771</v>
      </c>
      <c r="B9" s="21" t="str">
        <f t="shared" si="0"/>
        <v>2016/11/26 10:59:52.138</v>
      </c>
      <c r="C9" s="21">
        <f t="shared" si="1"/>
        <v>1.967564458027482E-7</v>
      </c>
    </row>
    <row r="10" spans="1:3" x14ac:dyDescent="0.25">
      <c r="A10" t="s">
        <v>772</v>
      </c>
      <c r="B10" s="21" t="str">
        <f t="shared" si="0"/>
        <v>2016/11/26 11:21:45.815</v>
      </c>
      <c r="C10" s="21">
        <f t="shared" si="1"/>
        <v>1.5204594907118008E-2</v>
      </c>
    </row>
    <row r="11" spans="1:3" x14ac:dyDescent="0.25">
      <c r="A11" t="s">
        <v>773</v>
      </c>
      <c r="B11" s="21" t="str">
        <f t="shared" si="0"/>
        <v>2016/11/26 11:21:46.089</v>
      </c>
      <c r="C11" s="21">
        <f t="shared" si="1"/>
        <v>3.171298885717988E-6</v>
      </c>
    </row>
    <row r="12" spans="1:3" x14ac:dyDescent="0.25">
      <c r="A12" t="s">
        <v>774</v>
      </c>
      <c r="B12" s="21" t="str">
        <f t="shared" si="0"/>
        <v>2016/11/26 11:21:46.526</v>
      </c>
      <c r="C12" s="21">
        <f t="shared" si="1"/>
        <v>5.0578673835843801E-6</v>
      </c>
    </row>
    <row r="13" spans="1:3" x14ac:dyDescent="0.25">
      <c r="A13" t="s">
        <v>775</v>
      </c>
      <c r="B13" s="21" t="str">
        <f t="shared" si="0"/>
        <v>2016/11/26 12:49:34.104</v>
      </c>
      <c r="C13" s="21">
        <f t="shared" si="1"/>
        <v>6.0967337965848856E-2</v>
      </c>
    </row>
    <row r="14" spans="1:3" x14ac:dyDescent="0.25">
      <c r="A14" t="s">
        <v>776</v>
      </c>
      <c r="B14" s="21" t="str">
        <f t="shared" si="0"/>
        <v>2016/11/26 12:49:34.123</v>
      </c>
      <c r="C14" s="21">
        <f t="shared" si="1"/>
        <v>2.1990854293107986E-7</v>
      </c>
    </row>
    <row r="15" spans="1:3" x14ac:dyDescent="0.25">
      <c r="A15" t="s">
        <v>777</v>
      </c>
      <c r="B15" s="21" t="str">
        <f t="shared" si="0"/>
        <v>2016/11/26 12:49:34.388</v>
      </c>
      <c r="C15" s="21">
        <f t="shared" si="1"/>
        <v>3.0671290005557239E-6</v>
      </c>
    </row>
    <row r="16" spans="1:3" x14ac:dyDescent="0.25">
      <c r="A16" t="s">
        <v>778</v>
      </c>
      <c r="B16" s="21" t="str">
        <f t="shared" si="0"/>
        <v>2016/11/26 13:12:05.802</v>
      </c>
      <c r="C16" s="21">
        <f t="shared" si="1"/>
        <v>1.5641365738702007E-2</v>
      </c>
    </row>
    <row r="17" spans="1:3" x14ac:dyDescent="0.25">
      <c r="A17" t="s">
        <v>779</v>
      </c>
      <c r="B17" s="21" t="str">
        <f t="shared" si="0"/>
        <v>2016/11/26 13:12:07.516</v>
      </c>
      <c r="C17" s="21">
        <f t="shared" si="1"/>
        <v>1.9837963918689638E-5</v>
      </c>
    </row>
    <row r="18" spans="1:3" x14ac:dyDescent="0.25">
      <c r="A18" t="s">
        <v>780</v>
      </c>
      <c r="B18" s="21" t="str">
        <f t="shared" si="0"/>
        <v>2016/11/26 13:49:25.646</v>
      </c>
      <c r="C18" s="21">
        <f t="shared" si="1"/>
        <v>2.5904282403644174E-2</v>
      </c>
    </row>
    <row r="19" spans="1:3" x14ac:dyDescent="0.25">
      <c r="A19" t="s">
        <v>781</v>
      </c>
      <c r="B19" s="21" t="str">
        <f t="shared" si="0"/>
        <v>2016/11/26 13:49:26.092</v>
      </c>
      <c r="C19" s="21">
        <f t="shared" si="1"/>
        <v>5.1620372687466443E-6</v>
      </c>
    </row>
    <row r="20" spans="1:3" x14ac:dyDescent="0.25">
      <c r="A20" t="s">
        <v>782</v>
      </c>
      <c r="B20" s="21" t="str">
        <f t="shared" si="0"/>
        <v>2016/11/26 14:34:14.160</v>
      </c>
      <c r="C20" s="21">
        <f t="shared" si="1"/>
        <v>3.1111898148083128E-2</v>
      </c>
    </row>
    <row r="21" spans="1:3" x14ac:dyDescent="0.25">
      <c r="A21" t="s">
        <v>783</v>
      </c>
      <c r="B21" s="21" t="str">
        <f t="shared" si="0"/>
        <v>2016/11/26 14:34:14.484</v>
      </c>
      <c r="C21" s="21">
        <f t="shared" si="1"/>
        <v>3.7500067264772952E-6</v>
      </c>
    </row>
    <row r="22" spans="1:3" x14ac:dyDescent="0.25">
      <c r="A22" t="s">
        <v>784</v>
      </c>
      <c r="B22" s="21" t="str">
        <f t="shared" si="0"/>
        <v>2016/11/26 15:34:11.302</v>
      </c>
      <c r="C22" s="21">
        <f t="shared" si="1"/>
        <v>4.1629837956861593E-2</v>
      </c>
    </row>
    <row r="23" spans="1:3" x14ac:dyDescent="0.25">
      <c r="A23" t="s">
        <v>785</v>
      </c>
      <c r="B23" s="21" t="str">
        <f t="shared" si="0"/>
        <v>2016/11/26 15:34:11.833</v>
      </c>
      <c r="C23" s="21">
        <f t="shared" si="1"/>
        <v>6.1458340496756136E-6</v>
      </c>
    </row>
    <row r="24" spans="1:3" x14ac:dyDescent="0.25">
      <c r="A24" t="s">
        <v>786</v>
      </c>
      <c r="B24" s="21" t="str">
        <f t="shared" si="0"/>
        <v>2016/11/26 15:34:11.887</v>
      </c>
      <c r="C24" s="21">
        <f t="shared" si="1"/>
        <v>6.2500475905835629E-7</v>
      </c>
    </row>
    <row r="25" spans="1:3" x14ac:dyDescent="0.25">
      <c r="A25" t="s">
        <v>787</v>
      </c>
      <c r="B25" s="21" t="str">
        <f t="shared" si="0"/>
        <v>2016/11/26 15:35:34.828</v>
      </c>
      <c r="C25" s="21">
        <f t="shared" si="1"/>
        <v>9.5996527670649812E-4</v>
      </c>
    </row>
    <row r="26" spans="1:3" x14ac:dyDescent="0.25">
      <c r="A26" t="s">
        <v>788</v>
      </c>
      <c r="B26" s="21" t="str">
        <f t="shared" si="0"/>
        <v>2016/11/26 15:35:34.876</v>
      </c>
      <c r="C26" s="21">
        <f t="shared" si="1"/>
        <v>5.5555574363097548E-7</v>
      </c>
    </row>
    <row r="27" spans="1:3" x14ac:dyDescent="0.25">
      <c r="A27" t="s">
        <v>789</v>
      </c>
      <c r="B27" s="21" t="str">
        <f t="shared" si="0"/>
        <v>2016/11/26 15:45:45.223</v>
      </c>
      <c r="C27" s="21">
        <f t="shared" si="1"/>
        <v>7.0642013888573274E-3</v>
      </c>
    </row>
    <row r="28" spans="1:3" x14ac:dyDescent="0.25">
      <c r="A28" t="s">
        <v>790</v>
      </c>
      <c r="B28" s="21" t="str">
        <f t="shared" si="0"/>
        <v>2016/11/26 15:45:46.217</v>
      </c>
      <c r="C28" s="21">
        <f t="shared" si="1"/>
        <v>1.1504627764225006E-5</v>
      </c>
    </row>
    <row r="29" spans="1:3" x14ac:dyDescent="0.25">
      <c r="A29" t="s">
        <v>791</v>
      </c>
      <c r="B29" s="21" t="str">
        <f t="shared" si="0"/>
        <v>2016/11/26 15:45:46.338</v>
      </c>
      <c r="C29" s="21">
        <f t="shared" si="1"/>
        <v>1.4004617696627975E-6</v>
      </c>
    </row>
    <row r="30" spans="1:3" x14ac:dyDescent="0.25">
      <c r="A30" t="s">
        <v>792</v>
      </c>
      <c r="B30" s="21" t="str">
        <f t="shared" si="0"/>
        <v>2016/11/26 16:10:20.657</v>
      </c>
      <c r="C30" s="21">
        <f t="shared" si="1"/>
        <v>1.7063877312466502E-2</v>
      </c>
    </row>
    <row r="31" spans="1:3" x14ac:dyDescent="0.25">
      <c r="A31" t="s">
        <v>793</v>
      </c>
      <c r="B31" s="21" t="str">
        <f t="shared" si="0"/>
        <v>2016/11/26 16:10:20.923</v>
      </c>
      <c r="C31" s="21">
        <f t="shared" si="1"/>
        <v>3.0787050491198897E-6</v>
      </c>
    </row>
    <row r="32" spans="1:3" x14ac:dyDescent="0.25">
      <c r="A32" t="s">
        <v>794</v>
      </c>
      <c r="B32" s="21" t="str">
        <f t="shared" si="0"/>
        <v>2016/11/26 16:10:21.437</v>
      </c>
      <c r="C32" s="21">
        <f t="shared" si="1"/>
        <v>5.9490776038728654E-6</v>
      </c>
    </row>
    <row r="33" spans="1:3" x14ac:dyDescent="0.25">
      <c r="A33" t="s">
        <v>795</v>
      </c>
      <c r="B33" s="21" t="str">
        <f t="shared" si="0"/>
        <v>2016/11/26 16:19:16.492</v>
      </c>
      <c r="C33" s="21">
        <f t="shared" si="1"/>
        <v>6.1927662027301267E-3</v>
      </c>
    </row>
    <row r="34" spans="1:3" x14ac:dyDescent="0.25">
      <c r="A34" t="s">
        <v>796</v>
      </c>
      <c r="B34" s="21" t="str">
        <f t="shared" si="0"/>
        <v>2016/11/26 16:19:17.161</v>
      </c>
      <c r="C34" s="21">
        <f t="shared" si="1"/>
        <v>7.7430522651411593E-6</v>
      </c>
    </row>
    <row r="35" spans="1:3" x14ac:dyDescent="0.25">
      <c r="A35" t="s">
        <v>797</v>
      </c>
      <c r="B35" s="21" t="str">
        <f t="shared" si="0"/>
        <v>2016/11/26 17:21:06.773</v>
      </c>
      <c r="C35" s="21">
        <f t="shared" si="1"/>
        <v>4.2935324076097459E-2</v>
      </c>
    </row>
    <row r="36" spans="1:3" x14ac:dyDescent="0.25">
      <c r="A36" t="s">
        <v>798</v>
      </c>
      <c r="B36" s="21" t="str">
        <f t="shared" si="0"/>
        <v>2016/11/26 17:21:07.606</v>
      </c>
      <c r="C36" s="21">
        <f t="shared" si="1"/>
        <v>9.6412040875293314E-6</v>
      </c>
    </row>
    <row r="37" spans="1:3" x14ac:dyDescent="0.25">
      <c r="A37" t="s">
        <v>799</v>
      </c>
      <c r="B37" s="21" t="str">
        <f t="shared" si="0"/>
        <v>2016/11/26 17:21:08.722</v>
      </c>
      <c r="C37" s="21">
        <f t="shared" si="1"/>
        <v>1.2916665582451969E-5</v>
      </c>
    </row>
    <row r="38" spans="1:3" x14ac:dyDescent="0.25">
      <c r="A38" t="s">
        <v>800</v>
      </c>
      <c r="B38" s="21" t="str">
        <f t="shared" si="0"/>
        <v>2016/11/26 17:21:50.726</v>
      </c>
      <c r="C38" s="21">
        <f t="shared" si="1"/>
        <v>4.8615741252433509E-4</v>
      </c>
    </row>
    <row r="39" spans="1:3" x14ac:dyDescent="0.25">
      <c r="A39" t="s">
        <v>801</v>
      </c>
      <c r="B39" s="21" t="str">
        <f t="shared" si="0"/>
        <v>2016/11/26 17:21:50.778</v>
      </c>
      <c r="C39" s="21">
        <f t="shared" si="1"/>
        <v>6.0184538597241044E-7</v>
      </c>
    </row>
    <row r="40" spans="1:3" x14ac:dyDescent="0.25">
      <c r="A40" t="s">
        <v>802</v>
      </c>
      <c r="B40" s="21" t="str">
        <f t="shared" si="0"/>
        <v>2016/11/26 17:21:51.606</v>
      </c>
      <c r="C40" s="21">
        <f t="shared" si="1"/>
        <v>9.5833383966237307E-6</v>
      </c>
    </row>
    <row r="41" spans="1:3" x14ac:dyDescent="0.25">
      <c r="A41" t="s">
        <v>803</v>
      </c>
      <c r="B41" s="21" t="str">
        <f t="shared" si="0"/>
        <v>2016/11/26 17:35:07.213</v>
      </c>
      <c r="C41" s="21">
        <f t="shared" si="1"/>
        <v>9.2084143470856361E-3</v>
      </c>
    </row>
    <row r="42" spans="1:3" x14ac:dyDescent="0.25">
      <c r="A42" t="s">
        <v>804</v>
      </c>
      <c r="B42" s="21" t="str">
        <f t="shared" si="0"/>
        <v>2016/11/26 17:42:27.784</v>
      </c>
      <c r="C42" s="21">
        <f t="shared" si="1"/>
        <v>5.0992013930226676E-3</v>
      </c>
    </row>
    <row r="43" spans="1:3" x14ac:dyDescent="0.25">
      <c r="A43" t="s">
        <v>805</v>
      </c>
      <c r="B43" s="21" t="str">
        <f t="shared" si="0"/>
        <v>2016/11/26 18:33:06.743</v>
      </c>
      <c r="C43" s="21">
        <f t="shared" si="1"/>
        <v>3.5173136573575903E-2</v>
      </c>
    </row>
    <row r="44" spans="1:3" x14ac:dyDescent="0.25">
      <c r="A44" t="s">
        <v>806</v>
      </c>
      <c r="B44" s="21" t="str">
        <f t="shared" si="0"/>
        <v>2016/11/26 19:34:32.823</v>
      </c>
      <c r="C44" s="21">
        <f t="shared" si="1"/>
        <v>4.2662962965550832E-2</v>
      </c>
    </row>
    <row r="45" spans="1:3" x14ac:dyDescent="0.25">
      <c r="A45" t="s">
        <v>807</v>
      </c>
      <c r="B45" s="21" t="str">
        <f t="shared" si="0"/>
        <v>2016/11/26 19:34:32.876</v>
      </c>
      <c r="C45" s="21">
        <f t="shared" si="1"/>
        <v>6.1342143453657627E-7</v>
      </c>
    </row>
    <row r="46" spans="1:3" x14ac:dyDescent="0.25">
      <c r="A46" t="s">
        <v>808</v>
      </c>
      <c r="B46" s="21" t="str">
        <f t="shared" si="0"/>
        <v>2016/11/26 19:34:33.295</v>
      </c>
      <c r="C46" s="21">
        <f t="shared" si="1"/>
        <v>4.8495348892174661E-6</v>
      </c>
    </row>
    <row r="47" spans="1:3" x14ac:dyDescent="0.25">
      <c r="A47" t="s">
        <v>809</v>
      </c>
      <c r="B47" s="21" t="str">
        <f t="shared" si="0"/>
        <v>2016/11/26 20:19:23.620</v>
      </c>
      <c r="C47" s="21">
        <f t="shared" si="1"/>
        <v>3.113802083680639E-2</v>
      </c>
    </row>
    <row r="48" spans="1:3" x14ac:dyDescent="0.25">
      <c r="A48" t="s">
        <v>810</v>
      </c>
      <c r="B48" s="21" t="str">
        <f t="shared" si="0"/>
        <v>2016/11/26 20:19:23.804</v>
      </c>
      <c r="C48" s="21">
        <f t="shared" si="1"/>
        <v>2.1296291379258037E-6</v>
      </c>
    </row>
    <row r="49" spans="1:3" x14ac:dyDescent="0.25">
      <c r="A49" t="s">
        <v>811</v>
      </c>
      <c r="B49" s="21" t="str">
        <f t="shared" si="0"/>
        <v>2016/11/26 20:36:35.913</v>
      </c>
      <c r="C49" s="21">
        <f t="shared" si="1"/>
        <v>1.1945706020924263E-2</v>
      </c>
    </row>
    <row r="50" spans="1:3" x14ac:dyDescent="0.25">
      <c r="A50" t="s">
        <v>812</v>
      </c>
      <c r="B50" s="21" t="str">
        <f t="shared" si="0"/>
        <v>2016/11/26 20:36:36.833</v>
      </c>
      <c r="C50" s="21">
        <f t="shared" si="1"/>
        <v>1.0648145689629018E-5</v>
      </c>
    </row>
    <row r="51" spans="1:3" x14ac:dyDescent="0.25">
      <c r="A51" t="s">
        <v>813</v>
      </c>
      <c r="B51" s="21" t="str">
        <f t="shared" si="0"/>
        <v>2016/11/26 21:33:35.812</v>
      </c>
      <c r="C51" s="21">
        <f t="shared" si="1"/>
        <v>3.9571516201249324E-2</v>
      </c>
    </row>
    <row r="52" spans="1:3" x14ac:dyDescent="0.25">
      <c r="A52" t="s">
        <v>814</v>
      </c>
      <c r="B52" s="21" t="str">
        <f t="shared" si="0"/>
        <v>2016/11/26 21:33:35.927</v>
      </c>
      <c r="C52" s="21">
        <f t="shared" si="1"/>
        <v>1.3310200301930308E-6</v>
      </c>
    </row>
    <row r="53" spans="1:3" x14ac:dyDescent="0.25">
      <c r="A53" t="s">
        <v>815</v>
      </c>
      <c r="B53" s="21" t="str">
        <f t="shared" si="0"/>
        <v>2016/11/26 21:33:36.510</v>
      </c>
      <c r="C53" s="21">
        <f t="shared" si="1"/>
        <v>6.7476867116056383E-6</v>
      </c>
    </row>
    <row r="54" spans="1:3" x14ac:dyDescent="0.25">
      <c r="A54" t="s">
        <v>816</v>
      </c>
      <c r="B54" s="21" t="str">
        <f t="shared" si="0"/>
        <v>2016/11/26 21:34:42.296</v>
      </c>
      <c r="C54" s="21">
        <f t="shared" si="1"/>
        <v>7.6141203317092732E-4</v>
      </c>
    </row>
    <row r="55" spans="1:3" x14ac:dyDescent="0.25">
      <c r="A55" t="s">
        <v>817</v>
      </c>
      <c r="B55" s="21" t="str">
        <f t="shared" si="0"/>
        <v>2016/11/26 21:34:42.818</v>
      </c>
      <c r="C55" s="21">
        <f t="shared" si="1"/>
        <v>6.0416714404709637E-6</v>
      </c>
    </row>
    <row r="56" spans="1:3" x14ac:dyDescent="0.25">
      <c r="A56" t="s">
        <v>818</v>
      </c>
      <c r="B56" s="21" t="str">
        <f t="shared" si="0"/>
        <v>2016/11/26 21:34:42.875</v>
      </c>
      <c r="C56" s="21">
        <f t="shared" si="1"/>
        <v>6.5971835283562541E-7</v>
      </c>
    </row>
    <row r="57" spans="1:3" x14ac:dyDescent="0.25">
      <c r="A57" t="s">
        <v>819</v>
      </c>
      <c r="B57" s="21" t="str">
        <f t="shared" si="0"/>
        <v>2016/11/26 21:47:46.840</v>
      </c>
      <c r="C57" s="21">
        <f t="shared" si="1"/>
        <v>9.0736689817276783E-3</v>
      </c>
    </row>
    <row r="58" spans="1:3" x14ac:dyDescent="0.25">
      <c r="A58" t="s">
        <v>820</v>
      </c>
      <c r="B58" s="21" t="str">
        <f t="shared" si="0"/>
        <v>2016/11/26 21:47:46.886</v>
      </c>
      <c r="C58" s="21">
        <f t="shared" si="1"/>
        <v>5.3241092246025801E-7</v>
      </c>
    </row>
    <row r="59" spans="1:3" x14ac:dyDescent="0.25">
      <c r="A59" t="s">
        <v>821</v>
      </c>
      <c r="B59" s="21" t="str">
        <f t="shared" si="0"/>
        <v>2016/11/26 21:47:47.308</v>
      </c>
      <c r="C59" s="21">
        <f t="shared" si="1"/>
        <v>4.8842557589523494E-6</v>
      </c>
    </row>
    <row r="60" spans="1:3" x14ac:dyDescent="0.25">
      <c r="A60" t="s">
        <v>822</v>
      </c>
      <c r="B60" s="21" t="str">
        <f t="shared" si="0"/>
        <v>2016/11/26 21:52:32.288</v>
      </c>
      <c r="C60" s="21">
        <f t="shared" si="1"/>
        <v>3.2983796336338855E-3</v>
      </c>
    </row>
    <row r="61" spans="1:3" x14ac:dyDescent="0.25">
      <c r="A61" t="s">
        <v>823</v>
      </c>
      <c r="B61" s="21" t="str">
        <f t="shared" si="0"/>
        <v>2016/11/26 21:52:32.822</v>
      </c>
      <c r="C61" s="21">
        <f t="shared" si="1"/>
        <v>6.180554919410497E-6</v>
      </c>
    </row>
    <row r="62" spans="1:3" x14ac:dyDescent="0.25">
      <c r="A62" t="s">
        <v>824</v>
      </c>
      <c r="B62" s="21" t="str">
        <f t="shared" si="0"/>
        <v>2016/11/26 21:52:32.870</v>
      </c>
      <c r="C62" s="21">
        <f t="shared" si="1"/>
        <v>5.5555574363097548E-7</v>
      </c>
    </row>
    <row r="63" spans="1:3" x14ac:dyDescent="0.25">
      <c r="A63" t="s">
        <v>825</v>
      </c>
      <c r="B63" s="21" t="str">
        <f t="shared" si="0"/>
        <v>2016/11/26 22:31:06.697</v>
      </c>
      <c r="C63" s="21">
        <f t="shared" si="1"/>
        <v>2.6780405089084525E-2</v>
      </c>
    </row>
    <row r="64" spans="1:3" x14ac:dyDescent="0.25">
      <c r="A64" t="s">
        <v>826</v>
      </c>
      <c r="B64" s="21" t="str">
        <f t="shared" si="0"/>
        <v>2016/11/26 22:31:06.787</v>
      </c>
      <c r="C64" s="21">
        <f t="shared" si="1"/>
        <v>1.0416697477921844E-6</v>
      </c>
    </row>
    <row r="65" spans="1:3" x14ac:dyDescent="0.25">
      <c r="A65" t="s">
        <v>827</v>
      </c>
      <c r="B65" s="21" t="str">
        <f t="shared" ref="B65:B75" si="2">MID(A65,6,23)</f>
        <v>2016/11/26 22:31:07.189</v>
      </c>
      <c r="C65" s="21">
        <f t="shared" si="1"/>
        <v>4.6527784434147179E-6</v>
      </c>
    </row>
    <row r="66" spans="1:3" x14ac:dyDescent="0.25">
      <c r="A66" t="s">
        <v>828</v>
      </c>
      <c r="B66" s="21" t="str">
        <f t="shared" si="2"/>
        <v>2016/11/26 22:34:28.297</v>
      </c>
      <c r="C66" s="21">
        <f t="shared" si="1"/>
        <v>2.3276388892554678E-3</v>
      </c>
    </row>
    <row r="67" spans="1:3" x14ac:dyDescent="0.25">
      <c r="A67" t="s">
        <v>829</v>
      </c>
      <c r="B67" s="21" t="str">
        <f t="shared" si="2"/>
        <v>2016/11/26 22:34:43.819</v>
      </c>
      <c r="C67" s="21">
        <f t="shared" ref="C67:C75" si="3">ABS(B67-B66)</f>
        <v>1.7965277947951108E-4</v>
      </c>
    </row>
    <row r="68" spans="1:3" x14ac:dyDescent="0.25">
      <c r="A68" t="s">
        <v>830</v>
      </c>
      <c r="B68" s="21" t="str">
        <f t="shared" si="2"/>
        <v>2016/11/26 22:34:43.876</v>
      </c>
      <c r="C68" s="21">
        <f t="shared" si="3"/>
        <v>6.5971835283562541E-7</v>
      </c>
    </row>
    <row r="69" spans="1:3" x14ac:dyDescent="0.25">
      <c r="A69" t="s">
        <v>831</v>
      </c>
      <c r="B69" s="21" t="str">
        <f t="shared" si="2"/>
        <v>2016/11/26 23:34:09.819</v>
      </c>
      <c r="C69" s="21">
        <f t="shared" si="3"/>
        <v>4.1272488422691822E-2</v>
      </c>
    </row>
    <row r="70" spans="1:3" x14ac:dyDescent="0.25">
      <c r="A70" t="s">
        <v>832</v>
      </c>
      <c r="B70" s="21" t="str">
        <f t="shared" si="2"/>
        <v>2016/11/26 23:34:09.876</v>
      </c>
      <c r="C70" s="21">
        <f t="shared" si="3"/>
        <v>6.5972562879323959E-7</v>
      </c>
    </row>
    <row r="71" spans="1:3" x14ac:dyDescent="0.25">
      <c r="A71" t="s">
        <v>833</v>
      </c>
      <c r="B71" s="21" t="str">
        <f t="shared" si="2"/>
        <v>2016/11/26 23:34:10.297</v>
      </c>
      <c r="C71" s="21">
        <f t="shared" si="3"/>
        <v>4.8726869863457978E-6</v>
      </c>
    </row>
    <row r="72" spans="1:3" x14ac:dyDescent="0.25">
      <c r="A72" t="s">
        <v>834</v>
      </c>
      <c r="B72" s="21" t="str">
        <f t="shared" si="2"/>
        <v>2016/11/26 23:43:26.111</v>
      </c>
      <c r="C72" s="21">
        <f t="shared" si="3"/>
        <v>6.4330324021284468E-3</v>
      </c>
    </row>
    <row r="73" spans="1:3" x14ac:dyDescent="0.25">
      <c r="A73" t="s">
        <v>835</v>
      </c>
      <c r="B73" s="21" t="str">
        <f t="shared" si="2"/>
        <v>2016/11/26 23:43:26.663</v>
      </c>
      <c r="C73" s="21">
        <f t="shared" si="3"/>
        <v>6.3888946897350252E-6</v>
      </c>
    </row>
    <row r="74" spans="1:3" x14ac:dyDescent="0.25">
      <c r="A74" t="s">
        <v>836</v>
      </c>
      <c r="B74" s="21" t="str">
        <f t="shared" si="2"/>
        <v>2016/11/26 23:43:26.996</v>
      </c>
      <c r="C74" s="21">
        <f t="shared" si="3"/>
        <v>3.8541620597243309E-6</v>
      </c>
    </row>
    <row r="75" spans="1:3" x14ac:dyDescent="0.25">
      <c r="A75" t="s">
        <v>837</v>
      </c>
      <c r="B75" s="21" t="str">
        <f t="shared" si="2"/>
        <v>2016/11/27 01:34:16.296</v>
      </c>
      <c r="C75" s="21">
        <f t="shared" si="3"/>
        <v>7.6959490739682224E-2</v>
      </c>
    </row>
    <row r="76" spans="1:3" x14ac:dyDescent="0.25">
      <c r="A76" t="s">
        <v>838</v>
      </c>
      <c r="B76" s="21" t="str">
        <f t="shared" ref="B76:B97" si="4">MID(A76,6,23)</f>
        <v>2016/11/27 01:52:50.028</v>
      </c>
      <c r="C76" s="21">
        <f t="shared" ref="C76:C97" si="5">ABS(B76-B75)</f>
        <v>1.2890416670416016E-2</v>
      </c>
    </row>
    <row r="77" spans="1:3" x14ac:dyDescent="0.25">
      <c r="A77" t="s">
        <v>839</v>
      </c>
      <c r="B77" s="21" t="str">
        <f t="shared" si="4"/>
        <v>2016/11/27 01:52:50.299</v>
      </c>
      <c r="C77" s="21">
        <f t="shared" si="5"/>
        <v>3.1365707400254905E-6</v>
      </c>
    </row>
    <row r="78" spans="1:3" x14ac:dyDescent="0.25">
      <c r="A78" t="s">
        <v>840</v>
      </c>
      <c r="B78" s="21" t="str">
        <f t="shared" si="4"/>
        <v>2016/11/27 01:52:50.642</v>
      </c>
      <c r="C78" s="21">
        <f t="shared" si="5"/>
        <v>3.9699079934507608E-6</v>
      </c>
    </row>
    <row r="79" spans="1:3" x14ac:dyDescent="0.25">
      <c r="A79" t="s">
        <v>841</v>
      </c>
      <c r="B79" s="21" t="str">
        <f t="shared" si="4"/>
        <v>2016/11/27 01:54:24.065</v>
      </c>
      <c r="C79" s="21">
        <f t="shared" si="5"/>
        <v>1.0812847249326296E-3</v>
      </c>
    </row>
    <row r="80" spans="1:3" x14ac:dyDescent="0.25">
      <c r="A80" t="s">
        <v>842</v>
      </c>
      <c r="B80" s="21" t="str">
        <f t="shared" si="4"/>
        <v>2016/11/27 01:54:24.632</v>
      </c>
      <c r="C80" s="21">
        <f t="shared" si="5"/>
        <v>6.5624990384094417E-6</v>
      </c>
    </row>
    <row r="81" spans="1:3" x14ac:dyDescent="0.25">
      <c r="A81" t="s">
        <v>843</v>
      </c>
      <c r="B81" s="21" t="str">
        <f t="shared" si="4"/>
        <v>2016/11/27 03:34:09.789</v>
      </c>
      <c r="C81" s="21">
        <f t="shared" si="5"/>
        <v>6.9272650463972241E-2</v>
      </c>
    </row>
    <row r="82" spans="1:3" x14ac:dyDescent="0.25">
      <c r="A82" t="s">
        <v>844</v>
      </c>
      <c r="B82" s="21" t="str">
        <f t="shared" si="4"/>
        <v>2016/11/27 03:34:10.633</v>
      </c>
      <c r="C82" s="21">
        <f t="shared" si="5"/>
        <v>9.768518793862313E-6</v>
      </c>
    </row>
    <row r="83" spans="1:3" x14ac:dyDescent="0.25">
      <c r="A83" t="s">
        <v>845</v>
      </c>
      <c r="B83" s="21" t="str">
        <f t="shared" si="4"/>
        <v>2016/11/27 03:34:31.822</v>
      </c>
      <c r="C83" s="21">
        <f t="shared" si="5"/>
        <v>2.4524305626982823E-4</v>
      </c>
    </row>
    <row r="84" spans="1:3" x14ac:dyDescent="0.25">
      <c r="A84" t="s">
        <v>846</v>
      </c>
      <c r="B84" s="21" t="str">
        <f t="shared" si="4"/>
        <v>2016/11/27 03:34:31.878</v>
      </c>
      <c r="C84" s="21">
        <f t="shared" si="5"/>
        <v>6.4814958022907376E-7</v>
      </c>
    </row>
    <row r="85" spans="1:3" x14ac:dyDescent="0.25">
      <c r="A85" t="s">
        <v>847</v>
      </c>
      <c r="B85" s="21" t="str">
        <f t="shared" si="4"/>
        <v>2016/11/27 03:42:40.775</v>
      </c>
      <c r="C85" s="21">
        <f t="shared" si="5"/>
        <v>5.6585300917504355E-3</v>
      </c>
    </row>
    <row r="86" spans="1:3" x14ac:dyDescent="0.25">
      <c r="A86" t="s">
        <v>848</v>
      </c>
      <c r="B86" s="21" t="str">
        <f t="shared" si="4"/>
        <v>2016/11/27 03:42:41.609</v>
      </c>
      <c r="C86" s="21">
        <f t="shared" si="5"/>
        <v>9.6527728601358831E-6</v>
      </c>
    </row>
    <row r="87" spans="1:3" x14ac:dyDescent="0.25">
      <c r="A87" t="s">
        <v>849</v>
      </c>
      <c r="B87" s="21" t="str">
        <f t="shared" si="4"/>
        <v>2016/11/27 03:51:59.645</v>
      </c>
      <c r="C87" s="21">
        <f t="shared" si="5"/>
        <v>6.4587500019115396E-3</v>
      </c>
    </row>
    <row r="88" spans="1:3" x14ac:dyDescent="0.25">
      <c r="A88" t="s">
        <v>850</v>
      </c>
      <c r="B88" s="21" t="str">
        <f t="shared" si="4"/>
        <v>2016/11/27 04:37:12.162</v>
      </c>
      <c r="C88" s="21">
        <f t="shared" si="5"/>
        <v>3.1394872683449648E-2</v>
      </c>
    </row>
    <row r="89" spans="1:3" x14ac:dyDescent="0.25">
      <c r="A89" t="s">
        <v>851</v>
      </c>
      <c r="B89" s="21" t="str">
        <f t="shared" si="4"/>
        <v>2016/11/27 04:37:12.477</v>
      </c>
      <c r="C89" s="21">
        <f t="shared" si="5"/>
        <v>3.6458368413150311E-6</v>
      </c>
    </row>
    <row r="90" spans="1:3" x14ac:dyDescent="0.25">
      <c r="A90" t="s">
        <v>852</v>
      </c>
      <c r="B90" s="21" t="str">
        <f t="shared" si="4"/>
        <v>2016/11/27 04:39:40.883</v>
      </c>
      <c r="C90" s="21">
        <f t="shared" si="5"/>
        <v>1.7176620385725982E-3</v>
      </c>
    </row>
    <row r="91" spans="1:3" x14ac:dyDescent="0.25">
      <c r="A91" t="s">
        <v>853</v>
      </c>
      <c r="B91" s="21" t="str">
        <f t="shared" si="4"/>
        <v>2016/11/27 04:51:46.884</v>
      </c>
      <c r="C91" s="21">
        <f t="shared" si="5"/>
        <v>8.4027893462916836E-3</v>
      </c>
    </row>
    <row r="92" spans="1:3" x14ac:dyDescent="0.25">
      <c r="A92" t="s">
        <v>854</v>
      </c>
      <c r="B92" s="21" t="str">
        <f t="shared" si="4"/>
        <v>2016/11/27 04:54:27.068</v>
      </c>
      <c r="C92" s="21">
        <f t="shared" si="5"/>
        <v>1.8539814846008085E-3</v>
      </c>
    </row>
    <row r="93" spans="1:3" x14ac:dyDescent="0.25">
      <c r="A93" t="s">
        <v>855</v>
      </c>
      <c r="B93" s="21" t="str">
        <f t="shared" si="4"/>
        <v>2016/11/27 05:57:42.512</v>
      </c>
      <c r="C93" s="21">
        <f t="shared" si="5"/>
        <v>4.3928749997576233E-2</v>
      </c>
    </row>
    <row r="94" spans="1:3" x14ac:dyDescent="0.25">
      <c r="A94" t="s">
        <v>856</v>
      </c>
      <c r="B94" s="21" t="str">
        <f t="shared" si="4"/>
        <v>2016/11/27 05:57:43.169</v>
      </c>
      <c r="C94" s="21">
        <f t="shared" si="5"/>
        <v>7.6041687862016261E-6</v>
      </c>
    </row>
    <row r="95" spans="1:3" x14ac:dyDescent="0.25">
      <c r="A95" t="s">
        <v>857</v>
      </c>
      <c r="B95" s="21" t="str">
        <f t="shared" si="4"/>
        <v>2016/11/27 05:57:44.096</v>
      </c>
      <c r="C95" s="21">
        <f t="shared" si="5"/>
        <v>1.0729170753620565E-5</v>
      </c>
    </row>
    <row r="96" spans="1:3" x14ac:dyDescent="0.25">
      <c r="A96" t="s">
        <v>858</v>
      </c>
      <c r="B96" s="21" t="str">
        <f t="shared" si="4"/>
        <v>2016/11/27 06:41:09.833</v>
      </c>
      <c r="C96" s="21">
        <f t="shared" si="5"/>
        <v>3.0158993053191807E-2</v>
      </c>
    </row>
    <row r="97" spans="1:3" x14ac:dyDescent="0.25">
      <c r="A97" t="s">
        <v>859</v>
      </c>
      <c r="B97" s="21" t="str">
        <f t="shared" si="4"/>
        <v>2016/11/27 06:41:10.327</v>
      </c>
      <c r="C97" s="21">
        <f t="shared" si="5"/>
        <v>5.7175930123776197E-6</v>
      </c>
    </row>
    <row r="98" spans="1:3" x14ac:dyDescent="0.25">
      <c r="B98" s="21"/>
      <c r="C98" s="21"/>
    </row>
    <row r="99" spans="1:3" x14ac:dyDescent="0.25">
      <c r="B99" s="21"/>
      <c r="C99" s="21"/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2016-11-28T17:00:17Z</dcterms:modified>
</cp:coreProperties>
</file>