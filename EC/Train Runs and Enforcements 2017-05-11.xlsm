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Enforcements!$A$6:$AC$62</definedName>
    <definedName name="_xlnm._FilterDatabase" localSheetId="2" hidden="1">'Missing Trips'!$A$2:$J$78</definedName>
    <definedName name="_xlnm._FilterDatabase" localSheetId="0" hidden="1">'Train Runs'!$A$12:$AG$271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96" i="1" l="1"/>
  <c r="P196" i="1"/>
  <c r="X194" i="1"/>
  <c r="K200" i="1"/>
  <c r="L200" i="1"/>
  <c r="M200" i="1"/>
  <c r="T200" i="1"/>
  <c r="V200" i="1"/>
  <c r="Y200" i="1"/>
  <c r="Z200" i="1"/>
  <c r="AA200" i="1" s="1"/>
  <c r="AB200" i="1"/>
  <c r="AC200" i="1"/>
  <c r="AD200" i="1"/>
  <c r="AG200" i="1" s="1"/>
  <c r="AE200" i="1"/>
  <c r="AF200" i="1"/>
  <c r="AH200" i="1"/>
  <c r="AM200" i="1"/>
  <c r="AN200" i="1"/>
  <c r="K193" i="1"/>
  <c r="L193" i="1"/>
  <c r="M193" i="1"/>
  <c r="T193" i="1"/>
  <c r="V193" i="1"/>
  <c r="Y193" i="1"/>
  <c r="Z193" i="1"/>
  <c r="AA193" i="1"/>
  <c r="W193" i="1" s="1"/>
  <c r="AB193" i="1"/>
  <c r="AC193" i="1"/>
  <c r="AD193" i="1"/>
  <c r="AE193" i="1"/>
  <c r="AF193" i="1"/>
  <c r="AG193" i="1"/>
  <c r="AH193" i="1"/>
  <c r="AM193" i="1"/>
  <c r="AN193" i="1"/>
  <c r="K45" i="1"/>
  <c r="L45" i="1"/>
  <c r="M45" i="1"/>
  <c r="N45" i="1" s="1"/>
  <c r="V45" i="1"/>
  <c r="Y45" i="1"/>
  <c r="AA45" i="1"/>
  <c r="AB45" i="1"/>
  <c r="AC45" i="1"/>
  <c r="AD45" i="1"/>
  <c r="T45" i="1" s="1"/>
  <c r="AE45" i="1"/>
  <c r="AF45" i="1"/>
  <c r="AH45" i="1"/>
  <c r="AM45" i="1"/>
  <c r="AN45" i="1"/>
  <c r="W200" i="1" l="1"/>
  <c r="U200" i="1"/>
  <c r="S200" i="1" s="1"/>
  <c r="AI200" i="1"/>
  <c r="U193" i="1"/>
  <c r="S193" i="1" s="1"/>
  <c r="AI193" i="1"/>
  <c r="AG45" i="1"/>
  <c r="W45" i="1" s="1"/>
  <c r="P5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S15" i="3" s="1"/>
  <c r="Y17" i="1"/>
  <c r="Z17" i="1"/>
  <c r="AB17" i="1"/>
  <c r="AC17" i="1"/>
  <c r="AD17" i="1"/>
  <c r="AE17" i="1"/>
  <c r="R15" i="3" s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W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AA23" i="1" s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R7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R10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S9" i="3" s="1"/>
  <c r="Y36" i="1"/>
  <c r="Z36" i="1"/>
  <c r="AA36" i="1" s="1"/>
  <c r="AB36" i="1"/>
  <c r="AC36" i="1"/>
  <c r="AD36" i="1"/>
  <c r="AG36" i="1" s="1"/>
  <c r="AE36" i="1"/>
  <c r="R9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P42" i="1" s="1"/>
  <c r="V42" i="1"/>
  <c r="Y42" i="1"/>
  <c r="Z42" i="1"/>
  <c r="AA42" i="1" s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K47" i="1"/>
  <c r="L47" i="1"/>
  <c r="M47" i="1"/>
  <c r="P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K48" i="1"/>
  <c r="L48" i="1"/>
  <c r="M48" i="1"/>
  <c r="V48" i="1"/>
  <c r="Y48" i="1"/>
  <c r="Z48" i="1"/>
  <c r="AB48" i="1"/>
  <c r="AC48" i="1"/>
  <c r="AD48" i="1"/>
  <c r="AE48" i="1"/>
  <c r="R17" i="3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P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P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P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P65" i="1" s="1"/>
  <c r="V65" i="1"/>
  <c r="S18" i="3" s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V66" i="1"/>
  <c r="Y66" i="1"/>
  <c r="Z66" i="1"/>
  <c r="AB66" i="1"/>
  <c r="AC66" i="1"/>
  <c r="AD66" i="1"/>
  <c r="AG66" i="1" s="1"/>
  <c r="AE66" i="1"/>
  <c r="R18" i="3" s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P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R13" i="3" s="1"/>
  <c r="AF74" i="1"/>
  <c r="AH74" i="1"/>
  <c r="AM74" i="1"/>
  <c r="AN74" i="1"/>
  <c r="K75" i="1"/>
  <c r="L75" i="1"/>
  <c r="M75" i="1"/>
  <c r="N75" i="1" s="1"/>
  <c r="V75" i="1"/>
  <c r="S8" i="3" s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S14" i="3" s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G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R22" i="3" s="1"/>
  <c r="AF97" i="1"/>
  <c r="AH97" i="1"/>
  <c r="AM97" i="1"/>
  <c r="AN97" i="1"/>
  <c r="K98" i="1"/>
  <c r="L98" i="1"/>
  <c r="M98" i="1"/>
  <c r="N98" i="1" s="1"/>
  <c r="V98" i="1"/>
  <c r="S20" i="3" s="1"/>
  <c r="Y98" i="1"/>
  <c r="Z98" i="1"/>
  <c r="AB98" i="1"/>
  <c r="AC98" i="1"/>
  <c r="AD98" i="1"/>
  <c r="AE98" i="1"/>
  <c r="R20" i="3" s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R21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AA105" i="1" s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S11" i="3" s="1"/>
  <c r="Y111" i="1"/>
  <c r="Z111" i="1"/>
  <c r="AB111" i="1"/>
  <c r="AC111" i="1"/>
  <c r="AD111" i="1"/>
  <c r="X111" i="1" s="1"/>
  <c r="AE111" i="1"/>
  <c r="R11" i="3" s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P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79" i="1"/>
  <c r="L179" i="1"/>
  <c r="M179" i="1"/>
  <c r="N179" i="1" s="1"/>
  <c r="V179" i="1"/>
  <c r="Y179" i="1"/>
  <c r="Z179" i="1"/>
  <c r="AB179" i="1"/>
  <c r="AC179" i="1"/>
  <c r="AD179" i="1"/>
  <c r="AG179" i="1" s="1"/>
  <c r="AI179" i="1" s="1"/>
  <c r="AE179" i="1"/>
  <c r="AF179" i="1"/>
  <c r="AH132" i="1"/>
  <c r="AM132" i="1"/>
  <c r="AN132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33" i="1"/>
  <c r="AM133" i="1"/>
  <c r="AN133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34" i="1"/>
  <c r="AM134" i="1"/>
  <c r="AN134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35" i="1"/>
  <c r="AM135" i="1"/>
  <c r="AN135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36" i="1"/>
  <c r="AM136" i="1"/>
  <c r="AN136" i="1"/>
  <c r="K184" i="1"/>
  <c r="L184" i="1"/>
  <c r="M184" i="1"/>
  <c r="N184" i="1" s="1"/>
  <c r="V184" i="1"/>
  <c r="S31" i="3" s="1"/>
  <c r="Y184" i="1"/>
  <c r="Z184" i="1"/>
  <c r="AB184" i="1"/>
  <c r="AC184" i="1"/>
  <c r="AD184" i="1"/>
  <c r="AE184" i="1"/>
  <c r="AF184" i="1"/>
  <c r="AH137" i="1"/>
  <c r="AM137" i="1"/>
  <c r="AN137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38" i="1"/>
  <c r="AM138" i="1"/>
  <c r="AN138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39" i="1"/>
  <c r="AM139" i="1"/>
  <c r="AN139" i="1"/>
  <c r="K187" i="1"/>
  <c r="L187" i="1"/>
  <c r="M187" i="1"/>
  <c r="N187" i="1"/>
  <c r="V187" i="1"/>
  <c r="Y187" i="1"/>
  <c r="Z187" i="1"/>
  <c r="AB187" i="1"/>
  <c r="AC187" i="1"/>
  <c r="AD187" i="1"/>
  <c r="AG187" i="1" s="1"/>
  <c r="AI187" i="1" s="1"/>
  <c r="AE187" i="1"/>
  <c r="AF187" i="1"/>
  <c r="AH140" i="1"/>
  <c r="AM140" i="1"/>
  <c r="AN14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41" i="1"/>
  <c r="AM141" i="1"/>
  <c r="AN141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142" i="1"/>
  <c r="AM142" i="1"/>
  <c r="AN14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43" i="1"/>
  <c r="AM143" i="1"/>
  <c r="AN143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44" i="1"/>
  <c r="AM144" i="1"/>
  <c r="AN144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145" i="1"/>
  <c r="AM145" i="1"/>
  <c r="AN14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146" i="1"/>
  <c r="AM146" i="1"/>
  <c r="AN146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147" i="1"/>
  <c r="AM147" i="1"/>
  <c r="AN147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148" i="1"/>
  <c r="AM148" i="1"/>
  <c r="AN148" i="1"/>
  <c r="K204" i="1"/>
  <c r="L204" i="1"/>
  <c r="M204" i="1"/>
  <c r="N204" i="1" s="1"/>
  <c r="V204" i="1"/>
  <c r="S34" i="3" s="1"/>
  <c r="Y204" i="1"/>
  <c r="Z204" i="1"/>
  <c r="AB204" i="1"/>
  <c r="AC204" i="1"/>
  <c r="AD204" i="1"/>
  <c r="T204" i="1" s="1"/>
  <c r="AE204" i="1"/>
  <c r="AF204" i="1"/>
  <c r="AH149" i="1"/>
  <c r="AM149" i="1"/>
  <c r="AN149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0" i="1"/>
  <c r="AM150" i="1"/>
  <c r="AN150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1" i="1"/>
  <c r="AM151" i="1"/>
  <c r="AN151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2" i="1"/>
  <c r="AM152" i="1"/>
  <c r="AN152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3" i="1"/>
  <c r="AM153" i="1"/>
  <c r="AN153" i="1"/>
  <c r="K209" i="1"/>
  <c r="L209" i="1"/>
  <c r="M209" i="1"/>
  <c r="N209" i="1"/>
  <c r="V209" i="1"/>
  <c r="Y209" i="1"/>
  <c r="Z209" i="1"/>
  <c r="AB209" i="1"/>
  <c r="AC209" i="1"/>
  <c r="AD209" i="1"/>
  <c r="T209" i="1" s="1"/>
  <c r="AE209" i="1"/>
  <c r="AF209" i="1"/>
  <c r="AH154" i="1"/>
  <c r="AM154" i="1"/>
  <c r="AN154" i="1"/>
  <c r="K210" i="1"/>
  <c r="L210" i="1"/>
  <c r="M210" i="1"/>
  <c r="N210" i="1" s="1"/>
  <c r="V210" i="1"/>
  <c r="Y210" i="1"/>
  <c r="AA210" i="1" s="1"/>
  <c r="Z210" i="1"/>
  <c r="AB210" i="1"/>
  <c r="AC210" i="1"/>
  <c r="AD210" i="1"/>
  <c r="AE210" i="1"/>
  <c r="AF210" i="1"/>
  <c r="AH155" i="1"/>
  <c r="AM155" i="1"/>
  <c r="AN155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56" i="1"/>
  <c r="AM156" i="1"/>
  <c r="AN156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57" i="1"/>
  <c r="AM157" i="1"/>
  <c r="AN157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58" i="1"/>
  <c r="AM158" i="1"/>
  <c r="AN158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59" i="1"/>
  <c r="AM159" i="1"/>
  <c r="AN15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0" i="1"/>
  <c r="AM160" i="1"/>
  <c r="AN160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1" i="1"/>
  <c r="AM161" i="1"/>
  <c r="AN161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2" i="1"/>
  <c r="AM162" i="1"/>
  <c r="AN162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63" i="1"/>
  <c r="AM163" i="1"/>
  <c r="AN163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4" i="1"/>
  <c r="AM164" i="1"/>
  <c r="AN164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5" i="1"/>
  <c r="AM165" i="1"/>
  <c r="AN165" i="1"/>
  <c r="K221" i="1"/>
  <c r="L221" i="1"/>
  <c r="M221" i="1"/>
  <c r="N221" i="1"/>
  <c r="V221" i="1"/>
  <c r="Y221" i="1"/>
  <c r="Z221" i="1"/>
  <c r="AB221" i="1"/>
  <c r="AC221" i="1"/>
  <c r="AD221" i="1"/>
  <c r="T221" i="1" s="1"/>
  <c r="AE221" i="1"/>
  <c r="AF221" i="1"/>
  <c r="AH166" i="1"/>
  <c r="AM166" i="1"/>
  <c r="AN166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7" i="1"/>
  <c r="AM167" i="1"/>
  <c r="AN167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68" i="1"/>
  <c r="AM168" i="1"/>
  <c r="AN168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69" i="1"/>
  <c r="AM169" i="1"/>
  <c r="AN169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0" i="1"/>
  <c r="AM170" i="1"/>
  <c r="AN170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1" i="1"/>
  <c r="AM171" i="1"/>
  <c r="AN171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I230" i="1" s="1"/>
  <c r="AB230" i="1"/>
  <c r="AC230" i="1"/>
  <c r="AD230" i="1"/>
  <c r="AG230" i="1" s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I234" i="1" s="1"/>
  <c r="AB234" i="1"/>
  <c r="AC234" i="1"/>
  <c r="AD234" i="1"/>
  <c r="T234" i="1" s="1"/>
  <c r="AE234" i="1"/>
  <c r="AF234" i="1"/>
  <c r="AG234" i="1"/>
  <c r="AH179" i="1"/>
  <c r="AM179" i="1"/>
  <c r="AN179" i="1"/>
  <c r="K235" i="1"/>
  <c r="L235" i="1"/>
  <c r="M235" i="1"/>
  <c r="N235" i="1" s="1"/>
  <c r="T235" i="1"/>
  <c r="V235" i="1"/>
  <c r="X235" i="1"/>
  <c r="Y235" i="1"/>
  <c r="Z235" i="1"/>
  <c r="AA235" i="1" s="1"/>
  <c r="AB235" i="1"/>
  <c r="AC235" i="1"/>
  <c r="AD235" i="1"/>
  <c r="AE235" i="1"/>
  <c r="AF235" i="1"/>
  <c r="AG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2" i="1"/>
  <c r="AM182" i="1"/>
  <c r="AN182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3" i="1"/>
  <c r="AM183" i="1"/>
  <c r="AN183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4" i="1"/>
  <c r="AM184" i="1"/>
  <c r="AN184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5" i="1"/>
  <c r="AM185" i="1"/>
  <c r="AN185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6" i="1"/>
  <c r="AM186" i="1"/>
  <c r="AN186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7" i="1"/>
  <c r="AM187" i="1"/>
  <c r="AN187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8" i="1"/>
  <c r="AM188" i="1"/>
  <c r="AN188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89" i="1"/>
  <c r="AM189" i="1"/>
  <c r="AN189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0" i="1"/>
  <c r="AM190" i="1"/>
  <c r="AN190" i="1"/>
  <c r="K246" i="1"/>
  <c r="L246" i="1"/>
  <c r="M246" i="1"/>
  <c r="N246" i="1" s="1"/>
  <c r="V246" i="1"/>
  <c r="Y246" i="1"/>
  <c r="Z246" i="1"/>
  <c r="AB246" i="1"/>
  <c r="AC246" i="1"/>
  <c r="AD246" i="1"/>
  <c r="AG246" i="1" s="1"/>
  <c r="AI246" i="1" s="1"/>
  <c r="AE246" i="1"/>
  <c r="AF246" i="1"/>
  <c r="AH191" i="1"/>
  <c r="AM191" i="1"/>
  <c r="AN191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2" i="1"/>
  <c r="AM192" i="1"/>
  <c r="AN192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94" i="1"/>
  <c r="AM194" i="1"/>
  <c r="AN194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95" i="1"/>
  <c r="AM195" i="1"/>
  <c r="AN195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96" i="1"/>
  <c r="AM196" i="1"/>
  <c r="AN196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97" i="1"/>
  <c r="AM197" i="1"/>
  <c r="AN197" i="1"/>
  <c r="K136" i="1"/>
  <c r="L136" i="1"/>
  <c r="M136" i="1"/>
  <c r="N136" i="1" s="1"/>
  <c r="V136" i="1"/>
  <c r="S26" i="3" s="1"/>
  <c r="Y136" i="1"/>
  <c r="Z136" i="1"/>
  <c r="AB136" i="1"/>
  <c r="AC136" i="1"/>
  <c r="AD136" i="1"/>
  <c r="T136" i="1" s="1"/>
  <c r="AE136" i="1"/>
  <c r="R26" i="3" s="1"/>
  <c r="AF136" i="1"/>
  <c r="AH198" i="1"/>
  <c r="AM198" i="1"/>
  <c r="AN198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99" i="1"/>
  <c r="AM199" i="1"/>
  <c r="AN199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201" i="1"/>
  <c r="AM201" i="1"/>
  <c r="AN201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202" i="1"/>
  <c r="AM202" i="1"/>
  <c r="AN202" i="1"/>
  <c r="K140" i="1"/>
  <c r="L140" i="1"/>
  <c r="M140" i="1"/>
  <c r="N140" i="1" s="1"/>
  <c r="V140" i="1"/>
  <c r="S24" i="3" s="1"/>
  <c r="Y140" i="1"/>
  <c r="Z140" i="1"/>
  <c r="AB140" i="1"/>
  <c r="AC140" i="1"/>
  <c r="AD140" i="1"/>
  <c r="T140" i="1" s="1"/>
  <c r="AE140" i="1"/>
  <c r="R24" i="3" s="1"/>
  <c r="AF140" i="1"/>
  <c r="AH203" i="1"/>
  <c r="AM203" i="1"/>
  <c r="AN203" i="1"/>
  <c r="K141" i="1"/>
  <c r="L141" i="1"/>
  <c r="M141" i="1"/>
  <c r="N141" i="1" s="1"/>
  <c r="V141" i="1"/>
  <c r="S25" i="3" s="1"/>
  <c r="Y141" i="1"/>
  <c r="Z141" i="1"/>
  <c r="AB141" i="1"/>
  <c r="AC141" i="1"/>
  <c r="AD141" i="1"/>
  <c r="T141" i="1" s="1"/>
  <c r="AE141" i="1"/>
  <c r="AF141" i="1"/>
  <c r="AH204" i="1"/>
  <c r="AM204" i="1"/>
  <c r="AN204" i="1"/>
  <c r="K142" i="1"/>
  <c r="L142" i="1"/>
  <c r="M142" i="1"/>
  <c r="N142" i="1" s="1"/>
  <c r="V142" i="1"/>
  <c r="S23" i="3" s="1"/>
  <c r="Y142" i="1"/>
  <c r="Z142" i="1"/>
  <c r="AA142" i="1" s="1"/>
  <c r="AB142" i="1"/>
  <c r="AC142" i="1"/>
  <c r="AD142" i="1"/>
  <c r="AE142" i="1"/>
  <c r="R23" i="3" s="1"/>
  <c r="AF142" i="1"/>
  <c r="AH205" i="1"/>
  <c r="AM205" i="1"/>
  <c r="AN205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206" i="1"/>
  <c r="AM206" i="1"/>
  <c r="AN206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207" i="1"/>
  <c r="AM207" i="1"/>
  <c r="AN207" i="1"/>
  <c r="K145" i="1"/>
  <c r="L145" i="1"/>
  <c r="M145" i="1"/>
  <c r="N145" i="1"/>
  <c r="V145" i="1"/>
  <c r="Y145" i="1"/>
  <c r="Z145" i="1"/>
  <c r="AB145" i="1"/>
  <c r="AC145" i="1"/>
  <c r="AD145" i="1"/>
  <c r="T145" i="1" s="1"/>
  <c r="AE145" i="1"/>
  <c r="AF145" i="1"/>
  <c r="AH208" i="1"/>
  <c r="AM208" i="1"/>
  <c r="AN208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209" i="1"/>
  <c r="AM209" i="1"/>
  <c r="AN209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210" i="1"/>
  <c r="AM210" i="1"/>
  <c r="AN210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211" i="1"/>
  <c r="AM211" i="1"/>
  <c r="AN211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212" i="1"/>
  <c r="AM212" i="1"/>
  <c r="AN212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213" i="1"/>
  <c r="AM213" i="1"/>
  <c r="AN213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214" i="1"/>
  <c r="AM214" i="1"/>
  <c r="AN214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215" i="1"/>
  <c r="AM215" i="1"/>
  <c r="AN215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216" i="1"/>
  <c r="AM216" i="1"/>
  <c r="AN216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217" i="1"/>
  <c r="AM217" i="1"/>
  <c r="AN217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218" i="1"/>
  <c r="AM218" i="1"/>
  <c r="AN218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219" i="1"/>
  <c r="AM219" i="1"/>
  <c r="AN219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220" i="1"/>
  <c r="AM220" i="1"/>
  <c r="AN220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221" i="1"/>
  <c r="AM221" i="1"/>
  <c r="AN221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222" i="1"/>
  <c r="AM222" i="1"/>
  <c r="AN222" i="1"/>
  <c r="K160" i="1"/>
  <c r="L160" i="1"/>
  <c r="M160" i="1"/>
  <c r="N160" i="1" s="1"/>
  <c r="V160" i="1"/>
  <c r="Y160" i="1"/>
  <c r="Z160" i="1"/>
  <c r="AA160" i="1" s="1"/>
  <c r="AB160" i="1"/>
  <c r="AC160" i="1"/>
  <c r="AD160" i="1"/>
  <c r="T160" i="1" s="1"/>
  <c r="AE160" i="1"/>
  <c r="AF160" i="1"/>
  <c r="AH223" i="1"/>
  <c r="AM223" i="1"/>
  <c r="AN223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224" i="1"/>
  <c r="AM224" i="1"/>
  <c r="AN224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225" i="1"/>
  <c r="AM225" i="1"/>
  <c r="AN225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26" i="1"/>
  <c r="AM226" i="1"/>
  <c r="AN22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27" i="1"/>
  <c r="AM227" i="1"/>
  <c r="AN227" i="1"/>
  <c r="K165" i="1"/>
  <c r="L165" i="1"/>
  <c r="M165" i="1"/>
  <c r="N165" i="1" s="1"/>
  <c r="V165" i="1"/>
  <c r="S28" i="3" s="1"/>
  <c r="Y165" i="1"/>
  <c r="Z165" i="1"/>
  <c r="AB165" i="1"/>
  <c r="AC165" i="1"/>
  <c r="AD165" i="1"/>
  <c r="AG165" i="1" s="1"/>
  <c r="AE165" i="1"/>
  <c r="R28" i="3" s="1"/>
  <c r="AF165" i="1"/>
  <c r="AH228" i="1"/>
  <c r="AM228" i="1"/>
  <c r="AN228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229" i="1"/>
  <c r="AM229" i="1"/>
  <c r="AN22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30" i="1"/>
  <c r="AM230" i="1"/>
  <c r="AN23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31" i="1"/>
  <c r="AM231" i="1"/>
  <c r="AN231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32" i="1"/>
  <c r="AM232" i="1"/>
  <c r="AN232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33" i="1"/>
  <c r="AM233" i="1"/>
  <c r="AN233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34" i="1"/>
  <c r="AM234" i="1"/>
  <c r="AN234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35" i="1"/>
  <c r="AM235" i="1"/>
  <c r="AN235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36" i="1"/>
  <c r="AM236" i="1"/>
  <c r="AN236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37" i="1"/>
  <c r="AM237" i="1"/>
  <c r="AN237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38" i="1"/>
  <c r="AM238" i="1"/>
  <c r="AN238" i="1"/>
  <c r="K176" i="1"/>
  <c r="L176" i="1"/>
  <c r="M176" i="1"/>
  <c r="N176" i="1" s="1"/>
  <c r="V176" i="1"/>
  <c r="S27" i="3" s="1"/>
  <c r="Y176" i="1"/>
  <c r="Z176" i="1"/>
  <c r="AB176" i="1"/>
  <c r="AC176" i="1"/>
  <c r="AD176" i="1"/>
  <c r="AE176" i="1"/>
  <c r="AF176" i="1"/>
  <c r="AH239" i="1"/>
  <c r="AM239" i="1"/>
  <c r="AN23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40" i="1"/>
  <c r="AM240" i="1"/>
  <c r="AN24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41" i="1"/>
  <c r="AM241" i="1"/>
  <c r="AN241" i="1"/>
  <c r="K248" i="1"/>
  <c r="L248" i="1"/>
  <c r="M248" i="1"/>
  <c r="N248" i="1" s="1"/>
  <c r="V248" i="1"/>
  <c r="Y248" i="1"/>
  <c r="Z248" i="1"/>
  <c r="AA248" i="1" s="1"/>
  <c r="AB248" i="1"/>
  <c r="AC248" i="1"/>
  <c r="AD248" i="1"/>
  <c r="T248" i="1" s="1"/>
  <c r="AE248" i="1"/>
  <c r="AF248" i="1"/>
  <c r="AH242" i="1"/>
  <c r="AM242" i="1"/>
  <c r="AN242" i="1"/>
  <c r="K249" i="1"/>
  <c r="L249" i="1"/>
  <c r="M249" i="1"/>
  <c r="N249" i="1" s="1"/>
  <c r="V249" i="1"/>
  <c r="Y249" i="1"/>
  <c r="Z249" i="1"/>
  <c r="AB249" i="1"/>
  <c r="AC249" i="1"/>
  <c r="AD249" i="1"/>
  <c r="AE249" i="1"/>
  <c r="AF249" i="1"/>
  <c r="AH243" i="1"/>
  <c r="AM243" i="1"/>
  <c r="AN24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44" i="1"/>
  <c r="AM244" i="1"/>
  <c r="AN244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45" i="1"/>
  <c r="AM245" i="1"/>
  <c r="AN245" i="1"/>
  <c r="K195" i="1"/>
  <c r="L195" i="1"/>
  <c r="M195" i="1"/>
  <c r="V195" i="1"/>
  <c r="S32" i="3" s="1"/>
  <c r="Y195" i="1"/>
  <c r="Z195" i="1"/>
  <c r="AA195" i="1" s="1"/>
  <c r="AB195" i="1"/>
  <c r="AC195" i="1"/>
  <c r="AD195" i="1"/>
  <c r="T195" i="1" s="1"/>
  <c r="AE195" i="1"/>
  <c r="AF195" i="1"/>
  <c r="AH246" i="1"/>
  <c r="AM246" i="1"/>
  <c r="AN246" i="1"/>
  <c r="K196" i="1"/>
  <c r="L196" i="1"/>
  <c r="M196" i="1"/>
  <c r="V196" i="1"/>
  <c r="Y196" i="1"/>
  <c r="Z196" i="1"/>
  <c r="AB196" i="1"/>
  <c r="AC196" i="1"/>
  <c r="AD196" i="1"/>
  <c r="AG196" i="1" s="1"/>
  <c r="AE196" i="1"/>
  <c r="AF196" i="1"/>
  <c r="AH247" i="1"/>
  <c r="AM247" i="1"/>
  <c r="AN24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48" i="1"/>
  <c r="AM248" i="1"/>
  <c r="AN24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49" i="1"/>
  <c r="AM249" i="1"/>
  <c r="AN249" i="1"/>
  <c r="M19" i="3"/>
  <c r="R19" i="3"/>
  <c r="S19" i="3"/>
  <c r="U19" i="3"/>
  <c r="T19" i="3" s="1"/>
  <c r="V19" i="3"/>
  <c r="AE19" i="3" s="1"/>
  <c r="W19" i="3"/>
  <c r="X19" i="3"/>
  <c r="M33" i="3"/>
  <c r="R33" i="3"/>
  <c r="U33" i="3"/>
  <c r="AC33" i="3" s="1"/>
  <c r="V33" i="3"/>
  <c r="W33" i="3"/>
  <c r="Y33" i="3" s="1"/>
  <c r="X33" i="3"/>
  <c r="M15" i="3"/>
  <c r="U15" i="3"/>
  <c r="AC15" i="3" s="1"/>
  <c r="V15" i="3"/>
  <c r="W15" i="3"/>
  <c r="X15" i="3"/>
  <c r="M29" i="3"/>
  <c r="R29" i="3"/>
  <c r="U29" i="3"/>
  <c r="AC29" i="3" s="1"/>
  <c r="V29" i="3"/>
  <c r="W29" i="3"/>
  <c r="X29" i="3"/>
  <c r="M10" i="3"/>
  <c r="S10" i="3"/>
  <c r="U10" i="3"/>
  <c r="V10" i="3"/>
  <c r="W10" i="3"/>
  <c r="X10" i="3"/>
  <c r="AC10" i="3"/>
  <c r="M26" i="3"/>
  <c r="U26" i="3"/>
  <c r="AC26" i="3" s="1"/>
  <c r="V26" i="3"/>
  <c r="W26" i="3"/>
  <c r="Y26" i="3" s="1"/>
  <c r="X26" i="3"/>
  <c r="M7" i="3"/>
  <c r="S7" i="3"/>
  <c r="U7" i="3"/>
  <c r="AC7" i="3" s="1"/>
  <c r="V7" i="3"/>
  <c r="W7" i="3"/>
  <c r="X7" i="3"/>
  <c r="M34" i="3"/>
  <c r="R34" i="3"/>
  <c r="U34" i="3"/>
  <c r="AC34" i="3" s="1"/>
  <c r="V34" i="3"/>
  <c r="W34" i="3"/>
  <c r="X34" i="3"/>
  <c r="M24" i="3"/>
  <c r="U24" i="3"/>
  <c r="T24" i="3" s="1"/>
  <c r="V24" i="3"/>
  <c r="W24" i="3"/>
  <c r="Y24" i="3" s="1"/>
  <c r="X24" i="3"/>
  <c r="AC24" i="3"/>
  <c r="M9" i="3"/>
  <c r="U9" i="3"/>
  <c r="AC9" i="3" s="1"/>
  <c r="V9" i="3"/>
  <c r="W9" i="3"/>
  <c r="X9" i="3"/>
  <c r="M25" i="3"/>
  <c r="R25" i="3"/>
  <c r="U25" i="3"/>
  <c r="AC25" i="3" s="1"/>
  <c r="V25" i="3"/>
  <c r="W25" i="3"/>
  <c r="X25" i="3"/>
  <c r="M23" i="3"/>
  <c r="U23" i="3"/>
  <c r="AC23" i="3" s="1"/>
  <c r="V23" i="3"/>
  <c r="W23" i="3"/>
  <c r="X23" i="3"/>
  <c r="AD19" i="3"/>
  <c r="M17" i="3"/>
  <c r="U17" i="3"/>
  <c r="V17" i="3"/>
  <c r="W17" i="3"/>
  <c r="X17" i="3"/>
  <c r="AC17" i="3"/>
  <c r="M35" i="3"/>
  <c r="R35" i="3"/>
  <c r="S35" i="3"/>
  <c r="U35" i="3"/>
  <c r="AC35" i="3" s="1"/>
  <c r="V35" i="3"/>
  <c r="W35" i="3"/>
  <c r="Y35" i="3" s="1"/>
  <c r="X35" i="3"/>
  <c r="M18" i="3"/>
  <c r="U18" i="3"/>
  <c r="AC18" i="3" s="1"/>
  <c r="V18" i="3"/>
  <c r="W18" i="3"/>
  <c r="X18" i="3"/>
  <c r="M13" i="3"/>
  <c r="S13" i="3"/>
  <c r="U13" i="3"/>
  <c r="T13" i="3" s="1"/>
  <c r="V13" i="3"/>
  <c r="AE23" i="3" s="1"/>
  <c r="W13" i="3"/>
  <c r="X13" i="3"/>
  <c r="AC13" i="3"/>
  <c r="AD23" i="3"/>
  <c r="M8" i="3"/>
  <c r="R8" i="3"/>
  <c r="U8" i="3"/>
  <c r="AD24" i="3" s="1"/>
  <c r="V8" i="3"/>
  <c r="W8" i="3"/>
  <c r="X8" i="3"/>
  <c r="AC8" i="3"/>
  <c r="M30" i="3"/>
  <c r="R30" i="3"/>
  <c r="S30" i="3"/>
  <c r="U30" i="3"/>
  <c r="AC30" i="3" s="1"/>
  <c r="V30" i="3"/>
  <c r="W30" i="3"/>
  <c r="X30" i="3"/>
  <c r="M32" i="3"/>
  <c r="R32" i="3"/>
  <c r="U32" i="3"/>
  <c r="AC32" i="3" s="1"/>
  <c r="V32" i="3"/>
  <c r="W32" i="3"/>
  <c r="X32" i="3"/>
  <c r="AE26" i="3"/>
  <c r="M16" i="3"/>
  <c r="R16" i="3"/>
  <c r="S16" i="3"/>
  <c r="U16" i="3"/>
  <c r="T16" i="3" s="1"/>
  <c r="V16" i="3"/>
  <c r="W16" i="3"/>
  <c r="Y16" i="3" s="1"/>
  <c r="X16" i="3"/>
  <c r="AC16" i="3"/>
  <c r="M36" i="3"/>
  <c r="R36" i="3"/>
  <c r="S36" i="3"/>
  <c r="U36" i="3"/>
  <c r="V36" i="3"/>
  <c r="W36" i="3"/>
  <c r="Y36" i="3" s="1"/>
  <c r="X36" i="3"/>
  <c r="M37" i="3"/>
  <c r="R37" i="3"/>
  <c r="S37" i="3"/>
  <c r="U37" i="3"/>
  <c r="AC37" i="3" s="1"/>
  <c r="V37" i="3"/>
  <c r="W37" i="3"/>
  <c r="X37" i="3"/>
  <c r="M38" i="3"/>
  <c r="R38" i="3"/>
  <c r="S38" i="3"/>
  <c r="U38" i="3"/>
  <c r="AC38" i="3" s="1"/>
  <c r="V38" i="3"/>
  <c r="W38" i="3"/>
  <c r="X38" i="3"/>
  <c r="AD30" i="3"/>
  <c r="M14" i="3"/>
  <c r="R14" i="3"/>
  <c r="T14" i="3"/>
  <c r="U14" i="3"/>
  <c r="V14" i="3"/>
  <c r="W14" i="3"/>
  <c r="X14" i="3"/>
  <c r="AC14" i="3"/>
  <c r="M28" i="3"/>
  <c r="U28" i="3"/>
  <c r="AD32" i="3" s="1"/>
  <c r="V28" i="3"/>
  <c r="W28" i="3"/>
  <c r="X28" i="3"/>
  <c r="Y28" i="3"/>
  <c r="M20" i="3"/>
  <c r="U20" i="3"/>
  <c r="AC20" i="3" s="1"/>
  <c r="V20" i="3"/>
  <c r="W20" i="3"/>
  <c r="X20" i="3"/>
  <c r="M22" i="3"/>
  <c r="S22" i="3"/>
  <c r="T22" i="3"/>
  <c r="U22" i="3"/>
  <c r="AC22" i="3" s="1"/>
  <c r="V22" i="3"/>
  <c r="W22" i="3"/>
  <c r="X22" i="3"/>
  <c r="M21" i="3"/>
  <c r="S21" i="3"/>
  <c r="U21" i="3"/>
  <c r="AD35" i="3" s="1"/>
  <c r="V21" i="3"/>
  <c r="W21" i="3"/>
  <c r="X21" i="3"/>
  <c r="AC21" i="3"/>
  <c r="M39" i="3"/>
  <c r="R39" i="3"/>
  <c r="U39" i="3"/>
  <c r="AD36" i="3" s="1"/>
  <c r="V39" i="3"/>
  <c r="W39" i="3"/>
  <c r="X39" i="3"/>
  <c r="M31" i="3"/>
  <c r="R31" i="3"/>
  <c r="U31" i="3"/>
  <c r="AC31" i="3" s="1"/>
  <c r="V31" i="3"/>
  <c r="W31" i="3"/>
  <c r="X31" i="3"/>
  <c r="M11" i="3"/>
  <c r="U11" i="3"/>
  <c r="AC11" i="3" s="1"/>
  <c r="V11" i="3"/>
  <c r="W11" i="3"/>
  <c r="X11" i="3"/>
  <c r="M27" i="3"/>
  <c r="R27" i="3"/>
  <c r="U27" i="3"/>
  <c r="T27" i="3" s="1"/>
  <c r="V27" i="3"/>
  <c r="W27" i="3"/>
  <c r="X27" i="3"/>
  <c r="AC27" i="3"/>
  <c r="S29" i="3" l="1"/>
  <c r="S33" i="3"/>
  <c r="X156" i="1"/>
  <c r="T153" i="1"/>
  <c r="T199" i="1"/>
  <c r="X200" i="1"/>
  <c r="AG169" i="1"/>
  <c r="T192" i="1"/>
  <c r="X193" i="1"/>
  <c r="S39" i="3"/>
  <c r="X123" i="1"/>
  <c r="AA121" i="1"/>
  <c r="AA117" i="1"/>
  <c r="X106" i="1"/>
  <c r="X40" i="1"/>
  <c r="T46" i="1"/>
  <c r="X46" i="1"/>
  <c r="AG48" i="1"/>
  <c r="X48" i="1"/>
  <c r="AA101" i="1"/>
  <c r="AG30" i="1"/>
  <c r="T43" i="1"/>
  <c r="X43" i="1"/>
  <c r="T47" i="1"/>
  <c r="X47" i="1"/>
  <c r="T44" i="1"/>
  <c r="X44" i="1"/>
  <c r="X45" i="1"/>
  <c r="AD38" i="3"/>
  <c r="Y30" i="3"/>
  <c r="Y9" i="3"/>
  <c r="Y39" i="3"/>
  <c r="Y29" i="3"/>
  <c r="T131" i="1"/>
  <c r="X131" i="1"/>
  <c r="T127" i="1"/>
  <c r="X127" i="1"/>
  <c r="T130" i="1"/>
  <c r="X130" i="1"/>
  <c r="AG128" i="1"/>
  <c r="X128" i="1"/>
  <c r="AG123" i="1"/>
  <c r="X122" i="1"/>
  <c r="AG121" i="1"/>
  <c r="AG38" i="1"/>
  <c r="U45" i="1"/>
  <c r="S45" i="1" s="1"/>
  <c r="AI45" i="1"/>
  <c r="T129" i="1"/>
  <c r="X129" i="1"/>
  <c r="W36" i="1"/>
  <c r="X249" i="1"/>
  <c r="AA157" i="1"/>
  <c r="T156" i="1"/>
  <c r="AA150" i="1"/>
  <c r="AG227" i="1"/>
  <c r="X227" i="1"/>
  <c r="AI218" i="1"/>
  <c r="AG215" i="1"/>
  <c r="X215" i="1"/>
  <c r="AI183" i="1"/>
  <c r="AA130" i="1"/>
  <c r="T111" i="1"/>
  <c r="AA110" i="1"/>
  <c r="W110" i="1" s="1"/>
  <c r="AA109" i="1"/>
  <c r="AA97" i="1"/>
  <c r="AA95" i="1"/>
  <c r="AA77" i="1"/>
  <c r="X76" i="1"/>
  <c r="AA70" i="1"/>
  <c r="W70" i="1" s="1"/>
  <c r="AA68" i="1"/>
  <c r="S17" i="3"/>
  <c r="T161" i="1"/>
  <c r="AA156" i="1"/>
  <c r="X239" i="1"/>
  <c r="X202" i="1"/>
  <c r="AI196" i="1"/>
  <c r="AA173" i="1"/>
  <c r="AA163" i="1"/>
  <c r="AA242" i="1"/>
  <c r="AA227" i="1"/>
  <c r="AA226" i="1"/>
  <c r="W226" i="1" s="1"/>
  <c r="AA215" i="1"/>
  <c r="AA214" i="1"/>
  <c r="AG202" i="1"/>
  <c r="X184" i="1"/>
  <c r="T179" i="1"/>
  <c r="AA131" i="1"/>
  <c r="AG111" i="1"/>
  <c r="AA76" i="1"/>
  <c r="W76" i="1" s="1"/>
  <c r="T76" i="1"/>
  <c r="AA73" i="1"/>
  <c r="AA69" i="1"/>
  <c r="AA65" i="1"/>
  <c r="AA59" i="1"/>
  <c r="X33" i="1"/>
  <c r="B8" i="6"/>
  <c r="J8" i="6" s="1"/>
  <c r="AD39" i="3"/>
  <c r="AE39" i="3"/>
  <c r="AD34" i="3"/>
  <c r="AD26" i="3"/>
  <c r="T23" i="3"/>
  <c r="AA198" i="1"/>
  <c r="AA249" i="1"/>
  <c r="X177" i="1"/>
  <c r="AG167" i="1"/>
  <c r="AI167" i="1" s="1"/>
  <c r="AA159" i="1"/>
  <c r="AG147" i="1"/>
  <c r="AI147" i="1" s="1"/>
  <c r="AG140" i="1"/>
  <c r="AG132" i="1"/>
  <c r="AG240" i="1"/>
  <c r="AA238" i="1"/>
  <c r="AG232" i="1"/>
  <c r="AG224" i="1"/>
  <c r="AI224" i="1" s="1"/>
  <c r="AG211" i="1"/>
  <c r="X211" i="1"/>
  <c r="AG191" i="1"/>
  <c r="AI191" i="1" s="1"/>
  <c r="X191" i="1"/>
  <c r="AA186" i="1"/>
  <c r="T184" i="1"/>
  <c r="AA183" i="1"/>
  <c r="T183" i="1"/>
  <c r="AA182" i="1"/>
  <c r="AG127" i="1"/>
  <c r="U127" i="1" s="1"/>
  <c r="S127" i="1" s="1"/>
  <c r="AG113" i="1"/>
  <c r="AI113" i="1" s="1"/>
  <c r="AA112" i="1"/>
  <c r="AI94" i="1"/>
  <c r="AA87" i="1"/>
  <c r="X82" i="1"/>
  <c r="AA80" i="1"/>
  <c r="AA57" i="1"/>
  <c r="AA53" i="1"/>
  <c r="X41" i="1"/>
  <c r="AA34" i="1"/>
  <c r="AA32" i="1"/>
  <c r="W32" i="1" s="1"/>
  <c r="AG26" i="1"/>
  <c r="U26" i="1" s="1"/>
  <c r="S26" i="1" s="1"/>
  <c r="AA14" i="1"/>
  <c r="Y31" i="3"/>
  <c r="Y20" i="3"/>
  <c r="Y14" i="3"/>
  <c r="Y37" i="3"/>
  <c r="Y7" i="3"/>
  <c r="Y19" i="3"/>
  <c r="AG177" i="1"/>
  <c r="U177" i="1" s="1"/>
  <c r="S177" i="1" s="1"/>
  <c r="AG175" i="1"/>
  <c r="AI175" i="1" s="1"/>
  <c r="AA172" i="1"/>
  <c r="AA171" i="1"/>
  <c r="AA167" i="1"/>
  <c r="W167" i="1" s="1"/>
  <c r="T165" i="1"/>
  <c r="U165" i="1" s="1"/>
  <c r="S165" i="1" s="1"/>
  <c r="AI226" i="1"/>
  <c r="X160" i="1"/>
  <c r="AA152" i="1"/>
  <c r="AA140" i="1"/>
  <c r="AG134" i="1"/>
  <c r="U134" i="1" s="1"/>
  <c r="S134" i="1" s="1"/>
  <c r="AA132" i="1"/>
  <c r="AA240" i="1"/>
  <c r="W240" i="1" s="1"/>
  <c r="AG238" i="1"/>
  <c r="AI238" i="1" s="1"/>
  <c r="AA232" i="1"/>
  <c r="AA230" i="1"/>
  <c r="AA224" i="1"/>
  <c r="X219" i="1"/>
  <c r="AA211" i="1"/>
  <c r="W211" i="1" s="1"/>
  <c r="X207" i="1"/>
  <c r="AG206" i="1"/>
  <c r="W206" i="1" s="1"/>
  <c r="AA191" i="1"/>
  <c r="AA190" i="1"/>
  <c r="AA188" i="1"/>
  <c r="AG184" i="1"/>
  <c r="W184" i="1" s="1"/>
  <c r="X183" i="1"/>
  <c r="AA181" i="1"/>
  <c r="AA126" i="1"/>
  <c r="X119" i="1"/>
  <c r="AA115" i="1"/>
  <c r="AA113" i="1"/>
  <c r="T110" i="1"/>
  <c r="AG105" i="1"/>
  <c r="AI105" i="1" s="1"/>
  <c r="AA99" i="1"/>
  <c r="AA93" i="1"/>
  <c r="AA86" i="1"/>
  <c r="AA82" i="1"/>
  <c r="T82" i="1"/>
  <c r="AA81" i="1"/>
  <c r="X75" i="1"/>
  <c r="X67" i="1"/>
  <c r="X63" i="1"/>
  <c r="X55" i="1"/>
  <c r="Y11" i="3"/>
  <c r="AE34" i="3"/>
  <c r="Y15" i="3"/>
  <c r="T249" i="1"/>
  <c r="T157" i="1"/>
  <c r="X210" i="1"/>
  <c r="U121" i="1"/>
  <c r="S121" i="1" s="1"/>
  <c r="T80" i="1"/>
  <c r="U80" i="1" s="1"/>
  <c r="S80" i="1" s="1"/>
  <c r="AA56" i="1"/>
  <c r="AA54" i="1"/>
  <c r="AA52" i="1"/>
  <c r="AG34" i="1"/>
  <c r="U34" i="1" s="1"/>
  <c r="S34" i="1" s="1"/>
  <c r="AA31" i="1"/>
  <c r="AA26" i="1"/>
  <c r="W26" i="1" s="1"/>
  <c r="AA24" i="1"/>
  <c r="W24" i="1" s="1"/>
  <c r="X17" i="1"/>
  <c r="AA15" i="1"/>
  <c r="AG42" i="1"/>
  <c r="U42" i="1" s="1"/>
  <c r="S42" i="1" s="1"/>
  <c r="U169" i="1"/>
  <c r="T150" i="1"/>
  <c r="X150" i="1"/>
  <c r="AG142" i="1"/>
  <c r="T142" i="1"/>
  <c r="X135" i="1"/>
  <c r="AG135" i="1"/>
  <c r="AI135" i="1" s="1"/>
  <c r="T135" i="1"/>
  <c r="U135" i="1" s="1"/>
  <c r="S135" i="1" s="1"/>
  <c r="AG242" i="1"/>
  <c r="AI242" i="1" s="1"/>
  <c r="T242" i="1"/>
  <c r="U242" i="1" s="1"/>
  <c r="S242" i="1" s="1"/>
  <c r="AG197" i="1"/>
  <c r="U197" i="1" s="1"/>
  <c r="AG195" i="1"/>
  <c r="W195" i="1" s="1"/>
  <c r="T173" i="1"/>
  <c r="U173" i="1" s="1"/>
  <c r="S173" i="1" s="1"/>
  <c r="AA165" i="1"/>
  <c r="X164" i="1"/>
  <c r="AA155" i="1"/>
  <c r="X151" i="1"/>
  <c r="AG150" i="1"/>
  <c r="W150" i="1" s="1"/>
  <c r="AG143" i="1"/>
  <c r="AI143" i="1" s="1"/>
  <c r="X143" i="1"/>
  <c r="T138" i="1"/>
  <c r="AG138" i="1"/>
  <c r="T243" i="1"/>
  <c r="X243" i="1"/>
  <c r="AG243" i="1"/>
  <c r="U243" i="1" s="1"/>
  <c r="S243" i="1" s="1"/>
  <c r="AA192" i="1"/>
  <c r="AA178" i="1"/>
  <c r="AA175" i="1"/>
  <c r="W175" i="1" s="1"/>
  <c r="X169" i="1"/>
  <c r="AA162" i="1"/>
  <c r="U161" i="1"/>
  <c r="S161" i="1" s="1"/>
  <c r="AA161" i="1"/>
  <c r="W161" i="1" s="1"/>
  <c r="U157" i="1"/>
  <c r="S157" i="1" s="1"/>
  <c r="X147" i="1"/>
  <c r="AA170" i="1"/>
  <c r="W170" i="1" s="1"/>
  <c r="AA164" i="1"/>
  <c r="AA158" i="1"/>
  <c r="W158" i="1" s="1"/>
  <c r="AA154" i="1"/>
  <c r="AG148" i="1"/>
  <c r="U148" i="1" s="1"/>
  <c r="S148" i="1" s="1"/>
  <c r="AA146" i="1"/>
  <c r="W146" i="1" s="1"/>
  <c r="AA143" i="1"/>
  <c r="T247" i="1"/>
  <c r="X247" i="1"/>
  <c r="AG247" i="1"/>
  <c r="W242" i="1"/>
  <c r="AA141" i="1"/>
  <c r="AA138" i="1"/>
  <c r="AA135" i="1"/>
  <c r="AA133" i="1"/>
  <c r="AA241" i="1"/>
  <c r="AA234" i="1"/>
  <c r="W234" i="1" s="1"/>
  <c r="T226" i="1"/>
  <c r="U226" i="1" s="1"/>
  <c r="S226" i="1" s="1"/>
  <c r="AA225" i="1"/>
  <c r="AA222" i="1"/>
  <c r="AA219" i="1"/>
  <c r="T219" i="1"/>
  <c r="U219" i="1" s="1"/>
  <c r="S219" i="1" s="1"/>
  <c r="AG214" i="1"/>
  <c r="AA207" i="1"/>
  <c r="T207" i="1"/>
  <c r="AG203" i="1"/>
  <c r="U203" i="1" s="1"/>
  <c r="S203" i="1" s="1"/>
  <c r="X203" i="1"/>
  <c r="AA202" i="1"/>
  <c r="AG180" i="1"/>
  <c r="AI180" i="1" s="1"/>
  <c r="X180" i="1"/>
  <c r="AG129" i="1"/>
  <c r="AA124" i="1"/>
  <c r="T119" i="1"/>
  <c r="AA118" i="1"/>
  <c r="W118" i="1" s="1"/>
  <c r="AA107" i="1"/>
  <c r="AA94" i="1"/>
  <c r="W94" i="1" s="1"/>
  <c r="AA91" i="1"/>
  <c r="W91" i="1" s="1"/>
  <c r="X90" i="1"/>
  <c r="AA88" i="1"/>
  <c r="X87" i="1"/>
  <c r="T86" i="1"/>
  <c r="AA85" i="1"/>
  <c r="X84" i="1"/>
  <c r="X83" i="1"/>
  <c r="AA78" i="1"/>
  <c r="W78" i="1" s="1"/>
  <c r="T63" i="1"/>
  <c r="AA62" i="1"/>
  <c r="T62" i="1"/>
  <c r="U62" i="1" s="1"/>
  <c r="AA61" i="1"/>
  <c r="X58" i="1"/>
  <c r="AA48" i="1"/>
  <c r="AG46" i="1"/>
  <c r="AI46" i="1" s="1"/>
  <c r="AA43" i="1"/>
  <c r="X32" i="1"/>
  <c r="AA30" i="1"/>
  <c r="W30" i="1" s="1"/>
  <c r="AA28" i="1"/>
  <c r="W28" i="1" s="1"/>
  <c r="X25" i="1"/>
  <c r="AG21" i="1"/>
  <c r="X21" i="1"/>
  <c r="T17" i="1"/>
  <c r="U234" i="1"/>
  <c r="S234" i="1" s="1"/>
  <c r="AA51" i="1"/>
  <c r="W51" i="1" s="1"/>
  <c r="AA17" i="1"/>
  <c r="U153" i="1"/>
  <c r="S153" i="1" s="1"/>
  <c r="AA147" i="1"/>
  <c r="X139" i="1"/>
  <c r="AA134" i="1"/>
  <c r="AA246" i="1"/>
  <c r="W246" i="1" s="1"/>
  <c r="AA243" i="1"/>
  <c r="AA233" i="1"/>
  <c r="AG231" i="1"/>
  <c r="X231" i="1"/>
  <c r="X223" i="1"/>
  <c r="AG222" i="1"/>
  <c r="AI222" i="1" s="1"/>
  <c r="AG219" i="1"/>
  <c r="X218" i="1"/>
  <c r="AA218" i="1"/>
  <c r="W218" i="1" s="1"/>
  <c r="AG210" i="1"/>
  <c r="W210" i="1" s="1"/>
  <c r="AG207" i="1"/>
  <c r="AA203" i="1"/>
  <c r="AG190" i="1"/>
  <c r="U190" i="1" s="1"/>
  <c r="S190" i="1" s="1"/>
  <c r="AG186" i="1"/>
  <c r="W186" i="1" s="1"/>
  <c r="AA185" i="1"/>
  <c r="AA179" i="1"/>
  <c r="AA128" i="1"/>
  <c r="W128" i="1" s="1"/>
  <c r="T128" i="1"/>
  <c r="U128" i="1" s="1"/>
  <c r="S128" i="1" s="1"/>
  <c r="T126" i="1"/>
  <c r="AA125" i="1"/>
  <c r="AG119" i="1"/>
  <c r="U119" i="1" s="1"/>
  <c r="S119" i="1" s="1"/>
  <c r="AG115" i="1"/>
  <c r="X115" i="1"/>
  <c r="AA103" i="1"/>
  <c r="AG101" i="1"/>
  <c r="AI101" i="1" s="1"/>
  <c r="AG97" i="1"/>
  <c r="AI97" i="1" s="1"/>
  <c r="AG93" i="1"/>
  <c r="AI93" i="1" s="1"/>
  <c r="AA90" i="1"/>
  <c r="T90" i="1"/>
  <c r="U90" i="1" s="1"/>
  <c r="S90" i="1" s="1"/>
  <c r="AA89" i="1"/>
  <c r="AA84" i="1"/>
  <c r="T84" i="1"/>
  <c r="AA83" i="1"/>
  <c r="W83" i="1" s="1"/>
  <c r="AA79" i="1"/>
  <c r="AA75" i="1"/>
  <c r="AG73" i="1"/>
  <c r="AI73" i="1" s="1"/>
  <c r="AA71" i="1"/>
  <c r="AA67" i="1"/>
  <c r="AG65" i="1"/>
  <c r="AG63" i="1"/>
  <c r="X62" i="1"/>
  <c r="AA60" i="1"/>
  <c r="AA58" i="1"/>
  <c r="W58" i="1" s="1"/>
  <c r="AA55" i="1"/>
  <c r="AA39" i="1"/>
  <c r="AA27" i="1"/>
  <c r="X188" i="1"/>
  <c r="W121" i="1"/>
  <c r="T118" i="1"/>
  <c r="T88" i="1"/>
  <c r="U88" i="1" s="1"/>
  <c r="S88" i="1" s="1"/>
  <c r="X79" i="1"/>
  <c r="T78" i="1"/>
  <c r="X49" i="1"/>
  <c r="AA35" i="1"/>
  <c r="X24" i="1"/>
  <c r="AA18" i="1"/>
  <c r="AA196" i="1"/>
  <c r="W196" i="1" s="1"/>
  <c r="T196" i="1"/>
  <c r="AG192" i="1"/>
  <c r="U192" i="1" s="1"/>
  <c r="S192" i="1" s="1"/>
  <c r="AG178" i="1"/>
  <c r="W178" i="1" s="1"/>
  <c r="X179" i="1"/>
  <c r="AA177" i="1"/>
  <c r="X176" i="1"/>
  <c r="AA174" i="1"/>
  <c r="W174" i="1" s="1"/>
  <c r="X173" i="1"/>
  <c r="AG171" i="1"/>
  <c r="AA168" i="1"/>
  <c r="T168" i="1"/>
  <c r="X161" i="1"/>
  <c r="AG159" i="1"/>
  <c r="X153" i="1"/>
  <c r="X152" i="1"/>
  <c r="W173" i="1"/>
  <c r="X172" i="1"/>
  <c r="AA197" i="1"/>
  <c r="W197" i="1" s="1"/>
  <c r="X196" i="1"/>
  <c r="AA194" i="1"/>
  <c r="X192" i="1"/>
  <c r="AG248" i="1"/>
  <c r="U248" i="1" s="1"/>
  <c r="S248" i="1" s="1"/>
  <c r="AA176" i="1"/>
  <c r="T176" i="1"/>
  <c r="AA169" i="1"/>
  <c r="W169" i="1" s="1"/>
  <c r="X168" i="1"/>
  <c r="AA166" i="1"/>
  <c r="W166" i="1" s="1"/>
  <c r="X165" i="1"/>
  <c r="AG163" i="1"/>
  <c r="W163" i="1" s="1"/>
  <c r="X157" i="1"/>
  <c r="AG155" i="1"/>
  <c r="W165" i="1"/>
  <c r="W157" i="1"/>
  <c r="W230" i="1"/>
  <c r="T146" i="1"/>
  <c r="U146" i="1" s="1"/>
  <c r="S146" i="1" s="1"/>
  <c r="AA145" i="1"/>
  <c r="AA144" i="1"/>
  <c r="AA139" i="1"/>
  <c r="T139" i="1"/>
  <c r="AG136" i="1"/>
  <c r="AI136" i="1" s="1"/>
  <c r="T246" i="1"/>
  <c r="U246" i="1" s="1"/>
  <c r="S246" i="1" s="1"/>
  <c r="AA245" i="1"/>
  <c r="AA244" i="1"/>
  <c r="AA239" i="1"/>
  <c r="T239" i="1"/>
  <c r="U238" i="1"/>
  <c r="S238" i="1" s="1"/>
  <c r="AG236" i="1"/>
  <c r="U236" i="1" s="1"/>
  <c r="S236" i="1" s="1"/>
  <c r="T230" i="1"/>
  <c r="U230" i="1" s="1"/>
  <c r="S230" i="1" s="1"/>
  <c r="AA229" i="1"/>
  <c r="AA228" i="1"/>
  <c r="AA223" i="1"/>
  <c r="T223" i="1"/>
  <c r="AG220" i="1"/>
  <c r="AI220" i="1" s="1"/>
  <c r="T218" i="1"/>
  <c r="U218" i="1" s="1"/>
  <c r="S218" i="1" s="1"/>
  <c r="AA217" i="1"/>
  <c r="AA216" i="1"/>
  <c r="X214" i="1"/>
  <c r="AG212" i="1"/>
  <c r="U212" i="1" s="1"/>
  <c r="S212" i="1" s="1"/>
  <c r="T210" i="1"/>
  <c r="AA209" i="1"/>
  <c r="AA208" i="1"/>
  <c r="X206" i="1"/>
  <c r="AG204" i="1"/>
  <c r="T202" i="1"/>
  <c r="U202" i="1" s="1"/>
  <c r="S202" i="1" s="1"/>
  <c r="AA201" i="1"/>
  <c r="AA199" i="1"/>
  <c r="X190" i="1"/>
  <c r="AG188" i="1"/>
  <c r="U188" i="1" s="1"/>
  <c r="AA187" i="1"/>
  <c r="W187" i="1" s="1"/>
  <c r="T187" i="1"/>
  <c r="U187" i="1" s="1"/>
  <c r="S187" i="1" s="1"/>
  <c r="AA184" i="1"/>
  <c r="AG182" i="1"/>
  <c r="U182" i="1" s="1"/>
  <c r="S182" i="1" s="1"/>
  <c r="AA129" i="1"/>
  <c r="W129" i="1" s="1"/>
  <c r="AA123" i="1"/>
  <c r="W123" i="1" s="1"/>
  <c r="T99" i="1"/>
  <c r="X99" i="1"/>
  <c r="AG99" i="1"/>
  <c r="W99" i="1" s="1"/>
  <c r="X95" i="1"/>
  <c r="AG95" i="1"/>
  <c r="W95" i="1" s="1"/>
  <c r="T95" i="1"/>
  <c r="AG92" i="1"/>
  <c r="AI92" i="1" s="1"/>
  <c r="T92" i="1"/>
  <c r="X92" i="1"/>
  <c r="W48" i="1"/>
  <c r="AI40" i="1"/>
  <c r="W140" i="1"/>
  <c r="W135" i="1"/>
  <c r="W235" i="1"/>
  <c r="W224" i="1"/>
  <c r="W219" i="1"/>
  <c r="X114" i="1"/>
  <c r="AG107" i="1"/>
  <c r="W107" i="1" s="1"/>
  <c r="X107" i="1"/>
  <c r="AG102" i="1"/>
  <c r="X102" i="1"/>
  <c r="T102" i="1"/>
  <c r="U91" i="1"/>
  <c r="S91" i="1" s="1"/>
  <c r="AI91" i="1"/>
  <c r="AI48" i="1"/>
  <c r="AI28" i="1"/>
  <c r="AA153" i="1"/>
  <c r="W153" i="1" s="1"/>
  <c r="AA149" i="1"/>
  <c r="AA148" i="1"/>
  <c r="AG144" i="1"/>
  <c r="U144" i="1" s="1"/>
  <c r="S144" i="1" s="1"/>
  <c r="AG139" i="1"/>
  <c r="AI139" i="1" s="1"/>
  <c r="AA137" i="1"/>
  <c r="AA136" i="1"/>
  <c r="AA247" i="1"/>
  <c r="W247" i="1" s="1"/>
  <c r="AG244" i="1"/>
  <c r="AG239" i="1"/>
  <c r="AA237" i="1"/>
  <c r="AA236" i="1"/>
  <c r="AA231" i="1"/>
  <c r="AG228" i="1"/>
  <c r="AI228" i="1" s="1"/>
  <c r="AG223" i="1"/>
  <c r="U223" i="1" s="1"/>
  <c r="S223" i="1" s="1"/>
  <c r="AA221" i="1"/>
  <c r="AA220" i="1"/>
  <c r="AG216" i="1"/>
  <c r="AI216" i="1" s="1"/>
  <c r="AA213" i="1"/>
  <c r="AA212" i="1"/>
  <c r="AG208" i="1"/>
  <c r="AA205" i="1"/>
  <c r="AA204" i="1"/>
  <c r="W204" i="1" s="1"/>
  <c r="AG199" i="1"/>
  <c r="U199" i="1" s="1"/>
  <c r="S199" i="1" s="1"/>
  <c r="AA189" i="1"/>
  <c r="X187" i="1"/>
  <c r="AA180" i="1"/>
  <c r="AG131" i="1"/>
  <c r="AA127" i="1"/>
  <c r="AG125" i="1"/>
  <c r="AI121" i="1"/>
  <c r="AA119" i="1"/>
  <c r="AG117" i="1"/>
  <c r="AI117" i="1" s="1"/>
  <c r="AA111" i="1"/>
  <c r="W111" i="1" s="1"/>
  <c r="AG109" i="1"/>
  <c r="AI109" i="1" s="1"/>
  <c r="AG98" i="1"/>
  <c r="AI98" i="1" s="1"/>
  <c r="T98" i="1"/>
  <c r="X98" i="1"/>
  <c r="X96" i="1"/>
  <c r="AI36" i="1"/>
  <c r="AI24" i="1"/>
  <c r="AI20" i="1"/>
  <c r="W132" i="1"/>
  <c r="W232" i="1"/>
  <c r="W227" i="1"/>
  <c r="W215" i="1"/>
  <c r="U214" i="1"/>
  <c r="S214" i="1" s="1"/>
  <c r="W191" i="1"/>
  <c r="X126" i="1"/>
  <c r="AA122" i="1"/>
  <c r="T122" i="1"/>
  <c r="U122" i="1" s="1"/>
  <c r="S122" i="1" s="1"/>
  <c r="X118" i="1"/>
  <c r="AA116" i="1"/>
  <c r="AA114" i="1"/>
  <c r="W114" i="1" s="1"/>
  <c r="T114" i="1"/>
  <c r="U114" i="1" s="1"/>
  <c r="S114" i="1" s="1"/>
  <c r="X110" i="1"/>
  <c r="AA108" i="1"/>
  <c r="AG106" i="1"/>
  <c r="AI106" i="1" s="1"/>
  <c r="T106" i="1"/>
  <c r="X103" i="1"/>
  <c r="AG103" i="1"/>
  <c r="W103" i="1" s="1"/>
  <c r="T103" i="1"/>
  <c r="AI83" i="1"/>
  <c r="W40" i="1"/>
  <c r="AI32" i="1"/>
  <c r="T87" i="1"/>
  <c r="T79" i="1"/>
  <c r="T70" i="1"/>
  <c r="U70" i="1" s="1"/>
  <c r="S70" i="1" s="1"/>
  <c r="T58" i="1"/>
  <c r="X54" i="1"/>
  <c r="T48" i="1"/>
  <c r="U48" i="1" s="1"/>
  <c r="W46" i="1"/>
  <c r="T40" i="1"/>
  <c r="U40" i="1" s="1"/>
  <c r="S40" i="1" s="1"/>
  <c r="W38" i="1"/>
  <c r="X36" i="1"/>
  <c r="T32" i="1"/>
  <c r="U32" i="1" s="1"/>
  <c r="S32" i="1" s="1"/>
  <c r="X28" i="1"/>
  <c r="T24" i="1"/>
  <c r="U24" i="1" s="1"/>
  <c r="S24" i="1" s="1"/>
  <c r="X20" i="1"/>
  <c r="X16" i="1"/>
  <c r="AA104" i="1"/>
  <c r="AA102" i="1"/>
  <c r="W102" i="1" s="1"/>
  <c r="U93" i="1"/>
  <c r="S93" i="1" s="1"/>
  <c r="AG87" i="1"/>
  <c r="AG85" i="1"/>
  <c r="AG79" i="1"/>
  <c r="AG77" i="1"/>
  <c r="W77" i="1" s="1"/>
  <c r="T75" i="1"/>
  <c r="AA74" i="1"/>
  <c r="W74" i="1" s="1"/>
  <c r="T74" i="1"/>
  <c r="U74" i="1" s="1"/>
  <c r="S74" i="1" s="1"/>
  <c r="AG71" i="1"/>
  <c r="X71" i="1"/>
  <c r="T67" i="1"/>
  <c r="AA66" i="1"/>
  <c r="W66" i="1" s="1"/>
  <c r="T66" i="1"/>
  <c r="U66" i="1" s="1"/>
  <c r="AA63" i="1"/>
  <c r="AG61" i="1"/>
  <c r="AG59" i="1"/>
  <c r="X59" i="1"/>
  <c r="T55" i="1"/>
  <c r="AA50" i="1"/>
  <c r="AA49" i="1"/>
  <c r="T49" i="1"/>
  <c r="AG44" i="1"/>
  <c r="AA41" i="1"/>
  <c r="T41" i="1"/>
  <c r="AG37" i="1"/>
  <c r="U37" i="1" s="1"/>
  <c r="S37" i="1" s="1"/>
  <c r="X37" i="1"/>
  <c r="AA33" i="1"/>
  <c r="T33" i="1"/>
  <c r="AG29" i="1"/>
  <c r="AI29" i="1" s="1"/>
  <c r="X29" i="1"/>
  <c r="AA25" i="1"/>
  <c r="T25" i="1"/>
  <c r="X88" i="1"/>
  <c r="X86" i="1"/>
  <c r="T83" i="1"/>
  <c r="U83" i="1" s="1"/>
  <c r="S83" i="1" s="1"/>
  <c r="X80" i="1"/>
  <c r="X78" i="1"/>
  <c r="X70" i="1"/>
  <c r="T54" i="1"/>
  <c r="U54" i="1" s="1"/>
  <c r="S54" i="1" s="1"/>
  <c r="T36" i="1"/>
  <c r="U36" i="1" s="1"/>
  <c r="S36" i="1" s="1"/>
  <c r="T28" i="1"/>
  <c r="U28" i="1" s="1"/>
  <c r="S28" i="1" s="1"/>
  <c r="T20" i="1"/>
  <c r="U20" i="1" s="1"/>
  <c r="S20" i="1" s="1"/>
  <c r="T16" i="1"/>
  <c r="AA106" i="1"/>
  <c r="AA100" i="1"/>
  <c r="AA98" i="1"/>
  <c r="AA92" i="1"/>
  <c r="AG89" i="1"/>
  <c r="W89" i="1" s="1"/>
  <c r="AG81" i="1"/>
  <c r="W81" i="1" s="1"/>
  <c r="AG75" i="1"/>
  <c r="X74" i="1"/>
  <c r="AA72" i="1"/>
  <c r="AG67" i="1"/>
  <c r="X66" i="1"/>
  <c r="AA64" i="1"/>
  <c r="AG55" i="1"/>
  <c r="AI51" i="1"/>
  <c r="AG49" i="1"/>
  <c r="AA44" i="1"/>
  <c r="AG41" i="1"/>
  <c r="AA37" i="1"/>
  <c r="AG33" i="1"/>
  <c r="AA29" i="1"/>
  <c r="AG25" i="1"/>
  <c r="AA21" i="1"/>
  <c r="W21" i="1" s="1"/>
  <c r="AG17" i="1"/>
  <c r="U196" i="1"/>
  <c r="AI247" i="1"/>
  <c r="AG198" i="1"/>
  <c r="AI198" i="1" s="1"/>
  <c r="X197" i="1"/>
  <c r="U175" i="1"/>
  <c r="S175" i="1" s="1"/>
  <c r="W162" i="1"/>
  <c r="W154" i="1"/>
  <c r="S197" i="1"/>
  <c r="U195" i="1"/>
  <c r="S195" i="1" s="1"/>
  <c r="AI244" i="1"/>
  <c r="X198" i="1"/>
  <c r="X195" i="1"/>
  <c r="W194" i="1"/>
  <c r="T194" i="1"/>
  <c r="U194" i="1" s="1"/>
  <c r="S194" i="1" s="1"/>
  <c r="U167" i="1"/>
  <c r="S167" i="1" s="1"/>
  <c r="X178" i="1"/>
  <c r="T178" i="1"/>
  <c r="AI240" i="1"/>
  <c r="X174" i="1"/>
  <c r="T174" i="1"/>
  <c r="U174" i="1" s="1"/>
  <c r="S174" i="1" s="1"/>
  <c r="AI236" i="1"/>
  <c r="X170" i="1"/>
  <c r="T170" i="1"/>
  <c r="U170" i="1" s="1"/>
  <c r="S170" i="1" s="1"/>
  <c r="AI232" i="1"/>
  <c r="S169" i="1"/>
  <c r="X166" i="1"/>
  <c r="T166" i="1"/>
  <c r="U166" i="1" s="1"/>
  <c r="S166" i="1" s="1"/>
  <c r="X162" i="1"/>
  <c r="T162" i="1"/>
  <c r="U162" i="1" s="1"/>
  <c r="S162" i="1" s="1"/>
  <c r="X158" i="1"/>
  <c r="T158" i="1"/>
  <c r="U158" i="1" s="1"/>
  <c r="S158" i="1" s="1"/>
  <c r="X154" i="1"/>
  <c r="T154" i="1"/>
  <c r="U154" i="1" s="1"/>
  <c r="S154" i="1" s="1"/>
  <c r="AG249" i="1"/>
  <c r="X248" i="1"/>
  <c r="AG176" i="1"/>
  <c r="X175" i="1"/>
  <c r="AG172" i="1"/>
  <c r="AI172" i="1" s="1"/>
  <c r="X171" i="1"/>
  <c r="AG168" i="1"/>
  <c r="X167" i="1"/>
  <c r="AG164" i="1"/>
  <c r="W164" i="1" s="1"/>
  <c r="X163" i="1"/>
  <c r="AG160" i="1"/>
  <c r="X159" i="1"/>
  <c r="AG156" i="1"/>
  <c r="W156" i="1" s="1"/>
  <c r="X155" i="1"/>
  <c r="AG152" i="1"/>
  <c r="AA151" i="1"/>
  <c r="T149" i="1"/>
  <c r="X149" i="1"/>
  <c r="AG149" i="1"/>
  <c r="T151" i="1"/>
  <c r="AI211" i="1"/>
  <c r="AG151" i="1"/>
  <c r="AI151" i="1" s="1"/>
  <c r="X146" i="1"/>
  <c r="X142" i="1"/>
  <c r="X138" i="1"/>
  <c r="X134" i="1"/>
  <c r="X246" i="1"/>
  <c r="X242" i="1"/>
  <c r="U239" i="1"/>
  <c r="S239" i="1" s="1"/>
  <c r="X238" i="1"/>
  <c r="U235" i="1"/>
  <c r="S235" i="1" s="1"/>
  <c r="X234" i="1"/>
  <c r="U231" i="1"/>
  <c r="S231" i="1" s="1"/>
  <c r="X230" i="1"/>
  <c r="U227" i="1"/>
  <c r="S227" i="1" s="1"/>
  <c r="X226" i="1"/>
  <c r="X222" i="1"/>
  <c r="U215" i="1"/>
  <c r="S215" i="1" s="1"/>
  <c r="U211" i="1"/>
  <c r="S211" i="1" s="1"/>
  <c r="U207" i="1"/>
  <c r="S207" i="1" s="1"/>
  <c r="U191" i="1"/>
  <c r="S191" i="1" s="1"/>
  <c r="U183" i="1"/>
  <c r="S183" i="1" s="1"/>
  <c r="AI128" i="1"/>
  <c r="AI122" i="1"/>
  <c r="AI114" i="1"/>
  <c r="U113" i="1"/>
  <c r="S113" i="1" s="1"/>
  <c r="U97" i="1"/>
  <c r="S97" i="1" s="1"/>
  <c r="U140" i="1"/>
  <c r="S140" i="1" s="1"/>
  <c r="U136" i="1"/>
  <c r="S136" i="1" s="1"/>
  <c r="U132" i="1"/>
  <c r="S132" i="1" s="1"/>
  <c r="U244" i="1"/>
  <c r="S244" i="1" s="1"/>
  <c r="U240" i="1"/>
  <c r="S240" i="1" s="1"/>
  <c r="U232" i="1"/>
  <c r="S232" i="1" s="1"/>
  <c r="U228" i="1"/>
  <c r="S228" i="1" s="1"/>
  <c r="U224" i="1"/>
  <c r="S224" i="1" s="1"/>
  <c r="U220" i="1"/>
  <c r="S220" i="1" s="1"/>
  <c r="U216" i="1"/>
  <c r="S216" i="1" s="1"/>
  <c r="U208" i="1"/>
  <c r="S208" i="1" s="1"/>
  <c r="U204" i="1"/>
  <c r="S204" i="1" s="1"/>
  <c r="T189" i="1"/>
  <c r="W179" i="1"/>
  <c r="W126" i="1"/>
  <c r="X148" i="1"/>
  <c r="AG145" i="1"/>
  <c r="AI145" i="1" s="1"/>
  <c r="X144" i="1"/>
  <c r="AI206" i="1"/>
  <c r="AG141" i="1"/>
  <c r="AI141" i="1" s="1"/>
  <c r="X140" i="1"/>
  <c r="AI202" i="1"/>
  <c r="AG137" i="1"/>
  <c r="AI137" i="1" s="1"/>
  <c r="X136" i="1"/>
  <c r="AI197" i="1"/>
  <c r="AG133" i="1"/>
  <c r="X132" i="1"/>
  <c r="AG245" i="1"/>
  <c r="AI245" i="1" s="1"/>
  <c r="X244" i="1"/>
  <c r="AG241" i="1"/>
  <c r="X240" i="1"/>
  <c r="AI184" i="1"/>
  <c r="AG237" i="1"/>
  <c r="X236" i="1"/>
  <c r="AG233" i="1"/>
  <c r="X232" i="1"/>
  <c r="AI176" i="1"/>
  <c r="AG229" i="1"/>
  <c r="AI229" i="1" s="1"/>
  <c r="X228" i="1"/>
  <c r="AG225" i="1"/>
  <c r="AI225" i="1" s="1"/>
  <c r="X224" i="1"/>
  <c r="AI168" i="1"/>
  <c r="AG221" i="1"/>
  <c r="W221" i="1" s="1"/>
  <c r="X220" i="1"/>
  <c r="AG217" i="1"/>
  <c r="W217" i="1" s="1"/>
  <c r="X216" i="1"/>
  <c r="AI160" i="1"/>
  <c r="AG213" i="1"/>
  <c r="AI213" i="1" s="1"/>
  <c r="X212" i="1"/>
  <c r="AG209" i="1"/>
  <c r="AI209" i="1" s="1"/>
  <c r="X208" i="1"/>
  <c r="AI152" i="1"/>
  <c r="AG205" i="1"/>
  <c r="X204" i="1"/>
  <c r="AG201" i="1"/>
  <c r="X199" i="1"/>
  <c r="AI144" i="1"/>
  <c r="AG189" i="1"/>
  <c r="AI189" i="1" s="1"/>
  <c r="S188" i="1"/>
  <c r="AI132" i="1"/>
  <c r="U179" i="1"/>
  <c r="S179" i="1" s="1"/>
  <c r="AI126" i="1"/>
  <c r="U126" i="1"/>
  <c r="S126" i="1" s="1"/>
  <c r="AI118" i="1"/>
  <c r="U118" i="1"/>
  <c r="S118" i="1" s="1"/>
  <c r="AI110" i="1"/>
  <c r="U110" i="1"/>
  <c r="S110" i="1" s="1"/>
  <c r="U109" i="1"/>
  <c r="S109" i="1" s="1"/>
  <c r="AI102" i="1"/>
  <c r="X145" i="1"/>
  <c r="AI207" i="1"/>
  <c r="X141" i="1"/>
  <c r="AI203" i="1"/>
  <c r="X137" i="1"/>
  <c r="X133" i="1"/>
  <c r="AI194" i="1"/>
  <c r="X245" i="1"/>
  <c r="X241" i="1"/>
  <c r="X237" i="1"/>
  <c r="X233" i="1"/>
  <c r="X229" i="1"/>
  <c r="AI173" i="1"/>
  <c r="X225" i="1"/>
  <c r="AI169" i="1"/>
  <c r="X221" i="1"/>
  <c r="AI165" i="1"/>
  <c r="X217" i="1"/>
  <c r="AI161" i="1"/>
  <c r="X213" i="1"/>
  <c r="AI157" i="1"/>
  <c r="X209" i="1"/>
  <c r="AI153" i="1"/>
  <c r="X205" i="1"/>
  <c r="AI149" i="1"/>
  <c r="X201" i="1"/>
  <c r="AI140" i="1"/>
  <c r="T185" i="1"/>
  <c r="X185" i="1"/>
  <c r="AG185" i="1"/>
  <c r="W185" i="1" s="1"/>
  <c r="W183" i="1"/>
  <c r="W122" i="1"/>
  <c r="X186" i="1"/>
  <c r="X182" i="1"/>
  <c r="X125" i="1"/>
  <c r="X121" i="1"/>
  <c r="X117" i="1"/>
  <c r="X113" i="1"/>
  <c r="X109" i="1"/>
  <c r="X105" i="1"/>
  <c r="X101" i="1"/>
  <c r="X97" i="1"/>
  <c r="AA96" i="1"/>
  <c r="X94" i="1"/>
  <c r="W88" i="1"/>
  <c r="W86" i="1"/>
  <c r="W80" i="1"/>
  <c r="AI70" i="1"/>
  <c r="W62" i="1"/>
  <c r="U58" i="1"/>
  <c r="AI58" i="1"/>
  <c r="U180" i="1"/>
  <c r="S180" i="1" s="1"/>
  <c r="U129" i="1"/>
  <c r="S129" i="1" s="1"/>
  <c r="U123" i="1"/>
  <c r="S123" i="1" s="1"/>
  <c r="U115" i="1"/>
  <c r="S115" i="1" s="1"/>
  <c r="U111" i="1"/>
  <c r="S111" i="1" s="1"/>
  <c r="T96" i="1"/>
  <c r="AI88" i="1"/>
  <c r="U86" i="1"/>
  <c r="S86" i="1" s="1"/>
  <c r="AI86" i="1"/>
  <c r="AI80" i="1"/>
  <c r="U78" i="1"/>
  <c r="S78" i="1" s="1"/>
  <c r="AI78" i="1"/>
  <c r="AI62" i="1"/>
  <c r="W54" i="1"/>
  <c r="AG181" i="1"/>
  <c r="AI181" i="1" s="1"/>
  <c r="AG130" i="1"/>
  <c r="AG124" i="1"/>
  <c r="AG120" i="1"/>
  <c r="AG116" i="1"/>
  <c r="W116" i="1" s="1"/>
  <c r="AG112" i="1"/>
  <c r="AG108" i="1"/>
  <c r="AG104" i="1"/>
  <c r="AG100" i="1"/>
  <c r="AG96" i="1"/>
  <c r="T94" i="1"/>
  <c r="U94" i="1" s="1"/>
  <c r="S94" i="1" s="1"/>
  <c r="W90" i="1"/>
  <c r="W84" i="1"/>
  <c r="W82" i="1"/>
  <c r="AI74" i="1"/>
  <c r="AI66" i="1"/>
  <c r="U65" i="1"/>
  <c r="AI54" i="1"/>
  <c r="AI50" i="1"/>
  <c r="X181" i="1"/>
  <c r="AI133" i="1"/>
  <c r="AI129" i="1"/>
  <c r="X124" i="1"/>
  <c r="AI123" i="1"/>
  <c r="X120" i="1"/>
  <c r="AI119" i="1"/>
  <c r="X116" i="1"/>
  <c r="AI115" i="1"/>
  <c r="X112" i="1"/>
  <c r="AI111" i="1"/>
  <c r="X108" i="1"/>
  <c r="X104" i="1"/>
  <c r="X100" i="1"/>
  <c r="AI90" i="1"/>
  <c r="AI84" i="1"/>
  <c r="U84" i="1"/>
  <c r="S84" i="1" s="1"/>
  <c r="U82" i="1"/>
  <c r="S82" i="1" s="1"/>
  <c r="AI82" i="1"/>
  <c r="AI76" i="1"/>
  <c r="U76" i="1"/>
  <c r="S76" i="1" s="1"/>
  <c r="X91" i="1"/>
  <c r="AG72" i="1"/>
  <c r="AG68" i="1"/>
  <c r="AG64" i="1"/>
  <c r="AG60" i="1"/>
  <c r="W60" i="1" s="1"/>
  <c r="AG56" i="1"/>
  <c r="AG52" i="1"/>
  <c r="X72" i="1"/>
  <c r="AG69" i="1"/>
  <c r="W69" i="1" s="1"/>
  <c r="X68" i="1"/>
  <c r="X64" i="1"/>
  <c r="X60" i="1"/>
  <c r="AG57" i="1"/>
  <c r="X56" i="1"/>
  <c r="AG53" i="1"/>
  <c r="W53" i="1" s="1"/>
  <c r="X52" i="1"/>
  <c r="W16" i="1"/>
  <c r="X93" i="1"/>
  <c r="X89" i="1"/>
  <c r="X85" i="1"/>
  <c r="X81" i="1"/>
  <c r="X77" i="1"/>
  <c r="X73" i="1"/>
  <c r="X69" i="1"/>
  <c r="X65" i="1"/>
  <c r="X61" i="1"/>
  <c r="X57" i="1"/>
  <c r="X53" i="1"/>
  <c r="T51" i="1"/>
  <c r="U51" i="1" s="1"/>
  <c r="W50" i="1"/>
  <c r="U16" i="1"/>
  <c r="S16" i="1" s="1"/>
  <c r="AI16" i="1"/>
  <c r="X51" i="1"/>
  <c r="T50" i="1"/>
  <c r="U50" i="1" s="1"/>
  <c r="X50" i="1"/>
  <c r="U44" i="1"/>
  <c r="S44" i="1" s="1"/>
  <c r="U41" i="1"/>
  <c r="S41" i="1" s="1"/>
  <c r="U25" i="1"/>
  <c r="S25" i="1" s="1"/>
  <c r="U21" i="1"/>
  <c r="S21" i="1" s="1"/>
  <c r="U38" i="1"/>
  <c r="S38" i="1" s="1"/>
  <c r="U30" i="1"/>
  <c r="S30" i="1" s="1"/>
  <c r="AG22" i="1"/>
  <c r="W22" i="1" s="1"/>
  <c r="AG18" i="1"/>
  <c r="W18" i="1" s="1"/>
  <c r="AG14" i="1"/>
  <c r="AG47" i="1"/>
  <c r="AI44" i="1"/>
  <c r="AG43" i="1"/>
  <c r="X42" i="1"/>
  <c r="AI41" i="1"/>
  <c r="AG39" i="1"/>
  <c r="X38" i="1"/>
  <c r="AG35" i="1"/>
  <c r="X34" i="1"/>
  <c r="AG31" i="1"/>
  <c r="W31" i="1" s="1"/>
  <c r="X30" i="1"/>
  <c r="AG27" i="1"/>
  <c r="X26" i="1"/>
  <c r="AI25" i="1"/>
  <c r="AG23" i="1"/>
  <c r="W23" i="1" s="1"/>
  <c r="X22" i="1"/>
  <c r="AI21" i="1"/>
  <c r="AG19" i="1"/>
  <c r="W19" i="1" s="1"/>
  <c r="X18" i="1"/>
  <c r="AG15" i="1"/>
  <c r="W15" i="1" s="1"/>
  <c r="X39" i="1"/>
  <c r="AI38" i="1"/>
  <c r="X35" i="1"/>
  <c r="X31" i="1"/>
  <c r="AI30" i="1"/>
  <c r="X27" i="1"/>
  <c r="AI26" i="1"/>
  <c r="X23" i="1"/>
  <c r="X19" i="1"/>
  <c r="X15" i="1"/>
  <c r="Y38" i="3"/>
  <c r="Y32" i="3"/>
  <c r="Y25" i="3"/>
  <c r="Y34" i="3"/>
  <c r="T29" i="3"/>
  <c r="AC28" i="3"/>
  <c r="AD22" i="3"/>
  <c r="AE16" i="3"/>
  <c r="AD13" i="3"/>
  <c r="AD20" i="3"/>
  <c r="AD16" i="3"/>
  <c r="Y21" i="3"/>
  <c r="AD31" i="3"/>
  <c r="AE31" i="3"/>
  <c r="AD28" i="3"/>
  <c r="T32" i="3"/>
  <c r="Y8" i="3"/>
  <c r="Y18" i="3"/>
  <c r="Y23" i="3"/>
  <c r="T34" i="3"/>
  <c r="AD8" i="3"/>
  <c r="Y27" i="3"/>
  <c r="AE38" i="3"/>
  <c r="AC39" i="3"/>
  <c r="T21" i="3"/>
  <c r="Y22" i="3"/>
  <c r="T38" i="3"/>
  <c r="AD27" i="3"/>
  <c r="AE27" i="3"/>
  <c r="Y13" i="3"/>
  <c r="AE22" i="3"/>
  <c r="T17" i="3"/>
  <c r="AE18" i="3"/>
  <c r="AD17" i="3"/>
  <c r="AE17" i="3"/>
  <c r="T7" i="3"/>
  <c r="T10" i="3"/>
  <c r="AE11" i="3"/>
  <c r="AD9" i="3"/>
  <c r="AE9" i="3"/>
  <c r="Y17" i="3"/>
  <c r="Y10" i="3"/>
  <c r="T11" i="3"/>
  <c r="AE35" i="3"/>
  <c r="AE30" i="3"/>
  <c r="AC36" i="3"/>
  <c r="T18" i="3"/>
  <c r="T25" i="3"/>
  <c r="AE15" i="3"/>
  <c r="AE13" i="3"/>
  <c r="T15" i="3"/>
  <c r="AE37" i="3"/>
  <c r="T31" i="3"/>
  <c r="AE21" i="3"/>
  <c r="T35" i="3"/>
  <c r="AE33" i="3"/>
  <c r="T20" i="3"/>
  <c r="T37" i="3"/>
  <c r="AE25" i="3"/>
  <c r="T30" i="3"/>
  <c r="AD37" i="3"/>
  <c r="AE36" i="3"/>
  <c r="T39" i="3"/>
  <c r="AD33" i="3"/>
  <c r="AE32" i="3"/>
  <c r="T28" i="3"/>
  <c r="AD29" i="3"/>
  <c r="AE28" i="3"/>
  <c r="T36" i="3"/>
  <c r="AD25" i="3"/>
  <c r="AE24" i="3"/>
  <c r="T8" i="3"/>
  <c r="AD21" i="3"/>
  <c r="AE20" i="3"/>
  <c r="AD18" i="3"/>
  <c r="T9" i="3"/>
  <c r="AD15" i="3"/>
  <c r="AE14" i="3"/>
  <c r="T26" i="3"/>
  <c r="AD11" i="3"/>
  <c r="AE10" i="3"/>
  <c r="T33" i="3"/>
  <c r="AC19" i="3"/>
  <c r="AE29" i="3"/>
  <c r="AD14" i="3"/>
  <c r="AD10" i="3"/>
  <c r="AE8" i="3"/>
  <c r="AI185" i="1" l="1"/>
  <c r="U102" i="1"/>
  <c r="S102" i="1" s="1"/>
  <c r="W202" i="1"/>
  <c r="U184" i="1"/>
  <c r="S184" i="1" s="1"/>
  <c r="U92" i="1"/>
  <c r="S92" i="1" s="1"/>
  <c r="AI177" i="1"/>
  <c r="AI192" i="1"/>
  <c r="W203" i="1"/>
  <c r="W100" i="1"/>
  <c r="AI42" i="1"/>
  <c r="AI164" i="1"/>
  <c r="U105" i="1"/>
  <c r="S105" i="1" s="1"/>
  <c r="U143" i="1"/>
  <c r="S143" i="1" s="1"/>
  <c r="W143" i="1"/>
  <c r="W180" i="1"/>
  <c r="W148" i="1"/>
  <c r="W192" i="1"/>
  <c r="U150" i="1"/>
  <c r="S150" i="1" s="1"/>
  <c r="W113" i="1"/>
  <c r="U29" i="1"/>
  <c r="S29" i="1" s="1"/>
  <c r="S50" i="1"/>
  <c r="U99" i="1"/>
  <c r="S99" i="1" s="1"/>
  <c r="U117" i="1"/>
  <c r="S117" i="1" s="1"/>
  <c r="AI148" i="1"/>
  <c r="W152" i="1"/>
  <c r="W87" i="1"/>
  <c r="W42" i="1"/>
  <c r="H8" i="6"/>
  <c r="W136" i="1"/>
  <c r="U139" i="1"/>
  <c r="S139" i="1" s="1"/>
  <c r="U138" i="1"/>
  <c r="S138" i="1" s="1"/>
  <c r="W115" i="1"/>
  <c r="W47" i="1"/>
  <c r="AI103" i="1"/>
  <c r="AI127" i="1"/>
  <c r="U107" i="1"/>
  <c r="S107" i="1" s="1"/>
  <c r="U98" i="1"/>
  <c r="S98" i="1" s="1"/>
  <c r="W249" i="1"/>
  <c r="W55" i="1"/>
  <c r="AI65" i="1"/>
  <c r="S65" i="1"/>
  <c r="W134" i="1"/>
  <c r="AI34" i="1"/>
  <c r="AI37" i="1"/>
  <c r="W124" i="1"/>
  <c r="W92" i="1"/>
  <c r="W243" i="1"/>
  <c r="W147" i="1"/>
  <c r="U142" i="1"/>
  <c r="S142" i="1" s="1"/>
  <c r="W35" i="1"/>
  <c r="U46" i="1"/>
  <c r="S46" i="1" s="1"/>
  <c r="AI99" i="1"/>
  <c r="AI107" i="1"/>
  <c r="U73" i="1"/>
  <c r="S73" i="1" s="1"/>
  <c r="AI188" i="1"/>
  <c r="U147" i="1"/>
  <c r="S147" i="1" s="1"/>
  <c r="W17" i="1"/>
  <c r="U33" i="1"/>
  <c r="S33" i="1" s="1"/>
  <c r="U49" i="1"/>
  <c r="W98" i="1"/>
  <c r="W63" i="1"/>
  <c r="U103" i="1"/>
  <c r="S103" i="1" s="1"/>
  <c r="U206" i="1"/>
  <c r="S206" i="1" s="1"/>
  <c r="W127" i="1"/>
  <c r="W220" i="1"/>
  <c r="W231" i="1"/>
  <c r="W177" i="1"/>
  <c r="W190" i="1"/>
  <c r="W214" i="1"/>
  <c r="B9" i="6"/>
  <c r="F8" i="6"/>
  <c r="I8" i="6"/>
  <c r="G8" i="6"/>
  <c r="W34" i="1"/>
  <c r="W105" i="1"/>
  <c r="W238" i="1"/>
  <c r="W71" i="1"/>
  <c r="W138" i="1"/>
  <c r="W93" i="1"/>
  <c r="W207" i="1"/>
  <c r="U247" i="1"/>
  <c r="S247" i="1" s="1"/>
  <c r="AI17" i="1"/>
  <c r="AI33" i="1"/>
  <c r="AI49" i="1"/>
  <c r="U186" i="1"/>
  <c r="S186" i="1" s="1"/>
  <c r="U101" i="1"/>
  <c r="S101" i="1" s="1"/>
  <c r="W241" i="1"/>
  <c r="AI210" i="1"/>
  <c r="U178" i="1"/>
  <c r="S178" i="1" s="1"/>
  <c r="AI248" i="1"/>
  <c r="W37" i="1"/>
  <c r="W61" i="1"/>
  <c r="U63" i="1"/>
  <c r="S63" i="1" s="1"/>
  <c r="AI63" i="1"/>
  <c r="W97" i="1"/>
  <c r="W65" i="1"/>
  <c r="W142" i="1"/>
  <c r="AI156" i="1"/>
  <c r="W237" i="1"/>
  <c r="U106" i="1"/>
  <c r="S106" i="1" s="1"/>
  <c r="W106" i="1"/>
  <c r="U222" i="1"/>
  <c r="S222" i="1" s="1"/>
  <c r="W73" i="1"/>
  <c r="U17" i="1"/>
  <c r="S17" i="1" s="1"/>
  <c r="W233" i="1"/>
  <c r="W119" i="1"/>
  <c r="W212" i="1"/>
  <c r="W236" i="1"/>
  <c r="U210" i="1"/>
  <c r="S210" i="1" s="1"/>
  <c r="W101" i="1"/>
  <c r="W222" i="1"/>
  <c r="AI221" i="1"/>
  <c r="AI217" i="1"/>
  <c r="W29" i="1"/>
  <c r="W44" i="1"/>
  <c r="U71" i="1"/>
  <c r="S71" i="1" s="1"/>
  <c r="AI71" i="1"/>
  <c r="U77" i="1"/>
  <c r="S77" i="1" s="1"/>
  <c r="AI77" i="1"/>
  <c r="U131" i="1"/>
  <c r="S131" i="1" s="1"/>
  <c r="AI131" i="1"/>
  <c r="U95" i="1"/>
  <c r="S95" i="1" s="1"/>
  <c r="AI95" i="1"/>
  <c r="W216" i="1"/>
  <c r="W139" i="1"/>
  <c r="W117" i="1"/>
  <c r="W182" i="1"/>
  <c r="U159" i="1"/>
  <c r="S159" i="1" s="1"/>
  <c r="AI159" i="1"/>
  <c r="U171" i="1"/>
  <c r="S171" i="1" s="1"/>
  <c r="AI171" i="1"/>
  <c r="W159" i="1"/>
  <c r="AI233" i="1"/>
  <c r="U75" i="1"/>
  <c r="S75" i="1" s="1"/>
  <c r="AI75" i="1"/>
  <c r="W75" i="1"/>
  <c r="W25" i="1"/>
  <c r="W33" i="1"/>
  <c r="W41" i="1"/>
  <c r="W49" i="1"/>
  <c r="U59" i="1"/>
  <c r="AI59" i="1"/>
  <c r="U79" i="1"/>
  <c r="S79" i="1" s="1"/>
  <c r="AI79" i="1"/>
  <c r="W59" i="1"/>
  <c r="W239" i="1"/>
  <c r="W144" i="1"/>
  <c r="U155" i="1"/>
  <c r="S155" i="1" s="1"/>
  <c r="AI155" i="1"/>
  <c r="W188" i="1"/>
  <c r="W171" i="1"/>
  <c r="W205" i="1"/>
  <c r="AI205" i="1"/>
  <c r="AI237" i="1"/>
  <c r="AI241" i="1"/>
  <c r="U67" i="1"/>
  <c r="AI67" i="1"/>
  <c r="U81" i="1"/>
  <c r="S81" i="1" s="1"/>
  <c r="AI81" i="1"/>
  <c r="U61" i="1"/>
  <c r="AI61" i="1"/>
  <c r="U85" i="1"/>
  <c r="S85" i="1" s="1"/>
  <c r="AI85" i="1"/>
  <c r="U125" i="1"/>
  <c r="S125" i="1" s="1"/>
  <c r="AI125" i="1"/>
  <c r="W85" i="1"/>
  <c r="W199" i="1"/>
  <c r="W223" i="1"/>
  <c r="W244" i="1"/>
  <c r="W201" i="1"/>
  <c r="AI201" i="1"/>
  <c r="U55" i="1"/>
  <c r="AI55" i="1"/>
  <c r="U89" i="1"/>
  <c r="S89" i="1" s="1"/>
  <c r="AI89" i="1"/>
  <c r="W67" i="1"/>
  <c r="U87" i="1"/>
  <c r="S87" i="1" s="1"/>
  <c r="AI87" i="1"/>
  <c r="W79" i="1"/>
  <c r="W109" i="1"/>
  <c r="W208" i="1"/>
  <c r="W228" i="1"/>
  <c r="W125" i="1"/>
  <c r="U163" i="1"/>
  <c r="S163" i="1" s="1"/>
  <c r="AI163" i="1"/>
  <c r="W131" i="1"/>
  <c r="W155" i="1"/>
  <c r="W248" i="1"/>
  <c r="U43" i="1"/>
  <c r="S43" i="1" s="1"/>
  <c r="AI43" i="1"/>
  <c r="AI57" i="1"/>
  <c r="U57" i="1"/>
  <c r="AI64" i="1"/>
  <c r="U64" i="1"/>
  <c r="U104" i="1"/>
  <c r="S104" i="1" s="1"/>
  <c r="AI104" i="1"/>
  <c r="U120" i="1"/>
  <c r="S120" i="1" s="1"/>
  <c r="AI120" i="1"/>
  <c r="U181" i="1"/>
  <c r="S181" i="1" s="1"/>
  <c r="AI134" i="1"/>
  <c r="W96" i="1"/>
  <c r="U189" i="1"/>
  <c r="S189" i="1" s="1"/>
  <c r="AI142" i="1"/>
  <c r="U213" i="1"/>
  <c r="S213" i="1" s="1"/>
  <c r="AI158" i="1"/>
  <c r="U229" i="1"/>
  <c r="S229" i="1" s="1"/>
  <c r="AI174" i="1"/>
  <c r="U245" i="1"/>
  <c r="S245" i="1"/>
  <c r="AI190" i="1"/>
  <c r="U145" i="1"/>
  <c r="S145" i="1" s="1"/>
  <c r="AI208" i="1"/>
  <c r="W104" i="1"/>
  <c r="W120" i="1"/>
  <c r="W151" i="1"/>
  <c r="W145" i="1"/>
  <c r="U39" i="1"/>
  <c r="S39" i="1" s="1"/>
  <c r="AI39" i="1"/>
  <c r="AI14" i="1"/>
  <c r="U14" i="1"/>
  <c r="S14" i="1" s="1"/>
  <c r="AI53" i="1"/>
  <c r="U53" i="1"/>
  <c r="S53" i="1" s="1"/>
  <c r="AI52" i="1"/>
  <c r="U52" i="1"/>
  <c r="AI68" i="1"/>
  <c r="U68" i="1"/>
  <c r="W64" i="1"/>
  <c r="U108" i="1"/>
  <c r="S108" i="1" s="1"/>
  <c r="AI108" i="1"/>
  <c r="U124" i="1"/>
  <c r="S124" i="1"/>
  <c r="AI124" i="1"/>
  <c r="U209" i="1"/>
  <c r="S209" i="1" s="1"/>
  <c r="AI154" i="1"/>
  <c r="U225" i="1"/>
  <c r="S225" i="1" s="1"/>
  <c r="AI170" i="1"/>
  <c r="U241" i="1"/>
  <c r="S241" i="1" s="1"/>
  <c r="AI186" i="1"/>
  <c r="U141" i="1"/>
  <c r="S141" i="1" s="1"/>
  <c r="AI204" i="1"/>
  <c r="W225" i="1"/>
  <c r="U149" i="1"/>
  <c r="S149" i="1" s="1"/>
  <c r="AI212" i="1"/>
  <c r="AI215" i="1"/>
  <c r="U152" i="1"/>
  <c r="S152" i="1" s="1"/>
  <c r="AI223" i="1"/>
  <c r="U160" i="1"/>
  <c r="S160" i="1" s="1"/>
  <c r="AI231" i="1"/>
  <c r="U168" i="1"/>
  <c r="S168" i="1" s="1"/>
  <c r="AI239" i="1"/>
  <c r="U176" i="1"/>
  <c r="S176" i="1" s="1"/>
  <c r="W245" i="1"/>
  <c r="W168" i="1"/>
  <c r="U27" i="1"/>
  <c r="S27" i="1" s="1"/>
  <c r="AI27" i="1"/>
  <c r="U19" i="1"/>
  <c r="S19" i="1" s="1"/>
  <c r="AI19" i="1"/>
  <c r="U35" i="1"/>
  <c r="S35" i="1" s="1"/>
  <c r="AI35" i="1"/>
  <c r="AI18" i="1"/>
  <c r="U18" i="1"/>
  <c r="S18" i="1" s="1"/>
  <c r="W27" i="1"/>
  <c r="W43" i="1"/>
  <c r="W39" i="1"/>
  <c r="AI56" i="1"/>
  <c r="U56" i="1"/>
  <c r="AI72" i="1"/>
  <c r="U72" i="1"/>
  <c r="S72" i="1" s="1"/>
  <c r="W72" i="1"/>
  <c r="W52" i="1"/>
  <c r="U96" i="1"/>
  <c r="S96" i="1" s="1"/>
  <c r="AI96" i="1"/>
  <c r="U112" i="1"/>
  <c r="S112" i="1" s="1"/>
  <c r="AI112" i="1"/>
  <c r="W57" i="1"/>
  <c r="W56" i="1"/>
  <c r="U205" i="1"/>
  <c r="S205" i="1" s="1"/>
  <c r="AI150" i="1"/>
  <c r="U221" i="1"/>
  <c r="S221" i="1" s="1"/>
  <c r="AI166" i="1"/>
  <c r="U237" i="1"/>
  <c r="S237" i="1" s="1"/>
  <c r="AI182" i="1"/>
  <c r="U137" i="1"/>
  <c r="S137" i="1" s="1"/>
  <c r="AI199" i="1"/>
  <c r="W112" i="1"/>
  <c r="W181" i="1"/>
  <c r="W209" i="1"/>
  <c r="W229" i="1"/>
  <c r="W149" i="1"/>
  <c r="W176" i="1"/>
  <c r="W160" i="1"/>
  <c r="AI249" i="1"/>
  <c r="U198" i="1"/>
  <c r="S198" i="1" s="1"/>
  <c r="U23" i="1"/>
  <c r="S23" i="1" s="1"/>
  <c r="AI23" i="1"/>
  <c r="U15" i="1"/>
  <c r="S15" i="1" s="1"/>
  <c r="AI15" i="1"/>
  <c r="U31" i="1"/>
  <c r="S31" i="1" s="1"/>
  <c r="AI31" i="1"/>
  <c r="U47" i="1"/>
  <c r="S47" i="1" s="1"/>
  <c r="AI47" i="1"/>
  <c r="AI22" i="1"/>
  <c r="U22" i="1"/>
  <c r="S22" i="1" s="1"/>
  <c r="W14" i="1"/>
  <c r="AI69" i="1"/>
  <c r="U69" i="1"/>
  <c r="S69" i="1" s="1"/>
  <c r="AI60" i="1"/>
  <c r="U60" i="1"/>
  <c r="U100" i="1"/>
  <c r="S100" i="1" s="1"/>
  <c r="AI100" i="1"/>
  <c r="U116" i="1"/>
  <c r="S116" i="1" s="1"/>
  <c r="AI116" i="1"/>
  <c r="U130" i="1"/>
  <c r="S130" i="1" s="1"/>
  <c r="AI130" i="1"/>
  <c r="W68" i="1"/>
  <c r="W108" i="1"/>
  <c r="W130" i="1"/>
  <c r="U185" i="1"/>
  <c r="S185" i="1" s="1"/>
  <c r="AI138" i="1"/>
  <c r="U201" i="1"/>
  <c r="S201" i="1"/>
  <c r="AI146" i="1"/>
  <c r="U217" i="1"/>
  <c r="S217" i="1" s="1"/>
  <c r="AI162" i="1"/>
  <c r="U233" i="1"/>
  <c r="S233" i="1" s="1"/>
  <c r="AI178" i="1"/>
  <c r="U133" i="1"/>
  <c r="S133" i="1" s="1"/>
  <c r="AI195" i="1"/>
  <c r="W189" i="1"/>
  <c r="W133" i="1"/>
  <c r="AI214" i="1"/>
  <c r="U151" i="1"/>
  <c r="S151" i="1" s="1"/>
  <c r="W213" i="1"/>
  <c r="W137" i="1"/>
  <c r="W141" i="1"/>
  <c r="AI219" i="1"/>
  <c r="U156" i="1"/>
  <c r="S156" i="1" s="1"/>
  <c r="AI227" i="1"/>
  <c r="U164" i="1"/>
  <c r="S164" i="1" s="1"/>
  <c r="AI235" i="1"/>
  <c r="U172" i="1"/>
  <c r="S172" i="1" s="1"/>
  <c r="AI243" i="1"/>
  <c r="U249" i="1"/>
  <c r="S249" i="1" s="1"/>
  <c r="W172" i="1"/>
  <c r="W198" i="1"/>
  <c r="R12" i="3"/>
  <c r="M12" i="3"/>
  <c r="S12" i="3"/>
  <c r="U12" i="3"/>
  <c r="V12" i="3"/>
  <c r="W12" i="3"/>
  <c r="X12" i="3"/>
  <c r="G9" i="6" l="1"/>
  <c r="I9" i="6"/>
  <c r="J9" i="6"/>
  <c r="F9" i="6"/>
  <c r="H9" i="6"/>
  <c r="B10" i="6"/>
  <c r="AC12" i="3"/>
  <c r="AD12" i="3"/>
  <c r="AE12" i="3"/>
  <c r="Y12" i="3"/>
  <c r="T12" i="3"/>
  <c r="F10" i="6" l="1"/>
  <c r="G10" i="6"/>
  <c r="I10" i="6"/>
  <c r="J10" i="6"/>
  <c r="H10" i="6"/>
  <c r="B11" i="6"/>
  <c r="O2" i="3"/>
  <c r="G11" i="6" l="1"/>
  <c r="I11" i="6"/>
  <c r="J11" i="6"/>
  <c r="F11" i="6"/>
  <c r="H11" i="6"/>
  <c r="B12" i="6"/>
  <c r="M28" i="5"/>
  <c r="B13" i="6" l="1"/>
  <c r="F12" i="6"/>
  <c r="I12" i="6"/>
  <c r="G12" i="6"/>
  <c r="H12" i="6"/>
  <c r="J12" i="6"/>
  <c r="M23" i="5"/>
  <c r="B14" i="6" l="1"/>
  <c r="G13" i="6"/>
  <c r="I13" i="6"/>
  <c r="H13" i="6"/>
  <c r="J13" i="6"/>
  <c r="F13" i="6"/>
  <c r="AD7" i="3"/>
  <c r="AN13" i="1"/>
  <c r="F14" i="6" l="1"/>
  <c r="I14" i="6"/>
  <c r="G14" i="6"/>
  <c r="J14" i="6"/>
  <c r="H14" i="6"/>
  <c r="B15" i="6"/>
  <c r="AE7" i="3"/>
  <c r="G15" i="6" l="1"/>
  <c r="I15" i="6"/>
  <c r="F15" i="6"/>
  <c r="J15" i="6"/>
  <c r="H15" i="6"/>
  <c r="B16" i="6"/>
  <c r="K13" i="1"/>
  <c r="M13" i="1"/>
  <c r="N13" i="1" s="1"/>
  <c r="Y13" i="1"/>
  <c r="Z13" i="1"/>
  <c r="AB13" i="1"/>
  <c r="AC13" i="1"/>
  <c r="AD13" i="1"/>
  <c r="X14" i="1" s="1"/>
  <c r="AE13" i="1"/>
  <c r="AM13" i="1"/>
  <c r="F16" i="6" l="1"/>
  <c r="I16" i="6"/>
  <c r="G16" i="6"/>
  <c r="H16" i="6"/>
  <c r="J16" i="6"/>
  <c r="B17" i="6"/>
  <c r="AG13" i="1"/>
  <c r="AI13" i="1" s="1"/>
  <c r="X13" i="1"/>
  <c r="AA13" i="1"/>
  <c r="T13" i="1"/>
  <c r="G17" i="6" l="1"/>
  <c r="I17" i="6"/>
  <c r="J17" i="6"/>
  <c r="F17" i="6"/>
  <c r="H17" i="6"/>
  <c r="B18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9" i="6" l="1"/>
  <c r="F18" i="6"/>
  <c r="G18" i="6"/>
  <c r="I18" i="6"/>
  <c r="J18" i="6"/>
  <c r="H18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9" i="6" l="1"/>
  <c r="I19" i="6"/>
  <c r="J19" i="6"/>
  <c r="F19" i="6"/>
  <c r="H19" i="6"/>
  <c r="B20" i="6"/>
  <c r="B87" i="9"/>
  <c r="B88" i="9"/>
  <c r="B89" i="9"/>
  <c r="B90" i="9"/>
  <c r="B91" i="9"/>
  <c r="B92" i="9"/>
  <c r="B21" i="6" l="1"/>
  <c r="F20" i="6"/>
  <c r="G20" i="6"/>
  <c r="I20" i="6"/>
  <c r="H20" i="6"/>
  <c r="J20" i="6"/>
  <c r="C88" i="9"/>
  <c r="C92" i="9"/>
  <c r="C93" i="9"/>
  <c r="C90" i="9"/>
  <c r="C89" i="9"/>
  <c r="C91" i="9"/>
  <c r="B22" i="6" l="1"/>
  <c r="G21" i="6"/>
  <c r="I21" i="6"/>
  <c r="H21" i="6"/>
  <c r="J21" i="6"/>
  <c r="F21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22" i="6" l="1"/>
  <c r="G22" i="6"/>
  <c r="I22" i="6"/>
  <c r="J22" i="6"/>
  <c r="H22" i="6"/>
  <c r="B23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H23" i="6" l="1"/>
  <c r="I23" i="6"/>
  <c r="F23" i="6"/>
  <c r="G23" i="6"/>
  <c r="J23" i="6"/>
  <c r="B24" i="6"/>
  <c r="B55" i="9"/>
  <c r="B56" i="9"/>
  <c r="B57" i="9"/>
  <c r="B58" i="9"/>
  <c r="B59" i="9"/>
  <c r="B60" i="9"/>
  <c r="B61" i="9"/>
  <c r="B62" i="9"/>
  <c r="C63" i="9" s="1"/>
  <c r="F24" i="6" l="1"/>
  <c r="I24" i="6"/>
  <c r="G24" i="6"/>
  <c r="H24" i="6"/>
  <c r="J24" i="6"/>
  <c r="B25" i="6"/>
  <c r="C61" i="9"/>
  <c r="C57" i="9"/>
  <c r="C59" i="9"/>
  <c r="C62" i="9"/>
  <c r="C60" i="9"/>
  <c r="C58" i="9"/>
  <c r="C56" i="9"/>
  <c r="G25" i="6" l="1"/>
  <c r="I25" i="6"/>
  <c r="J25" i="6"/>
  <c r="F25" i="6"/>
  <c r="H25" i="6"/>
  <c r="B26" i="6"/>
  <c r="B50" i="9"/>
  <c r="B51" i="9"/>
  <c r="B52" i="9"/>
  <c r="B53" i="9"/>
  <c r="B54" i="9"/>
  <c r="F26" i="6" l="1"/>
  <c r="G26" i="6"/>
  <c r="I26" i="6"/>
  <c r="J26" i="6"/>
  <c r="H26" i="6"/>
  <c r="B27" i="6"/>
  <c r="C52" i="9"/>
  <c r="C54" i="9"/>
  <c r="C55" i="9"/>
  <c r="C53" i="9"/>
  <c r="C51" i="9"/>
  <c r="G27" i="6" l="1"/>
  <c r="I27" i="6"/>
  <c r="H27" i="6"/>
  <c r="J27" i="6"/>
  <c r="F27" i="6"/>
  <c r="B28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9" i="6" l="1"/>
  <c r="F28" i="6"/>
  <c r="G28" i="6"/>
  <c r="I28" i="6"/>
  <c r="H28" i="6"/>
  <c r="J28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9" i="6" l="1"/>
  <c r="I29" i="6"/>
  <c r="J29" i="6"/>
  <c r="H29" i="6"/>
  <c r="F29" i="6"/>
  <c r="B30" i="6"/>
  <c r="V13" i="1"/>
  <c r="B31" i="9"/>
  <c r="B32" i="9"/>
  <c r="C33" i="9" s="1"/>
  <c r="F30" i="6" l="1"/>
  <c r="G30" i="6"/>
  <c r="I30" i="6"/>
  <c r="H30" i="6"/>
  <c r="J30" i="6"/>
  <c r="B31" i="6"/>
  <c r="C32" i="9"/>
  <c r="G31" i="6" l="1"/>
  <c r="I31" i="6"/>
  <c r="F31" i="6"/>
  <c r="H31" i="6"/>
  <c r="J31" i="6"/>
  <c r="B32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15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N10" i="3" s="1"/>
  <c r="G60" i="4"/>
  <c r="G61" i="4"/>
  <c r="G62" i="4"/>
  <c r="G63" i="4"/>
  <c r="G64" i="4"/>
  <c r="G65" i="4"/>
  <c r="G66" i="4"/>
  <c r="G67" i="4"/>
  <c r="G68" i="4"/>
  <c r="N7" i="3" s="1"/>
  <c r="G69" i="4"/>
  <c r="G70" i="4"/>
  <c r="G71" i="4"/>
  <c r="G72" i="4"/>
  <c r="N26" i="3" s="1"/>
  <c r="G73" i="4"/>
  <c r="G74" i="4"/>
  <c r="G75" i="4"/>
  <c r="G76" i="4"/>
  <c r="G77" i="4"/>
  <c r="G78" i="4"/>
  <c r="G79" i="4"/>
  <c r="G80" i="4"/>
  <c r="G81" i="4"/>
  <c r="G82" i="4"/>
  <c r="G83" i="4"/>
  <c r="N9" i="3" s="1"/>
  <c r="G84" i="4"/>
  <c r="G85" i="4"/>
  <c r="G86" i="4"/>
  <c r="N25" i="3" s="1"/>
  <c r="G87" i="4"/>
  <c r="N24" i="3" s="1"/>
  <c r="G88" i="4"/>
  <c r="G89" i="4"/>
  <c r="G90" i="4"/>
  <c r="G91" i="4"/>
  <c r="G92" i="4"/>
  <c r="G93" i="4"/>
  <c r="G94" i="4"/>
  <c r="G95" i="4"/>
  <c r="N23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N35" i="3" s="1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N18" i="3" s="1"/>
  <c r="G149" i="4"/>
  <c r="G150" i="4"/>
  <c r="G151" i="4"/>
  <c r="G152" i="4"/>
  <c r="G153" i="4"/>
  <c r="N13" i="3" s="1"/>
  <c r="G154" i="4"/>
  <c r="G155" i="4"/>
  <c r="G156" i="4"/>
  <c r="G157" i="4"/>
  <c r="G158" i="4"/>
  <c r="G159" i="4"/>
  <c r="G160" i="4"/>
  <c r="G161" i="4"/>
  <c r="G162" i="4"/>
  <c r="G163" i="4"/>
  <c r="G164" i="4"/>
  <c r="N8" i="3" s="1"/>
  <c r="G165" i="4"/>
  <c r="G166" i="4"/>
  <c r="G167" i="4"/>
  <c r="G168" i="4"/>
  <c r="G169" i="4"/>
  <c r="G170" i="4"/>
  <c r="G171" i="4"/>
  <c r="N30" i="3" s="1"/>
  <c r="G172" i="4"/>
  <c r="G173" i="4"/>
  <c r="G174" i="4"/>
  <c r="G175" i="4"/>
  <c r="N16" i="3" s="1"/>
  <c r="G176" i="4"/>
  <c r="G177" i="4"/>
  <c r="N32" i="3" s="1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N14" i="3" s="1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28" i="3" s="1"/>
  <c r="G205" i="4"/>
  <c r="G206" i="4"/>
  <c r="G207" i="4"/>
  <c r="G208" i="4"/>
  <c r="G209" i="4"/>
  <c r="G210" i="4"/>
  <c r="G211" i="4"/>
  <c r="N20" i="3" s="1"/>
  <c r="G212" i="4"/>
  <c r="G213" i="4"/>
  <c r="G214" i="4"/>
  <c r="G215" i="4"/>
  <c r="G216" i="4"/>
  <c r="G217" i="4"/>
  <c r="G218" i="4"/>
  <c r="G219" i="4"/>
  <c r="G220" i="4"/>
  <c r="G221" i="4"/>
  <c r="G222" i="4"/>
  <c r="N22" i="3" s="1"/>
  <c r="G223" i="4"/>
  <c r="G224" i="4"/>
  <c r="G225" i="4"/>
  <c r="G226" i="4"/>
  <c r="N21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N11" i="3" s="1"/>
  <c r="G251" i="4"/>
  <c r="G252" i="4"/>
  <c r="G253" i="4"/>
  <c r="G254" i="4"/>
  <c r="G255" i="4"/>
  <c r="G256" i="4"/>
  <c r="G257" i="4"/>
  <c r="G258" i="4"/>
  <c r="G2" i="4"/>
  <c r="F32" i="6" l="1"/>
  <c r="I32" i="6"/>
  <c r="G32" i="6"/>
  <c r="H32" i="6"/>
  <c r="J32" i="6"/>
  <c r="B33" i="6"/>
  <c r="N34" i="3"/>
  <c r="N33" i="3"/>
  <c r="N29" i="3"/>
  <c r="N39" i="3"/>
  <c r="N31" i="3"/>
  <c r="N36" i="3"/>
  <c r="N37" i="3"/>
  <c r="N38" i="3"/>
  <c r="N12" i="3"/>
  <c r="N17" i="3"/>
  <c r="N19" i="3"/>
  <c r="L13" i="1"/>
  <c r="G33" i="6" l="1"/>
  <c r="I33" i="6"/>
  <c r="J33" i="6"/>
  <c r="F33" i="6"/>
  <c r="H33" i="6"/>
  <c r="B34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4" i="6" l="1"/>
  <c r="G34" i="6"/>
  <c r="I34" i="6"/>
  <c r="J34" i="6"/>
  <c r="H34" i="6"/>
  <c r="B35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5" i="6" l="1"/>
  <c r="H35" i="6"/>
  <c r="J35" i="6"/>
  <c r="I35" i="6"/>
  <c r="F35" i="6"/>
  <c r="B36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7" i="6" l="1"/>
  <c r="F36" i="6"/>
  <c r="G36" i="6"/>
  <c r="I36" i="6"/>
  <c r="H36" i="6"/>
  <c r="J36" i="6"/>
  <c r="M30" i="5"/>
  <c r="M29" i="5"/>
  <c r="M27" i="5"/>
  <c r="G37" i="6" l="1"/>
  <c r="I37" i="6"/>
  <c r="J37" i="6"/>
  <c r="H37" i="6"/>
  <c r="F37" i="6"/>
  <c r="B38" i="6"/>
  <c r="M26" i="5"/>
  <c r="B39" i="6" l="1"/>
  <c r="F38" i="6"/>
  <c r="G38" i="6"/>
  <c r="H38" i="6"/>
  <c r="J38" i="6"/>
  <c r="I38" i="6"/>
  <c r="AH13" i="1"/>
  <c r="J7" i="1"/>
  <c r="G39" i="6" l="1"/>
  <c r="F39" i="6"/>
  <c r="H39" i="6"/>
  <c r="J39" i="6"/>
  <c r="I39" i="6"/>
  <c r="B40" i="6"/>
  <c r="X6" i="1"/>
  <c r="W6" i="1"/>
  <c r="V6" i="1"/>
  <c r="S6" i="1"/>
  <c r="R2" i="1"/>
  <c r="I2" i="1"/>
  <c r="O6" i="1"/>
  <c r="N6" i="1"/>
  <c r="M6" i="1"/>
  <c r="J6" i="1"/>
  <c r="B41" i="6" l="1"/>
  <c r="I40" i="6"/>
  <c r="G40" i="6"/>
  <c r="H40" i="6"/>
  <c r="J40" i="6"/>
  <c r="F40" i="6"/>
  <c r="P3" i="5"/>
  <c r="G41" i="6" l="1"/>
  <c r="I41" i="6"/>
  <c r="J41" i="6"/>
  <c r="F41" i="6"/>
  <c r="H41" i="6"/>
  <c r="B42" i="6"/>
  <c r="M18" i="5"/>
  <c r="B43" i="6" l="1"/>
  <c r="F42" i="6"/>
  <c r="G42" i="6"/>
  <c r="I42" i="6"/>
  <c r="J42" i="6"/>
  <c r="H42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3" i="6" l="1"/>
  <c r="I43" i="6"/>
  <c r="J43" i="6"/>
  <c r="F43" i="6"/>
  <c r="H43" i="6"/>
  <c r="B44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5" i="6" l="1"/>
  <c r="F44" i="6"/>
  <c r="G44" i="6"/>
  <c r="I44" i="6"/>
  <c r="H44" i="6"/>
  <c r="J44" i="6"/>
  <c r="G259" i="4"/>
  <c r="G260" i="4"/>
  <c r="G261" i="4"/>
  <c r="N27" i="3" s="1"/>
  <c r="G262" i="4"/>
  <c r="G263" i="4"/>
  <c r="G264" i="4"/>
  <c r="G265" i="4"/>
  <c r="B46" i="6" l="1"/>
  <c r="G45" i="6"/>
  <c r="I45" i="6"/>
  <c r="H45" i="6"/>
  <c r="J45" i="6"/>
  <c r="F45" i="6"/>
  <c r="M14" i="5"/>
  <c r="M13" i="5"/>
  <c r="M12" i="5"/>
  <c r="M11" i="5"/>
  <c r="M10" i="5"/>
  <c r="M9" i="5"/>
  <c r="M8" i="5"/>
  <c r="M7" i="5"/>
  <c r="M6" i="5"/>
  <c r="M5" i="5"/>
  <c r="M4" i="5"/>
  <c r="M3" i="5"/>
  <c r="F46" i="6" l="1"/>
  <c r="G46" i="6"/>
  <c r="I46" i="6"/>
  <c r="J46" i="6"/>
  <c r="H46" i="6"/>
  <c r="B47" i="6"/>
  <c r="U13" i="1"/>
  <c r="S13" i="1" s="1"/>
  <c r="O3" i="3"/>
  <c r="H47" i="6" l="1"/>
  <c r="I47" i="6"/>
  <c r="F47" i="6"/>
  <c r="G47" i="6"/>
  <c r="J47" i="6"/>
  <c r="B48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9" i="6" l="1"/>
  <c r="F49" i="6" s="1"/>
  <c r="F48" i="6"/>
  <c r="G48" i="6"/>
  <c r="I48" i="6"/>
  <c r="H48" i="6"/>
  <c r="J48" i="6"/>
  <c r="J8" i="1"/>
  <c r="J4" i="1"/>
  <c r="S8" i="1"/>
  <c r="S4" i="1"/>
  <c r="J49" i="6" l="1"/>
  <c r="I49" i="6"/>
  <c r="G49" i="6"/>
  <c r="H49" i="6"/>
  <c r="B50" i="6"/>
  <c r="S9" i="1"/>
  <c r="J9" i="1"/>
  <c r="B51" i="6" l="1"/>
  <c r="H50" i="6"/>
  <c r="J50" i="6"/>
  <c r="F50" i="6"/>
  <c r="G50" i="6"/>
  <c r="I50" i="6"/>
  <c r="S11" i="1"/>
  <c r="A11" i="1"/>
  <c r="B52" i="6" l="1"/>
  <c r="F51" i="6"/>
  <c r="I51" i="6"/>
  <c r="J51" i="6"/>
  <c r="G51" i="6"/>
  <c r="H51" i="6"/>
  <c r="B1" i="6"/>
  <c r="A5" i="3"/>
  <c r="B53" i="6" l="1"/>
  <c r="G52" i="6"/>
  <c r="H52" i="6"/>
  <c r="F52" i="6"/>
  <c r="I52" i="6"/>
  <c r="J52" i="6"/>
  <c r="B3" i="6"/>
  <c r="G53" i="6" l="1"/>
  <c r="H53" i="6"/>
  <c r="I53" i="6"/>
  <c r="J53" i="6"/>
  <c r="F53" i="6"/>
  <c r="B54" i="6"/>
  <c r="I3" i="6"/>
  <c r="F3" i="6"/>
  <c r="G3" i="6"/>
  <c r="H3" i="6"/>
  <c r="J3" i="6"/>
  <c r="H54" i="6" l="1"/>
  <c r="F54" i="6"/>
  <c r="G54" i="6"/>
  <c r="I54" i="6"/>
  <c r="J54" i="6"/>
  <c r="B55" i="6"/>
  <c r="B4" i="6"/>
  <c r="B56" i="6" l="1"/>
  <c r="G55" i="6"/>
  <c r="H55" i="6"/>
  <c r="I55" i="6"/>
  <c r="J55" i="6"/>
  <c r="F55" i="6"/>
  <c r="I4" i="6"/>
  <c r="F4" i="6"/>
  <c r="G4" i="6"/>
  <c r="H4" i="6"/>
  <c r="J4" i="6"/>
  <c r="B57" i="6" l="1"/>
  <c r="I56" i="6"/>
  <c r="G56" i="6"/>
  <c r="F56" i="6"/>
  <c r="H56" i="6"/>
  <c r="J56" i="6"/>
  <c r="B5" i="6"/>
  <c r="G57" i="6" l="1"/>
  <c r="F57" i="6"/>
  <c r="H57" i="6"/>
  <c r="I57" i="6"/>
  <c r="J57" i="6"/>
  <c r="B58" i="6"/>
  <c r="I5" i="6"/>
  <c r="F5" i="6"/>
  <c r="J5" i="6"/>
  <c r="G5" i="6"/>
  <c r="H5" i="6"/>
  <c r="B6" i="6"/>
  <c r="H58" i="6" l="1"/>
  <c r="J58" i="6"/>
  <c r="F58" i="6"/>
  <c r="G58" i="6"/>
  <c r="I58" i="6"/>
  <c r="B59" i="6"/>
  <c r="I6" i="6"/>
  <c r="F6" i="6"/>
  <c r="B7" i="6"/>
  <c r="G6" i="6"/>
  <c r="J6" i="6"/>
  <c r="H6" i="6"/>
  <c r="B60" i="6" l="1"/>
  <c r="F59" i="6"/>
  <c r="G59" i="6"/>
  <c r="I59" i="6"/>
  <c r="H59" i="6"/>
  <c r="J59" i="6"/>
  <c r="I7" i="6"/>
  <c r="F7" i="6"/>
  <c r="G7" i="6"/>
  <c r="J7" i="6"/>
  <c r="H7" i="6"/>
  <c r="F60" i="6" l="1"/>
  <c r="G60" i="6"/>
  <c r="J60" i="6"/>
  <c r="H60" i="6"/>
  <c r="I60" i="6"/>
  <c r="B61" i="6"/>
  <c r="G61" i="6" l="1"/>
  <c r="J61" i="6"/>
  <c r="F61" i="6"/>
  <c r="H61" i="6"/>
  <c r="I61" i="6"/>
  <c r="B62" i="6"/>
  <c r="B63" i="6" l="1"/>
  <c r="F62" i="6"/>
  <c r="G62" i="6"/>
  <c r="H62" i="6"/>
  <c r="I62" i="6"/>
  <c r="J62" i="6"/>
  <c r="B64" i="6" l="1"/>
  <c r="J63" i="6"/>
  <c r="F63" i="6"/>
  <c r="I63" i="6"/>
  <c r="G63" i="6"/>
  <c r="H63" i="6"/>
  <c r="B65" i="6" l="1"/>
  <c r="G64" i="6"/>
  <c r="H64" i="6"/>
  <c r="F64" i="6"/>
  <c r="I64" i="6"/>
  <c r="J64" i="6"/>
  <c r="G65" i="6" l="1"/>
  <c r="I65" i="6"/>
  <c r="J65" i="6"/>
  <c r="F65" i="6"/>
  <c r="H65" i="6"/>
  <c r="B66" i="6"/>
  <c r="B67" i="6" l="1"/>
  <c r="J66" i="6"/>
  <c r="F66" i="6"/>
  <c r="H66" i="6"/>
  <c r="G66" i="6"/>
  <c r="I66" i="6"/>
  <c r="B68" i="6" l="1"/>
  <c r="H67" i="6"/>
  <c r="F67" i="6"/>
  <c r="I67" i="6"/>
  <c r="J67" i="6"/>
  <c r="G67" i="6"/>
  <c r="B70" i="6" l="1"/>
  <c r="B69" i="6"/>
  <c r="G68" i="6"/>
  <c r="H68" i="6"/>
  <c r="F68" i="6"/>
  <c r="I68" i="6"/>
  <c r="J68" i="6"/>
  <c r="G69" i="6" l="1"/>
  <c r="H69" i="6"/>
  <c r="I69" i="6"/>
  <c r="J69" i="6"/>
  <c r="F69" i="6"/>
  <c r="H70" i="6"/>
  <c r="J70" i="6"/>
  <c r="G70" i="6"/>
  <c r="I70" i="6"/>
  <c r="F7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<sst xmlns="http://schemas.openxmlformats.org/spreadsheetml/2006/main" count="2931" uniqueCount="1057">
  <si>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</si>
  <si>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</si>
  <si>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</si>
  <si>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</si>
  <si>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</si>
  <si>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</si>
  <si>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</si>
  <si>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</si>
  <si>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</si>
  <si>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</si>
  <si>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</si>
  <si>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</si>
  <si>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</si>
  <si>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</si>
  <si>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</si>
  <si>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</si>
  <si>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</si>
  <si>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</si>
  <si>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</si>
  <si>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</si>
  <si>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</si>
  <si>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</si>
  <si>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</si>
  <si>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</si>
  <si>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</si>
  <si>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</si>
  <si>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</si>
  <si>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</si>
  <si>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</si>
  <si>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</si>
  <si>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</si>
  <si>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</si>
  <si>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</si>
  <si>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</si>
  <si>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</si>
  <si>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</si>
  <si>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</si>
  <si>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</si>
  <si>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</si>
  <si>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</si>
  <si>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</si>
  <si>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</si>
  <si>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</si>
  <si>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</si>
  <si>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</si>
  <si>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</si>
  <si>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</si>
  <si>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</si>
  <si>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</si>
  <si>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</si>
  <si>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</si>
  <si>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</si>
  <si>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</si>
  <si>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</si>
  <si>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</si>
  <si>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</si>
  <si>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</si>
  <si>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</si>
  <si>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</si>
  <si>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</si>
  <si>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</si>
  <si>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</si>
  <si>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</si>
  <si>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</si>
  <si>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</si>
  <si>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</si>
  <si>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</si>
  <si>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</si>
  <si>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</si>
  <si>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</si>
  <si>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</si>
  <si>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</si>
  <si>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</si>
  <si>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</si>
  <si>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</si>
  <si>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</si>
  <si>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</si>
  <si>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</si>
  <si>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</si>
  <si>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</si>
  <si>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</si>
  <si>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</si>
  <si>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</si>
  <si>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</si>
  <si>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</si>
  <si>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</si>
  <si>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</si>
  <si>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</si>
  <si>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</si>
  <si>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</si>
  <si>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</si>
  <si>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</si>
  <si>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</si>
  <si>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</si>
  <si>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</si>
  <si>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</si>
  <si>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</si>
  <si>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</si>
  <si>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</si>
  <si>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</si>
  <si>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</si>
  <si>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</si>
  <si>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</si>
  <si>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</si>
  <si>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</si>
  <si>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</si>
  <si>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</si>
  <si>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</si>
  <si>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</si>
  <si>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</si>
  <si>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</si>
  <si>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</si>
  <si>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</si>
  <si>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</si>
  <si>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</si>
  <si>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</si>
  <si>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</si>
  <si>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</si>
  <si>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</si>
  <si>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</si>
  <si>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</si>
  <si>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</si>
  <si>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</si>
  <si>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</si>
  <si>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</si>
  <si>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</si>
  <si>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</si>
  <si>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</si>
  <si>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</si>
  <si>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</si>
  <si>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</si>
  <si>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</si>
  <si>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</si>
  <si>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</si>
  <si>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</si>
  <si>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</si>
  <si>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</si>
  <si>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</si>
  <si>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</si>
  <si>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</si>
  <si>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</si>
  <si>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</si>
  <si>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</si>
  <si>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</si>
  <si>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</si>
  <si>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</si>
  <si>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</si>
  <si>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</si>
  <si>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</si>
  <si>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</si>
  <si>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</si>
  <si>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</si>
  <si>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</si>
  <si>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</si>
  <si>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</si>
  <si>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</si>
  <si>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</si>
  <si>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</si>
  <si>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</si>
  <si>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</si>
  <si>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</si>
  <si>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</si>
  <si>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</si>
  <si>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</si>
  <si>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</si>
  <si>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</si>
  <si>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</si>
  <si>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</si>
  <si>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</si>
  <si>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</si>
  <si>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</si>
  <si>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</si>
  <si>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</si>
  <si>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</si>
  <si>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</si>
  <si>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</si>
  <si>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</si>
  <si>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</si>
  <si>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</si>
  <si>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</si>
  <si>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</si>
  <si>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</si>
  <si>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</si>
  <si>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</si>
  <si>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</si>
  <si>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</si>
  <si>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</si>
  <si>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</si>
  <si>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</si>
  <si>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</si>
  <si>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</si>
  <si>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</si>
  <si>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</si>
  <si>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</si>
  <si>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</si>
  <si>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</si>
  <si>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</si>
  <si>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</si>
  <si>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</si>
  <si>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</si>
  <si>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</si>
  <si>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</si>
  <si>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</si>
  <si>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</si>
  <si>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</si>
  <si>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</si>
  <si>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</si>
  <si>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</si>
  <si>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</si>
  <si>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</si>
  <si>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</si>
  <si>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</si>
  <si>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</si>
  <si>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</si>
  <si>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</si>
  <si>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</si>
  <si>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</si>
  <si>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</si>
  <si>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</si>
  <si>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</si>
  <si>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</si>
  <si>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</si>
  <si>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</si>
  <si>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</si>
  <si>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</si>
  <si>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</si>
  <si>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</si>
  <si>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</si>
  <si>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</si>
  <si>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</si>
  <si>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</si>
  <si>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</si>
  <si>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</si>
  <si>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</si>
  <si>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</si>
  <si>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</si>
  <si>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</si>
  <si>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</si>
  <si>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</si>
  <si>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</si>
  <si>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</si>
  <si>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</si>
  <si>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</si>
  <si>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</si>
  <si>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</si>
  <si>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</si>
  <si>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</si>
  <si>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</si>
  <si>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</si>
  <si>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</si>
  <si>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</si>
  <si>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</si>
  <si>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</si>
  <si>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</si>
  <si>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</si>
  <si>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</si>
  <si>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</si>
  <si>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</si>
  <si>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</si>
  <si>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</si>
  <si>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</si>
  <si>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</si>
  <si>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</si>
  <si>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</si>
  <si>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</si>
  <si>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</si>
  <si>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</si>
  <si>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</si>
  <si>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</si>
  <si>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</si>
  <si>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</si>
  <si>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</si>
  <si>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</si>
  <si>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</si>
  <si>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</si>
  <si>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</si>
  <si>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</si>
  <si>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</si>
  <si>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</si>
  <si>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</si>
  <si>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</si>
  <si>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</si>
  <si>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</si>
  <si>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</si>
  <si>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</si>
  <si>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</si>
  <si>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</si>
  <si>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</si>
  <si>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</si>
  <si>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</si>
  <si>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</si>
  <si>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</si>
  <si>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</si>
  <si>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</si>
  <si>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</si>
  <si>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</si>
  <si>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</si>
  <si>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</si>
  <si>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</si>
  <si>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</si>
  <si>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</si>
  <si>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</si>
  <si>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</si>
  <si>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</si>
  <si>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</si>
  <si>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</si>
  <si>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</si>
  <si>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</si>
  <si>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</si>
  <si>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</si>
  <si>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</si>
  <si>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</si>
  <si>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</si>
  <si>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</si>
  <si>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</si>
  <si>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</si>
  <si>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</si>
  <si>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</si>
  <si>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</si>
  <si>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</si>
  <si>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</si>
  <si>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</si>
  <si>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</si>
  <si>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</si>
  <si>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</si>
  <si>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</si>
  <si>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</si>
  <si>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</si>
  <si>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</si>
  <si>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</si>
  <si>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</si>
  <si>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</si>
  <si>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</si>
  <si>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</si>
  <si>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</si>
  <si>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</si>
  <si>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</si>
  <si>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</si>
  <si>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</si>
  <si>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</si>
  <si>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</si>
  <si>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</si>
  <si>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</si>
  <si>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</si>
  <si>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</si>
  <si>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</si>
  <si>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</si>
  <si>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</si>
  <si>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</si>
  <si>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</si>
  <si>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</si>
  <si>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</si>
  <si>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</si>
  <si>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204:145</t>
  </si>
  <si>
    <t>204:160</t>
  </si>
  <si>
    <t>204:458</t>
  </si>
  <si>
    <t>rtdc.l.rtdc.4004:itc</t>
  </si>
  <si>
    <t>rtdc.l.rtdc.4003:itc</t>
  </si>
  <si>
    <t>204:150</t>
  </si>
  <si>
    <t>204:149</t>
  </si>
  <si>
    <t>204:143</t>
  </si>
  <si>
    <t>204:466</t>
  </si>
  <si>
    <t>204:469</t>
  </si>
  <si>
    <t>204:451</t>
  </si>
  <si>
    <t>300:23346</t>
  </si>
  <si>
    <t>rtdc.l.rtdc.4018:itc</t>
  </si>
  <si>
    <t>204:233314</t>
  </si>
  <si>
    <t>204:464</t>
  </si>
  <si>
    <t>204:156</t>
  </si>
  <si>
    <t>rtdc.l.rtdc.4017:itc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</si>
  <si>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</si>
  <si>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</si>
  <si>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</si>
  <si>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</si>
  <si>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</si>
  <si>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</si>
  <si>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</si>
  <si>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</si>
  <si>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204:442</t>
  </si>
  <si>
    <t>204:437</t>
  </si>
  <si>
    <t>SIGNAL</t>
  </si>
  <si>
    <t>Signal based authority (5)</t>
  </si>
  <si>
    <t>rtdc.l.rtdc.4051:itc</t>
  </si>
  <si>
    <t>Y</t>
  </si>
  <si>
    <t>rtdc.l.rtdc.4052:itc</t>
  </si>
  <si>
    <t>204:232987</t>
  </si>
  <si>
    <t>rtdc.l.rtdc.4041:itc</t>
  </si>
  <si>
    <t>204:233301</t>
  </si>
  <si>
    <t>204:455</t>
  </si>
  <si>
    <t>rtdc.l.rtdc.4033:itc</t>
  </si>
  <si>
    <t>rtdc.l.rtdc.4034:itc</t>
  </si>
  <si>
    <t>partly-cloudy-day</t>
  </si>
  <si>
    <t>204:233312</t>
  </si>
  <si>
    <t>204:136</t>
  </si>
  <si>
    <t>204:478</t>
  </si>
  <si>
    <t>204:232998</t>
  </si>
  <si>
    <t>204:232992</t>
  </si>
  <si>
    <t>rtdc.l.rtdc.4011:itc</t>
  </si>
  <si>
    <t>rtdc.l.rtdc.4021:itc</t>
  </si>
  <si>
    <t>rtdc.l.rtdc.4012:itc</t>
  </si>
  <si>
    <t>THOMAS</t>
  </si>
  <si>
    <t>NEWELL</t>
  </si>
  <si>
    <t>precipType</t>
  </si>
  <si>
    <t>rain</t>
  </si>
  <si>
    <t>rtdc.l.rtdc.4013:itc</t>
  </si>
  <si>
    <t>rtdc.l.rtdc.4030:itc</t>
  </si>
  <si>
    <t>rtdc.l.rtdc.4029:itc</t>
  </si>
  <si>
    <t>rtdc.l.rtdc.4039:itc</t>
  </si>
  <si>
    <t>66-08</t>
  </si>
  <si>
    <t>72-08</t>
  </si>
  <si>
    <t>rtdc.l.rtdc.4040:itc</t>
  </si>
  <si>
    <t>243-08</t>
  </si>
  <si>
    <t>244-08</t>
  </si>
  <si>
    <t>STARKS</t>
  </si>
  <si>
    <t>ANGELINA</t>
  </si>
  <si>
    <t>BONDS</t>
  </si>
  <si>
    <t>REYNALDO</t>
  </si>
  <si>
    <t>rtdc.l.rtdc.4014:itc</t>
  </si>
  <si>
    <t>SPECTOR</t>
  </si>
  <si>
    <t>CLARK</t>
  </si>
  <si>
    <t>KATHLEEN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</si>
  <si>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</si>
  <si>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</si>
  <si>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</si>
  <si>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</si>
  <si>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</si>
  <si>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</si>
  <si>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</si>
  <si>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</si>
  <si>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</si>
  <si>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</si>
  <si>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</si>
  <si>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236-08</t>
  </si>
  <si>
    <t>238-08</t>
  </si>
  <si>
    <t>240-08</t>
  </si>
  <si>
    <t>315-08</t>
  </si>
  <si>
    <t>242-08</t>
  </si>
  <si>
    <t>309-08</t>
  </si>
  <si>
    <t>311-08</t>
  </si>
  <si>
    <t>313-08</t>
  </si>
  <si>
    <t>Drizzle</t>
  </si>
  <si>
    <t>204:462</t>
  </si>
  <si>
    <t>204:232978</t>
  </si>
  <si>
    <t>204:232994</t>
  </si>
  <si>
    <t>204:433</t>
  </si>
  <si>
    <t>204:233293</t>
  </si>
  <si>
    <t>204:233309</t>
  </si>
  <si>
    <t>204:233280</t>
  </si>
  <si>
    <t>300:23310</t>
  </si>
  <si>
    <t>204:477</t>
  </si>
  <si>
    <t>300:58645</t>
  </si>
  <si>
    <t>204:948</t>
  </si>
  <si>
    <t>300:58617</t>
  </si>
  <si>
    <t>204:979</t>
  </si>
  <si>
    <t>300:58926</t>
  </si>
  <si>
    <t>rtdc.l.rtdc.4005:itc</t>
  </si>
  <si>
    <t>rtdc.l.rtdc.4006:itc</t>
  </si>
  <si>
    <t>rtdc.l.rtdc.4007:itc</t>
  </si>
  <si>
    <t>rtdc.l.rtdc.4032:itc</t>
  </si>
  <si>
    <t>rtdc.l.rtdc.4008:itc</t>
  </si>
  <si>
    <t>LOZA</t>
  </si>
  <si>
    <t>FIDEL</t>
  </si>
  <si>
    <t>ROCHA</t>
  </si>
  <si>
    <t>YAOTL</t>
  </si>
  <si>
    <t>THOMPSON</t>
  </si>
  <si>
    <t>LESTER</t>
  </si>
  <si>
    <t>SWANSON</t>
  </si>
  <si>
    <t>BRYCE</t>
  </si>
  <si>
    <t>FORTUNATO</t>
  </si>
  <si>
    <t>FRANK</t>
  </si>
  <si>
    <t>204:232977</t>
  </si>
  <si>
    <t>204:438</t>
  </si>
  <si>
    <t>204:232988</t>
  </si>
  <si>
    <t>204:232996</t>
  </si>
  <si>
    <t>204:435</t>
  </si>
  <si>
    <t>204:233320</t>
  </si>
  <si>
    <t>204:169</t>
  </si>
  <si>
    <t>204:471</t>
  </si>
  <si>
    <t>204:176</t>
  </si>
  <si>
    <t>204:232973</t>
  </si>
  <si>
    <t>300:23302</t>
  </si>
  <si>
    <t>204:142</t>
  </si>
  <si>
    <t>300:58961</t>
  </si>
  <si>
    <t>204:981</t>
  </si>
  <si>
    <t>204:692</t>
  </si>
  <si>
    <t>300:58956</t>
  </si>
  <si>
    <t>204:684</t>
  </si>
  <si>
    <t>300:58624</t>
  </si>
  <si>
    <t>204:678</t>
  </si>
  <si>
    <t>300:58634</t>
  </si>
  <si>
    <t>204:661</t>
  </si>
  <si>
    <t>204:680</t>
  </si>
  <si>
    <t>rtdc.l.rtdc.4025:itc</t>
  </si>
  <si>
    <t>rtdc.l.rtdc.4026:itc</t>
  </si>
  <si>
    <t>rtdc.l.rtdc.4015:itc</t>
  </si>
  <si>
    <t>rtdc.l.rtdc.4001:itc</t>
  </si>
  <si>
    <t>76-10</t>
  </si>
  <si>
    <t>BADERTSCHER</t>
  </si>
  <si>
    <t>DIANE</t>
  </si>
  <si>
    <t>YORK</t>
  </si>
  <si>
    <t>EDGAR</t>
  </si>
  <si>
    <t>DELGADO</t>
  </si>
  <si>
    <t>DIANAH</t>
  </si>
  <si>
    <t>rtdc.l.rtdc.4016:itc</t>
  </si>
  <si>
    <t>HELVIE</t>
  </si>
  <si>
    <t>ADAM</t>
  </si>
  <si>
    <t>LOPES</t>
  </si>
  <si>
    <t>KIMBERLY</t>
  </si>
  <si>
    <t>STORY</t>
  </si>
  <si>
    <t>SAMANTHA</t>
  </si>
  <si>
    <t>BROWN</t>
  </si>
  <si>
    <t>JACOB</t>
  </si>
  <si>
    <t>SULLIVAN</t>
  </si>
  <si>
    <t>BRANDON</t>
  </si>
  <si>
    <t>YANG</t>
  </si>
  <si>
    <t>JAN</t>
  </si>
  <si>
    <t>242-10</t>
  </si>
  <si>
    <t>309-10</t>
  </si>
  <si>
    <t>244-10</t>
  </si>
  <si>
    <t>311-10</t>
  </si>
  <si>
    <t>61-11</t>
  </si>
  <si>
    <t>313-10</t>
  </si>
  <si>
    <t>60-11</t>
  </si>
  <si>
    <t>204:232969</t>
  </si>
  <si>
    <t>204:424</t>
  </si>
  <si>
    <t>204:781</t>
  </si>
  <si>
    <t>204:233274</t>
  </si>
  <si>
    <t>204:232981</t>
  </si>
  <si>
    <t>204:134</t>
  </si>
  <si>
    <t>204:427</t>
  </si>
  <si>
    <t>204:232965</t>
  </si>
  <si>
    <t>204:233006</t>
  </si>
  <si>
    <t>204:232953</t>
  </si>
  <si>
    <t>204:130</t>
  </si>
  <si>
    <t>204:189</t>
  </si>
  <si>
    <t>204:121</t>
  </si>
  <si>
    <t>204:233317</t>
  </si>
  <si>
    <t>204:129</t>
  </si>
  <si>
    <t>204:232964</t>
  </si>
  <si>
    <t>204:233286</t>
  </si>
  <si>
    <t>204:233359</t>
  </si>
  <si>
    <t>204:500</t>
  </si>
  <si>
    <t>300:23304</t>
  </si>
  <si>
    <t>300:23308</t>
  </si>
  <si>
    <t>204:106</t>
  </si>
  <si>
    <t>300:30896</t>
  </si>
  <si>
    <t>204:366</t>
  </si>
  <si>
    <t>300:31068</t>
  </si>
  <si>
    <t>204:256</t>
  </si>
  <si>
    <t>300:31382</t>
  </si>
  <si>
    <t>204:565</t>
  </si>
  <si>
    <t>300:31210</t>
  </si>
  <si>
    <t>204:419</t>
  </si>
  <si>
    <t>204:475</t>
  </si>
  <si>
    <t>204:967</t>
  </si>
  <si>
    <t>300:58647</t>
  </si>
  <si>
    <t>300:58929</t>
  </si>
  <si>
    <t>204:972</t>
  </si>
  <si>
    <t>204:682</t>
  </si>
  <si>
    <t>300:58619</t>
  </si>
  <si>
    <t>204:950</t>
  </si>
  <si>
    <t>204:992</t>
  </si>
  <si>
    <t>300:58643</t>
  </si>
  <si>
    <t>204:687</t>
  </si>
  <si>
    <t>300:58933</t>
  </si>
  <si>
    <t>204:958</t>
  </si>
  <si>
    <t>300:58609</t>
  </si>
  <si>
    <t>300:58980</t>
  </si>
  <si>
    <t>300:58963</t>
  </si>
  <si>
    <t>204:668</t>
  </si>
  <si>
    <t>105-11</t>
  </si>
  <si>
    <t>102-11</t>
  </si>
  <si>
    <t>54-11</t>
  </si>
  <si>
    <t>SWITCH UNKNOWN</t>
  </si>
  <si>
    <t>Track device (7)</t>
  </si>
  <si>
    <t>119-11</t>
  </si>
  <si>
    <t>804-11</t>
  </si>
  <si>
    <t>116-11</t>
  </si>
  <si>
    <t>808-11</t>
  </si>
  <si>
    <t>rtdc.l.rtdc.4053:itc</t>
  </si>
  <si>
    <t>124-11</t>
  </si>
  <si>
    <t>809-11</t>
  </si>
  <si>
    <t>810-11</t>
  </si>
  <si>
    <t>138-11</t>
  </si>
  <si>
    <t>52-11</t>
  </si>
  <si>
    <t>160-11</t>
  </si>
  <si>
    <t>175-11</t>
  </si>
  <si>
    <t>178-11</t>
  </si>
  <si>
    <t>80-11</t>
  </si>
  <si>
    <t>904-11</t>
  </si>
  <si>
    <t>186-11</t>
  </si>
  <si>
    <t>70-11</t>
  </si>
  <si>
    <t>194-11</t>
  </si>
  <si>
    <t>833-11</t>
  </si>
  <si>
    <t>rtdc.l.rtdc.4054:itc</t>
  </si>
  <si>
    <t>211-11</t>
  </si>
  <si>
    <t>210-11</t>
  </si>
  <si>
    <t>212-11</t>
  </si>
  <si>
    <t>307-11</t>
  </si>
  <si>
    <t>UNKNOWN LOCATION</t>
  </si>
  <si>
    <t>Other (9)</t>
  </si>
  <si>
    <t>224-11</t>
  </si>
  <si>
    <t>844-11</t>
  </si>
  <si>
    <t>302-11</t>
  </si>
  <si>
    <t>101-11</t>
  </si>
  <si>
    <t>304-11</t>
  </si>
  <si>
    <t>103-11</t>
  </si>
  <si>
    <t>306-11</t>
  </si>
  <si>
    <t>ROBINSON</t>
  </si>
  <si>
    <t>KADDIBA</t>
  </si>
  <si>
    <t>rtdc.l.rtdc.4023:itc</t>
  </si>
  <si>
    <t>308-11</t>
  </si>
  <si>
    <t>COOLAHAN</t>
  </si>
  <si>
    <t>JOHN</t>
  </si>
  <si>
    <t>55-11</t>
  </si>
  <si>
    <t>ACKERMAN</t>
  </si>
  <si>
    <t>JARED</t>
  </si>
  <si>
    <t>310-11</t>
  </si>
  <si>
    <t>rtdc.l.rtdc.4024:itc</t>
  </si>
  <si>
    <t>108-11</t>
  </si>
  <si>
    <t>107-11</t>
  </si>
  <si>
    <t>104-11</t>
  </si>
  <si>
    <t>109-11</t>
  </si>
  <si>
    <t>901-11</t>
  </si>
  <si>
    <t>MACDONALD</t>
  </si>
  <si>
    <t>111-11</t>
  </si>
  <si>
    <t>800-11</t>
  </si>
  <si>
    <t>113-11</t>
  </si>
  <si>
    <t>106-11</t>
  </si>
  <si>
    <t>115-11</t>
  </si>
  <si>
    <t>801-11</t>
  </si>
  <si>
    <t>117-11</t>
  </si>
  <si>
    <t>112-11</t>
  </si>
  <si>
    <t>110-11</t>
  </si>
  <si>
    <t>114-11</t>
  </si>
  <si>
    <t>902-11</t>
  </si>
  <si>
    <t>802-11</t>
  </si>
  <si>
    <t>51-11</t>
  </si>
  <si>
    <t>121-11</t>
  </si>
  <si>
    <t>803-11</t>
  </si>
  <si>
    <t>123-11</t>
  </si>
  <si>
    <t>805-11</t>
  </si>
  <si>
    <t>125-11</t>
  </si>
  <si>
    <t>118-11</t>
  </si>
  <si>
    <t>120-11</t>
  </si>
  <si>
    <t>127-11</t>
  </si>
  <si>
    <t>122-11</t>
  </si>
  <si>
    <t>806-11</t>
  </si>
  <si>
    <t>129-11</t>
  </si>
  <si>
    <t>YANAI</t>
  </si>
  <si>
    <t>IAN</t>
  </si>
  <si>
    <t>807-11</t>
  </si>
  <si>
    <t>131-11</t>
  </si>
  <si>
    <t>133-11</t>
  </si>
  <si>
    <t>126-11</t>
  </si>
  <si>
    <t>128-11</t>
  </si>
  <si>
    <t>135-11</t>
  </si>
  <si>
    <t>130-11</t>
  </si>
  <si>
    <t>137-11</t>
  </si>
  <si>
    <t>811-11</t>
  </si>
  <si>
    <t>139-11</t>
  </si>
  <si>
    <t>132-11</t>
  </si>
  <si>
    <t>903-11</t>
  </si>
  <si>
    <t>812-11</t>
  </si>
  <si>
    <t>141-11</t>
  </si>
  <si>
    <t>140-11</t>
  </si>
  <si>
    <t>813-11</t>
  </si>
  <si>
    <t>151-11</t>
  </si>
  <si>
    <t>153-11</t>
  </si>
  <si>
    <t>814-11</t>
  </si>
  <si>
    <t>142-11</t>
  </si>
  <si>
    <t>155-11</t>
  </si>
  <si>
    <t>144-11</t>
  </si>
  <si>
    <t>56-11</t>
  </si>
  <si>
    <t>53-11</t>
  </si>
  <si>
    <t>815-11</t>
  </si>
  <si>
    <t>59-11</t>
  </si>
  <si>
    <t>816-11</t>
  </si>
  <si>
    <t>146-11</t>
  </si>
  <si>
    <t>63-11</t>
  </si>
  <si>
    <t>148-11</t>
  </si>
  <si>
    <t>159-11</t>
  </si>
  <si>
    <t>150-11</t>
  </si>
  <si>
    <t>161-11</t>
  </si>
  <si>
    <t>817-11</t>
  </si>
  <si>
    <t>152-11</t>
  </si>
  <si>
    <t>163-11</t>
  </si>
  <si>
    <t>65-11</t>
  </si>
  <si>
    <t>ARVIDSON</t>
  </si>
  <si>
    <t>DANIEL</t>
  </si>
  <si>
    <t>818-11</t>
  </si>
  <si>
    <t>154-11</t>
  </si>
  <si>
    <t>67-11</t>
  </si>
  <si>
    <t>165-11</t>
  </si>
  <si>
    <t>BRANDNER</t>
  </si>
  <si>
    <t>MELINDA</t>
  </si>
  <si>
    <t>167-11</t>
  </si>
  <si>
    <t>169-11</t>
  </si>
  <si>
    <t>819-11</t>
  </si>
  <si>
    <t>69-11</t>
  </si>
  <si>
    <t>158-11</t>
  </si>
  <si>
    <t>820-11</t>
  </si>
  <si>
    <t>173-11</t>
  </si>
  <si>
    <t>170-11</t>
  </si>
  <si>
    <t>821-11</t>
  </si>
  <si>
    <t>179-11</t>
  </si>
  <si>
    <t>71-11</t>
  </si>
  <si>
    <t>822-11</t>
  </si>
  <si>
    <t>174-11</t>
  </si>
  <si>
    <t>rtdc.l.rtdc.4002:itc</t>
  </si>
  <si>
    <t>73-11</t>
  </si>
  <si>
    <t>823-11</t>
  </si>
  <si>
    <t>183-11</t>
  </si>
  <si>
    <t>187-11</t>
  </si>
  <si>
    <t>824-11</t>
  </si>
  <si>
    <t>182-11</t>
  </si>
  <si>
    <t>50-11</t>
  </si>
  <si>
    <t>WHITED</t>
  </si>
  <si>
    <t>DUSTIN</t>
  </si>
  <si>
    <t>191-11</t>
  </si>
  <si>
    <t>825-11</t>
  </si>
  <si>
    <t>195-11</t>
  </si>
  <si>
    <t>190-11</t>
  </si>
  <si>
    <t>826-11</t>
  </si>
  <si>
    <t>828-11</t>
  </si>
  <si>
    <t>827-11</t>
  </si>
  <si>
    <t>199-11</t>
  </si>
  <si>
    <t>829-11</t>
  </si>
  <si>
    <t>201-11</t>
  </si>
  <si>
    <t>198-11</t>
  </si>
  <si>
    <t>203-11</t>
  </si>
  <si>
    <t>MOSES</t>
  </si>
  <si>
    <t>BRADLEY</t>
  </si>
  <si>
    <t>205-11</t>
  </si>
  <si>
    <t>830-11</t>
  </si>
  <si>
    <t>831-11</t>
  </si>
  <si>
    <t>200-11</t>
  </si>
  <si>
    <t>68-11</t>
  </si>
  <si>
    <t>207-11</t>
  </si>
  <si>
    <t>202-11</t>
  </si>
  <si>
    <t>832-11</t>
  </si>
  <si>
    <t>209-11</t>
  </si>
  <si>
    <t>204-11</t>
  </si>
  <si>
    <t>206-11</t>
  </si>
  <si>
    <t>834-11</t>
  </si>
  <si>
    <t>213-11</t>
  </si>
  <si>
    <t>835-11</t>
  </si>
  <si>
    <t>215-11</t>
  </si>
  <si>
    <t>PERKINS</t>
  </si>
  <si>
    <t>DARREN</t>
  </si>
  <si>
    <t>208-11</t>
  </si>
  <si>
    <t>837-11</t>
  </si>
  <si>
    <t>836-11</t>
  </si>
  <si>
    <t>217-11</t>
  </si>
  <si>
    <t>219-11</t>
  </si>
  <si>
    <t>214-11</t>
  </si>
  <si>
    <t>838-11</t>
  </si>
  <si>
    <t>303-11</t>
  </si>
  <si>
    <t>77-11</t>
  </si>
  <si>
    <t>839-11</t>
  </si>
  <si>
    <t>87-11</t>
  </si>
  <si>
    <t>216-11</t>
  </si>
  <si>
    <t>221-11</t>
  </si>
  <si>
    <t>906-11</t>
  </si>
  <si>
    <t>841-11</t>
  </si>
  <si>
    <t>218-11</t>
  </si>
  <si>
    <t>220-11</t>
  </si>
  <si>
    <t>223-11</t>
  </si>
  <si>
    <t>305-11</t>
  </si>
  <si>
    <t>840-11</t>
  </si>
  <si>
    <t>222-11</t>
  </si>
  <si>
    <t>225-11</t>
  </si>
  <si>
    <t>843-11</t>
  </si>
  <si>
    <t>227-11</t>
  </si>
  <si>
    <t>842-11</t>
  </si>
  <si>
    <t>229-11</t>
  </si>
  <si>
    <t>226-11</t>
  </si>
  <si>
    <t>66-11</t>
  </si>
  <si>
    <t>88-11</t>
  </si>
  <si>
    <t>845-11</t>
  </si>
  <si>
    <t>228-11</t>
  </si>
  <si>
    <t>231-11</t>
  </si>
  <si>
    <t>230-11</t>
  </si>
  <si>
    <t>233-11</t>
  </si>
  <si>
    <t>847-11</t>
  </si>
  <si>
    <t>232-11</t>
  </si>
  <si>
    <t>235-11</t>
  </si>
  <si>
    <t>908-11</t>
  </si>
  <si>
    <t>234-11</t>
  </si>
  <si>
    <t>237-11</t>
  </si>
  <si>
    <t>236-11</t>
  </si>
  <si>
    <t>239-11</t>
  </si>
  <si>
    <t>238-11</t>
  </si>
  <si>
    <t>241-11</t>
  </si>
  <si>
    <t>243-11</t>
  </si>
  <si>
    <t>240-11</t>
  </si>
  <si>
    <t>315-11</t>
  </si>
  <si>
    <t>242-11</t>
  </si>
  <si>
    <t>244-11</t>
  </si>
  <si>
    <t>309-11</t>
  </si>
  <si>
    <t>311-11</t>
  </si>
  <si>
    <t>313-11</t>
  </si>
  <si>
    <t>Partly Cloudy</t>
  </si>
  <si>
    <t>clear-day</t>
  </si>
  <si>
    <t>Clear</t>
  </si>
  <si>
    <t>clear-night</t>
  </si>
  <si>
    <t>204:719</t>
  </si>
  <si>
    <t>204:233289</t>
  </si>
  <si>
    <t>204:232673</t>
  </si>
  <si>
    <t>204:761</t>
  </si>
  <si>
    <t>204:233218</t>
  </si>
  <si>
    <t>204:232585</t>
  </si>
  <si>
    <t>204:233378</t>
  </si>
  <si>
    <t>204:232760</t>
  </si>
  <si>
    <t>204:233404</t>
  </si>
  <si>
    <t>204:233100</t>
  </si>
  <si>
    <t>204:763</t>
  </si>
  <si>
    <t>204:233285</t>
  </si>
  <si>
    <t>204:775</t>
  </si>
  <si>
    <t>204:233291</t>
  </si>
  <si>
    <t>204:233257</t>
  </si>
  <si>
    <t>204:233008</t>
  </si>
  <si>
    <t>204:750</t>
  </si>
  <si>
    <t>204:233042</t>
  </si>
  <si>
    <t>204:233304</t>
  </si>
  <si>
    <t>204:127845</t>
  </si>
  <si>
    <t>204:64703</t>
  </si>
  <si>
    <t>204:36790</t>
  </si>
  <si>
    <t>204:64373</t>
  </si>
  <si>
    <t>204:63856</t>
  </si>
  <si>
    <t>204:64710</t>
  </si>
  <si>
    <t>204:18754</t>
  </si>
  <si>
    <t>204:64381</t>
  </si>
  <si>
    <t>204:64125</t>
  </si>
  <si>
    <t>204:64592</t>
  </si>
  <si>
    <t>204:36832</t>
  </si>
  <si>
    <t>204:36807</t>
  </si>
  <si>
    <t>204:69577</t>
  </si>
  <si>
    <t>204:69549</t>
  </si>
  <si>
    <t>204:70159</t>
  </si>
  <si>
    <t>204:64704</t>
  </si>
  <si>
    <t>204:69581</t>
  </si>
  <si>
    <t>204:70458</t>
  </si>
  <si>
    <t>204:70226</t>
  </si>
  <si>
    <t>204:914</t>
  </si>
  <si>
    <t>204:36787</t>
  </si>
  <si>
    <t>204:69880</t>
  </si>
  <si>
    <t>204:36771</t>
  </si>
  <si>
    <t>204:64377</t>
  </si>
  <si>
    <t>204:64062</t>
  </si>
  <si>
    <t>204:431</t>
  </si>
  <si>
    <t>204:70551</t>
  </si>
  <si>
    <t>204:86375</t>
  </si>
  <si>
    <t>204:19144</t>
  </si>
  <si>
    <t>204:64706</t>
  </si>
  <si>
    <t>204:64689</t>
  </si>
  <si>
    <t>204:232593</t>
  </si>
  <si>
    <t>204:232932</t>
  </si>
  <si>
    <t>204:232614</t>
  </si>
  <si>
    <t>204:232660</t>
  </si>
  <si>
    <t>204:232940</t>
  </si>
  <si>
    <t>204:232623</t>
  </si>
  <si>
    <t>204:232968</t>
  </si>
  <si>
    <t>204:232638</t>
  </si>
  <si>
    <t>204:768</t>
  </si>
  <si>
    <t>204:232959</t>
  </si>
  <si>
    <t>204:232635</t>
  </si>
  <si>
    <t>204:713</t>
  </si>
  <si>
    <t>204:232976</t>
  </si>
  <si>
    <t>204:232658</t>
  </si>
  <si>
    <t>204:232644</t>
  </si>
  <si>
    <t>204:154</t>
  </si>
  <si>
    <t>204:232942</t>
  </si>
  <si>
    <t>204:232618</t>
  </si>
  <si>
    <t>204:232972</t>
  </si>
  <si>
    <t>204:232649</t>
  </si>
  <si>
    <t>204:232633</t>
  </si>
  <si>
    <t>204:232666</t>
  </si>
  <si>
    <t>204:163</t>
  </si>
  <si>
    <t>204:226529</t>
  </si>
  <si>
    <t>204:232642</t>
  </si>
  <si>
    <t>204:994</t>
  </si>
  <si>
    <t>204:232675</t>
  </si>
  <si>
    <t>204:232963</t>
  </si>
  <si>
    <t>204:1177</t>
  </si>
  <si>
    <t>204:232654</t>
  </si>
  <si>
    <t>204:96</t>
  </si>
  <si>
    <t>204:233311</t>
  </si>
  <si>
    <t>204:233380</t>
  </si>
  <si>
    <t>204:233083</t>
  </si>
  <si>
    <t>204:426</t>
  </si>
  <si>
    <t>204:232952</t>
  </si>
  <si>
    <t>204:233417</t>
  </si>
  <si>
    <t>204:233125</t>
  </si>
  <si>
    <t>204:233284</t>
  </si>
  <si>
    <t>204:233327</t>
  </si>
  <si>
    <t>204:127869</t>
  </si>
  <si>
    <t>204:233307</t>
  </si>
  <si>
    <t>204:232989</t>
  </si>
  <si>
    <t>300:22936</t>
  </si>
  <si>
    <t>300:23017</t>
  </si>
  <si>
    <t>300:23461</t>
  </si>
  <si>
    <t>204:714</t>
  </si>
  <si>
    <t>300:23301</t>
  </si>
  <si>
    <t>300:22980</t>
  </si>
  <si>
    <t>204:686</t>
  </si>
  <si>
    <t>300:22673</t>
  </si>
  <si>
    <t>300:23440</t>
  </si>
  <si>
    <t>204:174</t>
  </si>
  <si>
    <t>300:23357</t>
  </si>
  <si>
    <t>300:23033</t>
  </si>
  <si>
    <t>300:21947</t>
  </si>
  <si>
    <t>204:343</t>
  </si>
  <si>
    <t>300:24199</t>
  </si>
  <si>
    <t>204:923</t>
  </si>
  <si>
    <t>204:69876</t>
  </si>
  <si>
    <t>300:14211</t>
  </si>
  <si>
    <t>300:30939</t>
  </si>
  <si>
    <t>204:144</t>
  </si>
  <si>
    <t>300:30966</t>
  </si>
  <si>
    <t>204:140</t>
  </si>
  <si>
    <t>300:30968</t>
  </si>
  <si>
    <t>300:14159</t>
  </si>
  <si>
    <t>300:30972</t>
  </si>
  <si>
    <t>300:30974</t>
  </si>
  <si>
    <t>300:31030</t>
  </si>
  <si>
    <t>300:14511</t>
  </si>
  <si>
    <t>300:31290</t>
  </si>
  <si>
    <t>204:432</t>
  </si>
  <si>
    <t>300:31252</t>
  </si>
  <si>
    <t>300:31296</t>
  </si>
  <si>
    <t>300:31351</t>
  </si>
  <si>
    <t>204:70135</t>
  </si>
  <si>
    <t>204:69848</t>
  </si>
  <si>
    <t>300:30807</t>
  </si>
  <si>
    <t>300:30816</t>
  </si>
  <si>
    <t>204:146</t>
  </si>
  <si>
    <t>300:30937</t>
  </si>
  <si>
    <t>300:31254</t>
  </si>
  <si>
    <t>204:721</t>
  </si>
  <si>
    <t>300:31123</t>
  </si>
  <si>
    <t>204:726</t>
  </si>
  <si>
    <t>300:31134</t>
  </si>
  <si>
    <t>204:70484</t>
  </si>
  <si>
    <t>204:1486</t>
  </si>
  <si>
    <t>204:64600</t>
  </si>
  <si>
    <t>204:3014</t>
  </si>
  <si>
    <t>204:161</t>
  </si>
  <si>
    <t>204:1488</t>
  </si>
  <si>
    <t>204:3344</t>
  </si>
  <si>
    <t>204:128107</t>
  </si>
  <si>
    <t>204:232919</t>
  </si>
  <si>
    <t>204:3348</t>
  </si>
  <si>
    <t>204:1139</t>
  </si>
  <si>
    <t>204:3661</t>
  </si>
  <si>
    <t>204:114906</t>
  </si>
  <si>
    <t>204:225</t>
  </si>
  <si>
    <t>204:115242</t>
  </si>
  <si>
    <t>300:22066</t>
  </si>
  <si>
    <t>204:865</t>
  </si>
  <si>
    <t>204:866</t>
  </si>
  <si>
    <t>204:111491</t>
  </si>
  <si>
    <t>204:3393</t>
  </si>
  <si>
    <t>204:105</t>
  </si>
  <si>
    <t>204:1154</t>
  </si>
  <si>
    <t>204:3702</t>
  </si>
  <si>
    <t>204:111801</t>
  </si>
  <si>
    <t>204:1173</t>
  </si>
  <si>
    <t>300:22049</t>
  </si>
  <si>
    <t>204:1369</t>
  </si>
  <si>
    <t>300:58574</t>
  </si>
  <si>
    <t>204:985</t>
  </si>
  <si>
    <t>300:58944</t>
  </si>
  <si>
    <t>204:976</t>
  </si>
  <si>
    <t>300:58954</t>
  </si>
  <si>
    <t>300:58640</t>
  </si>
  <si>
    <t>204:691</t>
  </si>
  <si>
    <t>204:971</t>
  </si>
  <si>
    <t>300:59008</t>
  </si>
  <si>
    <t>300:58696</t>
  </si>
  <si>
    <t>204:705</t>
  </si>
  <si>
    <t>204:988</t>
  </si>
  <si>
    <t>300:58651</t>
  </si>
  <si>
    <t>204:694</t>
  </si>
  <si>
    <t>300:58655</t>
  </si>
  <si>
    <t>204:151</t>
  </si>
  <si>
    <t>300:58948</t>
  </si>
  <si>
    <t>300:58638</t>
  </si>
  <si>
    <t>204:978</t>
  </si>
  <si>
    <t>300:58958</t>
  </si>
  <si>
    <t>204:664</t>
  </si>
  <si>
    <t>300:58946</t>
  </si>
  <si>
    <t>204:974</t>
  </si>
  <si>
    <t>300:58931</t>
  </si>
  <si>
    <t>204:698</t>
  </si>
  <si>
    <t>300:58952</t>
  </si>
  <si>
    <t>300:58935</t>
  </si>
  <si>
    <t>300:58615</t>
  </si>
  <si>
    <t>300:58608</t>
  </si>
  <si>
    <t>204:654</t>
  </si>
  <si>
    <t>300:58960</t>
  </si>
  <si>
    <t>204:930</t>
  </si>
  <si>
    <t>300:58604</t>
  </si>
  <si>
    <t>204:659</t>
  </si>
  <si>
    <t>204:670</t>
  </si>
  <si>
    <t>300:58943</t>
  </si>
  <si>
    <t>300:58662</t>
  </si>
  <si>
    <t>204:685</t>
  </si>
  <si>
    <t>300:58589</t>
  </si>
  <si>
    <t>204:650</t>
  </si>
  <si>
    <t>300:58912</t>
  </si>
  <si>
    <t>300:30710</t>
  </si>
  <si>
    <t>204:441</t>
  </si>
  <si>
    <t>300:23083</t>
  </si>
  <si>
    <t>300:30432</t>
  </si>
  <si>
    <t>300:58905</t>
  </si>
  <si>
    <t>300:24233</t>
  </si>
  <si>
    <t>300:21882</t>
  </si>
  <si>
    <t>204:640</t>
  </si>
  <si>
    <t>300:23343</t>
  </si>
  <si>
    <t>300:22718</t>
  </si>
  <si>
    <t>300:30097</t>
  </si>
  <si>
    <t>300:21602</t>
  </si>
  <si>
    <t>start /low /b %USERPROFILE%\Documents\GitHub\eaglep3\Utilities\DownloadLogsFromS3.py --loco 4027 --day 2017-05-11</t>
  </si>
  <si>
    <t>start /low /b %USERPROFILE%\Documents\GitHub\eaglep3\Utilities\DownloadLogsFromS3.py --loco 4025 --day 1969-12-31</t>
  </si>
  <si>
    <t>start /low /b %USERPROFILE%\Documents\GitHub\eaglep3\Utilities\DownloadLogsFromS3.py --loco 4054 --day 2017-05-11</t>
  </si>
  <si>
    <t>start /low /b %USERPROFILE%\Documents\GitHub\eaglep3\Utilities\DownloadLogsFromS3.py --loco 4053 --day 2017-05-11</t>
  </si>
  <si>
    <t>start /low /b %USERPROFILE%\Documents\GitHub\eaglep3\Utilities\DownloadLogsFromS3.py --loco 4042 --day 2017-05-11</t>
  </si>
  <si>
    <t>start /low /b %USERPROFILE%\Documents\GitHub\eaglep3\Utilities\DownloadLogsFromS3.py --loco 4041 --day 2017-05-11</t>
  </si>
  <si>
    <t>start /low /b %USERPROFILE%\Documents\GitHub\eaglep3\Utilities\DownloadLogsFromS3.py --loco 4016 --day 2017-05-11</t>
  </si>
  <si>
    <t>start /low /b %USERPROFILE%\Documents\GitHub\eaglep3\Utilities\DownloadLogsFromS3.py --loco 4015 --day 2017-05-11</t>
  </si>
  <si>
    <t>start /low /b %USERPROFILE%\Documents\GitHub\eaglep3\Utilities\DownloadLogsFromS3.py --loco 4003 --day 2017-05-11</t>
  </si>
  <si>
    <t>start /low /b %USERPROFILE%\Documents\GitHub\eaglep3\Utilities\DownloadLogsFromS3.py --loco 4030 --day 2017-05-11</t>
  </si>
  <si>
    <t>start /low /b %USERPROFILE%\Documents\GitHub\eaglep3\Utilities\DownloadLogsFromS3.py --loco 4027 --day 2017-05-12</t>
  </si>
  <si>
    <t>start /low /b %USERPROFILE%\Documents\GitHub\eaglep3\Utilities\DownloadLogsFromS3.py --loco 4006 --day 2017-05-11</t>
  </si>
  <si>
    <t>start /low /b %USERPROFILE%\Documents\GitHub\eaglep3\Utilities\DownloadLogsFromS3.py --loco 4051 --day 2017-05-12</t>
  </si>
  <si>
    <t>start /low /b %USERPROFILE%\Documents\GitHub\eaglep3\Utilities\DownloadLogsFromS3.py --loco 4053 --day 2017-05-12</t>
  </si>
  <si>
    <t>start /low /b %USERPROFILE%\Documents\GitHub\eaglep3\Utilities\DownloadLogsFromS3.py --loco 4029 --day 2017-05-12</t>
  </si>
  <si>
    <t>start /low /b %USERPROFILE%\Documents\GitHub\eaglep3\Utilities\DownloadLogsFromS3.py --loco 4007 --day 2017-05-11</t>
  </si>
  <si>
    <t>start /low /b %USERPROFILE%\Documents\GitHub\eaglep3\Utilities\DownloadLogsFromS3.py --loco 4021 --day 2017-05-11</t>
  </si>
  <si>
    <t>start /low /b %USERPROFILE%\Documents\GitHub\eaglep3\Utilities\DownloadLogsFromS3.py --loco 4008 --day 2017-05-11</t>
  </si>
  <si>
    <t>start /low /b %USERPROFILE%\Documents\GitHub\eaglep3\Utilities\DownloadLogsFromS3.py --loco 4021 --day 2017-05-12</t>
  </si>
  <si>
    <t>start /low /b %USERPROFILE%\Documents\GitHub\eaglep3\Utilities\DownloadLogsFromS3.py --loco 4022 --day 2017-05-11</t>
  </si>
  <si>
    <t>OCS Power Outage</t>
  </si>
  <si>
    <t>Cancelled due to OCS Power Outage</t>
  </si>
  <si>
    <t>Traffic directionality was already set north, signal system does not allow mid-block turns</t>
  </si>
  <si>
    <t>Initialized as 53-11</t>
  </si>
  <si>
    <t>Poor GPS at DUS</t>
  </si>
  <si>
    <t>Onboard in-route failure</t>
  </si>
  <si>
    <t>Wi-MAX data drop</t>
  </si>
  <si>
    <t>Early arrival</t>
  </si>
  <si>
    <t>Brake system issues during init? BPP was 0 prior to initializing, had trouble building air during Class 2 process</t>
  </si>
  <si>
    <t>Selected wrong track at first</t>
  </si>
  <si>
    <t>Brief Wi-MAX data drop led to unhealthy crossing</t>
  </si>
  <si>
    <t>Wi-MAX data drop prevented init</t>
  </si>
  <si>
    <t>Selected wrong track</t>
  </si>
  <si>
    <t>Encountered restricted aspect approaching DIA 4N (damaged trains parked on DIA Tracks 1 and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</si>
</sst>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zoomScaleNormal="100" workbookViewId="0">
      <selection activeCell="R15" sqref="R15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42866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42866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116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COUNTIFS($N$13:$N$9319,"&gt;0",$AG$13:$AG$9319,I1)</f>
        <v>107</v>
      </c>
      <c r="K5" s="39"/>
      <c r="L5" s="39"/>
      <c r="M5" s="40">
        <f>AVERAGEIFS($N$13:$N$9319,$AG$13:$AG$9319,I1)</f>
        <v>36.592367601496058</v>
      </c>
      <c r="N5" s="38">
        <f t="array" ref="N5">MIN(IF($AG$13:$AG$9319=I1,IF(ISNUMBER($N$13:$N$9319),IF($N$13:$N$9319&gt;0,$N$13:$N$9319))))</f>
        <v>15.516666668700054</v>
      </c>
      <c r="O5" s="3">
        <f t="array" ref="O5">MAX(IF($AG$13:$AG$9319=I1,IF(ISNUMBER($N$13:$N$9319),IF($N$13:$N$9319&gt;0,$N$13:$N$9319))))</f>
        <v>49.69999999855645</v>
      </c>
      <c r="P5" s="2"/>
      <c r="R5" s="177" t="s">
        <v>17</v>
      </c>
      <c r="S5" s="199">
        <f>COUNTIFS($N$13:$N$9319,"&gt;0",$AG$13:$AG$9319,R1)</f>
        <v>47</v>
      </c>
      <c r="T5" s="179"/>
      <c r="U5" s="179"/>
      <c r="V5" s="176">
        <f>AVERAGEIFS($N$13:$N$9319,$AG$13:$AG$9319,R1)</f>
        <v>15.353191488848484</v>
      </c>
      <c r="W5" s="177">
        <f t="array" ref="W5">MIN(IF($AG$13:$AG$9319=R1,IF(ISNUMBER($N$13:$N$9319),IF($N$13:$N$9319&gt;0,$N$13:$N$9319))))</f>
        <v>12.366666665766388</v>
      </c>
      <c r="X5" s="178">
        <f t="array" ref="X5">MAX(IF($AG$13:$AG$9319=R1,IF(ISNUMBER($N$13:$N$9319),IF($N$13:$N$9319&gt;0,$N$13:$N$9319))))</f>
        <v>20.033333332976326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COUNT($O$13:$O$113)</f>
        <v>0</v>
      </c>
      <c r="K6" s="39"/>
      <c r="L6" s="39"/>
      <c r="M6" s="40">
        <f>IFERROR(AVERAGE($O$13:$O$113),0)</f>
        <v>0</v>
      </c>
      <c r="N6" s="38">
        <f>MIN($O$13:$O$113)</f>
        <v>0</v>
      </c>
      <c r="O6" s="3">
        <f>MAX($O$13:$O$113)</f>
        <v>0</v>
      </c>
      <c r="P6" s="2"/>
      <c r="R6" s="180" t="s">
        <v>43</v>
      </c>
      <c r="S6" s="199">
        <f>COUNT($O$13:$O$113)</f>
        <v>0</v>
      </c>
      <c r="T6" s="179"/>
      <c r="U6" s="179"/>
      <c r="V6" s="176">
        <f>IFERROR(AVERAGE($O$13:$O$113),0)</f>
        <v>0</v>
      </c>
      <c r="W6" s="177">
        <f>MIN($O$13:$O$113)</f>
        <v>0</v>
      </c>
      <c r="X6" s="178">
        <f>MAX($O$13:$O$113)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COUNTIFS($P$13:$P$9319,"&gt;0",$AG$13:$AG$9319,I1)</f>
        <v>9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COUNTIFS($P$13:$P$9319,"&gt;0",$AG$13:$AG$9319,R1)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107</v>
      </c>
      <c r="K8" s="39"/>
      <c r="L8" s="39"/>
      <c r="M8" s="40">
        <f>M5</f>
        <v>36.592367601496058</v>
      </c>
      <c r="N8" s="38">
        <f>N5</f>
        <v>15.516666668700054</v>
      </c>
      <c r="O8" s="3">
        <f>O5</f>
        <v>49.69999999855645</v>
      </c>
      <c r="P8" s="2"/>
      <c r="R8" s="177" t="s">
        <v>16</v>
      </c>
      <c r="S8" s="199">
        <f>S5</f>
        <v>47</v>
      </c>
      <c r="T8" s="179"/>
      <c r="U8" s="179"/>
      <c r="V8" s="176">
        <f>V5</f>
        <v>15.353191488848484</v>
      </c>
      <c r="W8" s="177">
        <f>W5</f>
        <v>12.366666665766388</v>
      </c>
      <c r="X8" s="178">
        <f>X5</f>
        <v>20.033333332976326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0.92241379310344829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- 2017-05-11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AVERAGE(S13:S89)</f>
        <v>0.91216216216216217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604</v>
      </c>
      <c r="B13" s="7">
        <v>4042</v>
      </c>
      <c r="C13" s="21" t="s">
        <v>206</v>
      </c>
      <c r="D13" s="21" t="s">
        <v>806</v>
      </c>
      <c r="E13" s="13">
        <v>42866.132511574076</v>
      </c>
      <c r="F13" s="13">
        <v>42866.136111111111</v>
      </c>
      <c r="G13" s="7">
        <v>1</v>
      </c>
      <c r="H13" s="21" t="s">
        <v>807</v>
      </c>
      <c r="I13" s="13">
        <v>42866.163344907407</v>
      </c>
      <c r="J13" s="7">
        <v>0</v>
      </c>
      <c r="K13" s="92" t="str">
        <f t="shared" ref="K13:K77" si="0">IF(ISEVEN(B13),(B13-1)&amp;"/"&amp;B13,B13&amp;"/"&amp;(B13+1))</f>
        <v>4041/4042</v>
      </c>
      <c r="L13" s="21" t="str">
        <f>VLOOKUP(A13,'Trips&amp;Operators'!$C$1:$G$99999,5,FALSE)</f>
        <v>BADERTSCHER DIANE</v>
      </c>
      <c r="M13" s="6">
        <f t="shared" ref="M13:M77" si="1">I13-F13</f>
        <v>2.7233796296059154E-2</v>
      </c>
      <c r="N13" s="7">
        <f t="shared" ref="N13:N41" si="2">24*60*SUM($M13:$M13)</f>
        <v>39.216666666325182</v>
      </c>
      <c r="O13" s="7"/>
      <c r="P13" s="7"/>
      <c r="Q13" s="22"/>
      <c r="R13" s="190"/>
      <c r="S13" s="196">
        <f t="shared" ref="S13:S46" si="3">SUM(U13:U13)/IF(AG13="EC",12,1)</f>
        <v>1</v>
      </c>
      <c r="T13" s="190" t="str">
        <f t="shared" ref="T13:T77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7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-11T02:10:49-0600',mode:absolute,to:'2017-05-11T04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192" t="str">
        <f t="shared" ref="W13:W77" si="6">IF(AA13&lt;IF(AG13="EC",23,5.65),"Y","N")</f>
        <v>N</v>
      </c>
      <c r="X13" s="192" t="e">
        <f t="shared" ref="X13:X48" si="7">VALUE(LEFT(AD13,4))-VALUE(LEFT(AD12,4))</f>
        <v>#VALUE!</v>
      </c>
      <c r="Y13" s="192">
        <f t="shared" ref="Y13:Y77" si="8">RIGHT(D13,LEN(D13)-4)/10000</f>
        <v>7.1900000000000006E-2</v>
      </c>
      <c r="Z13" s="192">
        <f t="shared" ref="Z13:Z61" si="9">RIGHT(H13,LEN(H13)-4)/10000</f>
        <v>23.328900000000001</v>
      </c>
      <c r="AA13" s="192">
        <f t="shared" ref="AA13:AA77" si="10">ABS(Z13-Y13)</f>
        <v>23.257000000000001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7" si="11">IF(LEN(A13)=6,"0"&amp;A13,A13)</f>
        <v>0101-11</v>
      </c>
      <c r="AE13" s="80" t="str">
        <f t="shared" ref="AE13:AE77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"%USERPROFILE%\AppData\Local\Temp\OnboardLogs"\RTDC4042\2017-05-11 --exclude "*" --recursive --include "*20170511*" &amp; "%USERPROFILE%\Documents\GitHub\mrs-test-scripts\Headless Mode &amp; Sideloading\WalkAndUnGZ.bat" "%USERPROFILE%\AppData\Local\Temp\OnboardLogs"\RTDC4042\2017-05-11 &amp; 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</v>
      </c>
      <c r="AF13" s="77" t="str">
        <f t="shared" ref="AF13:AF77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/stypes="app*4042*20170511*" /stext=" 09:.+((SYSTEM_STATE.+slice.+state.+changed )|(ment ac)|(multiple cpu faults)|(system.+state.+changed )|(\[timeout)|(PRM\|1\|D)|(kpr)|(kdp)|(train st.+moving)|(\|lc)|(penalty))"</v>
      </c>
      <c r="AG13" s="1" t="str">
        <f t="shared" ref="AG13:AG77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4042 --swversion DE.1.0.9.0 --startMP 204:719 --initTime 2017-05-11T03:10:49 --startdatetime 2017-05-11T03:16:00 --delay 1 --endMP 204:233289 --enddatetime 2017-05-11T03:55:13 --enforcementcount 0 &gt;&gt;C:\Users\stu\Documents\GitHub\eaglep3-reporting\EC\2017-05-11-refined-times.txt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{"issue":{"subject":"","project_id":79,"tracker_id":40,"status_id":1,"priority_id":2,"assigned_to_id":23,"start_date":"2017-05-11","description":"","custom_fields":[{"id":1,"name":"Subdivision","value":"EC"},{"id":4,"name":"Milepost","value":"23.3289"},{"id":17,"name":"Train ID","value":"101-11"},{"id":16,"name":"Locomotive ID","value":"4042"},{"id":130,"name":"Impact","value":""},{"id":150,"name":"Time of Event (Mountain Time)","value":"03:55:13"},{"id":151,"name":"Denver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4042 --day 2017-05-11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09:55:13"},{"id":29,"name":"Sharepoint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571</v>
      </c>
      <c r="B14" s="7">
        <v>4015</v>
      </c>
      <c r="C14" s="21" t="s">
        <v>206</v>
      </c>
      <c r="D14" s="21" t="s">
        <v>808</v>
      </c>
      <c r="E14" s="13">
        <v>42866.170243055552</v>
      </c>
      <c r="F14" s="13">
        <v>42866.174502314818</v>
      </c>
      <c r="G14" s="7">
        <v>1</v>
      </c>
      <c r="H14" s="21" t="s">
        <v>373</v>
      </c>
      <c r="I14" s="13">
        <v>42866.205520833333</v>
      </c>
      <c r="J14" s="7">
        <v>0</v>
      </c>
      <c r="K14" s="92" t="str">
        <f t="shared" si="0"/>
        <v>4015/4016</v>
      </c>
      <c r="L14" s="21" t="str">
        <f>VLOOKUP(A14,'Trips&amp;Operators'!$C$1:$G$99999,5,FALSE)</f>
        <v>BADERTSCHER DIANE</v>
      </c>
      <c r="M14" s="6">
        <f t="shared" si="1"/>
        <v>3.1018518515338656E-2</v>
      </c>
      <c r="N14" s="7">
        <f t="shared" si="2"/>
        <v>44.666666662087664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-11T03:05:09-0600',mode:absolute,to:'2017-05-11T05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23.267299999999999</v>
      </c>
      <c r="Z14" s="192">
        <f t="shared" si="9"/>
        <v>1.3899999999999999E-2</v>
      </c>
      <c r="AA14" s="192">
        <f t="shared" si="10"/>
        <v>23.253399999999999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0102-11</v>
      </c>
      <c r="AE14" s="80" t="str">
        <f t="shared" si="12"/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AF14" s="77" t="str">
        <f t="shared" si="13"/>
        <v>"C:\Program Files (x86)\AstroGrep\AstroGrep.exe" /e /r /s /spath="%USERPROFILE%\AppData\Local\Temp\OnboardLogs" /stypes="app*4015*20170511*"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4015 --swversion DE.1.0.9.0 --startMP 204:232673 --initTime 2017-05-11T04:05:09 --startdatetime 2017-05-11T04:11:17 --delay 1 --endMP 204:139 --enddatetime 2017-05-11T04:55:57 --enforcementcount 0 &gt;&gt;C:\Users\stu\Documents\GitHub\eaglep3-reporting\EC\2017-05-11-refined-times.txt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{"issue":{"subject":"","project_id":79,"tracker_id":40,"status_id":1,"priority_id":2,"assigned_to_id":23,"start_date":"2017-05-11","description":"","custom_fields":[{"id":1,"name":"Subdivision","value":"EC"},{"id":4,"name":"Milepost","value":"0.0139"},{"id":17,"name":"Train ID","value":"102-11"},{"id":16,"name":"Locomotive ID","value":"4015"},{"id":130,"name":"Impact","value":""},{"id":150,"name":"Time of Event (Mountain Time)","value":"04:55:57"},{"id":151,"name":"Denver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4015 --day 2017-05-11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10:55:57"},{"id":29,"name":"Sharepoint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606</v>
      </c>
      <c r="B15" s="7">
        <v>4028</v>
      </c>
      <c r="C15" s="21" t="s">
        <v>206</v>
      </c>
      <c r="D15" s="21" t="s">
        <v>809</v>
      </c>
      <c r="E15" s="13">
        <v>42866.150659722225</v>
      </c>
      <c r="F15" s="13">
        <v>42866.156435185185</v>
      </c>
      <c r="G15" s="7">
        <v>0</v>
      </c>
      <c r="H15" s="21" t="s">
        <v>810</v>
      </c>
      <c r="I15" s="13">
        <v>42866.182187500002</v>
      </c>
      <c r="J15" s="7">
        <v>0</v>
      </c>
      <c r="K15" s="92" t="str">
        <f t="shared" si="0"/>
        <v>4027/4028</v>
      </c>
      <c r="L15" s="21" t="str">
        <f>VLOOKUP(A15,'Trips&amp;Operators'!$C$1:$G$99999,5,FALSE)</f>
        <v>BONDS REYNALDO</v>
      </c>
      <c r="M15" s="6">
        <f t="shared" si="1"/>
        <v>2.5752314817509614E-2</v>
      </c>
      <c r="N15" s="7">
        <f t="shared" si="2"/>
        <v>37.083333337213844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-11T02:36:57-0600',mode:absolute,to:'2017-05-11T05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7.6100000000000001E-2</v>
      </c>
      <c r="Z15" s="192">
        <f t="shared" si="9"/>
        <v>23.3218</v>
      </c>
      <c r="AA15" s="192">
        <f t="shared" si="10"/>
        <v>23.245699999999999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0103-11</v>
      </c>
      <c r="AE15" s="80" t="str">
        <f t="shared" si="12"/>
        <v>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 &amp; aws s3 cp s3://rtdc.mdm.uploadarchive.raw/RTDC4028/ "%USERPROFILE%\AppData\Local\Temp\OnboardLogs"\RTDC4028\2017-05-12 --exclude "*" --recursive --include "*20170512*" &amp; "%USERPROFILE%\Documents\GitHub\mrs-test-scripts\Headless Mode &amp; Sideloading\WalkAndUnGZ.bat" "%USERPROFILE%\AppData\Local\Temp\OnboardLogs"\RTDC4028\2017-05-12</v>
      </c>
      <c r="AF15" s="77" t="str">
        <f t="shared" si="13"/>
        <v>"C:\Program Files (x86)\AstroGrep\AstroGrep.exe" /e /r /s /spath="%USERPROFILE%\AppData\Local\Temp\OnboardLogs" /stypes="app*4028*20170511*"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103-11 --locoid 4028 --swversion DE.1.0.9.0 --startMP 204:761 --initTime 2017-05-11T03:36:57 --startdatetime 2017-05-11T03:45:16 --delay 0 --endMP 204:233218 --enddatetime 2017-05-11T04:22:21 --enforcementcount 0 &gt;&gt;C:\Users\stu\Documents\GitHub\eaglep3-reporting\EC\2017-05-11-refined-times.txt</v>
      </c>
      <c r="AI15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{"issue":{"subject":"","project_id":79,"tracker_id":40,"status_id":1,"priority_id":2,"assigned_to_id":23,"start_date":"2017-05-11","description":"","custom_fields":[{"id":1,"name":"Subdivision","value":"EC"},{"id":4,"name":"Milepost","value":"23.3218"},{"id":17,"name":"Train ID","value":"103-11"},{"id":16,"name":"Locomotive ID","value":"4028"},{"id":130,"name":"Impact","value":""},{"id":150,"name":"Time of Event (Mountain Time)","value":"04:22:21"},{"id":151,"name":"Denver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4028 --day 2017-05-11</v>
      </c>
      <c r="AN15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10:22:21"},{"id":29,"name":"Sharepoint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621</v>
      </c>
      <c r="B16" s="7">
        <v>4025</v>
      </c>
      <c r="C16" s="21" t="s">
        <v>206</v>
      </c>
      <c r="D16" s="21" t="s">
        <v>811</v>
      </c>
      <c r="E16" s="13">
        <v>42866.191180555557</v>
      </c>
      <c r="F16" s="13">
        <v>42866.195335648146</v>
      </c>
      <c r="G16" s="7">
        <v>1</v>
      </c>
      <c r="H16" s="21" t="s">
        <v>537</v>
      </c>
      <c r="I16" s="13">
        <v>42866.22519675926</v>
      </c>
      <c r="J16" s="7">
        <v>0</v>
      </c>
      <c r="K16" s="92" t="str">
        <f t="shared" si="0"/>
        <v>4025/4026</v>
      </c>
      <c r="L16" s="21" t="str">
        <f>VLOOKUP(A16,'Trips&amp;Operators'!$C$1:$G$99999,5,FALSE)</f>
        <v>BONDS REYNALDO</v>
      </c>
      <c r="M16" s="6">
        <f t="shared" si="1"/>
        <v>2.9861111113859806E-2</v>
      </c>
      <c r="N16" s="7">
        <f t="shared" si="2"/>
        <v>43.000000003958121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-11T03:35:18-0600',mode:absolute,to:'2017-05-11T06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23.258500000000002</v>
      </c>
      <c r="Z16" s="192">
        <f t="shared" si="9"/>
        <v>1.29E-2</v>
      </c>
      <c r="AA16" s="192">
        <f t="shared" si="10"/>
        <v>23.245600000000003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0104-11</v>
      </c>
      <c r="AE16" s="80" t="str">
        <f t="shared" si="12"/>
        <v>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 &amp; aws s3 cp s3://rtdc.mdm.uploadarchive.raw/RTDC4025/ "%USERPROFILE%\AppData\Local\Temp\OnboardLogs"\RTDC4025\2017-05-12 --exclude "*" --recursive --include "*20170512*" &amp; "%USERPROFILE%\Documents\GitHub\mrs-test-scripts\Headless Mode &amp; Sideloading\WalkAndUnGZ.bat" "%USERPROFILE%\AppData\Local\Temp\OnboardLogs"\RTDC4025\2017-05-12</v>
      </c>
      <c r="AF16" s="77" t="str">
        <f t="shared" si="13"/>
        <v>"C:\Program Files (x86)\AstroGrep\AstroGrep.exe" /e /r /s /spath="%USERPROFILE%\AppData\Local\Temp\OnboardLogs" /stypes="app*4025*20170511*"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104-11 --locoid 4025 --swversion DE.1.0.9.0 --startMP 204:232585 --initTime 2017-05-11T04:35:18 --startdatetime 2017-05-11T04:41:17 --delay 1 --endMP 204:129 --enddatetime 2017-05-11T05:24:17 --enforcementcount 0 &gt;&gt;C:\Users\stu\Documents\GitHub\eaglep3-reporting\EC\2017-05-11-refined-times.txt</v>
      </c>
      <c r="AI16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{"issue":{"subject":"","project_id":79,"tracker_id":40,"status_id":1,"priority_id":2,"assigned_to_id":23,"start_date":"2017-05-11","description":"","custom_fields":[{"id":1,"name":"Subdivision","value":"EC"},{"id":4,"name":"Milepost","value":"0.0129"},{"id":17,"name":"Train ID","value":"104-11"},{"id":16,"name":"Locomotive ID","value":"4025"},{"id":130,"name":"Impact","value":""},{"id":150,"name":"Time of Event (Mountain Time)","value":"05:24:17"},{"id":151,"name":"Denver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4025 --day 2017-05-11</v>
      </c>
      <c r="AN16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11:24:17"},{"id":29,"name":"Sharepoint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570</v>
      </c>
      <c r="B17" s="7">
        <v>4006</v>
      </c>
      <c r="C17" s="21" t="s">
        <v>206</v>
      </c>
      <c r="D17" s="21" t="s">
        <v>525</v>
      </c>
      <c r="E17" s="13">
        <v>42866.172418981485</v>
      </c>
      <c r="F17" s="13">
        <v>42866.177233796298</v>
      </c>
      <c r="G17" s="7">
        <v>1</v>
      </c>
      <c r="H17" s="21" t="s">
        <v>812</v>
      </c>
      <c r="I17" s="13">
        <v>42866.204918981479</v>
      </c>
      <c r="J17" s="7">
        <v>0</v>
      </c>
      <c r="K17" s="92" t="str">
        <f t="shared" si="0"/>
        <v>4005/4006</v>
      </c>
      <c r="L17" s="21" t="str">
        <f>VLOOKUP(A17,'Trips&amp;Operators'!$C$1:$G$99999,5,FALSE)</f>
        <v>ROBINSON KADDIBA</v>
      </c>
      <c r="M17" s="6">
        <f t="shared" si="1"/>
        <v>2.7685185181326233E-2</v>
      </c>
      <c r="N17" s="7">
        <f t="shared" si="2"/>
        <v>39.866666661109775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-11T03:08:17-0600',mode:absolute,to:'2017-05-11T05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7.8100000000000003E-2</v>
      </c>
      <c r="Z17" s="192">
        <f t="shared" si="9"/>
        <v>23.337800000000001</v>
      </c>
      <c r="AA17" s="192">
        <f t="shared" si="10"/>
        <v>23.259700000000002</v>
      </c>
      <c r="AB17" s="57" t="str">
        <f>VLOOKUP(A17,Enforcements!$C$7:$K$13,8,0)</f>
        <v>Speed (6)</v>
      </c>
      <c r="AC17" s="53" t="str">
        <f>VLOOKUP(A17,Enforcements!$C$7:$E$13,3,0)</f>
        <v>PERMANENT SPEED RESTRICTION</v>
      </c>
      <c r="AD17" s="54" t="str">
        <f t="shared" si="11"/>
        <v>0105-11</v>
      </c>
      <c r="AE17" s="80" t="str">
        <f t="shared" si="12"/>
        <v>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 &amp; aws s3 cp s3://rtdc.mdm.uploadarchive.raw/RTDC4006/ "%USERPROFILE%\AppData\Local\Temp\OnboardLogs"\RTDC4006\2017-05-12 --exclude "*" --recursive --include "*20170512*" &amp; "%USERPROFILE%\Documents\GitHub\mrs-test-scripts\Headless Mode &amp; Sideloading\WalkAndUnGZ.bat" "%USERPROFILE%\AppData\Local\Temp\OnboardLogs"\RTDC4006\2017-05-12</v>
      </c>
      <c r="AF17" s="77" t="str">
        <f t="shared" si="13"/>
        <v>"C:\Program Files (x86)\AstroGrep\AstroGrep.exe" /e /r /s /spath="%USERPROFILE%\AppData\Local\Temp\OnboardLogs" /stypes="app*4006*20170511*"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105-11 --locoid 4006 --swversion DE.1.0.9.0 --startMP 204:781 --initTime 2017-05-11T04:08:17 --startdatetime 2017-05-11T04:15:13 --delay 1 --endMP 204:233378 --enddatetime 2017-05-11T04:55:05 --enforcementcount 0 &gt;&gt;C:\Users\stu\Documents\GitHub\eaglep3-reporting\EC\2017-05-11-refined-times.txt</v>
      </c>
      <c r="AI17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{"issue":{"subject":"","project_id":79,"tracker_id":40,"status_id":1,"priority_id":2,"assigned_to_id":23,"start_date":"2017-05-11","description":"","custom_fields":[{"id":1,"name":"Subdivision","value":"EC"},{"id":4,"name":"Milepost","value":"23.3378"},{"id":17,"name":"Train ID","value":"105-11"},{"id":16,"name":"Locomotive ID","value":"4006"},{"id":130,"name":"Impact","value":""},{"id":150,"name":"Time of Event (Mountain Time)","value":"04:55:05"},{"id":151,"name":"Denver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4006 --day 2017-05-11</v>
      </c>
      <c r="AN17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10:55:05"},{"id":29,"name":"Sharepoint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628</v>
      </c>
      <c r="B18" s="7">
        <v>4003</v>
      </c>
      <c r="C18" s="21" t="s">
        <v>206</v>
      </c>
      <c r="D18" s="21" t="s">
        <v>813</v>
      </c>
      <c r="E18" s="13">
        <v>42866.21298611111</v>
      </c>
      <c r="F18" s="13">
        <v>42866.216134259259</v>
      </c>
      <c r="G18" s="7">
        <v>1</v>
      </c>
      <c r="H18" s="21" t="s">
        <v>353</v>
      </c>
      <c r="I18" s="13">
        <v>42866.244699074072</v>
      </c>
      <c r="J18" s="7">
        <v>0</v>
      </c>
      <c r="K18" s="92" t="str">
        <f t="shared" si="0"/>
        <v>4003/4004</v>
      </c>
      <c r="L18" s="21" t="str">
        <f>VLOOKUP(A18,'Trips&amp;Operators'!$C$1:$G$99999,5,FALSE)</f>
        <v>ROBINSON KADDIBA</v>
      </c>
      <c r="M18" s="6">
        <f t="shared" si="1"/>
        <v>2.8564814812853001E-2</v>
      </c>
      <c r="N18" s="7">
        <f t="shared" si="2"/>
        <v>41.133333330508322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-11T04:06:42-0600',mode:absolute,to:'2017-05-11T06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23.276</v>
      </c>
      <c r="Z18" s="192">
        <f t="shared" si="9"/>
        <v>1.4500000000000001E-2</v>
      </c>
      <c r="AA18" s="192">
        <f t="shared" si="10"/>
        <v>23.261499999999998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0106-11</v>
      </c>
      <c r="AE18" s="80" t="str">
        <f t="shared" si="12"/>
        <v>aws s3 cp s3://rtdc.mdm.uploadarchive.raw/RTDC4003/ "%USERPROFILE%\AppData\Local\Temp\OnboardLogs"\RTDC4003\2017-05-11 --exclude "*" --recursive --include "*20170511*" &amp; "%USERPROFILE%\Documents\GitHub\mrs-test-scripts\Headless Mode &amp; Sideloading\WalkAndUnGZ.bat" "%USERPROFILE%\AppData\Local\Temp\OnboardLogs"\RTDC4003\2017-05-11 &amp; aws s3 cp s3://rtdc.mdm.uploadarchive.raw/RTDC4003/ "%USERPROFILE%\AppData\Local\Temp\OnboardLogs"\RTDC4003\2017-05-12 --exclude "*" --recursive --include "*20170512*" &amp; "%USERPROFILE%\Documents\GitHub\mrs-test-scripts\Headless Mode &amp; Sideloading\WalkAndUnGZ.bat" "%USERPROFILE%\AppData\Local\Temp\OnboardLogs"\RTDC4003\2017-05-12</v>
      </c>
      <c r="AF18" s="77" t="str">
        <f t="shared" si="13"/>
        <v>"C:\Program Files (x86)\AstroGrep\AstroGrep.exe" /e /r /s /spath="%USERPROFILE%\AppData\Local\Temp\OnboardLogs" /stypes="app*4003*20170511*"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106-11 --locoid 4003 --swversion DE.1.0.9.0 --startMP 204:232760 --initTime 2017-05-11T05:06:42 --startdatetime 2017-05-11T05:11:14 --delay 1 --endMP 204:145 --enddatetime 2017-05-11T05:52:22 --enforcementcount 0 &gt;&gt;C:\Users\stu\Documents\GitHub\eaglep3-reporting\EC\2017-05-11-refined-times.txt</v>
      </c>
      <c r="AI18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{"issue":{"subject":"","project_id":79,"tracker_id":40,"status_id":1,"priority_id":2,"assigned_to_id":23,"start_date":"2017-05-11","description":"","custom_fields":[{"id":1,"name":"Subdivision","value":"EC"},{"id":4,"name":"Milepost","value":"0.0145"},{"id":17,"name":"Train ID","value":"106-11"},{"id":16,"name":"Locomotive ID","value":"4003"},{"id":130,"name":"Impact","value":""},{"id":150,"name":"Time of Event (Mountain Time)","value":"05:52:22"},{"id":151,"name":"Denver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4003 --day 2017-05-11</v>
      </c>
      <c r="AN18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11:52:22"},{"id":29,"name":"Sharepoint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620</v>
      </c>
      <c r="B19" s="7">
        <v>4024</v>
      </c>
      <c r="C19" s="21" t="s">
        <v>206</v>
      </c>
      <c r="D19" s="21" t="s">
        <v>352</v>
      </c>
      <c r="E19" s="13">
        <v>42866.185393518521</v>
      </c>
      <c r="F19" s="13">
        <v>42866.1877662037</v>
      </c>
      <c r="G19" s="7">
        <v>1</v>
      </c>
      <c r="H19" s="21" t="s">
        <v>366</v>
      </c>
      <c r="I19" s="13">
        <v>42866.212430555555</v>
      </c>
      <c r="J19" s="7">
        <v>0</v>
      </c>
      <c r="K19" s="92" t="str">
        <f t="shared" si="0"/>
        <v>4023/4024</v>
      </c>
      <c r="L19" s="21" t="str">
        <f>VLOOKUP(A19,'Trips&amp;Operators'!$C$1:$G$99999,5,FALSE)</f>
        <v>COOLAHAN JOHN</v>
      </c>
      <c r="M19" s="6">
        <f t="shared" si="1"/>
        <v>2.4664351854880806E-2</v>
      </c>
      <c r="N19" s="7">
        <f t="shared" si="2"/>
        <v>35.516666671028361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-11T03:26:58-0600',mode:absolute,to:'2017-05-11T06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4.4600000000000001E-2</v>
      </c>
      <c r="Z19" s="192">
        <f t="shared" si="9"/>
        <v>23.331399999999999</v>
      </c>
      <c r="AA19" s="192">
        <f t="shared" si="10"/>
        <v>23.286799999999999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0107-11</v>
      </c>
      <c r="AE19" s="80" t="str">
        <f t="shared" si="12"/>
        <v>aws s3 cp s3://rtdc.mdm.uploadarchive.raw/RTDC4024/ "%USERPROFILE%\AppData\Local\Temp\OnboardLogs"\RTDC4024\2017-05-11 --exclude "*" --recursive --include "*20170511*" &amp; "%USERPROFILE%\Documents\GitHub\mrs-test-scripts\Headless Mode &amp; Sideloading\WalkAndUnGZ.bat" "%USERPROFILE%\AppData\Local\Temp\OnboardLogs"\RTDC4024\2017-05-11 &amp; aws s3 cp s3://rtdc.mdm.uploadarchive.raw/RTDC4024/ "%USERPROFILE%\AppData\Local\Temp\OnboardLogs"\RTDC4024\2017-05-12 --exclude "*" --recursive --include "*20170512*" &amp; "%USERPROFILE%\Documents\GitHub\mrs-test-scripts\Headless Mode &amp; Sideloading\WalkAndUnGZ.bat" "%USERPROFILE%\AppData\Local\Temp\OnboardLogs"\RTDC4024\2017-05-12</v>
      </c>
      <c r="AF19" s="77" t="str">
        <f t="shared" si="13"/>
        <v>"C:\Program Files (x86)\AstroGrep\AstroGrep.exe" /e /r /s /spath="%USERPROFILE%\AppData\Local\Temp\OnboardLogs" /stypes="app*4024*20170511*"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107-11 --locoid 4024 --swversion DE.1.0.9.0 --startMP 204:446 --initTime 2017-05-11T04:26:58 --startdatetime 2017-05-11T04:30:23 --delay 1 --endMP 204:233314 --enddatetime 2017-05-11T05:05:54 --enforcementcount 0 &gt;&gt;C:\Users\stu\Documents\GitHub\eaglep3-reporting\EC\2017-05-11-refined-times.txt</v>
      </c>
      <c r="AI19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{"issue":{"subject":"","project_id":79,"tracker_id":40,"status_id":1,"priority_id":2,"assigned_to_id":23,"start_date":"2017-05-11","description":"","custom_fields":[{"id":1,"name":"Subdivision","value":"EC"},{"id":4,"name":"Milepost","value":"23.3314"},{"id":17,"name":"Train ID","value":"107-11"},{"id":16,"name":"Locomotive ID","value":"4024"},{"id":130,"name":"Impact","value":""},{"id":150,"name":"Time of Event (Mountain Time)","value":"05:05:54"},{"id":151,"name":"Denver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4024 --day 2017-05-11</v>
      </c>
      <c r="AN19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11:05:54"},{"id":29,"name":"Sharepoint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619</v>
      </c>
      <c r="B20" s="7">
        <v>4023</v>
      </c>
      <c r="C20" s="21" t="s">
        <v>206</v>
      </c>
      <c r="D20" s="21" t="s">
        <v>473</v>
      </c>
      <c r="E20" s="13">
        <v>42866.222314814811</v>
      </c>
      <c r="F20" s="13">
        <v>42866.226631944446</v>
      </c>
      <c r="G20" s="7">
        <v>3</v>
      </c>
      <c r="H20" s="21" t="s">
        <v>376</v>
      </c>
      <c r="I20" s="13">
        <v>42866.252789351849</v>
      </c>
      <c r="J20" s="7">
        <v>0</v>
      </c>
      <c r="K20" s="92" t="str">
        <f t="shared" si="0"/>
        <v>4023/4024</v>
      </c>
      <c r="L20" s="21" t="str">
        <f>VLOOKUP(A20,'Trips&amp;Operators'!$C$1:$G$99999,5,FALSE)</f>
        <v>COOLAHAN JOHN</v>
      </c>
      <c r="M20" s="6">
        <f t="shared" si="1"/>
        <v>2.6157407402934041E-2</v>
      </c>
      <c r="N20" s="7">
        <f t="shared" si="2"/>
        <v>37.666666660225019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-11T04:20:08-0600',mode:absolute,to:'2017-05-11T07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23.299600000000002</v>
      </c>
      <c r="Z20" s="192">
        <f t="shared" si="9"/>
        <v>1.47E-2</v>
      </c>
      <c r="AA20" s="192">
        <f t="shared" si="10"/>
        <v>23.2849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0108-11</v>
      </c>
      <c r="AE20" s="80" t="str">
        <f t="shared" si="12"/>
        <v>aws s3 cp s3://rtdc.mdm.uploadarchive.raw/RTDC4023/ "%USERPROFILE%\AppData\Local\Temp\OnboardLogs"\RTDC4023\2017-05-11 --exclude "*" --recursive --include "*20170511*" &amp; "%USERPROFILE%\Documents\GitHub\mrs-test-scripts\Headless Mode &amp; Sideloading\WalkAndUnGZ.bat" "%USERPROFILE%\AppData\Local\Temp\OnboardLogs"\RTDC4023\2017-05-11 &amp; aws s3 cp s3://rtdc.mdm.uploadarchive.raw/RTDC4023/ "%USERPROFILE%\AppData\Local\Temp\OnboardLogs"\RTDC4023\2017-05-12 --exclude "*" --recursive --include "*20170512*" &amp; "%USERPROFILE%\Documents\GitHub\mrs-test-scripts\Headless Mode &amp; Sideloading\WalkAndUnGZ.bat" "%USERPROFILE%\AppData\Local\Temp\OnboardLogs"\RTDC4023\2017-05-12</v>
      </c>
      <c r="AF20" s="77" t="str">
        <f t="shared" si="13"/>
        <v>"C:\Program Files (x86)\AstroGrep\AstroGrep.exe" /e /r /s /spath="%USERPROFILE%\AppData\Local\Temp\OnboardLogs" /stypes="app*4023*20170511*"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108-11 --locoid 4023 --swversion DE.1.0.9.0 --startMP 204:232996 --initTime 2017-05-11T05:20:08 --startdatetime 2017-05-11T05:26:21 --delay 3 --endMP 204:147 --enddatetime 2017-05-11T06:04:01 --enforcementcount 0 &gt;&gt;C:\Users\stu\Documents\GitHub\eaglep3-reporting\EC\2017-05-11-refined-times.txt</v>
      </c>
      <c r="AI20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{"issue":{"subject":"","project_id":79,"tracker_id":40,"status_id":1,"priority_id":2,"assigned_to_id":23,"start_date":"2017-05-11","description":"","custom_fields":[{"id":1,"name":"Subdivision","value":"EC"},{"id":4,"name":"Milepost","value":"0.0147"},{"id":17,"name":"Train ID","value":"108-11"},{"id":16,"name":"Locomotive ID","value":"4023"},{"id":130,"name":"Impact","value":""},{"id":150,"name":"Time of Event (Mountain Time)","value":"06:04:01"},{"id":151,"name":"Denver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4023 --day 2017-05-11</v>
      </c>
      <c r="AN20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622</v>
      </c>
      <c r="B21" s="7">
        <v>4054</v>
      </c>
      <c r="C21" s="21" t="s">
        <v>206</v>
      </c>
      <c r="D21" s="21" t="s">
        <v>444</v>
      </c>
      <c r="E21" s="13">
        <v>42866.195763888885</v>
      </c>
      <c r="F21" s="13">
        <v>42866.198113425926</v>
      </c>
      <c r="G21" s="7">
        <v>1</v>
      </c>
      <c r="H21" s="21" t="s">
        <v>814</v>
      </c>
      <c r="I21" s="13">
        <v>42866.222812499997</v>
      </c>
      <c r="J21" s="7">
        <v>0</v>
      </c>
      <c r="K21" s="92" t="str">
        <f t="shared" si="0"/>
        <v>4053/4054</v>
      </c>
      <c r="L21" s="21" t="str">
        <f>VLOOKUP(A21,'Trips&amp;Operators'!$C$1:$G$99999,5,FALSE)</f>
        <v>ROCHA YAOTL</v>
      </c>
      <c r="M21" s="6">
        <f t="shared" si="1"/>
        <v>2.4699074070667848E-2</v>
      </c>
      <c r="N21" s="7">
        <f t="shared" si="2"/>
        <v>35.566666661761701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-11T03:41:54-0600',mode:absolute,to:'2017-05-11T06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4.3299999999999998E-2</v>
      </c>
      <c r="Z21" s="192">
        <f t="shared" si="9"/>
        <v>23.340399999999999</v>
      </c>
      <c r="AA21" s="192">
        <f t="shared" si="10"/>
        <v>23.2971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0109-11</v>
      </c>
      <c r="AE21" s="80" t="str">
        <f t="shared" si="12"/>
        <v>aws s3 cp s3://rtdc.mdm.uploadarchive.raw/RTDC4054/ "%USERPROFILE%\AppData\Local\Temp\OnboardLogs"\RTDC4054\2017-05-11 --exclude "*" --recursive --include "*20170511*" &amp; "%USERPROFILE%\Documents\GitHub\mrs-test-scripts\Headless Mode &amp; Sideloading\WalkAndUnGZ.bat" "%USERPROFILE%\AppData\Local\Temp\OnboardLogs"\RTDC4054\2017-05-11 &amp; aws s3 cp s3://rtdc.mdm.uploadarchive.raw/RTDC4054/ "%USERPROFILE%\AppData\Local\Temp\OnboardLogs"\RTDC4054\2017-05-12 --exclude "*" --recursive --include "*20170512*" &amp; "%USERPROFILE%\Documents\GitHub\mrs-test-scripts\Headless Mode &amp; Sideloading\WalkAndUnGZ.bat" "%USERPROFILE%\AppData\Local\Temp\OnboardLogs"\RTDC4054\2017-05-12</v>
      </c>
      <c r="AF21" s="77" t="str">
        <f t="shared" si="13"/>
        <v>"C:\Program Files (x86)\AstroGrep\AstroGrep.exe" /e /r /s /spath="%USERPROFILE%\AppData\Local\Temp\OnboardLogs" /stypes="app*4054*20170511*"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109-11 --locoid 4054 --swversion DE.1.0.9.0 --startMP 204:433 --initTime 2017-05-11T04:41:54 --startdatetime 2017-05-11T04:45:17 --delay 1 --endMP 204:233404 --enddatetime 2017-05-11T05:20:51 --enforcementcount 0 &gt;&gt;C:\Users\stu\Documents\GitHub\eaglep3-reporting\EC\2017-05-11-refined-times.txt</v>
      </c>
      <c r="AI21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{"issue":{"subject":"","project_id":79,"tracker_id":40,"status_id":1,"priority_id":2,"assigned_to_id":23,"start_date":"2017-05-11","description":"","custom_fields":[{"id":1,"name":"Subdivision","value":"EC"},{"id":4,"name":"Milepost","value":"23.3404"},{"id":17,"name":"Train ID","value":"109-11"},{"id":16,"name":"Locomotive ID","value":"4054"},{"id":130,"name":"Impact","value":""},{"id":150,"name":"Time of Event (Mountain Time)","value":"05:20:51"},{"id":151,"name":"Denver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4054 --day 2017-05-11</v>
      </c>
      <c r="AN21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11:20:51"},{"id":29,"name":"Sharepoint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633</v>
      </c>
      <c r="B22" s="7">
        <v>4053</v>
      </c>
      <c r="C22" s="21" t="s">
        <v>206</v>
      </c>
      <c r="D22" s="21" t="s">
        <v>815</v>
      </c>
      <c r="E22" s="13">
        <v>42866.235335648147</v>
      </c>
      <c r="F22" s="13">
        <v>42866.237199074072</v>
      </c>
      <c r="G22" s="7">
        <v>1</v>
      </c>
      <c r="H22" s="21" t="s">
        <v>359</v>
      </c>
      <c r="I22" s="13">
        <v>42866.263472222221</v>
      </c>
      <c r="J22" s="7">
        <v>0</v>
      </c>
      <c r="K22" s="92" t="str">
        <f t="shared" si="0"/>
        <v>4053/4054</v>
      </c>
      <c r="L22" s="21" t="str">
        <f>VLOOKUP(A22,'Trips&amp;Operators'!$C$1:$G$99999,5,FALSE)</f>
        <v>ROCHA YAOTL</v>
      </c>
      <c r="M22" s="6">
        <f t="shared" si="1"/>
        <v>2.6273148148902692E-2</v>
      </c>
      <c r="N22" s="7">
        <f t="shared" si="2"/>
        <v>37.833333334419876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-11T04:38:53-0600',mode:absolute,to:'2017-05-11T07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23.31</v>
      </c>
      <c r="Z22" s="192">
        <f t="shared" si="9"/>
        <v>1.49E-2</v>
      </c>
      <c r="AA22" s="192">
        <f t="shared" si="10"/>
        <v>23.295099999999998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0110-11</v>
      </c>
      <c r="AE22" s="80" t="str">
        <f t="shared" si="12"/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AF22" s="77" t="str">
        <f t="shared" si="13"/>
        <v>"C:\Program Files (x86)\AstroGrep\AstroGrep.exe" /e /r /s /spath="%USERPROFILE%\AppData\Local\Temp\OnboardLogs" /stypes="app*4053*20170511*"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110-11 --locoid 4053 --swversion DE.1.0.9.0 --startMP 204:233100 --initTime 2017-05-11T05:38:53 --startdatetime 2017-05-11T05:41:34 --delay 1 --endMP 204:149 --enddatetime 2017-05-11T06:19:24 --enforcementcount 0 &gt;&gt;C:\Users\stu\Documents\GitHub\eaglep3-reporting\EC\2017-05-11-refined-times.txt</v>
      </c>
      <c r="AI22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{"issue":{"subject":"","project_id":79,"tracker_id":40,"status_id":1,"priority_id":2,"assigned_to_id":23,"start_date":"2017-05-11","description":"","custom_fields":[{"id":1,"name":"Subdivision","value":"EC"},{"id":4,"name":"Milepost","value":"0.0149"},{"id":17,"name":"Train ID","value":"110-11"},{"id":16,"name":"Locomotive ID","value":"4053"},{"id":130,"name":"Impact","value":""},{"id":150,"name":"Time of Event (Mountain Time)","value":"06:19:24"},{"id":151,"name":"Denver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4053 --day 2017-05-11</v>
      </c>
      <c r="AN22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625</v>
      </c>
      <c r="B23" s="7">
        <v>4042</v>
      </c>
      <c r="C23" s="21" t="s">
        <v>206</v>
      </c>
      <c r="D23" s="21" t="s">
        <v>816</v>
      </c>
      <c r="E23" s="13">
        <v>42866.207395833335</v>
      </c>
      <c r="F23" s="13">
        <v>42866.208796296298</v>
      </c>
      <c r="G23" s="7">
        <v>1</v>
      </c>
      <c r="H23" s="21" t="s">
        <v>539</v>
      </c>
      <c r="I23" s="13">
        <v>42866.232847222222</v>
      </c>
      <c r="J23" s="7">
        <v>0</v>
      </c>
      <c r="K23" s="92" t="str">
        <f t="shared" si="0"/>
        <v>4041/4042</v>
      </c>
      <c r="L23" s="21" t="str">
        <f>VLOOKUP(A23,'Trips&amp;Operators'!$C$1:$G$99999,5,FALSE)</f>
        <v>YORK EDGAR</v>
      </c>
      <c r="M23" s="6">
        <f t="shared" si="1"/>
        <v>2.4050925923802424E-2</v>
      </c>
      <c r="N23" s="7">
        <f t="shared" si="2"/>
        <v>34.633333330275491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-11T03:58:39-0600',mode:absolute,to:'2017-05-11T06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7.6300000000000007E-2</v>
      </c>
      <c r="Z23" s="192">
        <f t="shared" si="9"/>
        <v>23.328600000000002</v>
      </c>
      <c r="AA23" s="192">
        <f t="shared" si="10"/>
        <v>23.252300000000002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0111-11</v>
      </c>
      <c r="AE23" s="80" t="str">
        <f t="shared" si="12"/>
        <v>aws s3 cp s3://rtdc.mdm.uploadarchive.raw/RTDC4042/ "%USERPROFILE%\AppData\Local\Temp\OnboardLogs"\RTDC4042\2017-05-11 --exclude "*" --recursive --include "*20170511*" &amp; "%USERPROFILE%\Documents\GitHub\mrs-test-scripts\Headless Mode &amp; Sideloading\WalkAndUnGZ.bat" "%USERPROFILE%\AppData\Local\Temp\OnboardLogs"\RTDC4042\2017-05-11 &amp; 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</v>
      </c>
      <c r="AF23" s="77" t="str">
        <f t="shared" si="13"/>
        <v>"C:\Program Files (x86)\AstroGrep\AstroGrep.exe" /e /r /s /spath="%USERPROFILE%\AppData\Local\Temp\OnboardLogs" /stypes="app*4042*20170511*"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111-11 --locoid 4042 --swversion DE.1.0.9.0 --startMP 204:763 --initTime 2017-05-11T04:58:39 --startdatetime 2017-05-11T05:00:40 --delay 1 --endMP 204:233286 --enddatetime 2017-05-11T05:35:18 --enforcementcount 0 &gt;&gt;C:\Users\stu\Documents\GitHub\eaglep3-reporting\EC\2017-05-11-refined-times.txt</v>
      </c>
      <c r="AI23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{"issue":{"subject":"","project_id":79,"tracker_id":40,"status_id":1,"priority_id":2,"assigned_to_id":23,"start_date":"2017-05-11","description":"","custom_fields":[{"id":1,"name":"Subdivision","value":"EC"},{"id":4,"name":"Milepost","value":"23.3286"},{"id":17,"name":"Train ID","value":"111-11"},{"id":16,"name":"Locomotive ID","value":"4042"},{"id":130,"name":"Impact","value":""},{"id":150,"name":"Time of Event (Mountain Time)","value":"05:35:18"},{"id":151,"name":"Denver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4042 --day 2017-05-11</v>
      </c>
      <c r="AN23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11:35:18"},{"id":29,"name":"Sharepoint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632</v>
      </c>
      <c r="B24" s="7">
        <v>4041</v>
      </c>
      <c r="C24" s="21" t="s">
        <v>206</v>
      </c>
      <c r="D24" s="21" t="s">
        <v>479</v>
      </c>
      <c r="E24" s="13">
        <v>42866.233900462961</v>
      </c>
      <c r="F24" s="13">
        <v>42866.247523148151</v>
      </c>
      <c r="G24" s="7">
        <v>1</v>
      </c>
      <c r="H24" s="21" t="s">
        <v>359</v>
      </c>
      <c r="I24" s="13">
        <v>42866.274131944447</v>
      </c>
      <c r="J24" s="7">
        <v>0</v>
      </c>
      <c r="K24" s="92" t="str">
        <f t="shared" si="0"/>
        <v>4041/4042</v>
      </c>
      <c r="L24" s="21" t="str">
        <f>VLOOKUP(A24,'Trips&amp;Operators'!$C$1:$G$99999,5,FALSE)</f>
        <v>YORK EDGAR</v>
      </c>
      <c r="M24" s="6">
        <f t="shared" si="1"/>
        <v>2.6608796295477077E-2</v>
      </c>
      <c r="N24" s="7">
        <f t="shared" si="2"/>
        <v>38.316666665486991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-11T04:36:49-0600',mode:absolute,to:'2017-05-11T07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23.2973</v>
      </c>
      <c r="Z24" s="192">
        <f t="shared" si="9"/>
        <v>1.49E-2</v>
      </c>
      <c r="AA24" s="192">
        <f t="shared" si="10"/>
        <v>23.282399999999999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0112-11</v>
      </c>
      <c r="AE24" s="80" t="str">
        <f t="shared" si="12"/>
        <v>aws s3 cp s3://rtdc.mdm.uploadarchive.raw/RTDC4041/ "%USERPROFILE%\AppData\Local\Temp\OnboardLogs"\RTDC4041\2017-05-11 --exclude "*" --recursive --include "*20170511*" &amp; "%USERPROFILE%\Documents\GitHub\mrs-test-scripts\Headless Mode &amp; Sideloading\WalkAndUnGZ.bat" "%USERPROFILE%\AppData\Local\Temp\OnboardLogs"\RTDC4041\2017-05-11 &amp; aws s3 cp s3://rtdc.mdm.uploadarchive.raw/RTDC4041/ "%USERPROFILE%\AppData\Local\Temp\OnboardLogs"\RTDC4041\2017-05-12 --exclude "*" --recursive --include "*20170512*" &amp; "%USERPROFILE%\Documents\GitHub\mrs-test-scripts\Headless Mode &amp; Sideloading\WalkAndUnGZ.bat" "%USERPROFILE%\AppData\Local\Temp\OnboardLogs"\RTDC4041\2017-05-12</v>
      </c>
      <c r="AF24" s="77" t="str">
        <f t="shared" si="13"/>
        <v>"C:\Program Files (x86)\AstroGrep\AstroGrep.exe" /e /r /s /spath="%USERPROFILE%\AppData\Local\Temp\OnboardLogs" /stypes="app*4041*20170511*"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112-11 --locoid 4041 --swversion DE.1.0.9.0 --startMP 204:232973 --initTime 2017-05-11T05:36:49 --startdatetime 2017-05-11T05:56:26 --delay 1 --endMP 204:149 --enddatetime 2017-05-11T06:34:45 --enforcementcount 0 &gt;&gt;C:\Users\stu\Documents\GitHub\eaglep3-reporting\EC\2017-05-11-refined-times.txt</v>
      </c>
      <c r="AI24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{"issue":{"subject":"","project_id":79,"tracker_id":40,"status_id":1,"priority_id":2,"assigned_to_id":23,"start_date":"2017-05-11","description":"","custom_fields":[{"id":1,"name":"Subdivision","value":"EC"},{"id":4,"name":"Milepost","value":"0.0149"},{"id":17,"name":"Train ID","value":"112-11"},{"id":16,"name":"Locomotive ID","value":"4041"},{"id":130,"name":"Impact","value":""},{"id":150,"name":"Time of Event (Mountain Time)","value":"06:34:45"},{"id":151,"name":"Denver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4041 --day 2017-05-11</v>
      </c>
      <c r="AN24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627</v>
      </c>
      <c r="B25" s="7">
        <v>4016</v>
      </c>
      <c r="C25" s="21" t="s">
        <v>206</v>
      </c>
      <c r="D25" s="21" t="s">
        <v>529</v>
      </c>
      <c r="E25" s="13">
        <v>42866.210081018522</v>
      </c>
      <c r="F25" s="13">
        <v>42866.219131944446</v>
      </c>
      <c r="G25" s="7">
        <v>1</v>
      </c>
      <c r="H25" s="21" t="s">
        <v>817</v>
      </c>
      <c r="I25" s="13">
        <v>42866.244780092595</v>
      </c>
      <c r="J25" s="7">
        <v>0</v>
      </c>
      <c r="K25" s="92" t="str">
        <f t="shared" si="0"/>
        <v>4015/4016</v>
      </c>
      <c r="L25" s="21" t="str">
        <f>VLOOKUP(A25,'Trips&amp;Operators'!$C$1:$G$99999,5,FALSE)</f>
        <v>BADERTSCHER DIANE</v>
      </c>
      <c r="M25" s="6">
        <f t="shared" si="1"/>
        <v>2.5648148148320615E-2</v>
      </c>
      <c r="N25" s="7">
        <f t="shared" si="2"/>
        <v>36.933333333581686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-11T04:02:31-0600',mode:absolute,to:'2017-05-11T06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4.2700000000000002E-2</v>
      </c>
      <c r="Z25" s="192">
        <f t="shared" si="9"/>
        <v>23.328499999999998</v>
      </c>
      <c r="AA25" s="192">
        <f t="shared" si="10"/>
        <v>23.285799999999998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0113-11</v>
      </c>
      <c r="AE25" s="80" t="str">
        <f t="shared" si="12"/>
        <v>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 &amp; 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</v>
      </c>
      <c r="AF25" s="77" t="str">
        <f t="shared" si="13"/>
        <v>"C:\Program Files (x86)\AstroGrep\AstroGrep.exe" /e /r /s /spath="%USERPROFILE%\AppData\Local\Temp\OnboardLogs" /stypes="app*4016*20170511*"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113-11 --locoid 4016 --swversion DE.1.0.9.0 --startMP 204:427 --initTime 2017-05-11T05:02:31 --startdatetime 2017-05-11T05:15:33 --delay 1 --endMP 204:233285 --enddatetime 2017-05-11T05:52:29 --enforcementcount 0 &gt;&gt;C:\Users\stu\Documents\GitHub\eaglep3-reporting\EC\2017-05-11-refined-times.txt</v>
      </c>
      <c r="AI25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{"issue":{"subject":"","project_id":79,"tracker_id":40,"status_id":1,"priority_id":2,"assigned_to_id":23,"start_date":"2017-05-11","description":"","custom_fields":[{"id":1,"name":"Subdivision","value":"EC"},{"id":4,"name":"Milepost","value":"23.3285"},{"id":17,"name":"Train ID","value":"113-11"},{"id":16,"name":"Locomotive ID","value":"4016"},{"id":130,"name":"Impact","value":""},{"id":150,"name":"Time of Event (Mountain Time)","value":"05:52:29"},{"id":151,"name":"Denver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4016 --day 2017-05-11</v>
      </c>
      <c r="AN25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11:52:29"},{"id":29,"name":"Sharepoint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634</v>
      </c>
      <c r="B26" s="7">
        <v>4015</v>
      </c>
      <c r="C26" s="21" t="s">
        <v>206</v>
      </c>
      <c r="D26" s="21" t="s">
        <v>443</v>
      </c>
      <c r="E26" s="13">
        <v>42866.247557870367</v>
      </c>
      <c r="F26" s="13">
        <v>42866.2578125</v>
      </c>
      <c r="G26" s="7">
        <v>1</v>
      </c>
      <c r="H26" s="21" t="s">
        <v>197</v>
      </c>
      <c r="I26" s="13">
        <v>42866.285613425927</v>
      </c>
      <c r="J26" s="7">
        <v>0</v>
      </c>
      <c r="K26" s="92" t="str">
        <f t="shared" si="0"/>
        <v>4015/4016</v>
      </c>
      <c r="L26" s="21" t="str">
        <f>VLOOKUP(A26,'Trips&amp;Operators'!$C$1:$G$99999,5,FALSE)</f>
        <v>BADERTSCHER DIANE</v>
      </c>
      <c r="M26" s="6">
        <f t="shared" si="1"/>
        <v>2.7800925927294884E-2</v>
      </c>
      <c r="N26" s="7">
        <f t="shared" si="2"/>
        <v>40.033333335304633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-11T04:56:29-0600',mode:absolute,to:'2017-05-11T07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23.299399999999999</v>
      </c>
      <c r="Z26" s="192">
        <f t="shared" si="9"/>
        <v>1.52E-2</v>
      </c>
      <c r="AA26" s="192">
        <f t="shared" si="10"/>
        <v>23.284199999999998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0114-11</v>
      </c>
      <c r="AE26" s="80" t="str">
        <f t="shared" si="12"/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AF26" s="77" t="str">
        <f t="shared" si="13"/>
        <v>"C:\Program Files (x86)\AstroGrep\AstroGrep.exe" /e /r /s /spath="%USERPROFILE%\AppData\Local\Temp\OnboardLogs" /stypes="app*4015*20170511*"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114-11 --locoid 4015 --swversion DE.1.0.9.0 --startMP 204:232994 --initTime 2017-05-11T05:56:29 --startdatetime 2017-05-11T06:11:15 --delay 1 --endMP 204:152 --enddatetime 2017-05-11T06:51:17 --enforcementcount 0 &gt;&gt;C:\Users\stu\Documents\GitHub\eaglep3-reporting\EC\2017-05-11-refined-times.txt</v>
      </c>
      <c r="AI26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{"issue":{"subject":"","project_id":79,"tracker_id":40,"status_id":1,"priority_id":2,"assigned_to_id":23,"start_date":"2017-05-11","description":"","custom_fields":[{"id":1,"name":"Subdivision","value":"EC"},{"id":4,"name":"Milepost","value":"0.0152"},{"id":17,"name":"Train ID","value":"114-11"},{"id":16,"name":"Locomotive ID","value":"4015"},{"id":130,"name":"Impact","value":""},{"id":150,"name":"Time of Event (Mountain Time)","value":"06:51:17"},{"id":151,"name":"Denver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4015 --day 2017-05-11</v>
      </c>
      <c r="AN26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629</v>
      </c>
      <c r="B27" s="7">
        <v>4028</v>
      </c>
      <c r="C27" s="21" t="s">
        <v>206</v>
      </c>
      <c r="D27" s="21" t="s">
        <v>818</v>
      </c>
      <c r="E27" s="13">
        <v>42866.227627314816</v>
      </c>
      <c r="F27" s="13">
        <v>42866.229386574072</v>
      </c>
      <c r="G27" s="7">
        <v>1</v>
      </c>
      <c r="H27" s="21" t="s">
        <v>819</v>
      </c>
      <c r="I27" s="13">
        <v>42866.254548611112</v>
      </c>
      <c r="J27" s="7">
        <v>0</v>
      </c>
      <c r="K27" s="92" t="str">
        <f t="shared" si="0"/>
        <v>4027/4028</v>
      </c>
      <c r="L27" s="21" t="str">
        <f>VLOOKUP(A27,'Trips&amp;Operators'!$C$1:$G$99999,5,FALSE)</f>
        <v>STARKS ANGELINA</v>
      </c>
      <c r="M27" s="6">
        <f t="shared" si="1"/>
        <v>2.5162037039990537E-2</v>
      </c>
      <c r="N27" s="7">
        <f t="shared" si="2"/>
        <v>36.233333337586373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-11T04:27:47-0600',mode:absolute,to:'2017-05-11T07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7.7499999999999999E-2</v>
      </c>
      <c r="Z27" s="192">
        <f t="shared" si="9"/>
        <v>23.3291</v>
      </c>
      <c r="AA27" s="192">
        <f t="shared" si="10"/>
        <v>23.2516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0115-11</v>
      </c>
      <c r="AE27" s="80" t="str">
        <f t="shared" si="12"/>
        <v>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 &amp; aws s3 cp s3://rtdc.mdm.uploadarchive.raw/RTDC4028/ "%USERPROFILE%\AppData\Local\Temp\OnboardLogs"\RTDC4028\2017-05-12 --exclude "*" --recursive --include "*20170512*" &amp; "%USERPROFILE%\Documents\GitHub\mrs-test-scripts\Headless Mode &amp; Sideloading\WalkAndUnGZ.bat" "%USERPROFILE%\AppData\Local\Temp\OnboardLogs"\RTDC4028\2017-05-12</v>
      </c>
      <c r="AF27" s="77" t="str">
        <f t="shared" si="13"/>
        <v>"C:\Program Files (x86)\AstroGrep\AstroGrep.exe" /e /r /s /spath="%USERPROFILE%\AppData\Local\Temp\OnboardLogs" /stypes="app*4028*20170511*"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115-11 --locoid 4028 --swversion DE.1.0.9.0 --startMP 204:775 --initTime 2017-05-11T05:27:47 --startdatetime 2017-05-11T05:30:19 --delay 1 --endMP 204:233291 --enddatetime 2017-05-11T06:06:33 --enforcementcount 0 &gt;&gt;C:\Users\stu\Documents\GitHub\eaglep3-reporting\EC\2017-05-11-refined-times.txt</v>
      </c>
      <c r="AI27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{"issue":{"subject":"","project_id":79,"tracker_id":40,"status_id":1,"priority_id":2,"assigned_to_id":23,"start_date":"2017-05-11","description":"","custom_fields":[{"id":1,"name":"Subdivision","value":"EC"},{"id":4,"name":"Milepost","value":"23.3291"},{"id":17,"name":"Train ID","value":"115-11"},{"id":16,"name":"Locomotive ID","value":"4028"},{"id":130,"name":"Impact","value":""},{"id":150,"name":"Time of Event (Mountain Time)","value":"06:06:33"},{"id":151,"name":"Denver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4028 --day 2017-05-11</v>
      </c>
      <c r="AN27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577</v>
      </c>
      <c r="B28" s="7">
        <v>4027</v>
      </c>
      <c r="C28" s="21" t="s">
        <v>206</v>
      </c>
      <c r="D28" s="21" t="s">
        <v>442</v>
      </c>
      <c r="E28" s="13">
        <v>42866.260798611111</v>
      </c>
      <c r="F28" s="13">
        <v>42866.268229166664</v>
      </c>
      <c r="G28" s="7">
        <v>2</v>
      </c>
      <c r="H28" s="21" t="s">
        <v>358</v>
      </c>
      <c r="I28" s="13">
        <v>42866.296203703707</v>
      </c>
      <c r="J28" s="7">
        <v>0</v>
      </c>
      <c r="K28" s="92" t="str">
        <f t="shared" si="0"/>
        <v>4027/4028</v>
      </c>
      <c r="L28" s="21" t="str">
        <f>VLOOKUP(A28,'Trips&amp;Operators'!$C$1:$G$99999,5,FALSE)</f>
        <v>STARKS ANGELINA</v>
      </c>
      <c r="M28" s="6">
        <f t="shared" si="1"/>
        <v>2.7974537042609882E-2</v>
      </c>
      <c r="N28" s="7">
        <f t="shared" si="2"/>
        <v>40.28333334135823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-11T05:15:33-0600',mode:absolute,to:'2017-05-11T08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23.297799999999999</v>
      </c>
      <c r="Z28" s="192">
        <f t="shared" si="9"/>
        <v>1.4999999999999999E-2</v>
      </c>
      <c r="AA28" s="192">
        <f t="shared" si="10"/>
        <v>23.282799999999998</v>
      </c>
      <c r="AB28" s="57" t="str">
        <f>VLOOKUP(A28,Enforcements!$C$7:$K$13,8,0)</f>
        <v>Bulletin (2)</v>
      </c>
      <c r="AC28" s="53" t="str">
        <f>VLOOKUP(A28,Enforcements!$C$7:$E$13,3,0)</f>
        <v>GRADE CROSSING</v>
      </c>
      <c r="AD28" s="54" t="str">
        <f t="shared" si="11"/>
        <v>0116-11</v>
      </c>
      <c r="AE28" s="80" t="str">
        <f t="shared" si="12"/>
        <v>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 &amp; aws s3 cp s3://rtdc.mdm.uploadarchive.raw/RTDC4027/ "%USERPROFILE%\AppData\Local\Temp\OnboardLogs"\RTDC4027\2017-05-12 --exclude "*" --recursive --include "*20170512*" &amp; "%USERPROFILE%\Documents\GitHub\mrs-test-scripts\Headless Mode &amp; Sideloading\WalkAndUnGZ.bat" "%USERPROFILE%\AppData\Local\Temp\OnboardLogs"\RTDC4027\2017-05-12</v>
      </c>
      <c r="AF28" s="77" t="str">
        <f t="shared" si="13"/>
        <v>"C:\Program Files (x86)\AstroGrep\AstroGrep.exe" /e /r /s /spath="%USERPROFILE%\AppData\Local\Temp\OnboardLogs" /stypes="app*4027*20170511*"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116-11 --locoid 4027 --swversion DE.1.0.9.0 --startMP 204:232978 --initTime 2017-05-11T06:15:33 --startdatetime 2017-05-11T06:26:15 --delay 2 --endMP 204:150 --enddatetime 2017-05-11T07:06:32 --enforcementcount 0 &gt;&gt;C:\Users\stu\Documents\GitHub\eaglep3-reporting\EC\2017-05-11-refined-times.txt</v>
      </c>
      <c r="AI28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{"issue":{"subject":"","project_id":79,"tracker_id":40,"status_id":1,"priority_id":2,"assigned_to_id":23,"start_date":"2017-05-11","description":"","custom_fields":[{"id":1,"name":"Subdivision","value":"EC"},{"id":4,"name":"Milepost","value":"0.015"},{"id":17,"name":"Train ID","value":"116-11"},{"id":16,"name":"Locomotive ID","value":"4027"},{"id":130,"name":"Impact","value":""},{"id":150,"name":"Time of Event (Mountain Time)","value":"07:06:32"},{"id":151,"name":"Denver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4027 --day 2017-05-11</v>
      </c>
      <c r="AN28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631</v>
      </c>
      <c r="B29" s="7">
        <v>4026</v>
      </c>
      <c r="C29" s="21" t="s">
        <v>206</v>
      </c>
      <c r="D29" s="21" t="s">
        <v>529</v>
      </c>
      <c r="E29" s="13">
        <v>42866.231180555558</v>
      </c>
      <c r="F29" s="13">
        <v>42866.239803240744</v>
      </c>
      <c r="G29" s="7">
        <v>1</v>
      </c>
      <c r="H29" s="21" t="s">
        <v>820</v>
      </c>
      <c r="I29" s="13">
        <v>42866.265416666669</v>
      </c>
      <c r="J29" s="7">
        <v>0</v>
      </c>
      <c r="K29" s="92" t="str">
        <f t="shared" si="0"/>
        <v>4025/4026</v>
      </c>
      <c r="L29" s="21" t="str">
        <f>VLOOKUP(A29,'Trips&amp;Operators'!$C$1:$G$99999,5,FALSE)</f>
        <v>BONDS REYNALDO</v>
      </c>
      <c r="M29" s="6">
        <f t="shared" si="1"/>
        <v>2.5613425925257616E-2</v>
      </c>
      <c r="N29" s="7">
        <f t="shared" si="2"/>
        <v>36.883333332370967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-11T04:32:54-0600',mode:absolute,to:'2017-05-11T07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4.2700000000000002E-2</v>
      </c>
      <c r="Z29" s="192">
        <f t="shared" si="9"/>
        <v>23.325700000000001</v>
      </c>
      <c r="AA29" s="192">
        <f t="shared" si="10"/>
        <v>23.283000000000001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0117-11</v>
      </c>
      <c r="AE29" s="80" t="str">
        <f t="shared" si="12"/>
        <v>aws s3 cp s3://rtdc.mdm.uploadarchive.raw/RTDC4026/ "%USERPROFILE%\AppData\Local\Temp\OnboardLogs"\RTDC4026\2017-05-11 --exclude "*" --recursive --include "*20170511*" &amp; "%USERPROFILE%\Documents\GitHub\mrs-test-scripts\Headless Mode &amp; Sideloading\WalkAndUnGZ.bat" "%USERPROFILE%\AppData\Local\Temp\OnboardLogs"\RTDC4026\2017-05-11 &amp; aws s3 cp s3://rtdc.mdm.uploadarchive.raw/RTDC4026/ "%USERPROFILE%\AppData\Local\Temp\OnboardLogs"\RTDC4026\2017-05-12 --exclude "*" --recursive --include "*20170512*" &amp; "%USERPROFILE%\Documents\GitHub\mrs-test-scripts\Headless Mode &amp; Sideloading\WalkAndUnGZ.bat" "%USERPROFILE%\AppData\Local\Temp\OnboardLogs"\RTDC4026\2017-05-12</v>
      </c>
      <c r="AF29" s="77" t="str">
        <f t="shared" si="13"/>
        <v>"C:\Program Files (x86)\AstroGrep\AstroGrep.exe" /e /r /s /spath="%USERPROFILE%\AppData\Local\Temp\OnboardLogs" /stypes="app*4026*20170511*"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117-11 --locoid 4026 --swversion DE.1.0.9.0 --startMP 204:427 --initTime 2017-05-11T05:32:54 --startdatetime 2017-05-11T05:45:19 --delay 1 --endMP 204:233257 --enddatetime 2017-05-11T06:22:12 --enforcementcount 0 &gt;&gt;C:\Users\stu\Documents\GitHub\eaglep3-reporting\EC\2017-05-11-refined-times.txt</v>
      </c>
      <c r="AI29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{"issue":{"subject":"","project_id":79,"tracker_id":40,"status_id":1,"priority_id":2,"assigned_to_id":23,"start_date":"2017-05-11","description":"","custom_fields":[{"id":1,"name":"Subdivision","value":"EC"},{"id":4,"name":"Milepost","value":"23.3257"},{"id":17,"name":"Train ID","value":"117-11"},{"id":16,"name":"Locomotive ID","value":"4026"},{"id":130,"name":"Impact","value":""},{"id":150,"name":"Time of Event (Mountain Time)","value":"06:22:12"},{"id":151,"name":"Denver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4026 --day 2017-05-11</v>
      </c>
      <c r="AN29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643</v>
      </c>
      <c r="B30" s="7">
        <v>4025</v>
      </c>
      <c r="C30" s="21" t="s">
        <v>206</v>
      </c>
      <c r="D30" s="21" t="s">
        <v>821</v>
      </c>
      <c r="E30" s="13">
        <v>42866.275983796295</v>
      </c>
      <c r="F30" s="13">
        <v>42866.278715277775</v>
      </c>
      <c r="G30" s="7">
        <v>1</v>
      </c>
      <c r="H30" s="21" t="s">
        <v>528</v>
      </c>
      <c r="I30" s="13">
        <v>42866.305868055555</v>
      </c>
      <c r="J30" s="7">
        <v>0</v>
      </c>
      <c r="K30" s="92" t="str">
        <f t="shared" si="0"/>
        <v>4025/4026</v>
      </c>
      <c r="L30" s="21" t="str">
        <f>VLOOKUP(A30,'Trips&amp;Operators'!$C$1:$G$99999,5,FALSE)</f>
        <v>BONDS REYNALDO</v>
      </c>
      <c r="M30" s="6">
        <f t="shared" si="1"/>
        <v>2.715277778042946E-2</v>
      </c>
      <c r="N30" s="7">
        <f t="shared" si="2"/>
        <v>39.100000003818423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-11T05:37:25-0600',mode:absolute,to:'2017-05-11T08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23.300799999999999</v>
      </c>
      <c r="Z30" s="192">
        <f t="shared" si="9"/>
        <v>1.34E-2</v>
      </c>
      <c r="AA30" s="192">
        <f t="shared" si="10"/>
        <v>23.287399999999998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0118-11</v>
      </c>
      <c r="AE30" s="80" t="str">
        <f t="shared" si="12"/>
        <v>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 &amp; aws s3 cp s3://rtdc.mdm.uploadarchive.raw/RTDC4025/ "%USERPROFILE%\AppData\Local\Temp\OnboardLogs"\RTDC4025\2017-05-12 --exclude "*" --recursive --include "*20170512*" &amp; "%USERPROFILE%\Documents\GitHub\mrs-test-scripts\Headless Mode &amp; Sideloading\WalkAndUnGZ.bat" "%USERPROFILE%\AppData\Local\Temp\OnboardLogs"\RTDC4025\2017-05-12</v>
      </c>
      <c r="AF30" s="77" t="str">
        <f t="shared" si="13"/>
        <v>"C:\Program Files (x86)\AstroGrep\AstroGrep.exe" /e /r /s /spath="%USERPROFILE%\AppData\Local\Temp\OnboardLogs" /stypes="app*4025*20170511*"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118-11 --locoid 4025 --swversion DE.1.0.9.0 --startMP 204:233008 --initTime 2017-05-11T06:37:25 --startdatetime 2017-05-11T06:41:21 --delay 1 --endMP 204:134 --enddatetime 2017-05-11T07:20:27 --enforcementcount 0 &gt;&gt;C:\Users\stu\Documents\GitHub\eaglep3-reporting\EC\2017-05-11-refined-times.txt</v>
      </c>
      <c r="AI30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{"issue":{"subject":"","project_id":79,"tracker_id":40,"status_id":1,"priority_id":2,"assigned_to_id":23,"start_date":"2017-05-11","description":"","custom_fields":[{"id":1,"name":"Subdivision","value":"EC"},{"id":4,"name":"Milepost","value":"0.0134"},{"id":17,"name":"Train ID","value":"118-11"},{"id":16,"name":"Locomotive ID","value":"4025"},{"id":130,"name":"Impact","value":""},{"id":150,"name":"Time of Event (Mountain Time)","value":"07:20:27"},{"id":151,"name":"Denver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4025 --day 2017-05-11</v>
      </c>
      <c r="AN30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575</v>
      </c>
      <c r="B31" s="7">
        <v>4006</v>
      </c>
      <c r="C31" s="21" t="s">
        <v>206</v>
      </c>
      <c r="D31" s="21" t="s">
        <v>822</v>
      </c>
      <c r="E31" s="13">
        <v>42866.247465277775</v>
      </c>
      <c r="F31" s="13">
        <v>42866.250520833331</v>
      </c>
      <c r="G31" s="7">
        <v>1</v>
      </c>
      <c r="H31" s="21" t="s">
        <v>387</v>
      </c>
      <c r="I31" s="13">
        <v>42866.275335648148</v>
      </c>
      <c r="J31" s="7">
        <v>0</v>
      </c>
      <c r="K31" s="92" t="str">
        <f t="shared" si="0"/>
        <v>4005/4006</v>
      </c>
      <c r="L31" s="21" t="str">
        <f>VLOOKUP(A31,'Trips&amp;Operators'!$C$1:$G$99999,5,FALSE)</f>
        <v>ROBINSON KADDIBA</v>
      </c>
      <c r="M31" s="6">
        <f t="shared" si="1"/>
        <v>2.4814814816636499E-2</v>
      </c>
      <c r="N31" s="7">
        <f t="shared" si="2"/>
        <v>35.733333335956559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-11T04:56:21-0600',mode:absolute,to:'2017-05-11T07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7.4999999999999997E-2</v>
      </c>
      <c r="Z31" s="192">
        <f t="shared" si="9"/>
        <v>23.330100000000002</v>
      </c>
      <c r="AA31" s="192">
        <f t="shared" si="10"/>
        <v>23.255100000000002</v>
      </c>
      <c r="AB31" s="57" t="str">
        <f>VLOOKUP(A31,Enforcements!$C$7:$K$13,8,0)</f>
        <v>Bulletin (2)</v>
      </c>
      <c r="AC31" s="53" t="str">
        <f>VLOOKUP(A31,Enforcements!$C$7:$E$13,3,0)</f>
        <v>GRADE CROSSING</v>
      </c>
      <c r="AD31" s="54" t="str">
        <f t="shared" si="11"/>
        <v>0119-11</v>
      </c>
      <c r="AE31" s="80" t="str">
        <f t="shared" si="12"/>
        <v>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 &amp; aws s3 cp s3://rtdc.mdm.uploadarchive.raw/RTDC4006/ "%USERPROFILE%\AppData\Local\Temp\OnboardLogs"\RTDC4006\2017-05-12 --exclude "*" --recursive --include "*20170512*" &amp; "%USERPROFILE%\Documents\GitHub\mrs-test-scripts\Headless Mode &amp; Sideloading\WalkAndUnGZ.bat" "%USERPROFILE%\AppData\Local\Temp\OnboardLogs"\RTDC4006\2017-05-12</v>
      </c>
      <c r="AF31" s="77" t="str">
        <f t="shared" si="13"/>
        <v>"C:\Program Files (x86)\AstroGrep\AstroGrep.exe" /e /r /s /spath="%USERPROFILE%\AppData\Local\Temp\OnboardLogs" /stypes="app*4006*20170511*"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119-11 --locoid 4006 --swversion DE.1.0.9.0 --startMP 204:750 --initTime 2017-05-11T05:56:21 --startdatetime 2017-05-11T06:00:45 --delay 1 --endMP 204:233301 --enddatetime 2017-05-11T06:36:29 --enforcementcount 0 &gt;&gt;C:\Users\stu\Documents\GitHub\eaglep3-reporting\EC\2017-05-11-refined-times.txt</v>
      </c>
      <c r="AI31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{"issue":{"subject":"","project_id":79,"tracker_id":40,"status_id":1,"priority_id":2,"assigned_to_id":23,"start_date":"2017-05-11","description":"","custom_fields":[{"id":1,"name":"Subdivision","value":"EC"},{"id":4,"name":"Milepost","value":"23.3301"},{"id":17,"name":"Train ID","value":"119-11"},{"id":16,"name":"Locomotive ID","value":"4006"},{"id":130,"name":"Impact","value":""},{"id":150,"name":"Time of Event (Mountain Time)","value":"06:36:29"},{"id":151,"name":"Denver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4006 --day 2017-05-11</v>
      </c>
      <c r="AN31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644</v>
      </c>
      <c r="B32" s="7">
        <v>4005</v>
      </c>
      <c r="C32" s="21" t="s">
        <v>206</v>
      </c>
      <c r="D32" s="21" t="s">
        <v>479</v>
      </c>
      <c r="E32" s="13">
        <v>42866.285231481481</v>
      </c>
      <c r="F32" s="13">
        <v>42866.2890625</v>
      </c>
      <c r="G32" s="7">
        <v>1</v>
      </c>
      <c r="H32" s="21" t="s">
        <v>360</v>
      </c>
      <c r="I32" s="13">
        <v>42866.315763888888</v>
      </c>
      <c r="J32" s="7">
        <v>0</v>
      </c>
      <c r="K32" s="92" t="str">
        <f t="shared" si="0"/>
        <v>4005/4006</v>
      </c>
      <c r="L32" s="21" t="str">
        <f>VLOOKUP(A32,'Trips&amp;Operators'!$C$1:$G$99999,5,FALSE)</f>
        <v>ROBINSON KADDIBA</v>
      </c>
      <c r="M32" s="6">
        <f t="shared" si="1"/>
        <v>2.6701388887886424E-2</v>
      </c>
      <c r="N32" s="7">
        <f t="shared" si="2"/>
        <v>38.44999999855645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-11T05:50:44-0600',mode:absolute,to:'2017-05-11T08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23.2973</v>
      </c>
      <c r="Z32" s="192">
        <f t="shared" si="9"/>
        <v>1.43E-2</v>
      </c>
      <c r="AA32" s="192">
        <f t="shared" si="10"/>
        <v>23.283000000000001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0120-11</v>
      </c>
      <c r="AE32" s="80" t="str">
        <f t="shared" si="12"/>
        <v>aws s3 cp s3://rtdc.mdm.uploadarchive.raw/RTDC4005/ "%USERPROFILE%\AppData\Local\Temp\OnboardLogs"\RTDC4005\2017-05-11 --exclude "*" --recursive --include "*20170511*" &amp; "%USERPROFILE%\Documents\GitHub\mrs-test-scripts\Headless Mode &amp; Sideloading\WalkAndUnGZ.bat" "%USERPROFILE%\AppData\Local\Temp\OnboardLogs"\RTDC4005\2017-05-11 &amp; aws s3 cp s3://rtdc.mdm.uploadarchive.raw/RTDC4005/ "%USERPROFILE%\AppData\Local\Temp\OnboardLogs"\RTDC4005\2017-05-12 --exclude "*" --recursive --include "*20170512*" &amp; "%USERPROFILE%\Documents\GitHub\mrs-test-scripts\Headless Mode &amp; Sideloading\WalkAndUnGZ.bat" "%USERPROFILE%\AppData\Local\Temp\OnboardLogs"\RTDC4005\2017-05-12</v>
      </c>
      <c r="AF32" s="77" t="str">
        <f t="shared" si="13"/>
        <v>"C:\Program Files (x86)\AstroGrep\AstroGrep.exe" /e /r /s /spath="%USERPROFILE%\AppData\Local\Temp\OnboardLogs" /stypes="app*4005*20170511*"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120-11 --locoid 4005 --swversion DE.1.0.9.0 --startMP 204:232973 --initTime 2017-05-11T06:50:44 --startdatetime 2017-05-11T06:56:15 --delay 1 --endMP 204:143 --enddatetime 2017-05-11T07:34:42 --enforcementcount 0 &gt;&gt;C:\Users\stu\Documents\GitHub\eaglep3-reporting\EC\2017-05-11-refined-times.txt</v>
      </c>
      <c r="AI32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{"issue":{"subject":"","project_id":79,"tracker_id":40,"status_id":1,"priority_id":2,"assigned_to_id":23,"start_date":"2017-05-11","description":"","custom_fields":[{"id":1,"name":"Subdivision","value":"EC"},{"id":4,"name":"Milepost","value":"0.0143"},{"id":17,"name":"Train ID","value":"120-11"},{"id":16,"name":"Locomotive ID","value":"4005"},{"id":130,"name":"Impact","value":""},{"id":150,"name":"Time of Event (Mountain Time)","value":"07:34:42"},{"id":151,"name":"Denver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4005 --day 2017-05-11</v>
      </c>
      <c r="AN32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638</v>
      </c>
      <c r="B33" s="7">
        <v>4024</v>
      </c>
      <c r="C33" s="21" t="s">
        <v>206</v>
      </c>
      <c r="D33" s="21" t="s">
        <v>352</v>
      </c>
      <c r="E33" s="13">
        <v>42866.255127314813</v>
      </c>
      <c r="F33" s="13">
        <v>42866.260613425926</v>
      </c>
      <c r="G33" s="7">
        <v>1</v>
      </c>
      <c r="H33" s="21" t="s">
        <v>366</v>
      </c>
      <c r="I33" s="13">
        <v>42866.28564814815</v>
      </c>
      <c r="J33" s="7">
        <v>0</v>
      </c>
      <c r="K33" s="92" t="str">
        <f t="shared" si="0"/>
        <v>4023/4024</v>
      </c>
      <c r="L33" s="21" t="str">
        <f>VLOOKUP(A33,'Trips&amp;Operators'!$C$1:$G$99999,5,FALSE)</f>
        <v>COOLAHAN JOHN</v>
      </c>
      <c r="M33" s="6">
        <f t="shared" si="1"/>
        <v>2.5034722224518191E-2</v>
      </c>
      <c r="N33" s="7">
        <f t="shared" si="2"/>
        <v>36.050000003306195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-11T05:07:23-0600',mode:absolute,to:'2017-05-11T07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4.4600000000000001E-2</v>
      </c>
      <c r="Z33" s="192">
        <f t="shared" si="9"/>
        <v>23.331399999999999</v>
      </c>
      <c r="AA33" s="192">
        <f t="shared" si="10"/>
        <v>23.286799999999999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0121-11</v>
      </c>
      <c r="AE33" s="80" t="str">
        <f t="shared" si="12"/>
        <v>aws s3 cp s3://rtdc.mdm.uploadarchive.raw/RTDC4024/ "%USERPROFILE%\AppData\Local\Temp\OnboardLogs"\RTDC4024\2017-05-11 --exclude "*" --recursive --include "*20170511*" &amp; "%USERPROFILE%\Documents\GitHub\mrs-test-scripts\Headless Mode &amp; Sideloading\WalkAndUnGZ.bat" "%USERPROFILE%\AppData\Local\Temp\OnboardLogs"\RTDC4024\2017-05-11 &amp; aws s3 cp s3://rtdc.mdm.uploadarchive.raw/RTDC4024/ "%USERPROFILE%\AppData\Local\Temp\OnboardLogs"\RTDC4024\2017-05-12 --exclude "*" --recursive --include "*20170512*" &amp; "%USERPROFILE%\Documents\GitHub\mrs-test-scripts\Headless Mode &amp; Sideloading\WalkAndUnGZ.bat" "%USERPROFILE%\AppData\Local\Temp\OnboardLogs"\RTDC4024\2017-05-12</v>
      </c>
      <c r="AF33" s="77" t="str">
        <f t="shared" si="13"/>
        <v>"C:\Program Files (x86)\AstroGrep\AstroGrep.exe" /e /r /s /spath="%USERPROFILE%\AppData\Local\Temp\OnboardLogs" /stypes="app*4024*20170511*"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121-11 --locoid 4024 --swversion DE.1.0.9.0 --startMP 204:446 --initTime 2017-05-11T06:07:23 --startdatetime 2017-05-11T06:15:17 --delay 1 --endMP 204:233314 --enddatetime 2017-05-11T06:51:20 --enforcementcount 0 &gt;&gt;C:\Users\stu\Documents\GitHub\eaglep3-reporting\EC\2017-05-11-refined-times.txt</v>
      </c>
      <c r="AI33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{"issue":{"subject":"","project_id":79,"tracker_id":40,"status_id":1,"priority_id":2,"assigned_to_id":23,"start_date":"2017-05-11","description":"","custom_fields":[{"id":1,"name":"Subdivision","value":"EC"},{"id":4,"name":"Milepost","value":"23.3314"},{"id":17,"name":"Train ID","value":"121-11"},{"id":16,"name":"Locomotive ID","value":"4024"},{"id":130,"name":"Impact","value":""},{"id":150,"name":"Time of Event (Mountain Time)","value":"06:51:20"},{"id":151,"name":"Denver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4024 --day 2017-05-11</v>
      </c>
      <c r="AN33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646</v>
      </c>
      <c r="B34" s="7">
        <v>4023</v>
      </c>
      <c r="C34" s="21" t="s">
        <v>206</v>
      </c>
      <c r="D34" s="21" t="s">
        <v>395</v>
      </c>
      <c r="E34" s="13">
        <v>42866.292719907404</v>
      </c>
      <c r="F34" s="13">
        <v>42866.29954861111</v>
      </c>
      <c r="G34" s="7">
        <v>1</v>
      </c>
      <c r="H34" s="21" t="s">
        <v>353</v>
      </c>
      <c r="I34" s="13">
        <v>42866.325856481482</v>
      </c>
      <c r="J34" s="7">
        <v>0</v>
      </c>
      <c r="K34" s="92" t="str">
        <f t="shared" si="0"/>
        <v>4023/4024</v>
      </c>
      <c r="L34" s="21" t="str">
        <f>VLOOKUP(A34,'Trips&amp;Operators'!$C$1:$G$99999,5,FALSE)</f>
        <v>COOLAHAN JOHN</v>
      </c>
      <c r="M34" s="6">
        <f t="shared" si="1"/>
        <v>2.6307870371965691E-2</v>
      </c>
      <c r="N34" s="7">
        <f t="shared" si="2"/>
        <v>37.883333335630596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-11T06:01:31-0600',mode:absolute,to:'2017-05-11T08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23.299800000000001</v>
      </c>
      <c r="Z34" s="192">
        <f t="shared" si="9"/>
        <v>1.4500000000000001E-2</v>
      </c>
      <c r="AA34" s="192">
        <f t="shared" si="10"/>
        <v>23.285299999999999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0122-11</v>
      </c>
      <c r="AE34" s="80" t="str">
        <f t="shared" si="12"/>
        <v>aws s3 cp s3://rtdc.mdm.uploadarchive.raw/RTDC4023/ "%USERPROFILE%\AppData\Local\Temp\OnboardLogs"\RTDC4023\2017-05-11 --exclude "*" --recursive --include "*20170511*" &amp; "%USERPROFILE%\Documents\GitHub\mrs-test-scripts\Headless Mode &amp; Sideloading\WalkAndUnGZ.bat" "%USERPROFILE%\AppData\Local\Temp\OnboardLogs"\RTDC4023\2017-05-11 &amp; aws s3 cp s3://rtdc.mdm.uploadarchive.raw/RTDC4023/ "%USERPROFILE%\AppData\Local\Temp\OnboardLogs"\RTDC4023\2017-05-12 --exclude "*" --recursive --include "*20170512*" &amp; "%USERPROFILE%\Documents\GitHub\mrs-test-scripts\Headless Mode &amp; Sideloading\WalkAndUnGZ.bat" "%USERPROFILE%\AppData\Local\Temp\OnboardLogs"\RTDC4023\2017-05-12</v>
      </c>
      <c r="AF34" s="77" t="str">
        <f t="shared" si="13"/>
        <v>"C:\Program Files (x86)\AstroGrep\AstroGrep.exe" /e /r /s /spath="%USERPROFILE%\AppData\Local\Temp\OnboardLogs" /stypes="app*4023*20170511*"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122-11 --locoid 4023 --swversion DE.1.0.9.0 --startMP 204:232998 --initTime 2017-05-11T07:01:31 --startdatetime 2017-05-11T07:11:21 --delay 1 --endMP 204:145 --enddatetime 2017-05-11T07:49:14 --enforcementcount 0 &gt;&gt;C:\Users\stu\Documents\GitHub\eaglep3-reporting\EC\2017-05-11-refined-times.txt</v>
      </c>
      <c r="AI34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{"issue":{"subject":"","project_id":79,"tracker_id":40,"status_id":1,"priority_id":2,"assigned_to_id":23,"start_date":"2017-05-11","description":"","custom_fields":[{"id":1,"name":"Subdivision","value":"EC"},{"id":4,"name":"Milepost","value":"0.0145"},{"id":17,"name":"Train ID","value":"122-11"},{"id":16,"name":"Locomotive ID","value":"4023"},{"id":130,"name":"Impact","value":""},{"id":150,"name":"Time of Event (Mountain Time)","value":"07:49:14"},{"id":151,"name":"Denver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4023 --day 2017-05-11</v>
      </c>
      <c r="AN34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640</v>
      </c>
      <c r="B35" s="7">
        <v>4054</v>
      </c>
      <c r="C35" s="21" t="s">
        <v>206</v>
      </c>
      <c r="D35" s="21" t="s">
        <v>553</v>
      </c>
      <c r="E35" s="13">
        <v>42866.267916666664</v>
      </c>
      <c r="F35" s="13">
        <v>42866.27107638889</v>
      </c>
      <c r="G35" s="7">
        <v>0</v>
      </c>
      <c r="H35" s="21" t="s">
        <v>540</v>
      </c>
      <c r="I35" s="13">
        <v>42866.295358796298</v>
      </c>
      <c r="J35" s="7">
        <v>0</v>
      </c>
      <c r="K35" s="92" t="str">
        <f t="shared" si="0"/>
        <v>4053/4054</v>
      </c>
      <c r="L35" s="21" t="str">
        <f>VLOOKUP(A35,'Trips&amp;Operators'!$C$1:$G$99999,5,FALSE)</f>
        <v>ROCHA YAOTL</v>
      </c>
      <c r="M35" s="6">
        <f t="shared" si="1"/>
        <v>2.4282407408463769E-2</v>
      </c>
      <c r="N35" s="7">
        <f t="shared" si="2"/>
        <v>34.966666668187827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-11T05:25:48-0600',mode:absolute,to:'2017-05-11T08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4.7500000000000001E-2</v>
      </c>
      <c r="Z35" s="192">
        <f t="shared" si="9"/>
        <v>23.335899999999999</v>
      </c>
      <c r="AA35" s="192">
        <f t="shared" si="10"/>
        <v>23.288399999999999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0123-11</v>
      </c>
      <c r="AE35" s="80" t="str">
        <f t="shared" si="12"/>
        <v>aws s3 cp s3://rtdc.mdm.uploadarchive.raw/RTDC4054/ "%USERPROFILE%\AppData\Local\Temp\OnboardLogs"\RTDC4054\2017-05-11 --exclude "*" --recursive --include "*20170511*" &amp; "%USERPROFILE%\Documents\GitHub\mrs-test-scripts\Headless Mode &amp; Sideloading\WalkAndUnGZ.bat" "%USERPROFILE%\AppData\Local\Temp\OnboardLogs"\RTDC4054\2017-05-11 &amp; aws s3 cp s3://rtdc.mdm.uploadarchive.raw/RTDC4054/ "%USERPROFILE%\AppData\Local\Temp\OnboardLogs"\RTDC4054\2017-05-12 --exclude "*" --recursive --include "*20170512*" &amp; "%USERPROFILE%\Documents\GitHub\mrs-test-scripts\Headless Mode &amp; Sideloading\WalkAndUnGZ.bat" "%USERPROFILE%\AppData\Local\Temp\OnboardLogs"\RTDC4054\2017-05-12</v>
      </c>
      <c r="AF35" s="77" t="str">
        <f t="shared" si="13"/>
        <v>"C:\Program Files (x86)\AstroGrep\AstroGrep.exe" /e /r /s /spath="%USERPROFILE%\AppData\Local\Temp\OnboardLogs" /stypes="app*4054*20170511*"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123-11 --locoid 4054 --swversion DE.1.0.9.0 --startMP 204:475 --initTime 2017-05-11T06:25:48 --startdatetime 2017-05-11T06:30:21 --delay 0 --endMP 204:233359 --enddatetime 2017-05-11T07:05:19 --enforcementcount 0 &gt;&gt;C:\Users\stu\Documents\GitHub\eaglep3-reporting\EC\2017-05-11-refined-times.txt</v>
      </c>
      <c r="AI35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{"issue":{"subject":"","project_id":79,"tracker_id":40,"status_id":1,"priority_id":2,"assigned_to_id":23,"start_date":"2017-05-11","description":"","custom_fields":[{"id":1,"name":"Subdivision","value":"EC"},{"id":4,"name":"Milepost","value":"23.3359"},{"id":17,"name":"Train ID","value":"123-11"},{"id":16,"name":"Locomotive ID","value":"4054"},{"id":130,"name":"Impact","value":""},{"id":150,"name":"Time of Event (Mountain Time)","value":"07:05:19"},{"id":151,"name":"Denver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4054 --day 2017-05-11</v>
      </c>
      <c r="AN35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580</v>
      </c>
      <c r="B36" s="7">
        <v>4053</v>
      </c>
      <c r="C36" s="21" t="s">
        <v>206</v>
      </c>
      <c r="D36" s="21" t="s">
        <v>823</v>
      </c>
      <c r="E36" s="13">
        <v>42866.307060185187</v>
      </c>
      <c r="F36" s="13">
        <v>42866.309895833336</v>
      </c>
      <c r="G36" s="7">
        <v>1</v>
      </c>
      <c r="H36" s="21" t="s">
        <v>359</v>
      </c>
      <c r="I36" s="13">
        <v>42866.335949074077</v>
      </c>
      <c r="J36" s="7">
        <v>0</v>
      </c>
      <c r="K36" s="92" t="str">
        <f t="shared" si="0"/>
        <v>4053/4054</v>
      </c>
      <c r="L36" s="21" t="str">
        <f>VLOOKUP(A36,'Trips&amp;Operators'!$C$1:$G$99999,5,FALSE)</f>
        <v>ROCHA YAOTL</v>
      </c>
      <c r="M36" s="6">
        <f t="shared" si="1"/>
        <v>2.6053240741021E-2</v>
      </c>
      <c r="N36" s="7">
        <f t="shared" si="2"/>
        <v>37.51666666707024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-11T06:22:10-0600',mode:absolute,to:'2017-05-11T09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23.304200000000002</v>
      </c>
      <c r="Z36" s="192">
        <f t="shared" si="9"/>
        <v>1.49E-2</v>
      </c>
      <c r="AA36" s="192">
        <f t="shared" si="10"/>
        <v>23.289300000000001</v>
      </c>
      <c r="AB36" s="57" t="str">
        <f>VLOOKUP(A36,Enforcements!$C$7:$K$13,8,0)</f>
        <v>Bulletin (2)</v>
      </c>
      <c r="AC36" s="53" t="str">
        <f>VLOOKUP(A36,Enforcements!$C$7:$E$13,3,0)</f>
        <v>GRADE CROSSING</v>
      </c>
      <c r="AD36" s="54" t="str">
        <f t="shared" si="11"/>
        <v>0124-11</v>
      </c>
      <c r="AE36" s="80" t="str">
        <f t="shared" si="12"/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AF36" s="77" t="str">
        <f t="shared" si="13"/>
        <v>"C:\Program Files (x86)\AstroGrep\AstroGrep.exe" /e /r /s /spath="%USERPROFILE%\AppData\Local\Temp\OnboardLogs" /stypes="app*4053*20170511*"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124-11 --locoid 4053 --swversion DE.1.0.9.0 --startMP 204:233042 --initTime 2017-05-11T07:22:10 --startdatetime 2017-05-11T07:26:15 --delay 1 --endMP 204:149 --enddatetime 2017-05-11T08:03:46 --enforcementcount 0 &gt;&gt;C:\Users\stu\Documents\GitHub\eaglep3-reporting\EC\2017-05-11-refined-times.txt</v>
      </c>
      <c r="AI36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{"issue":{"subject":"","project_id":79,"tracker_id":40,"status_id":1,"priority_id":2,"assigned_to_id":23,"start_date":"2017-05-11","description":"","custom_fields":[{"id":1,"name":"Subdivision","value":"EC"},{"id":4,"name":"Milepost","value":"0.0149"},{"id":17,"name":"Train ID","value":"124-11"},{"id":16,"name":"Locomotive ID","value":"4053"},{"id":130,"name":"Impact","value":""},{"id":150,"name":"Time of Event (Mountain Time)","value":"08:03:46"},{"id":151,"name":"Denver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4053 --day 2017-05-11</v>
      </c>
      <c r="AN36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642</v>
      </c>
      <c r="B37" s="7">
        <v>4042</v>
      </c>
      <c r="C37" s="21" t="s">
        <v>206</v>
      </c>
      <c r="D37" s="21" t="s">
        <v>202</v>
      </c>
      <c r="E37" s="13">
        <v>42866.275543981479</v>
      </c>
      <c r="F37" s="13">
        <v>42866.281597222223</v>
      </c>
      <c r="G37" s="7">
        <v>1</v>
      </c>
      <c r="H37" s="21" t="s">
        <v>536</v>
      </c>
      <c r="I37" s="13">
        <v>42866.306041666663</v>
      </c>
      <c r="J37" s="7">
        <v>0</v>
      </c>
      <c r="K37" s="92" t="str">
        <f t="shared" si="0"/>
        <v>4041/4042</v>
      </c>
      <c r="L37" s="21" t="str">
        <f>VLOOKUP(A37,'Trips&amp;Operators'!$C$1:$G$99999,5,FALSE)</f>
        <v>YORK EDGAR</v>
      </c>
      <c r="M37" s="6">
        <f t="shared" si="1"/>
        <v>2.4444444439723156E-2</v>
      </c>
      <c r="N37" s="7">
        <f t="shared" si="2"/>
        <v>35.199999993201345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-11T05:36:47-0600',mode:absolute,to:'2017-05-11T08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4.5699999999999998E-2</v>
      </c>
      <c r="Z37" s="192">
        <f t="shared" si="9"/>
        <v>23.331700000000001</v>
      </c>
      <c r="AA37" s="192">
        <f t="shared" si="10"/>
        <v>23.286000000000001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0125-11</v>
      </c>
      <c r="AE37" s="80" t="str">
        <f t="shared" si="12"/>
        <v>aws s3 cp s3://rtdc.mdm.uploadarchive.raw/RTDC4042/ "%USERPROFILE%\AppData\Local\Temp\OnboardLogs"\RTDC4042\2017-05-11 --exclude "*" --recursive --include "*20170511*" &amp; "%USERPROFILE%\Documents\GitHub\mrs-test-scripts\Headless Mode &amp; Sideloading\WalkAndUnGZ.bat" "%USERPROFILE%\AppData\Local\Temp\OnboardLogs"\RTDC4042\2017-05-11 &amp; 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</v>
      </c>
      <c r="AF37" s="77" t="str">
        <f t="shared" si="13"/>
        <v>"C:\Program Files (x86)\AstroGrep\AstroGrep.exe" /e /r /s /spath="%USERPROFILE%\AppData\Local\Temp\OnboardLogs" /stypes="app*4042*20170511*"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125-11 --locoid 4042 --swversion DE.1.0.9.0 --startMP 204:457 --initTime 2017-05-11T06:36:47 --startdatetime 2017-05-11T06:45:30 --delay 1 --endMP 204:233317 --enddatetime 2017-05-11T07:20:42 --enforcementcount 0 &gt;&gt;C:\Users\stu\Documents\GitHub\eaglep3-reporting\EC\2017-05-11-refined-times.txt</v>
      </c>
      <c r="AI37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{"issue":{"subject":"","project_id":79,"tracker_id":40,"status_id":1,"priority_id":2,"assigned_to_id":23,"start_date":"2017-05-11","description":"","custom_fields":[{"id":1,"name":"Subdivision","value":"EC"},{"id":4,"name":"Milepost","value":"23.3317"},{"id":17,"name":"Train ID","value":"125-11"},{"id":16,"name":"Locomotive ID","value":"4042"},{"id":130,"name":"Impact","value":""},{"id":150,"name":"Time of Event (Mountain Time)","value":"07:20:42"},{"id":151,"name":"Denver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4042 --day 2017-05-11</v>
      </c>
      <c r="AN37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654</v>
      </c>
      <c r="B38" s="7">
        <v>4041</v>
      </c>
      <c r="C38" s="21" t="s">
        <v>206</v>
      </c>
      <c r="D38" s="21" t="s">
        <v>531</v>
      </c>
      <c r="E38" s="13">
        <v>42866.31795138889</v>
      </c>
      <c r="F38" s="13">
        <v>42866.3205787037</v>
      </c>
      <c r="G38" s="7">
        <v>2</v>
      </c>
      <c r="H38" s="21" t="s">
        <v>375</v>
      </c>
      <c r="I38" s="13">
        <v>42866.346365740741</v>
      </c>
      <c r="J38" s="7">
        <v>0</v>
      </c>
      <c r="K38" s="92" t="str">
        <f t="shared" si="0"/>
        <v>4041/4042</v>
      </c>
      <c r="L38" s="21" t="str">
        <f>VLOOKUP(A38,'Trips&amp;Operators'!$C$1:$G$99999,5,FALSE)</f>
        <v>YORK EDGAR</v>
      </c>
      <c r="M38" s="6">
        <f t="shared" si="1"/>
        <v>2.5787037040572613E-2</v>
      </c>
      <c r="N38" s="7">
        <f t="shared" si="2"/>
        <v>37.133333338424563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-11T06:37:51-0600',mode:absolute,to:'2017-05-11T09:18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23.300599999999999</v>
      </c>
      <c r="Z38" s="192">
        <f t="shared" si="9"/>
        <v>1.41E-2</v>
      </c>
      <c r="AA38" s="192">
        <f t="shared" si="10"/>
        <v>23.2865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0126-11</v>
      </c>
      <c r="AE38" s="80" t="str">
        <f t="shared" si="12"/>
        <v>aws s3 cp s3://rtdc.mdm.uploadarchive.raw/RTDC4041/ "%USERPROFILE%\AppData\Local\Temp\OnboardLogs"\RTDC4041\2017-05-11 --exclude "*" --recursive --include "*20170511*" &amp; "%USERPROFILE%\Documents\GitHub\mrs-test-scripts\Headless Mode &amp; Sideloading\WalkAndUnGZ.bat" "%USERPROFILE%\AppData\Local\Temp\OnboardLogs"\RTDC4041\2017-05-11 &amp; aws s3 cp s3://rtdc.mdm.uploadarchive.raw/RTDC4041/ "%USERPROFILE%\AppData\Local\Temp\OnboardLogs"\RTDC4041\2017-05-12 --exclude "*" --recursive --include "*20170512*" &amp; "%USERPROFILE%\Documents\GitHub\mrs-test-scripts\Headless Mode &amp; Sideloading\WalkAndUnGZ.bat" "%USERPROFILE%\AppData\Local\Temp\OnboardLogs"\RTDC4041\2017-05-12</v>
      </c>
      <c r="AF38" s="77" t="str">
        <f t="shared" si="13"/>
        <v>"C:\Program Files (x86)\AstroGrep\AstroGrep.exe" /e /r /s /spath="%USERPROFILE%\AppData\Local\Temp\OnboardLogs" /stypes="app*4041*20170511*"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126-11 --locoid 4041 --swversion DE.1.0.9.0 --startMP 204:233006 --initTime 2017-05-11T07:37:51 --startdatetime 2017-05-11T07:41:38 --delay 2 --endMP 204:141 --enddatetime 2017-05-11T08:18:46 --enforcementcount 0 &gt;&gt;C:\Users\stu\Documents\GitHub\eaglep3-reporting\EC\2017-05-11-refined-times.txt</v>
      </c>
      <c r="AI38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{"issue":{"subject":"","project_id":79,"tracker_id":40,"status_id":1,"priority_id":2,"assigned_to_id":23,"start_date":"2017-05-11","description":"","custom_fields":[{"id":1,"name":"Subdivision","value":"EC"},{"id":4,"name":"Milepost","value":"0.0141"},{"id":17,"name":"Train ID","value":"126-11"},{"id":16,"name":"Locomotive ID","value":"4041"},{"id":130,"name":"Impact","value":""},{"id":150,"name":"Time of Event (Mountain Time)","value":"08:18:46"},{"id":151,"name":"Denver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4041 --day 2017-05-11</v>
      </c>
      <c r="AN38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645</v>
      </c>
      <c r="B39" s="7">
        <v>4016</v>
      </c>
      <c r="C39" s="21" t="s">
        <v>206</v>
      </c>
      <c r="D39" s="21" t="s">
        <v>202</v>
      </c>
      <c r="E39" s="13">
        <v>42866.287372685183</v>
      </c>
      <c r="F39" s="13">
        <v>42866.292083333334</v>
      </c>
      <c r="G39" s="7">
        <v>1</v>
      </c>
      <c r="H39" s="21" t="s">
        <v>446</v>
      </c>
      <c r="I39" s="13">
        <v>42866.317199074074</v>
      </c>
      <c r="J39" s="7">
        <v>0</v>
      </c>
      <c r="K39" s="92" t="str">
        <f t="shared" si="0"/>
        <v>4015/4016</v>
      </c>
      <c r="L39" s="21" t="str">
        <f>VLOOKUP(A39,'Trips&amp;Operators'!$C$1:$G$99999,5,FALSE)</f>
        <v>BADERTSCHER DIANE</v>
      </c>
      <c r="M39" s="6">
        <f t="shared" si="1"/>
        <v>2.5115740740147885E-2</v>
      </c>
      <c r="N39" s="7">
        <f t="shared" si="2"/>
        <v>36.166666665812954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-11T05:53:49-0600',mode:absolute,to:'2017-05-11T08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4.5699999999999998E-2</v>
      </c>
      <c r="Z39" s="192">
        <f t="shared" si="9"/>
        <v>23.3309</v>
      </c>
      <c r="AA39" s="192">
        <f t="shared" si="10"/>
        <v>23.2852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0127-11</v>
      </c>
      <c r="AE39" s="80" t="str">
        <f t="shared" si="12"/>
        <v>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 &amp; 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</v>
      </c>
      <c r="AF39" s="77" t="str">
        <f t="shared" si="13"/>
        <v>"C:\Program Files (x86)\AstroGrep\AstroGrep.exe" /e /r /s /spath="%USERPROFILE%\AppData\Local\Temp\OnboardLogs" /stypes="app*4016*20170511*"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127-11 --locoid 4016 --swversion DE.1.0.9.0 --startMP 204:457 --initTime 2017-05-11T06:53:49 --startdatetime 2017-05-11T07:00:36 --delay 1 --endMP 204:233309 --enddatetime 2017-05-11T07:36:46 --enforcementcount 0 &gt;&gt;C:\Users\stu\Documents\GitHub\eaglep3-reporting\EC\2017-05-11-refined-times.txt</v>
      </c>
      <c r="AI39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{"issue":{"subject":"","project_id":79,"tracker_id":40,"status_id":1,"priority_id":2,"assigned_to_id":23,"start_date":"2017-05-11","description":"","custom_fields":[{"id":1,"name":"Subdivision","value":"EC"},{"id":4,"name":"Milepost","value":"23.3309"},{"id":17,"name":"Train ID","value":"127-11"},{"id":16,"name":"Locomotive ID","value":"4016"},{"id":130,"name":"Impact","value":""},{"id":150,"name":"Time of Event (Mountain Time)","value":"07:36:46"},{"id":151,"name":"Denver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4016 --day 2017-05-11</v>
      </c>
      <c r="AN39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655</v>
      </c>
      <c r="B40" s="7">
        <v>4015</v>
      </c>
      <c r="C40" s="21" t="s">
        <v>206</v>
      </c>
      <c r="D40" s="21" t="s">
        <v>396</v>
      </c>
      <c r="E40" s="13">
        <v>42866.324490740742</v>
      </c>
      <c r="F40" s="13">
        <v>42866.330740740741</v>
      </c>
      <c r="G40" s="7">
        <v>1</v>
      </c>
      <c r="H40" s="21" t="s">
        <v>393</v>
      </c>
      <c r="I40" s="13">
        <v>42866.359155092592</v>
      </c>
      <c r="J40" s="7">
        <v>0</v>
      </c>
      <c r="K40" s="92" t="str">
        <f t="shared" si="0"/>
        <v>4015/4016</v>
      </c>
      <c r="L40" s="21" t="str">
        <f>VLOOKUP(A40,'Trips&amp;Operators'!$C$1:$G$99999,5,FALSE)</f>
        <v>BADERTSCHER DIANE</v>
      </c>
      <c r="M40" s="6">
        <f t="shared" si="1"/>
        <v>2.8414351851097308E-2</v>
      </c>
      <c r="N40" s="7">
        <f t="shared" si="2"/>
        <v>40.916666665580124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-11T06:47:16-0600',mode:absolute,to:'2017-05-11T09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23.299199999999999</v>
      </c>
      <c r="Z40" s="192">
        <f t="shared" si="9"/>
        <v>1.3599999999999999E-2</v>
      </c>
      <c r="AA40" s="192">
        <f t="shared" si="10"/>
        <v>23.285599999999999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0128-11</v>
      </c>
      <c r="AE40" s="80" t="str">
        <f t="shared" si="12"/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AF40" s="77" t="str">
        <f t="shared" si="13"/>
        <v>"C:\Program Files (x86)\AstroGrep\AstroGrep.exe" /e /r /s /spath="%USERPROFILE%\AppData\Local\Temp\OnboardLogs" /stypes="app*4015*20170511*"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128-11 --locoid 4015 --swversion DE.1.0.9.0 --startMP 204:232992 --initTime 2017-05-11T07:47:16 --startdatetime 2017-05-11T07:56:16 --delay 1 --endMP 204:136 --enddatetime 2017-05-11T08:37:11 --enforcementcount 0 &gt;&gt;C:\Users\stu\Documents\GitHub\eaglep3-reporting\EC\2017-05-11-refined-times.txt</v>
      </c>
      <c r="AI40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{"issue":{"subject":"","project_id":79,"tracker_id":40,"status_id":1,"priority_id":2,"assigned_to_id":23,"start_date":"2017-05-11","description":"","custom_fields":[{"id":1,"name":"Subdivision","value":"EC"},{"id":4,"name":"Milepost","value":"0.0136"},{"id":17,"name":"Train ID","value":"128-11"},{"id":16,"name":"Locomotive ID","value":"4015"},{"id":130,"name":"Impact","value":""},{"id":150,"name":"Time of Event (Mountain Time)","value":"08:37:11"},{"id":151,"name":"Denver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4015 --day 2017-05-11</v>
      </c>
      <c r="AN40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648</v>
      </c>
      <c r="B41" s="7">
        <v>4028</v>
      </c>
      <c r="C41" s="21" t="s">
        <v>206</v>
      </c>
      <c r="D41" s="21" t="s">
        <v>202</v>
      </c>
      <c r="E41" s="13">
        <v>42866.297731481478</v>
      </c>
      <c r="F41" s="13">
        <v>42866.302291666667</v>
      </c>
      <c r="G41" s="7">
        <v>1</v>
      </c>
      <c r="H41" s="21" t="s">
        <v>824</v>
      </c>
      <c r="I41" s="13">
        <v>42866.327037037037</v>
      </c>
      <c r="J41" s="7">
        <v>0</v>
      </c>
      <c r="K41" s="92" t="str">
        <f t="shared" si="0"/>
        <v>4027/4028</v>
      </c>
      <c r="L41" s="21" t="str">
        <f>VLOOKUP(A41,'Trips&amp;Operators'!$C$1:$G$99999,5,FALSE)</f>
        <v>YANAI IAN</v>
      </c>
      <c r="M41" s="6">
        <f t="shared" si="1"/>
        <v>2.47453703705105E-2</v>
      </c>
      <c r="N41" s="7">
        <f t="shared" si="2"/>
        <v>35.63333333353512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-11T06:08:44-0600',mode:absolute,to:'2017-05-11T08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4.5699999999999998E-2</v>
      </c>
      <c r="Z41" s="192">
        <f t="shared" si="9"/>
        <v>23.330400000000001</v>
      </c>
      <c r="AA41" s="192">
        <f t="shared" si="10"/>
        <v>23.284700000000001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0129-11</v>
      </c>
      <c r="AE41" s="80" t="str">
        <f t="shared" si="12"/>
        <v>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 &amp; aws s3 cp s3://rtdc.mdm.uploadarchive.raw/RTDC4028/ "%USERPROFILE%\AppData\Local\Temp\OnboardLogs"\RTDC4028\2017-05-12 --exclude "*" --recursive --include "*20170512*" &amp; "%USERPROFILE%\Documents\GitHub\mrs-test-scripts\Headless Mode &amp; Sideloading\WalkAndUnGZ.bat" "%USERPROFILE%\AppData\Local\Temp\OnboardLogs"\RTDC4028\2017-05-12</v>
      </c>
      <c r="AF41" s="77" t="str">
        <f t="shared" si="13"/>
        <v>"C:\Program Files (x86)\AstroGrep\AstroGrep.exe" /e /r /s /spath="%USERPROFILE%\AppData\Local\Temp\OnboardLogs" /stypes="app*4028*20170511*"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129-11 --locoid 4028 --swversion DE.1.0.9.0 --startMP 204:457 --initTime 2017-05-11T07:08:44 --startdatetime 2017-05-11T07:15:18 --delay 1 --endMP 204:233304 --enddatetime 2017-05-11T07:50:56 --enforcementcount 0 &gt;&gt;C:\Users\stu\Documents\GitHub\eaglep3-reporting\EC\2017-05-11-refined-times.txt</v>
      </c>
      <c r="AI41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{"issue":{"subject":"","project_id":79,"tracker_id":40,"status_id":1,"priority_id":2,"assigned_to_id":23,"start_date":"2017-05-11","description":"","custom_fields":[{"id":1,"name":"Subdivision","value":"EC"},{"id":4,"name":"Milepost","value":"23.3304"},{"id":17,"name":"Train ID","value":"129-11"},{"id":16,"name":"Locomotive ID","value":"4028"},{"id":130,"name":"Impact","value":""},{"id":150,"name":"Time of Event (Mountain Time)","value":"07:50:56"},{"id":151,"name":"Denver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4028 --day 2017-05-11</v>
      </c>
      <c r="AN41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657</v>
      </c>
      <c r="B42" s="7">
        <v>4027</v>
      </c>
      <c r="C42" s="21" t="s">
        <v>206</v>
      </c>
      <c r="D42" s="21" t="s">
        <v>385</v>
      </c>
      <c r="E42" s="13">
        <v>42866.329479166663</v>
      </c>
      <c r="F42" s="13">
        <v>42866.330428240741</v>
      </c>
      <c r="G42" s="7">
        <v>1</v>
      </c>
      <c r="H42" s="21" t="s">
        <v>825</v>
      </c>
      <c r="I42" s="13">
        <v>42866.35125</v>
      </c>
      <c r="J42" s="7">
        <v>0</v>
      </c>
      <c r="K42" s="92" t="str">
        <f t="shared" si="0"/>
        <v>4027/4028</v>
      </c>
      <c r="L42" s="21" t="str">
        <f>VLOOKUP(A42,'Trips&amp;Operators'!$C$1:$G$99999,5,FALSE)</f>
        <v>YANAI IAN</v>
      </c>
      <c r="M42" s="6">
        <f t="shared" si="1"/>
        <v>2.0821759258979E-2</v>
      </c>
      <c r="N42" s="7"/>
      <c r="O42" s="7"/>
      <c r="P42" s="7">
        <f>24*60*SUM($M42:$M42)</f>
        <v>29.98333333292976</v>
      </c>
      <c r="Q42" s="22"/>
      <c r="R42" s="190" t="s">
        <v>1043</v>
      </c>
      <c r="S42" s="196">
        <f t="shared" si="3"/>
        <v>0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-11T06:54:27-0600',mode:absolute,to:'2017-05-11T09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2" s="192" t="str">
        <f t="shared" si="6"/>
        <v>Y</v>
      </c>
      <c r="X42" s="192">
        <f t="shared" si="7"/>
        <v>1</v>
      </c>
      <c r="Y42" s="192">
        <f t="shared" si="8"/>
        <v>23.2987</v>
      </c>
      <c r="Z42" s="192">
        <f t="shared" si="9"/>
        <v>12.7845</v>
      </c>
      <c r="AA42" s="192">
        <f t="shared" si="10"/>
        <v>10.514200000000001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0130-11</v>
      </c>
      <c r="AE42" s="80" t="str">
        <f t="shared" si="12"/>
        <v>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 &amp; aws s3 cp s3://rtdc.mdm.uploadarchive.raw/RTDC4027/ "%USERPROFILE%\AppData\Local\Temp\OnboardLogs"\RTDC4027\2017-05-12 --exclude "*" --recursive --include "*20170512*" &amp; "%USERPROFILE%\Documents\GitHub\mrs-test-scripts\Headless Mode &amp; Sideloading\WalkAndUnGZ.bat" "%USERPROFILE%\AppData\Local\Temp\OnboardLogs"\RTDC4027\2017-05-12</v>
      </c>
      <c r="AF42" s="77" t="str">
        <f t="shared" si="13"/>
        <v>"C:\Program Files (x86)\AstroGrep\AstroGrep.exe" /e /r /s /spath="%USERPROFILE%\AppData\Local\Temp\OnboardLogs" /stypes="app*4027*20170511*"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130-11 --locoid 4027 --swversion DE.1.0.9.0 --startMP 204:232987 --initTime 2017-05-11T07:54:27 --startdatetime 2017-05-11T07:55:49 --delay 1 --endMP 204:127845 --enddatetime 2017-05-11T08:25:48 --enforcementcount 0 &gt;&gt;C:\Users\stu\Documents\GitHub\eaglep3-reporting\EC\2017-05-11-refined-times.txt</v>
      </c>
      <c r="AI42" s="99" t="str">
        <f t="shared" si="20"/>
        <v>echo {"issue":{"subject":"OCS Power Outage","project_id":79,"tracker_id":40,"status_id":1,"priority_id":2,"assigned_to_id":23,"start_date":"2017-05-11","description":"","custom_fields":[{"id":1,"name":"Subdivision","value":"EC"},{"id":4,"name":"Milepost","value":"12.7845"},{"id":17,"name":"Train ID","value":"130-11"},{"id":16,"name":"Locomotive ID","value":"4027"},{"id":130,"name":"Impact","value":""},{"id":150,"name":"Time of Event (Mountain Time)","value":"08:25:48"},{"id":151,"name":"Denver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4027 --day 2017-05-11</v>
      </c>
      <c r="AN42" s="154" t="str">
        <f t="shared" si="22"/>
        <v>echo {"issue":{"subject":"OCS Power Outage","project_id":30,"tracker_id":4,"status_id":1,"priority_id":1,"assigned_to_id":10,"start_date":"2017-05-11","description":"","custom_fields":[{"id":30,"name":"Category","value":"Issue"},{"id":3,"name":"Functional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652</v>
      </c>
      <c r="B43" s="7">
        <v>4026</v>
      </c>
      <c r="C43" s="21" t="s">
        <v>206</v>
      </c>
      <c r="D43" s="21" t="s">
        <v>352</v>
      </c>
      <c r="E43" s="13">
        <v>42866.309351851851</v>
      </c>
      <c r="F43" s="13">
        <v>42866.312708333331</v>
      </c>
      <c r="G43" s="7">
        <v>1</v>
      </c>
      <c r="H43" s="21" t="s">
        <v>447</v>
      </c>
      <c r="I43" s="13">
        <v>42866.337685185186</v>
      </c>
      <c r="J43" s="7">
        <v>0</v>
      </c>
      <c r="K43" s="92" t="str">
        <f t="shared" si="0"/>
        <v>4025/4026</v>
      </c>
      <c r="L43" s="21" t="str">
        <f>VLOOKUP(A43,'Trips&amp;Operators'!$C$1:$G$99999,5,FALSE)</f>
        <v>BONDS REYNALDO</v>
      </c>
      <c r="M43" s="6">
        <f t="shared" si="1"/>
        <v>2.4976851855171844E-2</v>
      </c>
      <c r="N43" s="7">
        <f>24*60*SUM($M43:$M43)</f>
        <v>35.966666671447456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-11T06:25:28-0600',mode:absolute,to:'2017-05-11T09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4.4600000000000001E-2</v>
      </c>
      <c r="Z43" s="192">
        <f t="shared" si="9"/>
        <v>23.327999999999999</v>
      </c>
      <c r="AA43" s="192">
        <f t="shared" si="10"/>
        <v>23.2834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0131-11</v>
      </c>
      <c r="AE43" s="80" t="str">
        <f t="shared" si="12"/>
        <v>aws s3 cp s3://rtdc.mdm.uploadarchive.raw/RTDC4026/ "%USERPROFILE%\AppData\Local\Temp\OnboardLogs"\RTDC4026\2017-05-11 --exclude "*" --recursive --include "*20170511*" &amp; "%USERPROFILE%\Documents\GitHub\mrs-test-scripts\Headless Mode &amp; Sideloading\WalkAndUnGZ.bat" "%USERPROFILE%\AppData\Local\Temp\OnboardLogs"\RTDC4026\2017-05-11 &amp; aws s3 cp s3://rtdc.mdm.uploadarchive.raw/RTDC4026/ "%USERPROFILE%\AppData\Local\Temp\OnboardLogs"\RTDC4026\2017-05-12 --exclude "*" --recursive --include "*20170512*" &amp; "%USERPROFILE%\Documents\GitHub\mrs-test-scripts\Headless Mode &amp; Sideloading\WalkAndUnGZ.bat" "%USERPROFILE%\AppData\Local\Temp\OnboardLogs"\RTDC4026\2017-05-12</v>
      </c>
      <c r="AF43" s="77" t="str">
        <f t="shared" si="13"/>
        <v>"C:\Program Files (x86)\AstroGrep\AstroGrep.exe" /e /r /s /spath="%USERPROFILE%\AppData\Local\Temp\OnboardLogs" /stypes="app*4026*20170511*"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131-11 --locoid 4026 --swversion DE.1.0.9.0 --startMP 204:446 --initTime 2017-05-11T07:25:28 --startdatetime 2017-05-11T07:30:18 --delay 1 --endMP 204:233280 --enddatetime 2017-05-11T08:06:16 --enforcementcount 0 &gt;&gt;C:\Users\stu\Documents\GitHub\eaglep3-reporting\EC\2017-05-11-refined-times.txt</v>
      </c>
      <c r="AI43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{"issue":{"subject":"","project_id":79,"tracker_id":40,"status_id":1,"priority_id":2,"assigned_to_id":23,"start_date":"2017-05-11","description":"","custom_fields":[{"id":1,"name":"Subdivision","value":"EC"},{"id":4,"name":"Milepost","value":"23.328"},{"id":17,"name":"Train ID","value":"131-11"},{"id":16,"name":"Locomotive ID","value":"4026"},{"id":130,"name":"Impact","value":""},{"id":150,"name":"Time of Event (Mountain Time)","value":"08:06:16"},{"id":151,"name":"Denver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4026 --day 2017-05-11</v>
      </c>
      <c r="AN43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653</v>
      </c>
      <c r="B44" s="7">
        <v>4006</v>
      </c>
      <c r="C44" s="21" t="s">
        <v>206</v>
      </c>
      <c r="D44" s="21" t="s">
        <v>372</v>
      </c>
      <c r="E44" s="13">
        <v>42866.317974537036</v>
      </c>
      <c r="F44" s="13">
        <v>42866.323564814818</v>
      </c>
      <c r="G44" s="7">
        <v>1</v>
      </c>
      <c r="H44" s="21" t="s">
        <v>536</v>
      </c>
      <c r="I44" s="13">
        <v>42866.348773148151</v>
      </c>
      <c r="J44" s="7">
        <v>0</v>
      </c>
      <c r="K44" s="92" t="str">
        <f t="shared" si="0"/>
        <v>4005/4006</v>
      </c>
      <c r="L44" s="21" t="str">
        <f>VLOOKUP(A44,'Trips&amp;Operators'!$C$1:$G$99999,5,FALSE)</f>
        <v>ROBINSON KADDIBA</v>
      </c>
      <c r="M44" s="6">
        <f t="shared" si="1"/>
        <v>2.5208333332557231E-2</v>
      </c>
      <c r="N44" s="7">
        <f>24*60*SUM($M44:$M44)</f>
        <v>36.299999998882413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NorthBound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-11T06:37:53-0600',mode:absolute,to:'2017-05-11T09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4" s="192" t="str">
        <f t="shared" si="6"/>
        <v>N</v>
      </c>
      <c r="X44" s="192">
        <f t="shared" si="7"/>
        <v>2</v>
      </c>
      <c r="Y44" s="192">
        <f t="shared" si="8"/>
        <v>4.4699999999999997E-2</v>
      </c>
      <c r="Z44" s="192">
        <f t="shared" si="9"/>
        <v>23.331700000000001</v>
      </c>
      <c r="AA44" s="192">
        <f t="shared" si="10"/>
        <v>23.287000000000003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0133-11</v>
      </c>
      <c r="AE44" s="80" t="str">
        <f t="shared" si="12"/>
        <v>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 &amp; aws s3 cp s3://rtdc.mdm.uploadarchive.raw/RTDC4006/ "%USERPROFILE%\AppData\Local\Temp\OnboardLogs"\RTDC4006\2017-05-12 --exclude "*" --recursive --include "*20170512*" &amp; "%USERPROFILE%\Documents\GitHub\mrs-test-scripts\Headless Mode &amp; Sideloading\WalkAndUnGZ.bat" "%USERPROFILE%\AppData\Local\Temp\OnboardLogs"\RTDC4006\2017-05-12</v>
      </c>
      <c r="AF44" s="77" t="str">
        <f t="shared" si="13"/>
        <v>"C:\Program Files (x86)\AstroGrep\AstroGrep.exe" /e /r /s /spath="%USERPROFILE%\AppData\Local\Temp\OnboardLogs" /stypes="app*4006*20170511*" /stext=" 14:.+((SYSTEM_STATE.+slice.+state.+changed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133-11 --locoid 4006 --swversion DE.1.0.9.0 --startMP 204:447 --initTime 2017-05-11T07:37:53 --startdatetime 2017-05-11T07:45:56 --delay 1 --endMP 204:233317 --enddatetime 2017-05-11T08:22:14 --enforcementcount 0 &gt;&gt;C:\Users\stu\Documents\GitHub\eaglep3-reporting\EC\2017-05-11-refined-times.txt</v>
      </c>
      <c r="AI44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{"issue":{"subject":"","project_id":79,"tracker_id":40,"status_id":1,"priority_id":2,"assigned_to_id":23,"start_date":"2017-05-11","description":"","custom_fields":[{"id":1,"name":"Subdivision","value":"EC"},{"id":4,"name":"Milepost","value":"23.3317"},{"id":17,"name":"Train ID","value":"133-11"},{"id":16,"name":"Locomotive ID","value":"4006"},{"id":130,"name":"Impact","value":""},{"id":150,"name":"Time of Event (Mountain Time)","value":"08:22:14"},{"id":151,"name":"Denver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4006 --day 2017-05-11</v>
      </c>
      <c r="AN44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656</v>
      </c>
      <c r="B45" s="7">
        <v>4024</v>
      </c>
      <c r="C45" s="21" t="s">
        <v>206</v>
      </c>
      <c r="D45" s="21" t="s">
        <v>372</v>
      </c>
      <c r="E45" s="13">
        <v>42866.317974537036</v>
      </c>
      <c r="F45" s="13">
        <v>42866.333541666667</v>
      </c>
      <c r="G45" s="7">
        <v>1</v>
      </c>
      <c r="H45" s="21" t="s">
        <v>536</v>
      </c>
      <c r="I45" s="13">
        <v>42866.347511574073</v>
      </c>
      <c r="J45" s="7">
        <v>0</v>
      </c>
      <c r="K45" s="92" t="str">
        <f t="shared" ref="K45" si="23">IF(ISEVEN(B45),(B45-1)&amp;"/"&amp;B45,B45&amp;"/"&amp;(B45+1))</f>
        <v>4023/4024</v>
      </c>
      <c r="L45" s="21" t="str">
        <f>VLOOKUP(A45,'Trips&amp;Operators'!$C$1:$G$99999,5,FALSE)</f>
        <v>COOLAHAN JOHN</v>
      </c>
      <c r="M45" s="6">
        <f t="shared" ref="M45" si="24">I45-F45</f>
        <v>1.3969907406135462E-2</v>
      </c>
      <c r="N45" s="7">
        <f>24*60*SUM($M45:$M45)</f>
        <v>20.116666664835066</v>
      </c>
      <c r="O45" s="7"/>
      <c r="P45" s="7"/>
      <c r="Q45" s="22"/>
      <c r="R45" s="190"/>
      <c r="S45" s="196">
        <f t="shared" ref="S45" si="25">SUM(U45:U45)/IF(AG45="EC",12,1)</f>
        <v>1</v>
      </c>
      <c r="T45" s="190" t="str">
        <f t="shared" ref="T45" si="26">IF(ISEVEN(LEFT(AD45,4)),"Southbound","NorthBound")</f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ref="V45" si="27"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-05-11T06:37:53-0600',mode:absolute,to:'2017-05-11T09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5" s="192" t="str">
        <f t="shared" ref="W45" si="28">IF(AA45&lt;IF(AG45="EC",23,5.65),"Y","N")</f>
        <v>Y</v>
      </c>
      <c r="X45" s="192">
        <f t="shared" si="7"/>
        <v>2</v>
      </c>
      <c r="Y45" s="192">
        <f t="shared" ref="Y45" si="29">RIGHT(D45,LEN(D45)-4)/10000</f>
        <v>4.4699999999999997E-2</v>
      </c>
      <c r="Z45" s="192">
        <v>11.55</v>
      </c>
      <c r="AA45" s="192">
        <f t="shared" ref="AA45" si="30">ABS(Z45-Y45)</f>
        <v>11.5053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ref="AD45" si="31">IF(LEN(A45)=6,"0"&amp;A45,A45)</f>
        <v>0135-11</v>
      </c>
      <c r="AE45" s="80" t="str">
        <f t="shared" ref="AE45" si="32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s3://rtdc.mdm.uploadarchive.raw/RTDC4024/ "%USERPROFILE%\AppData\Local\Temp\OnboardLogs"\RTDC4024\2017-05-11 --exclude "*" --recursive --include "*20170511*" &amp; "%USERPROFILE%\Documents\GitHub\mrs-test-scripts\Headless Mode &amp; Sideloading\WalkAndUnGZ.bat" "%USERPROFILE%\AppData\Local\Temp\OnboardLogs"\RTDC4024\2017-05-11 &amp; aws s3 cp s3://rtdc.mdm.uploadarchive.raw/RTDC4024/ "%USERPROFILE%\AppData\Local\Temp\OnboardLogs"\RTDC4024\2017-05-12 --exclude "*" --recursive --include "*20170512*" &amp; "%USERPROFILE%\Documents\GitHub\mrs-test-scripts\Headless Mode &amp; Sideloading\WalkAndUnGZ.bat" "%USERPROFILE%\AppData\Local\Temp\OnboardLogs"\RTDC4024\2017-05-12</v>
      </c>
      <c r="AF45" s="77" t="str">
        <f t="shared" ref="AF45" si="33"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/stypes="app*4024*20170511*" /stext=" 14:.+((SYSTEM_STATE.+slice.+state.+changed )|(ment ac)|(multiple cpu faults)|(system.+state.+changed )|(\[timeout)|(PRM\|1\|D)|(kpr)|(kdp)|(train st.+moving)|(\|lc)|(penalty))"</v>
      </c>
      <c r="AG45" s="1" t="str">
        <f t="shared" ref="AG45" si="34">IFERROR(IF(VALUE(LEFT(AD45,2))&lt;=2,"EC",IF(OR(VALUE(LEFT(AD45,2))=8,VALUE(LEFT(AD45,2))=18),"NW","Other")),"Other")</f>
        <v>EC</v>
      </c>
      <c r="AH45" s="81" t="str">
        <f t="shared" ref="AH45" si="35">refinertdcruntimes&amp;" --tripid "&amp;A45&amp;" --locoid "&amp;B45&amp;" --swversion "&amp;C45&amp;" --startMP "&amp;D45&amp;" --initTime "&amp;TEXT(E45,"yyyy-mm-ddTHH:MM:SS")&amp;" --startdatetime "&amp;TEXT(F45,"yyyy-mm-ddTHH:MM:SS")&amp;" --delay "&amp;G45&amp;" --endMP "&amp;H45&amp;" --enddatetime "&amp;TEXT(I45,"yyyy-mm-ddTHH:MM:SS")&amp;" --enforcementcount "&amp;J45&amp;IF(outputrefinedruntimes," &gt;&gt;"&amp;RefinedRTDCRunTimesOutputFile,"")</f>
        <v>"%USERPROFILE%\Documents\GitHub\eaglep3\Utilities\RefineRTDCRunTimes.py" --tripid 135-11 --locoid 4024 --swversion DE.1.0.9.0 --startMP 204:447 --initTime 2017-05-11T07:37:53 --startdatetime 2017-05-11T08:00:18 --delay 1 --endMP 204:233317 --enddatetime 2017-05-11T08:20:25 --enforcementcount 0 &gt;&gt;C:\Users\stu\Documents\GitHub\eaglep3-reporting\EC\2017-05-11-refined-times.txt</v>
      </c>
      <c r="AI45" s="99" t="str">
        <f t="shared" ref="AI45" si="36">"echo {""issue"":{""subject"":"""&amp;R45&amp;""",""project_id"":79,""tracker_id"":40,""status_id"":"&amp;redmine_status&amp;",""priority_id"":"&amp;redmine_priority&amp;",""assigned_to_id"":"&amp;redmine_assignee&amp;",""start_date"":"""&amp;TEXT(I45,"YYYY-mm-dd")&amp;""",""description"":"""&amp;AJ45&amp;""",""custom_fields"":[{""id"":1,""name"":""Subdivision"",""value"":"""&amp;AG45&amp;"""},{""id"":4,""name"":""Milepost"",""value"":"""&amp;Z45&amp;"""},{""id"":17,""name"":""Train ID"",""value"":"""&amp;A45&amp;"""},{""id"":16,""name"":""Locomotive ID"",""value"":"""&amp;B45&amp;"""},{""id"":130,""name"":""Impact"",""value"":"""&amp;AK45&amp;"""},{""id"":150,""name"":""Time of Event (Mountain Time)"",""value"":"""&amp;TEXT(I45,"hh:mm:ss")&amp;"""},{""id"":151,""name"":""Denver Issue ID"",""value"":"""&amp;"""},{""id"":178,""name"":""Operational Impact"",""value"":"""&amp;redmine_op_impact&amp;"""},{""id"":179,""name"":""Denver Segment Assigned"",""value"":"""&amp;AL45&amp;"""}]}}"&amp;"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{"issue":{"subject":"","project_id":79,"tracker_id":40,"status_id":1,"priority_id":2,"assigned_to_id":23,"start_date":"2017-05-11","description":"","custom_fields":[{"id":1,"name":"Subdivision","value":"EC"},{"id":4,"name":"Milepost","value":"11.55"},{"id":17,"name":"Train ID","value":"135-11"},{"id":16,"name":"Locomotive ID","value":"4024"},{"id":130,"name":"Impact","value":""},{"id":150,"name":"Time of Event (Mountain Time)","value":"08:20:25"},{"id":151,"name":"Denver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ref="AM45" si="37">"start /low /b "&amp;dls3logs&amp;" --loco "&amp;B45&amp;" --day "&amp;TEXT(F45,"YYYY-MM-DD")</f>
        <v>start /low /b %USERPROFILE%\Documents\GitHub\eaglep3\Utilities\DownloadLogsFromS3.py --loco 4024 --day 2017-05-11</v>
      </c>
      <c r="AN45" s="154" t="str">
        <f t="shared" ref="AN45" si="38">"echo {""issue"":{""subject"":"""&amp;R45&amp;""",""project_id"":30,""tracker_id"":4,""status_id"":"&amp;redmine_status_wcr&amp;",""priority_id"":"&amp;redmine_priority_wcr&amp;",""assigned_to_id"":"&amp;redmine_assignee_wcr&amp;",""start_date"":"""&amp;TEXT(I45-utc_offset/24,"YYYY-mm-dd")&amp;""",""description"":"""&amp;AJ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</row>
    <row r="46" spans="1:91" s="1" customFormat="1" x14ac:dyDescent="0.25">
      <c r="A46" s="32" t="s">
        <v>658</v>
      </c>
      <c r="B46" s="7">
        <v>4054</v>
      </c>
      <c r="C46" s="21" t="s">
        <v>206</v>
      </c>
      <c r="D46" s="21" t="s">
        <v>203</v>
      </c>
      <c r="E46" s="13">
        <v>42866.337638888886</v>
      </c>
      <c r="F46" s="13">
        <v>42866.344097222223</v>
      </c>
      <c r="G46" s="7">
        <v>1</v>
      </c>
      <c r="H46" s="21" t="s">
        <v>826</v>
      </c>
      <c r="I46" s="13">
        <v>42866.363888888889</v>
      </c>
      <c r="J46" s="7">
        <v>0</v>
      </c>
      <c r="K46" s="92" t="str">
        <f t="shared" si="0"/>
        <v>4053/4054</v>
      </c>
      <c r="L46" s="21" t="str">
        <f>VLOOKUP(A46,'Trips&amp;Operators'!$C$1:$G$99999,5,FALSE)</f>
        <v>ROCHA YAOTL</v>
      </c>
      <c r="M46" s="6">
        <f t="shared" si="1"/>
        <v>1.9791666665696539E-2</v>
      </c>
      <c r="N46" s="7">
        <f>24*60*SUM($M46:$M46)</f>
        <v>28.499999998603016</v>
      </c>
      <c r="O46" s="7"/>
      <c r="P46" s="7"/>
      <c r="Q46" s="22"/>
      <c r="R46" s="190"/>
      <c r="S46" s="196">
        <f t="shared" si="3"/>
        <v>0.75</v>
      </c>
      <c r="T46" s="190" t="str">
        <f t="shared" si="4"/>
        <v>NorthBound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9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-11T07:06:12-0600',mode:absolute,to:'2017-05-11T09:44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6" s="192" t="str">
        <f t="shared" si="6"/>
        <v>Y</v>
      </c>
      <c r="X46" s="192">
        <f t="shared" si="7"/>
        <v>2</v>
      </c>
      <c r="Y46" s="192">
        <f t="shared" si="8"/>
        <v>4.5999999999999999E-2</v>
      </c>
      <c r="Z46" s="192">
        <f t="shared" si="9"/>
        <v>6.4702999999999999</v>
      </c>
      <c r="AA46" s="192">
        <f t="shared" si="10"/>
        <v>6.4242999999999997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0137-11</v>
      </c>
      <c r="AE46" s="80" t="str">
        <f t="shared" si="12"/>
        <v>aws s3 cp s3://rtdc.mdm.uploadarchive.raw/RTDC4054/ "%USERPROFILE%\AppData\Local\Temp\OnboardLogs"\RTDC4054\2017-05-11 --exclude "*" --recursive --include "*20170511*" &amp; "%USERPROFILE%\Documents\GitHub\mrs-test-scripts\Headless Mode &amp; Sideloading\WalkAndUnGZ.bat" "%USERPROFILE%\AppData\Local\Temp\OnboardLogs"\RTDC4054\2017-05-11 &amp; aws s3 cp s3://rtdc.mdm.uploadarchive.raw/RTDC4054/ "%USERPROFILE%\AppData\Local\Temp\OnboardLogs"\RTDC4054\2017-05-12 --exclude "*" --recursive --include "*20170512*" &amp; "%USERPROFILE%\Documents\GitHub\mrs-test-scripts\Headless Mode &amp; Sideloading\WalkAndUnGZ.bat" "%USERPROFILE%\AppData\Local\Temp\OnboardLogs"\RTDC4054\2017-05-12</v>
      </c>
      <c r="AF46" s="77" t="str">
        <f t="shared" si="13"/>
        <v>"C:\Program Files (x86)\AstroGrep\AstroGrep.exe" /e /r /s /spath="%USERPROFILE%\AppData\Local\Temp\OnboardLogs" /stypes="app*4054*20170511*" /stext=" 14:.+((SYSTEM_STATE.+slice.+state.+changed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137-11 --locoid 4054 --swversion DE.1.0.9.0 --startMP 204:460 --initTime 2017-05-11T08:06:12 --startdatetime 2017-05-11T08:15:30 --delay 1 --endMP 204:64703 --enddatetime 2017-05-11T08:44:00 --enforcementcount 0 &gt;&gt;C:\Users\stu\Documents\GitHub\eaglep3-reporting\EC\2017-05-11-refined-times.txt</v>
      </c>
      <c r="AI46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{"issue":{"subject":"","project_id":79,"tracker_id":40,"status_id":1,"priority_id":2,"assigned_to_id":23,"start_date":"2017-05-11","description":"","custom_fields":[{"id":1,"name":"Subdivision","value":"EC"},{"id":4,"name":"Milepost","value":"6.4703"},{"id":17,"name":"Train ID","value":"137-11"},{"id":16,"name":"Locomotive ID","value":"4054"},{"id":130,"name":"Impact","value":""},{"id":150,"name":"Time of Event (Mountain Time)","value":"08:44:00"},{"id":151,"name":"Denver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4054 --day 2017-05-11</v>
      </c>
      <c r="AN46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14:44:00"},{"id":29,"name":"Sharepoint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583</v>
      </c>
      <c r="B47" s="7">
        <v>4053</v>
      </c>
      <c r="C47" s="21" t="s">
        <v>206</v>
      </c>
      <c r="D47" s="21" t="s">
        <v>827</v>
      </c>
      <c r="E47" s="13">
        <v>42866.377233796295</v>
      </c>
      <c r="F47" s="13">
        <v>42866.378310185188</v>
      </c>
      <c r="G47" s="7">
        <v>1</v>
      </c>
      <c r="H47" s="21" t="s">
        <v>197</v>
      </c>
      <c r="I47" s="13">
        <v>42866.385057870371</v>
      </c>
      <c r="J47" s="7">
        <v>0</v>
      </c>
      <c r="K47" s="92" t="str">
        <f t="shared" si="0"/>
        <v>4053/4054</v>
      </c>
      <c r="L47" s="21" t="str">
        <f>VLOOKUP(A47,'Trips&amp;Operators'!$C$1:$G$99999,5,FALSE)</f>
        <v>ROCHA YAOTL</v>
      </c>
      <c r="M47" s="6">
        <f t="shared" si="1"/>
        <v>6.7476851836545393E-3</v>
      </c>
      <c r="N47" s="7"/>
      <c r="O47" s="7"/>
      <c r="P47" s="7">
        <f>24*60*SUM($M47:$M47)</f>
        <v>9.7166666644625366</v>
      </c>
      <c r="Q47" s="22"/>
      <c r="R47" s="190" t="s">
        <v>1045</v>
      </c>
      <c r="S47" s="196">
        <f>SUM(U47:U48)/IF(AG47="EC",12,1)</f>
        <v>0.25</v>
      </c>
      <c r="T47" s="190" t="str">
        <f t="shared" si="4"/>
        <v>Southbound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3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-11T08:03:13-0600',mode:absolute,to:'2017-05-11T10:14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7" s="192" t="str">
        <f t="shared" si="6"/>
        <v>Y</v>
      </c>
      <c r="X47" s="192">
        <f t="shared" si="7"/>
        <v>1</v>
      </c>
      <c r="Y47" s="192">
        <f t="shared" si="8"/>
        <v>3.6789999999999998</v>
      </c>
      <c r="Z47" s="192">
        <f t="shared" si="9"/>
        <v>1.52E-2</v>
      </c>
      <c r="AA47" s="192">
        <f t="shared" si="10"/>
        <v>3.6637999999999997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0138-11</v>
      </c>
      <c r="AE47" s="80" t="str">
        <f t="shared" si="12"/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AF47" s="77" t="str">
        <f t="shared" si="13"/>
        <v>"C:\Program Files (x86)\AstroGrep\AstroGrep.exe" /e /r /s /spath="%USERPROFILE%\AppData\Local\Temp\OnboardLogs" /stypes="app*4053*20170511*" /stext=" 15:.+((SYSTEM_STATE.+slice.+state.+changed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138-11 --locoid 4053 --swversion DE.1.0.9.0 --startMP 204:36790 --initTime 2017-05-11T09:03:13 --startdatetime 2017-05-11T09:04:46 --delay 1 --endMP 204:152 --enddatetime 2017-05-11T09:14:29 --enforcementcount 0 &gt;&gt;C:\Users\stu\Documents\GitHub\eaglep3-reporting\EC\2017-05-11-refined-times.txt</v>
      </c>
      <c r="AI47" s="99" t="str">
        <f t="shared" si="20"/>
        <v>echo {"issue":{"subject":"Traffic directionality was already set north, signal system does not allow mid-block turns","project_id":79,"tracker_id":40,"status_id":1,"priority_id":2,"assigned_to_id":23,"start_date":"2017-05-11","description":"","custom_fields":[{"id":1,"name":"Subdivision","value":"EC"},{"id":4,"name":"Milepost","value":"0.0152"},{"id":17,"name":"Train ID","value":"138-11"},{"id":16,"name":"Locomotive ID","value":"4053"},{"id":130,"name":"Impact","value":""},{"id":150,"name":"Time of Event (Mountain Time)","value":"09:14:29"},{"id":151,"name":"Denver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4053 --day 2017-05-11</v>
      </c>
      <c r="AN47" s="154" t="str">
        <f t="shared" si="22"/>
        <v>echo {"issue":{"subject":"Traffic directionality was already set north, signal system does not allow mid-block turns","project_id":30,"tracker_id":4,"status_id":1,"priority_id":1,"assigned_to_id":10,"start_date":"2017-05-11","description":"","custom_fields":[{"id":30,"name":"Category","value":"Issue"},{"id":3,"name":"Functional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15:14:29"},{"id":29,"name":"Sharepoint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583</v>
      </c>
      <c r="B48" s="7">
        <v>4053</v>
      </c>
      <c r="C48" s="21" t="s">
        <v>206</v>
      </c>
      <c r="D48" s="21" t="s">
        <v>828</v>
      </c>
      <c r="E48" s="13">
        <v>42866.367581018516</v>
      </c>
      <c r="F48" s="13">
        <v>42866.378310185188</v>
      </c>
      <c r="G48" s="7">
        <v>1</v>
      </c>
      <c r="H48" s="21" t="s">
        <v>829</v>
      </c>
      <c r="I48" s="13">
        <v>42866.385057870371</v>
      </c>
      <c r="J48" s="7">
        <v>0</v>
      </c>
      <c r="K48" s="92" t="str">
        <f t="shared" si="0"/>
        <v>4053/4054</v>
      </c>
      <c r="L48" s="21" t="str">
        <f>VLOOKUP(A48,'Trips&amp;Operators'!$C$1:$G$99999,5,FALSE)</f>
        <v>ROCHA YAOTL</v>
      </c>
      <c r="M48" s="6">
        <f t="shared" si="1"/>
        <v>6.7476851836545393E-3</v>
      </c>
      <c r="N48" s="7"/>
      <c r="O48" s="7"/>
      <c r="P48" s="7"/>
      <c r="Q48" s="22"/>
      <c r="R48" s="190"/>
      <c r="S48" s="196"/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0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-11T07:49:19-0600',mode:absolute,to:'2017-05-11T10:14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8" s="192" t="str">
        <f t="shared" si="6"/>
        <v>Y</v>
      </c>
      <c r="X48" s="192">
        <f t="shared" si="7"/>
        <v>0</v>
      </c>
      <c r="Y48" s="192">
        <f t="shared" si="8"/>
        <v>6.4372999999999996</v>
      </c>
      <c r="Z48" s="192">
        <f t="shared" si="9"/>
        <v>6.3856000000000002</v>
      </c>
      <c r="AA48" s="192">
        <f t="shared" si="10"/>
        <v>5.1699999999999413E-2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0138-11</v>
      </c>
      <c r="AE48" s="80" t="str">
        <f t="shared" si="12"/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AF48" s="77" t="str">
        <f t="shared" si="13"/>
        <v>"C:\Program Files (x86)\AstroGrep\AstroGrep.exe" /e /r /s /spath="%USERPROFILE%\AppData\Local\Temp\OnboardLogs" /stypes="app*4053*20170511*"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138-11 --locoid 4053 --swversion DE.1.0.9.0 --startMP 204:64373 --initTime 2017-05-11T08:49:19 --startdatetime 2017-05-11T09:04:46 --delay 1 --endMP 204:63856 --enddatetime 2017-05-11T09:14:29 --enforcementcount 0 &gt;&gt;C:\Users\stu\Documents\GitHub\eaglep3-reporting\EC\2017-05-11-refined-times.txt</v>
      </c>
      <c r="AI48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{"issue":{"subject":"","project_id":79,"tracker_id":40,"status_id":1,"priority_id":2,"assigned_to_id":23,"start_date":"2017-05-11","description":"","custom_fields":[{"id":1,"name":"Subdivision","value":"EC"},{"id":4,"name":"Milepost","value":"6.3856"},{"id":17,"name":"Train ID","value":"138-11"},{"id":16,"name":"Locomotive ID","value":"4053"},{"id":130,"name":"Impact","value":""},{"id":150,"name":"Time of Event (Mountain Time)","value":"09:14:29"},{"id":151,"name":"Denver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4053 --day 2017-05-11</v>
      </c>
      <c r="AN48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15:14:29"},{"id":29,"name":"Sharepoint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660</v>
      </c>
      <c r="B49" s="7">
        <v>4042</v>
      </c>
      <c r="C49" s="21" t="s">
        <v>206</v>
      </c>
      <c r="D49" s="21" t="s">
        <v>203</v>
      </c>
      <c r="E49" s="13">
        <v>42866.347743055558</v>
      </c>
      <c r="F49" s="13">
        <v>42866.361597222225</v>
      </c>
      <c r="G49" s="7">
        <v>1</v>
      </c>
      <c r="H49" s="21" t="s">
        <v>830</v>
      </c>
      <c r="I49" s="13">
        <v>42866.377812500003</v>
      </c>
      <c r="J49" s="7">
        <v>0</v>
      </c>
      <c r="K49" s="92" t="str">
        <f t="shared" si="0"/>
        <v>4041/4042</v>
      </c>
      <c r="L49" s="21" t="str">
        <f>VLOOKUP(A49,'Trips&amp;Operators'!$C$1:$G$99999,5,FALSE)</f>
        <v>YORK EDGAR</v>
      </c>
      <c r="M49" s="6">
        <f t="shared" si="1"/>
        <v>1.6215277777519077E-2</v>
      </c>
      <c r="N49" s="7">
        <f>24*60*SUM($M49:$M49)</f>
        <v>23.349999999627471</v>
      </c>
      <c r="O49" s="7"/>
      <c r="P49" s="7"/>
      <c r="Q49" s="22"/>
      <c r="R49" s="190"/>
      <c r="S49" s="196"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9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-11T07:20:45-0600',mode:absolute,to:'2017-05-11T10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192" t="str">
        <f t="shared" si="6"/>
        <v>Y</v>
      </c>
      <c r="X49" s="192">
        <f t="shared" ref="X49:X112" si="39">VALUE(LEFT(AD49,4))-VALUE(LEFT(AD48,4))</f>
        <v>1</v>
      </c>
      <c r="Y49" s="192">
        <f t="shared" si="8"/>
        <v>4.5999999999999999E-2</v>
      </c>
      <c r="Z49" s="192">
        <f t="shared" si="9"/>
        <v>6.4710000000000001</v>
      </c>
      <c r="AA49" s="192">
        <f t="shared" si="10"/>
        <v>6.4249999999999998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0139-11</v>
      </c>
      <c r="AE49" s="80" t="str">
        <f t="shared" si="12"/>
        <v>aws s3 cp s3://rtdc.mdm.uploadarchive.raw/RTDC4042/ "%USERPROFILE%\AppData\Local\Temp\OnboardLogs"\RTDC4042\2017-05-11 --exclude "*" --recursive --include "*20170511*" &amp; "%USERPROFILE%\Documents\GitHub\mrs-test-scripts\Headless Mode &amp; Sideloading\WalkAndUnGZ.bat" "%USERPROFILE%\AppData\Local\Temp\OnboardLogs"\RTDC4042\2017-05-11 &amp; 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</v>
      </c>
      <c r="AF49" s="77" t="str">
        <f t="shared" si="13"/>
        <v>"C:\Program Files (x86)\AstroGrep\AstroGrep.exe" /e /r /s /spath="%USERPROFILE%\AppData\Local\Temp\OnboardLogs" /stypes="app*4042*20170511*" /stext=" 15:.+((SYSTEM_STATE.+slice.+state.+changed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139-11 --locoid 4042 --swversion DE.1.0.9.0 --startMP 204:460 --initTime 2017-05-11T08:20:45 --startdatetime 2017-05-11T08:40:42 --delay 1 --endMP 204:64710 --enddatetime 2017-05-11T09:04:03 --enforcementcount 0 &gt;&gt;C:\Users\stu\Documents\GitHub\eaglep3-reporting\EC\2017-05-11-refined-times.txt</v>
      </c>
      <c r="AI49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{"issue":{"subject":"","project_id":79,"tracker_id":40,"status_id":1,"priority_id":2,"assigned_to_id":23,"start_date":"2017-05-11","description":"","custom_fields":[{"id":1,"name":"Subdivision","value":"EC"},{"id":4,"name":"Milepost","value":"6.471"},{"id":17,"name":"Train ID","value":"139-11"},{"id":16,"name":"Locomotive ID","value":"4042"},{"id":130,"name":"Impact","value":""},{"id":150,"name":"Time of Event (Mountain Time)","value":"09:04:03"},{"id":151,"name":"Denver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4042 --day 2017-05-11</v>
      </c>
      <c r="AN49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15:04:03"},{"id":29,"name":"Sharepoint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665</v>
      </c>
      <c r="B50" s="7">
        <v>4041</v>
      </c>
      <c r="C50" s="21" t="s">
        <v>206</v>
      </c>
      <c r="D50" s="21" t="s">
        <v>831</v>
      </c>
      <c r="E50" s="13">
        <v>42866.393472222226</v>
      </c>
      <c r="F50" s="13">
        <v>42866.39435185185</v>
      </c>
      <c r="G50" s="7">
        <v>0</v>
      </c>
      <c r="H50" s="21" t="s">
        <v>353</v>
      </c>
      <c r="I50" s="13">
        <v>42866.398229166669</v>
      </c>
      <c r="J50" s="7">
        <v>0</v>
      </c>
      <c r="K50" s="92" t="str">
        <f t="shared" si="0"/>
        <v>4041/4042</v>
      </c>
      <c r="L50" s="21" t="str">
        <f>VLOOKUP(A50,'Trips&amp;Operators'!$C$1:$G$99999,5,FALSE)</f>
        <v>YORK EDGAR</v>
      </c>
      <c r="M50" s="6">
        <f t="shared" si="1"/>
        <v>3.8773148189648055E-3</v>
      </c>
      <c r="N50" s="7"/>
      <c r="O50" s="7"/>
      <c r="P50" s="7">
        <f>24*60*SUM($M50:$M50)</f>
        <v>5.5833333393093199</v>
      </c>
      <c r="Q50" s="22"/>
      <c r="R50" s="190" t="s">
        <v>1045</v>
      </c>
      <c r="S50" s="196">
        <f>SUM(U50:U51)/IF(AG50="EC",12,1)</f>
        <v>0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-11T08:26:36-0600',mode:absolute,to:'2017-05-11T10:33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192" t="str">
        <f t="shared" si="6"/>
        <v>Y</v>
      </c>
      <c r="X50" s="192">
        <f t="shared" si="39"/>
        <v>1</v>
      </c>
      <c r="Y50" s="192">
        <f t="shared" si="8"/>
        <v>1.8754</v>
      </c>
      <c r="Z50" s="192">
        <f t="shared" si="9"/>
        <v>1.4500000000000001E-2</v>
      </c>
      <c r="AA50" s="192">
        <f t="shared" si="10"/>
        <v>1.8609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0140-11</v>
      </c>
      <c r="AE50" s="80" t="str">
        <f t="shared" si="12"/>
        <v>aws s3 cp s3://rtdc.mdm.uploadarchive.raw/RTDC4041/ "%USERPROFILE%\AppData\Local\Temp\OnboardLogs"\RTDC4041\2017-05-11 --exclude "*" --recursive --include "*20170511*" &amp; "%USERPROFILE%\Documents\GitHub\mrs-test-scripts\Headless Mode &amp; Sideloading\WalkAndUnGZ.bat" "%USERPROFILE%\AppData\Local\Temp\OnboardLogs"\RTDC4041\2017-05-11 &amp; aws s3 cp s3://rtdc.mdm.uploadarchive.raw/RTDC4041/ "%USERPROFILE%\AppData\Local\Temp\OnboardLogs"\RTDC4041\2017-05-12 --exclude "*" --recursive --include "*20170512*" &amp; "%USERPROFILE%\Documents\GitHub\mrs-test-scripts\Headless Mode &amp; Sideloading\WalkAndUnGZ.bat" "%USERPROFILE%\AppData\Local\Temp\OnboardLogs"\RTDC4041\2017-05-12</v>
      </c>
      <c r="AF50" s="77" t="str">
        <f t="shared" si="13"/>
        <v>"C:\Program Files (x86)\AstroGrep\AstroGrep.exe" /e /r /s /spath="%USERPROFILE%\AppData\Local\Temp\OnboardLogs" /stypes="app*4041*20170511*"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140-11 --locoid 4041 --swversion DE.1.0.9.0 --startMP 204:18754 --initTime 2017-05-11T09:26:36 --startdatetime 2017-05-11T09:27:52 --delay 0 --endMP 204:145 --enddatetime 2017-05-11T09:33:27 --enforcementcount 0 &gt;&gt;C:\Users\stu\Documents\GitHub\eaglep3-reporting\EC\2017-05-11-refined-times.txt</v>
      </c>
      <c r="AI50" s="99" t="str">
        <f t="shared" si="20"/>
        <v>echo {"issue":{"subject":"Traffic directionality was already set north, signal system does not allow mid-block turns","project_id":79,"tracker_id":40,"status_id":1,"priority_id":2,"assigned_to_id":23,"start_date":"2017-05-11","description":"","custom_fields":[{"id":1,"name":"Subdivision","value":"EC"},{"id":4,"name":"Milepost","value":"0.0145"},{"id":17,"name":"Train ID","value":"140-11"},{"id":16,"name":"Locomotive ID","value":"4041"},{"id":130,"name":"Impact","value":""},{"id":150,"name":"Time of Event (Mountain Time)","value":"09:33:27"},{"id":151,"name":"Denver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4041 --day 2017-05-11</v>
      </c>
      <c r="AN50" s="154" t="str">
        <f t="shared" si="22"/>
        <v>echo {"issue":{"subject":"Traffic directionality was already set north, signal system does not allow mid-block turns","project_id":30,"tracker_id":4,"status_id":1,"priority_id":1,"assigned_to_id":10,"start_date":"2017-05-11","description":"","custom_fields":[{"id":30,"name":"Category","value":"Issue"},{"id":3,"name":"Functional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15:33:27"},{"id":29,"name":"Sharepoint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665</v>
      </c>
      <c r="B51" s="7">
        <v>4041</v>
      </c>
      <c r="C51" s="21" t="s">
        <v>206</v>
      </c>
      <c r="D51" s="21" t="s">
        <v>832</v>
      </c>
      <c r="E51" s="13">
        <v>42866.379803240743</v>
      </c>
      <c r="F51" s="13">
        <v>42866.39435185185</v>
      </c>
      <c r="G51" s="7">
        <v>1</v>
      </c>
      <c r="H51" s="21" t="s">
        <v>833</v>
      </c>
      <c r="I51" s="13">
        <v>42866.398229166669</v>
      </c>
      <c r="J51" s="7">
        <v>0</v>
      </c>
      <c r="K51" s="92" t="str">
        <f t="shared" si="0"/>
        <v>4041/4042</v>
      </c>
      <c r="L51" s="21" t="str">
        <f>VLOOKUP(A51,'Trips&amp;Operators'!$C$1:$G$99999,5,FALSE)</f>
        <v>YORK EDGAR</v>
      </c>
      <c r="M51" s="6">
        <f t="shared" si="1"/>
        <v>3.8773148189648055E-3</v>
      </c>
      <c r="N51" s="7"/>
      <c r="O51" s="7"/>
      <c r="P51" s="7"/>
      <c r="Q51" s="22"/>
      <c r="R51" s="190"/>
      <c r="S51" s="196"/>
      <c r="T51" s="190" t="str">
        <f t="shared" si="4"/>
        <v>Southbound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0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-11T08:06:55-0600',mode:absolute,to:'2017-05-11T10:33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1" s="192" t="str">
        <f t="shared" si="6"/>
        <v>Y</v>
      </c>
      <c r="X51" s="192">
        <f t="shared" si="39"/>
        <v>0</v>
      </c>
      <c r="Y51" s="192">
        <f t="shared" si="8"/>
        <v>6.4381000000000004</v>
      </c>
      <c r="Z51" s="192">
        <f t="shared" si="9"/>
        <v>6.4124999999999996</v>
      </c>
      <c r="AA51" s="192">
        <f t="shared" si="10"/>
        <v>2.5600000000000733E-2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0140-11</v>
      </c>
      <c r="AE51" s="80" t="str">
        <f t="shared" si="12"/>
        <v>aws s3 cp s3://rtdc.mdm.uploadarchive.raw/RTDC4041/ "%USERPROFILE%\AppData\Local\Temp\OnboardLogs"\RTDC4041\2017-05-11 --exclude "*" --recursive --include "*20170511*" &amp; "%USERPROFILE%\Documents\GitHub\mrs-test-scripts\Headless Mode &amp; Sideloading\WalkAndUnGZ.bat" "%USERPROFILE%\AppData\Local\Temp\OnboardLogs"\RTDC4041\2017-05-11 &amp; aws s3 cp s3://rtdc.mdm.uploadarchive.raw/RTDC4041/ "%USERPROFILE%\AppData\Local\Temp\OnboardLogs"\RTDC4041\2017-05-12 --exclude "*" --recursive --include "*20170512*" &amp; "%USERPROFILE%\Documents\GitHub\mrs-test-scripts\Headless Mode &amp; Sideloading\WalkAndUnGZ.bat" "%USERPROFILE%\AppData\Local\Temp\OnboardLogs"\RTDC4041\2017-05-12</v>
      </c>
      <c r="AF51" s="77" t="str">
        <f t="shared" si="13"/>
        <v>"C:\Program Files (x86)\AstroGrep\AstroGrep.exe" /e /r /s /spath="%USERPROFILE%\AppData\Local\Temp\OnboardLogs" /stypes="app*4041*20170511*"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140-11 --locoid 4041 --swversion DE.1.0.9.0 --startMP 204:64381 --initTime 2017-05-11T09:06:55 --startdatetime 2017-05-11T09:27:52 --delay 1 --endMP 204:64125 --enddatetime 2017-05-11T09:33:27 --enforcementcount 0 &gt;&gt;C:\Users\stu\Documents\GitHub\eaglep3-reporting\EC\2017-05-11-refined-times.txt</v>
      </c>
      <c r="AI51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{"issue":{"subject":"","project_id":79,"tracker_id":40,"status_id":1,"priority_id":2,"assigned_to_id":23,"start_date":"2017-05-11","description":"","custom_fields":[{"id":1,"name":"Subdivision","value":"EC"},{"id":4,"name":"Milepost","value":"6.4125"},{"id":17,"name":"Train ID","value":"140-11"},{"id":16,"name":"Locomotive ID","value":"4041"},{"id":130,"name":"Impact","value":""},{"id":150,"name":"Time of Event (Mountain Time)","value":"09:33:27"},{"id":151,"name":"Denver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4041 --day 2017-05-11</v>
      </c>
      <c r="AN51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15:33:27"},{"id":29,"name":"Sharepoint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664</v>
      </c>
      <c r="B52" s="7">
        <v>4016</v>
      </c>
      <c r="C52" s="21" t="s">
        <v>206</v>
      </c>
      <c r="D52" s="21" t="s">
        <v>363</v>
      </c>
      <c r="E52" s="13">
        <v>42866.364560185182</v>
      </c>
      <c r="F52" s="13">
        <v>42866.37</v>
      </c>
      <c r="G52" s="7">
        <v>1</v>
      </c>
      <c r="H52" s="21" t="s">
        <v>834</v>
      </c>
      <c r="I52" s="13">
        <v>42866.391516203701</v>
      </c>
      <c r="J52" s="7">
        <v>0</v>
      </c>
      <c r="K52" s="92" t="str">
        <f t="shared" si="0"/>
        <v>4015/4016</v>
      </c>
      <c r="L52" s="21" t="str">
        <f>VLOOKUP(A52,'Trips&amp;Operators'!$C$1:$G$99999,5,FALSE)</f>
        <v>BADERTSCHER DIANE</v>
      </c>
      <c r="M52" s="6">
        <f t="shared" si="1"/>
        <v>2.1516203698411118E-2</v>
      </c>
      <c r="N52" s="7">
        <f>24*60*SUM($M52:$M52)</f>
        <v>30.98333332571201</v>
      </c>
      <c r="O52" s="7"/>
      <c r="P52" s="7"/>
      <c r="Q52" s="22"/>
      <c r="R52" s="190"/>
      <c r="S52" s="196">
        <v>1</v>
      </c>
      <c r="T52" s="190" t="str">
        <f t="shared" si="4"/>
        <v>NorthBound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9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-11T07:44:58-0600',mode:absolute,to:'2017-05-11T10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2" s="192" t="str">
        <f t="shared" si="6"/>
        <v>Y</v>
      </c>
      <c r="X52" s="192">
        <f t="shared" si="39"/>
        <v>1</v>
      </c>
      <c r="Y52" s="192">
        <f t="shared" si="8"/>
        <v>4.5100000000000001E-2</v>
      </c>
      <c r="Z52" s="192">
        <f t="shared" si="9"/>
        <v>6.4592000000000001</v>
      </c>
      <c r="AA52" s="192">
        <f t="shared" si="10"/>
        <v>6.4141000000000004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0141-11</v>
      </c>
      <c r="AE52" s="80" t="str">
        <f t="shared" si="12"/>
        <v>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 &amp; 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</v>
      </c>
      <c r="AF52" s="77" t="str">
        <f t="shared" si="13"/>
        <v>"C:\Program Files (x86)\AstroGrep\AstroGrep.exe" /e /r /s /spath="%USERPROFILE%\AppData\Local\Temp\OnboardLogs" /stypes="app*4016*20170511*" /stext=" 15:.+((SYSTEM_STATE.+slice.+state.+changed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141-11 --locoid 4016 --swversion DE.1.0.9.0 --startMP 204:451 --initTime 2017-05-11T08:44:58 --startdatetime 2017-05-11T08:52:48 --delay 1 --endMP 204:64592 --enddatetime 2017-05-11T09:23:47 --enforcementcount 0 &gt;&gt;C:\Users\stu\Documents\GitHub\eaglep3-reporting\EC\2017-05-11-refined-times.txt</v>
      </c>
      <c r="AI52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{"issue":{"subject":"","project_id":79,"tracker_id":40,"status_id":1,"priority_id":2,"assigned_to_id":23,"start_date":"2017-05-11","description":"","custom_fields":[{"id":1,"name":"Subdivision","value":"EC"},{"id":4,"name":"Milepost","value":"6.4592"},{"id":17,"name":"Train ID","value":"141-11"},{"id":16,"name":"Locomotive ID","value":"4016"},{"id":130,"name":"Impact","value":""},{"id":150,"name":"Time of Event (Mountain Time)","value":"09:23:47"},{"id":151,"name":"Denver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4016 --day 2017-05-11</v>
      </c>
      <c r="AN52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15:23:47"},{"id":29,"name":"Sharepoint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670</v>
      </c>
      <c r="B53" s="7">
        <v>4015</v>
      </c>
      <c r="C53" s="21" t="s">
        <v>206</v>
      </c>
      <c r="D53" s="21" t="s">
        <v>835</v>
      </c>
      <c r="E53" s="13">
        <v>42866.407129629632</v>
      </c>
      <c r="F53" s="13">
        <v>42866.408530092594</v>
      </c>
      <c r="G53" s="7">
        <v>1</v>
      </c>
      <c r="H53" s="21" t="s">
        <v>354</v>
      </c>
      <c r="I53" s="13">
        <v>42866.416458333333</v>
      </c>
      <c r="J53" s="7">
        <v>0</v>
      </c>
      <c r="K53" s="92" t="str">
        <f t="shared" si="0"/>
        <v>4015/4016</v>
      </c>
      <c r="L53" s="21" t="str">
        <f>VLOOKUP(A53,'Trips&amp;Operators'!$C$1:$G$99999,5,FALSE)</f>
        <v>BADERTSCHER DIANE</v>
      </c>
      <c r="M53" s="6">
        <f t="shared" si="1"/>
        <v>7.9282407386926934E-3</v>
      </c>
      <c r="N53" s="7"/>
      <c r="O53" s="7"/>
      <c r="P53" s="7">
        <f>24*60*SUM($M53:$M53)</f>
        <v>11.416666663717479</v>
      </c>
      <c r="Q53" s="22"/>
      <c r="R53" s="190" t="s">
        <v>1045</v>
      </c>
      <c r="S53" s="196">
        <f>SUM(U53:U53)/IF(AG53="EC",12,1)</f>
        <v>0.25</v>
      </c>
      <c r="T53" s="190" t="str">
        <f t="shared" si="4"/>
        <v>Southbound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3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-11T08:46:16-0600',mode:absolute,to:'2017-05-11T10:59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3" s="192" t="str">
        <f t="shared" si="6"/>
        <v>Y</v>
      </c>
      <c r="X53" s="192">
        <f t="shared" si="39"/>
        <v>1</v>
      </c>
      <c r="Y53" s="192">
        <f t="shared" si="8"/>
        <v>3.6831999999999998</v>
      </c>
      <c r="Z53" s="192">
        <f t="shared" si="9"/>
        <v>1.6E-2</v>
      </c>
      <c r="AA53" s="192">
        <f t="shared" si="10"/>
        <v>3.6671999999999998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0142-11</v>
      </c>
      <c r="AE53" s="80" t="str">
        <f t="shared" si="12"/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AF53" s="77" t="str">
        <f t="shared" si="13"/>
        <v>"C:\Program Files (x86)\AstroGrep\AstroGrep.exe" /e /r /s /spath="%USERPROFILE%\AppData\Local\Temp\OnboardLogs" /stypes="app*4015*20170511*"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142-11 --locoid 4015 --swversion DE.1.0.9.0 --startMP 204:36832 --initTime 2017-05-11T09:46:16 --startdatetime 2017-05-11T09:48:17 --delay 1 --endMP 204:160 --enddatetime 2017-05-11T09:59:42 --enforcementcount 0 &gt;&gt;C:\Users\stu\Documents\GitHub\eaglep3-reporting\EC\2017-05-11-refined-times.txt</v>
      </c>
      <c r="AI53" s="99" t="str">
        <f t="shared" si="20"/>
        <v>echo {"issue":{"subject":"Traffic directionality was already set north, signal system does not allow mid-block turns","project_id":79,"tracker_id":40,"status_id":1,"priority_id":2,"assigned_to_id":23,"start_date":"2017-05-11","description":"","custom_fields":[{"id":1,"name":"Subdivision","value":"EC"},{"id":4,"name":"Milepost","value":"0.016"},{"id":17,"name":"Train ID","value":"142-11"},{"id":16,"name":"Locomotive ID","value":"4015"},{"id":130,"name":"Impact","value":""},{"id":150,"name":"Time of Event (Mountain Time)","value":"09:59:42"},{"id":151,"name":"Denver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4015 --day 2017-05-11</v>
      </c>
      <c r="AN53" s="154" t="str">
        <f t="shared" si="22"/>
        <v>echo {"issue":{"subject":"Traffic directionality was already set north, signal system does not allow mid-block turns","project_id":30,"tracker_id":4,"status_id":1,"priority_id":1,"assigned_to_id":10,"start_date":"2017-05-11","description":"","custom_fields":[{"id":30,"name":"Category","value":"Issue"},{"id":3,"name":"Functional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15:59:42"},{"id":29,"name":"Sharepoint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672</v>
      </c>
      <c r="B54" s="7">
        <v>4053</v>
      </c>
      <c r="C54" s="21" t="s">
        <v>206</v>
      </c>
      <c r="D54" s="21" t="s">
        <v>836</v>
      </c>
      <c r="E54" s="13">
        <v>42866.424884259257</v>
      </c>
      <c r="F54" s="13">
        <v>42866.426377314812</v>
      </c>
      <c r="G54" s="7">
        <v>1</v>
      </c>
      <c r="H54" s="21" t="s">
        <v>353</v>
      </c>
      <c r="I54" s="13">
        <v>42866.433854166666</v>
      </c>
      <c r="J54" s="7">
        <v>0</v>
      </c>
      <c r="K54" s="92" t="str">
        <f t="shared" si="0"/>
        <v>4053/4054</v>
      </c>
      <c r="L54" s="21" t="str">
        <f>VLOOKUP(A54,'Trips&amp;Operators'!$C$1:$G$99999,5,FALSE)</f>
        <v>ROCHA YAOTL</v>
      </c>
      <c r="M54" s="6">
        <f t="shared" si="1"/>
        <v>7.4768518534256145E-3</v>
      </c>
      <c r="N54" s="7"/>
      <c r="O54" s="7"/>
      <c r="P54" s="7">
        <f>24*60*SUM($M54:$M54)</f>
        <v>10.766666668932885</v>
      </c>
      <c r="Q54" s="22"/>
      <c r="R54" s="190" t="s">
        <v>1045</v>
      </c>
      <c r="S54" s="196">
        <f>SUM(U54:U54)/IF(AG54="EC",12,1)</f>
        <v>0.25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3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-11T09:11:50-0600',mode:absolute,to:'2017-05-11T11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192" t="str">
        <f t="shared" si="6"/>
        <v>Y</v>
      </c>
      <c r="X54" s="192">
        <f t="shared" si="39"/>
        <v>2</v>
      </c>
      <c r="Y54" s="192">
        <f t="shared" si="8"/>
        <v>3.6806999999999999</v>
      </c>
      <c r="Z54" s="192">
        <f t="shared" si="9"/>
        <v>1.4500000000000001E-2</v>
      </c>
      <c r="AA54" s="192">
        <f t="shared" si="10"/>
        <v>3.6661999999999999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0144-11</v>
      </c>
      <c r="AE54" s="80" t="str">
        <f t="shared" si="12"/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AF54" s="77" t="str">
        <f t="shared" si="13"/>
        <v>"C:\Program Files (x86)\AstroGrep\AstroGrep.exe" /e /r /s /spath="%USERPROFILE%\AppData\Local\Temp\OnboardLogs" /stypes="app*4053*20170511*"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144-11 --locoid 4053 --swversion DE.1.0.9.0 --startMP 204:36807 --initTime 2017-05-11T10:11:50 --startdatetime 2017-05-11T10:13:59 --delay 1 --endMP 204:145 --enddatetime 2017-05-11T10:24:45 --enforcementcount 0 &gt;&gt;C:\Users\stu\Documents\GitHub\eaglep3-reporting\EC\2017-05-11-refined-times.txt</v>
      </c>
      <c r="AI54" s="99" t="str">
        <f t="shared" si="20"/>
        <v>echo {"issue":{"subject":"Traffic directionality was already set north, signal system does not allow mid-block turns","project_id":79,"tracker_id":40,"status_id":1,"priority_id":2,"assigned_to_id":23,"start_date":"2017-05-11","description":"","custom_fields":[{"id":1,"name":"Subdivision","value":"EC"},{"id":4,"name":"Milepost","value":"0.0145"},{"id":17,"name":"Train ID","value":"144-11"},{"id":16,"name":"Locomotive ID","value":"4053"},{"id":130,"name":"Impact","value":""},{"id":150,"name":"Time of Event (Mountain Time)","value":"10:24:45"},{"id":151,"name":"Denver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4053 --day 2017-05-11</v>
      </c>
      <c r="AN54" s="154" t="str">
        <f t="shared" si="22"/>
        <v>echo {"issue":{"subject":"Traffic directionality was already set north, signal system does not allow mid-block turns","project_id":30,"tracker_id":4,"status_id":1,"priority_id":1,"assigned_to_id":10,"start_date":"2017-05-11","description":"","custom_fields":[{"id":30,"name":"Category","value":"Issue"},{"id":3,"name":"Functional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16:24:45"},{"id":29,"name":"Sharepoint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678</v>
      </c>
      <c r="B55" s="7">
        <v>4015</v>
      </c>
      <c r="C55" s="21" t="s">
        <v>206</v>
      </c>
      <c r="D55" s="21" t="s">
        <v>837</v>
      </c>
      <c r="E55" s="13">
        <v>42866.44258101852</v>
      </c>
      <c r="F55" s="13">
        <v>42866.444594907407</v>
      </c>
      <c r="G55" s="7">
        <v>2</v>
      </c>
      <c r="H55" s="21" t="s">
        <v>359</v>
      </c>
      <c r="I55" s="13">
        <v>42866.457546296297</v>
      </c>
      <c r="J55" s="7">
        <v>0</v>
      </c>
      <c r="K55" s="92" t="str">
        <f t="shared" si="0"/>
        <v>4015/4016</v>
      </c>
      <c r="L55" s="21" t="str">
        <f>VLOOKUP(A55,'Trips&amp;Operators'!$C$1:$G$99999,5,FALSE)</f>
        <v>MACDONALD THOMAS</v>
      </c>
      <c r="M55" s="6">
        <f t="shared" si="1"/>
        <v>1.2951388889632653E-2</v>
      </c>
      <c r="N55" s="7">
        <f t="shared" ref="N55:N62" si="40">24*60*SUM($M55:$M55)</f>
        <v>18.650000001071021</v>
      </c>
      <c r="O55" s="7"/>
      <c r="P55" s="7"/>
      <c r="Q55" s="22"/>
      <c r="R55" s="190"/>
      <c r="S55" s="196">
        <v>1</v>
      </c>
      <c r="T55" s="190" t="str">
        <f t="shared" si="4"/>
        <v>Southbound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9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-11T09:37:19-0600',mode:absolute,to:'2017-05-11T11:58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5" s="192" t="str">
        <f t="shared" si="6"/>
        <v>Y</v>
      </c>
      <c r="X55" s="192">
        <f t="shared" si="39"/>
        <v>2</v>
      </c>
      <c r="Y55" s="192">
        <f t="shared" si="8"/>
        <v>6.9577</v>
      </c>
      <c r="Z55" s="192">
        <f t="shared" si="9"/>
        <v>1.49E-2</v>
      </c>
      <c r="AA55" s="192">
        <f t="shared" si="10"/>
        <v>6.9428000000000001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0146-11</v>
      </c>
      <c r="AE55" s="80" t="str">
        <f t="shared" si="12"/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AF55" s="77" t="str">
        <f t="shared" si="13"/>
        <v>"C:\Program Files (x86)\AstroGrep\AstroGrep.exe" /e /r /s /spath="%USERPROFILE%\AppData\Local\Temp\OnboardLogs" /stypes="app*4015*20170511*" /stext=" 16:.+((SYSTEM_STATE.+slice.+state.+changed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146-11 --locoid 4015 --swversion DE.1.0.9.0 --startMP 204:69577 --initTime 2017-05-11T10:37:19 --startdatetime 2017-05-11T10:40:13 --delay 2 --endMP 204:149 --enddatetime 2017-05-11T10:58:52 --enforcementcount 0 &gt;&gt;C:\Users\stu\Documents\GitHub\eaglep3-reporting\EC\2017-05-11-refined-times.txt</v>
      </c>
      <c r="AI55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{"issue":{"subject":"","project_id":79,"tracker_id":40,"status_id":1,"priority_id":2,"assigned_to_id":23,"start_date":"2017-05-11","description":"","custom_fields":[{"id":1,"name":"Subdivision","value":"EC"},{"id":4,"name":"Milepost","value":"0.0149"},{"id":17,"name":"Train ID","value":"146-11"},{"id":16,"name":"Locomotive ID","value":"4015"},{"id":130,"name":"Impact","value":""},{"id":150,"name":"Time of Event (Mountain Time)","value":"10:58:52"},{"id":151,"name":"Denver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4015 --day 2017-05-11</v>
      </c>
      <c r="AN55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16:58:52"},{"id":29,"name":"Sharepoint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680</v>
      </c>
      <c r="B56" s="7">
        <v>4053</v>
      </c>
      <c r="C56" s="21" t="s">
        <v>206</v>
      </c>
      <c r="D56" s="21" t="s">
        <v>838</v>
      </c>
      <c r="E56" s="13">
        <v>42866.450300925928</v>
      </c>
      <c r="F56" s="13">
        <v>42866.451504629629</v>
      </c>
      <c r="G56" s="7">
        <v>1</v>
      </c>
      <c r="H56" s="21" t="s">
        <v>360</v>
      </c>
      <c r="I56" s="13">
        <v>42866.462442129632</v>
      </c>
      <c r="J56" s="7">
        <v>0</v>
      </c>
      <c r="K56" s="92" t="str">
        <f t="shared" si="0"/>
        <v>4053/4054</v>
      </c>
      <c r="L56" s="21" t="str">
        <f>VLOOKUP(A56,'Trips&amp;Operators'!$C$1:$G$99999,5,FALSE)</f>
        <v>ROCHA YAOTL</v>
      </c>
      <c r="M56" s="6">
        <f t="shared" si="1"/>
        <v>1.0937500002910383E-2</v>
      </c>
      <c r="N56" s="7">
        <f t="shared" si="40"/>
        <v>15.750000004190952</v>
      </c>
      <c r="O56" s="7"/>
      <c r="P56" s="7"/>
      <c r="Q56" s="22"/>
      <c r="R56" s="190"/>
      <c r="S56" s="196"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9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-11T09:48:26-0600',mode:absolute,to:'2017-05-11T12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192" t="str">
        <f t="shared" si="6"/>
        <v>Y</v>
      </c>
      <c r="X56" s="192">
        <f t="shared" si="39"/>
        <v>2</v>
      </c>
      <c r="Y56" s="192">
        <f t="shared" si="8"/>
        <v>6.9549000000000003</v>
      </c>
      <c r="Z56" s="192">
        <f t="shared" si="9"/>
        <v>1.43E-2</v>
      </c>
      <c r="AA56" s="192">
        <f t="shared" si="10"/>
        <v>6.9405999999999999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0148-11</v>
      </c>
      <c r="AE56" s="80" t="str">
        <f t="shared" si="12"/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AF56" s="77" t="str">
        <f t="shared" si="13"/>
        <v>"C:\Program Files (x86)\AstroGrep\AstroGrep.exe" /e /r /s /spath="%USERPROFILE%\AppData\Local\Temp\OnboardLogs" /stypes="app*4053*20170511*" /stext=" 17:.+((SYSTEM_STATE.+slice.+state.+changed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148-11 --locoid 4053 --swversion DE.1.0.9.0 --startMP 204:69549 --initTime 2017-05-11T10:48:26 --startdatetime 2017-05-11T10:50:10 --delay 1 --endMP 204:143 --enddatetime 2017-05-11T11:05:55 --enforcementcount 0 &gt;&gt;C:\Users\stu\Documents\GitHub\eaglep3-reporting\EC\2017-05-11-refined-times.txt</v>
      </c>
      <c r="AI56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{"issue":{"subject":"","project_id":79,"tracker_id":40,"status_id":1,"priority_id":2,"assigned_to_id":23,"start_date":"2017-05-11","description":"","custom_fields":[{"id":1,"name":"Subdivision","value":"EC"},{"id":4,"name":"Milepost","value":"0.0143"},{"id":17,"name":"Train ID","value":"148-11"},{"id":16,"name":"Locomotive ID","value":"4053"},{"id":130,"name":"Impact","value":""},{"id":150,"name":"Time of Event (Mountain Time)","value":"11:05:55"},{"id":151,"name":"Denver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4053 --day 2017-05-11</v>
      </c>
      <c r="AN56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17:05:55"},{"id":29,"name":"Sharepoint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682</v>
      </c>
      <c r="B57" s="7">
        <v>4041</v>
      </c>
      <c r="C57" s="21" t="s">
        <v>206</v>
      </c>
      <c r="D57" s="21" t="s">
        <v>839</v>
      </c>
      <c r="E57" s="13">
        <v>42866.459664351853</v>
      </c>
      <c r="F57" s="13">
        <v>42866.460810185185</v>
      </c>
      <c r="G57" s="7">
        <v>0</v>
      </c>
      <c r="H57" s="21" t="s">
        <v>197</v>
      </c>
      <c r="I57" s="13">
        <v>42866.471585648149</v>
      </c>
      <c r="J57" s="7">
        <v>0</v>
      </c>
      <c r="K57" s="92" t="str">
        <f t="shared" si="0"/>
        <v>4041/4042</v>
      </c>
      <c r="L57" s="21" t="str">
        <f>VLOOKUP(A57,'Trips&amp;Operators'!$C$1:$G$99999,5,FALSE)</f>
        <v>YORK EDGAR</v>
      </c>
      <c r="M57" s="6">
        <f t="shared" si="1"/>
        <v>1.0775462964375038E-2</v>
      </c>
      <c r="N57" s="7">
        <f t="shared" si="40"/>
        <v>15.516666668700054</v>
      </c>
      <c r="O57" s="7"/>
      <c r="P57" s="7"/>
      <c r="Q57" s="22"/>
      <c r="R57" s="190"/>
      <c r="S57" s="196">
        <v>1</v>
      </c>
      <c r="T57" s="190" t="str">
        <f t="shared" si="4"/>
        <v>Southbound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9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-11T10:01:55-0600',mode:absolute,to:'2017-05-11T12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7" s="192" t="str">
        <f t="shared" si="6"/>
        <v>Y</v>
      </c>
      <c r="X57" s="192">
        <f t="shared" si="39"/>
        <v>2</v>
      </c>
      <c r="Y57" s="192">
        <f t="shared" si="8"/>
        <v>7.0159000000000002</v>
      </c>
      <c r="Z57" s="192">
        <f t="shared" si="9"/>
        <v>1.52E-2</v>
      </c>
      <c r="AA57" s="192">
        <f t="shared" si="10"/>
        <v>7.0007000000000001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0150-11</v>
      </c>
      <c r="AE57" s="80" t="str">
        <f t="shared" si="12"/>
        <v>aws s3 cp s3://rtdc.mdm.uploadarchive.raw/RTDC4041/ "%USERPROFILE%\AppData\Local\Temp\OnboardLogs"\RTDC4041\2017-05-11 --exclude "*" --recursive --include "*20170511*" &amp; "%USERPROFILE%\Documents\GitHub\mrs-test-scripts\Headless Mode &amp; Sideloading\WalkAndUnGZ.bat" "%USERPROFILE%\AppData\Local\Temp\OnboardLogs"\RTDC4041\2017-05-11 &amp; aws s3 cp s3://rtdc.mdm.uploadarchive.raw/RTDC4041/ "%USERPROFILE%\AppData\Local\Temp\OnboardLogs"\RTDC4041\2017-05-12 --exclude "*" --recursive --include "*20170512*" &amp; "%USERPROFILE%\Documents\GitHub\mrs-test-scripts\Headless Mode &amp; Sideloading\WalkAndUnGZ.bat" "%USERPROFILE%\AppData\Local\Temp\OnboardLogs"\RTDC4041\2017-05-12</v>
      </c>
      <c r="AF57" s="77" t="str">
        <f t="shared" si="13"/>
        <v>"C:\Program Files (x86)\AstroGrep\AstroGrep.exe" /e /r /s /spath="%USERPROFILE%\AppData\Local\Temp\OnboardLogs" /stypes="app*4041*20170511*" /stext=" 17:.+((SYSTEM_STATE.+slice.+state.+changed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150-11 --locoid 4041 --swversion DE.1.0.9.0 --startMP 204:70159 --initTime 2017-05-11T11:01:55 --startdatetime 2017-05-11T11:03:34 --delay 0 --endMP 204:152 --enddatetime 2017-05-11T11:19:05 --enforcementcount 0 &gt;&gt;C:\Users\stu\Documents\GitHub\eaglep3-reporting\EC\2017-05-11-refined-times.txt</v>
      </c>
      <c r="AI57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{"issue":{"subject":"","project_id":79,"tracker_id":40,"status_id":1,"priority_id":2,"assigned_to_id":23,"start_date":"2017-05-11","description":"","custom_fields":[{"id":1,"name":"Subdivision","value":"EC"},{"id":4,"name":"Milepost","value":"0.0152"},{"id":17,"name":"Train ID","value":"150-11"},{"id":16,"name":"Locomotive ID","value":"4041"},{"id":130,"name":"Impact","value":""},{"id":150,"name":"Time of Event (Mountain Time)","value":"11:19:05"},{"id":151,"name":"Denver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4041 --day 2017-05-11</v>
      </c>
      <c r="AN57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17:19:05"},{"id":29,"name":"Sharepoint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667</v>
      </c>
      <c r="B58" s="7">
        <v>4054</v>
      </c>
      <c r="C58" s="21" t="s">
        <v>206</v>
      </c>
      <c r="D58" s="21" t="s">
        <v>372</v>
      </c>
      <c r="E58" s="13">
        <v>42866.386840277781</v>
      </c>
      <c r="F58" s="13">
        <v>42866.393680555557</v>
      </c>
      <c r="G58" s="7">
        <v>1</v>
      </c>
      <c r="H58" s="21" t="s">
        <v>840</v>
      </c>
      <c r="I58" s="13">
        <v>42866.407349537039</v>
      </c>
      <c r="J58" s="7">
        <v>0</v>
      </c>
      <c r="K58" s="92" t="str">
        <f t="shared" si="0"/>
        <v>4053/4054</v>
      </c>
      <c r="L58" s="21" t="str">
        <f>VLOOKUP(A58,'Trips&amp;Operators'!$C$1:$G$99999,5,FALSE)</f>
        <v>ROCHA YAOTL</v>
      </c>
      <c r="M58" s="6">
        <f t="shared" si="1"/>
        <v>1.3668981482624076E-2</v>
      </c>
      <c r="N58" s="7">
        <f t="shared" si="40"/>
        <v>19.68333333497867</v>
      </c>
      <c r="O58" s="7"/>
      <c r="P58" s="7"/>
      <c r="Q58" s="22"/>
      <c r="R58" s="190"/>
      <c r="S58" s="196">
        <v>1</v>
      </c>
      <c r="T58" s="190" t="str">
        <f t="shared" si="4"/>
        <v>NorthBound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9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-11T08:17:03-0600',mode:absolute,to:'2017-05-11T10:46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8" s="192" t="str">
        <f t="shared" si="6"/>
        <v>Y</v>
      </c>
      <c r="X58" s="192">
        <f t="shared" si="39"/>
        <v>1</v>
      </c>
      <c r="Y58" s="192">
        <f t="shared" si="8"/>
        <v>4.4699999999999997E-2</v>
      </c>
      <c r="Z58" s="192">
        <f t="shared" si="9"/>
        <v>6.4703999999999997</v>
      </c>
      <c r="AA58" s="192">
        <f t="shared" si="10"/>
        <v>6.4257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0151-11</v>
      </c>
      <c r="AE58" s="80" t="str">
        <f t="shared" si="12"/>
        <v>aws s3 cp s3://rtdc.mdm.uploadarchive.raw/RTDC4054/ "%USERPROFILE%\AppData\Local\Temp\OnboardLogs"\RTDC4054\2017-05-11 --exclude "*" --recursive --include "*20170511*" &amp; "%USERPROFILE%\Documents\GitHub\mrs-test-scripts\Headless Mode &amp; Sideloading\WalkAndUnGZ.bat" "%USERPROFILE%\AppData\Local\Temp\OnboardLogs"\RTDC4054\2017-05-11 &amp; aws s3 cp s3://rtdc.mdm.uploadarchive.raw/RTDC4054/ "%USERPROFILE%\AppData\Local\Temp\OnboardLogs"\RTDC4054\2017-05-12 --exclude "*" --recursive --include "*20170512*" &amp; "%USERPROFILE%\Documents\GitHub\mrs-test-scripts\Headless Mode &amp; Sideloading\WalkAndUnGZ.bat" "%USERPROFILE%\AppData\Local\Temp\OnboardLogs"\RTDC4054\2017-05-12</v>
      </c>
      <c r="AF58" s="77" t="str">
        <f t="shared" si="13"/>
        <v>"C:\Program Files (x86)\AstroGrep\AstroGrep.exe" /e /r /s /spath="%USERPROFILE%\AppData\Local\Temp\OnboardLogs" /stypes="app*4054*20170511*" /stext=" 15:.+((SYSTEM_STATE.+slice.+state.+changed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151-11 --locoid 4054 --swversion DE.1.0.9.0 --startMP 204:447 --initTime 2017-05-11T09:17:03 --startdatetime 2017-05-11T09:26:54 --delay 1 --endMP 204:64704 --enddatetime 2017-05-11T09:46:35 --enforcementcount 0 &gt;&gt;C:\Users\stu\Documents\GitHub\eaglep3-reporting\EC\2017-05-11-refined-times.txt</v>
      </c>
      <c r="AI58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{"issue":{"subject":"","project_id":79,"tracker_id":40,"status_id":1,"priority_id":2,"assigned_to_id":23,"start_date":"2017-05-11","description":"","custom_fields":[{"id":1,"name":"Subdivision","value":"EC"},{"id":4,"name":"Milepost","value":"6.4704"},{"id":17,"name":"Train ID","value":"151-11"},{"id":16,"name":"Locomotive ID","value":"4054"},{"id":130,"name":"Impact","value":""},{"id":150,"name":"Time of Event (Mountain Time)","value":"09:46:35"},{"id":151,"name":"Denver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4054 --day 2017-05-11</v>
      </c>
      <c r="AN58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15:46:35"},{"id":29,"name":"Sharepoint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685</v>
      </c>
      <c r="B59" s="7">
        <v>4015</v>
      </c>
      <c r="C59" s="21" t="s">
        <v>206</v>
      </c>
      <c r="D59" s="21" t="s">
        <v>841</v>
      </c>
      <c r="E59" s="13">
        <v>42866.471828703703</v>
      </c>
      <c r="F59" s="13">
        <v>42866.472997685189</v>
      </c>
      <c r="G59" s="7">
        <v>1</v>
      </c>
      <c r="H59" s="21" t="s">
        <v>198</v>
      </c>
      <c r="I59" s="13">
        <v>42866.486504629633</v>
      </c>
      <c r="J59" s="7">
        <v>0</v>
      </c>
      <c r="K59" s="92" t="str">
        <f t="shared" si="0"/>
        <v>4015/4016</v>
      </c>
      <c r="L59" s="21" t="str">
        <f>VLOOKUP(A59,'Trips&amp;Operators'!$C$1:$G$99999,5,FALSE)</f>
        <v>MACDONALD THOMAS</v>
      </c>
      <c r="M59" s="6">
        <f t="shared" si="1"/>
        <v>1.3506944444088731E-2</v>
      </c>
      <c r="N59" s="7">
        <f t="shared" si="40"/>
        <v>19.449999999487773</v>
      </c>
      <c r="O59" s="7"/>
      <c r="P59" s="7"/>
      <c r="Q59" s="22"/>
      <c r="R59" s="190"/>
      <c r="S59" s="196">
        <v>1</v>
      </c>
      <c r="T59" s="190" t="str">
        <f t="shared" si="4"/>
        <v>Southbound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9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-11T10:19:26-0600',mode:absolute,to:'2017-05-11T12:40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9" s="192" t="str">
        <f t="shared" si="6"/>
        <v>Y</v>
      </c>
      <c r="X59" s="192">
        <f t="shared" si="39"/>
        <v>1</v>
      </c>
      <c r="Y59" s="192">
        <f t="shared" si="8"/>
        <v>6.9581</v>
      </c>
      <c r="Z59" s="192">
        <f t="shared" si="9"/>
        <v>1.5800000000000002E-2</v>
      </c>
      <c r="AA59" s="192">
        <f t="shared" si="10"/>
        <v>6.9423000000000004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0152-11</v>
      </c>
      <c r="AE59" s="80" t="str">
        <f t="shared" si="12"/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AF59" s="77" t="str">
        <f t="shared" si="13"/>
        <v>"C:\Program Files (x86)\AstroGrep\AstroGrep.exe" /e /r /s /spath="%USERPROFILE%\AppData\Local\Temp\OnboardLogs" /stypes="app*4015*20170511*" /stext=" 17:.+((SYSTEM_STATE.+slice.+state.+changed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152-11 --locoid 4015 --swversion DE.1.0.9.0 --startMP 204:69581 --initTime 2017-05-11T11:19:26 --startdatetime 2017-05-11T11:21:07 --delay 1 --endMP 204:158 --enddatetime 2017-05-11T11:40:34 --enforcementcount 0 &gt;&gt;C:\Users\stu\Documents\GitHub\eaglep3-reporting\EC\2017-05-11-refined-times.txt</v>
      </c>
      <c r="AI59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{"issue":{"subject":"","project_id":79,"tracker_id":40,"status_id":1,"priority_id":2,"assigned_to_id":23,"start_date":"2017-05-11","description":"","custom_fields":[{"id":1,"name":"Subdivision","value":"EC"},{"id":4,"name":"Milepost","value":"0.0158"},{"id":17,"name":"Train ID","value":"152-11"},{"id":16,"name":"Locomotive ID","value":"4015"},{"id":130,"name":"Impact","value":""},{"id":150,"name":"Time of Event (Mountain Time)","value":"11:40:34"},{"id":151,"name":"Denver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4015 --day 2017-05-11</v>
      </c>
      <c r="AN59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17:40:34"},{"id":29,"name":"Sharepoint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668</v>
      </c>
      <c r="B60" s="7">
        <v>4042</v>
      </c>
      <c r="C60" s="21" t="s">
        <v>206</v>
      </c>
      <c r="D60" s="21" t="s">
        <v>367</v>
      </c>
      <c r="E60" s="13">
        <v>42866.39984953704</v>
      </c>
      <c r="F60" s="13">
        <v>42866.407546296294</v>
      </c>
      <c r="G60" s="7">
        <v>1</v>
      </c>
      <c r="H60" s="21" t="s">
        <v>842</v>
      </c>
      <c r="I60" s="13">
        <v>42866.424305555556</v>
      </c>
      <c r="J60" s="7">
        <v>0</v>
      </c>
      <c r="K60" s="92" t="str">
        <f t="shared" si="0"/>
        <v>4041/4042</v>
      </c>
      <c r="L60" s="21" t="str">
        <f>VLOOKUP(A60,'Trips&amp;Operators'!$C$1:$G$99999,5,FALSE)</f>
        <v>YORK EDGAR</v>
      </c>
      <c r="M60" s="6">
        <f t="shared" si="1"/>
        <v>1.675925926247146E-2</v>
      </c>
      <c r="N60" s="7">
        <f t="shared" si="40"/>
        <v>24.133333337958902</v>
      </c>
      <c r="O60" s="7"/>
      <c r="P60" s="7"/>
      <c r="Q60" s="22"/>
      <c r="R60" s="190"/>
      <c r="S60" s="196">
        <v>1</v>
      </c>
      <c r="T60" s="190" t="str">
        <f t="shared" si="4"/>
        <v>NorthBound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9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-11T08:35:47-0600',mode:absolute,to:'2017-05-11T11:11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0" s="192" t="str">
        <f t="shared" si="6"/>
        <v>Y</v>
      </c>
      <c r="X60" s="192">
        <f t="shared" si="39"/>
        <v>1</v>
      </c>
      <c r="Y60" s="192">
        <f t="shared" si="8"/>
        <v>4.6399999999999997E-2</v>
      </c>
      <c r="Z60" s="192">
        <f t="shared" si="9"/>
        <v>7.0457999999999998</v>
      </c>
      <c r="AA60" s="192">
        <f t="shared" si="10"/>
        <v>6.9993999999999996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0153-11</v>
      </c>
      <c r="AE60" s="80" t="str">
        <f t="shared" si="12"/>
        <v>aws s3 cp s3://rtdc.mdm.uploadarchive.raw/RTDC4042/ "%USERPROFILE%\AppData\Local\Temp\OnboardLogs"\RTDC4042\2017-05-11 --exclude "*" --recursive --include "*20170511*" &amp; "%USERPROFILE%\Documents\GitHub\mrs-test-scripts\Headless Mode &amp; Sideloading\WalkAndUnGZ.bat" "%USERPROFILE%\AppData\Local\Temp\OnboardLogs"\RTDC4042\2017-05-11 &amp; 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</v>
      </c>
      <c r="AF60" s="77" t="str">
        <f t="shared" si="13"/>
        <v>"C:\Program Files (x86)\AstroGrep\AstroGrep.exe" /e /r /s /spath="%USERPROFILE%\AppData\Local\Temp\OnboardLogs" /stypes="app*4042*20170511*" /stext=" 16:.+((SYSTEM_STATE.+slice.+state.+changed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153-11 --locoid 4042 --swversion DE.1.0.9.0 --startMP 204:464 --initTime 2017-05-11T09:35:47 --startdatetime 2017-05-11T09:46:52 --delay 1 --endMP 204:70458 --enddatetime 2017-05-11T10:11:00 --enforcementcount 0 &gt;&gt;C:\Users\stu\Documents\GitHub\eaglep3-reporting\EC\2017-05-11-refined-times.txt</v>
      </c>
      <c r="AI60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{"issue":{"subject":"","project_id":79,"tracker_id":40,"status_id":1,"priority_id":2,"assigned_to_id":23,"start_date":"2017-05-11","description":"","custom_fields":[{"id":1,"name":"Subdivision","value":"EC"},{"id":4,"name":"Milepost","value":"7.0458"},{"id":17,"name":"Train ID","value":"153-11"},{"id":16,"name":"Locomotive ID","value":"4042"},{"id":130,"name":"Impact","value":""},{"id":150,"name":"Time of Event (Mountain Time)","value":"10:11:00"},{"id":151,"name":"Denver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4042 --day 2017-05-11</v>
      </c>
      <c r="AN60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16:11:00"},{"id":29,"name":"Sharepoint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691</v>
      </c>
      <c r="B61" s="7">
        <v>4053</v>
      </c>
      <c r="C61" s="21" t="s">
        <v>206</v>
      </c>
      <c r="D61" s="21" t="s">
        <v>843</v>
      </c>
      <c r="E61" s="13">
        <v>42866.487800925926</v>
      </c>
      <c r="F61" s="13">
        <v>42866.489340277774</v>
      </c>
      <c r="G61" s="7">
        <v>1</v>
      </c>
      <c r="H61" s="21" t="s">
        <v>354</v>
      </c>
      <c r="I61" s="13">
        <v>42866.502488425926</v>
      </c>
      <c r="J61" s="7">
        <v>0</v>
      </c>
      <c r="K61" s="92" t="str">
        <f t="shared" si="0"/>
        <v>4053/4054</v>
      </c>
      <c r="L61" s="21" t="str">
        <f>VLOOKUP(A61,'Trips&amp;Operators'!$C$1:$G$99999,5,FALSE)</f>
        <v>THOMPSON LESTER</v>
      </c>
      <c r="M61" s="6">
        <f t="shared" si="1"/>
        <v>1.3148148151230998E-2</v>
      </c>
      <c r="N61" s="7">
        <f t="shared" si="40"/>
        <v>18.933333337772638</v>
      </c>
      <c r="O61" s="7"/>
      <c r="P61" s="7"/>
      <c r="Q61" s="22"/>
      <c r="R61" s="190"/>
      <c r="S61" s="196">
        <v>1</v>
      </c>
      <c r="T61" s="190" t="str">
        <f t="shared" si="4"/>
        <v>Southbound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9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-11T10:42:26-0600',mode:absolute,to:'2017-05-11T13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1" s="192" t="str">
        <f t="shared" si="6"/>
        <v>Y</v>
      </c>
      <c r="X61" s="192">
        <f t="shared" si="39"/>
        <v>1</v>
      </c>
      <c r="Y61" s="192">
        <f t="shared" si="8"/>
        <v>7.0225999999999997</v>
      </c>
      <c r="Z61" s="192">
        <f t="shared" si="9"/>
        <v>1.6E-2</v>
      </c>
      <c r="AA61" s="192">
        <f t="shared" si="10"/>
        <v>7.0065999999999997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0154-11</v>
      </c>
      <c r="AE61" s="80" t="str">
        <f t="shared" si="12"/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AF61" s="77" t="str">
        <f t="shared" si="13"/>
        <v>"C:\Program Files (x86)\AstroGrep\AstroGrep.exe" /e /r /s /spath="%USERPROFILE%\AppData\Local\Temp\OnboardLogs" /stypes="app*4053*20170511*" /stext=" 18:.+((SYSTEM_STATE.+slice.+state.+changed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154-11 --locoid 4053 --swversion DE.1.0.9.0 --startMP 204:70226 --initTime 2017-05-11T11:42:26 --startdatetime 2017-05-11T11:44:39 --delay 1 --endMP 204:160 --enddatetime 2017-05-11T12:03:35 --enforcementcount 0 &gt;&gt;C:\Users\stu\Documents\GitHub\eaglep3-reporting\EC\2017-05-11-refined-times.txt</v>
      </c>
      <c r="AI61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{"issue":{"subject":"","project_id":79,"tracker_id":40,"status_id":1,"priority_id":2,"assigned_to_id":23,"start_date":"2017-05-11","description":"","custom_fields":[{"id":1,"name":"Subdivision","value":"EC"},{"id":4,"name":"Milepost","value":"0.016"},{"id":17,"name":"Train ID","value":"154-11"},{"id":16,"name":"Locomotive ID","value":"4053"},{"id":130,"name":"Impact","value":""},{"id":150,"name":"Time of Event (Mountain Time)","value":"12:03:35"},{"id":151,"name":"Denver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4053 --day 2017-05-11</v>
      </c>
      <c r="AN61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671</v>
      </c>
      <c r="B62" s="7">
        <v>4016</v>
      </c>
      <c r="C62" s="21" t="s">
        <v>206</v>
      </c>
      <c r="D62" s="21" t="s">
        <v>477</v>
      </c>
      <c r="E62" s="13">
        <v>42866.420243055552</v>
      </c>
      <c r="F62" s="13">
        <v>42866.429583333331</v>
      </c>
      <c r="G62" s="7">
        <v>2</v>
      </c>
      <c r="H62" s="21" t="s">
        <v>844</v>
      </c>
      <c r="I62" s="13">
        <v>42866.44121527778</v>
      </c>
      <c r="J62" s="7">
        <v>0</v>
      </c>
      <c r="K62" s="92" t="str">
        <f t="shared" si="0"/>
        <v>4015/4016</v>
      </c>
      <c r="L62" s="21" t="str">
        <f>VLOOKUP(A62,'Trips&amp;Operators'!$C$1:$G$99999,5,FALSE)</f>
        <v>MACDONALD THOMAS</v>
      </c>
      <c r="M62" s="6">
        <f t="shared" si="1"/>
        <v>1.1631944449618459E-2</v>
      </c>
      <c r="N62" s="7">
        <f t="shared" si="40"/>
        <v>16.750000007450581</v>
      </c>
      <c r="O62" s="7"/>
      <c r="P62" s="7"/>
      <c r="Q62" s="22"/>
      <c r="R62" s="190" t="s">
        <v>1046</v>
      </c>
      <c r="S62" s="196">
        <v>1</v>
      </c>
      <c r="T62" s="190" t="str">
        <f t="shared" si="4"/>
        <v>NorthBound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9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-11T09:05:09-0600',mode:absolute,to:'2017-05-11T11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2" s="192" t="str">
        <f t="shared" si="6"/>
        <v>Y</v>
      </c>
      <c r="X62" s="192">
        <f t="shared" si="39"/>
        <v>1</v>
      </c>
      <c r="Y62" s="192">
        <f t="shared" si="8"/>
        <v>4.7100000000000003E-2</v>
      </c>
      <c r="Z62" s="192">
        <v>6.9</v>
      </c>
      <c r="AA62" s="192">
        <f t="shared" si="10"/>
        <v>6.8529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0155-11</v>
      </c>
      <c r="AE62" s="80" t="str">
        <f t="shared" si="12"/>
        <v>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 &amp; 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</v>
      </c>
      <c r="AF62" s="77" t="str">
        <f t="shared" si="13"/>
        <v>"C:\Program Files (x86)\AstroGrep\AstroGrep.exe" /e /r /s /spath="%USERPROFILE%\AppData\Local\Temp\OnboardLogs" /stypes="app*4016*20170511*" /stext=" 16:.+((SYSTEM_STATE.+slice.+state.+changed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155-11 --locoid 4016 --swversion DE.1.0.9.0 --startMP 204:471 --initTime 2017-05-11T10:05:09 --startdatetime 2017-05-11T10:18:36 --delay 2 --endMP 204:914 --enddatetime 2017-05-11T10:35:21 --enforcementcount 0 &gt;&gt;C:\Users\stu\Documents\GitHub\eaglep3-reporting\EC\2017-05-11-refined-times.txt</v>
      </c>
      <c r="AI62" s="99" t="str">
        <f t="shared" si="20"/>
        <v>echo {"issue":{"subject":"Initialized as 53-11","project_id":79,"tracker_id":40,"status_id":1,"priority_id":2,"assigned_to_id":23,"start_date":"2017-05-11","description":"","custom_fields":[{"id":1,"name":"Subdivision","value":"EC"},{"id":4,"name":"Milepost","value":"6.9"},{"id":17,"name":"Train ID","value":"155-11"},{"id":16,"name":"Locomotive ID","value":"4016"},{"id":130,"name":"Impact","value":""},{"id":150,"name":"Time of Event (Mountain Time)","value":"10:35:21"},{"id":151,"name":"Denver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4016 --day 2017-05-11</v>
      </c>
      <c r="AN62" s="154" t="str">
        <f t="shared" si="22"/>
        <v>echo {"issue":{"subject":"Initialized as 53-11","project_id":30,"tracker_id":4,"status_id":1,"priority_id":1,"assigned_to_id":10,"start_date":"2017-05-11","description":"","custom_fields":[{"id":30,"name":"Category","value":"Issue"},{"id":3,"name":"Functional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16:35:21"},{"id":29,"name":"Sharepoint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700</v>
      </c>
      <c r="B63" s="7">
        <v>4003</v>
      </c>
      <c r="C63" s="21" t="s">
        <v>206</v>
      </c>
      <c r="D63" s="21" t="s">
        <v>845</v>
      </c>
      <c r="E63" s="13">
        <v>42866.518564814818</v>
      </c>
      <c r="F63" s="13">
        <v>42866.520254629628</v>
      </c>
      <c r="G63" s="7">
        <v>1</v>
      </c>
      <c r="H63" s="21" t="s">
        <v>528</v>
      </c>
      <c r="I63" s="13">
        <v>42866.528668981482</v>
      </c>
      <c r="J63" s="7">
        <v>0</v>
      </c>
      <c r="K63" s="92" t="str">
        <f t="shared" si="0"/>
        <v>4003/4004</v>
      </c>
      <c r="L63" s="21" t="str">
        <f>VLOOKUP(A63,'Trips&amp;Operators'!$C$1:$G$99999,5,FALSE)</f>
        <v>ARVIDSON DANIEL</v>
      </c>
      <c r="M63" s="6">
        <f t="shared" si="1"/>
        <v>8.4143518542987294E-3</v>
      </c>
      <c r="N63" s="7"/>
      <c r="O63" s="7"/>
      <c r="P63" s="7">
        <f>24*60*SUM($M63:$M63)</f>
        <v>12.11666667019017</v>
      </c>
      <c r="Q63" s="22"/>
      <c r="R63" s="190" t="s">
        <v>1045</v>
      </c>
      <c r="S63" s="196">
        <f>SUM(U63:U63)/IF(AG63="EC",12,1)</f>
        <v>0.25</v>
      </c>
      <c r="T63" s="190" t="str">
        <f t="shared" si="4"/>
        <v>Southbound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3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-11T11:26:44-0600',mode:absolute,to:'2017-05-11T13:41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3" s="192" t="str">
        <f t="shared" si="6"/>
        <v>Y</v>
      </c>
      <c r="X63" s="192">
        <f t="shared" si="39"/>
        <v>3</v>
      </c>
      <c r="Y63" s="192">
        <f t="shared" si="8"/>
        <v>3.6787000000000001</v>
      </c>
      <c r="Z63" s="192">
        <f t="shared" ref="Z63:Z94" si="41">RIGHT(H63,LEN(H63)-4)/10000</f>
        <v>1.34E-2</v>
      </c>
      <c r="AA63" s="192">
        <f t="shared" si="10"/>
        <v>3.6653000000000002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0158-11</v>
      </c>
      <c r="AE63" s="80" t="str">
        <f t="shared" si="12"/>
        <v>aws s3 cp s3://rtdc.mdm.uploadarchive.raw/RTDC4003/ "%USERPROFILE%\AppData\Local\Temp\OnboardLogs"\RTDC4003\2017-05-11 --exclude "*" --recursive --include "*20170511*" &amp; "%USERPROFILE%\Documents\GitHub\mrs-test-scripts\Headless Mode &amp; Sideloading\WalkAndUnGZ.bat" "%USERPROFILE%\AppData\Local\Temp\OnboardLogs"\RTDC4003\2017-05-11 &amp; aws s3 cp s3://rtdc.mdm.uploadarchive.raw/RTDC4003/ "%USERPROFILE%\AppData\Local\Temp\OnboardLogs"\RTDC4003\2017-05-12 --exclude "*" --recursive --include "*20170512*" &amp; "%USERPROFILE%\Documents\GitHub\mrs-test-scripts\Headless Mode &amp; Sideloading\WalkAndUnGZ.bat" "%USERPROFILE%\AppData\Local\Temp\OnboardLogs"\RTDC4003\2017-05-12</v>
      </c>
      <c r="AF63" s="77" t="str">
        <f t="shared" si="13"/>
        <v>"C:\Program Files (x86)\AstroGrep\AstroGrep.exe" /e /r /s /spath="%USERPROFILE%\AppData\Local\Temp\OnboardLogs" /stypes="app*4003*20170511*" /stext=" 18:.+((SYSTEM_STATE.+slice.+state.+changed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158-11 --locoid 4003 --swversion DE.1.0.9.0 --startMP 204:36787 --initTime 2017-05-11T12:26:44 --startdatetime 2017-05-11T12:29:10 --delay 1 --endMP 204:134 --enddatetime 2017-05-11T12:41:17 --enforcementcount 0 &gt;&gt;C:\Users\stu\Documents\GitHub\eaglep3-reporting\EC\2017-05-11-refined-times.txt</v>
      </c>
      <c r="AI63" s="99" t="str">
        <f t="shared" si="20"/>
        <v>echo {"issue":{"subject":"Traffic directionality was already set north, signal system does not allow mid-block turns","project_id":79,"tracker_id":40,"status_id":1,"priority_id":2,"assigned_to_id":23,"start_date":"2017-05-11","description":"","custom_fields":[{"id":1,"name":"Subdivision","value":"EC"},{"id":4,"name":"Milepost","value":"0.0134"},{"id":17,"name":"Train ID","value":"158-11"},{"id":16,"name":"Locomotive ID","value":"4003"},{"id":130,"name":"Impact","value":""},{"id":150,"name":"Time of Event (Mountain Time)","value":"12:41:17"},{"id":151,"name":"Denver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4003 --day 2017-05-11</v>
      </c>
      <c r="AN63" s="154" t="str">
        <f t="shared" si="22"/>
        <v>echo {"issue":{"subject":"Traffic directionality was already set north, signal system does not allow mid-block turns","project_id":30,"tracker_id":4,"status_id":1,"priority_id":1,"assigned_to_id":10,"start_date":"2017-05-11","description":"","custom_fields":[{"id":30,"name":"Category","value":"Issue"},{"id":3,"name":"Functional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18:41:17"},{"id":29,"name":"Sharepoint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681</v>
      </c>
      <c r="B64" s="7">
        <v>4016</v>
      </c>
      <c r="C64" s="21" t="s">
        <v>206</v>
      </c>
      <c r="D64" s="21" t="s">
        <v>202</v>
      </c>
      <c r="E64" s="13">
        <v>42866.458449074074</v>
      </c>
      <c r="F64" s="13">
        <v>42866.459907407407</v>
      </c>
      <c r="G64" s="7">
        <v>1</v>
      </c>
      <c r="H64" s="21" t="s">
        <v>846</v>
      </c>
      <c r="I64" s="13">
        <v>42866.471099537041</v>
      </c>
      <c r="J64" s="7">
        <v>0</v>
      </c>
      <c r="K64" s="92" t="str">
        <f t="shared" si="0"/>
        <v>4015/4016</v>
      </c>
      <c r="L64" s="21" t="str">
        <f>VLOOKUP(A64,'Trips&amp;Operators'!$C$1:$G$99999,5,FALSE)</f>
        <v>MACDONALD THOMAS</v>
      </c>
      <c r="M64" s="6">
        <f t="shared" si="1"/>
        <v>1.1192129633855075E-2</v>
      </c>
      <c r="N64" s="7">
        <f>24*60*SUM($M64:$M64)</f>
        <v>16.116666672751307</v>
      </c>
      <c r="O64" s="7"/>
      <c r="P64" s="7"/>
      <c r="Q64" s="22"/>
      <c r="R64" s="190"/>
      <c r="S64" s="196">
        <v>1</v>
      </c>
      <c r="T64" s="190" t="str">
        <f t="shared" si="4"/>
        <v>NorthBound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9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-11T10:00:10-0600',mode:absolute,to:'2017-05-11T12:18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4" s="192" t="str">
        <f t="shared" si="6"/>
        <v>Y</v>
      </c>
      <c r="X64" s="192">
        <f t="shared" si="39"/>
        <v>1</v>
      </c>
      <c r="Y64" s="192">
        <f t="shared" si="8"/>
        <v>4.5699999999999998E-2</v>
      </c>
      <c r="Z64" s="192">
        <f t="shared" si="41"/>
        <v>6.9880000000000004</v>
      </c>
      <c r="AA64" s="192">
        <f t="shared" si="10"/>
        <v>6.9423000000000004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0159-11</v>
      </c>
      <c r="AE64" s="80" t="str">
        <f t="shared" si="12"/>
        <v>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 &amp; 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</v>
      </c>
      <c r="AF64" s="77" t="str">
        <f t="shared" si="13"/>
        <v>"C:\Program Files (x86)\AstroGrep\AstroGrep.exe" /e /r /s /spath="%USERPROFILE%\AppData\Local\Temp\OnboardLogs" /stypes="app*4016*20170511*"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159-11 --locoid 4016 --swversion DE.1.0.9.0 --startMP 204:457 --initTime 2017-05-11T11:00:10 --startdatetime 2017-05-11T11:02:16 --delay 1 --endMP 204:69880 --enddatetime 2017-05-11T11:18:23 --enforcementcount 0 &gt;&gt;C:\Users\stu\Documents\GitHub\eaglep3-reporting\EC\2017-05-11-refined-times.txt</v>
      </c>
      <c r="AI64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{"issue":{"subject":"","project_id":79,"tracker_id":40,"status_id":1,"priority_id":2,"assigned_to_id":23,"start_date":"2017-05-11","description":"","custom_fields":[{"id":1,"name":"Subdivision","value":"EC"},{"id":4,"name":"Milepost","value":"6.988"},{"id":17,"name":"Train ID","value":"159-11"},{"id":16,"name":"Locomotive ID","value":"4016"},{"id":130,"name":"Impact","value":""},{"id":150,"name":"Time of Event (Mountain Time)","value":"11:18:23"},{"id":151,"name":"Denver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4016 --day 2017-05-11</v>
      </c>
      <c r="AN64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17:18:23"},{"id":29,"name":"Sharepoint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585</v>
      </c>
      <c r="B65" s="7">
        <v>4015</v>
      </c>
      <c r="C65" s="21" t="s">
        <v>206</v>
      </c>
      <c r="D65" s="21" t="s">
        <v>847</v>
      </c>
      <c r="E65" s="13">
        <v>42866.531006944446</v>
      </c>
      <c r="F65" s="13">
        <v>42866.532152777778</v>
      </c>
      <c r="G65" s="7">
        <v>1</v>
      </c>
      <c r="H65" s="21" t="s">
        <v>360</v>
      </c>
      <c r="I65" s="13">
        <v>42866.539918981478</v>
      </c>
      <c r="J65" s="7">
        <v>0</v>
      </c>
      <c r="K65" s="92" t="str">
        <f t="shared" si="0"/>
        <v>4015/4016</v>
      </c>
      <c r="L65" s="21" t="str">
        <f>VLOOKUP(A65,'Trips&amp;Operators'!$C$1:$G$99999,5,FALSE)</f>
        <v>BRANDNER MELINDA</v>
      </c>
      <c r="M65" s="6">
        <f t="shared" si="1"/>
        <v>7.7662037001573481E-3</v>
      </c>
      <c r="N65" s="7"/>
      <c r="O65" s="7"/>
      <c r="P65" s="7">
        <f>24*60*SUM($M65:$M65)</f>
        <v>11.183333328226581</v>
      </c>
      <c r="Q65" s="22"/>
      <c r="R65" s="190" t="s">
        <v>1045</v>
      </c>
      <c r="S65" s="196">
        <f>SUM(U65:U65)/IF(AG65="EC",12,1)</f>
        <v>0.25</v>
      </c>
      <c r="T65" s="190" t="str">
        <f t="shared" si="4"/>
        <v>Southbound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3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-11T11:44:39-0600',mode:absolute,to:'2017-05-11T13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5" s="192" t="str">
        <f t="shared" si="6"/>
        <v>Y</v>
      </c>
      <c r="X65" s="192">
        <f t="shared" si="39"/>
        <v>1</v>
      </c>
      <c r="Y65" s="192">
        <f t="shared" si="8"/>
        <v>3.6770999999999998</v>
      </c>
      <c r="Z65" s="192">
        <f t="shared" si="41"/>
        <v>1.43E-2</v>
      </c>
      <c r="AA65" s="192">
        <f t="shared" si="10"/>
        <v>3.6627999999999998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0160-11</v>
      </c>
      <c r="AE65" s="80" t="str">
        <f t="shared" si="12"/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AF65" s="77" t="str">
        <f t="shared" si="13"/>
        <v>"C:\Program Files (x86)\AstroGrep\AstroGrep.exe" /e /r /s /spath="%USERPROFILE%\AppData\Local\Temp\OnboardLogs" /stypes="app*4015*20170511*" /stext=" 18:.+((SYSTEM_STATE.+slice.+state.+changed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160-11 --locoid 4015 --swversion DE.1.0.9.0 --startMP 204:36771 --initTime 2017-05-11T12:44:39 --startdatetime 2017-05-11T12:46:18 --delay 1 --endMP 204:143 --enddatetime 2017-05-11T12:57:29 --enforcementcount 0 &gt;&gt;C:\Users\stu\Documents\GitHub\eaglep3-reporting\EC\2017-05-11-refined-times.txt</v>
      </c>
      <c r="AI65" s="99" t="str">
        <f t="shared" si="20"/>
        <v>echo {"issue":{"subject":"Traffic directionality was already set north, signal system does not allow mid-block turns","project_id":79,"tracker_id":40,"status_id":1,"priority_id":2,"assigned_to_id":23,"start_date":"2017-05-11","description":"","custom_fields":[{"id":1,"name":"Subdivision","value":"EC"},{"id":4,"name":"Milepost","value":"0.0143"},{"id":17,"name":"Train ID","value":"160-11"},{"id":16,"name":"Locomotive ID","value":"4015"},{"id":130,"name":"Impact","value":""},{"id":150,"name":"Time of Event (Mountain Time)","value":"12:57:29"},{"id":151,"name":"Denver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4015 --day 2017-05-11</v>
      </c>
      <c r="AN65" s="154" t="str">
        <f t="shared" si="22"/>
        <v>echo {"issue":{"subject":"Traffic directionality was already set north, signal system does not allow mid-block turns","project_id":30,"tracker_id":4,"status_id":1,"priority_id":1,"assigned_to_id":10,"start_date":"2017-05-11","description":"","custom_fields":[{"id":30,"name":"Category","value":"Issue"},{"id":3,"name":"Functional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18:57:29"},{"id":29,"name":"Sharepoint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585</v>
      </c>
      <c r="B66" s="7">
        <v>4015</v>
      </c>
      <c r="C66" s="21" t="s">
        <v>206</v>
      </c>
      <c r="D66" s="21" t="s">
        <v>848</v>
      </c>
      <c r="E66" s="13">
        <v>42866.522361111114</v>
      </c>
      <c r="F66" s="13">
        <v>42866.532152777778</v>
      </c>
      <c r="G66" s="7">
        <v>2</v>
      </c>
      <c r="H66" s="21" t="s">
        <v>849</v>
      </c>
      <c r="I66" s="13">
        <v>42866.539918981478</v>
      </c>
      <c r="J66" s="7">
        <v>0</v>
      </c>
      <c r="K66" s="92" t="str">
        <f t="shared" si="0"/>
        <v>4015/4016</v>
      </c>
      <c r="L66" s="21" t="str">
        <f>VLOOKUP(A66,'Trips&amp;Operators'!$C$1:$G$99999,5,FALSE)</f>
        <v>BRANDNER MELINDA</v>
      </c>
      <c r="M66" s="6">
        <f t="shared" si="1"/>
        <v>7.7662037001573481E-3</v>
      </c>
      <c r="N66" s="7"/>
      <c r="O66" s="7"/>
      <c r="P66" s="7"/>
      <c r="Q66" s="22"/>
      <c r="R66" s="190"/>
      <c r="S66" s="196"/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0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-11T11:32:12-0600',mode:absolute,to:'2017-05-11T13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192" t="str">
        <f t="shared" si="6"/>
        <v>Y</v>
      </c>
      <c r="X66" s="192">
        <f t="shared" si="39"/>
        <v>0</v>
      </c>
      <c r="Y66" s="192">
        <f t="shared" si="8"/>
        <v>6.4377000000000004</v>
      </c>
      <c r="Z66" s="192">
        <f t="shared" si="41"/>
        <v>6.4062000000000001</v>
      </c>
      <c r="AA66" s="192">
        <f t="shared" si="10"/>
        <v>3.1500000000000306E-2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0160-11</v>
      </c>
      <c r="AE66" s="80" t="str">
        <f t="shared" si="12"/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AF66" s="77" t="str">
        <f t="shared" si="13"/>
        <v>"C:\Program Files (x86)\AstroGrep\AstroGrep.exe" /e /r /s /spath="%USERPROFILE%\AppData\Local\Temp\OnboardLogs" /stypes="app*4015*20170511*" /stext=" 18:.+((SYSTEM_STATE.+slice.+state.+changed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160-11 --locoid 4015 --swversion DE.1.0.9.0 --startMP 204:64377 --initTime 2017-05-11T12:32:12 --startdatetime 2017-05-11T12:46:18 --delay 2 --endMP 204:64062 --enddatetime 2017-05-11T12:57:29 --enforcementcount 0 &gt;&gt;C:\Users\stu\Documents\GitHub\eaglep3-reporting\EC\2017-05-11-refined-times.txt</v>
      </c>
      <c r="AI66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{"issue":{"subject":"","project_id":79,"tracker_id":40,"status_id":1,"priority_id":2,"assigned_to_id":23,"start_date":"2017-05-11","description":"","custom_fields":[{"id":1,"name":"Subdivision","value":"EC"},{"id":4,"name":"Milepost","value":"6.4062"},{"id":17,"name":"Train ID","value":"160-11"},{"id":16,"name":"Locomotive ID","value":"4015"},{"id":130,"name":"Impact","value":""},{"id":150,"name":"Time of Event (Mountain Time)","value":"12:57:29"},{"id":151,"name":"Denver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4015 --day 2017-05-11</v>
      </c>
      <c r="AN66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18:57:29"},{"id":29,"name":"Sharepoint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683</v>
      </c>
      <c r="B67" s="7">
        <v>4054</v>
      </c>
      <c r="C67" s="21" t="s">
        <v>206</v>
      </c>
      <c r="D67" s="21" t="s">
        <v>850</v>
      </c>
      <c r="E67" s="13">
        <v>42866.467407407406</v>
      </c>
      <c r="F67" s="13">
        <v>42866.489340277774</v>
      </c>
      <c r="G67" s="7">
        <v>1</v>
      </c>
      <c r="H67" s="21" t="s">
        <v>851</v>
      </c>
      <c r="I67" s="13">
        <v>42866.502488425926</v>
      </c>
      <c r="J67" s="7">
        <v>0</v>
      </c>
      <c r="K67" s="92" t="str">
        <f t="shared" si="0"/>
        <v>4053/4054</v>
      </c>
      <c r="L67" s="21" t="str">
        <f>VLOOKUP(A67,'Trips&amp;Operators'!$C$1:$G$99999,5,FALSE)</f>
        <v>THOMPSON LESTER</v>
      </c>
      <c r="M67" s="6">
        <f t="shared" si="1"/>
        <v>1.3148148151230998E-2</v>
      </c>
      <c r="N67" s="7">
        <f t="shared" ref="N67:P98" si="42">24*60*SUM($M67:$M67)</f>
        <v>18.933333337772638</v>
      </c>
      <c r="O67" s="7"/>
      <c r="P67" s="7"/>
      <c r="Q67" s="22"/>
      <c r="R67" s="190"/>
      <c r="S67" s="196"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9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-11T10:13:04-0600',mode:absolute,to:'2017-05-11T13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7" s="192" t="str">
        <f t="shared" si="6"/>
        <v>Y</v>
      </c>
      <c r="X67" s="192">
        <f t="shared" si="39"/>
        <v>1</v>
      </c>
      <c r="Y67" s="192">
        <f t="shared" si="8"/>
        <v>4.3099999999999999E-2</v>
      </c>
      <c r="Z67" s="192">
        <f t="shared" si="41"/>
        <v>7.0551000000000004</v>
      </c>
      <c r="AA67" s="192">
        <f t="shared" si="10"/>
        <v>7.0120000000000005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0161-11</v>
      </c>
      <c r="AE67" s="80" t="str">
        <f t="shared" si="12"/>
        <v>aws s3 cp s3://rtdc.mdm.uploadarchive.raw/RTDC4054/ "%USERPROFILE%\AppData\Local\Temp\OnboardLogs"\RTDC4054\2017-05-11 --exclude "*" --recursive --include "*20170511*" &amp; "%USERPROFILE%\Documents\GitHub\mrs-test-scripts\Headless Mode &amp; Sideloading\WalkAndUnGZ.bat" "%USERPROFILE%\AppData\Local\Temp\OnboardLogs"\RTDC4054\2017-05-11 &amp; aws s3 cp s3://rtdc.mdm.uploadarchive.raw/RTDC4054/ "%USERPROFILE%\AppData\Local\Temp\OnboardLogs"\RTDC4054\2017-05-12 --exclude "*" --recursive --include "*20170512*" &amp; "%USERPROFILE%\Documents\GitHub\mrs-test-scripts\Headless Mode &amp; Sideloading\WalkAndUnGZ.bat" "%USERPROFILE%\AppData\Local\Temp\OnboardLogs"\RTDC4054\2017-05-12</v>
      </c>
      <c r="AF67" s="77" t="str">
        <f t="shared" si="13"/>
        <v>"C:\Program Files (x86)\AstroGrep\AstroGrep.exe" /e /r /s /spath="%USERPROFILE%\AppData\Local\Temp\OnboardLogs" /stypes="app*4054*20170511*" /stext=" 18:.+((SYSTEM_STATE.+slice.+state.+changed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161-11 --locoid 4054 --swversion DE.1.0.9.0 --startMP 204:431 --initTime 2017-05-11T11:13:04 --startdatetime 2017-05-11T11:44:39 --delay 1 --endMP 204:70551 --enddatetime 2017-05-11T12:03:35 --enforcementcount 0 &gt;&gt;C:\Users\stu\Documents\GitHub\eaglep3-reporting\EC\2017-05-11-refined-times.txt</v>
      </c>
      <c r="AI67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{"issue":{"subject":"","project_id":79,"tracker_id":40,"status_id":1,"priority_id":2,"assigned_to_id":23,"start_date":"2017-05-11","description":"","custom_fields":[{"id":1,"name":"Subdivision","value":"EC"},{"id":4,"name":"Milepost","value":"7.0551"},{"id":17,"name":"Train ID","value":"161-11"},{"id":16,"name":"Locomotive ID","value":"4054"},{"id":130,"name":"Impact","value":""},{"id":150,"name":"Time of Event (Mountain Time)","value":"12:03:35"},{"id":151,"name":"Denver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4054 --day 2017-05-11</v>
      </c>
      <c r="AN67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686</v>
      </c>
      <c r="B68" s="7">
        <v>4042</v>
      </c>
      <c r="C68" s="21" t="s">
        <v>206</v>
      </c>
      <c r="D68" s="21" t="s">
        <v>362</v>
      </c>
      <c r="E68" s="13">
        <v>42866.476921296293</v>
      </c>
      <c r="F68" s="13">
        <v>42866.47934027778</v>
      </c>
      <c r="G68" s="7">
        <v>1</v>
      </c>
      <c r="H68" s="21" t="s">
        <v>852</v>
      </c>
      <c r="I68" s="13">
        <v>42866.501238425924</v>
      </c>
      <c r="J68" s="7">
        <v>0</v>
      </c>
      <c r="K68" s="92" t="str">
        <f t="shared" si="0"/>
        <v>4041/4042</v>
      </c>
      <c r="L68" s="21" t="str">
        <f>VLOOKUP(A68,'Trips&amp;Operators'!$C$1:$G$99999,5,FALSE)</f>
        <v>LOPES KIMBERLY</v>
      </c>
      <c r="M68" s="6">
        <f t="shared" si="1"/>
        <v>2.1898148144828156E-2</v>
      </c>
      <c r="N68" s="7">
        <f t="shared" si="42"/>
        <v>31.533333328552544</v>
      </c>
      <c r="O68" s="7"/>
      <c r="P68" s="7"/>
      <c r="Q68" s="22"/>
      <c r="R68" s="190"/>
      <c r="S68" s="196">
        <v>1</v>
      </c>
      <c r="T68" s="190" t="str">
        <f t="shared" si="4"/>
        <v>NorthBound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10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-11T10:26:46-0600',mode:absolute,to:'2017-05-11T13:01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8" s="192" t="str">
        <f t="shared" si="6"/>
        <v>Y</v>
      </c>
      <c r="X68" s="192">
        <f t="shared" si="39"/>
        <v>2</v>
      </c>
      <c r="Y68" s="192">
        <f t="shared" si="8"/>
        <v>4.6899999999999997E-2</v>
      </c>
      <c r="Z68" s="192">
        <f t="shared" si="41"/>
        <v>8.6374999999999993</v>
      </c>
      <c r="AA68" s="192">
        <f t="shared" si="10"/>
        <v>8.5905999999999985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0163-11</v>
      </c>
      <c r="AE68" s="80" t="str">
        <f t="shared" si="12"/>
        <v>aws s3 cp s3://rtdc.mdm.uploadarchive.raw/RTDC4042/ "%USERPROFILE%\AppData\Local\Temp\OnboardLogs"\RTDC4042\2017-05-11 --exclude "*" --recursive --include "*20170511*" &amp; "%USERPROFILE%\Documents\GitHub\mrs-test-scripts\Headless Mode &amp; Sideloading\WalkAndUnGZ.bat" "%USERPROFILE%\AppData\Local\Temp\OnboardLogs"\RTDC4042\2017-05-11 &amp; 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</v>
      </c>
      <c r="AF68" s="77" t="str">
        <f t="shared" si="13"/>
        <v>"C:\Program Files (x86)\AstroGrep\AstroGrep.exe" /e /r /s /spath="%USERPROFILE%\AppData\Local\Temp\OnboardLogs" /stypes="app*4042*20170511*"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163-11 --locoid 4042 --swversion DE.1.0.9.0 --startMP 204:469 --initTime 2017-05-11T11:26:46 --startdatetime 2017-05-11T11:30:15 --delay 1 --endMP 204:86375 --enddatetime 2017-05-11T12:01:47 --enforcementcount 0 &gt;&gt;C:\Users\stu\Documents\GitHub\eaglep3-reporting\EC\2017-05-11-refined-times.txt</v>
      </c>
      <c r="AI68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{"issue":{"subject":"","project_id":79,"tracker_id":40,"status_id":1,"priority_id":2,"assigned_to_id":23,"start_date":"2017-05-11","description":"","custom_fields":[{"id":1,"name":"Subdivision","value":"EC"},{"id":4,"name":"Milepost","value":"8.6375"},{"id":17,"name":"Train ID","value":"163-11"},{"id":16,"name":"Locomotive ID","value":"4042"},{"id":130,"name":"Impact","value":""},{"id":150,"name":"Time of Event (Mountain Time)","value":"12:01:47"},{"id":151,"name":"Denver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4042 --day 2017-05-11</v>
      </c>
      <c r="AN68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18:01:47"},{"id":29,"name":"Sharepoint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693</v>
      </c>
      <c r="B69" s="7">
        <v>4016</v>
      </c>
      <c r="C69" s="21" t="s">
        <v>206</v>
      </c>
      <c r="D69" s="21" t="s">
        <v>853</v>
      </c>
      <c r="E69" s="13">
        <v>42866.490810185183</v>
      </c>
      <c r="F69" s="13">
        <v>42866.50440972222</v>
      </c>
      <c r="G69" s="7">
        <v>9</v>
      </c>
      <c r="H69" s="21" t="s">
        <v>854</v>
      </c>
      <c r="I69" s="13">
        <v>42866.519050925926</v>
      </c>
      <c r="J69" s="7">
        <v>0</v>
      </c>
      <c r="K69" s="92" t="str">
        <f t="shared" si="0"/>
        <v>4015/4016</v>
      </c>
      <c r="L69" s="21" t="str">
        <f>VLOOKUP(A69,'Trips&amp;Operators'!$C$1:$G$99999,5,FALSE)</f>
        <v>BRANDNER MELINDA</v>
      </c>
      <c r="M69" s="6">
        <f t="shared" si="1"/>
        <v>1.4641203706560191E-2</v>
      </c>
      <c r="N69" s="7"/>
      <c r="O69" s="7"/>
      <c r="P69" s="7">
        <f t="shared" si="42"/>
        <v>21.083333337446675</v>
      </c>
      <c r="Q69" s="22"/>
      <c r="R69" s="190" t="s">
        <v>1047</v>
      </c>
      <c r="S69" s="196">
        <f t="shared" ref="S69:S100" si="43">SUM(U69:U69)/IF(AG69="EC",12,1)</f>
        <v>0.75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9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-11T10:46:46-0600',mode:absolute,to:'2017-05-11T13:27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9" s="192" t="str">
        <f t="shared" si="6"/>
        <v>Y</v>
      </c>
      <c r="X69" s="192">
        <f t="shared" si="39"/>
        <v>2</v>
      </c>
      <c r="Y69" s="192">
        <f t="shared" si="8"/>
        <v>1.9144000000000001</v>
      </c>
      <c r="Z69" s="192">
        <f t="shared" si="41"/>
        <v>6.4706000000000001</v>
      </c>
      <c r="AA69" s="192">
        <f t="shared" si="10"/>
        <v>4.5562000000000005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0165-11</v>
      </c>
      <c r="AE69" s="80" t="str">
        <f t="shared" si="12"/>
        <v>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 &amp; 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</v>
      </c>
      <c r="AF69" s="77" t="str">
        <f t="shared" si="13"/>
        <v>"C:\Program Files (x86)\AstroGrep\AstroGrep.exe" /e /r /s /spath="%USERPROFILE%\AppData\Local\Temp\OnboardLogs" /stypes="app*4016*20170511*" /stext=" 18:.+((SYSTEM_STATE.+slice.+state.+changed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165-11 --locoid 4016 --swversion DE.1.0.9.0 --startMP 204:19144 --initTime 2017-05-11T11:46:46 --startdatetime 2017-05-11T12:06:21 --delay 9 --endMP 204:64706 --enddatetime 2017-05-11T12:27:26 --enforcementcount 0 &gt;&gt;C:\Users\stu\Documents\GitHub\eaglep3-reporting\EC\2017-05-11-refined-times.txt</v>
      </c>
      <c r="AI69" s="99" t="str">
        <f t="shared" si="20"/>
        <v>echo {"issue":{"subject":"Poor GPS at DUS","project_id":79,"tracker_id":40,"status_id":1,"priority_id":2,"assigned_to_id":23,"start_date":"2017-05-11","description":"","custom_fields":[{"id":1,"name":"Subdivision","value":"EC"},{"id":4,"name":"Milepost","value":"6.4706"},{"id":17,"name":"Train ID","value":"165-11"},{"id":16,"name":"Locomotive ID","value":"4016"},{"id":130,"name":"Impact","value":""},{"id":150,"name":"Time of Event (Mountain Time)","value":"12:27:26"},{"id":151,"name":"Denver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4016 --day 2017-05-11</v>
      </c>
      <c r="AN69" s="154" t="str">
        <f t="shared" si="22"/>
        <v>echo {"issue":{"subject":"Poor GPS at DUS","project_id":30,"tracker_id":4,"status_id":1,"priority_id":1,"assigned_to_id":10,"start_date":"2017-05-11","description":"","custom_fields":[{"id":30,"name":"Category","value":"Issue"},{"id":3,"name":"Functional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18:27:26"},{"id":29,"name":"Sharepoint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697</v>
      </c>
      <c r="B70" s="7">
        <v>4054</v>
      </c>
      <c r="C70" s="21" t="s">
        <v>206</v>
      </c>
      <c r="D70" s="21" t="s">
        <v>355</v>
      </c>
      <c r="E70" s="13">
        <v>42866.506157407406</v>
      </c>
      <c r="F70" s="13">
        <v>42866.510706018518</v>
      </c>
      <c r="G70" s="7">
        <v>1</v>
      </c>
      <c r="H70" s="21" t="s">
        <v>855</v>
      </c>
      <c r="I70" s="13">
        <v>42866.53324074074</v>
      </c>
      <c r="J70" s="7">
        <v>0</v>
      </c>
      <c r="K70" s="92" t="str">
        <f t="shared" si="0"/>
        <v>4053/4054</v>
      </c>
      <c r="L70" s="21" t="str">
        <f>VLOOKUP(A70,'Trips&amp;Operators'!$C$1:$G$99999,5,FALSE)</f>
        <v>THOMPSON LESTER</v>
      </c>
      <c r="M70" s="6">
        <f t="shared" si="1"/>
        <v>2.2534722222189885E-2</v>
      </c>
      <c r="N70" s="7">
        <f t="shared" si="42"/>
        <v>32.449999999953434</v>
      </c>
      <c r="O70" s="7"/>
      <c r="P70" s="7"/>
      <c r="Q70" s="22"/>
      <c r="R70" s="190"/>
      <c r="S70" s="196">
        <f t="shared" si="43"/>
        <v>0.75</v>
      </c>
      <c r="T70" s="190" t="str">
        <f t="shared" si="4"/>
        <v>NorthBound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9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-11T11:08:52-0600',mode:absolute,to:'2017-05-11T13:47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0" s="192" t="str">
        <f t="shared" si="6"/>
        <v>Y</v>
      </c>
      <c r="X70" s="192">
        <f t="shared" si="39"/>
        <v>4</v>
      </c>
      <c r="Y70" s="192">
        <f t="shared" si="8"/>
        <v>4.58E-2</v>
      </c>
      <c r="Z70" s="192">
        <f t="shared" si="41"/>
        <v>6.4688999999999997</v>
      </c>
      <c r="AA70" s="192">
        <f t="shared" si="10"/>
        <v>6.4230999999999998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0169-11</v>
      </c>
      <c r="AE70" s="80" t="str">
        <f t="shared" si="12"/>
        <v>aws s3 cp s3://rtdc.mdm.uploadarchive.raw/RTDC4054/ "%USERPROFILE%\AppData\Local\Temp\OnboardLogs"\RTDC4054\2017-05-11 --exclude "*" --recursive --include "*20170511*" &amp; "%USERPROFILE%\Documents\GitHub\mrs-test-scripts\Headless Mode &amp; Sideloading\WalkAndUnGZ.bat" "%USERPROFILE%\AppData\Local\Temp\OnboardLogs"\RTDC4054\2017-05-11 &amp; aws s3 cp s3://rtdc.mdm.uploadarchive.raw/RTDC4054/ "%USERPROFILE%\AppData\Local\Temp\OnboardLogs"\RTDC4054\2017-05-12 --exclude "*" --recursive --include "*20170512*" &amp; "%USERPROFILE%\Documents\GitHub\mrs-test-scripts\Headless Mode &amp; Sideloading\WalkAndUnGZ.bat" "%USERPROFILE%\AppData\Local\Temp\OnboardLogs"\RTDC4054\2017-05-12</v>
      </c>
      <c r="AF70" s="77" t="str">
        <f t="shared" si="13"/>
        <v>"C:\Program Files (x86)\AstroGrep\AstroGrep.exe" /e /r /s /spath="%USERPROFILE%\AppData\Local\Temp\OnboardLogs" /stypes="app*4054*20170511*"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169-11 --locoid 4054 --swversion DE.1.0.9.0 --startMP 204:458 --initTime 2017-05-11T12:08:52 --startdatetime 2017-05-11T12:15:25 --delay 1 --endMP 204:64689 --enddatetime 2017-05-11T12:47:52 --enforcementcount 0 &gt;&gt;C:\Users\stu\Documents\GitHub\eaglep3-reporting\EC\2017-05-11-refined-times.txt</v>
      </c>
      <c r="AI70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{"issue":{"subject":"","project_id":79,"tracker_id":40,"status_id":1,"priority_id":2,"assigned_to_id":23,"start_date":"2017-05-11","description":"","custom_fields":[{"id":1,"name":"Subdivision","value":"EC"},{"id":4,"name":"Milepost","value":"6.4689"},{"id":17,"name":"Train ID","value":"169-11"},{"id":16,"name":"Locomotive ID","value":"4054"},{"id":130,"name":"Impact","value":""},{"id":150,"name":"Time of Event (Mountain Time)","value":"12:47:52"},{"id":151,"name":"Denver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4054 --day 2017-05-11</v>
      </c>
      <c r="AN70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18:47:52"},{"id":29,"name":"Sharepoint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703</v>
      </c>
      <c r="B71" s="7">
        <v>4027</v>
      </c>
      <c r="C71" s="21" t="s">
        <v>206</v>
      </c>
      <c r="D71" s="21" t="s">
        <v>856</v>
      </c>
      <c r="E71" s="13">
        <v>42866.545671296299</v>
      </c>
      <c r="F71" s="13">
        <v>42866.549467592595</v>
      </c>
      <c r="G71" s="7">
        <v>1</v>
      </c>
      <c r="H71" s="21" t="s">
        <v>375</v>
      </c>
      <c r="I71" s="13">
        <v>42866.580034722225</v>
      </c>
      <c r="J71" s="7">
        <v>0</v>
      </c>
      <c r="K71" s="92" t="str">
        <f t="shared" si="0"/>
        <v>4027/4028</v>
      </c>
      <c r="L71" s="21" t="str">
        <f>VLOOKUP(A71,'Trips&amp;Operators'!$C$1:$G$99999,5,FALSE)</f>
        <v>YANAI IAN</v>
      </c>
      <c r="M71" s="6">
        <f t="shared" si="1"/>
        <v>3.0567129630071577E-2</v>
      </c>
      <c r="N71" s="7">
        <f t="shared" si="42"/>
        <v>44.01666666730307</v>
      </c>
      <c r="O71" s="7"/>
      <c r="P71" s="7"/>
      <c r="Q71" s="22"/>
      <c r="R71" s="190"/>
      <c r="S71" s="196">
        <f t="shared" si="43"/>
        <v>1</v>
      </c>
      <c r="T71" s="190" t="str">
        <f t="shared" si="4"/>
        <v>Southbound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-11T12:05:46-0600',mode:absolute,to:'2017-05-11T14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1" s="192" t="str">
        <f t="shared" si="6"/>
        <v>N</v>
      </c>
      <c r="X71" s="192">
        <f t="shared" si="39"/>
        <v>1</v>
      </c>
      <c r="Y71" s="192">
        <f t="shared" si="8"/>
        <v>23.2593</v>
      </c>
      <c r="Z71" s="192">
        <f t="shared" si="41"/>
        <v>1.41E-2</v>
      </c>
      <c r="AA71" s="192">
        <f t="shared" si="10"/>
        <v>23.245200000000001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0170-11</v>
      </c>
      <c r="AE71" s="80" t="str">
        <f t="shared" si="12"/>
        <v>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 &amp; aws s3 cp s3://rtdc.mdm.uploadarchive.raw/RTDC4027/ "%USERPROFILE%\AppData\Local\Temp\OnboardLogs"\RTDC4027\2017-05-12 --exclude "*" --recursive --include "*20170512*" &amp; "%USERPROFILE%\Documents\GitHub\mrs-test-scripts\Headless Mode &amp; Sideloading\WalkAndUnGZ.bat" "%USERPROFILE%\AppData\Local\Temp\OnboardLogs"\RTDC4027\2017-05-12</v>
      </c>
      <c r="AF71" s="77" t="str">
        <f t="shared" si="13"/>
        <v>"C:\Program Files (x86)\AstroGrep\AstroGrep.exe" /e /r /s /spath="%USERPROFILE%\AppData\Local\Temp\OnboardLogs" /stypes="app*4027*20170511*" /stext=" 19:.+((SYSTEM_STATE.+slice.+state.+changed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170-11 --locoid 4027 --swversion DE.1.0.9.0 --startMP 204:232593 --initTime 2017-05-11T13:05:46 --startdatetime 2017-05-11T13:11:14 --delay 1 --endMP 204:141 --enddatetime 2017-05-11T13:55:15 --enforcementcount 0 &gt;&gt;C:\Users\stu\Documents\GitHub\eaglep3-reporting\EC\2017-05-11-refined-times.txt</v>
      </c>
      <c r="AI71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{"issue":{"subject":"","project_id":79,"tracker_id":40,"status_id":1,"priority_id":2,"assigned_to_id":23,"start_date":"2017-05-11","description":"","custom_fields":[{"id":1,"name":"Subdivision","value":"EC"},{"id":4,"name":"Milepost","value":"0.0141"},{"id":17,"name":"Train ID","value":"170-11"},{"id":16,"name":"Locomotive ID","value":"4027"},{"id":130,"name":"Impact","value":""},{"id":150,"name":"Time of Event (Mountain Time)","value":"13:55:15"},{"id":151,"name":"Denver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4027 --day 2017-05-11</v>
      </c>
      <c r="AN71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19:55:15"},{"id":29,"name":"Sharepoint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702</v>
      </c>
      <c r="B72" s="7">
        <v>4004</v>
      </c>
      <c r="C72" s="21" t="s">
        <v>206</v>
      </c>
      <c r="D72" s="21" t="s">
        <v>202</v>
      </c>
      <c r="E72" s="13">
        <v>42866.530115740738</v>
      </c>
      <c r="F72" s="13">
        <v>42866.53633101852</v>
      </c>
      <c r="G72" s="7">
        <v>1</v>
      </c>
      <c r="H72" s="21" t="s">
        <v>857</v>
      </c>
      <c r="I72" s="13">
        <v>42866.569004629629</v>
      </c>
      <c r="J72" s="7">
        <v>0</v>
      </c>
      <c r="K72" s="92" t="str">
        <f t="shared" si="0"/>
        <v>4003/4004</v>
      </c>
      <c r="L72" s="21" t="str">
        <f>VLOOKUP(A72,'Trips&amp;Operators'!$C$1:$G$99999,5,FALSE)</f>
        <v>BIRENBAUM THOMAS</v>
      </c>
      <c r="M72" s="6">
        <f t="shared" si="1"/>
        <v>3.2673611109203193E-2</v>
      </c>
      <c r="N72" s="7">
        <f t="shared" si="42"/>
        <v>47.049999997252598</v>
      </c>
      <c r="O72" s="7"/>
      <c r="P72" s="7"/>
      <c r="Q72" s="22"/>
      <c r="R72" s="190"/>
      <c r="S72" s="196">
        <f t="shared" si="43"/>
        <v>1</v>
      </c>
      <c r="T72" s="190" t="str">
        <f t="shared" si="4"/>
        <v>NorthBound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-11T11:43:22-0600',mode:absolute,to:'2017-05-11T14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2" s="192" t="str">
        <f t="shared" si="6"/>
        <v>N</v>
      </c>
      <c r="X72" s="192">
        <f t="shared" si="39"/>
        <v>3</v>
      </c>
      <c r="Y72" s="192">
        <f t="shared" si="8"/>
        <v>4.5699999999999998E-2</v>
      </c>
      <c r="Z72" s="192">
        <f t="shared" si="41"/>
        <v>23.293199999999999</v>
      </c>
      <c r="AA72" s="192">
        <f t="shared" si="10"/>
        <v>23.247499999999999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0173-11</v>
      </c>
      <c r="AE72" s="80" t="str">
        <f t="shared" si="12"/>
        <v>aws s3 cp s3://rtdc.mdm.uploadarchive.raw/RTDC4004/ "%USERPROFILE%\AppData\Local\Temp\OnboardLogs"\RTDC4004\2017-05-11 --exclude "*" --recursive --include "*20170511*" &amp; "%USERPROFILE%\Documents\GitHub\mrs-test-scripts\Headless Mode &amp; Sideloading\WalkAndUnGZ.bat" "%USERPROFILE%\AppData\Local\Temp\OnboardLogs"\RTDC4004\2017-05-11 &amp; aws s3 cp s3://rtdc.mdm.uploadarchive.raw/RTDC4004/ "%USERPROFILE%\AppData\Local\Temp\OnboardLogs"\RTDC4004\2017-05-12 --exclude "*" --recursive --include "*20170512*" &amp; "%USERPROFILE%\Documents\GitHub\mrs-test-scripts\Headless Mode &amp; Sideloading\WalkAndUnGZ.bat" "%USERPROFILE%\AppData\Local\Temp\OnboardLogs"\RTDC4004\2017-05-12</v>
      </c>
      <c r="AF72" s="77" t="str">
        <f t="shared" si="13"/>
        <v>"C:\Program Files (x86)\AstroGrep\AstroGrep.exe" /e /r /s /spath="%USERPROFILE%\AppData\Local\Temp\OnboardLogs" /stypes="app*4004*20170511*" /stext=" 19:.+((SYSTEM_STATE.+slice.+state.+changed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173-11 --locoid 4004 --swversion DE.1.0.9.0 --startMP 204:457 --initTime 2017-05-11T12:43:22 --startdatetime 2017-05-11T12:52:19 --delay 1 --endMP 204:232932 --enddatetime 2017-05-11T13:39:22 --enforcementcount 0 &gt;&gt;C:\Users\stu\Documents\GitHub\eaglep3-reporting\EC\2017-05-11-refined-times.txt</v>
      </c>
      <c r="AI72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{"issue":{"subject":"","project_id":79,"tracker_id":40,"status_id":1,"priority_id":2,"assigned_to_id":23,"start_date":"2017-05-11","description":"","custom_fields":[{"id":1,"name":"Subdivision","value":"EC"},{"id":4,"name":"Milepost","value":"23.2932"},{"id":17,"name":"Train ID","value":"173-11"},{"id":16,"name":"Locomotive ID","value":"4004"},{"id":130,"name":"Impact","value":""},{"id":150,"name":"Time of Event (Mountain Time)","value":"13:39:22"},{"id":151,"name":"Denver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4004 --day 2017-05-11</v>
      </c>
      <c r="AN72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19:39:22"},{"id":29,"name":"Sharepoint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708</v>
      </c>
      <c r="B73" s="7">
        <v>4003</v>
      </c>
      <c r="C73" s="21" t="s">
        <v>206</v>
      </c>
      <c r="D73" s="21" t="s">
        <v>858</v>
      </c>
      <c r="E73" s="13">
        <v>42866.570300925923</v>
      </c>
      <c r="F73" s="13">
        <v>42866.571932870371</v>
      </c>
      <c r="G73" s="7">
        <v>1</v>
      </c>
      <c r="H73" s="21" t="s">
        <v>202</v>
      </c>
      <c r="I73" s="13">
        <v>42866.598414351851</v>
      </c>
      <c r="J73" s="7">
        <v>0</v>
      </c>
      <c r="K73" s="92" t="str">
        <f t="shared" si="0"/>
        <v>4003/4004</v>
      </c>
      <c r="L73" s="21" t="str">
        <f>VLOOKUP(A73,'Trips&amp;Operators'!$C$1:$G$99999,5,FALSE)</f>
        <v>BIRENBAUM THOMAS</v>
      </c>
      <c r="M73" s="6">
        <f t="shared" si="1"/>
        <v>2.6481481480004732E-2</v>
      </c>
      <c r="N73" s="7">
        <f t="shared" si="42"/>
        <v>38.133333331206813</v>
      </c>
      <c r="O73" s="7"/>
      <c r="P73" s="7"/>
      <c r="Q73" s="22"/>
      <c r="R73" s="190"/>
      <c r="S73" s="196">
        <f t="shared" si="43"/>
        <v>1</v>
      </c>
      <c r="T73" s="190" t="str">
        <f t="shared" si="4"/>
        <v>Southbound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-11T12:41:14-0600',mode:absolute,to:'2017-05-11T15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3" s="192" t="str">
        <f t="shared" si="6"/>
        <v>N</v>
      </c>
      <c r="X73" s="192">
        <f t="shared" si="39"/>
        <v>1</v>
      </c>
      <c r="Y73" s="192">
        <f t="shared" si="8"/>
        <v>23.261399999999998</v>
      </c>
      <c r="Z73" s="192">
        <f t="shared" si="41"/>
        <v>4.5699999999999998E-2</v>
      </c>
      <c r="AA73" s="192">
        <f t="shared" si="10"/>
        <v>23.215699999999998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0174-11</v>
      </c>
      <c r="AE73" s="80" t="str">
        <f t="shared" si="12"/>
        <v>aws s3 cp s3://rtdc.mdm.uploadarchive.raw/RTDC4003/ "%USERPROFILE%\AppData\Local\Temp\OnboardLogs"\RTDC4003\2017-05-11 --exclude "*" --recursive --include "*20170511*" &amp; "%USERPROFILE%\Documents\GitHub\mrs-test-scripts\Headless Mode &amp; Sideloading\WalkAndUnGZ.bat" "%USERPROFILE%\AppData\Local\Temp\OnboardLogs"\RTDC4003\2017-05-11 &amp; aws s3 cp s3://rtdc.mdm.uploadarchive.raw/RTDC4003/ "%USERPROFILE%\AppData\Local\Temp\OnboardLogs"\RTDC4003\2017-05-12 --exclude "*" --recursive --include "*20170512*" &amp; "%USERPROFILE%\Documents\GitHub\mrs-test-scripts\Headless Mode &amp; Sideloading\WalkAndUnGZ.bat" "%USERPROFILE%\AppData\Local\Temp\OnboardLogs"\RTDC4003\2017-05-12</v>
      </c>
      <c r="AF73" s="77" t="str">
        <f t="shared" si="13"/>
        <v>"C:\Program Files (x86)\AstroGrep\AstroGrep.exe" /e /r /s /spath="%USERPROFILE%\AppData\Local\Temp\OnboardLogs" /stypes="app*4003*20170511*" /stext=" 20:.+((SYSTEM_STATE.+slice.+state.+changed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174-11 --locoid 4003 --swversion DE.1.0.9.0 --startMP 204:232614 --initTime 2017-05-11T13:41:14 --startdatetime 2017-05-11T13:43:35 --delay 1 --endMP 204:457 --enddatetime 2017-05-11T14:21:43 --enforcementcount 0 &gt;&gt;C:\Users\stu\Documents\GitHub\eaglep3-reporting\EC\2017-05-11-refined-times.txt</v>
      </c>
      <c r="AI73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{"issue":{"subject":"","project_id":79,"tracker_id":40,"status_id":1,"priority_id":2,"assigned_to_id":23,"start_date":"2017-05-11","description":"","custom_fields":[{"id":1,"name":"Subdivision","value":"EC"},{"id":4,"name":"Milepost","value":"0.0457"},{"id":17,"name":"Train ID","value":"174-11"},{"id":16,"name":"Locomotive ID","value":"4003"},{"id":130,"name":"Impact","value":""},{"id":150,"name":"Time of Event (Mountain Time)","value":"14:21:43"},{"id":151,"name":"Denver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4003 --day 2017-05-11</v>
      </c>
      <c r="AN73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20:21:43"},{"id":29,"name":"Sharepoint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586</v>
      </c>
      <c r="B74" s="7">
        <v>4016</v>
      </c>
      <c r="C74" s="21" t="s">
        <v>206</v>
      </c>
      <c r="D74" s="21" t="s">
        <v>370</v>
      </c>
      <c r="E74" s="13">
        <v>42866.542280092595</v>
      </c>
      <c r="F74" s="13">
        <v>42866.544039351851</v>
      </c>
      <c r="G74" s="7">
        <v>1</v>
      </c>
      <c r="H74" s="21" t="s">
        <v>538</v>
      </c>
      <c r="I74" s="13">
        <v>42866.57439814815</v>
      </c>
      <c r="J74" s="7">
        <v>0</v>
      </c>
      <c r="K74" s="92" t="str">
        <f t="shared" si="0"/>
        <v>4015/4016</v>
      </c>
      <c r="L74" s="21" t="str">
        <f>VLOOKUP(A74,'Trips&amp;Operators'!$C$1:$G$99999,5,FALSE)</f>
        <v>BRANDNER MELINDA</v>
      </c>
      <c r="M74" s="6">
        <f t="shared" si="1"/>
        <v>3.0358796298969537E-2</v>
      </c>
      <c r="N74" s="7">
        <f t="shared" si="42"/>
        <v>43.716666670516133</v>
      </c>
      <c r="O74" s="7"/>
      <c r="P74" s="7"/>
      <c r="Q74" s="22"/>
      <c r="R74" s="190" t="s">
        <v>1056</v>
      </c>
      <c r="S74" s="196">
        <f t="shared" si="43"/>
        <v>1</v>
      </c>
      <c r="T74" s="190" t="str">
        <f t="shared" si="4"/>
        <v>NorthBound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-11T12:00:53-0600',mode:absolute,to:'2017-05-11T14:47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4" s="192" t="str">
        <f t="shared" si="6"/>
        <v>N</v>
      </c>
      <c r="X74" s="192">
        <f t="shared" si="39"/>
        <v>1</v>
      </c>
      <c r="Y74" s="192">
        <f t="shared" si="8"/>
        <v>4.53E-2</v>
      </c>
      <c r="Z74" s="192">
        <f t="shared" si="41"/>
        <v>23.296399999999998</v>
      </c>
      <c r="AA74" s="192">
        <f t="shared" si="10"/>
        <v>23.251099999999997</v>
      </c>
      <c r="AB74" s="57" t="str">
        <f>VLOOKUP(A74,Enforcements!$C$7:$K$13,8,0)</f>
        <v>Speed (6)</v>
      </c>
      <c r="AC74" s="53" t="str">
        <f>VLOOKUP(A74,Enforcements!$C$7:$E$13,3,0)</f>
        <v>PERMANENT SPEED RESTRICTION</v>
      </c>
      <c r="AD74" s="54" t="str">
        <f t="shared" si="11"/>
        <v>0175-11</v>
      </c>
      <c r="AE74" s="80" t="str">
        <f t="shared" si="12"/>
        <v>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 &amp; 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</v>
      </c>
      <c r="AF74" s="77" t="str">
        <f t="shared" si="13"/>
        <v>"C:\Program Files (x86)\AstroGrep\AstroGrep.exe" /e /r /s /spath="%USERPROFILE%\AppData\Local\Temp\OnboardLogs" /stypes="app*4016*20170511*" /stext=" 19:.+((SYSTEM_STATE.+slice.+state.+changed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175-11 --locoid 4016 --swversion DE.1.0.9.0 --startMP 204:453 --initTime 2017-05-11T13:00:53 --startdatetime 2017-05-11T13:03:25 --delay 1 --endMP 204:232964 --enddatetime 2017-05-11T13:47:08 --enforcementcount 0 &gt;&gt;C:\Users\stu\Documents\GitHub\eaglep3-reporting\EC\2017-05-11-refined-times.txt</v>
      </c>
      <c r="AI74" s="99" t="str">
        <f t="shared" si="20"/>
        <v>echo {"issue":{"subject":"Encountered restricted aspect approaching DIA 4N (damaged trains parked on DIA Tracks 1 and 2)","project_id":79,"tracker_id":40,"status_id":1,"priority_id":2,"assigned_to_id":23,"start_date":"2017-05-11","description":"","custom_fields":[{"id":1,"name":"Subdivision","value":"EC"},{"id":4,"name":"Milepost","value":"23.2964"},{"id":17,"name":"Train ID","value":"175-11"},{"id":16,"name":"Locomotive ID","value":"4016"},{"id":130,"name":"Impact","value":""},{"id":150,"name":"Time of Event (Mountain Time)","value":"13:47:08"},{"id":151,"name":"Denver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4016 --day 2017-05-11</v>
      </c>
      <c r="AN74" s="154" t="str">
        <f t="shared" si="22"/>
        <v>echo {"issue":{"subject":"Encountered restricted aspect approaching DIA 4N (damaged trains parked on DIA Tracks 1 and 2)","project_id":30,"tracker_id":4,"status_id":1,"priority_id":1,"assigned_to_id":10,"start_date":"2017-05-11","description":"","custom_fields":[{"id":30,"name":"Category","value":"Issue"},{"id":3,"name":"Functional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19:47:08"},{"id":29,"name":"Sharepoint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587</v>
      </c>
      <c r="B75" s="7">
        <v>4015</v>
      </c>
      <c r="C75" s="21" t="s">
        <v>206</v>
      </c>
      <c r="D75" s="21" t="s">
        <v>859</v>
      </c>
      <c r="E75" s="13">
        <v>42866.585138888891</v>
      </c>
      <c r="F75" s="13">
        <v>42866.591249999998</v>
      </c>
      <c r="G75" s="7">
        <v>1</v>
      </c>
      <c r="H75" s="21" t="s">
        <v>524</v>
      </c>
      <c r="I75" s="13">
        <v>42866.621701388889</v>
      </c>
      <c r="J75" s="7">
        <v>0</v>
      </c>
      <c r="K75" s="92" t="str">
        <f t="shared" si="0"/>
        <v>4015/4016</v>
      </c>
      <c r="L75" s="21" t="str">
        <f>VLOOKUP(A75,'Trips&amp;Operators'!$C$1:$G$99999,5,FALSE)</f>
        <v>BRANDNER MELINDA</v>
      </c>
      <c r="M75" s="6">
        <f t="shared" si="1"/>
        <v>3.0451388891378883E-2</v>
      </c>
      <c r="N75" s="7">
        <f t="shared" si="42"/>
        <v>43.850000003585592</v>
      </c>
      <c r="O75" s="7"/>
      <c r="P75" s="7"/>
      <c r="Q75" s="22"/>
      <c r="R75" s="190"/>
      <c r="S75" s="196">
        <f t="shared" si="43"/>
        <v>1</v>
      </c>
      <c r="T75" s="190" t="str">
        <f t="shared" si="4"/>
        <v>Southbound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-11T13:02:36-0600',mode:absolute,to:'2017-05-11T15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5" s="192" t="str">
        <f t="shared" si="6"/>
        <v>N</v>
      </c>
      <c r="X75" s="192">
        <f t="shared" si="39"/>
        <v>3</v>
      </c>
      <c r="Y75" s="192">
        <f t="shared" si="8"/>
        <v>23.265999999999998</v>
      </c>
      <c r="Z75" s="192">
        <f t="shared" si="41"/>
        <v>4.24E-2</v>
      </c>
      <c r="AA75" s="192">
        <f t="shared" si="10"/>
        <v>23.223599999999998</v>
      </c>
      <c r="AB75" s="57" t="str">
        <f>VLOOKUP(A75,Enforcements!$C$7:$K$13,8,0)</f>
        <v>Bulletin (2)</v>
      </c>
      <c r="AC75" s="53" t="str">
        <f>VLOOKUP(A75,Enforcements!$C$7:$E$13,3,0)</f>
        <v>GRADE CROSSING</v>
      </c>
      <c r="AD75" s="54" t="str">
        <f t="shared" si="11"/>
        <v>0178-11</v>
      </c>
      <c r="AE75" s="80" t="str">
        <f t="shared" si="12"/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AF75" s="77" t="str">
        <f t="shared" si="13"/>
        <v>"C:\Program Files (x86)\AstroGrep\AstroGrep.exe" /e /r /s /spath="%USERPROFILE%\AppData\Local\Temp\OnboardLogs" /stypes="app*4015*20170511*" /stext=" 20:.+((SYSTEM_STATE.+slice.+state.+changed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178-11 --locoid 4015 --swversion DE.1.0.9.0 --startMP 204:232660 --initTime 2017-05-11T14:02:36 --startdatetime 2017-05-11T14:11:24 --delay 1 --endMP 204:424 --enddatetime 2017-05-11T14:55:15 --enforcementcount 0 &gt;&gt;C:\Users\stu\Documents\GitHub\eaglep3-reporting\EC\2017-05-11-refined-times.txt</v>
      </c>
      <c r="AI75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{"issue":{"subject":"","project_id":79,"tracker_id":40,"status_id":1,"priority_id":2,"assigned_to_id":23,"start_date":"2017-05-11","description":"","custom_fields":[{"id":1,"name":"Subdivision","value":"EC"},{"id":4,"name":"Milepost","value":"0.0424"},{"id":17,"name":"Train ID","value":"178-11"},{"id":16,"name":"Locomotive ID","value":"4015"},{"id":130,"name":"Impact","value":""},{"id":150,"name":"Time of Event (Mountain Time)","value":"14:55:15"},{"id":151,"name":"Denver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4015 --day 2017-05-11</v>
      </c>
      <c r="AN75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20:55:15"},{"id":29,"name":"Sharepoint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705</v>
      </c>
      <c r="B76" s="7">
        <v>4054</v>
      </c>
      <c r="C76" s="21" t="s">
        <v>206</v>
      </c>
      <c r="D76" s="21" t="s">
        <v>363</v>
      </c>
      <c r="E76" s="13">
        <v>42866.556446759256</v>
      </c>
      <c r="F76" s="13">
        <v>42866.562743055554</v>
      </c>
      <c r="G76" s="7">
        <v>1</v>
      </c>
      <c r="H76" s="21" t="s">
        <v>860</v>
      </c>
      <c r="I76" s="13">
        <v>42866.59170138889</v>
      </c>
      <c r="J76" s="7">
        <v>0</v>
      </c>
      <c r="K76" s="92" t="str">
        <f t="shared" si="0"/>
        <v>4053/4054</v>
      </c>
      <c r="L76" s="21" t="str">
        <f>VLOOKUP(A76,'Trips&amp;Operators'!$C$1:$G$99999,5,FALSE)</f>
        <v>THOMPSON LESTER</v>
      </c>
      <c r="M76" s="6">
        <f t="shared" si="1"/>
        <v>2.8958333336049691E-2</v>
      </c>
      <c r="N76" s="7">
        <f t="shared" si="42"/>
        <v>41.700000003911555</v>
      </c>
      <c r="O76" s="7"/>
      <c r="P76" s="7"/>
      <c r="Q76" s="22"/>
      <c r="R76" s="190"/>
      <c r="S76" s="196">
        <f t="shared" si="43"/>
        <v>1</v>
      </c>
      <c r="T76" s="190" t="str">
        <f t="shared" si="4"/>
        <v>NorthBound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-11T12:21:17-0600',mode:absolute,to:'2017-05-11T15:12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6" s="192" t="str">
        <f t="shared" si="6"/>
        <v>N</v>
      </c>
      <c r="X76" s="192">
        <f t="shared" si="39"/>
        <v>1</v>
      </c>
      <c r="Y76" s="192">
        <f t="shared" si="8"/>
        <v>4.5100000000000001E-2</v>
      </c>
      <c r="Z76" s="192">
        <f t="shared" si="41"/>
        <v>23.294</v>
      </c>
      <c r="AA76" s="192">
        <f t="shared" si="10"/>
        <v>23.248899999999999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0179-11</v>
      </c>
      <c r="AE76" s="80" t="str">
        <f t="shared" si="12"/>
        <v>aws s3 cp s3://rtdc.mdm.uploadarchive.raw/RTDC4054/ "%USERPROFILE%\AppData\Local\Temp\OnboardLogs"\RTDC4054\2017-05-11 --exclude "*" --recursive --include "*20170511*" &amp; "%USERPROFILE%\Documents\GitHub\mrs-test-scripts\Headless Mode &amp; Sideloading\WalkAndUnGZ.bat" "%USERPROFILE%\AppData\Local\Temp\OnboardLogs"\RTDC4054\2017-05-11 &amp; aws s3 cp s3://rtdc.mdm.uploadarchive.raw/RTDC4054/ "%USERPROFILE%\AppData\Local\Temp\OnboardLogs"\RTDC4054\2017-05-12 --exclude "*" --recursive --include "*20170512*" &amp; "%USERPROFILE%\Documents\GitHub\mrs-test-scripts\Headless Mode &amp; Sideloading\WalkAndUnGZ.bat" "%USERPROFILE%\AppData\Local\Temp\OnboardLogs"\RTDC4054\2017-05-12</v>
      </c>
      <c r="AF76" s="77" t="str">
        <f t="shared" si="13"/>
        <v>"C:\Program Files (x86)\AstroGrep\AstroGrep.exe" /e /r /s /spath="%USERPROFILE%\AppData\Local\Temp\OnboardLogs" /stypes="app*4054*20170511*" /stext=" 20:.+((SYSTEM_STATE.+slice.+state.+changed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179-11 --locoid 4054 --swversion DE.1.0.9.0 --startMP 204:451 --initTime 2017-05-11T13:21:17 --startdatetime 2017-05-11T13:30:21 --delay 1 --endMP 204:232940 --enddatetime 2017-05-11T14:12:03 --enforcementcount 0 &gt;&gt;C:\Users\stu\Documents\GitHub\eaglep3-reporting\EC\2017-05-11-refined-times.txt</v>
      </c>
      <c r="AI76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{"issue":{"subject":"","project_id":79,"tracker_id":40,"status_id":1,"priority_id":2,"assigned_to_id":23,"start_date":"2017-05-11","description":"","custom_fields":[{"id":1,"name":"Subdivision","value":"EC"},{"id":4,"name":"Milepost","value":"23.294"},{"id":17,"name":"Train ID","value":"179-11"},{"id":16,"name":"Locomotive ID","value":"4054"},{"id":130,"name":"Impact","value":""},{"id":150,"name":"Time of Event (Mountain Time)","value":"14:12:03"},{"id":151,"name":"Denver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4054 --day 2017-05-11</v>
      </c>
      <c r="AN76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20:12:03"},{"id":29,"name":"Sharepoint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715</v>
      </c>
      <c r="B77" s="7">
        <v>4053</v>
      </c>
      <c r="C77" s="21" t="s">
        <v>206</v>
      </c>
      <c r="D77" s="21" t="s">
        <v>861</v>
      </c>
      <c r="E77" s="13">
        <v>42866.612500000003</v>
      </c>
      <c r="F77" s="13">
        <v>42866.614282407405</v>
      </c>
      <c r="G77" s="7">
        <v>1</v>
      </c>
      <c r="H77" s="21" t="s">
        <v>197</v>
      </c>
      <c r="I77" s="13">
        <v>42866.642962962964</v>
      </c>
      <c r="J77" s="7">
        <v>0</v>
      </c>
      <c r="K77" s="92" t="str">
        <f t="shared" si="0"/>
        <v>4053/4054</v>
      </c>
      <c r="L77" s="21" t="str">
        <f>VLOOKUP(A77,'Trips&amp;Operators'!$C$1:$G$99999,5,FALSE)</f>
        <v>SMITH MICHAEL</v>
      </c>
      <c r="M77" s="6">
        <f t="shared" si="1"/>
        <v>2.8680555558821652E-2</v>
      </c>
      <c r="N77" s="7">
        <f t="shared" si="42"/>
        <v>41.300000004703179</v>
      </c>
      <c r="O77" s="7"/>
      <c r="P77" s="7"/>
      <c r="Q77" s="22"/>
      <c r="R77" s="190"/>
      <c r="S77" s="196">
        <f t="shared" si="43"/>
        <v>1</v>
      </c>
      <c r="T77" s="190" t="str">
        <f t="shared" si="4"/>
        <v>Southbound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si="5"/>
        <v>https://d0f6bd738d7f1b3e5a7ca70fe4ff75f0.us-east-1.aws.found.io/app/kibana#/discover/Steve-Slow-Train-Analysis-(2080s-and-2083s)?_g=(refreshInterval:(display:Off,pause:!f,section:0,value:0),time:(from:'2017-05-11T13:42:00-0600',mode:absolute,to:'2017-05-11T16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7" s="192" t="str">
        <f t="shared" si="6"/>
        <v>N</v>
      </c>
      <c r="X77" s="192">
        <f t="shared" si="39"/>
        <v>3</v>
      </c>
      <c r="Y77" s="192">
        <f t="shared" si="8"/>
        <v>23.2623</v>
      </c>
      <c r="Z77" s="192">
        <f t="shared" si="41"/>
        <v>1.52E-2</v>
      </c>
      <c r="AA77" s="192">
        <f t="shared" si="10"/>
        <v>23.2471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si="11"/>
        <v>0182-11</v>
      </c>
      <c r="AE77" s="80" t="str">
        <f t="shared" si="12"/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AF77" s="77" t="str">
        <f t="shared" si="13"/>
        <v>"C:\Program Files (x86)\AstroGrep\AstroGrep.exe" /e /r /s /spath="%USERPROFILE%\AppData\Local\Temp\OnboardLogs" /stypes="app*4053*20170511*" /stext=" 21:.+((SYSTEM_STATE.+slice.+state.+changed )|(ment ac)|(multiple cpu faults)|(system.+state.+changed )|(\[timeout)|(PRM\|1\|D)|(kpr)|(kdp)|(train st.+moving)|(\|lc)|(penalty))"</v>
      </c>
      <c r="AG77" s="1" t="str">
        <f t="shared" si="14"/>
        <v>EC</v>
      </c>
      <c r="AH77" s="81" t="str">
        <f t="shared" si="19"/>
        <v>"%USERPROFILE%\Documents\GitHub\eaglep3\Utilities\RefineRTDCRunTimes.py" --tripid 182-11 --locoid 4053 --swversion DE.1.0.9.0 --startMP 204:232623 --initTime 2017-05-11T14:42:00 --startdatetime 2017-05-11T14:44:34 --delay 1 --endMP 204:152 --enddatetime 2017-05-11T15:25:52 --enforcementcount 0 &gt;&gt;C:\Users\stu\Documents\GitHub\eaglep3-reporting\EC\2017-05-11-refined-times.txt</v>
      </c>
      <c r="AI77" s="99" t="str">
        <f t="shared" si="20"/>
        <v>echo {"issue":{"subject":"","project_id":79,"tracker_id":40,"status_id":1,"priority_id":2,"assigned_to_id":23,"start_date":"2017-05-11","description":"","custom_fields":[{"id":1,"name":"Subdivision","value":"EC"},{"id":4,"name":"Milepost","value":"0.0152"},{"id":17,"name":"Train ID","value":"182-11"},{"id":16,"name":"Locomotive ID","value":"4053"},{"id":130,"name":"Impact","value":""},{"id":150,"name":"Time of Event (Mountain Time)","value":"15:25:52"},{"id":151,"name":"Denver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4053 --day 2017-05-11</v>
      </c>
      <c r="AN77" s="154" t="str">
        <f t="shared" si="22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21:25:52"},{"id":29,"name":"Sharepoint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712</v>
      </c>
      <c r="B78" s="7">
        <v>4028</v>
      </c>
      <c r="C78" s="21" t="s">
        <v>206</v>
      </c>
      <c r="D78" s="21" t="s">
        <v>371</v>
      </c>
      <c r="E78" s="13">
        <v>42866.582511574074</v>
      </c>
      <c r="F78" s="13">
        <v>42866.584490740737</v>
      </c>
      <c r="G78" s="7">
        <v>1</v>
      </c>
      <c r="H78" s="21" t="s">
        <v>862</v>
      </c>
      <c r="I78" s="13">
        <v>42866.611759259256</v>
      </c>
      <c r="J78" s="7">
        <v>0</v>
      </c>
      <c r="K78" s="92" t="str">
        <f t="shared" ref="K78:K139" si="44">IF(ISEVEN(B78),(B78-1)&amp;"/"&amp;B78,B78&amp;"/"&amp;(B78+1))</f>
        <v>4027/4028</v>
      </c>
      <c r="L78" s="21" t="str">
        <f>VLOOKUP(A78,'Trips&amp;Operators'!$C$1:$G$99999,5,FALSE)</f>
        <v>HELVIE ADAM</v>
      </c>
      <c r="M78" s="6">
        <f t="shared" ref="M78:M139" si="45">I78-F78</f>
        <v>2.7268518519122154E-2</v>
      </c>
      <c r="N78" s="7">
        <f t="shared" si="42"/>
        <v>39.266666667535901</v>
      </c>
      <c r="O78" s="7"/>
      <c r="P78" s="7"/>
      <c r="Q78" s="22"/>
      <c r="R78" s="190"/>
      <c r="S78" s="196">
        <f t="shared" si="43"/>
        <v>1</v>
      </c>
      <c r="T78" s="190" t="str">
        <f t="shared" ref="T78:T139" si="46">IF(ISEVEN(LEFT(AD78,4)),"Southbound","NorthBound")</f>
        <v>NorthBound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ref="V78:V139" si="47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-05-11T12:58:49-0600',mode:absolute,to:'2017-05-11T15:40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8" s="192" t="str">
        <f t="shared" ref="W78:W139" si="48">IF(AA78&lt;IF(AG78="EC",23,5.65),"Y","N")</f>
        <v>N</v>
      </c>
      <c r="X78" s="192">
        <f t="shared" si="39"/>
        <v>1</v>
      </c>
      <c r="Y78" s="192">
        <f t="shared" ref="Y78:Y139" si="49">RIGHT(D78,LEN(D78)-4)/10000</f>
        <v>4.4400000000000002E-2</v>
      </c>
      <c r="Z78" s="192">
        <f t="shared" si="41"/>
        <v>23.296800000000001</v>
      </c>
      <c r="AA78" s="192">
        <f t="shared" ref="AA78:AA139" si="50">ABS(Z78-Y78)</f>
        <v>23.252400000000002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ref="AD78:AD139" si="51">IF(LEN(A78)=6,"0"&amp;A78,A78)</f>
        <v>0183-11</v>
      </c>
      <c r="AE78" s="80" t="str">
        <f t="shared" ref="AE78:AE139" si="52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 &amp; aws s3 cp s3://rtdc.mdm.uploadarchive.raw/RTDC4028/ "%USERPROFILE%\AppData\Local\Temp\OnboardLogs"\RTDC4028\2017-05-12 --exclude "*" --recursive --include "*20170512*" &amp; "%USERPROFILE%\Documents\GitHub\mrs-test-scripts\Headless Mode &amp; Sideloading\WalkAndUnGZ.bat" "%USERPROFILE%\AppData\Local\Temp\OnboardLogs"\RTDC4028\2017-05-12</v>
      </c>
      <c r="AF78" s="77" t="str">
        <f t="shared" ref="AF78:AF139" si="53"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/stypes="app*4028*20170511*" /stext=" 20:.+((SYSTEM_STATE.+slice.+state.+changed )|(ment ac)|(multiple cpu faults)|(system.+state.+changed )|(\[timeout)|(PRM\|1\|D)|(kpr)|(kdp)|(train st.+moving)|(\|lc)|(penalty))"</v>
      </c>
      <c r="AG78" s="1" t="str">
        <f t="shared" ref="AG78:AG139" si="54">IFERROR(IF(VALUE(LEFT(AD78,2))&lt;=2,"EC",IF(OR(VALUE(LEFT(AD78,2))=8,VALUE(LEFT(AD78,2))=18),"NW","Other")),"Other")</f>
        <v>EC</v>
      </c>
      <c r="AH78" s="81" t="str">
        <f t="shared" ref="AH78:AH139" si="5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183-11 --locoid 4028 --swversion DE.1.0.9.0 --startMP 204:444 --initTime 2017-05-11T13:58:49 --startdatetime 2017-05-11T14:01:40 --delay 1 --endMP 204:232968 --enddatetime 2017-05-11T14:40:56 --enforcementcount 0 &gt;&gt;C:\Users\stu\Documents\GitHub\eaglep3-reporting\EC\2017-05-11-refined-times.txt</v>
      </c>
      <c r="AI78" s="99" t="str">
        <f t="shared" ref="AI78:AI139" si="5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{"issue":{"subject":"","project_id":79,"tracker_id":40,"status_id":1,"priority_id":2,"assigned_to_id":23,"start_date":"2017-05-11","description":"","custom_fields":[{"id":1,"name":"Subdivision","value":"EC"},{"id":4,"name":"Milepost","value":"23.2968"},{"id":17,"name":"Train ID","value":"183-11"},{"id":16,"name":"Locomotive ID","value":"4028"},{"id":130,"name":"Impact","value":""},{"id":150,"name":"Time of Event (Mountain Time)","value":"14:40:56"},{"id":151,"name":"Denver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39" si="57">"start /low /b "&amp;dls3logs&amp;" --loco "&amp;B78&amp;" --day "&amp;TEXT(F78,"YYYY-MM-DD")</f>
        <v>start /low /b %USERPROFILE%\Documents\GitHub\eaglep3\Utilities\DownloadLogsFromS3.py --loco 4028 --day 2017-05-11</v>
      </c>
      <c r="AN78" s="154" t="str">
        <f t="shared" ref="AN78:AN139" si="58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20:40:56"},{"id":29,"name":"Sharepoint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590</v>
      </c>
      <c r="B79" s="7">
        <v>4027</v>
      </c>
      <c r="C79" s="21" t="s">
        <v>206</v>
      </c>
      <c r="D79" s="21" t="s">
        <v>863</v>
      </c>
      <c r="E79" s="13">
        <v>42866.630208333336</v>
      </c>
      <c r="F79" s="13">
        <v>42866.633206018516</v>
      </c>
      <c r="G79" s="7">
        <v>1</v>
      </c>
      <c r="H79" s="21" t="s">
        <v>354</v>
      </c>
      <c r="I79" s="13">
        <v>42866.660983796297</v>
      </c>
      <c r="J79" s="7">
        <v>0</v>
      </c>
      <c r="K79" s="92" t="str">
        <f t="shared" si="44"/>
        <v>4027/4028</v>
      </c>
      <c r="L79" s="21" t="str">
        <f>VLOOKUP(A79,'Trips&amp;Operators'!$C$1:$G$99999,5,FALSE)</f>
        <v>HELVIE ADAM</v>
      </c>
      <c r="M79" s="6">
        <f t="shared" si="45"/>
        <v>2.7777777781011537E-2</v>
      </c>
      <c r="N79" s="7">
        <f t="shared" si="42"/>
        <v>40.000000004656613</v>
      </c>
      <c r="O79" s="7"/>
      <c r="P79" s="7"/>
      <c r="Q79" s="22"/>
      <c r="R79" s="190"/>
      <c r="S79" s="196">
        <f t="shared" si="43"/>
        <v>1</v>
      </c>
      <c r="T79" s="190" t="str">
        <f t="shared" si="46"/>
        <v>Southbound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47"/>
        <v>https://d0f6bd738d7f1b3e5a7ca70fe4ff75f0.us-east-1.aws.found.io/app/kibana#/discover/Steve-Slow-Train-Analysis-(2080s-and-2083s)?_g=(refreshInterval:(display:Off,pause:!f,section:0,value:0),time:(from:'2017-05-11T14:07:30-0600',mode:absolute,to:'2017-05-11T16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9" s="192" t="str">
        <f t="shared" si="48"/>
        <v>N</v>
      </c>
      <c r="X79" s="192">
        <f t="shared" si="39"/>
        <v>3</v>
      </c>
      <c r="Y79" s="192">
        <f t="shared" si="49"/>
        <v>23.2638</v>
      </c>
      <c r="Z79" s="192">
        <f t="shared" si="41"/>
        <v>1.6E-2</v>
      </c>
      <c r="AA79" s="192">
        <f t="shared" si="50"/>
        <v>23.247800000000002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51"/>
        <v>0186-11</v>
      </c>
      <c r="AE79" s="80" t="str">
        <f t="shared" si="52"/>
        <v>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 &amp; aws s3 cp s3://rtdc.mdm.uploadarchive.raw/RTDC4027/ "%USERPROFILE%\AppData\Local\Temp\OnboardLogs"\RTDC4027\2017-05-12 --exclude "*" --recursive --include "*20170512*" &amp; "%USERPROFILE%\Documents\GitHub\mrs-test-scripts\Headless Mode &amp; Sideloading\WalkAndUnGZ.bat" "%USERPROFILE%\AppData\Local\Temp\OnboardLogs"\RTDC4027\2017-05-12</v>
      </c>
      <c r="AF79" s="77" t="str">
        <f t="shared" si="53"/>
        <v>"C:\Program Files (x86)\AstroGrep\AstroGrep.exe" /e /r /s /spath="%USERPROFILE%\AppData\Local\Temp\OnboardLogs" /stypes="app*4027*20170511*" /stext=" 21:.+((SYSTEM_STATE.+slice.+state.+changed )|(ment ac)|(multiple cpu faults)|(system.+state.+changed )|(\[timeout)|(PRM\|1\|D)|(kpr)|(kdp)|(train st.+moving)|(\|lc)|(penalty))"</v>
      </c>
      <c r="AG79" s="1" t="str">
        <f t="shared" si="54"/>
        <v>EC</v>
      </c>
      <c r="AH79" s="81" t="str">
        <f t="shared" si="55"/>
        <v>"%USERPROFILE%\Documents\GitHub\eaglep3\Utilities\RefineRTDCRunTimes.py" --tripid 186-11 --locoid 4027 --swversion DE.1.0.9.0 --startMP 204:232638 --initTime 2017-05-11T15:07:30 --startdatetime 2017-05-11T15:11:49 --delay 1 --endMP 204:160 --enddatetime 2017-05-11T15:51:49 --enforcementcount 0 &gt;&gt;C:\Users\stu\Documents\GitHub\eaglep3-reporting\EC\2017-05-11-refined-times.txt</v>
      </c>
      <c r="AI79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{"issue":{"subject":"","project_id":79,"tracker_id":40,"status_id":1,"priority_id":2,"assigned_to_id":23,"start_date":"2017-05-11","description":"","custom_fields":[{"id":1,"name":"Subdivision","value":"EC"},{"id":4,"name":"Milepost","value":"0.016"},{"id":17,"name":"Train ID","value":"186-11"},{"id":16,"name":"Locomotive ID","value":"4027"},{"id":130,"name":"Impact","value":""},{"id":150,"name":"Time of Event (Mountain Time)","value":"15:51:49"},{"id":151,"name":"Denver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57"/>
        <v>start /low /b %USERPROFILE%\Documents\GitHub\eaglep3\Utilities\DownloadLogsFromS3.py --loco 4027 --day 2017-05-11</v>
      </c>
      <c r="AN79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21:51:49"},{"id":29,"name":"Sharepoint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713</v>
      </c>
      <c r="B80" s="7">
        <v>4004</v>
      </c>
      <c r="C80" s="21" t="s">
        <v>206</v>
      </c>
      <c r="D80" s="21" t="s">
        <v>864</v>
      </c>
      <c r="E80" s="13">
        <v>42866.604120370372</v>
      </c>
      <c r="F80" s="13">
        <v>42866.605219907404</v>
      </c>
      <c r="G80" s="7">
        <v>1</v>
      </c>
      <c r="H80" s="21" t="s">
        <v>865</v>
      </c>
      <c r="I80" s="13">
        <v>42866.631967592592</v>
      </c>
      <c r="J80" s="7">
        <v>0</v>
      </c>
      <c r="K80" s="92" t="str">
        <f t="shared" si="44"/>
        <v>4003/4004</v>
      </c>
      <c r="L80" s="21" t="str">
        <f>VLOOKUP(A80,'Trips&amp;Operators'!$C$1:$G$99999,5,FALSE)</f>
        <v>BIRENBAUM THOMAS</v>
      </c>
      <c r="M80" s="6">
        <f t="shared" si="45"/>
        <v>2.6747685187729076E-2</v>
      </c>
      <c r="N80" s="7">
        <f t="shared" si="42"/>
        <v>38.516666670329869</v>
      </c>
      <c r="O80" s="7"/>
      <c r="P80" s="7"/>
      <c r="Q80" s="22"/>
      <c r="R80" s="190"/>
      <c r="S80" s="196">
        <f t="shared" si="43"/>
        <v>1</v>
      </c>
      <c r="T80" s="190" t="str">
        <f t="shared" si="46"/>
        <v>NorthBound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47"/>
        <v>https://d0f6bd738d7f1b3e5a7ca70fe4ff75f0.us-east-1.aws.found.io/app/kibana#/discover/Steve-Slow-Train-Analysis-(2080s-and-2083s)?_g=(refreshInterval:(display:Off,pause:!f,section:0,value:0),time:(from:'2017-05-11T13:29:56-0600',mode:absolute,to:'2017-05-11T16:10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0" s="192" t="str">
        <f t="shared" si="48"/>
        <v>N</v>
      </c>
      <c r="X80" s="192">
        <f t="shared" si="39"/>
        <v>1</v>
      </c>
      <c r="Y80" s="192">
        <f t="shared" si="49"/>
        <v>7.6799999999999993E-2</v>
      </c>
      <c r="Z80" s="192">
        <f t="shared" si="41"/>
        <v>23.2959</v>
      </c>
      <c r="AA80" s="192">
        <f t="shared" si="50"/>
        <v>23.219100000000001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51"/>
        <v>0187-11</v>
      </c>
      <c r="AE80" s="80" t="str">
        <f t="shared" si="52"/>
        <v>aws s3 cp s3://rtdc.mdm.uploadarchive.raw/RTDC4004/ "%USERPROFILE%\AppData\Local\Temp\OnboardLogs"\RTDC4004\2017-05-11 --exclude "*" --recursive --include "*20170511*" &amp; "%USERPROFILE%\Documents\GitHub\mrs-test-scripts\Headless Mode &amp; Sideloading\WalkAndUnGZ.bat" "%USERPROFILE%\AppData\Local\Temp\OnboardLogs"\RTDC4004\2017-05-11 &amp; aws s3 cp s3://rtdc.mdm.uploadarchive.raw/RTDC4004/ "%USERPROFILE%\AppData\Local\Temp\OnboardLogs"\RTDC4004\2017-05-12 --exclude "*" --recursive --include "*20170512*" &amp; "%USERPROFILE%\Documents\GitHub\mrs-test-scripts\Headless Mode &amp; Sideloading\WalkAndUnGZ.bat" "%USERPROFILE%\AppData\Local\Temp\OnboardLogs"\RTDC4004\2017-05-12</v>
      </c>
      <c r="AF80" s="77" t="str">
        <f t="shared" si="53"/>
        <v>"C:\Program Files (x86)\AstroGrep\AstroGrep.exe" /e /r /s /spath="%USERPROFILE%\AppData\Local\Temp\OnboardLogs" /stypes="app*4004*20170511*" /stext=" 21:.+((SYSTEM_STATE.+slice.+state.+changed )|(ment ac)|(multiple cpu faults)|(system.+state.+changed )|(\[timeout)|(PRM\|1\|D)|(kpr)|(kdp)|(train st.+moving)|(\|lc)|(penalty))"</v>
      </c>
      <c r="AG80" s="1" t="str">
        <f t="shared" si="54"/>
        <v>EC</v>
      </c>
      <c r="AH80" s="81" t="str">
        <f t="shared" si="55"/>
        <v>"%USERPROFILE%\Documents\GitHub\eaglep3\Utilities\RefineRTDCRunTimes.py" --tripid 187-11 --locoid 4004 --swversion DE.1.0.9.0 --startMP 204:768 --initTime 2017-05-11T14:29:56 --startdatetime 2017-05-11T14:31:31 --delay 1 --endMP 204:232959 --enddatetime 2017-05-11T15:10:02 --enforcementcount 0 &gt;&gt;C:\Users\stu\Documents\GitHub\eaglep3-reporting\EC\2017-05-11-refined-times.txt</v>
      </c>
      <c r="AI80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{"issue":{"subject":"","project_id":79,"tracker_id":40,"status_id":1,"priority_id":2,"assigned_to_id":23,"start_date":"2017-05-11","description":"","custom_fields":[{"id":1,"name":"Subdivision","value":"EC"},{"id":4,"name":"Milepost","value":"23.2959"},{"id":17,"name":"Train ID","value":"187-11"},{"id":16,"name":"Locomotive ID","value":"4004"},{"id":130,"name":"Impact","value":""},{"id":150,"name":"Time of Event (Mountain Time)","value":"15:10:02"},{"id":151,"name":"Denver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57"/>
        <v>start /low /b %USERPROFILE%\Documents\GitHub\eaglep3\Utilities\DownloadLogsFromS3.py --loco 4004 --day 2017-05-11</v>
      </c>
      <c r="AN80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21:10:02"},{"id":29,"name":"Sharepoint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722</v>
      </c>
      <c r="B81" s="7">
        <v>4003</v>
      </c>
      <c r="C81" s="21" t="s">
        <v>206</v>
      </c>
      <c r="D81" s="21" t="s">
        <v>866</v>
      </c>
      <c r="E81" s="13">
        <v>42866.633726851855</v>
      </c>
      <c r="F81" s="13">
        <v>42866.654189814813</v>
      </c>
      <c r="G81" s="7">
        <v>21</v>
      </c>
      <c r="H81" s="21" t="s">
        <v>376</v>
      </c>
      <c r="I81" s="13">
        <v>42866.68041666667</v>
      </c>
      <c r="J81" s="7">
        <v>0</v>
      </c>
      <c r="K81" s="92" t="str">
        <f t="shared" si="44"/>
        <v>4003/4004</v>
      </c>
      <c r="L81" s="21" t="str">
        <f>VLOOKUP(A81,'Trips&amp;Operators'!$C$1:$G$99999,5,FALSE)</f>
        <v>BIRENBAUM THOMAS</v>
      </c>
      <c r="M81" s="6">
        <f t="shared" si="45"/>
        <v>2.6226851856335998E-2</v>
      </c>
      <c r="N81" s="7">
        <f t="shared" si="42"/>
        <v>37.766666673123837</v>
      </c>
      <c r="O81" s="7"/>
      <c r="P81" s="7"/>
      <c r="Q81" s="22"/>
      <c r="R81" s="190"/>
      <c r="S81" s="196">
        <f t="shared" si="43"/>
        <v>1</v>
      </c>
      <c r="T81" s="190" t="str">
        <f t="shared" si="46"/>
        <v>Southbound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47"/>
        <v>https://d0f6bd738d7f1b3e5a7ca70fe4ff75f0.us-east-1.aws.found.io/app/kibana#/discover/Steve-Slow-Train-Analysis-(2080s-and-2083s)?_g=(refreshInterval:(display:Off,pause:!f,section:0,value:0),time:(from:'2017-05-11T14:12:34-0600',mode:absolute,to:'2017-05-11T17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1" s="192" t="str">
        <f t="shared" si="48"/>
        <v>N</v>
      </c>
      <c r="X81" s="192">
        <f t="shared" si="39"/>
        <v>3</v>
      </c>
      <c r="Y81" s="192">
        <f t="shared" si="49"/>
        <v>23.263500000000001</v>
      </c>
      <c r="Z81" s="192">
        <f t="shared" si="41"/>
        <v>1.47E-2</v>
      </c>
      <c r="AA81" s="192">
        <f t="shared" si="50"/>
        <v>23.248799999999999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51"/>
        <v>0190-11</v>
      </c>
      <c r="AE81" s="80" t="str">
        <f t="shared" si="52"/>
        <v>aws s3 cp s3://rtdc.mdm.uploadarchive.raw/RTDC4003/ "%USERPROFILE%\AppData\Local\Temp\OnboardLogs"\RTDC4003\2017-05-11 --exclude "*" --recursive --include "*20170511*" &amp; "%USERPROFILE%\Documents\GitHub\mrs-test-scripts\Headless Mode &amp; Sideloading\WalkAndUnGZ.bat" "%USERPROFILE%\AppData\Local\Temp\OnboardLogs"\RTDC4003\2017-05-11 &amp; aws s3 cp s3://rtdc.mdm.uploadarchive.raw/RTDC4003/ "%USERPROFILE%\AppData\Local\Temp\OnboardLogs"\RTDC4003\2017-05-12 --exclude "*" --recursive --include "*20170512*" &amp; "%USERPROFILE%\Documents\GitHub\mrs-test-scripts\Headless Mode &amp; Sideloading\WalkAndUnGZ.bat" "%USERPROFILE%\AppData\Local\Temp\OnboardLogs"\RTDC4003\2017-05-12</v>
      </c>
      <c r="AF81" s="77" t="str">
        <f t="shared" si="53"/>
        <v>"C:\Program Files (x86)\AstroGrep\AstroGrep.exe" /e /r /s /spath="%USERPROFILE%\AppData\Local\Temp\OnboardLogs" /stypes="app*4003*20170511*" /stext=" 22:.+((SYSTEM_STATE.+slice.+state.+changed )|(ment ac)|(multiple cpu faults)|(system.+state.+changed )|(\[timeout)|(PRM\|1\|D)|(kpr)|(kdp)|(train st.+moving)|(\|lc)|(penalty))"</v>
      </c>
      <c r="AG81" s="1" t="str">
        <f t="shared" si="54"/>
        <v>EC</v>
      </c>
      <c r="AH81" s="81" t="str">
        <f t="shared" si="55"/>
        <v>"%USERPROFILE%\Documents\GitHub\eaglep3\Utilities\RefineRTDCRunTimes.py" --tripid 190-11 --locoid 4003 --swversion DE.1.0.9.0 --startMP 204:232635 --initTime 2017-05-11T15:12:34 --startdatetime 2017-05-11T15:42:02 --delay 21 --endMP 204:147 --enddatetime 2017-05-11T16:19:48 --enforcementcount 0 &gt;&gt;C:\Users\stu\Documents\GitHub\eaglep3-reporting\EC\2017-05-11-refined-times.txt</v>
      </c>
      <c r="AI81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{"issue":{"subject":"","project_id":79,"tracker_id":40,"status_id":1,"priority_id":2,"assigned_to_id":23,"start_date":"2017-05-11","description":"","custom_fields":[{"id":1,"name":"Subdivision","value":"EC"},{"id":4,"name":"Milepost","value":"0.0147"},{"id":17,"name":"Train ID","value":"190-11"},{"id":16,"name":"Locomotive ID","value":"4003"},{"id":130,"name":"Impact","value":""},{"id":150,"name":"Time of Event (Mountain Time)","value":"16:19:48"},{"id":151,"name":"Denver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57"/>
        <v>start /low /b %USERPROFILE%\Documents\GitHub\eaglep3\Utilities\DownloadLogsFromS3.py --loco 4003 --day 2017-05-11</v>
      </c>
      <c r="AN81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22:19:48"},{"id":29,"name":"Sharepoint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719</v>
      </c>
      <c r="B82" s="7">
        <v>4016</v>
      </c>
      <c r="C82" s="21" t="s">
        <v>206</v>
      </c>
      <c r="D82" s="21" t="s">
        <v>867</v>
      </c>
      <c r="E82" s="13">
        <v>42866.62400462963</v>
      </c>
      <c r="F82" s="13">
        <v>42866.626898148148</v>
      </c>
      <c r="G82" s="7">
        <v>1</v>
      </c>
      <c r="H82" s="21" t="s">
        <v>868</v>
      </c>
      <c r="I82" s="13">
        <v>42866.655057870368</v>
      </c>
      <c r="J82" s="7">
        <v>0</v>
      </c>
      <c r="K82" s="92" t="str">
        <f t="shared" si="44"/>
        <v>4015/4016</v>
      </c>
      <c r="L82" s="21" t="str">
        <f>VLOOKUP(A82,'Trips&amp;Operators'!$C$1:$G$99999,5,FALSE)</f>
        <v>BRANDNER MELINDA</v>
      </c>
      <c r="M82" s="6">
        <f t="shared" si="45"/>
        <v>2.8159722220152617E-2</v>
      </c>
      <c r="N82" s="7">
        <f t="shared" si="42"/>
        <v>40.549999997019768</v>
      </c>
      <c r="O82" s="7"/>
      <c r="P82" s="7"/>
      <c r="Q82" s="22"/>
      <c r="R82" s="190" t="s">
        <v>1051</v>
      </c>
      <c r="S82" s="196">
        <f t="shared" si="43"/>
        <v>1</v>
      </c>
      <c r="T82" s="190" t="str">
        <f t="shared" si="46"/>
        <v>NorthBound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47"/>
        <v>https://d0f6bd738d7f1b3e5a7ca70fe4ff75f0.us-east-1.aws.found.io/app/kibana#/discover/Steve-Slow-Train-Analysis-(2080s-and-2083s)?_g=(refreshInterval:(display:Off,pause:!f,section:0,value:0),time:(from:'2017-05-11T13:58:34-0600',mode:absolute,to:'2017-05-11T16:43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2" s="192" t="str">
        <f t="shared" si="48"/>
        <v>N</v>
      </c>
      <c r="X82" s="192">
        <f t="shared" si="39"/>
        <v>1</v>
      </c>
      <c r="Y82" s="192">
        <f t="shared" si="49"/>
        <v>7.1300000000000002E-2</v>
      </c>
      <c r="Z82" s="192">
        <f t="shared" si="41"/>
        <v>23.297599999999999</v>
      </c>
      <c r="AA82" s="192">
        <f t="shared" si="50"/>
        <v>23.226299999999998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51"/>
        <v>0191-11</v>
      </c>
      <c r="AE82" s="80" t="str">
        <f t="shared" si="52"/>
        <v>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 &amp; 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</v>
      </c>
      <c r="AF82" s="77" t="str">
        <f t="shared" si="53"/>
        <v>"C:\Program Files (x86)\AstroGrep\AstroGrep.exe" /e /r /s /spath="%USERPROFILE%\AppData\Local\Temp\OnboardLogs" /stypes="app*4016*20170511*" /stext=" 21:.+((SYSTEM_STATE.+slice.+state.+changed )|(ment ac)|(multiple cpu faults)|(system.+state.+changed )|(\[timeout)|(PRM\|1\|D)|(kpr)|(kdp)|(train st.+moving)|(\|lc)|(penalty))"</v>
      </c>
      <c r="AG82" s="1" t="str">
        <f t="shared" si="54"/>
        <v>EC</v>
      </c>
      <c r="AH82" s="81" t="str">
        <f t="shared" si="55"/>
        <v>"%USERPROFILE%\Documents\GitHub\eaglep3\Utilities\RefineRTDCRunTimes.py" --tripid 191-11 --locoid 4016 --swversion DE.1.0.9.0 --startMP 204:713 --initTime 2017-05-11T14:58:34 --startdatetime 2017-05-11T15:02:44 --delay 1 --endMP 204:232976 --enddatetime 2017-05-11T15:43:17 --enforcementcount 0 &gt;&gt;C:\Users\stu\Documents\GitHub\eaglep3-reporting\EC\2017-05-11-refined-times.txt</v>
      </c>
      <c r="AI82" s="99" t="str">
        <f t="shared" si="56"/>
        <v>echo {"issue":{"subject":"Brake system issues during init? BPP was 0 prior to initializing, had trouble building air during Class 2 process","project_id":79,"tracker_id":40,"status_id":1,"priority_id":2,"assigned_to_id":23,"start_date":"2017-05-11","description":"","custom_fields":[{"id":1,"name":"Subdivision","value":"EC"},{"id":4,"name":"Milepost","value":"23.2976"},{"id":17,"name":"Train ID","value":"191-11"},{"id":16,"name":"Locomotive ID","value":"4016"},{"id":130,"name":"Impact","value":""},{"id":150,"name":"Time of Event (Mountain Time)","value":"15:43:17"},{"id":151,"name":"Denver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57"/>
        <v>start /low /b %USERPROFILE%\Documents\GitHub\eaglep3\Utilities\DownloadLogsFromS3.py --loco 4016 --day 2017-05-11</v>
      </c>
      <c r="AN82" s="154" t="str">
        <f t="shared" si="58"/>
        <v>echo {"issue":{"subject":"Brake system issues during init? BPP was 0 prior to initializing, had trouble building air during Class 2 process","project_id":30,"tracker_id":4,"status_id":1,"priority_id":1,"assigned_to_id":10,"start_date":"2017-05-11","description":"","custom_fields":[{"id":30,"name":"Category","value":"Issue"},{"id":3,"name":"Functional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21:43:17"},{"id":29,"name":"Sharepoint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592</v>
      </c>
      <c r="B83" s="7">
        <v>4015</v>
      </c>
      <c r="C83" s="21" t="s">
        <v>206</v>
      </c>
      <c r="D83" s="21" t="s">
        <v>869</v>
      </c>
      <c r="E83" s="13">
        <v>42866.667754629627</v>
      </c>
      <c r="F83" s="13">
        <v>42866.674502314818</v>
      </c>
      <c r="G83" s="7">
        <v>2</v>
      </c>
      <c r="H83" s="21" t="s">
        <v>358</v>
      </c>
      <c r="I83" s="13">
        <v>42866.703541666669</v>
      </c>
      <c r="J83" s="7">
        <v>0</v>
      </c>
      <c r="K83" s="92" t="str">
        <f t="shared" si="44"/>
        <v>4015/4016</v>
      </c>
      <c r="L83" s="21" t="str">
        <f>VLOOKUP(A83,'Trips&amp;Operators'!$C$1:$G$99999,5,FALSE)</f>
        <v>BRANDNER MELINDA</v>
      </c>
      <c r="M83" s="6">
        <f t="shared" si="45"/>
        <v>2.9039351851679385E-2</v>
      </c>
      <c r="N83" s="7">
        <f t="shared" si="42"/>
        <v>41.816666666418314</v>
      </c>
      <c r="O83" s="7"/>
      <c r="P83" s="7"/>
      <c r="Q83" s="22"/>
      <c r="R83" s="190"/>
      <c r="S83" s="196">
        <f t="shared" si="43"/>
        <v>1</v>
      </c>
      <c r="T83" s="190" t="str">
        <f t="shared" si="46"/>
        <v>Southbound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47"/>
        <v>https://d0f6bd738d7f1b3e5a7ca70fe4ff75f0.us-east-1.aws.found.io/app/kibana#/discover/Steve-Slow-Train-Analysis-(2080s-and-2083s)?_g=(refreshInterval:(display:Off,pause:!f,section:0,value:0),time:(from:'2017-05-11T15:01:34-0600',mode:absolute,to:'2017-05-11T17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3" s="192" t="str">
        <f t="shared" si="48"/>
        <v>N</v>
      </c>
      <c r="X83" s="192">
        <f t="shared" si="39"/>
        <v>3</v>
      </c>
      <c r="Y83" s="192">
        <f t="shared" si="49"/>
        <v>23.265799999999999</v>
      </c>
      <c r="Z83" s="192">
        <f t="shared" si="41"/>
        <v>1.4999999999999999E-2</v>
      </c>
      <c r="AA83" s="192">
        <f t="shared" si="50"/>
        <v>23.250799999999998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51"/>
        <v>0194-11</v>
      </c>
      <c r="AE83" s="80" t="str">
        <f t="shared" si="52"/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AF83" s="77" t="str">
        <f t="shared" si="53"/>
        <v>"C:\Program Files (x86)\AstroGrep\AstroGrep.exe" /e /r /s /spath="%USERPROFILE%\AppData\Local\Temp\OnboardLogs" /stypes="app*4015*20170511*" /stext=" 22:.+((SYSTEM_STATE.+slice.+state.+changed )|(ment ac)|(multiple cpu faults)|(system.+state.+changed )|(\[timeout)|(PRM\|1\|D)|(kpr)|(kdp)|(train st.+moving)|(\|lc)|(penalty))"</v>
      </c>
      <c r="AG83" s="1" t="str">
        <f t="shared" si="54"/>
        <v>EC</v>
      </c>
      <c r="AH83" s="81" t="str">
        <f t="shared" si="55"/>
        <v>"%USERPROFILE%\Documents\GitHub\eaglep3\Utilities\RefineRTDCRunTimes.py" --tripid 194-11 --locoid 4015 --swversion DE.1.0.9.0 --startMP 204:232658 --initTime 2017-05-11T16:01:34 --startdatetime 2017-05-11T16:11:17 --delay 2 --endMP 204:150 --enddatetime 2017-05-11T16:53:06 --enforcementcount 0 &gt;&gt;C:\Users\stu\Documents\GitHub\eaglep3-reporting\EC\2017-05-11-refined-times.txt</v>
      </c>
      <c r="AI83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{"issue":{"subject":"","project_id":79,"tracker_id":40,"status_id":1,"priority_id":2,"assigned_to_id":23,"start_date":"2017-05-11","description":"","custom_fields":[{"id":1,"name":"Subdivision","value":"EC"},{"id":4,"name":"Milepost","value":"0.015"},{"id":17,"name":"Train ID","value":"194-11"},{"id":16,"name":"Locomotive ID","value":"4015"},{"id":130,"name":"Impact","value":""},{"id":150,"name":"Time of Event (Mountain Time)","value":"16:53:06"},{"id":151,"name":"Denver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57"/>
        <v>start /low /b %USERPROFILE%\Documents\GitHub\eaglep3\Utilities\DownloadLogsFromS3.py --loco 4015 --day 2017-05-11</v>
      </c>
      <c r="AN83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22:53:06"},{"id":29,"name":"Sharepoint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2" t="s">
        <v>721</v>
      </c>
      <c r="B84" s="7">
        <v>4054</v>
      </c>
      <c r="C84" s="21" t="s">
        <v>206</v>
      </c>
      <c r="D84" s="21" t="s">
        <v>361</v>
      </c>
      <c r="E84" s="13">
        <v>42866.644375000003</v>
      </c>
      <c r="F84" s="13">
        <v>42866.646168981482</v>
      </c>
      <c r="G84" s="7">
        <v>1</v>
      </c>
      <c r="H84" s="21" t="s">
        <v>530</v>
      </c>
      <c r="I84" s="13">
        <v>42866.672615740739</v>
      </c>
      <c r="J84" s="7">
        <v>0</v>
      </c>
      <c r="K84" s="92" t="str">
        <f t="shared" si="44"/>
        <v>4053/4054</v>
      </c>
      <c r="L84" s="21" t="str">
        <f>VLOOKUP(A84,'Trips&amp;Operators'!$C$1:$G$99999,5,FALSE)</f>
        <v>YANAI IAN</v>
      </c>
      <c r="M84" s="6">
        <f t="shared" si="45"/>
        <v>2.6446759256941732E-2</v>
      </c>
      <c r="N84" s="7">
        <f t="shared" si="42"/>
        <v>38.083333329996094</v>
      </c>
      <c r="O84" s="7"/>
      <c r="P84" s="7"/>
      <c r="Q84" s="22"/>
      <c r="R84" s="190"/>
      <c r="S84" s="196">
        <f t="shared" si="43"/>
        <v>1</v>
      </c>
      <c r="T84" s="190" t="str">
        <f t="shared" si="46"/>
        <v>NorthBound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47"/>
        <v>https://d0f6bd738d7f1b3e5a7ca70fe4ff75f0.us-east-1.aws.found.io/app/kibana#/discover/Steve-Slow-Train-Analysis-(2080s-and-2083s)?_g=(refreshInterval:(display:Off,pause:!f,section:0,value:0),time:(from:'2017-05-11T14:27:54-0600',mode:absolute,to:'2017-05-11T17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4" s="192" t="str">
        <f t="shared" si="48"/>
        <v>N</v>
      </c>
      <c r="X84" s="192">
        <f t="shared" si="39"/>
        <v>1</v>
      </c>
      <c r="Y84" s="192">
        <f t="shared" si="49"/>
        <v>4.6600000000000003E-2</v>
      </c>
      <c r="Z84" s="192">
        <f t="shared" si="41"/>
        <v>23.296500000000002</v>
      </c>
      <c r="AA84" s="192">
        <f t="shared" si="50"/>
        <v>23.2499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51"/>
        <v>0195-11</v>
      </c>
      <c r="AE84" s="80" t="str">
        <f t="shared" si="52"/>
        <v>aws s3 cp s3://rtdc.mdm.uploadarchive.raw/RTDC4054/ "%USERPROFILE%\AppData\Local\Temp\OnboardLogs"\RTDC4054\2017-05-11 --exclude "*" --recursive --include "*20170511*" &amp; "%USERPROFILE%\Documents\GitHub\mrs-test-scripts\Headless Mode &amp; Sideloading\WalkAndUnGZ.bat" "%USERPROFILE%\AppData\Local\Temp\OnboardLogs"\RTDC4054\2017-05-11 &amp; aws s3 cp s3://rtdc.mdm.uploadarchive.raw/RTDC4054/ "%USERPROFILE%\AppData\Local\Temp\OnboardLogs"\RTDC4054\2017-05-12 --exclude "*" --recursive --include "*20170512*" &amp; "%USERPROFILE%\Documents\GitHub\mrs-test-scripts\Headless Mode &amp; Sideloading\WalkAndUnGZ.bat" "%USERPROFILE%\AppData\Local\Temp\OnboardLogs"\RTDC4054\2017-05-12</v>
      </c>
      <c r="AF84" s="77" t="str">
        <f t="shared" si="53"/>
        <v>"C:\Program Files (x86)\AstroGrep\AstroGrep.exe" /e /r /s /spath="%USERPROFILE%\AppData\Local\Temp\OnboardLogs" /stypes="app*4054*20170511*" /stext=" 22:.+((SYSTEM_STATE.+slice.+state.+changed )|(ment ac)|(multiple cpu faults)|(system.+state.+changed )|(\[timeout)|(PRM\|1\|D)|(kpr)|(kdp)|(train st.+moving)|(\|lc)|(penalty))"</v>
      </c>
      <c r="AG84" s="1" t="str">
        <f t="shared" si="54"/>
        <v>EC</v>
      </c>
      <c r="AH84" s="81" t="str">
        <f t="shared" si="55"/>
        <v>"%USERPROFILE%\Documents\GitHub\eaglep3\Utilities\RefineRTDCRunTimes.py" --tripid 195-11 --locoid 4054 --swversion DE.1.0.9.0 --startMP 204:466 --initTime 2017-05-11T15:27:54 --startdatetime 2017-05-11T15:30:29 --delay 1 --endMP 204:232965 --enddatetime 2017-05-11T16:08:34 --enforcementcount 0 &gt;&gt;C:\Users\stu\Documents\GitHub\eaglep3-reporting\EC\2017-05-11-refined-times.txt</v>
      </c>
      <c r="AI84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{"issue":{"subject":"","project_id":79,"tracker_id":40,"status_id":1,"priority_id":2,"assigned_to_id":23,"start_date":"2017-05-11","description":"","custom_fields":[{"id":1,"name":"Subdivision","value":"EC"},{"id":4,"name":"Milepost","value":"23.2965"},{"id":17,"name":"Train ID","value":"195-11"},{"id":16,"name":"Locomotive ID","value":"4054"},{"id":130,"name":"Impact","value":""},{"id":150,"name":"Time of Event (Mountain Time)","value":"16:08:34"},{"id":151,"name":"Denver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7"/>
      <c r="AL84" s="47"/>
      <c r="AM84" s="145" t="str">
        <f t="shared" si="57"/>
        <v>start /low /b %USERPROFILE%\Documents\GitHub\eaglep3\Utilities\DownloadLogsFromS3.py --loco 4054 --day 2017-05-11</v>
      </c>
      <c r="AN84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22:08:34"},{"id":29,"name":"Sharepoint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729</v>
      </c>
      <c r="B85" s="7">
        <v>4053</v>
      </c>
      <c r="C85" s="21" t="s">
        <v>206</v>
      </c>
      <c r="D85" s="21" t="s">
        <v>870</v>
      </c>
      <c r="E85" s="13">
        <v>42866.678564814814</v>
      </c>
      <c r="F85" s="13">
        <v>42866.695335648146</v>
      </c>
      <c r="G85" s="7">
        <v>1</v>
      </c>
      <c r="H85" s="21" t="s">
        <v>353</v>
      </c>
      <c r="I85" s="13">
        <v>42866.723657407405</v>
      </c>
      <c r="J85" s="7">
        <v>0</v>
      </c>
      <c r="K85" s="92" t="str">
        <f t="shared" si="44"/>
        <v>4053/4054</v>
      </c>
      <c r="L85" s="21" t="str">
        <f>VLOOKUP(A85,'Trips&amp;Operators'!$C$1:$G$99999,5,FALSE)</f>
        <v>SMITH MICHAEL</v>
      </c>
      <c r="M85" s="6">
        <f t="shared" si="45"/>
        <v>2.8321759258687962E-2</v>
      </c>
      <c r="N85" s="7">
        <f t="shared" si="42"/>
        <v>40.783333332510665</v>
      </c>
      <c r="O85" s="7"/>
      <c r="P85" s="7"/>
      <c r="Q85" s="22"/>
      <c r="R85" s="190"/>
      <c r="S85" s="196">
        <f t="shared" si="43"/>
        <v>1</v>
      </c>
      <c r="T85" s="190" t="str">
        <f t="shared" si="46"/>
        <v>Southbound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47"/>
        <v>https://d0f6bd738d7f1b3e5a7ca70fe4ff75f0.us-east-1.aws.found.io/app/kibana#/discover/Steve-Slow-Train-Analysis-(2080s-and-2083s)?_g=(refreshInterval:(display:Off,pause:!f,section:0,value:0),time:(from:'2017-05-11T15:17:08-0600',mode:absolute,to:'2017-05-11T18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5" s="192" t="str">
        <f t="shared" si="48"/>
        <v>N</v>
      </c>
      <c r="X85" s="192">
        <f t="shared" si="39"/>
        <v>3</v>
      </c>
      <c r="Y85" s="192">
        <f t="shared" si="49"/>
        <v>23.264399999999998</v>
      </c>
      <c r="Z85" s="192">
        <f t="shared" si="41"/>
        <v>1.4500000000000001E-2</v>
      </c>
      <c r="AA85" s="192">
        <f t="shared" si="50"/>
        <v>23.249899999999997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51"/>
        <v>0198-11</v>
      </c>
      <c r="AE85" s="80" t="str">
        <f t="shared" si="52"/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AF85" s="77" t="str">
        <f t="shared" si="53"/>
        <v>"C:\Program Files (x86)\AstroGrep\AstroGrep.exe" /e /r /s /spath="%USERPROFILE%\AppData\Local\Temp\OnboardLogs" /stypes="app*4053*20170511*" /stext=" 23:.+((SYSTEM_STATE.+slice.+state.+changed )|(ment ac)|(multiple cpu faults)|(system.+state.+changed )|(\[timeout)|(PRM\|1\|D)|(kpr)|(kdp)|(train st.+moving)|(\|lc)|(penalty))"</v>
      </c>
      <c r="AG85" s="1" t="str">
        <f t="shared" si="54"/>
        <v>EC</v>
      </c>
      <c r="AH85" s="81" t="str">
        <f t="shared" si="55"/>
        <v>"%USERPROFILE%\Documents\GitHub\eaglep3\Utilities\RefineRTDCRunTimes.py" --tripid 198-11 --locoid 4053 --swversion DE.1.0.9.0 --startMP 204:232644 --initTime 2017-05-11T16:17:08 --startdatetime 2017-05-11T16:41:17 --delay 1 --endMP 204:145 --enddatetime 2017-05-11T17:22:04 --enforcementcount 0 &gt;&gt;C:\Users\stu\Documents\GitHub\eaglep3-reporting\EC\2017-05-11-refined-times.txt</v>
      </c>
      <c r="AI85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{"issue":{"subject":"","project_id":79,"tracker_id":40,"status_id":1,"priority_id":2,"assigned_to_id":23,"start_date":"2017-05-11","description":"","custom_fields":[{"id":1,"name":"Subdivision","value":"EC"},{"id":4,"name":"Milepost","value":"0.0145"},{"id":17,"name":"Train ID","value":"198-11"},{"id":16,"name":"Locomotive ID","value":"4053"},{"id":130,"name":"Impact","value":""},{"id":150,"name":"Time of Event (Mountain Time)","value":"17:22:04"},{"id":151,"name":"Denver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57"/>
        <v>start /low /b %USERPROFILE%\Documents\GitHub\eaglep3\Utilities\DownloadLogsFromS3.py --loco 4053 --day 2017-05-11</v>
      </c>
      <c r="AN85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2" t="s">
        <v>726</v>
      </c>
      <c r="B86" s="7">
        <v>4028</v>
      </c>
      <c r="C86" s="21" t="s">
        <v>206</v>
      </c>
      <c r="D86" s="21" t="s">
        <v>361</v>
      </c>
      <c r="E86" s="13">
        <v>42866.664837962962</v>
      </c>
      <c r="F86" s="13">
        <v>42866.666886574072</v>
      </c>
      <c r="G86" s="7">
        <v>1</v>
      </c>
      <c r="H86" s="21" t="s">
        <v>470</v>
      </c>
      <c r="I86" s="13">
        <v>42866.69263888889</v>
      </c>
      <c r="J86" s="7">
        <v>0</v>
      </c>
      <c r="K86" s="92" t="str">
        <f t="shared" si="44"/>
        <v>4027/4028</v>
      </c>
      <c r="L86" s="21" t="str">
        <f>VLOOKUP(A86,'Trips&amp;Operators'!$C$1:$G$99999,5,FALSE)</f>
        <v>HELVIE ADAM</v>
      </c>
      <c r="M86" s="6">
        <f t="shared" si="45"/>
        <v>2.5752314817509614E-2</v>
      </c>
      <c r="N86" s="7">
        <f t="shared" si="42"/>
        <v>37.083333337213844</v>
      </c>
      <c r="O86" s="7"/>
      <c r="P86" s="7"/>
      <c r="Q86" s="22"/>
      <c r="R86" s="190"/>
      <c r="S86" s="196">
        <f t="shared" si="43"/>
        <v>1</v>
      </c>
      <c r="T86" s="190" t="str">
        <f t="shared" si="46"/>
        <v>NorthBound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47"/>
        <v>https://d0f6bd738d7f1b3e5a7ca70fe4ff75f0.us-east-1.aws.found.io/app/kibana#/discover/Steve-Slow-Train-Analysis-(2080s-and-2083s)?_g=(refreshInterval:(display:Off,pause:!f,section:0,value:0),time:(from:'2017-05-11T14:57:22-0600',mode:absolute,to:'2017-05-11T17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6" s="192" t="str">
        <f t="shared" si="48"/>
        <v>N</v>
      </c>
      <c r="X86" s="192">
        <f t="shared" si="39"/>
        <v>1</v>
      </c>
      <c r="Y86" s="192">
        <f t="shared" si="49"/>
        <v>4.6600000000000003E-2</v>
      </c>
      <c r="Z86" s="192">
        <f t="shared" si="41"/>
        <v>23.297699999999999</v>
      </c>
      <c r="AA86" s="192">
        <f t="shared" si="50"/>
        <v>23.251099999999997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51"/>
        <v>0199-11</v>
      </c>
      <c r="AE86" s="80" t="str">
        <f t="shared" si="52"/>
        <v>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 &amp; aws s3 cp s3://rtdc.mdm.uploadarchive.raw/RTDC4028/ "%USERPROFILE%\AppData\Local\Temp\OnboardLogs"\RTDC4028\2017-05-12 --exclude "*" --recursive --include "*20170512*" &amp; "%USERPROFILE%\Documents\GitHub\mrs-test-scripts\Headless Mode &amp; Sideloading\WalkAndUnGZ.bat" "%USERPROFILE%\AppData\Local\Temp\OnboardLogs"\RTDC4028\2017-05-12</v>
      </c>
      <c r="AF86" s="77" t="str">
        <f t="shared" si="53"/>
        <v>"C:\Program Files (x86)\AstroGrep\AstroGrep.exe" /e /r /s /spath="%USERPROFILE%\AppData\Local\Temp\OnboardLogs" /stypes="app*4028*20170511*" /stext=" 22:.+((SYSTEM_STATE.+slice.+state.+changed )|(ment ac)|(multiple cpu faults)|(system.+state.+changed )|(\[timeout)|(PRM\|1\|D)|(kpr)|(kdp)|(train st.+moving)|(\|lc)|(penalty))"</v>
      </c>
      <c r="AG86" s="1" t="str">
        <f t="shared" si="54"/>
        <v>EC</v>
      </c>
      <c r="AH86" s="81" t="str">
        <f t="shared" si="55"/>
        <v>"%USERPROFILE%\Documents\GitHub\eaglep3\Utilities\RefineRTDCRunTimes.py" --tripid 199-11 --locoid 4028 --swversion DE.1.0.9.0 --startMP 204:466 --initTime 2017-05-11T15:57:22 --startdatetime 2017-05-11T16:00:19 --delay 1 --endMP 204:232977 --enddatetime 2017-05-11T16:37:24 --enforcementcount 0 &gt;&gt;C:\Users\stu\Documents\GitHub\eaglep3-reporting\EC\2017-05-11-refined-times.txt</v>
      </c>
      <c r="AI86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{"issue":{"subject":"","project_id":79,"tracker_id":40,"status_id":1,"priority_id":2,"assigned_to_id":23,"start_date":"2017-05-11","description":"","custom_fields":[{"id":1,"name":"Subdivision","value":"EC"},{"id":4,"name":"Milepost","value":"23.2977"},{"id":17,"name":"Train ID","value":"199-11"},{"id":16,"name":"Locomotive ID","value":"4028"},{"id":130,"name":"Impact","value":""},{"id":150,"name":"Time of Event (Mountain Time)","value":"16:37:24"},{"id":151,"name":"Denver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57"/>
        <v>start /low /b %USERPROFILE%\Documents\GitHub\eaglep3\Utilities\DownloadLogsFromS3.py --loco 4028 --day 2017-05-11</v>
      </c>
      <c r="AN86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22:37:24"},{"id":29,"name":"Sharepoint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2" t="s">
        <v>736</v>
      </c>
      <c r="B87" s="7">
        <v>4027</v>
      </c>
      <c r="C87" s="21" t="s">
        <v>206</v>
      </c>
      <c r="D87" s="21" t="s">
        <v>859</v>
      </c>
      <c r="E87" s="13">
        <v>42866.703784722224</v>
      </c>
      <c r="F87" s="13">
        <v>42866.705752314818</v>
      </c>
      <c r="G87" s="7">
        <v>1</v>
      </c>
      <c r="H87" s="21" t="s">
        <v>871</v>
      </c>
      <c r="I87" s="13">
        <v>42866.732812499999</v>
      </c>
      <c r="J87" s="7">
        <v>0</v>
      </c>
      <c r="K87" s="92" t="str">
        <f t="shared" si="44"/>
        <v>4027/4028</v>
      </c>
      <c r="L87" s="21" t="str">
        <f>VLOOKUP(A87,'Trips&amp;Operators'!$C$1:$G$99999,5,FALSE)</f>
        <v>HELVIE ADAM</v>
      </c>
      <c r="M87" s="6">
        <f t="shared" si="45"/>
        <v>2.7060185180744156E-2</v>
      </c>
      <c r="N87" s="7">
        <f t="shared" si="42"/>
        <v>38.966666660271585</v>
      </c>
      <c r="O87" s="7"/>
      <c r="P87" s="7"/>
      <c r="Q87" s="22"/>
      <c r="R87" s="190"/>
      <c r="S87" s="196">
        <f t="shared" si="43"/>
        <v>1</v>
      </c>
      <c r="T87" s="190" t="str">
        <f t="shared" si="46"/>
        <v>Southbound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47"/>
        <v>https://d0f6bd738d7f1b3e5a7ca70fe4ff75f0.us-east-1.aws.found.io/app/kibana#/discover/Steve-Slow-Train-Analysis-(2080s-and-2083s)?_g=(refreshInterval:(display:Off,pause:!f,section:0,value:0),time:(from:'2017-05-11T15:53:27-0600',mode:absolute,to:'2017-05-11T18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7" s="192" t="str">
        <f t="shared" si="48"/>
        <v>N</v>
      </c>
      <c r="X87" s="192">
        <f t="shared" si="39"/>
        <v>1</v>
      </c>
      <c r="Y87" s="192">
        <f t="shared" si="49"/>
        <v>23.265999999999998</v>
      </c>
      <c r="Z87" s="192">
        <f t="shared" si="41"/>
        <v>1.54E-2</v>
      </c>
      <c r="AA87" s="192">
        <f t="shared" si="50"/>
        <v>23.250599999999999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51"/>
        <v>0200-11</v>
      </c>
      <c r="AE87" s="80" t="str">
        <f t="shared" si="52"/>
        <v>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 &amp; aws s3 cp s3://rtdc.mdm.uploadarchive.raw/RTDC4027/ "%USERPROFILE%\AppData\Local\Temp\OnboardLogs"\RTDC4027\2017-05-12 --exclude "*" --recursive --include "*20170512*" &amp; "%USERPROFILE%\Documents\GitHub\mrs-test-scripts\Headless Mode &amp; Sideloading\WalkAndUnGZ.bat" "%USERPROFILE%\AppData\Local\Temp\OnboardLogs"\RTDC4027\2017-05-12</v>
      </c>
      <c r="AF87" s="77" t="str">
        <f t="shared" si="53"/>
        <v>"C:\Program Files (x86)\AstroGrep\AstroGrep.exe" /e /r /s /spath="%USERPROFILE%\AppData\Local\Temp\OnboardLogs" /stypes="app*4027*20170511*" /stext=" 23:.+((SYSTEM_STATE.+slice.+state.+changed )|(ment ac)|(multiple cpu faults)|(system.+state.+changed )|(\[timeout)|(PRM\|1\|D)|(kpr)|(kdp)|(train st.+moving)|(\|lc)|(penalty))"</v>
      </c>
      <c r="AG87" s="1" t="str">
        <f t="shared" si="54"/>
        <v>EC</v>
      </c>
      <c r="AH87" s="81" t="str">
        <f t="shared" si="55"/>
        <v>"%USERPROFILE%\Documents\GitHub\eaglep3\Utilities\RefineRTDCRunTimes.py" --tripid 200-11 --locoid 4027 --swversion DE.1.0.9.0 --startMP 204:232660 --initTime 2017-05-11T16:53:27 --startdatetime 2017-05-11T16:56:17 --delay 1 --endMP 204:154 --enddatetime 2017-05-11T17:35:15 --enforcementcount 0 &gt;&gt;C:\Users\stu\Documents\GitHub\eaglep3-reporting\EC\2017-05-11-refined-times.txt</v>
      </c>
      <c r="AI87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{"issue":{"subject":"","project_id":79,"tracker_id":40,"status_id":1,"priority_id":2,"assigned_to_id":23,"start_date":"2017-05-11","description":"","custom_fields":[{"id":1,"name":"Subdivision","value":"EC"},{"id":4,"name":"Milepost","value":"0.0154"},{"id":17,"name":"Train ID","value":"200-11"},{"id":16,"name":"Locomotive ID","value":"4027"},{"id":130,"name":"Impact","value":""},{"id":150,"name":"Time of Event (Mountain Time)","value":"17:35:15"},{"id":151,"name":"Denver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57"/>
        <v>start /low /b %USERPROFILE%\Documents\GitHub\eaglep3\Utilities\DownloadLogsFromS3.py --loco 4027 --day 2017-05-11</v>
      </c>
      <c r="AN87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728</v>
      </c>
      <c r="B88" s="7">
        <v>4018</v>
      </c>
      <c r="C88" s="21" t="s">
        <v>206</v>
      </c>
      <c r="D88" s="21" t="s">
        <v>355</v>
      </c>
      <c r="E88" s="13">
        <v>42866.66747685185</v>
      </c>
      <c r="F88" s="13">
        <v>42866.677245370367</v>
      </c>
      <c r="G88" s="7">
        <v>1</v>
      </c>
      <c r="H88" s="21" t="s">
        <v>872</v>
      </c>
      <c r="I88" s="13">
        <v>42866.705497685187</v>
      </c>
      <c r="J88" s="7">
        <v>0</v>
      </c>
      <c r="K88" s="92" t="str">
        <f t="shared" si="44"/>
        <v>4017/4018</v>
      </c>
      <c r="L88" s="21" t="str">
        <f>VLOOKUP(A88,'Trips&amp;Operators'!$C$1:$G$99999,5,FALSE)</f>
        <v>CLARK KATHLEEN</v>
      </c>
      <c r="M88" s="6">
        <f t="shared" si="45"/>
        <v>2.825231481983792E-2</v>
      </c>
      <c r="N88" s="7">
        <f t="shared" si="42"/>
        <v>40.683333340566605</v>
      </c>
      <c r="O88" s="7"/>
      <c r="P88" s="7"/>
      <c r="Q88" s="22"/>
      <c r="R88" s="190"/>
      <c r="S88" s="196">
        <f t="shared" si="43"/>
        <v>1</v>
      </c>
      <c r="T88" s="190" t="str">
        <f t="shared" si="46"/>
        <v>NorthBound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47"/>
        <v>https://d0f6bd738d7f1b3e5a7ca70fe4ff75f0.us-east-1.aws.found.io/app/kibana#/discover/Steve-Slow-Train-Analysis-(2080s-and-2083s)?_g=(refreshInterval:(display:Off,pause:!f,section:0,value:0),time:(from:'2017-05-11T15:01:10-0600',mode:absolute,to:'2017-05-11T17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8" s="192" t="str">
        <f t="shared" si="48"/>
        <v>N</v>
      </c>
      <c r="X88" s="192">
        <f t="shared" si="39"/>
        <v>1</v>
      </c>
      <c r="Y88" s="192">
        <f t="shared" si="49"/>
        <v>4.58E-2</v>
      </c>
      <c r="Z88" s="192">
        <f t="shared" si="41"/>
        <v>23.2942</v>
      </c>
      <c r="AA88" s="192">
        <f t="shared" si="50"/>
        <v>23.2484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51"/>
        <v>0201-11</v>
      </c>
      <c r="AE88" s="80" t="str">
        <f t="shared" si="52"/>
        <v>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 &amp; aws s3 cp s3://rtdc.mdm.uploadarchive.raw/RTDC4018/ "%USERPROFILE%\AppData\Local\Temp\OnboardLogs"\RTDC4018\2017-05-12 --exclude "*" --recursive --include "*20170512*" &amp; "%USERPROFILE%\Documents\GitHub\mrs-test-scripts\Headless Mode &amp; Sideloading\WalkAndUnGZ.bat" "%USERPROFILE%\AppData\Local\Temp\OnboardLogs"\RTDC4018\2017-05-12</v>
      </c>
      <c r="AF88" s="77" t="str">
        <f t="shared" si="53"/>
        <v>"C:\Program Files (x86)\AstroGrep\AstroGrep.exe" /e /r /s /spath="%USERPROFILE%\AppData\Local\Temp\OnboardLogs" /stypes="app*4018*20170511*" /stext=" 22:.+((SYSTEM_STATE.+slice.+state.+changed )|(ment ac)|(multiple cpu faults)|(system.+state.+changed )|(\[timeout)|(PRM\|1\|D)|(kpr)|(kdp)|(train st.+moving)|(\|lc)|(penalty))"</v>
      </c>
      <c r="AG88" s="1" t="str">
        <f t="shared" si="54"/>
        <v>EC</v>
      </c>
      <c r="AH88" s="81" t="str">
        <f t="shared" si="55"/>
        <v>"%USERPROFILE%\Documents\GitHub\eaglep3\Utilities\RefineRTDCRunTimes.py" --tripid 201-11 --locoid 4018 --swversion DE.1.0.9.0 --startMP 204:458 --initTime 2017-05-11T16:01:10 --startdatetime 2017-05-11T16:15:14 --delay 1 --endMP 204:232942 --enddatetime 2017-05-11T16:55:55 --enforcementcount 0 &gt;&gt;C:\Users\stu\Documents\GitHub\eaglep3-reporting\EC\2017-05-11-refined-times.txt</v>
      </c>
      <c r="AI88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{"issue":{"subject":"","project_id":79,"tracker_id":40,"status_id":1,"priority_id":2,"assigned_to_id":23,"start_date":"2017-05-11","description":"","custom_fields":[{"id":1,"name":"Subdivision","value":"EC"},{"id":4,"name":"Milepost","value":"23.2942"},{"id":17,"name":"Train ID","value":"201-11"},{"id":16,"name":"Locomotive ID","value":"4018"},{"id":130,"name":"Impact","value":""},{"id":150,"name":"Time of Event (Mountain Time)","value":"16:55:55"},{"id":151,"name":"Denver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57"/>
        <v>start /low /b %USERPROFILE%\Documents\GitHub\eaglep3\Utilities\DownloadLogsFromS3.py --loco 4018 --day 2017-05-11</v>
      </c>
      <c r="AN88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22:55:55"},{"id":29,"name":"Sharepoint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739</v>
      </c>
      <c r="B89" s="7">
        <v>4017</v>
      </c>
      <c r="C89" s="21" t="s">
        <v>206</v>
      </c>
      <c r="D89" s="21" t="s">
        <v>873</v>
      </c>
      <c r="E89" s="13">
        <v>42866.712407407409</v>
      </c>
      <c r="F89" s="13">
        <v>42866.716145833336</v>
      </c>
      <c r="G89" s="7">
        <v>1</v>
      </c>
      <c r="H89" s="21" t="s">
        <v>534</v>
      </c>
      <c r="I89" s="13">
        <v>42866.743715277778</v>
      </c>
      <c r="J89" s="7">
        <v>0</v>
      </c>
      <c r="K89" s="92" t="str">
        <f t="shared" si="44"/>
        <v>4017/4018</v>
      </c>
      <c r="L89" s="21" t="str">
        <f>VLOOKUP(A89,'Trips&amp;Operators'!$C$1:$G$99999,5,FALSE)</f>
        <v>CLARK KATHLEEN</v>
      </c>
      <c r="M89" s="6">
        <f t="shared" si="45"/>
        <v>2.7569444442633539E-2</v>
      </c>
      <c r="N89" s="7">
        <f t="shared" si="42"/>
        <v>39.699999997392297</v>
      </c>
      <c r="O89" s="7"/>
      <c r="P89" s="7"/>
      <c r="Q89" s="22"/>
      <c r="R89" s="190"/>
      <c r="S89" s="196">
        <f t="shared" si="43"/>
        <v>1</v>
      </c>
      <c r="T89" s="190" t="str">
        <f t="shared" si="46"/>
        <v>Southbound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47"/>
        <v>https://d0f6bd738d7f1b3e5a7ca70fe4ff75f0.us-east-1.aws.found.io/app/kibana#/discover/Steve-Slow-Train-Analysis-(2080s-and-2083s)?_g=(refreshInterval:(display:Off,pause:!f,section:0,value:0),time:(from:'2017-05-11T16:05:52-0600',mode:absolute,to:'2017-05-11T18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9" s="192" t="str">
        <f t="shared" si="48"/>
        <v>N</v>
      </c>
      <c r="X89" s="192">
        <f t="shared" si="39"/>
        <v>1</v>
      </c>
      <c r="Y89" s="192">
        <f t="shared" si="49"/>
        <v>23.261800000000001</v>
      </c>
      <c r="Z89" s="192">
        <f t="shared" si="41"/>
        <v>1.89E-2</v>
      </c>
      <c r="AA89" s="192">
        <f t="shared" si="50"/>
        <v>23.242900000000002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51"/>
        <v>0202-11</v>
      </c>
      <c r="AE89" s="80" t="str">
        <f t="shared" si="52"/>
        <v>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 &amp; aws s3 cp s3://rtdc.mdm.uploadarchive.raw/RTDC4017/ "%USERPROFILE%\AppData\Local\Temp\OnboardLogs"\RTDC4017\2017-05-12 --exclude "*" --recursive --include "*20170512*" &amp; "%USERPROFILE%\Documents\GitHub\mrs-test-scripts\Headless Mode &amp; Sideloading\WalkAndUnGZ.bat" "%USERPROFILE%\AppData\Local\Temp\OnboardLogs"\RTDC4017\2017-05-12</v>
      </c>
      <c r="AF89" s="77" t="str">
        <f t="shared" si="53"/>
        <v>"C:\Program Files (x86)\AstroGrep\AstroGrep.exe" /e /r /s /spath="%USERPROFILE%\AppData\Local\Temp\OnboardLogs" /stypes="app*4017*20170511*" /stext=" 23:.+((SYSTEM_STATE.+slice.+state.+changed )|(ment ac)|(multiple cpu faults)|(system.+state.+changed )|(\[timeout)|(PRM\|1\|D)|(kpr)|(kdp)|(train st.+moving)|(\|lc)|(penalty))"</v>
      </c>
      <c r="AG89" s="1" t="str">
        <f t="shared" si="54"/>
        <v>EC</v>
      </c>
      <c r="AH89" s="81" t="str">
        <f t="shared" si="55"/>
        <v>"%USERPROFILE%\Documents\GitHub\eaglep3\Utilities\RefineRTDCRunTimes.py" --tripid 202-11 --locoid 4017 --swversion DE.1.0.9.0 --startMP 204:232618 --initTime 2017-05-11T17:05:52 --startdatetime 2017-05-11T17:11:15 --delay 1 --endMP 204:189 --enddatetime 2017-05-11T17:50:57 --enforcementcount 0 &gt;&gt;C:\Users\stu\Documents\GitHub\eaglep3-reporting\EC\2017-05-11-refined-times.txt</v>
      </c>
      <c r="AI89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{"issue":{"subject":"","project_id":79,"tracker_id":40,"status_id":1,"priority_id":2,"assigned_to_id":23,"start_date":"2017-05-11","description":"","custom_fields":[{"id":1,"name":"Subdivision","value":"EC"},{"id":4,"name":"Milepost","value":"0.0189"},{"id":17,"name":"Train ID","value":"202-11"},{"id":16,"name":"Locomotive ID","value":"4017"},{"id":130,"name":"Impact","value":""},{"id":150,"name":"Time of Event (Mountain Time)","value":"17:50:57"},{"id":151,"name":"Denver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57"/>
        <v>start /low /b %USERPROFILE%\Documents\GitHub\eaglep3\Utilities\DownloadLogsFromS3.py --loco 4017 --day 2017-05-11</v>
      </c>
      <c r="AN89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730</v>
      </c>
      <c r="B90" s="7">
        <v>4002</v>
      </c>
      <c r="C90" s="21" t="s">
        <v>206</v>
      </c>
      <c r="D90" s="21" t="s">
        <v>347</v>
      </c>
      <c r="E90" s="13">
        <v>42866.680625000001</v>
      </c>
      <c r="F90" s="13">
        <v>42866.687754629631</v>
      </c>
      <c r="G90" s="7">
        <v>1</v>
      </c>
      <c r="H90" s="21" t="s">
        <v>874</v>
      </c>
      <c r="I90" s="13">
        <v>42866.714999999997</v>
      </c>
      <c r="J90" s="7">
        <v>0</v>
      </c>
      <c r="K90" s="92" t="str">
        <f t="shared" si="44"/>
        <v>4001/4002</v>
      </c>
      <c r="L90" s="21" t="str">
        <f>VLOOKUP(A90,'Trips&amp;Operators'!$C$1:$G$99999,5,FALSE)</f>
        <v>MOSES BRADLEY</v>
      </c>
      <c r="M90" s="6">
        <f t="shared" si="45"/>
        <v>2.7245370365562849E-2</v>
      </c>
      <c r="N90" s="7">
        <f t="shared" si="42"/>
        <v>39.233333326410502</v>
      </c>
      <c r="O90" s="7"/>
      <c r="P90" s="7"/>
      <c r="Q90" s="22"/>
      <c r="R90" s="190"/>
      <c r="S90" s="196">
        <f t="shared" si="43"/>
        <v>1</v>
      </c>
      <c r="T90" s="190" t="str">
        <f t="shared" si="46"/>
        <v>NorthBound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47"/>
        <v>https://d0f6bd738d7f1b3e5a7ca70fe4ff75f0.us-east-1.aws.found.io/app/kibana#/discover/Steve-Slow-Train-Analysis-(2080s-and-2083s)?_g=(refreshInterval:(display:Off,pause:!f,section:0,value:0),time:(from:'2017-05-11T15:20:06-0600',mode:absolute,to:'2017-05-11T18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0" s="192" t="str">
        <f t="shared" si="48"/>
        <v>N</v>
      </c>
      <c r="X90" s="192">
        <f t="shared" si="39"/>
        <v>1</v>
      </c>
      <c r="Y90" s="192">
        <f t="shared" si="49"/>
        <v>4.4900000000000002E-2</v>
      </c>
      <c r="Z90" s="192">
        <f t="shared" si="41"/>
        <v>23.2972</v>
      </c>
      <c r="AA90" s="192">
        <f t="shared" si="50"/>
        <v>23.252300000000002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51"/>
        <v>0203-11</v>
      </c>
      <c r="AE90" s="80" t="str">
        <f t="shared" si="52"/>
        <v>aws s3 cp s3://rtdc.mdm.uploadarchive.raw/RTDC4002/ "%USERPROFILE%\AppData\Local\Temp\OnboardLogs"\RTDC4002\2017-05-11 --exclude "*" --recursive --include "*20170511*" &amp; "%USERPROFILE%\Documents\GitHub\mrs-test-scripts\Headless Mode &amp; Sideloading\WalkAndUnGZ.bat" "%USERPROFILE%\AppData\Local\Temp\OnboardLogs"\RTDC4002\2017-05-11 &amp; 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</v>
      </c>
      <c r="AF90" s="77" t="str">
        <f t="shared" si="53"/>
        <v>"C:\Program Files (x86)\AstroGrep\AstroGrep.exe" /e /r /s /spath="%USERPROFILE%\AppData\Local\Temp\OnboardLogs" /stypes="app*4002*20170511*" /stext=" 23:.+((SYSTEM_STATE.+slice.+state.+changed )|(ment ac)|(multiple cpu faults)|(system.+state.+changed )|(\[timeout)|(PRM\|1\|D)|(kpr)|(kdp)|(train st.+moving)|(\|lc)|(penalty))"</v>
      </c>
      <c r="AG90" s="1" t="str">
        <f t="shared" si="54"/>
        <v>EC</v>
      </c>
      <c r="AH90" s="81" t="str">
        <f t="shared" si="55"/>
        <v>"%USERPROFILE%\Documents\GitHub\eaglep3\Utilities\RefineRTDCRunTimes.py" --tripid 203-11 --locoid 4002 --swversion DE.1.0.9.0 --startMP 204:449 --initTime 2017-05-11T16:20:06 --startdatetime 2017-05-11T16:30:22 --delay 1 --endMP 204:232972 --enddatetime 2017-05-11T17:09:36 --enforcementcount 0 &gt;&gt;C:\Users\stu\Documents\GitHub\eaglep3-reporting\EC\2017-05-11-refined-times.txt</v>
      </c>
      <c r="AI90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{"issue":{"subject":"","project_id":79,"tracker_id":40,"status_id":1,"priority_id":2,"assigned_to_id":23,"start_date":"2017-05-11","description":"","custom_fields":[{"id":1,"name":"Subdivision","value":"EC"},{"id":4,"name":"Milepost","value":"23.2972"},{"id":17,"name":"Train ID","value":"203-11"},{"id":16,"name":"Locomotive ID","value":"4002"},{"id":130,"name":"Impact","value":""},{"id":150,"name":"Time of Event (Mountain Time)","value":"17:09:36"},{"id":151,"name":"Denver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57"/>
        <v>start /low /b %USERPROFILE%\Documents\GitHub\eaglep3\Utilities\DownloadLogsFromS3.py --loco 4002 --day 2017-05-11</v>
      </c>
      <c r="AN90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742</v>
      </c>
      <c r="B91" s="7">
        <v>4001</v>
      </c>
      <c r="C91" s="21" t="s">
        <v>206</v>
      </c>
      <c r="D91" s="21" t="s">
        <v>875</v>
      </c>
      <c r="E91" s="13">
        <v>42866.723009259258</v>
      </c>
      <c r="F91" s="13">
        <v>42866.726689814815</v>
      </c>
      <c r="G91" s="7">
        <v>2</v>
      </c>
      <c r="H91" s="21" t="s">
        <v>368</v>
      </c>
      <c r="I91" s="13">
        <v>42866.753657407404</v>
      </c>
      <c r="J91" s="7">
        <v>0</v>
      </c>
      <c r="K91" s="92" t="str">
        <f t="shared" si="44"/>
        <v>4001/4002</v>
      </c>
      <c r="L91" s="21" t="str">
        <f>VLOOKUP(A91,'Trips&amp;Operators'!$C$1:$G$99999,5,FALSE)</f>
        <v>MOSES BRADLEY</v>
      </c>
      <c r="M91" s="6">
        <f t="shared" si="45"/>
        <v>2.696759258833481E-2</v>
      </c>
      <c r="N91" s="7">
        <f t="shared" si="42"/>
        <v>38.833333327202126</v>
      </c>
      <c r="O91" s="7"/>
      <c r="P91" s="7"/>
      <c r="Q91" s="22"/>
      <c r="R91" s="190"/>
      <c r="S91" s="196">
        <f t="shared" si="43"/>
        <v>1</v>
      </c>
      <c r="T91" s="190" t="str">
        <f t="shared" si="46"/>
        <v>Southbound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47"/>
        <v>https://d0f6bd738d7f1b3e5a7ca70fe4ff75f0.us-east-1.aws.found.io/app/kibana#/discover/Steve-Slow-Train-Analysis-(2080s-and-2083s)?_g=(refreshInterval:(display:Off,pause:!f,section:0,value:0),time:(from:'2017-05-11T16:21:08-0600',mode:absolute,to:'2017-05-11T19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1" s="192" t="str">
        <f t="shared" si="48"/>
        <v>N</v>
      </c>
      <c r="X91" s="192">
        <f t="shared" si="39"/>
        <v>1</v>
      </c>
      <c r="Y91" s="192">
        <f t="shared" si="49"/>
        <v>23.264900000000001</v>
      </c>
      <c r="Z91" s="192">
        <f t="shared" si="41"/>
        <v>1.5599999999999999E-2</v>
      </c>
      <c r="AA91" s="192">
        <f t="shared" si="50"/>
        <v>23.249300000000002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51"/>
        <v>0204-11</v>
      </c>
      <c r="AE91" s="80" t="str">
        <f t="shared" si="52"/>
        <v>aws s3 cp s3://rtdc.mdm.uploadarchive.raw/RTDC4001/ "%USERPROFILE%\AppData\Local\Temp\OnboardLogs"\RTDC4001\2017-05-11 --exclude "*" --recursive --include "*20170511*" &amp; "%USERPROFILE%\Documents\GitHub\mrs-test-scripts\Headless Mode &amp; Sideloading\WalkAndUnGZ.bat" "%USERPROFILE%\AppData\Local\Temp\OnboardLogs"\RTDC4001\2017-05-11 &amp; 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</v>
      </c>
      <c r="AF91" s="77" t="str">
        <f t="shared" si="53"/>
        <v>"C:\Program Files (x86)\AstroGrep\AstroGrep.exe" /e /r /s /spath="%USERPROFILE%\AppData\Local\Temp\OnboardLogs" /stypes="app*4001*20170512*" /stext=" 00:.+((SYSTEM_STATE.+slice.+state.+changed )|(ment ac)|(multiple cpu faults)|(system.+state.+changed )|(\[timeout)|(PRM\|1\|D)|(kpr)|(kdp)|(train st.+moving)|(\|lc)|(penalty))"</v>
      </c>
      <c r="AG91" s="1" t="str">
        <f t="shared" si="54"/>
        <v>EC</v>
      </c>
      <c r="AH91" s="81" t="str">
        <f t="shared" si="55"/>
        <v>"%USERPROFILE%\Documents\GitHub\eaglep3\Utilities\RefineRTDCRunTimes.py" --tripid 204-11 --locoid 4001 --swversion DE.1.0.9.0 --startMP 204:232649 --initTime 2017-05-11T17:21:08 --startdatetime 2017-05-11T17:26:26 --delay 2 --endMP 204:156 --enddatetime 2017-05-11T18:05:16 --enforcementcount 0 &gt;&gt;C:\Users\stu\Documents\GitHub\eaglep3-reporting\EC\2017-05-11-refined-times.txt</v>
      </c>
      <c r="AI91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{"issue":{"subject":"","project_id":79,"tracker_id":40,"status_id":1,"priority_id":2,"assigned_to_id":23,"start_date":"2017-05-11","description":"","custom_fields":[{"id":1,"name":"Subdivision","value":"EC"},{"id":4,"name":"Milepost","value":"0.0156"},{"id":17,"name":"Train ID","value":"204-11"},{"id":16,"name":"Locomotive ID","value":"4001"},{"id":130,"name":"Impact","value":""},{"id":150,"name":"Time of Event (Mountain Time)","value":"18:05:16"},{"id":151,"name":"Denver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57"/>
        <v>start /low /b %USERPROFILE%\Documents\GitHub\eaglep3\Utilities\DownloadLogsFromS3.py --loco 4001 --day 2017-05-11</v>
      </c>
      <c r="AN91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00:05:16"},{"id":29,"name":"Sharepoint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2" spans="1:91" s="20" customFormat="1" x14ac:dyDescent="0.25">
      <c r="A92" s="32" t="s">
        <v>733</v>
      </c>
      <c r="B92" s="7">
        <v>4004</v>
      </c>
      <c r="C92" s="21" t="s">
        <v>206</v>
      </c>
      <c r="D92" s="21" t="s">
        <v>363</v>
      </c>
      <c r="E92" s="13">
        <v>42866.69295138889</v>
      </c>
      <c r="F92" s="13">
        <v>42866.698078703703</v>
      </c>
      <c r="G92" s="7">
        <v>1</v>
      </c>
      <c r="H92" s="21" t="s">
        <v>532</v>
      </c>
      <c r="I92" s="13">
        <v>42866.723229166666</v>
      </c>
      <c r="J92" s="7">
        <v>0</v>
      </c>
      <c r="K92" s="92" t="str">
        <f t="shared" si="44"/>
        <v>4003/4004</v>
      </c>
      <c r="L92" s="21" t="str">
        <f>VLOOKUP(A92,'Trips&amp;Operators'!$C$1:$G$99999,5,FALSE)</f>
        <v>BIRENBAUM THOMAS</v>
      </c>
      <c r="M92" s="6">
        <f t="shared" si="45"/>
        <v>2.5150462963210884E-2</v>
      </c>
      <c r="N92" s="7">
        <f t="shared" si="42"/>
        <v>36.216666667023674</v>
      </c>
      <c r="O92" s="7"/>
      <c r="P92" s="7"/>
      <c r="Q92" s="22"/>
      <c r="R92" s="190"/>
      <c r="S92" s="196">
        <f t="shared" si="43"/>
        <v>1</v>
      </c>
      <c r="T92" s="190" t="str">
        <f t="shared" si="46"/>
        <v>NorthBound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47"/>
        <v>https://d0f6bd738d7f1b3e5a7ca70fe4ff75f0.us-east-1.aws.found.io/app/kibana#/discover/Steve-Slow-Train-Analysis-(2080s-and-2083s)?_g=(refreshInterval:(display:Off,pause:!f,section:0,value:0),time:(from:'2017-05-11T15:37:51-0600',mode:absolute,to:'2017-05-11T18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2" s="192" t="str">
        <f t="shared" si="48"/>
        <v>N</v>
      </c>
      <c r="X92" s="192">
        <f t="shared" si="39"/>
        <v>1</v>
      </c>
      <c r="Y92" s="192">
        <f t="shared" si="49"/>
        <v>4.5100000000000001E-2</v>
      </c>
      <c r="Z92" s="192">
        <f t="shared" si="41"/>
        <v>23.295300000000001</v>
      </c>
      <c r="AA92" s="192">
        <f t="shared" si="50"/>
        <v>23.2502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51"/>
        <v>0205-11</v>
      </c>
      <c r="AE92" s="80" t="str">
        <f t="shared" si="52"/>
        <v>aws s3 cp s3://rtdc.mdm.uploadarchive.raw/RTDC4004/ "%USERPROFILE%\AppData\Local\Temp\OnboardLogs"\RTDC4004\2017-05-11 --exclude "*" --recursive --include "*20170511*" &amp; "%USERPROFILE%\Documents\GitHub\mrs-test-scripts\Headless Mode &amp; Sideloading\WalkAndUnGZ.bat" "%USERPROFILE%\AppData\Local\Temp\OnboardLogs"\RTDC4004\2017-05-11 &amp; aws s3 cp s3://rtdc.mdm.uploadarchive.raw/RTDC4004/ "%USERPROFILE%\AppData\Local\Temp\OnboardLogs"\RTDC4004\2017-05-12 --exclude "*" --recursive --include "*20170512*" &amp; "%USERPROFILE%\Documents\GitHub\mrs-test-scripts\Headless Mode &amp; Sideloading\WalkAndUnGZ.bat" "%USERPROFILE%\AppData\Local\Temp\OnboardLogs"\RTDC4004\2017-05-12</v>
      </c>
      <c r="AF92" s="77" t="str">
        <f t="shared" si="53"/>
        <v>"C:\Program Files (x86)\AstroGrep\AstroGrep.exe" /e /r /s /spath="%USERPROFILE%\AppData\Local\Temp\OnboardLogs" /stypes="app*4004*20170511*" /stext=" 23:.+((SYSTEM_STATE.+slice.+state.+changed )|(ment ac)|(multiple cpu faults)|(system.+state.+changed )|(\[timeout)|(PRM\|1\|D)|(kpr)|(kdp)|(train st.+moving)|(\|lc)|(penalty))"</v>
      </c>
      <c r="AG92" s="1" t="str">
        <f t="shared" si="54"/>
        <v>EC</v>
      </c>
      <c r="AH92" s="81" t="str">
        <f t="shared" si="55"/>
        <v>"%USERPROFILE%\Documents\GitHub\eaglep3\Utilities\RefineRTDCRunTimes.py" --tripid 205-11 --locoid 4004 --swversion DE.1.0.9.0 --startMP 204:451 --initTime 2017-05-11T16:37:51 --startdatetime 2017-05-11T16:45:14 --delay 1 --endMP 204:232953 --enddatetime 2017-05-11T17:21:27 --enforcementcount 0 &gt;&gt;C:\Users\stu\Documents\GitHub\eaglep3-reporting\EC\2017-05-11-refined-times.txt</v>
      </c>
      <c r="AI92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{"issue":{"subject":"","project_id":79,"tracker_id":40,"status_id":1,"priority_id":2,"assigned_to_id":23,"start_date":"2017-05-11","description":"","custom_fields":[{"id":1,"name":"Subdivision","value":"EC"},{"id":4,"name":"Milepost","value":"23.2953"},{"id":17,"name":"Train ID","value":"205-11"},{"id":16,"name":"Locomotive ID","value":"4004"},{"id":130,"name":"Impact","value":""},{"id":150,"name":"Time of Event (Mountain Time)","value":"17:21:27"},{"id":151,"name":"Denver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57"/>
        <v>start /low /b %USERPROFILE%\Documents\GitHub\eaglep3\Utilities\DownloadLogsFromS3.py --loco 4004 --day 2017-05-11</v>
      </c>
      <c r="AN92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743</v>
      </c>
      <c r="B93" s="7">
        <v>4003</v>
      </c>
      <c r="C93" s="21" t="s">
        <v>206</v>
      </c>
      <c r="D93" s="21" t="s">
        <v>876</v>
      </c>
      <c r="E93" s="13">
        <v>42866.731921296298</v>
      </c>
      <c r="F93" s="13">
        <v>42866.736932870372</v>
      </c>
      <c r="G93" s="7">
        <v>0</v>
      </c>
      <c r="H93" s="21" t="s">
        <v>373</v>
      </c>
      <c r="I93" s="13">
        <v>42866.763171296298</v>
      </c>
      <c r="J93" s="7">
        <v>0</v>
      </c>
      <c r="K93" s="92" t="str">
        <f t="shared" si="44"/>
        <v>4003/4004</v>
      </c>
      <c r="L93" s="21" t="str">
        <f>VLOOKUP(A93,'Trips&amp;Operators'!$C$1:$G$99999,5,FALSE)</f>
        <v>BIRENBAUM THOMAS</v>
      </c>
      <c r="M93" s="6">
        <f t="shared" si="45"/>
        <v>2.6238425925839692E-2</v>
      </c>
      <c r="N93" s="7">
        <f t="shared" si="42"/>
        <v>37.783333333209157</v>
      </c>
      <c r="O93" s="7"/>
      <c r="P93" s="7"/>
      <c r="Q93" s="22"/>
      <c r="R93" s="190"/>
      <c r="S93" s="196">
        <f t="shared" si="43"/>
        <v>1</v>
      </c>
      <c r="T93" s="190" t="str">
        <f t="shared" si="46"/>
        <v>Southbound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47"/>
        <v>https://d0f6bd738d7f1b3e5a7ca70fe4ff75f0.us-east-1.aws.found.io/app/kibana#/discover/Steve-Slow-Train-Analysis-(2080s-and-2083s)?_g=(refreshInterval:(display:Off,pause:!f,section:0,value:0),time:(from:'2017-05-11T16:33:58-0600',mode:absolute,to:'2017-05-11T19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3" s="192" t="str">
        <f t="shared" si="48"/>
        <v>N</v>
      </c>
      <c r="X93" s="192">
        <f t="shared" si="39"/>
        <v>1</v>
      </c>
      <c r="Y93" s="192">
        <f t="shared" si="49"/>
        <v>23.263300000000001</v>
      </c>
      <c r="Z93" s="192">
        <f t="shared" si="41"/>
        <v>1.3899999999999999E-2</v>
      </c>
      <c r="AA93" s="192">
        <f t="shared" si="50"/>
        <v>23.249400000000001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51"/>
        <v>0206-11</v>
      </c>
      <c r="AE93" s="80" t="str">
        <f t="shared" si="52"/>
        <v>aws s3 cp s3://rtdc.mdm.uploadarchive.raw/RTDC4003/ "%USERPROFILE%\AppData\Local\Temp\OnboardLogs"\RTDC4003\2017-05-11 --exclude "*" --recursive --include "*20170511*" &amp; "%USERPROFILE%\Documents\GitHub\mrs-test-scripts\Headless Mode &amp; Sideloading\WalkAndUnGZ.bat" "%USERPROFILE%\AppData\Local\Temp\OnboardLogs"\RTDC4003\2017-05-11 &amp; aws s3 cp s3://rtdc.mdm.uploadarchive.raw/RTDC4003/ "%USERPROFILE%\AppData\Local\Temp\OnboardLogs"\RTDC4003\2017-05-12 --exclude "*" --recursive --include "*20170512*" &amp; "%USERPROFILE%\Documents\GitHub\mrs-test-scripts\Headless Mode &amp; Sideloading\WalkAndUnGZ.bat" "%USERPROFILE%\AppData\Local\Temp\OnboardLogs"\RTDC4003\2017-05-12</v>
      </c>
      <c r="AF93" s="77" t="str">
        <f t="shared" si="53"/>
        <v>"C:\Program Files (x86)\AstroGrep\AstroGrep.exe" /e /r /s /spath="%USERPROFILE%\AppData\Local\Temp\OnboardLogs" /stypes="app*4003*20170512*" /stext=" 00:.+((SYSTEM_STATE.+slice.+state.+changed )|(ment ac)|(multiple cpu faults)|(system.+state.+changed )|(\[timeout)|(PRM\|1\|D)|(kpr)|(kdp)|(train st.+moving)|(\|lc)|(penalty))"</v>
      </c>
      <c r="AG93" s="1" t="str">
        <f t="shared" si="54"/>
        <v>EC</v>
      </c>
      <c r="AH93" s="81" t="str">
        <f t="shared" si="55"/>
        <v>"%USERPROFILE%\Documents\GitHub\eaglep3\Utilities\RefineRTDCRunTimes.py" --tripid 206-11 --locoid 4003 --swversion DE.1.0.9.0 --startMP 204:232633 --initTime 2017-05-11T17:33:58 --startdatetime 2017-05-11T17:41:11 --delay 0 --endMP 204:139 --enddatetime 2017-05-11T18:18:58 --enforcementcount 0 &gt;&gt;C:\Users\stu\Documents\GitHub\eaglep3-reporting\EC\2017-05-11-refined-times.txt</v>
      </c>
      <c r="AI93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{"issue":{"subject":"","project_id":79,"tracker_id":40,"status_id":1,"priority_id":2,"assigned_to_id":23,"start_date":"2017-05-11","description":"","custom_fields":[{"id":1,"name":"Subdivision","value":"EC"},{"id":4,"name":"Milepost","value":"0.0139"},{"id":17,"name":"Train ID","value":"206-11"},{"id":16,"name":"Locomotive ID","value":"4003"},{"id":130,"name":"Impact","value":""},{"id":150,"name":"Time of Event (Mountain Time)","value":"18:18:58"},{"id":151,"name":"Denver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57"/>
        <v>start /low /b %USERPROFILE%\Documents\GitHub\eaglep3\Utilities\DownloadLogsFromS3.py --loco 4003 --day 2017-05-11</v>
      </c>
      <c r="AN93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00:18:58"},{"id":29,"name":"Sharepoint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738</v>
      </c>
      <c r="B94" s="7">
        <v>4016</v>
      </c>
      <c r="C94" s="21" t="s">
        <v>206</v>
      </c>
      <c r="D94" s="21" t="s">
        <v>388</v>
      </c>
      <c r="E94" s="13">
        <v>42866.706284722219</v>
      </c>
      <c r="F94" s="13">
        <v>42866.708483796298</v>
      </c>
      <c r="G94" s="7">
        <v>1</v>
      </c>
      <c r="H94" s="21" t="s">
        <v>527</v>
      </c>
      <c r="I94" s="13">
        <v>42866.742997685185</v>
      </c>
      <c r="J94" s="7">
        <v>0</v>
      </c>
      <c r="K94" s="92" t="str">
        <f t="shared" si="44"/>
        <v>4015/4016</v>
      </c>
      <c r="L94" s="21" t="str">
        <f>VLOOKUP(A94,'Trips&amp;Operators'!$C$1:$G$99999,5,FALSE)</f>
        <v>BRANDNER MELINDA</v>
      </c>
      <c r="M94" s="6">
        <f t="shared" si="45"/>
        <v>3.4513888887886424E-2</v>
      </c>
      <c r="N94" s="7">
        <f t="shared" si="42"/>
        <v>49.69999999855645</v>
      </c>
      <c r="O94" s="7"/>
      <c r="P94" s="7"/>
      <c r="Q94" s="22"/>
      <c r="R94" s="190"/>
      <c r="S94" s="196">
        <f t="shared" si="43"/>
        <v>1</v>
      </c>
      <c r="T94" s="190" t="str">
        <f t="shared" si="46"/>
        <v>NorthBound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47"/>
        <v>https://d0f6bd738d7f1b3e5a7ca70fe4ff75f0.us-east-1.aws.found.io/app/kibana#/discover/Steve-Slow-Train-Analysis-(2080s-and-2083s)?_g=(refreshInterval:(display:Off,pause:!f,section:0,value:0),time:(from:'2017-05-11T15:57:03-0600',mode:absolute,to:'2017-05-11T18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4" s="192" t="str">
        <f t="shared" si="48"/>
        <v>N</v>
      </c>
      <c r="X94" s="192">
        <f t="shared" si="39"/>
        <v>1</v>
      </c>
      <c r="Y94" s="192">
        <f t="shared" si="49"/>
        <v>4.5499999999999999E-2</v>
      </c>
      <c r="Z94" s="192">
        <f t="shared" si="41"/>
        <v>23.298100000000002</v>
      </c>
      <c r="AA94" s="192">
        <f t="shared" si="50"/>
        <v>23.252600000000001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51"/>
        <v>0207-11</v>
      </c>
      <c r="AE94" s="80" t="str">
        <f t="shared" si="52"/>
        <v>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 &amp; 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</v>
      </c>
      <c r="AF94" s="77" t="str">
        <f t="shared" si="53"/>
        <v>"C:\Program Files (x86)\AstroGrep\AstroGrep.exe" /e /r /s /spath="%USERPROFILE%\AppData\Local\Temp\OnboardLogs" /stypes="app*4016*20170511*" /stext=" 23:.+((SYSTEM_STATE.+slice.+state.+changed )|(ment ac)|(multiple cpu faults)|(system.+state.+changed )|(\[timeout)|(PRM\|1\|D)|(kpr)|(kdp)|(train st.+moving)|(\|lc)|(penalty))"</v>
      </c>
      <c r="AG94" s="1" t="str">
        <f t="shared" si="54"/>
        <v>EC</v>
      </c>
      <c r="AH94" s="81" t="str">
        <f t="shared" si="55"/>
        <v>"%USERPROFILE%\Documents\GitHub\eaglep3\Utilities\RefineRTDCRunTimes.py" --tripid 207-11 --locoid 4016 --swversion DE.1.0.9.0 --startMP 204:455 --initTime 2017-05-11T16:57:03 --startdatetime 2017-05-11T17:00:13 --delay 1 --endMP 204:232981 --enddatetime 2017-05-11T17:49:55 --enforcementcount 0 &gt;&gt;C:\Users\stu\Documents\GitHub\eaglep3-reporting\EC\2017-05-11-refined-times.txt</v>
      </c>
      <c r="AI94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{"issue":{"subject":"","project_id":79,"tracker_id":40,"status_id":1,"priority_id":2,"assigned_to_id":23,"start_date":"2017-05-11","description":"","custom_fields":[{"id":1,"name":"Subdivision","value":"EC"},{"id":4,"name":"Milepost","value":"23.2981"},{"id":17,"name":"Train ID","value":"207-11"},{"id":16,"name":"Locomotive ID","value":"4016"},{"id":130,"name":"Impact","value":""},{"id":150,"name":"Time of Event (Mountain Time)","value":"17:49:55"},{"id":151,"name":"Denver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57"/>
        <v>start /low /b %USERPROFILE%\Documents\GitHub\eaglep3\Utilities\DownloadLogsFromS3.py --loco 4016 --day 2017-05-11</v>
      </c>
      <c r="AN94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750</v>
      </c>
      <c r="B95" s="7">
        <v>4015</v>
      </c>
      <c r="C95" s="21" t="s">
        <v>206</v>
      </c>
      <c r="D95" s="21" t="s">
        <v>877</v>
      </c>
      <c r="E95" s="13">
        <v>42866.746064814812</v>
      </c>
      <c r="F95" s="13">
        <v>42866.747534722221</v>
      </c>
      <c r="G95" s="7">
        <v>1</v>
      </c>
      <c r="H95" s="21" t="s">
        <v>878</v>
      </c>
      <c r="I95" s="13">
        <v>42866.775196759256</v>
      </c>
      <c r="J95" s="7">
        <v>0</v>
      </c>
      <c r="K95" s="92" t="str">
        <f t="shared" si="44"/>
        <v>4015/4016</v>
      </c>
      <c r="L95" s="21" t="str">
        <f>VLOOKUP(A95,'Trips&amp;Operators'!$C$1:$G$99999,5,FALSE)</f>
        <v>BRANDNER MELINDA</v>
      </c>
      <c r="M95" s="6">
        <f t="shared" si="45"/>
        <v>2.7662037035042886E-2</v>
      </c>
      <c r="N95" s="7">
        <f t="shared" si="42"/>
        <v>39.833333330461755</v>
      </c>
      <c r="O95" s="7"/>
      <c r="P95" s="7"/>
      <c r="Q95" s="22"/>
      <c r="R95" s="190"/>
      <c r="S95" s="196">
        <f t="shared" si="43"/>
        <v>1</v>
      </c>
      <c r="T95" s="190" t="str">
        <f t="shared" si="46"/>
        <v>Southbound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47"/>
        <v>https://d0f6bd738d7f1b3e5a7ca70fe4ff75f0.us-east-1.aws.found.io/app/kibana#/discover/Steve-Slow-Train-Analysis-(2080s-and-2083s)?_g=(refreshInterval:(display:Off,pause:!f,section:0,value:0),time:(from:'2017-05-11T16:54:20-0600',mode:absolute,to:'2017-05-11T19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5" s="192" t="str">
        <f t="shared" si="48"/>
        <v>N</v>
      </c>
      <c r="X95" s="192">
        <f t="shared" si="39"/>
        <v>1</v>
      </c>
      <c r="Y95" s="192">
        <f t="shared" si="49"/>
        <v>23.2666</v>
      </c>
      <c r="Z95" s="192">
        <f t="shared" ref="Z95:Z126" si="59">RIGHT(H95,LEN(H95)-4)/10000</f>
        <v>1.6299999999999999E-2</v>
      </c>
      <c r="AA95" s="192">
        <f t="shared" si="50"/>
        <v>23.250299999999999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51"/>
        <v>0208-11</v>
      </c>
      <c r="AE95" s="80" t="str">
        <f t="shared" si="52"/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AF95" s="77" t="str">
        <f t="shared" si="53"/>
        <v>"C:\Program Files (x86)\AstroGrep\AstroGrep.exe" /e /r /s /spath="%USERPROFILE%\AppData\Local\Temp\OnboardLogs" /stypes="app*4015*20170512*" /stext=" 00:.+((SYSTEM_STATE.+slice.+state.+changed )|(ment ac)|(multiple cpu faults)|(system.+state.+changed )|(\[timeout)|(PRM\|1\|D)|(kpr)|(kdp)|(train st.+moving)|(\|lc)|(penalty))"</v>
      </c>
      <c r="AG95" s="1" t="str">
        <f t="shared" si="54"/>
        <v>EC</v>
      </c>
      <c r="AH95" s="81" t="str">
        <f t="shared" si="55"/>
        <v>"%USERPROFILE%\Documents\GitHub\eaglep3\Utilities\RefineRTDCRunTimes.py" --tripid 208-11 --locoid 4015 --swversion DE.1.0.9.0 --startMP 204:232666 --initTime 2017-05-11T17:54:20 --startdatetime 2017-05-11T17:56:27 --delay 1 --endMP 204:163 --enddatetime 2017-05-11T18:36:17 --enforcementcount 0 &gt;&gt;C:\Users\stu\Documents\GitHub\eaglep3-reporting\EC\2017-05-11-refined-times.txt</v>
      </c>
      <c r="AI95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{"issue":{"subject":"","project_id":79,"tracker_id":40,"status_id":1,"priority_id":2,"assigned_to_id":23,"start_date":"2017-05-11","description":"","custom_fields":[{"id":1,"name":"Subdivision","value":"EC"},{"id":4,"name":"Milepost","value":"0.0163"},{"id":17,"name":"Train ID","value":"208-11"},{"id":16,"name":"Locomotive ID","value":"4015"},{"id":130,"name":"Impact","value":""},{"id":150,"name":"Time of Event (Mountain Time)","value":"18:36:17"},{"id":151,"name":"Denver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57"/>
        <v>start /low /b %USERPROFILE%\Documents\GitHub\eaglep3\Utilities\DownloadLogsFromS3.py --loco 4015 --day 2017-05-11</v>
      </c>
      <c r="AN95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00:36:17"},{"id":29,"name":"Sharepoint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741</v>
      </c>
      <c r="B96" s="7">
        <v>4030</v>
      </c>
      <c r="C96" s="21" t="s">
        <v>206</v>
      </c>
      <c r="D96" s="21" t="s">
        <v>370</v>
      </c>
      <c r="E96" s="13">
        <v>42866.717210648145</v>
      </c>
      <c r="F96" s="13">
        <v>42866.718981481485</v>
      </c>
      <c r="G96" s="7">
        <v>1</v>
      </c>
      <c r="H96" s="21" t="s">
        <v>879</v>
      </c>
      <c r="I96" s="13">
        <v>42866.743194444447</v>
      </c>
      <c r="J96" s="7">
        <v>0</v>
      </c>
      <c r="K96" s="92" t="str">
        <f t="shared" si="44"/>
        <v>4029/4030</v>
      </c>
      <c r="L96" s="21" t="str">
        <f>VLOOKUP(A96,'Trips&amp;Operators'!$C$1:$G$99999,5,FALSE)</f>
        <v>CHANDLER KELVIN</v>
      </c>
      <c r="M96" s="6">
        <f t="shared" si="45"/>
        <v>2.421296296233777E-2</v>
      </c>
      <c r="N96" s="7">
        <f t="shared" si="42"/>
        <v>34.866666665766388</v>
      </c>
      <c r="O96" s="7"/>
      <c r="P96" s="7"/>
      <c r="Q96" s="22"/>
      <c r="R96" s="190" t="s">
        <v>1056</v>
      </c>
      <c r="S96" s="196">
        <f t="shared" si="43"/>
        <v>1</v>
      </c>
      <c r="T96" s="190" t="str">
        <f t="shared" si="46"/>
        <v>NorthBound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47"/>
        <v>https://d0f6bd738d7f1b3e5a7ca70fe4ff75f0.us-east-1.aws.found.io/app/kibana#/discover/Steve-Slow-Train-Analysis-(2080s-and-2083s)?_g=(refreshInterval:(display:Off,pause:!f,section:0,value:0),time:(from:'2017-05-11T16:12:47-0600',mode:absolute,to:'2017-05-11T18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6" s="192" t="str">
        <f t="shared" si="48"/>
        <v>Y</v>
      </c>
      <c r="X96" s="192">
        <f t="shared" si="39"/>
        <v>1</v>
      </c>
      <c r="Y96" s="192">
        <f t="shared" si="49"/>
        <v>4.53E-2</v>
      </c>
      <c r="Z96" s="192">
        <f t="shared" si="59"/>
        <v>22.652899999999999</v>
      </c>
      <c r="AA96" s="192">
        <f t="shared" si="50"/>
        <v>22.607599999999998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51"/>
        <v>0209-11</v>
      </c>
      <c r="AE96" s="80" t="str">
        <f t="shared" si="52"/>
        <v>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 &amp; aws s3 cp s3://rtdc.mdm.uploadarchive.raw/RTDC4030/ "%USERPROFILE%\AppData\Local\Temp\OnboardLogs"\RTDC4030\2017-05-12 --exclude "*" --recursive --include "*20170512*" &amp; "%USERPROFILE%\Documents\GitHub\mrs-test-scripts\Headless Mode &amp; Sideloading\WalkAndUnGZ.bat" "%USERPROFILE%\AppData\Local\Temp\OnboardLogs"\RTDC4030\2017-05-12</v>
      </c>
      <c r="AF96" s="77" t="str">
        <f t="shared" si="53"/>
        <v>"C:\Program Files (x86)\AstroGrep\AstroGrep.exe" /e /r /s /spath="%USERPROFILE%\AppData\Local\Temp\OnboardLogs" /stypes="app*4030*20170511*" /stext=" 23:.+((SYSTEM_STATE.+slice.+state.+changed )|(ment ac)|(multiple cpu faults)|(system.+state.+changed )|(\[timeout)|(PRM\|1\|D)|(kpr)|(kdp)|(train st.+moving)|(\|lc)|(penalty))"</v>
      </c>
      <c r="AG96" s="1" t="str">
        <f t="shared" si="54"/>
        <v>EC</v>
      </c>
      <c r="AH96" s="81" t="str">
        <f t="shared" si="55"/>
        <v>"%USERPROFILE%\Documents\GitHub\eaglep3\Utilities\RefineRTDCRunTimes.py" --tripid 209-11 --locoid 4030 --swversion DE.1.0.9.0 --startMP 204:453 --initTime 2017-05-11T17:12:47 --startdatetime 2017-05-11T17:15:20 --delay 1 --endMP 204:226529 --enddatetime 2017-05-11T17:50:12 --enforcementcount 0 &gt;&gt;C:\Users\stu\Documents\GitHub\eaglep3-reporting\EC\2017-05-11-refined-times.txt</v>
      </c>
      <c r="AI96" s="99" t="str">
        <f t="shared" si="56"/>
        <v>echo {"issue":{"subject":"Encountered restricted aspect approaching DIA 4N (damaged trains parked on DIA Tracks 1 and 2)","project_id":79,"tracker_id":40,"status_id":1,"priority_id":2,"assigned_to_id":23,"start_date":"2017-05-11","description":"","custom_fields":[{"id":1,"name":"Subdivision","value":"EC"},{"id":4,"name":"Milepost","value":"22.6529"},{"id":17,"name":"Train ID","value":"209-11"},{"id":16,"name":"Locomotive ID","value":"4030"},{"id":130,"name":"Impact","value":""},{"id":150,"name":"Time of Event (Mountain Time)","value":"17:50:12"},{"id":151,"name":"Denver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5" t="str">
        <f t="shared" si="57"/>
        <v>start /low /b %USERPROFILE%\Documents\GitHub\eaglep3\Utilities\DownloadLogsFromS3.py --loco 4030 --day 2017-05-11</v>
      </c>
      <c r="AN96" s="154" t="str">
        <f t="shared" si="58"/>
        <v>echo {"issue":{"subject":"Encountered restricted aspect approaching DIA 4N (damaged trains parked on DIA Tracks 1 and 2)","project_id":30,"tracker_id":4,"status_id":1,"priority_id":1,"assigned_to_id":10,"start_date":"2017-05-11","description":"","custom_fields":[{"id":30,"name":"Category","value":"Issue"},{"id":3,"name":"Functional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7" spans="1:91" s="20" customFormat="1" x14ac:dyDescent="0.25">
      <c r="A97" s="32" t="s">
        <v>596</v>
      </c>
      <c r="B97" s="7">
        <v>4029</v>
      </c>
      <c r="C97" s="21" t="s">
        <v>206</v>
      </c>
      <c r="D97" s="21" t="s">
        <v>880</v>
      </c>
      <c r="E97" s="13">
        <v>42866.755347222221</v>
      </c>
      <c r="F97" s="13">
        <v>42866.757905092592</v>
      </c>
      <c r="G97" s="7">
        <v>1</v>
      </c>
      <c r="H97" s="21" t="s">
        <v>881</v>
      </c>
      <c r="I97" s="13">
        <v>42866.785717592589</v>
      </c>
      <c r="J97" s="7">
        <v>0</v>
      </c>
      <c r="K97" s="92" t="str">
        <f t="shared" si="44"/>
        <v>4029/4030</v>
      </c>
      <c r="L97" s="21" t="str">
        <f>VLOOKUP(A97,'Trips&amp;Operators'!$C$1:$G$99999,5,FALSE)</f>
        <v>CHANDLER KELVIN</v>
      </c>
      <c r="M97" s="6">
        <f t="shared" si="45"/>
        <v>2.7812499996798579E-2</v>
      </c>
      <c r="N97" s="7">
        <f t="shared" si="42"/>
        <v>40.049999995389953</v>
      </c>
      <c r="O97" s="7"/>
      <c r="P97" s="7"/>
      <c r="Q97" s="22"/>
      <c r="R97" s="190"/>
      <c r="S97" s="196">
        <f t="shared" si="43"/>
        <v>1</v>
      </c>
      <c r="T97" s="190" t="str">
        <f t="shared" si="46"/>
        <v>Southbound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47"/>
        <v>https://d0f6bd738d7f1b3e5a7ca70fe4ff75f0.us-east-1.aws.found.io/app/kibana#/discover/Steve-Slow-Train-Analysis-(2080s-and-2083s)?_g=(refreshInterval:(display:Off,pause:!f,section:0,value:0),time:(from:'2017-05-11T17:07:42-0600',mode:absolute,to:'2017-05-11T19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7" s="192" t="str">
        <f t="shared" si="48"/>
        <v>N</v>
      </c>
      <c r="X97" s="192">
        <f t="shared" si="39"/>
        <v>1</v>
      </c>
      <c r="Y97" s="192">
        <f t="shared" si="49"/>
        <v>23.264199999999999</v>
      </c>
      <c r="Z97" s="192">
        <f t="shared" si="59"/>
        <v>9.9400000000000002E-2</v>
      </c>
      <c r="AA97" s="192">
        <f t="shared" si="50"/>
        <v>23.1648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51"/>
        <v>0210-11</v>
      </c>
      <c r="AE97" s="80" t="str">
        <f t="shared" si="52"/>
        <v>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 &amp; aws s3 cp s3://rtdc.mdm.uploadarchive.raw/RTDC4029/ "%USERPROFILE%\AppData\Local\Temp\OnboardLogs"\RTDC4029\2017-05-12 --exclude "*" --recursive --include "*20170512*" &amp; "%USERPROFILE%\Documents\GitHub\mrs-test-scripts\Headless Mode &amp; Sideloading\WalkAndUnGZ.bat" "%USERPROFILE%\AppData\Local\Temp\OnboardLogs"\RTDC4029\2017-05-12</v>
      </c>
      <c r="AF97" s="77" t="str">
        <f t="shared" si="53"/>
        <v>"C:\Program Files (x86)\AstroGrep\AstroGrep.exe" /e /r /s /spath="%USERPROFILE%\AppData\Local\Temp\OnboardLogs" /stypes="app*4029*20170512*" /stext=" 00:.+((SYSTEM_STATE.+slice.+state.+changed )|(ment ac)|(multiple cpu faults)|(system.+state.+changed )|(\[timeout)|(PRM\|1\|D)|(kpr)|(kdp)|(train st.+moving)|(\|lc)|(penalty))"</v>
      </c>
      <c r="AG97" s="1" t="str">
        <f t="shared" si="54"/>
        <v>EC</v>
      </c>
      <c r="AH97" s="81" t="str">
        <f t="shared" si="55"/>
        <v>"%USERPROFILE%\Documents\GitHub\eaglep3\Utilities\RefineRTDCRunTimes.py" --tripid 210-11 --locoid 4029 --swversion DE.1.0.9.0 --startMP 204:232642 --initTime 2017-05-11T18:07:42 --startdatetime 2017-05-11T18:11:23 --delay 1 --endMP 204:994 --enddatetime 2017-05-11T18:51:26 --enforcementcount 0 &gt;&gt;C:\Users\stu\Documents\GitHub\eaglep3-reporting\EC\2017-05-11-refined-times.txt</v>
      </c>
      <c r="AI97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{"issue":{"subject":"","project_id":79,"tracker_id":40,"status_id":1,"priority_id":2,"assigned_to_id":23,"start_date":"2017-05-11","description":"","custom_fields":[{"id":1,"name":"Subdivision","value":"EC"},{"id":4,"name":"Milepost","value":"0.0994"},{"id":17,"name":"Train ID","value":"210-11"},{"id":16,"name":"Locomotive ID","value":"4029"},{"id":130,"name":"Impact","value":""},{"id":150,"name":"Time of Event (Mountain Time)","value":"18:51:26"},{"id":151,"name":"Denver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57"/>
        <v>start /low /b %USERPROFILE%\Documents\GitHub\eaglep3\Utilities\DownloadLogsFromS3.py --loco 4029 --day 2017-05-11</v>
      </c>
      <c r="AN97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00:51:26"},{"id":29,"name":"Sharepoint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595</v>
      </c>
      <c r="B98" s="7">
        <v>4054</v>
      </c>
      <c r="C98" s="21" t="s">
        <v>206</v>
      </c>
      <c r="D98" s="21" t="s">
        <v>352</v>
      </c>
      <c r="E98" s="13">
        <v>42866.725451388891</v>
      </c>
      <c r="F98" s="13">
        <v>42866.729386574072</v>
      </c>
      <c r="G98" s="7">
        <v>3</v>
      </c>
      <c r="H98" s="21" t="s">
        <v>385</v>
      </c>
      <c r="I98" s="13">
        <v>42866.7575</v>
      </c>
      <c r="J98" s="7">
        <v>0</v>
      </c>
      <c r="K98" s="92" t="str">
        <f t="shared" si="44"/>
        <v>4053/4054</v>
      </c>
      <c r="L98" s="21" t="str">
        <f>VLOOKUP(A98,'Trips&amp;Operators'!$C$1:$G$99999,5,FALSE)</f>
        <v>DELGADO DIANAH</v>
      </c>
      <c r="M98" s="6">
        <f t="shared" si="45"/>
        <v>2.8113425927585922E-2</v>
      </c>
      <c r="N98" s="7">
        <f t="shared" si="42"/>
        <v>40.483333335723728</v>
      </c>
      <c r="O98" s="7"/>
      <c r="P98" s="7"/>
      <c r="Q98" s="22"/>
      <c r="R98" s="190" t="s">
        <v>1052</v>
      </c>
      <c r="S98" s="196">
        <f t="shared" si="43"/>
        <v>1</v>
      </c>
      <c r="T98" s="190" t="str">
        <f t="shared" si="46"/>
        <v>NorthBound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47"/>
        <v>https://d0f6bd738d7f1b3e5a7ca70fe4ff75f0.us-east-1.aws.found.io/app/kibana#/discover/Steve-Slow-Train-Analysis-(2080s-and-2083s)?_g=(refreshInterval:(display:Off,pause:!f,section:0,value:0),time:(from:'2017-05-11T16:24:39-0600',mode:absolute,to:'2017-05-11T19:10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8" s="192" t="str">
        <f t="shared" si="48"/>
        <v>N</v>
      </c>
      <c r="X98" s="192">
        <f t="shared" si="39"/>
        <v>1</v>
      </c>
      <c r="Y98" s="192">
        <f t="shared" si="49"/>
        <v>4.4600000000000001E-2</v>
      </c>
      <c r="Z98" s="192">
        <f t="shared" si="59"/>
        <v>23.2987</v>
      </c>
      <c r="AA98" s="192">
        <f t="shared" si="50"/>
        <v>23.254100000000001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51"/>
        <v>0211-11</v>
      </c>
      <c r="AE98" s="80" t="str">
        <f t="shared" si="52"/>
        <v>aws s3 cp s3://rtdc.mdm.uploadarchive.raw/RTDC4054/ "%USERPROFILE%\AppData\Local\Temp\OnboardLogs"\RTDC4054\2017-05-11 --exclude "*" --recursive --include "*20170511*" &amp; "%USERPROFILE%\Documents\GitHub\mrs-test-scripts\Headless Mode &amp; Sideloading\WalkAndUnGZ.bat" "%USERPROFILE%\AppData\Local\Temp\OnboardLogs"\RTDC4054\2017-05-11 &amp; aws s3 cp s3://rtdc.mdm.uploadarchive.raw/RTDC4054/ "%USERPROFILE%\AppData\Local\Temp\OnboardLogs"\RTDC4054\2017-05-12 --exclude "*" --recursive --include "*20170512*" &amp; "%USERPROFILE%\Documents\GitHub\mrs-test-scripts\Headless Mode &amp; Sideloading\WalkAndUnGZ.bat" "%USERPROFILE%\AppData\Local\Temp\OnboardLogs"\RTDC4054\2017-05-12</v>
      </c>
      <c r="AF98" s="77" t="str">
        <f t="shared" si="53"/>
        <v>"C:\Program Files (x86)\AstroGrep\AstroGrep.exe" /e /r /s /spath="%USERPROFILE%\AppData\Local\Temp\OnboardLogs" /stypes="app*4054*20170512*" /stext=" 00:.+((SYSTEM_STATE.+slice.+state.+changed )|(ment ac)|(multiple cpu faults)|(system.+state.+changed )|(\[timeout)|(PRM\|1\|D)|(kpr)|(kdp)|(train st.+moving)|(\|lc)|(penalty))"</v>
      </c>
      <c r="AG98" s="1" t="str">
        <f t="shared" si="54"/>
        <v>EC</v>
      </c>
      <c r="AH98" s="81" t="str">
        <f t="shared" si="55"/>
        <v>"%USERPROFILE%\Documents\GitHub\eaglep3\Utilities\RefineRTDCRunTimes.py" --tripid 211-11 --locoid 4054 --swversion DE.1.0.9.0 --startMP 204:446 --initTime 2017-05-11T17:24:39 --startdatetime 2017-05-11T17:30:19 --delay 3 --endMP 204:232987 --enddatetime 2017-05-11T18:10:48 --enforcementcount 0 &gt;&gt;C:\Users\stu\Documents\GitHub\eaglep3-reporting\EC\2017-05-11-refined-times.txt</v>
      </c>
      <c r="AI98" s="99" t="str">
        <f t="shared" si="56"/>
        <v>echo {"issue":{"subject":"Selected wrong track at first","project_id":79,"tracker_id":40,"status_id":1,"priority_id":2,"assigned_to_id":23,"start_date":"2017-05-11","description":"","custom_fields":[{"id":1,"name":"Subdivision","value":"EC"},{"id":4,"name":"Milepost","value":"23.2987"},{"id":17,"name":"Train ID","value":"211-11"},{"id":16,"name":"Locomotive ID","value":"4054"},{"id":130,"name":"Impact","value":""},{"id":150,"name":"Time of Event (Mountain Time)","value":"18:10:48"},{"id":151,"name":"Denver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57"/>
        <v>start /low /b %USERPROFILE%\Documents\GitHub\eaglep3\Utilities\DownloadLogsFromS3.py --loco 4054 --day 2017-05-11</v>
      </c>
      <c r="AN98" s="154" t="str">
        <f t="shared" si="58"/>
        <v>echo {"issue":{"subject":"Selected wrong track at first","project_id":30,"tracker_id":4,"status_id":1,"priority_id":1,"assigned_to_id":10,"start_date":"2017-05-12","description":"","custom_fields":[{"id":30,"name":"Category","value":"Issue"},{"id":3,"name":"Functional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00:10:48"},{"id":29,"name":"Sharepoint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597</v>
      </c>
      <c r="B99" s="7">
        <v>4053</v>
      </c>
      <c r="C99" s="21" t="s">
        <v>206</v>
      </c>
      <c r="D99" s="21" t="s">
        <v>882</v>
      </c>
      <c r="E99" s="13">
        <v>42866.759432870371</v>
      </c>
      <c r="F99" s="13">
        <v>42866.778425925928</v>
      </c>
      <c r="G99" s="7">
        <v>3</v>
      </c>
      <c r="H99" s="21" t="s">
        <v>544</v>
      </c>
      <c r="I99" s="13">
        <v>42866.808900462966</v>
      </c>
      <c r="J99" s="7">
        <v>0</v>
      </c>
      <c r="K99" s="92" t="str">
        <f t="shared" si="44"/>
        <v>4053/4054</v>
      </c>
      <c r="L99" s="21" t="str">
        <f>VLOOKUP(A99,'Trips&amp;Operators'!$C$1:$G$99999,5,FALSE)</f>
        <v>DELGADO DIANAH</v>
      </c>
      <c r="M99" s="6">
        <f t="shared" si="45"/>
        <v>3.047453703766223E-2</v>
      </c>
      <c r="N99" s="7">
        <f t="shared" ref="N99:P128" si="60">24*60*SUM($M99:$M99)</f>
        <v>43.883333334233612</v>
      </c>
      <c r="O99" s="7"/>
      <c r="P99" s="7"/>
      <c r="Q99" s="22"/>
      <c r="R99" s="190"/>
      <c r="S99" s="196">
        <f t="shared" si="43"/>
        <v>1</v>
      </c>
      <c r="T99" s="190" t="str">
        <f t="shared" si="46"/>
        <v>Southbound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47"/>
        <v>https://d0f6bd738d7f1b3e5a7ca70fe4ff75f0.us-east-1.aws.found.io/app/kibana#/discover/Steve-Slow-Train-Analysis-(2080s-and-2083s)?_g=(refreshInterval:(display:Off,pause:!f,section:0,value:0),time:(from:'2017-05-11T17:13:35-0600',mode:absolute,to:'2017-05-11T20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9" s="192" t="str">
        <f t="shared" si="48"/>
        <v>N</v>
      </c>
      <c r="X99" s="192">
        <f t="shared" si="39"/>
        <v>1</v>
      </c>
      <c r="Y99" s="192">
        <f t="shared" si="49"/>
        <v>23.267499999999998</v>
      </c>
      <c r="Z99" s="192">
        <f t="shared" si="59"/>
        <v>1.06E-2</v>
      </c>
      <c r="AA99" s="192">
        <f t="shared" si="50"/>
        <v>23.256899999999998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51"/>
        <v>0212-11</v>
      </c>
      <c r="AE99" s="80" t="str">
        <f t="shared" si="52"/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AF99" s="77" t="str">
        <f t="shared" si="53"/>
        <v>"C:\Program Files (x86)\AstroGrep\AstroGrep.exe" /e /r /s /spath="%USERPROFILE%\AppData\Local\Temp\OnboardLogs" /stypes="app*4053*20170512*" /stext=" 01:.+((SYSTEM_STATE.+slice.+state.+changed )|(ment ac)|(multiple cpu faults)|(system.+state.+changed )|(\[timeout)|(PRM\|1\|D)|(kpr)|(kdp)|(train st.+moving)|(\|lc)|(penalty))"</v>
      </c>
      <c r="AG99" s="1" t="str">
        <f t="shared" si="54"/>
        <v>EC</v>
      </c>
      <c r="AH99" s="81" t="str">
        <f t="shared" si="55"/>
        <v>"%USERPROFILE%\Documents\GitHub\eaglep3\Utilities\RefineRTDCRunTimes.py" --tripid 212-11 --locoid 4053 --swversion DE.1.0.9.0 --startMP 204:232675 --initTime 2017-05-11T18:13:35 --startdatetime 2017-05-11T18:40:56 --delay 3 --endMP 204:106 --enddatetime 2017-05-11T19:24:49 --enforcementcount 0 &gt;&gt;C:\Users\stu\Documents\GitHub\eaglep3-reporting\EC\2017-05-11-refined-times.txt</v>
      </c>
      <c r="AI99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{"issue":{"subject":"","project_id":79,"tracker_id":40,"status_id":1,"priority_id":2,"assigned_to_id":23,"start_date":"2017-05-11","description":"","custom_fields":[{"id":1,"name":"Subdivision","value":"EC"},{"id":4,"name":"Milepost","value":"0.0106"},{"id":17,"name":"Train ID","value":"212-11"},{"id":16,"name":"Locomotive ID","value":"4053"},{"id":130,"name":"Impact","value":""},{"id":150,"name":"Time of Event (Mountain Time)","value":"19:24:49"},{"id":151,"name":"Denver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57"/>
        <v>start /low /b %USERPROFILE%\Documents\GitHub\eaglep3\Utilities\DownloadLogsFromS3.py --loco 4053 --day 2017-05-11</v>
      </c>
      <c r="AN99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745</v>
      </c>
      <c r="B100" s="7">
        <v>4028</v>
      </c>
      <c r="C100" s="21" t="s">
        <v>206</v>
      </c>
      <c r="D100" s="21" t="s">
        <v>441</v>
      </c>
      <c r="E100" s="13">
        <v>42866.736203703702</v>
      </c>
      <c r="F100" s="13">
        <v>42866.73978009259</v>
      </c>
      <c r="G100" s="7">
        <v>1</v>
      </c>
      <c r="H100" s="21" t="s">
        <v>883</v>
      </c>
      <c r="I100" s="13">
        <v>42866.7659375</v>
      </c>
      <c r="J100" s="7">
        <v>0</v>
      </c>
      <c r="K100" s="92" t="str">
        <f t="shared" si="44"/>
        <v>4027/4028</v>
      </c>
      <c r="L100" s="21" t="str">
        <f>VLOOKUP(A100,'Trips&amp;Operators'!$C$1:$G$99999,5,FALSE)</f>
        <v>NEWELL JAMES</v>
      </c>
      <c r="M100" s="6">
        <f t="shared" si="45"/>
        <v>2.6157407410209998E-2</v>
      </c>
      <c r="N100" s="7">
        <f t="shared" si="60"/>
        <v>37.666666670702398</v>
      </c>
      <c r="O100" s="7"/>
      <c r="P100" s="7"/>
      <c r="Q100" s="22"/>
      <c r="R100" s="190"/>
      <c r="S100" s="196">
        <f t="shared" si="43"/>
        <v>1</v>
      </c>
      <c r="T100" s="190" t="str">
        <f t="shared" si="46"/>
        <v>NorthBound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47"/>
        <v>https://d0f6bd738d7f1b3e5a7ca70fe4ff75f0.us-east-1.aws.found.io/app/kibana#/discover/Steve-Slow-Train-Analysis-(2080s-and-2083s)?_g=(refreshInterval:(display:Off,pause:!f,section:0,value:0),time:(from:'2017-05-11T16:40:08-0600',mode:absolute,to:'2017-05-11T19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0" s="192" t="str">
        <f t="shared" si="48"/>
        <v>N</v>
      </c>
      <c r="X100" s="192">
        <f t="shared" si="39"/>
        <v>1</v>
      </c>
      <c r="Y100" s="192">
        <f t="shared" si="49"/>
        <v>4.6199999999999998E-2</v>
      </c>
      <c r="Z100" s="192">
        <f t="shared" si="59"/>
        <v>23.296299999999999</v>
      </c>
      <c r="AA100" s="192">
        <f t="shared" si="50"/>
        <v>23.2501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51"/>
        <v>0213-11</v>
      </c>
      <c r="AE100" s="80" t="str">
        <f t="shared" si="52"/>
        <v>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 &amp; aws s3 cp s3://rtdc.mdm.uploadarchive.raw/RTDC4028/ "%USERPROFILE%\AppData\Local\Temp\OnboardLogs"\RTDC4028\2017-05-12 --exclude "*" --recursive --include "*20170512*" &amp; "%USERPROFILE%\Documents\GitHub\mrs-test-scripts\Headless Mode &amp; Sideloading\WalkAndUnGZ.bat" "%USERPROFILE%\AppData\Local\Temp\OnboardLogs"\RTDC4028\2017-05-12</v>
      </c>
      <c r="AF100" s="77" t="str">
        <f t="shared" si="53"/>
        <v>"C:\Program Files (x86)\AstroGrep\AstroGrep.exe" /e /r /s /spath="%USERPROFILE%\AppData\Local\Temp\OnboardLogs" /stypes="app*4028*20170512*" /stext=" 00:.+((SYSTEM_STATE.+slice.+state.+changed )|(ment ac)|(multiple cpu faults)|(system.+state.+changed )|(\[timeout)|(PRM\|1\|D)|(kpr)|(kdp)|(train st.+moving)|(\|lc)|(penalty))"</v>
      </c>
      <c r="AG100" s="1" t="str">
        <f t="shared" si="54"/>
        <v>EC</v>
      </c>
      <c r="AH100" s="81" t="str">
        <f t="shared" si="55"/>
        <v>"%USERPROFILE%\Documents\GitHub\eaglep3\Utilities\RefineRTDCRunTimes.py" --tripid 213-11 --locoid 4028 --swversion DE.1.0.9.0 --startMP 204:462 --initTime 2017-05-11T17:40:08 --startdatetime 2017-05-11T17:45:17 --delay 1 --endMP 204:232963 --enddatetime 2017-05-11T18:22:57 --enforcementcount 0 &gt;&gt;C:\Users\stu\Documents\GitHub\eaglep3-reporting\EC\2017-05-11-refined-times.txt</v>
      </c>
      <c r="AI100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{"issue":{"subject":"","project_id":79,"tracker_id":40,"status_id":1,"priority_id":2,"assigned_to_id":23,"start_date":"2017-05-11","description":"","custom_fields":[{"id":1,"name":"Subdivision","value":"EC"},{"id":4,"name":"Milepost","value":"23.2963"},{"id":17,"name":"Train ID","value":"213-11"},{"id":16,"name":"Locomotive ID","value":"4028"},{"id":130,"name":"Impact","value":""},{"id":150,"name":"Time of Event (Mountain Time)","value":"18:22:57"},{"id":151,"name":"Denver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57"/>
        <v>start /low /b %USERPROFILE%\Documents\GitHub\eaglep3\Utilities\DownloadLogsFromS3.py --loco 4028 --day 2017-05-11</v>
      </c>
      <c r="AN100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00:22:57"},{"id":29,"name":"Sharepoint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755</v>
      </c>
      <c r="B101" s="7">
        <v>4027</v>
      </c>
      <c r="C101" s="21" t="s">
        <v>206</v>
      </c>
      <c r="D101" s="21" t="s">
        <v>880</v>
      </c>
      <c r="E101" s="13">
        <v>42866.771828703706</v>
      </c>
      <c r="F101" s="13">
        <v>42866.781087962961</v>
      </c>
      <c r="G101" s="7">
        <v>1</v>
      </c>
      <c r="H101" s="21" t="s">
        <v>884</v>
      </c>
      <c r="I101" s="13">
        <v>42866.810555555552</v>
      </c>
      <c r="J101" s="7">
        <v>0</v>
      </c>
      <c r="K101" s="92" t="str">
        <f t="shared" si="44"/>
        <v>4027/4028</v>
      </c>
      <c r="L101" s="21" t="str">
        <f>VLOOKUP(A101,'Trips&amp;Operators'!$C$1:$G$99999,5,FALSE)</f>
        <v>NEWELL JAMES</v>
      </c>
      <c r="M101" s="6">
        <f t="shared" si="45"/>
        <v>2.9467592590663116E-2</v>
      </c>
      <c r="N101" s="7">
        <f t="shared" si="60"/>
        <v>42.433333330554888</v>
      </c>
      <c r="O101" s="7"/>
      <c r="P101" s="7"/>
      <c r="Q101" s="22"/>
      <c r="R101" s="190"/>
      <c r="S101" s="196">
        <f t="shared" ref="S101:S130" si="61">SUM(U101:U101)/IF(AG101="EC",12,1)</f>
        <v>1</v>
      </c>
      <c r="T101" s="190" t="str">
        <f t="shared" si="46"/>
        <v>Southbound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47"/>
        <v>https://d0f6bd738d7f1b3e5a7ca70fe4ff75f0.us-east-1.aws.found.io/app/kibana#/discover/Steve-Slow-Train-Analysis-(2080s-and-2083s)?_g=(refreshInterval:(display:Off,pause:!f,section:0,value:0),time:(from:'2017-05-11T17:31:26-0600',mode:absolute,to:'2017-05-11T20:27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1" s="192" t="str">
        <f t="shared" si="48"/>
        <v>N</v>
      </c>
      <c r="X101" s="192">
        <f t="shared" si="39"/>
        <v>1</v>
      </c>
      <c r="Y101" s="192">
        <f t="shared" si="49"/>
        <v>23.264199999999999</v>
      </c>
      <c r="Z101" s="192">
        <f t="shared" si="59"/>
        <v>0.1177</v>
      </c>
      <c r="AA101" s="192">
        <f t="shared" si="50"/>
        <v>23.1465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51"/>
        <v>0214-11</v>
      </c>
      <c r="AE101" s="80" t="str">
        <f t="shared" si="52"/>
        <v>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 &amp; aws s3 cp s3://rtdc.mdm.uploadarchive.raw/RTDC4027/ "%USERPROFILE%\AppData\Local\Temp\OnboardLogs"\RTDC4027\2017-05-12 --exclude "*" --recursive --include "*20170512*" &amp; "%USERPROFILE%\Documents\GitHub\mrs-test-scripts\Headless Mode &amp; Sideloading\WalkAndUnGZ.bat" "%USERPROFILE%\AppData\Local\Temp\OnboardLogs"\RTDC4027\2017-05-12</v>
      </c>
      <c r="AF101" s="77" t="str">
        <f t="shared" si="53"/>
        <v>"C:\Program Files (x86)\AstroGrep\AstroGrep.exe" /e /r /s /spath="%USERPROFILE%\AppData\Local\Temp\OnboardLogs" /stypes="app*4027*20170512*" /stext=" 01:.+((SYSTEM_STATE.+slice.+state.+changed )|(ment ac)|(multiple cpu faults)|(system.+state.+changed )|(\[timeout)|(PRM\|1\|D)|(kpr)|(kdp)|(train st.+moving)|(\|lc)|(penalty))"</v>
      </c>
      <c r="AG101" s="1" t="str">
        <f t="shared" si="54"/>
        <v>EC</v>
      </c>
      <c r="AH101" s="81" t="str">
        <f t="shared" si="55"/>
        <v>"%USERPROFILE%\Documents\GitHub\eaglep3\Utilities\RefineRTDCRunTimes.py" --tripid 214-11 --locoid 4027 --swversion DE.1.0.9.0 --startMP 204:232642 --initTime 2017-05-11T18:31:26 --startdatetime 2017-05-11T18:44:46 --delay 1 --endMP 204:1177 --enddatetime 2017-05-11T19:27:12 --enforcementcount 0 &gt;&gt;C:\Users\stu\Documents\GitHub\eaglep3-reporting\EC\2017-05-11-refined-times.txt</v>
      </c>
      <c r="AI101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{"issue":{"subject":"","project_id":79,"tracker_id":40,"status_id":1,"priority_id":2,"assigned_to_id":23,"start_date":"2017-05-11","description":"","custom_fields":[{"id":1,"name":"Subdivision","value":"EC"},{"id":4,"name":"Milepost","value":"0.1177"},{"id":17,"name":"Train ID","value":"214-11"},{"id":16,"name":"Locomotive ID","value":"4027"},{"id":130,"name":"Impact","value":""},{"id":150,"name":"Time of Event (Mountain Time)","value":"19:27:12"},{"id":151,"name":"Denver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57"/>
        <v>start /low /b %USERPROFILE%\Documents\GitHub\eaglep3\Utilities\DownloadLogsFromS3.py --loco 4027 --day 2017-05-11</v>
      </c>
      <c r="AN101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01:27:12"},{"id":29,"name":"Sharepoint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747</v>
      </c>
      <c r="B102" s="7">
        <v>4018</v>
      </c>
      <c r="C102" s="21" t="s">
        <v>206</v>
      </c>
      <c r="D102" s="21" t="s">
        <v>541</v>
      </c>
      <c r="E102" s="13">
        <v>42866.745185185187</v>
      </c>
      <c r="F102" s="13">
        <v>42866.750208333331</v>
      </c>
      <c r="G102" s="7">
        <v>1</v>
      </c>
      <c r="H102" s="21" t="s">
        <v>883</v>
      </c>
      <c r="I102" s="13">
        <v>42866.784421296295</v>
      </c>
      <c r="J102" s="7">
        <v>0</v>
      </c>
      <c r="K102" s="92" t="str">
        <f t="shared" si="44"/>
        <v>4017/4018</v>
      </c>
      <c r="L102" s="21" t="str">
        <f>VLOOKUP(A102,'Trips&amp;Operators'!$C$1:$G$99999,5,FALSE)</f>
        <v>PERKINS DARREN</v>
      </c>
      <c r="M102" s="6">
        <f t="shared" si="45"/>
        <v>3.4212962964375038E-2</v>
      </c>
      <c r="N102" s="7">
        <f t="shared" si="60"/>
        <v>49.266666668700054</v>
      </c>
      <c r="O102" s="7"/>
      <c r="P102" s="7"/>
      <c r="Q102" s="22"/>
      <c r="R102" s="190"/>
      <c r="S102" s="196">
        <f t="shared" si="61"/>
        <v>1</v>
      </c>
      <c r="T102" s="190" t="str">
        <f t="shared" si="46"/>
        <v>NorthBound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47"/>
        <v>https://d0f6bd738d7f1b3e5a7ca70fe4ff75f0.us-east-1.aws.found.io/app/kibana#/discover/Steve-Slow-Train-Analysis-(2080s-and-2083s)?_g=(refreshInterval:(display:Off,pause:!f,section:0,value:0),time:(from:'2017-05-11T16:53:04-0600',mode:absolute,to:'2017-05-11T19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2" s="192" t="str">
        <f t="shared" si="48"/>
        <v>N</v>
      </c>
      <c r="X102" s="192">
        <f t="shared" si="39"/>
        <v>1</v>
      </c>
      <c r="Y102" s="192">
        <f t="shared" si="49"/>
        <v>0.05</v>
      </c>
      <c r="Z102" s="192">
        <f t="shared" si="59"/>
        <v>23.296299999999999</v>
      </c>
      <c r="AA102" s="192">
        <f t="shared" si="50"/>
        <v>23.246299999999998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51"/>
        <v>0215-11</v>
      </c>
      <c r="AE102" s="80" t="str">
        <f t="shared" si="52"/>
        <v>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 &amp; aws s3 cp s3://rtdc.mdm.uploadarchive.raw/RTDC4018/ "%USERPROFILE%\AppData\Local\Temp\OnboardLogs"\RTDC4018\2017-05-12 --exclude "*" --recursive --include "*20170512*" &amp; "%USERPROFILE%\Documents\GitHub\mrs-test-scripts\Headless Mode &amp; Sideloading\WalkAndUnGZ.bat" "%USERPROFILE%\AppData\Local\Temp\OnboardLogs"\RTDC4018\2017-05-12</v>
      </c>
      <c r="AF102" s="77" t="str">
        <f t="shared" si="53"/>
        <v>"C:\Program Files (x86)\AstroGrep\AstroGrep.exe" /e /r /s /spath="%USERPROFILE%\AppData\Local\Temp\OnboardLogs" /stypes="app*4018*20170512*" /stext=" 00:.+((SYSTEM_STATE.+slice.+state.+changed )|(ment ac)|(multiple cpu faults)|(system.+state.+changed )|(\[timeout)|(PRM\|1\|D)|(kpr)|(kdp)|(train st.+moving)|(\|lc)|(penalty))"</v>
      </c>
      <c r="AG102" s="1" t="str">
        <f t="shared" si="54"/>
        <v>EC</v>
      </c>
      <c r="AH102" s="81" t="str">
        <f t="shared" si="55"/>
        <v>"%USERPROFILE%\Documents\GitHub\eaglep3\Utilities\RefineRTDCRunTimes.py" --tripid 215-11 --locoid 4018 --swversion DE.1.0.9.0 --startMP 204:500 --initTime 2017-05-11T17:53:04 --startdatetime 2017-05-11T18:00:18 --delay 1 --endMP 204:232963 --enddatetime 2017-05-11T18:49:34 --enforcementcount 0 &gt;&gt;C:\Users\stu\Documents\GitHub\eaglep3-reporting\EC\2017-05-11-refined-times.txt</v>
      </c>
      <c r="AI102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{"issue":{"subject":"","project_id":79,"tracker_id":40,"status_id":1,"priority_id":2,"assigned_to_id":23,"start_date":"2017-05-11","description":"","custom_fields":[{"id":1,"name":"Subdivision","value":"EC"},{"id":4,"name":"Milepost","value":"23.2963"},{"id":17,"name":"Train ID","value":"215-11"},{"id":16,"name":"Locomotive ID","value":"4018"},{"id":130,"name":"Impact","value":""},{"id":150,"name":"Time of Event (Mountain Time)","value":"18:49:34"},{"id":151,"name":"Denver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57"/>
        <v>start /low /b %USERPROFILE%\Documents\GitHub\eaglep3\Utilities\DownloadLogsFromS3.py --loco 4018 --day 2017-05-11</v>
      </c>
      <c r="AN102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00:49:34"},{"id":29,"name":"Sharepoint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761</v>
      </c>
      <c r="B103" s="7">
        <v>4017</v>
      </c>
      <c r="C103" s="21" t="s">
        <v>206</v>
      </c>
      <c r="D103" s="21" t="s">
        <v>885</v>
      </c>
      <c r="E103" s="13">
        <v>42866.787777777776</v>
      </c>
      <c r="F103" s="13">
        <v>42866.790729166663</v>
      </c>
      <c r="G103" s="7">
        <v>2</v>
      </c>
      <c r="H103" s="21" t="s">
        <v>886</v>
      </c>
      <c r="I103" s="13">
        <v>42866.822048611109</v>
      </c>
      <c r="J103" s="7">
        <v>0</v>
      </c>
      <c r="K103" s="92" t="str">
        <f t="shared" si="44"/>
        <v>4017/4018</v>
      </c>
      <c r="L103" s="21" t="str">
        <f>VLOOKUP(A103,'Trips&amp;Operators'!$C$1:$G$99999,5,FALSE)</f>
        <v>PERKINS DARREN</v>
      </c>
      <c r="M103" s="6">
        <f t="shared" si="45"/>
        <v>3.1319444446125999E-2</v>
      </c>
      <c r="N103" s="7">
        <f t="shared" si="60"/>
        <v>45.100000002421439</v>
      </c>
      <c r="O103" s="7"/>
      <c r="P103" s="7"/>
      <c r="Q103" s="22"/>
      <c r="R103" s="190"/>
      <c r="S103" s="196">
        <f t="shared" si="61"/>
        <v>1</v>
      </c>
      <c r="T103" s="190" t="str">
        <f t="shared" si="46"/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47"/>
        <v>https://d0f6bd738d7f1b3e5a7ca70fe4ff75f0.us-east-1.aws.found.io/app/kibana#/discover/Steve-Slow-Train-Analysis-(2080s-and-2083s)?_g=(refreshInterval:(display:Off,pause:!f,section:0,value:0),time:(from:'2017-05-11T17:54:24-0600',mode:absolute,to:'2017-05-11T20:43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3" s="192" t="str">
        <f t="shared" si="48"/>
        <v>N</v>
      </c>
      <c r="X103" s="192">
        <f t="shared" si="39"/>
        <v>1</v>
      </c>
      <c r="Y103" s="192">
        <f t="shared" si="49"/>
        <v>23.2654</v>
      </c>
      <c r="Z103" s="192">
        <f t="shared" si="59"/>
        <v>9.5999999999999992E-3</v>
      </c>
      <c r="AA103" s="192">
        <f t="shared" si="50"/>
        <v>23.255800000000001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51"/>
        <v>0216-11</v>
      </c>
      <c r="AE103" s="80" t="str">
        <f t="shared" si="52"/>
        <v>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 &amp; aws s3 cp s3://rtdc.mdm.uploadarchive.raw/RTDC4017/ "%USERPROFILE%\AppData\Local\Temp\OnboardLogs"\RTDC4017\2017-05-12 --exclude "*" --recursive --include "*20170512*" &amp; "%USERPROFILE%\Documents\GitHub\mrs-test-scripts\Headless Mode &amp; Sideloading\WalkAndUnGZ.bat" "%USERPROFILE%\AppData\Local\Temp\OnboardLogs"\RTDC4017\2017-05-12</v>
      </c>
      <c r="AF103" s="77" t="str">
        <f t="shared" si="53"/>
        <v>"C:\Program Files (x86)\AstroGrep\AstroGrep.exe" /e /r /s /spath="%USERPROFILE%\AppData\Local\Temp\OnboardLogs" /stypes="app*4017*20170512*" /stext=" 01:.+((SYSTEM_STATE.+slice.+state.+changed )|(ment ac)|(multiple cpu faults)|(system.+state.+changed )|(\[timeout)|(PRM\|1\|D)|(kpr)|(kdp)|(train st.+moving)|(\|lc)|(penalty))"</v>
      </c>
      <c r="AG103" s="1" t="str">
        <f t="shared" si="54"/>
        <v>EC</v>
      </c>
      <c r="AH103" s="81" t="str">
        <f t="shared" si="55"/>
        <v>"%USERPROFILE%\Documents\GitHub\eaglep3\Utilities\RefineRTDCRunTimes.py" --tripid 216-11 --locoid 4017 --swversion DE.1.0.9.0 --startMP 204:232654 --initTime 2017-05-11T18:54:24 --startdatetime 2017-05-11T18:58:39 --delay 2 --endMP 204:96 --enddatetime 2017-05-11T19:43:45 --enforcementcount 0 &gt;&gt;C:\Users\stu\Documents\GitHub\eaglep3-reporting\EC\2017-05-11-refined-times.txt</v>
      </c>
      <c r="AI103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{"issue":{"subject":"","project_id":79,"tracker_id":40,"status_id":1,"priority_id":2,"assigned_to_id":23,"start_date":"2017-05-11","description":"","custom_fields":[{"id":1,"name":"Subdivision","value":"EC"},{"id":4,"name":"Milepost","value":"0.0096"},{"id":17,"name":"Train ID","value":"216-11"},{"id":16,"name":"Locomotive ID","value":"4017"},{"id":130,"name":"Impact","value":""},{"id":150,"name":"Time of Event (Mountain Time)","value":"19:43:45"},{"id":151,"name":"Denver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57"/>
        <v>start /low /b %USERPROFILE%\Documents\GitHub\eaglep3\Utilities\DownloadLogsFromS3.py --loco 4017 --day 2017-05-11</v>
      </c>
      <c r="AN103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01:43:45"},{"id":29,"name":"Sharepoint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753</v>
      </c>
      <c r="B104" s="7">
        <v>4002</v>
      </c>
      <c r="C104" s="21" t="s">
        <v>206</v>
      </c>
      <c r="D104" s="21" t="s">
        <v>367</v>
      </c>
      <c r="E104" s="13">
        <v>42866.757881944446</v>
      </c>
      <c r="F104" s="13">
        <v>42866.760648148149</v>
      </c>
      <c r="G104" s="7">
        <v>1</v>
      </c>
      <c r="H104" s="21" t="s">
        <v>392</v>
      </c>
      <c r="I104" s="13">
        <v>42866.78802083333</v>
      </c>
      <c r="J104" s="7">
        <v>0</v>
      </c>
      <c r="K104" s="92" t="str">
        <f t="shared" si="44"/>
        <v>4001/4002</v>
      </c>
      <c r="L104" s="21" t="str">
        <f>VLOOKUP(A104,'Trips&amp;Operators'!$C$1:$G$99999,5,FALSE)</f>
        <v>BROWN JACOB</v>
      </c>
      <c r="M104" s="6">
        <f t="shared" si="45"/>
        <v>2.7372685181035195E-2</v>
      </c>
      <c r="N104" s="7">
        <f t="shared" si="60"/>
        <v>39.41666666069068</v>
      </c>
      <c r="O104" s="7"/>
      <c r="P104" s="7"/>
      <c r="Q104" s="22"/>
      <c r="R104" s="190"/>
      <c r="S104" s="196">
        <f t="shared" si="61"/>
        <v>1</v>
      </c>
      <c r="T104" s="190" t="str">
        <f t="shared" si="46"/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47"/>
        <v>https://d0f6bd738d7f1b3e5a7ca70fe4ff75f0.us-east-1.aws.found.io/app/kibana#/discover/Steve-Slow-Train-Analysis-(2080s-and-2083s)?_g=(refreshInterval:(display:Off,pause:!f,section:0,value:0),time:(from:'2017-05-11T17:11:21-0600',mode:absolute,to:'2017-05-11T19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4" s="192" t="str">
        <f t="shared" si="48"/>
        <v>N</v>
      </c>
      <c r="X104" s="192">
        <f t="shared" si="39"/>
        <v>1</v>
      </c>
      <c r="Y104" s="192">
        <f t="shared" si="49"/>
        <v>4.6399999999999997E-2</v>
      </c>
      <c r="Z104" s="192">
        <f t="shared" si="59"/>
        <v>23.331199999999999</v>
      </c>
      <c r="AA104" s="192">
        <f t="shared" si="50"/>
        <v>23.284800000000001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51"/>
        <v>0217-11</v>
      </c>
      <c r="AE104" s="80" t="str">
        <f t="shared" si="52"/>
        <v>aws s3 cp s3://rtdc.mdm.uploadarchive.raw/RTDC4002/ "%USERPROFILE%\AppData\Local\Temp\OnboardLogs"\RTDC4002\2017-05-11 --exclude "*" --recursive --include "*20170511*" &amp; "%USERPROFILE%\Documents\GitHub\mrs-test-scripts\Headless Mode &amp; Sideloading\WalkAndUnGZ.bat" "%USERPROFILE%\AppData\Local\Temp\OnboardLogs"\RTDC4002\2017-05-11 &amp; 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</v>
      </c>
      <c r="AF104" s="77" t="str">
        <f t="shared" si="53"/>
        <v>"C:\Program Files (x86)\AstroGrep\AstroGrep.exe" /e /r /s /spath="%USERPROFILE%\AppData\Local\Temp\OnboardLogs" /stypes="app*4002*20170512*" /stext=" 00:.+((SYSTEM_STATE.+slice.+state.+changed )|(ment ac)|(multiple cpu faults)|(system.+state.+changed )|(\[timeout)|(PRM\|1\|D)|(kpr)|(kdp)|(train st.+moving)|(\|lc)|(penalty))"</v>
      </c>
      <c r="AG104" s="1" t="str">
        <f t="shared" si="54"/>
        <v>EC</v>
      </c>
      <c r="AH104" s="81" t="str">
        <f t="shared" si="55"/>
        <v>"%USERPROFILE%\Documents\GitHub\eaglep3\Utilities\RefineRTDCRunTimes.py" --tripid 217-11 --locoid 4002 --swversion DE.1.0.9.0 --startMP 204:464 --initTime 2017-05-11T18:11:21 --startdatetime 2017-05-11T18:15:20 --delay 1 --endMP 204:233312 --enddatetime 2017-05-11T18:54:45 --enforcementcount 0 &gt;&gt;C:\Users\stu\Documents\GitHub\eaglep3-reporting\EC\2017-05-11-refined-times.txt</v>
      </c>
      <c r="AI104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{"issue":{"subject":"","project_id":79,"tracker_id":40,"status_id":1,"priority_id":2,"assigned_to_id":23,"start_date":"2017-05-11","description":"","custom_fields":[{"id":1,"name":"Subdivision","value":"EC"},{"id":4,"name":"Milepost","value":"23.3312"},{"id":17,"name":"Train ID","value":"217-11"},{"id":16,"name":"Locomotive ID","value":"4002"},{"id":130,"name":"Impact","value":""},{"id":150,"name":"Time of Event (Mountain Time)","value":"18:54:45"},{"id":151,"name":"Denver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57"/>
        <v>start /low /b %USERPROFILE%\Documents\GitHub\eaglep3\Utilities\DownloadLogsFromS3.py --loco 4002 --day 2017-05-11</v>
      </c>
      <c r="AN104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00:54:45"},{"id":29,"name":"Sharepoint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765</v>
      </c>
      <c r="B105" s="7">
        <v>4001</v>
      </c>
      <c r="C105" s="21" t="s">
        <v>206</v>
      </c>
      <c r="D105" s="21" t="s">
        <v>531</v>
      </c>
      <c r="E105" s="13">
        <v>42866.797280092593</v>
      </c>
      <c r="F105" s="13">
        <v>42866.799490740741</v>
      </c>
      <c r="G105" s="7">
        <v>1</v>
      </c>
      <c r="H105" s="21" t="s">
        <v>360</v>
      </c>
      <c r="I105" s="13">
        <v>42866.829525462963</v>
      </c>
      <c r="J105" s="7">
        <v>0</v>
      </c>
      <c r="K105" s="92" t="str">
        <f t="shared" si="44"/>
        <v>4001/4002</v>
      </c>
      <c r="L105" s="21" t="str">
        <f>VLOOKUP(A105,'Trips&amp;Operators'!$C$1:$G$99999,5,FALSE)</f>
        <v>BROWN JACOB</v>
      </c>
      <c r="M105" s="6">
        <f t="shared" si="45"/>
        <v>3.0034722221898846E-2</v>
      </c>
      <c r="N105" s="7">
        <f t="shared" si="60"/>
        <v>43.249999999534339</v>
      </c>
      <c r="O105" s="7"/>
      <c r="P105" s="7"/>
      <c r="Q105" s="22"/>
      <c r="R105" s="190"/>
      <c r="S105" s="196">
        <f t="shared" si="61"/>
        <v>1</v>
      </c>
      <c r="T105" s="190" t="str">
        <f t="shared" si="46"/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47"/>
        <v>https://d0f6bd738d7f1b3e5a7ca70fe4ff75f0.us-east-1.aws.found.io/app/kibana#/discover/Steve-Slow-Train-Analysis-(2080s-and-2083s)?_g=(refreshInterval:(display:Off,pause:!f,section:0,value:0),time:(from:'2017-05-11T18:08:05-0600',mode:absolute,to:'2017-05-11T20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5" s="192" t="str">
        <f t="shared" si="48"/>
        <v>N</v>
      </c>
      <c r="X105" s="192">
        <f t="shared" si="39"/>
        <v>1</v>
      </c>
      <c r="Y105" s="192">
        <f t="shared" si="49"/>
        <v>23.300599999999999</v>
      </c>
      <c r="Z105" s="192">
        <f t="shared" si="59"/>
        <v>1.43E-2</v>
      </c>
      <c r="AA105" s="192">
        <f t="shared" si="50"/>
        <v>23.286300000000001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51"/>
        <v>0218-11</v>
      </c>
      <c r="AE105" s="80" t="str">
        <f t="shared" si="52"/>
        <v>aws s3 cp s3://rtdc.mdm.uploadarchive.raw/RTDC4001/ "%USERPROFILE%\AppData\Local\Temp\OnboardLogs"\RTDC4001\2017-05-11 --exclude "*" --recursive --include "*20170511*" &amp; "%USERPROFILE%\Documents\GitHub\mrs-test-scripts\Headless Mode &amp; Sideloading\WalkAndUnGZ.bat" "%USERPROFILE%\AppData\Local\Temp\OnboardLogs"\RTDC4001\2017-05-11 &amp; 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</v>
      </c>
      <c r="AF105" s="77" t="str">
        <f t="shared" si="53"/>
        <v>"C:\Program Files (x86)\AstroGrep\AstroGrep.exe" /e /r /s /spath="%USERPROFILE%\AppData\Local\Temp\OnboardLogs" /stypes="app*4001*20170512*" /stext=" 01:.+((SYSTEM_STATE.+slice.+state.+changed )|(ment ac)|(multiple cpu faults)|(system.+state.+changed )|(\[timeout)|(PRM\|1\|D)|(kpr)|(kdp)|(train st.+moving)|(\|lc)|(penalty))"</v>
      </c>
      <c r="AG105" s="1" t="str">
        <f t="shared" si="54"/>
        <v>EC</v>
      </c>
      <c r="AH105" s="81" t="str">
        <f t="shared" si="55"/>
        <v>"%USERPROFILE%\Documents\GitHub\eaglep3\Utilities\RefineRTDCRunTimes.py" --tripid 218-11 --locoid 4001 --swversion DE.1.0.9.0 --startMP 204:233006 --initTime 2017-05-11T19:08:05 --startdatetime 2017-05-11T19:11:16 --delay 1 --endMP 204:143 --enddatetime 2017-05-11T19:54:31 --enforcementcount 0 &gt;&gt;C:\Users\stu\Documents\GitHub\eaglep3-reporting\EC\2017-05-11-refined-times.txt</v>
      </c>
      <c r="AI105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{"issue":{"subject":"","project_id":79,"tracker_id":40,"status_id":1,"priority_id":2,"assigned_to_id":23,"start_date":"2017-05-11","description":"","custom_fields":[{"id":1,"name":"Subdivision","value":"EC"},{"id":4,"name":"Milepost","value":"0.0143"},{"id":17,"name":"Train ID","value":"218-11"},{"id":16,"name":"Locomotive ID","value":"4001"},{"id":130,"name":"Impact","value":""},{"id":150,"name":"Time of Event (Mountain Time)","value":"19:54:31"},{"id":151,"name":"Denver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57"/>
        <v>start /low /b %USERPROFILE%\Documents\GitHub\eaglep3\Utilities\DownloadLogsFromS3.py --loco 4001 --day 2017-05-11</v>
      </c>
      <c r="AN105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754</v>
      </c>
      <c r="B106" s="7">
        <v>4004</v>
      </c>
      <c r="C106" s="21" t="s">
        <v>206</v>
      </c>
      <c r="D106" s="21" t="s">
        <v>372</v>
      </c>
      <c r="E106" s="13">
        <v>42866.765115740738</v>
      </c>
      <c r="F106" s="13">
        <v>42866.771134259259</v>
      </c>
      <c r="G106" s="7">
        <v>1</v>
      </c>
      <c r="H106" s="21" t="s">
        <v>475</v>
      </c>
      <c r="I106" s="13">
        <v>42866.797615740739</v>
      </c>
      <c r="J106" s="7">
        <v>0</v>
      </c>
      <c r="K106" s="92" t="str">
        <f t="shared" si="44"/>
        <v>4003/4004</v>
      </c>
      <c r="L106" s="21" t="str">
        <f>VLOOKUP(A106,'Trips&amp;Operators'!$C$1:$G$99999,5,FALSE)</f>
        <v>SWANSON BRYCE</v>
      </c>
      <c r="M106" s="6">
        <f t="shared" si="45"/>
        <v>2.6481481480004732E-2</v>
      </c>
      <c r="N106" s="7">
        <f t="shared" si="60"/>
        <v>38.133333331206813</v>
      </c>
      <c r="O106" s="7"/>
      <c r="P106" s="7"/>
      <c r="Q106" s="22"/>
      <c r="R106" s="190"/>
      <c r="S106" s="196">
        <f t="shared" si="61"/>
        <v>1</v>
      </c>
      <c r="T106" s="190" t="str">
        <f t="shared" si="46"/>
        <v>NorthBound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47"/>
        <v>https://d0f6bd738d7f1b3e5a7ca70fe4ff75f0.us-east-1.aws.found.io/app/kibana#/discover/Steve-Slow-Train-Analysis-(2080s-and-2083s)?_g=(refreshInterval:(display:Off,pause:!f,section:0,value:0),time:(from:'2017-05-11T17:21:46-0600',mode:absolute,to:'2017-05-11T20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6" s="192" t="str">
        <f t="shared" si="48"/>
        <v>N</v>
      </c>
      <c r="X106" s="192">
        <f t="shared" si="39"/>
        <v>1</v>
      </c>
      <c r="Y106" s="192">
        <f t="shared" si="49"/>
        <v>4.4699999999999997E-2</v>
      </c>
      <c r="Z106" s="192">
        <f t="shared" si="59"/>
        <v>23.332000000000001</v>
      </c>
      <c r="AA106" s="192">
        <f t="shared" si="50"/>
        <v>23.287300000000002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51"/>
        <v>0219-11</v>
      </c>
      <c r="AE106" s="80" t="str">
        <f t="shared" si="52"/>
        <v>aws s3 cp s3://rtdc.mdm.uploadarchive.raw/RTDC4004/ "%USERPROFILE%\AppData\Local\Temp\OnboardLogs"\RTDC4004\2017-05-11 --exclude "*" --recursive --include "*20170511*" &amp; "%USERPROFILE%\Documents\GitHub\mrs-test-scripts\Headless Mode &amp; Sideloading\WalkAndUnGZ.bat" "%USERPROFILE%\AppData\Local\Temp\OnboardLogs"\RTDC4004\2017-05-11 &amp; aws s3 cp s3://rtdc.mdm.uploadarchive.raw/RTDC4004/ "%USERPROFILE%\AppData\Local\Temp\OnboardLogs"\RTDC4004\2017-05-12 --exclude "*" --recursive --include "*20170512*" &amp; "%USERPROFILE%\Documents\GitHub\mrs-test-scripts\Headless Mode &amp; Sideloading\WalkAndUnGZ.bat" "%USERPROFILE%\AppData\Local\Temp\OnboardLogs"\RTDC4004\2017-05-12</v>
      </c>
      <c r="AF106" s="77" t="str">
        <f t="shared" si="53"/>
        <v>"C:\Program Files (x86)\AstroGrep\AstroGrep.exe" /e /r /s /spath="%USERPROFILE%\AppData\Local\Temp\OnboardLogs" /stypes="app*4004*20170512*" /stext=" 01:.+((SYSTEM_STATE.+slice.+state.+changed )|(ment ac)|(multiple cpu faults)|(system.+state.+changed )|(\[timeout)|(PRM\|1\|D)|(kpr)|(kdp)|(train st.+moving)|(\|lc)|(penalty))"</v>
      </c>
      <c r="AG106" s="1" t="str">
        <f t="shared" si="54"/>
        <v>EC</v>
      </c>
      <c r="AH106" s="81" t="str">
        <f t="shared" si="55"/>
        <v>"%USERPROFILE%\Documents\GitHub\eaglep3\Utilities\RefineRTDCRunTimes.py" --tripid 219-11 --locoid 4004 --swversion DE.1.0.9.0 --startMP 204:447 --initTime 2017-05-11T18:21:46 --startdatetime 2017-05-11T18:30:26 --delay 1 --endMP 204:233320 --enddatetime 2017-05-11T19:08:34 --enforcementcount 0 &gt;&gt;C:\Users\stu\Documents\GitHub\eaglep3-reporting\EC\2017-05-11-refined-times.txt</v>
      </c>
      <c r="AI106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{"issue":{"subject":"","project_id":79,"tracker_id":40,"status_id":1,"priority_id":2,"assigned_to_id":23,"start_date":"2017-05-11","description":"","custom_fields":[{"id":1,"name":"Subdivision","value":"EC"},{"id":4,"name":"Milepost","value":"23.332"},{"id":17,"name":"Train ID","value":"219-11"},{"id":16,"name":"Locomotive ID","value":"4004"},{"id":130,"name":"Impact","value":""},{"id":150,"name":"Time of Event (Mountain Time)","value":"19:08:34"},{"id":151,"name":"Denver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57"/>
        <v>start /low /b %USERPROFILE%\Documents\GitHub\eaglep3\Utilities\DownloadLogsFromS3.py --loco 4004 --day 2017-05-11</v>
      </c>
      <c r="AN106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766</v>
      </c>
      <c r="B107" s="7">
        <v>4003</v>
      </c>
      <c r="C107" s="21" t="s">
        <v>206</v>
      </c>
      <c r="D107" s="21" t="s">
        <v>443</v>
      </c>
      <c r="E107" s="13">
        <v>42866.804803240739</v>
      </c>
      <c r="F107" s="13">
        <v>42866.809988425928</v>
      </c>
      <c r="G107" s="7">
        <v>1</v>
      </c>
      <c r="H107" s="21" t="s">
        <v>871</v>
      </c>
      <c r="I107" s="13">
        <v>42866.836921296293</v>
      </c>
      <c r="J107" s="7">
        <v>0</v>
      </c>
      <c r="K107" s="92" t="str">
        <f t="shared" si="44"/>
        <v>4003/4004</v>
      </c>
      <c r="L107" s="21" t="str">
        <f>VLOOKUP(A107,'Trips&amp;Operators'!$C$1:$G$99999,5,FALSE)</f>
        <v>SWANSON BRYCE</v>
      </c>
      <c r="M107" s="6">
        <f t="shared" si="45"/>
        <v>2.693287036527181E-2</v>
      </c>
      <c r="N107" s="7">
        <f t="shared" si="60"/>
        <v>38.783333325991407</v>
      </c>
      <c r="O107" s="7"/>
      <c r="P107" s="7"/>
      <c r="Q107" s="22"/>
      <c r="R107" s="190"/>
      <c r="S107" s="196">
        <f t="shared" si="61"/>
        <v>1</v>
      </c>
      <c r="T107" s="190" t="str">
        <f t="shared" si="46"/>
        <v>Southbound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47"/>
        <v>https://d0f6bd738d7f1b3e5a7ca70fe4ff75f0.us-east-1.aws.found.io/app/kibana#/discover/Steve-Slow-Train-Analysis-(2080s-and-2083s)?_g=(refreshInterval:(display:Off,pause:!f,section:0,value:0),time:(from:'2017-05-11T18:18:55-0600',mode:absolute,to:'2017-05-11T21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7" s="192" t="str">
        <f t="shared" si="48"/>
        <v>N</v>
      </c>
      <c r="X107" s="192">
        <f t="shared" si="39"/>
        <v>1</v>
      </c>
      <c r="Y107" s="192">
        <f t="shared" si="49"/>
        <v>23.299399999999999</v>
      </c>
      <c r="Z107" s="192">
        <f t="shared" si="59"/>
        <v>1.54E-2</v>
      </c>
      <c r="AA107" s="192">
        <f t="shared" si="50"/>
        <v>23.283999999999999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51"/>
        <v>0220-11</v>
      </c>
      <c r="AE107" s="80" t="str">
        <f t="shared" si="52"/>
        <v>aws s3 cp s3://rtdc.mdm.uploadarchive.raw/RTDC4003/ "%USERPROFILE%\AppData\Local\Temp\OnboardLogs"\RTDC4003\2017-05-11 --exclude "*" --recursive --include "*20170511*" &amp; "%USERPROFILE%\Documents\GitHub\mrs-test-scripts\Headless Mode &amp; Sideloading\WalkAndUnGZ.bat" "%USERPROFILE%\AppData\Local\Temp\OnboardLogs"\RTDC4003\2017-05-11 &amp; aws s3 cp s3://rtdc.mdm.uploadarchive.raw/RTDC4003/ "%USERPROFILE%\AppData\Local\Temp\OnboardLogs"\RTDC4003\2017-05-12 --exclude "*" --recursive --include "*20170512*" &amp; "%USERPROFILE%\Documents\GitHub\mrs-test-scripts\Headless Mode &amp; Sideloading\WalkAndUnGZ.bat" "%USERPROFILE%\AppData\Local\Temp\OnboardLogs"\RTDC4003\2017-05-12</v>
      </c>
      <c r="AF107" s="77" t="str">
        <f t="shared" si="53"/>
        <v>"C:\Program Files (x86)\AstroGrep\AstroGrep.exe" /e /r /s /spath="%USERPROFILE%\AppData\Local\Temp\OnboardLogs" /stypes="app*4003*20170512*" /stext=" 02:.+((SYSTEM_STATE.+slice.+state.+changed )|(ment ac)|(multiple cpu faults)|(system.+state.+changed )|(\[timeout)|(PRM\|1\|D)|(kpr)|(kdp)|(train st.+moving)|(\|lc)|(penalty))"</v>
      </c>
      <c r="AG107" s="1" t="str">
        <f t="shared" si="54"/>
        <v>EC</v>
      </c>
      <c r="AH107" s="81" t="str">
        <f t="shared" si="55"/>
        <v>"%USERPROFILE%\Documents\GitHub\eaglep3\Utilities\RefineRTDCRunTimes.py" --tripid 220-11 --locoid 4003 --swversion DE.1.0.9.0 --startMP 204:232994 --initTime 2017-05-11T19:18:55 --startdatetime 2017-05-11T19:26:23 --delay 1 --endMP 204:154 --enddatetime 2017-05-11T20:05:10 --enforcementcount 0 &gt;&gt;C:\Users\stu\Documents\GitHub\eaglep3-reporting\EC\2017-05-11-refined-times.txt</v>
      </c>
      <c r="AI107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{"issue":{"subject":"","project_id":79,"tracker_id":40,"status_id":1,"priority_id":2,"assigned_to_id":23,"start_date":"2017-05-11","description":"","custom_fields":[{"id":1,"name":"Subdivision","value":"EC"},{"id":4,"name":"Milepost","value":"0.0154"},{"id":17,"name":"Train ID","value":"220-11"},{"id":16,"name":"Locomotive ID","value":"4003"},{"id":130,"name":"Impact","value":""},{"id":150,"name":"Time of Event (Mountain Time)","value":"20:05:10"},{"id":151,"name":"Denver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57"/>
        <v>start /low /b %USERPROFILE%\Documents\GitHub\eaglep3\Utilities\DownloadLogsFromS3.py --loco 4003 --day 2017-05-11</v>
      </c>
      <c r="AN107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02:05:10"},{"id":29,"name":"Sharepoint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762</v>
      </c>
      <c r="B108" s="7">
        <v>4042</v>
      </c>
      <c r="C108" s="21" t="s">
        <v>206</v>
      </c>
      <c r="D108" s="21" t="s">
        <v>884</v>
      </c>
      <c r="E108" s="13">
        <v>42866.79346064815</v>
      </c>
      <c r="F108" s="13">
        <v>42866.795011574075</v>
      </c>
      <c r="G108" s="7">
        <v>1</v>
      </c>
      <c r="H108" s="21" t="s">
        <v>445</v>
      </c>
      <c r="I108" s="13">
        <v>42866.823831018519</v>
      </c>
      <c r="J108" s="7">
        <v>0</v>
      </c>
      <c r="K108" s="92" t="str">
        <f t="shared" si="44"/>
        <v>4041/4042</v>
      </c>
      <c r="L108" s="21" t="str">
        <f>VLOOKUP(A108,'Trips&amp;Operators'!$C$1:$G$99999,5,FALSE)</f>
        <v>CHANDLER KELVIN</v>
      </c>
      <c r="M108" s="6">
        <f t="shared" si="45"/>
        <v>2.8819444443797693E-2</v>
      </c>
      <c r="N108" s="7">
        <f t="shared" si="60"/>
        <v>41.499999999068677</v>
      </c>
      <c r="O108" s="7"/>
      <c r="P108" s="7"/>
      <c r="Q108" s="22"/>
      <c r="R108" s="190"/>
      <c r="S108" s="196">
        <f t="shared" si="61"/>
        <v>1</v>
      </c>
      <c r="T108" s="190" t="str">
        <f t="shared" si="46"/>
        <v>NorthBound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47"/>
        <v>https://d0f6bd738d7f1b3e5a7ca70fe4ff75f0.us-east-1.aws.found.io/app/kibana#/discover/Steve-Slow-Train-Analysis-(2080s-and-2083s)?_g=(refreshInterval:(display:Off,pause:!f,section:0,value:0),time:(from:'2017-05-11T18:02:35-0600',mode:absolute,to:'2017-05-11T20:46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8" s="192" t="str">
        <f t="shared" si="48"/>
        <v>N</v>
      </c>
      <c r="X108" s="192">
        <f t="shared" si="39"/>
        <v>1</v>
      </c>
      <c r="Y108" s="192">
        <f t="shared" si="49"/>
        <v>0.1177</v>
      </c>
      <c r="Z108" s="192">
        <f t="shared" si="59"/>
        <v>23.3293</v>
      </c>
      <c r="AA108" s="192">
        <f t="shared" si="50"/>
        <v>23.211600000000001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51"/>
        <v>0221-11</v>
      </c>
      <c r="AE108" s="80" t="str">
        <f t="shared" si="52"/>
        <v>aws s3 cp s3://rtdc.mdm.uploadarchive.raw/RTDC4042/ "%USERPROFILE%\AppData\Local\Temp\OnboardLogs"\RTDC4042\2017-05-11 --exclude "*" --recursive --include "*20170511*" &amp; "%USERPROFILE%\Documents\GitHub\mrs-test-scripts\Headless Mode &amp; Sideloading\WalkAndUnGZ.bat" "%USERPROFILE%\AppData\Local\Temp\OnboardLogs"\RTDC4042\2017-05-11 &amp; 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</v>
      </c>
      <c r="AF108" s="77" t="str">
        <f t="shared" si="53"/>
        <v>"C:\Program Files (x86)\AstroGrep\AstroGrep.exe" /e /r /s /spath="%USERPROFILE%\AppData\Local\Temp\OnboardLogs" /stypes="app*4042*20170512*" /stext=" 01:.+((SYSTEM_STATE.+slice.+state.+changed )|(ment ac)|(multiple cpu faults)|(system.+state.+changed )|(\[timeout)|(PRM\|1\|D)|(kpr)|(kdp)|(train st.+moving)|(\|lc)|(penalty))"</v>
      </c>
      <c r="AG108" s="1" t="str">
        <f t="shared" si="54"/>
        <v>EC</v>
      </c>
      <c r="AH108" s="81" t="str">
        <f t="shared" si="55"/>
        <v>"%USERPROFILE%\Documents\GitHub\eaglep3\Utilities\RefineRTDCRunTimes.py" --tripid 221-11 --locoid 4042 --swversion DE.1.0.9.0 --startMP 204:1177 --initTime 2017-05-11T19:02:35 --startdatetime 2017-05-11T19:04:49 --delay 1 --endMP 204:233293 --enddatetime 2017-05-11T19:46:19 --enforcementcount 0 &gt;&gt;C:\Users\stu\Documents\GitHub\eaglep3-reporting\EC\2017-05-11-refined-times.txt</v>
      </c>
      <c r="AI108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{"issue":{"subject":"","project_id":79,"tracker_id":40,"status_id":1,"priority_id":2,"assigned_to_id":23,"start_date":"2017-05-11","description":"","custom_fields":[{"id":1,"name":"Subdivision","value":"EC"},{"id":4,"name":"Milepost","value":"23.3293"},{"id":17,"name":"Train ID","value":"221-11"},{"id":16,"name":"Locomotive ID","value":"4042"},{"id":130,"name":"Impact","value":""},{"id":150,"name":"Time of Event (Mountain Time)","value":"19:46:19"},{"id":151,"name":"Denver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57"/>
        <v>start /low /b %USERPROFILE%\Documents\GitHub\eaglep3\Utilities\DownloadLogsFromS3.py --loco 4042 --day 2017-05-11</v>
      </c>
      <c r="AN108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01:46:19"},{"id":29,"name":"Sharepoint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770</v>
      </c>
      <c r="B109" s="7">
        <v>4041</v>
      </c>
      <c r="C109" s="21" t="s">
        <v>206</v>
      </c>
      <c r="D109" s="21" t="s">
        <v>470</v>
      </c>
      <c r="E109" s="13">
        <v>42866.829548611109</v>
      </c>
      <c r="F109" s="13">
        <v>42866.830833333333</v>
      </c>
      <c r="G109" s="7">
        <v>1</v>
      </c>
      <c r="H109" s="21" t="s">
        <v>358</v>
      </c>
      <c r="I109" s="13">
        <v>42866.859039351853</v>
      </c>
      <c r="J109" s="7">
        <v>0</v>
      </c>
      <c r="K109" s="92" t="str">
        <f t="shared" si="44"/>
        <v>4041/4042</v>
      </c>
      <c r="L109" s="21" t="str">
        <f>VLOOKUP(A109,'Trips&amp;Operators'!$C$1:$G$99999,5,FALSE)</f>
        <v>CHANDLER KELVIN</v>
      </c>
      <c r="M109" s="6">
        <f t="shared" si="45"/>
        <v>2.8206018519995268E-2</v>
      </c>
      <c r="N109" s="7">
        <f t="shared" si="60"/>
        <v>40.616666668793187</v>
      </c>
      <c r="O109" s="7"/>
      <c r="P109" s="7"/>
      <c r="Q109" s="22"/>
      <c r="R109" s="190"/>
      <c r="S109" s="196">
        <f t="shared" si="61"/>
        <v>1</v>
      </c>
      <c r="T109" s="190" t="str">
        <f t="shared" si="46"/>
        <v>Southbound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47"/>
        <v>https://d0f6bd738d7f1b3e5a7ca70fe4ff75f0.us-east-1.aws.found.io/app/kibana#/discover/Steve-Slow-Train-Analysis-(2080s-and-2083s)?_g=(refreshInterval:(display:Off,pause:!f,section:0,value:0),time:(from:'2017-05-11T18:54:33-0600',mode:absolute,to:'2017-05-11T21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9" s="192" t="str">
        <f t="shared" si="48"/>
        <v>N</v>
      </c>
      <c r="X109" s="192">
        <f t="shared" si="39"/>
        <v>1</v>
      </c>
      <c r="Y109" s="192">
        <f t="shared" si="49"/>
        <v>23.297699999999999</v>
      </c>
      <c r="Z109" s="192">
        <f t="shared" si="59"/>
        <v>1.4999999999999999E-2</v>
      </c>
      <c r="AA109" s="192">
        <f t="shared" si="50"/>
        <v>23.282699999999998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51"/>
        <v>0222-11</v>
      </c>
      <c r="AE109" s="80" t="str">
        <f t="shared" si="52"/>
        <v>aws s3 cp s3://rtdc.mdm.uploadarchive.raw/RTDC4041/ "%USERPROFILE%\AppData\Local\Temp\OnboardLogs"\RTDC4041\2017-05-11 --exclude "*" --recursive --include "*20170511*" &amp; "%USERPROFILE%\Documents\GitHub\mrs-test-scripts\Headless Mode &amp; Sideloading\WalkAndUnGZ.bat" "%USERPROFILE%\AppData\Local\Temp\OnboardLogs"\RTDC4041\2017-05-11 &amp; aws s3 cp s3://rtdc.mdm.uploadarchive.raw/RTDC4041/ "%USERPROFILE%\AppData\Local\Temp\OnboardLogs"\RTDC4041\2017-05-12 --exclude "*" --recursive --include "*20170512*" &amp; "%USERPROFILE%\Documents\GitHub\mrs-test-scripts\Headless Mode &amp; Sideloading\WalkAndUnGZ.bat" "%USERPROFILE%\AppData\Local\Temp\OnboardLogs"\RTDC4041\2017-05-12</v>
      </c>
      <c r="AF109" s="77" t="str">
        <f t="shared" si="53"/>
        <v>"C:\Program Files (x86)\AstroGrep\AstroGrep.exe" /e /r /s /spath="%USERPROFILE%\AppData\Local\Temp\OnboardLogs" /stypes="app*4041*20170512*" /stext=" 02:.+((SYSTEM_STATE.+slice.+state.+changed )|(ment ac)|(multiple cpu faults)|(system.+state.+changed )|(\[timeout)|(PRM\|1\|D)|(kpr)|(kdp)|(train st.+moving)|(\|lc)|(penalty))"</v>
      </c>
      <c r="AG109" s="1" t="str">
        <f t="shared" si="54"/>
        <v>EC</v>
      </c>
      <c r="AH109" s="81" t="str">
        <f t="shared" si="55"/>
        <v>"%USERPROFILE%\Documents\GitHub\eaglep3\Utilities\RefineRTDCRunTimes.py" --tripid 222-11 --locoid 4041 --swversion DE.1.0.9.0 --startMP 204:232977 --initTime 2017-05-11T19:54:33 --startdatetime 2017-05-11T19:56:24 --delay 1 --endMP 204:150 --enddatetime 2017-05-11T20:37:01 --enforcementcount 0 &gt;&gt;C:\Users\stu\Documents\GitHub\eaglep3-reporting\EC\2017-05-11-refined-times.txt</v>
      </c>
      <c r="AI109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{"issue":{"subject":"","project_id":79,"tracker_id":40,"status_id":1,"priority_id":2,"assigned_to_id":23,"start_date":"2017-05-11","description":"","custom_fields":[{"id":1,"name":"Subdivision","value":"EC"},{"id":4,"name":"Milepost","value":"0.015"},{"id":17,"name":"Train ID","value":"222-11"},{"id":16,"name":"Locomotive ID","value":"4041"},{"id":130,"name":"Impact","value":""},{"id":150,"name":"Time of Event (Mountain Time)","value":"20:37:01"},{"id":151,"name":"Denver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57"/>
        <v>start /low /b %USERPROFILE%\Documents\GitHub\eaglep3\Utilities\DownloadLogsFromS3.py --loco 4041 --day 2017-05-11</v>
      </c>
      <c r="AN109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02:37:01"},{"id":29,"name":"Sharepoint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767</v>
      </c>
      <c r="B110" s="7">
        <v>4052</v>
      </c>
      <c r="C110" s="21" t="s">
        <v>206</v>
      </c>
      <c r="D110" s="21" t="s">
        <v>477</v>
      </c>
      <c r="E110" s="13">
        <v>42866.810219907406</v>
      </c>
      <c r="F110" s="13">
        <v>42866.814166666663</v>
      </c>
      <c r="G110" s="7">
        <v>1</v>
      </c>
      <c r="H110" s="21" t="s">
        <v>807</v>
      </c>
      <c r="I110" s="13">
        <v>42866.839872685188</v>
      </c>
      <c r="J110" s="7">
        <v>0</v>
      </c>
      <c r="K110" s="92" t="str">
        <f t="shared" si="44"/>
        <v>4051/4052</v>
      </c>
      <c r="L110" s="21" t="str">
        <f>VLOOKUP(A110,'Trips&amp;Operators'!$C$1:$G$99999,5,FALSE)</f>
        <v>YANG JAN</v>
      </c>
      <c r="M110" s="6">
        <f t="shared" si="45"/>
        <v>2.570601852494292E-2</v>
      </c>
      <c r="N110" s="7">
        <f t="shared" si="60"/>
        <v>37.016666675917804</v>
      </c>
      <c r="O110" s="7"/>
      <c r="P110" s="7"/>
      <c r="Q110" s="22"/>
      <c r="R110" s="190"/>
      <c r="S110" s="196">
        <f t="shared" si="61"/>
        <v>1</v>
      </c>
      <c r="T110" s="190" t="str">
        <f t="shared" si="46"/>
        <v>NorthBound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47"/>
        <v>https://d0f6bd738d7f1b3e5a7ca70fe4ff75f0.us-east-1.aws.found.io/app/kibana#/discover/Steve-Slow-Train-Analysis-(2080s-and-2083s)?_g=(refreshInterval:(display:Off,pause:!f,section:0,value:0),time:(from:'2017-05-11T18:26:43-0600',mode:absolute,to:'2017-05-11T21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0" s="192" t="str">
        <f t="shared" si="48"/>
        <v>N</v>
      </c>
      <c r="X110" s="192">
        <f t="shared" si="39"/>
        <v>1</v>
      </c>
      <c r="Y110" s="192">
        <f t="shared" si="49"/>
        <v>4.7100000000000003E-2</v>
      </c>
      <c r="Z110" s="192">
        <f t="shared" si="59"/>
        <v>23.328900000000001</v>
      </c>
      <c r="AA110" s="192">
        <f t="shared" si="50"/>
        <v>23.2818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51"/>
        <v>0223-11</v>
      </c>
      <c r="AE110" s="80" t="str">
        <f t="shared" si="52"/>
        <v>aws s3 cp s3://rtdc.mdm.uploadarchive.raw/RTDC4052/ "%USERPROFILE%\AppData\Local\Temp\OnboardLogs"\RTDC4052\2017-05-11 --exclude "*" --recursive --include "*20170511*" &amp; "%USERPROFILE%\Documents\GitHub\mrs-test-scripts\Headless Mode &amp; Sideloading\WalkAndUnGZ.bat" "%USERPROFILE%\AppData\Local\Temp\OnboardLogs"\RTDC4052\2017-05-11 &amp; aws s3 cp s3://rtdc.mdm.uploadarchive.raw/RTDC4052/ "%USERPROFILE%\AppData\Local\Temp\OnboardLogs"\RTDC4052\2017-05-12 --exclude "*" --recursive --include "*20170512*" &amp; "%USERPROFILE%\Documents\GitHub\mrs-test-scripts\Headless Mode &amp; Sideloading\WalkAndUnGZ.bat" "%USERPROFILE%\AppData\Local\Temp\OnboardLogs"\RTDC4052\2017-05-12</v>
      </c>
      <c r="AF110" s="77" t="str">
        <f t="shared" si="53"/>
        <v>"C:\Program Files (x86)\AstroGrep\AstroGrep.exe" /e /r /s /spath="%USERPROFILE%\AppData\Local\Temp\OnboardLogs" /stypes="app*4052*20170512*" /stext=" 02:.+((SYSTEM_STATE.+slice.+state.+changed )|(ment ac)|(multiple cpu faults)|(system.+state.+changed )|(\[timeout)|(PRM\|1\|D)|(kpr)|(kdp)|(train st.+moving)|(\|lc)|(penalty))"</v>
      </c>
      <c r="AG110" s="1" t="str">
        <f t="shared" si="54"/>
        <v>EC</v>
      </c>
      <c r="AH110" s="81" t="str">
        <f t="shared" si="55"/>
        <v>"%USERPROFILE%\Documents\GitHub\eaglep3\Utilities\RefineRTDCRunTimes.py" --tripid 223-11 --locoid 4052 --swversion DE.1.0.9.0 --startMP 204:471 --initTime 2017-05-11T19:26:43 --startdatetime 2017-05-11T19:32:24 --delay 1 --endMP 204:233289 --enddatetime 2017-05-11T20:09:25 --enforcementcount 0 &gt;&gt;C:\Users\stu\Documents\GitHub\eaglep3-reporting\EC\2017-05-11-refined-times.txt</v>
      </c>
      <c r="AI110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{"issue":{"subject":"","project_id":79,"tracker_id":40,"status_id":1,"priority_id":2,"assigned_to_id":23,"start_date":"2017-05-11","description":"","custom_fields":[{"id":1,"name":"Subdivision","value":"EC"},{"id":4,"name":"Milepost","value":"23.3289"},{"id":17,"name":"Train ID","value":"223-11"},{"id":16,"name":"Locomotive ID","value":"4052"},{"id":130,"name":"Impact","value":""},{"id":150,"name":"Time of Event (Mountain Time)","value":"20:09:25"},{"id":151,"name":"Denver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57"/>
        <v>start /low /b %USERPROFILE%\Documents\GitHub\eaglep3\Utilities\DownloadLogsFromS3.py --loco 4052 --day 2017-05-11</v>
      </c>
      <c r="AN110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02:09:25"},{"id":29,"name":"Sharepoint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601</v>
      </c>
      <c r="B111" s="7">
        <v>4051</v>
      </c>
      <c r="C111" s="21" t="s">
        <v>206</v>
      </c>
      <c r="D111" s="21" t="s">
        <v>538</v>
      </c>
      <c r="E111" s="13">
        <v>42866.847592592596</v>
      </c>
      <c r="F111" s="13">
        <v>42866.851944444446</v>
      </c>
      <c r="G111" s="7">
        <v>1</v>
      </c>
      <c r="H111" s="21" t="s">
        <v>348</v>
      </c>
      <c r="I111" s="13">
        <v>42866.879756944443</v>
      </c>
      <c r="J111" s="7">
        <v>0</v>
      </c>
      <c r="K111" s="92" t="str">
        <f t="shared" si="44"/>
        <v>4051/4052</v>
      </c>
      <c r="L111" s="21" t="str">
        <f>VLOOKUP(A111,'Trips&amp;Operators'!$C$1:$G$99999,5,FALSE)</f>
        <v>YANG JAN</v>
      </c>
      <c r="M111" s="6">
        <f t="shared" si="45"/>
        <v>2.7812499996798579E-2</v>
      </c>
      <c r="N111" s="7">
        <f t="shared" si="60"/>
        <v>40.049999995389953</v>
      </c>
      <c r="O111" s="7"/>
      <c r="P111" s="7"/>
      <c r="Q111" s="22"/>
      <c r="R111" s="190"/>
      <c r="S111" s="196">
        <f t="shared" si="61"/>
        <v>1</v>
      </c>
      <c r="T111" s="190" t="str">
        <f t="shared" si="46"/>
        <v>Southbound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47"/>
        <v>https://d0f6bd738d7f1b3e5a7ca70fe4ff75f0.us-east-1.aws.found.io/app/kibana#/discover/Steve-Slow-Train-Analysis-(2080s-and-2083s)?_g=(refreshInterval:(display:Off,pause:!f,section:0,value:0),time:(from:'2017-05-11T19:20:32-0600',mode:absolute,to:'2017-05-11T22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1" s="192" t="str">
        <f t="shared" si="48"/>
        <v>N</v>
      </c>
      <c r="X111" s="192">
        <f t="shared" si="39"/>
        <v>1</v>
      </c>
      <c r="Y111" s="192">
        <f t="shared" si="49"/>
        <v>23.296399999999998</v>
      </c>
      <c r="Z111" s="192">
        <f t="shared" si="59"/>
        <v>1.38E-2</v>
      </c>
      <c r="AA111" s="192">
        <f t="shared" si="50"/>
        <v>23.282599999999999</v>
      </c>
      <c r="AB111" s="57" t="str">
        <f>VLOOKUP(A111,Enforcements!$C$7:$K$13,8,0)</f>
        <v>Bulletin (2)</v>
      </c>
      <c r="AC111" s="53" t="str">
        <f>VLOOKUP(A111,Enforcements!$C$7:$E$13,3,0)</f>
        <v>GRADE CROSSING</v>
      </c>
      <c r="AD111" s="54" t="str">
        <f t="shared" si="51"/>
        <v>0224-11</v>
      </c>
      <c r="AE111" s="80" t="str">
        <f t="shared" si="52"/>
        <v>aws s3 cp s3://rtdc.mdm.uploadarchive.raw/RTDC4051/ "%USERPROFILE%\AppData\Local\Temp\OnboardLogs"\RTDC4051\2017-05-11 --exclude "*" --recursive --include "*20170511*" &amp; "%USERPROFILE%\Documents\GitHub\mrs-test-scripts\Headless Mode &amp; Sideloading\WalkAndUnGZ.bat" "%USERPROFILE%\AppData\Local\Temp\OnboardLogs"\RTDC4051\2017-05-11 &amp; aws s3 cp s3://rtdc.mdm.uploadarchive.raw/RTDC4051/ "%USERPROFILE%\AppData\Local\Temp\OnboardLogs"\RTDC4051\2017-05-12 --exclude "*" --recursive --include "*20170512*" &amp; "%USERPROFILE%\Documents\GitHub\mrs-test-scripts\Headless Mode &amp; Sideloading\WalkAndUnGZ.bat" "%USERPROFILE%\AppData\Local\Temp\OnboardLogs"\RTDC4051\2017-05-12</v>
      </c>
      <c r="AF111" s="77" t="str">
        <f t="shared" si="53"/>
        <v>"C:\Program Files (x86)\AstroGrep\AstroGrep.exe" /e /r /s /spath="%USERPROFILE%\AppData\Local\Temp\OnboardLogs" /stypes="app*4051*20170512*" /stext=" 03:.+((SYSTEM_STATE.+slice.+state.+changed )|(ment ac)|(multiple cpu faults)|(system.+state.+changed )|(\[timeout)|(PRM\|1\|D)|(kpr)|(kdp)|(train st.+moving)|(\|lc)|(penalty))"</v>
      </c>
      <c r="AG111" s="1" t="str">
        <f t="shared" si="54"/>
        <v>EC</v>
      </c>
      <c r="AH111" s="81" t="str">
        <f t="shared" si="55"/>
        <v>"%USERPROFILE%\Documents\GitHub\eaglep3\Utilities\RefineRTDCRunTimes.py" --tripid 224-11 --locoid 4051 --swversion DE.1.0.9.0 --startMP 204:232964 --initTime 2017-05-11T20:20:32 --startdatetime 2017-05-11T20:26:48 --delay 1 --endMP 204:138 --enddatetime 2017-05-11T21:06:51 --enforcementcount 0 &gt;&gt;C:\Users\stu\Documents\GitHub\eaglep3-reporting\EC\2017-05-11-refined-times.txt</v>
      </c>
      <c r="AI111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{"issue":{"subject":"","project_id":79,"tracker_id":40,"status_id":1,"priority_id":2,"assigned_to_id":23,"start_date":"2017-05-11","description":"","custom_fields":[{"id":1,"name":"Subdivision","value":"EC"},{"id":4,"name":"Milepost","value":"0.0138"},{"id":17,"name":"Train ID","value":"224-11"},{"id":16,"name":"Locomotive ID","value":"4051"},{"id":130,"name":"Impact","value":""},{"id":150,"name":"Time of Event (Mountain Time)","value":"21:06:51"},{"id":151,"name":"Denver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57"/>
        <v>start /low /b %USERPROFILE%\Documents\GitHub\eaglep3\Utilities\DownloadLogsFromS3.py --loco 4051 --day 2017-05-11</v>
      </c>
      <c r="AN111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03:06:51"},{"id":29,"name":"Sharepoint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771</v>
      </c>
      <c r="B112" s="7">
        <v>4002</v>
      </c>
      <c r="C112" s="21" t="s">
        <v>206</v>
      </c>
      <c r="D112" s="21" t="s">
        <v>378</v>
      </c>
      <c r="E112" s="13">
        <v>42866.831493055557</v>
      </c>
      <c r="F112" s="13">
        <v>42866.833483796298</v>
      </c>
      <c r="G112" s="7">
        <v>1</v>
      </c>
      <c r="H112" s="21" t="s">
        <v>887</v>
      </c>
      <c r="I112" s="13">
        <v>42866.858958333331</v>
      </c>
      <c r="J112" s="7">
        <v>0</v>
      </c>
      <c r="K112" s="92" t="str">
        <f t="shared" si="44"/>
        <v>4001/4002</v>
      </c>
      <c r="L112" s="21" t="str">
        <f>VLOOKUP(A112,'Trips&amp;Operators'!$C$1:$G$99999,5,FALSE)</f>
        <v>BROWN JACOB</v>
      </c>
      <c r="M112" s="6">
        <f t="shared" si="45"/>
        <v>2.5474537033005618E-2</v>
      </c>
      <c r="N112" s="7">
        <f t="shared" si="60"/>
        <v>36.683333327528089</v>
      </c>
      <c r="O112" s="7"/>
      <c r="P112" s="7"/>
      <c r="Q112" s="22"/>
      <c r="R112" s="190"/>
      <c r="S112" s="196">
        <f t="shared" si="61"/>
        <v>1</v>
      </c>
      <c r="T112" s="190" t="str">
        <f t="shared" si="46"/>
        <v>NorthBound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47"/>
        <v>https://d0f6bd738d7f1b3e5a7ca70fe4ff75f0.us-east-1.aws.found.io/app/kibana#/discover/Steve-Slow-Train-Analysis-(2080s-and-2083s)?_g=(refreshInterval:(display:Off,pause:!f,section:0,value:0),time:(from:'2017-05-11T18:57:21-0600',mode:absolute,to:'2017-05-11T21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2" s="192" t="str">
        <f t="shared" si="48"/>
        <v>N</v>
      </c>
      <c r="X112" s="192">
        <f t="shared" si="39"/>
        <v>1</v>
      </c>
      <c r="Y112" s="192">
        <f t="shared" si="49"/>
        <v>4.4200000000000003E-2</v>
      </c>
      <c r="Z112" s="192">
        <f t="shared" si="59"/>
        <v>23.331099999999999</v>
      </c>
      <c r="AA112" s="192">
        <f t="shared" si="50"/>
        <v>23.286899999999999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51"/>
        <v>0225-11</v>
      </c>
      <c r="AE112" s="80" t="str">
        <f t="shared" si="52"/>
        <v>aws s3 cp s3://rtdc.mdm.uploadarchive.raw/RTDC4002/ "%USERPROFILE%\AppData\Local\Temp\OnboardLogs"\RTDC4002\2017-05-11 --exclude "*" --recursive --include "*20170511*" &amp; "%USERPROFILE%\Documents\GitHub\mrs-test-scripts\Headless Mode &amp; Sideloading\WalkAndUnGZ.bat" "%USERPROFILE%\AppData\Local\Temp\OnboardLogs"\RTDC4002\2017-05-11 &amp; 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</v>
      </c>
      <c r="AF112" s="77" t="str">
        <f t="shared" si="53"/>
        <v>"C:\Program Files (x86)\AstroGrep\AstroGrep.exe" /e /r /s /spath="%USERPROFILE%\AppData\Local\Temp\OnboardLogs" /stypes="app*4002*20170512*" /stext=" 02:.+((SYSTEM_STATE.+slice.+state.+changed )|(ment ac)|(multiple cpu faults)|(system.+state.+changed )|(\[timeout)|(PRM\|1\|D)|(kpr)|(kdp)|(train st.+moving)|(\|lc)|(penalty))"</v>
      </c>
      <c r="AG112" s="1" t="str">
        <f t="shared" si="54"/>
        <v>EC</v>
      </c>
      <c r="AH112" s="81" t="str">
        <f t="shared" si="55"/>
        <v>"%USERPROFILE%\Documents\GitHub\eaglep3\Utilities\RefineRTDCRunTimes.py" --tripid 225-11 --locoid 4002 --swversion DE.1.0.9.0 --startMP 204:442 --initTime 2017-05-11T19:57:21 --startdatetime 2017-05-11T20:00:13 --delay 1 --endMP 204:233311 --enddatetime 2017-05-11T20:36:54 --enforcementcount 0 &gt;&gt;C:\Users\stu\Documents\GitHub\eaglep3-reporting\EC\2017-05-11-refined-times.txt</v>
      </c>
      <c r="AI112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{"issue":{"subject":"","project_id":79,"tracker_id":40,"status_id":1,"priority_id":2,"assigned_to_id":23,"start_date":"2017-05-11","description":"","custom_fields":[{"id":1,"name":"Subdivision","value":"EC"},{"id":4,"name":"Milepost","value":"23.3311"},{"id":17,"name":"Train ID","value":"225-11"},{"id":16,"name":"Locomotive ID","value":"4002"},{"id":130,"name":"Impact","value":""},{"id":150,"name":"Time of Event (Mountain Time)","value":"20:36:54"},{"id":151,"name":"Denver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57"/>
        <v>start /low /b %USERPROFILE%\Documents\GitHub\eaglep3\Utilities\DownloadLogsFromS3.py --loco 4002 --day 2017-05-11</v>
      </c>
      <c r="AN112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02:36:54"},{"id":29,"name":"Sharepoint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776</v>
      </c>
      <c r="B113" s="7">
        <v>4001</v>
      </c>
      <c r="C113" s="21" t="s">
        <v>206</v>
      </c>
      <c r="D113" s="21" t="s">
        <v>472</v>
      </c>
      <c r="E113" s="13">
        <v>42866.869456018518</v>
      </c>
      <c r="F113" s="13">
        <v>42866.872476851851</v>
      </c>
      <c r="G113" s="7">
        <v>1</v>
      </c>
      <c r="H113" s="21" t="s">
        <v>198</v>
      </c>
      <c r="I113" s="13">
        <v>42866.899976851855</v>
      </c>
      <c r="J113" s="7">
        <v>0</v>
      </c>
      <c r="K113" s="92" t="str">
        <f t="shared" si="44"/>
        <v>4001/4002</v>
      </c>
      <c r="L113" s="21" t="str">
        <f>VLOOKUP(A113,'Trips&amp;Operators'!$C$1:$G$99999,5,FALSE)</f>
        <v>BROWN JACOB</v>
      </c>
      <c r="M113" s="6">
        <f t="shared" si="45"/>
        <v>2.7500000003783498E-2</v>
      </c>
      <c r="N113" s="7">
        <f t="shared" si="60"/>
        <v>39.600000005448237</v>
      </c>
      <c r="O113" s="7"/>
      <c r="P113" s="7"/>
      <c r="Q113" s="22"/>
      <c r="R113" s="190"/>
      <c r="S113" s="196">
        <f t="shared" si="61"/>
        <v>1</v>
      </c>
      <c r="T113" s="190" t="str">
        <f t="shared" si="46"/>
        <v>Southbound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47"/>
        <v>https://d0f6bd738d7f1b3e5a7ca70fe4ff75f0.us-east-1.aws.found.io/app/kibana#/discover/Steve-Slow-Train-Analysis-(2080s-and-2083s)?_g=(refreshInterval:(display:Off,pause:!f,section:0,value:0),time:(from:'2017-05-11T19:52:01-0600',mode:absolute,to:'2017-05-11T22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3" s="192" t="str">
        <f t="shared" si="48"/>
        <v>N</v>
      </c>
      <c r="X113" s="192">
        <f t="shared" ref="X113:X174" si="62">VALUE(LEFT(AD113,4))-VALUE(LEFT(AD112,4))</f>
        <v>1</v>
      </c>
      <c r="Y113" s="192">
        <f t="shared" si="49"/>
        <v>23.2988</v>
      </c>
      <c r="Z113" s="192">
        <f t="shared" si="59"/>
        <v>1.5800000000000002E-2</v>
      </c>
      <c r="AA113" s="192">
        <f t="shared" si="50"/>
        <v>23.283000000000001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51"/>
        <v>0226-11</v>
      </c>
      <c r="AE113" s="80" t="str">
        <f t="shared" si="52"/>
        <v>aws s3 cp s3://rtdc.mdm.uploadarchive.raw/RTDC4001/ "%USERPROFILE%\AppData\Local\Temp\OnboardLogs"\RTDC4001\2017-05-11 --exclude "*" --recursive --include "*20170511*" &amp; "%USERPROFILE%\Documents\GitHub\mrs-test-scripts\Headless Mode &amp; Sideloading\WalkAndUnGZ.bat" "%USERPROFILE%\AppData\Local\Temp\OnboardLogs"\RTDC4001\2017-05-11 &amp; 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</v>
      </c>
      <c r="AF113" s="77" t="str">
        <f t="shared" si="53"/>
        <v>"C:\Program Files (x86)\AstroGrep\AstroGrep.exe" /e /r /s /spath="%USERPROFILE%\AppData\Local\Temp\OnboardLogs" /stypes="app*4001*20170512*" /stext=" 03:.+((SYSTEM_STATE.+slice.+state.+changed )|(ment ac)|(multiple cpu faults)|(system.+state.+changed )|(\[timeout)|(PRM\|1\|D)|(kpr)|(kdp)|(train st.+moving)|(\|lc)|(penalty))"</v>
      </c>
      <c r="AG113" s="1" t="str">
        <f t="shared" si="54"/>
        <v>EC</v>
      </c>
      <c r="AH113" s="81" t="str">
        <f t="shared" si="55"/>
        <v>"%USERPROFILE%\Documents\GitHub\eaglep3\Utilities\RefineRTDCRunTimes.py" --tripid 226-11 --locoid 4001 --swversion DE.1.0.9.0 --startMP 204:232988 --initTime 2017-05-11T20:52:01 --startdatetime 2017-05-11T20:56:22 --delay 1 --endMP 204:158 --enddatetime 2017-05-11T21:35:58 --enforcementcount 0 &gt;&gt;C:\Users\stu\Documents\GitHub\eaglep3-reporting\EC\2017-05-11-refined-times.txt</v>
      </c>
      <c r="AI113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{"issue":{"subject":"","project_id":79,"tracker_id":40,"status_id":1,"priority_id":2,"assigned_to_id":23,"start_date":"2017-05-11","description":"","custom_fields":[{"id":1,"name":"Subdivision","value":"EC"},{"id":4,"name":"Milepost","value":"0.0158"},{"id":17,"name":"Train ID","value":"226-11"},{"id":16,"name":"Locomotive ID","value":"4001"},{"id":130,"name":"Impact","value":""},{"id":150,"name":"Time of Event (Mountain Time)","value":"21:35:58"},{"id":151,"name":"Denver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57"/>
        <v>start /low /b %USERPROFILE%\Documents\GitHub\eaglep3\Utilities\DownloadLogsFromS3.py --loco 4001 --day 2017-05-11</v>
      </c>
      <c r="AN113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773</v>
      </c>
      <c r="B114" s="7">
        <v>4004</v>
      </c>
      <c r="C114" s="21" t="s">
        <v>206</v>
      </c>
      <c r="D114" s="21" t="s">
        <v>378</v>
      </c>
      <c r="E114" s="13">
        <v>42866.850937499999</v>
      </c>
      <c r="F114" s="13">
        <v>42866.854467592595</v>
      </c>
      <c r="G114" s="7">
        <v>2</v>
      </c>
      <c r="H114" s="21" t="s">
        <v>888</v>
      </c>
      <c r="I114" s="13">
        <v>42866.880567129629</v>
      </c>
      <c r="J114" s="7">
        <v>0</v>
      </c>
      <c r="K114" s="92" t="str">
        <f t="shared" si="44"/>
        <v>4003/4004</v>
      </c>
      <c r="L114" s="21" t="str">
        <f>VLOOKUP(A114,'Trips&amp;Operators'!$C$1:$G$99999,5,FALSE)</f>
        <v>SWANSON BRYCE</v>
      </c>
      <c r="M114" s="6">
        <f t="shared" si="45"/>
        <v>2.6099537033587694E-2</v>
      </c>
      <c r="N114" s="7">
        <f t="shared" si="60"/>
        <v>37.58333332836628</v>
      </c>
      <c r="O114" s="7"/>
      <c r="P114" s="7"/>
      <c r="Q114" s="22"/>
      <c r="R114" s="190"/>
      <c r="S114" s="196">
        <f t="shared" si="61"/>
        <v>1</v>
      </c>
      <c r="T114" s="190" t="str">
        <f t="shared" si="46"/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47"/>
        <v>https://d0f6bd738d7f1b3e5a7ca70fe4ff75f0.us-east-1.aws.found.io/app/kibana#/discover/Steve-Slow-Train-Analysis-(2080s-and-2083s)?_g=(refreshInterval:(display:Off,pause:!f,section:0,value:0),time:(from:'2017-05-11T19:25:21-0600',mode:absolute,to:'2017-05-11T22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4" s="192" t="str">
        <f t="shared" si="48"/>
        <v>N</v>
      </c>
      <c r="X114" s="192">
        <f t="shared" si="62"/>
        <v>1</v>
      </c>
      <c r="Y114" s="192">
        <f t="shared" si="49"/>
        <v>4.4200000000000003E-2</v>
      </c>
      <c r="Z114" s="192">
        <f t="shared" si="59"/>
        <v>23.338000000000001</v>
      </c>
      <c r="AA114" s="192">
        <f t="shared" si="50"/>
        <v>23.293800000000001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51"/>
        <v>0227-11</v>
      </c>
      <c r="AE114" s="80" t="str">
        <f t="shared" si="52"/>
        <v>aws s3 cp s3://rtdc.mdm.uploadarchive.raw/RTDC4004/ "%USERPROFILE%\AppData\Local\Temp\OnboardLogs"\RTDC4004\2017-05-11 --exclude "*" --recursive --include "*20170511*" &amp; "%USERPROFILE%\Documents\GitHub\mrs-test-scripts\Headless Mode &amp; Sideloading\WalkAndUnGZ.bat" "%USERPROFILE%\AppData\Local\Temp\OnboardLogs"\RTDC4004\2017-05-11 &amp; aws s3 cp s3://rtdc.mdm.uploadarchive.raw/RTDC4004/ "%USERPROFILE%\AppData\Local\Temp\OnboardLogs"\RTDC4004\2017-05-12 --exclude "*" --recursive --include "*20170512*" &amp; "%USERPROFILE%\Documents\GitHub\mrs-test-scripts\Headless Mode &amp; Sideloading\WalkAndUnGZ.bat" "%USERPROFILE%\AppData\Local\Temp\OnboardLogs"\RTDC4004\2017-05-12</v>
      </c>
      <c r="AF114" s="77" t="str">
        <f t="shared" si="53"/>
        <v>"C:\Program Files (x86)\AstroGrep\AstroGrep.exe" /e /r /s /spath="%USERPROFILE%\AppData\Local\Temp\OnboardLogs" /stypes="app*4004*20170512*" /stext=" 03:.+((SYSTEM_STATE.+slice.+state.+changed )|(ment ac)|(multiple cpu faults)|(system.+state.+changed )|(\[timeout)|(PRM\|1\|D)|(kpr)|(kdp)|(train st.+moving)|(\|lc)|(penalty))"</v>
      </c>
      <c r="AG114" s="1" t="str">
        <f t="shared" si="54"/>
        <v>EC</v>
      </c>
      <c r="AH114" s="81" t="str">
        <f t="shared" si="55"/>
        <v>"%USERPROFILE%\Documents\GitHub\eaglep3\Utilities\RefineRTDCRunTimes.py" --tripid 227-11 --locoid 4004 --swversion DE.1.0.9.0 --startMP 204:442 --initTime 2017-05-11T20:25:21 --startdatetime 2017-05-11T20:30:26 --delay 2 --endMP 204:233380 --enddatetime 2017-05-11T21:08:01 --enforcementcount 0 &gt;&gt;C:\Users\stu\Documents\GitHub\eaglep3-reporting\EC\2017-05-11-refined-times.txt</v>
      </c>
      <c r="AI114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{"issue":{"subject":"","project_id":79,"tracker_id":40,"status_id":1,"priority_id":2,"assigned_to_id":23,"start_date":"2017-05-11","description":"","custom_fields":[{"id":1,"name":"Subdivision","value":"EC"},{"id":4,"name":"Milepost","value":"23.338"},{"id":17,"name":"Train ID","value":"227-11"},{"id":16,"name":"Locomotive ID","value":"4004"},{"id":130,"name":"Impact","value":""},{"id":150,"name":"Time of Event (Mountain Time)","value":"21:08:01"},{"id":151,"name":"Denver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57"/>
        <v>start /low /b %USERPROFILE%\Documents\GitHub\eaglep3\Utilities\DownloadLogsFromS3.py --loco 4004 --day 2017-05-11</v>
      </c>
      <c r="AN114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03:08:01"},{"id":29,"name":"Sharepoint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780</v>
      </c>
      <c r="B115" s="7">
        <v>4003</v>
      </c>
      <c r="C115" s="21" t="s">
        <v>206</v>
      </c>
      <c r="D115" s="21" t="s">
        <v>889</v>
      </c>
      <c r="E115" s="13">
        <v>42866.890428240738</v>
      </c>
      <c r="F115" s="13">
        <v>42866.893321759257</v>
      </c>
      <c r="G115" s="7">
        <v>1</v>
      </c>
      <c r="H115" s="21" t="s">
        <v>476</v>
      </c>
      <c r="I115" s="13">
        <v>42866.921238425923</v>
      </c>
      <c r="J115" s="7">
        <v>0</v>
      </c>
      <c r="K115" s="92" t="str">
        <f t="shared" si="44"/>
        <v>4003/4004</v>
      </c>
      <c r="L115" s="21" t="str">
        <f>VLOOKUP(A115,'Trips&amp;Operators'!$C$1:$G$99999,5,FALSE)</f>
        <v>SWANSON BRYCE</v>
      </c>
      <c r="M115" s="6">
        <f t="shared" si="45"/>
        <v>2.7916666665987577E-2</v>
      </c>
      <c r="N115" s="7">
        <f t="shared" si="60"/>
        <v>40.199999999022111</v>
      </c>
      <c r="O115" s="7"/>
      <c r="P115" s="7"/>
      <c r="Q115" s="22"/>
      <c r="R115" s="190"/>
      <c r="S115" s="196">
        <f t="shared" si="61"/>
        <v>1</v>
      </c>
      <c r="T115" s="190" t="str">
        <f t="shared" si="46"/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47"/>
        <v>https://d0f6bd738d7f1b3e5a7ca70fe4ff75f0.us-east-1.aws.found.io/app/kibana#/discover/Steve-Slow-Train-Analysis-(2080s-and-2083s)?_g=(refreshInterval:(display:Off,pause:!f,section:0,value:0),time:(from:'2017-05-11T20:22:13-0600',mode:absolute,to:'2017-05-11T23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5" s="192" t="str">
        <f t="shared" si="48"/>
        <v>N</v>
      </c>
      <c r="X115" s="192">
        <f t="shared" si="62"/>
        <v>1</v>
      </c>
      <c r="Y115" s="192">
        <f t="shared" si="49"/>
        <v>23.308299999999999</v>
      </c>
      <c r="Z115" s="192">
        <f t="shared" si="59"/>
        <v>1.6899999999999998E-2</v>
      </c>
      <c r="AA115" s="192">
        <f t="shared" si="50"/>
        <v>23.291399999999999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51"/>
        <v>0228-11</v>
      </c>
      <c r="AE115" s="80" t="str">
        <f t="shared" si="52"/>
        <v>aws s3 cp s3://rtdc.mdm.uploadarchive.raw/RTDC4003/ "%USERPROFILE%\AppData\Local\Temp\OnboardLogs"\RTDC4003\2017-05-11 --exclude "*" --recursive --include "*20170511*" &amp; "%USERPROFILE%\Documents\GitHub\mrs-test-scripts\Headless Mode &amp; Sideloading\WalkAndUnGZ.bat" "%USERPROFILE%\AppData\Local\Temp\OnboardLogs"\RTDC4003\2017-05-11 &amp; aws s3 cp s3://rtdc.mdm.uploadarchive.raw/RTDC4003/ "%USERPROFILE%\AppData\Local\Temp\OnboardLogs"\RTDC4003\2017-05-12 --exclude "*" --recursive --include "*20170512*" &amp; "%USERPROFILE%\Documents\GitHub\mrs-test-scripts\Headless Mode &amp; Sideloading\WalkAndUnGZ.bat" "%USERPROFILE%\AppData\Local\Temp\OnboardLogs"\RTDC4003\2017-05-12</v>
      </c>
      <c r="AF115" s="77" t="str">
        <f t="shared" si="53"/>
        <v>"C:\Program Files (x86)\AstroGrep\AstroGrep.exe" /e /r /s /spath="%USERPROFILE%\AppData\Local\Temp\OnboardLogs" /stypes="app*4003*20170512*" /stext=" 04:.+((SYSTEM_STATE.+slice.+state.+changed )|(ment ac)|(multiple cpu faults)|(system.+state.+changed )|(\[timeout)|(PRM\|1\|D)|(kpr)|(kdp)|(train st.+moving)|(\|lc)|(penalty))"</v>
      </c>
      <c r="AG115" s="1" t="str">
        <f t="shared" si="54"/>
        <v>EC</v>
      </c>
      <c r="AH115" s="81" t="str">
        <f t="shared" si="55"/>
        <v>"%USERPROFILE%\Documents\GitHub\eaglep3\Utilities\RefineRTDCRunTimes.py" --tripid 228-11 --locoid 4003 --swversion DE.1.0.9.0 --startMP 204:233083 --initTime 2017-05-11T21:22:13 --startdatetime 2017-05-11T21:26:23 --delay 1 --endMP 204:169 --enddatetime 2017-05-11T22:06:35 --enforcementcount 0 &gt;&gt;C:\Users\stu\Documents\GitHub\eaglep3-reporting\EC\2017-05-11-refined-times.txt</v>
      </c>
      <c r="AI115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{"issue":{"subject":"","project_id":79,"tracker_id":40,"status_id":1,"priority_id":2,"assigned_to_id":23,"start_date":"2017-05-11","description":"","custom_fields":[{"id":1,"name":"Subdivision","value":"EC"},{"id":4,"name":"Milepost","value":"0.0169"},{"id":17,"name":"Train ID","value":"228-11"},{"id":16,"name":"Locomotive ID","value":"4003"},{"id":130,"name":"Impact","value":""},{"id":150,"name":"Time of Event (Mountain Time)","value":"22:06:35"},{"id":151,"name":"Denver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57"/>
        <v>start /low /b %USERPROFILE%\Documents\GitHub\eaglep3\Utilities\DownloadLogsFromS3.py --loco 4003 --day 2017-05-11</v>
      </c>
      <c r="AN115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04:06:35"},{"id":29,"name":"Sharepoint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775</v>
      </c>
      <c r="B116" s="7">
        <v>4042</v>
      </c>
      <c r="C116" s="21" t="s">
        <v>206</v>
      </c>
      <c r="D116" s="21" t="s">
        <v>890</v>
      </c>
      <c r="E116" s="13">
        <v>42866.866018518522</v>
      </c>
      <c r="F116" s="13">
        <v>42866.875416666669</v>
      </c>
      <c r="G116" s="7">
        <v>2</v>
      </c>
      <c r="H116" s="21" t="s">
        <v>526</v>
      </c>
      <c r="I116" s="13">
        <v>42866.900497685187</v>
      </c>
      <c r="J116" s="7">
        <v>0</v>
      </c>
      <c r="K116" s="92" t="str">
        <f t="shared" si="44"/>
        <v>4041/4042</v>
      </c>
      <c r="L116" s="21" t="str">
        <f>VLOOKUP(A116,'Trips&amp;Operators'!$C$1:$G$99999,5,FALSE)</f>
        <v>CHANDLER KELVIN</v>
      </c>
      <c r="M116" s="6">
        <f t="shared" si="45"/>
        <v>2.5081018517084885E-2</v>
      </c>
      <c r="N116" s="7">
        <f t="shared" si="60"/>
        <v>36.116666664602235</v>
      </c>
      <c r="O116" s="7"/>
      <c r="P116" s="7"/>
      <c r="Q116" s="22"/>
      <c r="R116" s="190"/>
      <c r="S116" s="196">
        <f t="shared" si="61"/>
        <v>1</v>
      </c>
      <c r="T116" s="190" t="str">
        <f t="shared" si="46"/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47"/>
        <v>https://d0f6bd738d7f1b3e5a7ca70fe4ff75f0.us-east-1.aws.found.io/app/kibana#/discover/Steve-Slow-Train-Analysis-(2080s-and-2083s)?_g=(refreshInterval:(display:Off,pause:!f,section:0,value:0),time:(from:'2017-05-11T19:47:04-0600',mode:absolute,to:'2017-05-11T22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6" s="192" t="str">
        <f t="shared" si="48"/>
        <v>N</v>
      </c>
      <c r="X116" s="192">
        <f t="shared" si="62"/>
        <v>1</v>
      </c>
      <c r="Y116" s="192">
        <f t="shared" si="49"/>
        <v>4.2599999999999999E-2</v>
      </c>
      <c r="Z116" s="192">
        <f t="shared" si="59"/>
        <v>23.327400000000001</v>
      </c>
      <c r="AA116" s="192">
        <f t="shared" si="50"/>
        <v>23.284800000000001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51"/>
        <v>0229-11</v>
      </c>
      <c r="AE116" s="80" t="str">
        <f t="shared" si="52"/>
        <v>aws s3 cp s3://rtdc.mdm.uploadarchive.raw/RTDC4042/ "%USERPROFILE%\AppData\Local\Temp\OnboardLogs"\RTDC4042\2017-05-11 --exclude "*" --recursive --include "*20170511*" &amp; "%USERPROFILE%\Documents\GitHub\mrs-test-scripts\Headless Mode &amp; Sideloading\WalkAndUnGZ.bat" "%USERPROFILE%\AppData\Local\Temp\OnboardLogs"\RTDC4042\2017-05-11 &amp; 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</v>
      </c>
      <c r="AF116" s="77" t="str">
        <f t="shared" si="53"/>
        <v>"C:\Program Files (x86)\AstroGrep\AstroGrep.exe" /e /r /s /spath="%USERPROFILE%\AppData\Local\Temp\OnboardLogs" /stypes="app*4042*20170512*" /stext=" 03:.+((SYSTEM_STATE.+slice.+state.+changed )|(ment ac)|(multiple cpu faults)|(system.+state.+changed )|(\[timeout)|(PRM\|1\|D)|(kpr)|(kdp)|(train st.+moving)|(\|lc)|(penalty))"</v>
      </c>
      <c r="AG116" s="1" t="str">
        <f t="shared" si="54"/>
        <v>EC</v>
      </c>
      <c r="AH116" s="81" t="str">
        <f t="shared" si="55"/>
        <v>"%USERPROFILE%\Documents\GitHub\eaglep3\Utilities\RefineRTDCRunTimes.py" --tripid 229-11 --locoid 4042 --swversion DE.1.0.9.0 --startMP 204:426 --initTime 2017-05-11T20:47:04 --startdatetime 2017-05-11T21:00:36 --delay 2 --endMP 204:233274 --enddatetime 2017-05-11T21:36:43 --enforcementcount 0 &gt;&gt;C:\Users\stu\Documents\GitHub\eaglep3-reporting\EC\2017-05-11-refined-times.txt</v>
      </c>
      <c r="AI116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{"issue":{"subject":"","project_id":79,"tracker_id":40,"status_id":1,"priority_id":2,"assigned_to_id":23,"start_date":"2017-05-11","description":"","custom_fields":[{"id":1,"name":"Subdivision","value":"EC"},{"id":4,"name":"Milepost","value":"23.3274"},{"id":17,"name":"Train ID","value":"229-11"},{"id":16,"name":"Locomotive ID","value":"4042"},{"id":130,"name":"Impact","value":""},{"id":150,"name":"Time of Event (Mountain Time)","value":"21:36:43"},{"id":151,"name":"Denver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57"/>
        <v>start /low /b %USERPROFILE%\Documents\GitHub\eaglep3\Utilities\DownloadLogsFromS3.py --loco 4042 --day 2017-05-11</v>
      </c>
      <c r="AN116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03:36:43"},{"id":29,"name":"Sharepoint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782</v>
      </c>
      <c r="B117" s="7">
        <v>4041</v>
      </c>
      <c r="C117" s="21" t="s">
        <v>206</v>
      </c>
      <c r="D117" s="21" t="s">
        <v>891</v>
      </c>
      <c r="E117" s="13">
        <v>42866.910370370373</v>
      </c>
      <c r="F117" s="13">
        <v>42866.914212962962</v>
      </c>
      <c r="G117" s="7">
        <v>0</v>
      </c>
      <c r="H117" s="21" t="s">
        <v>376</v>
      </c>
      <c r="I117" s="13">
        <v>42866.941701388889</v>
      </c>
      <c r="J117" s="7">
        <v>0</v>
      </c>
      <c r="K117" s="92" t="str">
        <f t="shared" si="44"/>
        <v>4041/4042</v>
      </c>
      <c r="L117" s="21" t="str">
        <f>VLOOKUP(A117,'Trips&amp;Operators'!$C$1:$G$99999,5,FALSE)</f>
        <v>CHANDLER KELVIN</v>
      </c>
      <c r="M117" s="6">
        <f t="shared" si="45"/>
        <v>2.7488425927003846E-2</v>
      </c>
      <c r="N117" s="7">
        <f t="shared" si="60"/>
        <v>39.583333334885538</v>
      </c>
      <c r="O117" s="7"/>
      <c r="P117" s="7"/>
      <c r="Q117" s="22"/>
      <c r="R117" s="190"/>
      <c r="S117" s="196">
        <f t="shared" si="61"/>
        <v>1</v>
      </c>
      <c r="T117" s="190" t="str">
        <f t="shared" si="46"/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47"/>
        <v>https://d0f6bd738d7f1b3e5a7ca70fe4ff75f0.us-east-1.aws.found.io/app/kibana#/discover/Steve-Slow-Train-Analysis-(2080s-and-2083s)?_g=(refreshInterval:(display:Off,pause:!f,section:0,value:0),time:(from:'2017-05-11T20:50:56-0600',mode:absolute,to:'2017-05-11T23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7" s="192" t="str">
        <f t="shared" si="48"/>
        <v>N</v>
      </c>
      <c r="X117" s="192">
        <f t="shared" si="62"/>
        <v>1</v>
      </c>
      <c r="Y117" s="192">
        <f t="shared" si="49"/>
        <v>23.295200000000001</v>
      </c>
      <c r="Z117" s="192">
        <f t="shared" si="59"/>
        <v>1.47E-2</v>
      </c>
      <c r="AA117" s="192">
        <f t="shared" si="50"/>
        <v>23.2805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51"/>
        <v>0230-11</v>
      </c>
      <c r="AE117" s="80" t="str">
        <f t="shared" si="52"/>
        <v>aws s3 cp s3://rtdc.mdm.uploadarchive.raw/RTDC4041/ "%USERPROFILE%\AppData\Local\Temp\OnboardLogs"\RTDC4041\2017-05-11 --exclude "*" --recursive --include "*20170511*" &amp; "%USERPROFILE%\Documents\GitHub\mrs-test-scripts\Headless Mode &amp; Sideloading\WalkAndUnGZ.bat" "%USERPROFILE%\AppData\Local\Temp\OnboardLogs"\RTDC4041\2017-05-11 &amp; aws s3 cp s3://rtdc.mdm.uploadarchive.raw/RTDC4041/ "%USERPROFILE%\AppData\Local\Temp\OnboardLogs"\RTDC4041\2017-05-12 --exclude "*" --recursive --include "*20170512*" &amp; "%USERPROFILE%\Documents\GitHub\mrs-test-scripts\Headless Mode &amp; Sideloading\WalkAndUnGZ.bat" "%USERPROFILE%\AppData\Local\Temp\OnboardLogs"\RTDC4041\2017-05-12</v>
      </c>
      <c r="AF117" s="77" t="str">
        <f t="shared" si="53"/>
        <v>"C:\Program Files (x86)\AstroGrep\AstroGrep.exe" /e /r /s /spath="%USERPROFILE%\AppData\Local\Temp\OnboardLogs" /stypes="app*4041*20170512*" /stext=" 04:.+((SYSTEM_STATE.+slice.+state.+changed )|(ment ac)|(multiple cpu faults)|(system.+state.+changed )|(\[timeout)|(PRM\|1\|D)|(kpr)|(kdp)|(train st.+moving)|(\|lc)|(penalty))"</v>
      </c>
      <c r="AG117" s="1" t="str">
        <f t="shared" si="54"/>
        <v>EC</v>
      </c>
      <c r="AH117" s="81" t="str">
        <f t="shared" si="55"/>
        <v>"%USERPROFILE%\Documents\GitHub\eaglep3\Utilities\RefineRTDCRunTimes.py" --tripid 230-11 --locoid 4041 --swversion DE.1.0.9.0 --startMP 204:232952 --initTime 2017-05-11T21:50:56 --startdatetime 2017-05-11T21:56:28 --delay 0 --endMP 204:147 --enddatetime 2017-05-11T22:36:03 --enforcementcount 0 &gt;&gt;C:\Users\stu\Documents\GitHub\eaglep3-reporting\EC\2017-05-11-refined-times.txt</v>
      </c>
      <c r="AI117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{"issue":{"subject":"","project_id":79,"tracker_id":40,"status_id":1,"priority_id":2,"assigned_to_id":23,"start_date":"2017-05-11","description":"","custom_fields":[{"id":1,"name":"Subdivision","value":"EC"},{"id":4,"name":"Milepost","value":"0.0147"},{"id":17,"name":"Train ID","value":"230-11"},{"id":16,"name":"Locomotive ID","value":"4041"},{"id":130,"name":"Impact","value":""},{"id":150,"name":"Time of Event (Mountain Time)","value":"22:36:03"},{"id":151,"name":"Denver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57"/>
        <v>start /low /b %USERPROFILE%\Documents\GitHub\eaglep3\Utilities\DownloadLogsFromS3.py --loco 4041 --day 2017-05-11</v>
      </c>
      <c r="AN117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781</v>
      </c>
      <c r="B118" s="7">
        <v>4028</v>
      </c>
      <c r="C118" s="21" t="s">
        <v>206</v>
      </c>
      <c r="D118" s="21" t="s">
        <v>444</v>
      </c>
      <c r="E118" s="13">
        <v>42866.893240740741</v>
      </c>
      <c r="F118" s="13">
        <v>42866.895972222221</v>
      </c>
      <c r="G118" s="7">
        <v>1</v>
      </c>
      <c r="H118" s="21" t="s">
        <v>819</v>
      </c>
      <c r="I118" s="13">
        <v>42866.920497685183</v>
      </c>
      <c r="J118" s="7">
        <v>0</v>
      </c>
      <c r="K118" s="92" t="str">
        <f t="shared" si="44"/>
        <v>4027/4028</v>
      </c>
      <c r="L118" s="21" t="str">
        <f>VLOOKUP(A118,'Trips&amp;Operators'!$C$1:$G$99999,5,FALSE)</f>
        <v>NEWELL JAMES</v>
      </c>
      <c r="M118" s="6">
        <f t="shared" si="45"/>
        <v>2.4525462962628808E-2</v>
      </c>
      <c r="N118" s="7">
        <f t="shared" si="60"/>
        <v>35.316666666185483</v>
      </c>
      <c r="O118" s="7"/>
      <c r="P118" s="7"/>
      <c r="Q118" s="22"/>
      <c r="R118" s="190"/>
      <c r="S118" s="196">
        <f t="shared" si="61"/>
        <v>1</v>
      </c>
      <c r="T118" s="190" t="str">
        <f t="shared" si="46"/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47"/>
        <v>https://d0f6bd738d7f1b3e5a7ca70fe4ff75f0.us-east-1.aws.found.io/app/kibana#/discover/Steve-Slow-Train-Analysis-(2080s-and-2083s)?_g=(refreshInterval:(display:Off,pause:!f,section:0,value:0),time:(from:'2017-05-11T20:26:16-0600',mode:absolute,to:'2017-05-11T23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8" s="192" t="str">
        <f t="shared" si="48"/>
        <v>N</v>
      </c>
      <c r="X118" s="192">
        <f t="shared" si="62"/>
        <v>1</v>
      </c>
      <c r="Y118" s="192">
        <f t="shared" si="49"/>
        <v>4.3299999999999998E-2</v>
      </c>
      <c r="Z118" s="192">
        <f t="shared" si="59"/>
        <v>23.3291</v>
      </c>
      <c r="AA118" s="192">
        <f t="shared" si="50"/>
        <v>23.285800000000002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51"/>
        <v>0231-11</v>
      </c>
      <c r="AE118" s="80" t="str">
        <f t="shared" si="52"/>
        <v>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 &amp; aws s3 cp s3://rtdc.mdm.uploadarchive.raw/RTDC4028/ "%USERPROFILE%\AppData\Local\Temp\OnboardLogs"\RTDC4028\2017-05-12 --exclude "*" --recursive --include "*20170512*" &amp; "%USERPROFILE%\Documents\GitHub\mrs-test-scripts\Headless Mode &amp; Sideloading\WalkAndUnGZ.bat" "%USERPROFILE%\AppData\Local\Temp\OnboardLogs"\RTDC4028\2017-05-12</v>
      </c>
      <c r="AF118" s="77" t="str">
        <f t="shared" si="53"/>
        <v>"C:\Program Files (x86)\AstroGrep\AstroGrep.exe" /e /r /s /spath="%USERPROFILE%\AppData\Local\Temp\OnboardLogs" /stypes="app*4028*20170512*" /stext=" 04:.+((SYSTEM_STATE.+slice.+state.+changed )|(ment ac)|(multiple cpu faults)|(system.+state.+changed )|(\[timeout)|(PRM\|1\|D)|(kpr)|(kdp)|(train st.+moving)|(\|lc)|(penalty))"</v>
      </c>
      <c r="AG118" s="1" t="str">
        <f t="shared" si="54"/>
        <v>EC</v>
      </c>
      <c r="AH118" s="81" t="str">
        <f t="shared" si="55"/>
        <v>"%USERPROFILE%\Documents\GitHub\eaglep3\Utilities\RefineRTDCRunTimes.py" --tripid 231-11 --locoid 4028 --swversion DE.1.0.9.0 --startMP 204:433 --initTime 2017-05-11T21:26:16 --startdatetime 2017-05-11T21:30:12 --delay 1 --endMP 204:233291 --enddatetime 2017-05-11T22:05:31 --enforcementcount 0 &gt;&gt;C:\Users\stu\Documents\GitHub\eaglep3-reporting\EC\2017-05-11-refined-times.txt</v>
      </c>
      <c r="AI118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{"issue":{"subject":"","project_id":79,"tracker_id":40,"status_id":1,"priority_id":2,"assigned_to_id":23,"start_date":"2017-05-11","description":"","custom_fields":[{"id":1,"name":"Subdivision","value":"EC"},{"id":4,"name":"Milepost","value":"23.3291"},{"id":17,"name":"Train ID","value":"231-11"},{"id":16,"name":"Locomotive ID","value":"4028"},{"id":130,"name":"Impact","value":""},{"id":150,"name":"Time of Event (Mountain Time)","value":"22:05:31"},{"id":151,"name":"Denver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57"/>
        <v>start /low /b %USERPROFILE%\Documents\GitHub\eaglep3\Utilities\DownloadLogsFromS3.py --loco 4028 --day 2017-05-11</v>
      </c>
      <c r="AN118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04:05:31"},{"id":29,"name":"Sharepoint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785</v>
      </c>
      <c r="B119" s="7">
        <v>4027</v>
      </c>
      <c r="C119" s="21" t="s">
        <v>206</v>
      </c>
      <c r="D119" s="21" t="s">
        <v>443</v>
      </c>
      <c r="E119" s="13">
        <v>42866.93136574074</v>
      </c>
      <c r="F119" s="13">
        <v>42866.934861111113</v>
      </c>
      <c r="G119" s="7">
        <v>1</v>
      </c>
      <c r="H119" s="21" t="s">
        <v>198</v>
      </c>
      <c r="I119" s="13">
        <v>42866.961423611108</v>
      </c>
      <c r="J119" s="7">
        <v>0</v>
      </c>
      <c r="K119" s="92" t="str">
        <f t="shared" si="44"/>
        <v>4027/4028</v>
      </c>
      <c r="L119" s="21" t="str">
        <f>VLOOKUP(A119,'Trips&amp;Operators'!$C$1:$G$99999,5,FALSE)</f>
        <v>NEWELL JAMES</v>
      </c>
      <c r="M119" s="6">
        <f t="shared" si="45"/>
        <v>2.6562499995634425E-2</v>
      </c>
      <c r="N119" s="7">
        <f t="shared" si="60"/>
        <v>38.249999993713573</v>
      </c>
      <c r="O119" s="7"/>
      <c r="P119" s="7"/>
      <c r="Q119" s="22"/>
      <c r="R119" s="190"/>
      <c r="S119" s="196">
        <f t="shared" si="61"/>
        <v>1</v>
      </c>
      <c r="T119" s="190" t="str">
        <f t="shared" si="46"/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47"/>
        <v>https://d0f6bd738d7f1b3e5a7ca70fe4ff75f0.us-east-1.aws.found.io/app/kibana#/discover/Steve-Slow-Train-Analysis-(2080s-and-2083s)?_g=(refreshInterval:(display:Off,pause:!f,section:0,value:0),time:(from:'2017-05-11T21:21:10-0600',mode:absolute,to:'2017-05-12T00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9" s="192" t="str">
        <f t="shared" si="48"/>
        <v>N</v>
      </c>
      <c r="X119" s="192">
        <f t="shared" si="62"/>
        <v>1</v>
      </c>
      <c r="Y119" s="192">
        <f t="shared" si="49"/>
        <v>23.299399999999999</v>
      </c>
      <c r="Z119" s="192">
        <f t="shared" si="59"/>
        <v>1.5800000000000002E-2</v>
      </c>
      <c r="AA119" s="192">
        <f t="shared" si="50"/>
        <v>23.2836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51"/>
        <v>0232-11</v>
      </c>
      <c r="AE119" s="80" t="str">
        <f t="shared" si="52"/>
        <v>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 &amp; aws s3 cp s3://rtdc.mdm.uploadarchive.raw/RTDC4027/ "%USERPROFILE%\AppData\Local\Temp\OnboardLogs"\RTDC4027\2017-05-12 --exclude "*" --recursive --include "*20170512*" &amp; "%USERPROFILE%\Documents\GitHub\mrs-test-scripts\Headless Mode &amp; Sideloading\WalkAndUnGZ.bat" "%USERPROFILE%\AppData\Local\Temp\OnboardLogs"\RTDC4027\2017-05-12</v>
      </c>
      <c r="AF119" s="77" t="str">
        <f t="shared" si="53"/>
        <v>"C:\Program Files (x86)\AstroGrep\AstroGrep.exe" /e /r /s /spath="%USERPROFILE%\AppData\Local\Temp\OnboardLogs" /stypes="app*4027*20170512*" /stext=" 05:.+((SYSTEM_STATE.+slice.+state.+changed )|(ment ac)|(multiple cpu faults)|(system.+state.+changed )|(\[timeout)|(PRM\|1\|D)|(kpr)|(kdp)|(train st.+moving)|(\|lc)|(penalty))"</v>
      </c>
      <c r="AG119" s="1" t="str">
        <f t="shared" si="54"/>
        <v>EC</v>
      </c>
      <c r="AH119" s="81" t="str">
        <f t="shared" si="55"/>
        <v>"%USERPROFILE%\Documents\GitHub\eaglep3\Utilities\RefineRTDCRunTimes.py" --tripid 232-11 --locoid 4027 --swversion DE.1.0.9.0 --startMP 204:232994 --initTime 2017-05-11T22:21:10 --startdatetime 2017-05-11T22:26:12 --delay 1 --endMP 204:158 --enddatetime 2017-05-11T23:04:27 --enforcementcount 0 &gt;&gt;C:\Users\stu\Documents\GitHub\eaglep3-reporting\EC\2017-05-11-refined-times.txt</v>
      </c>
      <c r="AI119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{"issue":{"subject":"","project_id":79,"tracker_id":40,"status_id":1,"priority_id":2,"assigned_to_id":23,"start_date":"2017-05-11","description":"","custom_fields":[{"id":1,"name":"Subdivision","value":"EC"},{"id":4,"name":"Milepost","value":"0.0158"},{"id":17,"name":"Train ID","value":"232-11"},{"id":16,"name":"Locomotive ID","value":"4027"},{"id":130,"name":"Impact","value":""},{"id":150,"name":"Time of Event (Mountain Time)","value":"23:04:27"},{"id":151,"name":"Denver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57"/>
        <v>start /low /b %USERPROFILE%\Documents\GitHub\eaglep3\Utilities\DownloadLogsFromS3.py --loco 4027 --day 2017-05-11</v>
      </c>
      <c r="AN119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05:04:27"},{"id":29,"name":"Sharepoint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783</v>
      </c>
      <c r="B120" s="7">
        <v>4002</v>
      </c>
      <c r="C120" s="21" t="s">
        <v>206</v>
      </c>
      <c r="D120" s="21" t="s">
        <v>203</v>
      </c>
      <c r="E120" s="13">
        <v>42866.912662037037</v>
      </c>
      <c r="F120" s="13">
        <v>42866.917060185187</v>
      </c>
      <c r="G120" s="7">
        <v>1</v>
      </c>
      <c r="H120" s="21" t="s">
        <v>887</v>
      </c>
      <c r="I120" s="13">
        <v>42866.942824074074</v>
      </c>
      <c r="J120" s="7">
        <v>0</v>
      </c>
      <c r="K120" s="92" t="str">
        <f t="shared" si="44"/>
        <v>4001/4002</v>
      </c>
      <c r="L120" s="21" t="str">
        <f>VLOOKUP(A120,'Trips&amp;Operators'!$C$1:$G$99999,5,FALSE)</f>
        <v>BROWN JACOB</v>
      </c>
      <c r="M120" s="6">
        <f t="shared" si="45"/>
        <v>2.5763888887013309E-2</v>
      </c>
      <c r="N120" s="7">
        <f t="shared" si="60"/>
        <v>37.099999997299165</v>
      </c>
      <c r="O120" s="7"/>
      <c r="P120" s="7"/>
      <c r="Q120" s="22"/>
      <c r="R120" s="190"/>
      <c r="S120" s="196">
        <f t="shared" si="61"/>
        <v>1</v>
      </c>
      <c r="T120" s="190" t="str">
        <f t="shared" si="46"/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47"/>
        <v>https://d0f6bd738d7f1b3e5a7ca70fe4ff75f0.us-east-1.aws.found.io/app/kibana#/discover/Steve-Slow-Train-Analysis-(2080s-and-2083s)?_g=(refreshInterval:(display:Off,pause:!f,section:0,value:0),time:(from:'2017-05-11T20:54:14-0600',mode:absolute,to:'2017-05-11T23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0" s="192" t="str">
        <f t="shared" si="48"/>
        <v>N</v>
      </c>
      <c r="X120" s="192">
        <f t="shared" si="62"/>
        <v>1</v>
      </c>
      <c r="Y120" s="192">
        <f t="shared" si="49"/>
        <v>4.5999999999999999E-2</v>
      </c>
      <c r="Z120" s="192">
        <f t="shared" si="59"/>
        <v>23.331099999999999</v>
      </c>
      <c r="AA120" s="192">
        <f t="shared" si="50"/>
        <v>23.2851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51"/>
        <v>0233-11</v>
      </c>
      <c r="AE120" s="80" t="str">
        <f t="shared" si="52"/>
        <v>aws s3 cp s3://rtdc.mdm.uploadarchive.raw/RTDC4002/ "%USERPROFILE%\AppData\Local\Temp\OnboardLogs"\RTDC4002\2017-05-11 --exclude "*" --recursive --include "*20170511*" &amp; "%USERPROFILE%\Documents\GitHub\mrs-test-scripts\Headless Mode &amp; Sideloading\WalkAndUnGZ.bat" "%USERPROFILE%\AppData\Local\Temp\OnboardLogs"\RTDC4002\2017-05-11 &amp; 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</v>
      </c>
      <c r="AF120" s="77" t="str">
        <f t="shared" si="53"/>
        <v>"C:\Program Files (x86)\AstroGrep\AstroGrep.exe" /e /r /s /spath="%USERPROFILE%\AppData\Local\Temp\OnboardLogs" /stypes="app*4002*20170512*" /stext=" 04:.+((SYSTEM_STATE.+slice.+state.+changed )|(ment ac)|(multiple cpu faults)|(system.+state.+changed )|(\[timeout)|(PRM\|1\|D)|(kpr)|(kdp)|(train st.+moving)|(\|lc)|(penalty))"</v>
      </c>
      <c r="AG120" s="1" t="str">
        <f t="shared" si="54"/>
        <v>EC</v>
      </c>
      <c r="AH120" s="81" t="str">
        <f t="shared" si="55"/>
        <v>"%USERPROFILE%\Documents\GitHub\eaglep3\Utilities\RefineRTDCRunTimes.py" --tripid 233-11 --locoid 4002 --swversion DE.1.0.9.0 --startMP 204:460 --initTime 2017-05-11T21:54:14 --startdatetime 2017-05-11T22:00:34 --delay 1 --endMP 204:233311 --enddatetime 2017-05-11T22:37:40 --enforcementcount 0 &gt;&gt;C:\Users\stu\Documents\GitHub\eaglep3-reporting\EC\2017-05-11-refined-times.txt</v>
      </c>
      <c r="AI120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{"issue":{"subject":"","project_id":79,"tracker_id":40,"status_id":1,"priority_id":2,"assigned_to_id":23,"start_date":"2017-05-11","description":"","custom_fields":[{"id":1,"name":"Subdivision","value":"EC"},{"id":4,"name":"Milepost","value":"23.3311"},{"id":17,"name":"Train ID","value":"233-11"},{"id":16,"name":"Locomotive ID","value":"4002"},{"id":130,"name":"Impact","value":""},{"id":150,"name":"Time of Event (Mountain Time)","value":"22:37:40"},{"id":151,"name":"Denver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57"/>
        <v>start /low /b %USERPROFILE%\Documents\GitHub\eaglep3\Utilities\DownloadLogsFromS3.py --loco 4002 --day 2017-05-11</v>
      </c>
      <c r="AN120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04:37:40"},{"id":29,"name":"Sharepoint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788</v>
      </c>
      <c r="B121" s="7">
        <v>4001</v>
      </c>
      <c r="C121" s="21" t="s">
        <v>206</v>
      </c>
      <c r="D121" s="21" t="s">
        <v>443</v>
      </c>
      <c r="E121" s="13">
        <v>42866.952731481484</v>
      </c>
      <c r="F121" s="13">
        <v>42866.955694444441</v>
      </c>
      <c r="G121" s="7">
        <v>1</v>
      </c>
      <c r="H121" s="21" t="s">
        <v>871</v>
      </c>
      <c r="I121" s="13">
        <v>42866.98332175926</v>
      </c>
      <c r="J121" s="7">
        <v>0</v>
      </c>
      <c r="K121" s="92" t="str">
        <f t="shared" si="44"/>
        <v>4001/4002</v>
      </c>
      <c r="L121" s="21" t="str">
        <f>VLOOKUP(A121,'Trips&amp;Operators'!$C$1:$G$99999,5,FALSE)</f>
        <v>BROWN JACOB</v>
      </c>
      <c r="M121" s="6">
        <f t="shared" si="45"/>
        <v>2.7627314819255844E-2</v>
      </c>
      <c r="N121" s="7">
        <f t="shared" si="60"/>
        <v>39.783333339728415</v>
      </c>
      <c r="O121" s="7"/>
      <c r="P121" s="7"/>
      <c r="Q121" s="22"/>
      <c r="R121" s="190"/>
      <c r="S121" s="196">
        <f t="shared" si="61"/>
        <v>1</v>
      </c>
      <c r="T121" s="190" t="str">
        <f t="shared" si="46"/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47"/>
        <v>https://d0f6bd738d7f1b3e5a7ca70fe4ff75f0.us-east-1.aws.found.io/app/kibana#/discover/Steve-Slow-Train-Analysis-(2080s-and-2083s)?_g=(refreshInterval:(display:Off,pause:!f,section:0,value:0),time:(from:'2017-05-11T21:51:56-0600',mode:absolute,to:'2017-05-12T00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1" s="192" t="str">
        <f t="shared" si="48"/>
        <v>N</v>
      </c>
      <c r="X121" s="192">
        <f t="shared" si="62"/>
        <v>1</v>
      </c>
      <c r="Y121" s="192">
        <f t="shared" si="49"/>
        <v>23.299399999999999</v>
      </c>
      <c r="Z121" s="192">
        <f t="shared" si="59"/>
        <v>1.54E-2</v>
      </c>
      <c r="AA121" s="192">
        <f t="shared" si="50"/>
        <v>23.283999999999999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51"/>
        <v>0234-11</v>
      </c>
      <c r="AE121" s="80" t="str">
        <f t="shared" si="52"/>
        <v>aws s3 cp s3://rtdc.mdm.uploadarchive.raw/RTDC4001/ "%USERPROFILE%\AppData\Local\Temp\OnboardLogs"\RTDC4001\2017-05-11 --exclude "*" --recursive --include "*20170511*" &amp; "%USERPROFILE%\Documents\GitHub\mrs-test-scripts\Headless Mode &amp; Sideloading\WalkAndUnGZ.bat" "%USERPROFILE%\AppData\Local\Temp\OnboardLogs"\RTDC4001\2017-05-11 &amp; 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</v>
      </c>
      <c r="AF121" s="77" t="str">
        <f t="shared" si="53"/>
        <v>"C:\Program Files (x86)\AstroGrep\AstroGrep.exe" /e /r /s /spath="%USERPROFILE%\AppData\Local\Temp\OnboardLogs" /stypes="app*4001*20170512*" /stext=" 05:.+((SYSTEM_STATE.+slice.+state.+changed )|(ment ac)|(multiple cpu faults)|(system.+state.+changed )|(\[timeout)|(PRM\|1\|D)|(kpr)|(kdp)|(train st.+moving)|(\|lc)|(penalty))"</v>
      </c>
      <c r="AG121" s="1" t="str">
        <f t="shared" si="54"/>
        <v>EC</v>
      </c>
      <c r="AH121" s="81" t="str">
        <f t="shared" si="55"/>
        <v>"%USERPROFILE%\Documents\GitHub\eaglep3\Utilities\RefineRTDCRunTimes.py" --tripid 234-11 --locoid 4001 --swversion DE.1.0.9.0 --startMP 204:232994 --initTime 2017-05-11T22:51:56 --startdatetime 2017-05-11T22:56:12 --delay 1 --endMP 204:154 --enddatetime 2017-05-11T23:35:59 --enforcementcount 0 &gt;&gt;C:\Users\stu\Documents\GitHub\eaglep3-reporting\EC\2017-05-11-refined-times.txt</v>
      </c>
      <c r="AI121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{"issue":{"subject":"","project_id":79,"tracker_id":40,"status_id":1,"priority_id":2,"assigned_to_id":23,"start_date":"2017-05-11","description":"","custom_fields":[{"id":1,"name":"Subdivision","value":"EC"},{"id":4,"name":"Milepost","value":"0.0154"},{"id":17,"name":"Train ID","value":"234-11"},{"id":16,"name":"Locomotive ID","value":"4001"},{"id":130,"name":"Impact","value":""},{"id":150,"name":"Time of Event (Mountain Time)","value":"23:35:59"},{"id":151,"name":"Denver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57"/>
        <v>start /low /b %USERPROFILE%\Documents\GitHub\eaglep3\Utilities\DownloadLogsFromS3.py --loco 4001 --day 2017-05-11</v>
      </c>
      <c r="AN121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05:35:59"},{"id":29,"name":"Sharepoint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786</v>
      </c>
      <c r="B122" s="7">
        <v>4004</v>
      </c>
      <c r="C122" s="21" t="s">
        <v>206</v>
      </c>
      <c r="D122" s="21" t="s">
        <v>477</v>
      </c>
      <c r="E122" s="13">
        <v>42866.934560185182</v>
      </c>
      <c r="F122" s="13">
        <v>42866.937777777777</v>
      </c>
      <c r="G122" s="7">
        <v>1</v>
      </c>
      <c r="H122" s="21" t="s">
        <v>892</v>
      </c>
      <c r="I122" s="13">
        <v>42866.964375000003</v>
      </c>
      <c r="J122" s="7">
        <v>0</v>
      </c>
      <c r="K122" s="92" t="str">
        <f t="shared" si="44"/>
        <v>4003/4004</v>
      </c>
      <c r="L122" s="21" t="str">
        <f>VLOOKUP(A122,'Trips&amp;Operators'!$C$1:$G$99999,5,FALSE)</f>
        <v>SWANSON BRYCE</v>
      </c>
      <c r="M122" s="6">
        <f t="shared" si="45"/>
        <v>2.6597222225973383E-2</v>
      </c>
      <c r="N122" s="7">
        <f t="shared" si="60"/>
        <v>38.300000005401671</v>
      </c>
      <c r="O122" s="7"/>
      <c r="P122" s="7"/>
      <c r="Q122" s="22"/>
      <c r="R122" s="190"/>
      <c r="S122" s="196">
        <f t="shared" si="61"/>
        <v>1</v>
      </c>
      <c r="T122" s="190" t="str">
        <f t="shared" si="46"/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47"/>
        <v>https://d0f6bd738d7f1b3e5a7ca70fe4ff75f0.us-east-1.aws.found.io/app/kibana#/discover/Steve-Slow-Train-Analysis-(2080s-and-2083s)?_g=(refreshInterval:(display:Off,pause:!f,section:0,value:0),time:(from:'2017-05-11T21:25:46-0600',mode:absolute,to:'2017-05-12T00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2" s="192" t="str">
        <f t="shared" si="48"/>
        <v>N</v>
      </c>
      <c r="X122" s="192">
        <f t="shared" si="62"/>
        <v>1</v>
      </c>
      <c r="Y122" s="192">
        <f t="shared" si="49"/>
        <v>4.7100000000000003E-2</v>
      </c>
      <c r="Z122" s="192">
        <f t="shared" si="59"/>
        <v>23.341699999999999</v>
      </c>
      <c r="AA122" s="192">
        <f t="shared" si="50"/>
        <v>23.294599999999999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51"/>
        <v>0235-11</v>
      </c>
      <c r="AE122" s="80" t="str">
        <f t="shared" si="52"/>
        <v>aws s3 cp s3://rtdc.mdm.uploadarchive.raw/RTDC4004/ "%USERPROFILE%\AppData\Local\Temp\OnboardLogs"\RTDC4004\2017-05-11 --exclude "*" --recursive --include "*20170511*" &amp; "%USERPROFILE%\Documents\GitHub\mrs-test-scripts\Headless Mode &amp; Sideloading\WalkAndUnGZ.bat" "%USERPROFILE%\AppData\Local\Temp\OnboardLogs"\RTDC4004\2017-05-11 &amp; aws s3 cp s3://rtdc.mdm.uploadarchive.raw/RTDC4004/ "%USERPROFILE%\AppData\Local\Temp\OnboardLogs"\RTDC4004\2017-05-12 --exclude "*" --recursive --include "*20170512*" &amp; "%USERPROFILE%\Documents\GitHub\mrs-test-scripts\Headless Mode &amp; Sideloading\WalkAndUnGZ.bat" "%USERPROFILE%\AppData\Local\Temp\OnboardLogs"\RTDC4004\2017-05-12</v>
      </c>
      <c r="AF122" s="77" t="str">
        <f t="shared" si="53"/>
        <v>"C:\Program Files (x86)\AstroGrep\AstroGrep.exe" /e /r /s /spath="%USERPROFILE%\AppData\Local\Temp\OnboardLogs" /stypes="app*4004*20170512*" /stext=" 05:.+((SYSTEM_STATE.+slice.+state.+changed )|(ment ac)|(multiple cpu faults)|(system.+state.+changed )|(\[timeout)|(PRM\|1\|D)|(kpr)|(kdp)|(train st.+moving)|(\|lc)|(penalty))"</v>
      </c>
      <c r="AG122" s="1" t="str">
        <f t="shared" si="54"/>
        <v>EC</v>
      </c>
      <c r="AH122" s="81" t="str">
        <f t="shared" si="55"/>
        <v>"%USERPROFILE%\Documents\GitHub\eaglep3\Utilities\RefineRTDCRunTimes.py" --tripid 235-11 --locoid 4004 --swversion DE.1.0.9.0 --startMP 204:471 --initTime 2017-05-11T22:25:46 --startdatetime 2017-05-11T22:30:24 --delay 1 --endMP 204:233417 --enddatetime 2017-05-11T23:08:42 --enforcementcount 0 &gt;&gt;C:\Users\stu\Documents\GitHub\eaglep3-reporting\EC\2017-05-11-refined-times.txt</v>
      </c>
      <c r="AI122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{"issue":{"subject":"","project_id":79,"tracker_id":40,"status_id":1,"priority_id":2,"assigned_to_id":23,"start_date":"2017-05-11","description":"","custom_fields":[{"id":1,"name":"Subdivision","value":"EC"},{"id":4,"name":"Milepost","value":"23.3417"},{"id":17,"name":"Train ID","value":"235-11"},{"id":16,"name":"Locomotive ID","value":"4004"},{"id":130,"name":"Impact","value":""},{"id":150,"name":"Time of Event (Mountain Time)","value":"23:08:42"},{"id":151,"name":"Denver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57"/>
        <v>start /low /b %USERPROFILE%\Documents\GitHub\eaglep3\Utilities\DownloadLogsFromS3.py --loco 4004 --day 2017-05-11</v>
      </c>
      <c r="AN122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05:08:42"},{"id":29,"name":"Sharepoint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790</v>
      </c>
      <c r="B123" s="7">
        <v>4003</v>
      </c>
      <c r="C123" s="21" t="s">
        <v>206</v>
      </c>
      <c r="D123" s="21" t="s">
        <v>893</v>
      </c>
      <c r="E123" s="13">
        <v>42866.967245370368</v>
      </c>
      <c r="F123" s="13">
        <v>42866.976770833331</v>
      </c>
      <c r="G123" s="7">
        <v>1</v>
      </c>
      <c r="H123" s="21" t="s">
        <v>373</v>
      </c>
      <c r="I123" s="13">
        <v>42867.005023148151</v>
      </c>
      <c r="J123" s="7">
        <v>0</v>
      </c>
      <c r="K123" s="92" t="str">
        <f t="shared" si="44"/>
        <v>4003/4004</v>
      </c>
      <c r="L123" s="21" t="str">
        <f>VLOOKUP(A123,'Trips&amp;Operators'!$C$1:$G$99999,5,FALSE)</f>
        <v>SWANSON BRYCE</v>
      </c>
      <c r="M123" s="6">
        <f t="shared" si="45"/>
        <v>2.825231481983792E-2</v>
      </c>
      <c r="N123" s="7">
        <f t="shared" si="60"/>
        <v>40.683333340566605</v>
      </c>
      <c r="O123" s="7"/>
      <c r="P123" s="7"/>
      <c r="Q123" s="22"/>
      <c r="R123" s="190"/>
      <c r="S123" s="196">
        <f t="shared" si="61"/>
        <v>1</v>
      </c>
      <c r="T123" s="190" t="str">
        <f t="shared" si="46"/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47"/>
        <v>https://d0f6bd738d7f1b3e5a7ca70fe4ff75f0.us-east-1.aws.found.io/app/kibana#/discover/Steve-Slow-Train-Analysis-(2080s-and-2083s)?_g=(refreshInterval:(display:Off,pause:!f,section:0,value:0),time:(from:'2017-05-11T22:12:50-0600',mode:absolute,to:'2017-05-12T01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3" s="192" t="str">
        <f t="shared" si="48"/>
        <v>N</v>
      </c>
      <c r="X123" s="192">
        <f t="shared" si="62"/>
        <v>1</v>
      </c>
      <c r="Y123" s="192">
        <f t="shared" si="49"/>
        <v>23.3125</v>
      </c>
      <c r="Z123" s="192">
        <f t="shared" si="59"/>
        <v>1.3899999999999999E-2</v>
      </c>
      <c r="AA123" s="192">
        <f t="shared" si="50"/>
        <v>23.2986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51"/>
        <v>0236-11</v>
      </c>
      <c r="AE123" s="80" t="str">
        <f t="shared" si="52"/>
        <v>aws s3 cp s3://rtdc.mdm.uploadarchive.raw/RTDC4003/ "%USERPROFILE%\AppData\Local\Temp\OnboardLogs"\RTDC4003\2017-05-11 --exclude "*" --recursive --include "*20170511*" &amp; "%USERPROFILE%\Documents\GitHub\mrs-test-scripts\Headless Mode &amp; Sideloading\WalkAndUnGZ.bat" "%USERPROFILE%\AppData\Local\Temp\OnboardLogs"\RTDC4003\2017-05-11 &amp; aws s3 cp s3://rtdc.mdm.uploadarchive.raw/RTDC4003/ "%USERPROFILE%\AppData\Local\Temp\OnboardLogs"\RTDC4003\2017-05-12 --exclude "*" --recursive --include "*20170512*" &amp; "%USERPROFILE%\Documents\GitHub\mrs-test-scripts\Headless Mode &amp; Sideloading\WalkAndUnGZ.bat" "%USERPROFILE%\AppData\Local\Temp\OnboardLogs"\RTDC4003\2017-05-12</v>
      </c>
      <c r="AF123" s="77" t="str">
        <f t="shared" si="53"/>
        <v>"C:\Program Files (x86)\AstroGrep\AstroGrep.exe" /e /r /s /spath="%USERPROFILE%\AppData\Local\Temp\OnboardLogs" /stypes="app*4003*20170512*" /stext=" 06:.+((SYSTEM_STATE.+slice.+state.+changed )|(ment ac)|(multiple cpu faults)|(system.+state.+changed )|(\[timeout)|(PRM\|1\|D)|(kpr)|(kdp)|(train st.+moving)|(\|lc)|(penalty))"</v>
      </c>
      <c r="AG123" s="1" t="str">
        <f t="shared" si="54"/>
        <v>EC</v>
      </c>
      <c r="AH123" s="81" t="str">
        <f t="shared" si="55"/>
        <v>"%USERPROFILE%\Documents\GitHub\eaglep3\Utilities\RefineRTDCRunTimes.py" --tripid 236-11 --locoid 4003 --swversion DE.1.0.9.0 --startMP 204:233125 --initTime 2017-05-11T23:12:50 --startdatetime 2017-05-11T23:26:33 --delay 1 --endMP 204:139 --enddatetime 2017-05-12T00:07:14 --enforcementcount 0 &gt;&gt;C:\Users\stu\Documents\GitHub\eaglep3-reporting\EC\2017-05-11-refined-times.txt</v>
      </c>
      <c r="AI123" s="99" t="str">
        <f t="shared" si="56"/>
        <v>echo {"issue":{"subject":"","project_id":79,"tracker_id":40,"status_id":1,"priority_id":2,"assigned_to_id":23,"start_date":"2017-05-12","description":"","custom_fields":[{"id":1,"name":"Subdivision","value":"EC"},{"id":4,"name":"Milepost","value":"0.0139"},{"id":17,"name":"Train ID","value":"236-11"},{"id":16,"name":"Locomotive ID","value":"4003"},{"id":130,"name":"Impact","value":""},{"id":150,"name":"Time of Event (Mountain Time)","value":"00:07:14"},{"id":151,"name":"Denver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57"/>
        <v>start /low /b %USERPROFILE%\Documents\GitHub\eaglep3\Utilities\DownloadLogsFromS3.py --loco 4003 --day 2017-05-11</v>
      </c>
      <c r="AN123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06:07:14"},{"id":29,"name":"Sharepoint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789</v>
      </c>
      <c r="B124" s="7">
        <v>4042</v>
      </c>
      <c r="C124" s="21" t="s">
        <v>206</v>
      </c>
      <c r="D124" s="21" t="s">
        <v>449</v>
      </c>
      <c r="E124" s="13">
        <v>42866.957002314812</v>
      </c>
      <c r="F124" s="13">
        <v>42866.958553240744</v>
      </c>
      <c r="G124" s="7">
        <v>1</v>
      </c>
      <c r="H124" s="21" t="s">
        <v>894</v>
      </c>
      <c r="I124" s="13">
        <v>42866.983657407407</v>
      </c>
      <c r="J124" s="7">
        <v>0</v>
      </c>
      <c r="K124" s="92" t="str">
        <f t="shared" si="44"/>
        <v>4041/4042</v>
      </c>
      <c r="L124" s="21" t="str">
        <f>VLOOKUP(A124,'Trips&amp;Operators'!$C$1:$G$99999,5,FALSE)</f>
        <v>CHANDLER KELVIN</v>
      </c>
      <c r="M124" s="6">
        <f t="shared" si="45"/>
        <v>2.5104166663368233E-2</v>
      </c>
      <c r="N124" s="7">
        <f t="shared" si="60"/>
        <v>36.149999995250255</v>
      </c>
      <c r="O124" s="7"/>
      <c r="P124" s="7"/>
      <c r="Q124" s="22"/>
      <c r="R124" s="190"/>
      <c r="S124" s="196">
        <f t="shared" si="61"/>
        <v>1</v>
      </c>
      <c r="T124" s="190" t="str">
        <f t="shared" si="46"/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47"/>
        <v>https://d0f6bd738d7f1b3e5a7ca70fe4ff75f0.us-east-1.aws.found.io/app/kibana#/discover/Steve-Slow-Train-Analysis-(2080s-and-2083s)?_g=(refreshInterval:(display:Off,pause:!f,section:0,value:0),time:(from:'2017-05-11T21:58:05-0600',mode:absolute,to:'2017-05-12T00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4" s="192" t="str">
        <f t="shared" si="48"/>
        <v>N</v>
      </c>
      <c r="X124" s="192">
        <f t="shared" si="62"/>
        <v>1</v>
      </c>
      <c r="Y124" s="192">
        <f t="shared" si="49"/>
        <v>4.7699999999999999E-2</v>
      </c>
      <c r="Z124" s="192">
        <f t="shared" si="59"/>
        <v>23.328399999999998</v>
      </c>
      <c r="AA124" s="192">
        <f t="shared" si="50"/>
        <v>23.2807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51"/>
        <v>0237-11</v>
      </c>
      <c r="AE124" s="80" t="str">
        <f t="shared" si="52"/>
        <v>aws s3 cp s3://rtdc.mdm.uploadarchive.raw/RTDC4042/ "%USERPROFILE%\AppData\Local\Temp\OnboardLogs"\RTDC4042\2017-05-11 --exclude "*" --recursive --include "*20170511*" &amp; "%USERPROFILE%\Documents\GitHub\mrs-test-scripts\Headless Mode &amp; Sideloading\WalkAndUnGZ.bat" "%USERPROFILE%\AppData\Local\Temp\OnboardLogs"\RTDC4042\2017-05-11 &amp; 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</v>
      </c>
      <c r="AF124" s="77" t="str">
        <f t="shared" si="53"/>
        <v>"C:\Program Files (x86)\AstroGrep\AstroGrep.exe" /e /r /s /spath="%USERPROFILE%\AppData\Local\Temp\OnboardLogs" /stypes="app*4042*20170512*" /stext=" 05:.+((SYSTEM_STATE.+slice.+state.+changed )|(ment ac)|(multiple cpu faults)|(system.+state.+changed )|(\[timeout)|(PRM\|1\|D)|(kpr)|(kdp)|(train st.+moving)|(\|lc)|(penalty))"</v>
      </c>
      <c r="AG124" s="1" t="str">
        <f t="shared" si="54"/>
        <v>EC</v>
      </c>
      <c r="AH124" s="81" t="str">
        <f t="shared" si="55"/>
        <v>"%USERPROFILE%\Documents\GitHub\eaglep3\Utilities\RefineRTDCRunTimes.py" --tripid 237-11 --locoid 4042 --swversion DE.1.0.9.0 --startMP 204:477 --initTime 2017-05-11T22:58:05 --startdatetime 2017-05-11T23:00:19 --delay 1 --endMP 204:233284 --enddatetime 2017-05-11T23:36:28 --enforcementcount 0 &gt;&gt;C:\Users\stu\Documents\GitHub\eaglep3-reporting\EC\2017-05-11-refined-times.txt</v>
      </c>
      <c r="AI124" s="99" t="str">
        <f t="shared" si="56"/>
        <v>echo {"issue":{"subject":"","project_id":79,"tracker_id":40,"status_id":1,"priority_id":2,"assigned_to_id":23,"start_date":"2017-05-11","description":"","custom_fields":[{"id":1,"name":"Subdivision","value":"EC"},{"id":4,"name":"Milepost","value":"23.3284"},{"id":17,"name":"Train ID","value":"237-11"},{"id":16,"name":"Locomotive ID","value":"4042"},{"id":130,"name":"Impact","value":""},{"id":150,"name":"Time of Event (Mountain Time)","value":"23:36:28"},{"id":151,"name":"Denver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57"/>
        <v>start /low /b %USERPROFILE%\Documents\GitHub\eaglep3\Utilities\DownloadLogsFromS3.py --loco 4042 --day 2017-05-11</v>
      </c>
      <c r="AN124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05:36:28"},{"id":29,"name":"Sharepoint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792</v>
      </c>
      <c r="B125" s="7">
        <v>4041</v>
      </c>
      <c r="C125" s="21" t="s">
        <v>206</v>
      </c>
      <c r="D125" s="21" t="s">
        <v>523</v>
      </c>
      <c r="E125" s="13">
        <v>42866.995729166665</v>
      </c>
      <c r="F125" s="13">
        <v>42866.997453703705</v>
      </c>
      <c r="G125" s="7">
        <v>1</v>
      </c>
      <c r="H125" s="21" t="s">
        <v>368</v>
      </c>
      <c r="I125" s="13">
        <v>42867.025104166663</v>
      </c>
      <c r="J125" s="7">
        <v>0</v>
      </c>
      <c r="K125" s="92" t="str">
        <f t="shared" si="44"/>
        <v>4041/4042</v>
      </c>
      <c r="L125" s="21" t="str">
        <f>VLOOKUP(A125,'Trips&amp;Operators'!$C$1:$G$99999,5,FALSE)</f>
        <v>CHANDLER KELVIN</v>
      </c>
      <c r="M125" s="6">
        <f t="shared" si="45"/>
        <v>2.7650462958263233E-2</v>
      </c>
      <c r="N125" s="7">
        <f t="shared" si="60"/>
        <v>39.816666659899056</v>
      </c>
      <c r="O125" s="7"/>
      <c r="P125" s="7"/>
      <c r="Q125" s="22"/>
      <c r="R125" s="190"/>
      <c r="S125" s="196">
        <f t="shared" si="61"/>
        <v>1</v>
      </c>
      <c r="T125" s="190" t="str">
        <f t="shared" si="46"/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47"/>
        <v>https://d0f6bd738d7f1b3e5a7ca70fe4ff75f0.us-east-1.aws.found.io/app/kibana#/discover/Steve-Slow-Train-Analysis-(2080s-and-2083s)?_g=(refreshInterval:(display:Off,pause:!f,section:0,value:0),time:(from:'2017-05-11T22:53:51-0600',mode:absolute,to:'2017-05-12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5" s="192" t="str">
        <f t="shared" si="48"/>
        <v>N</v>
      </c>
      <c r="X125" s="192">
        <f t="shared" si="62"/>
        <v>1</v>
      </c>
      <c r="Y125" s="192">
        <f t="shared" si="49"/>
        <v>23.296900000000001</v>
      </c>
      <c r="Z125" s="192">
        <f t="shared" si="59"/>
        <v>1.5599999999999999E-2</v>
      </c>
      <c r="AA125" s="192">
        <f t="shared" si="50"/>
        <v>23.281300000000002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51"/>
        <v>0238-11</v>
      </c>
      <c r="AE125" s="80" t="str">
        <f t="shared" si="52"/>
        <v>aws s3 cp s3://rtdc.mdm.uploadarchive.raw/RTDC4041/ "%USERPROFILE%\AppData\Local\Temp\OnboardLogs"\RTDC4041\2017-05-11 --exclude "*" --recursive --include "*20170511*" &amp; "%USERPROFILE%\Documents\GitHub\mrs-test-scripts\Headless Mode &amp; Sideloading\WalkAndUnGZ.bat" "%USERPROFILE%\AppData\Local\Temp\OnboardLogs"\RTDC4041\2017-05-11 &amp; aws s3 cp s3://rtdc.mdm.uploadarchive.raw/RTDC4041/ "%USERPROFILE%\AppData\Local\Temp\OnboardLogs"\RTDC4041\2017-05-12 --exclude "*" --recursive --include "*20170512*" &amp; "%USERPROFILE%\Documents\GitHub\mrs-test-scripts\Headless Mode &amp; Sideloading\WalkAndUnGZ.bat" "%USERPROFILE%\AppData\Local\Temp\OnboardLogs"\RTDC4041\2017-05-12</v>
      </c>
      <c r="AF125" s="77" t="str">
        <f t="shared" si="53"/>
        <v>"C:\Program Files (x86)\AstroGrep\AstroGrep.exe" /e /r /s /spath="%USERPROFILE%\AppData\Local\Temp\OnboardLogs" /stypes="app*4041*20170512*" /stext=" 06:.+((SYSTEM_STATE.+slice.+state.+changed )|(ment ac)|(multiple cpu faults)|(system.+state.+changed )|(\[timeout)|(PRM\|1\|D)|(kpr)|(kdp)|(train st.+moving)|(\|lc)|(penalty))"</v>
      </c>
      <c r="AG125" s="1" t="str">
        <f t="shared" si="54"/>
        <v>EC</v>
      </c>
      <c r="AH125" s="81" t="str">
        <f t="shared" si="55"/>
        <v>"%USERPROFILE%\Documents\GitHub\eaglep3\Utilities\RefineRTDCRunTimes.py" --tripid 238-11 --locoid 4041 --swversion DE.1.0.9.0 --startMP 204:232969 --initTime 2017-05-11T23:53:51 --startdatetime 2017-05-11T23:56:20 --delay 1 --endMP 204:156 --enddatetime 2017-05-12T00:36:09 --enforcementcount 0 &gt;&gt;C:\Users\stu\Documents\GitHub\eaglep3-reporting\EC\2017-05-11-refined-times.txt</v>
      </c>
      <c r="AI125" s="99" t="str">
        <f t="shared" si="56"/>
        <v>echo {"issue":{"subject":"","project_id":79,"tracker_id":40,"status_id":1,"priority_id":2,"assigned_to_id":23,"start_date":"2017-05-12","description":"","custom_fields":[{"id":1,"name":"Subdivision","value":"EC"},{"id":4,"name":"Milepost","value":"0.0156"},{"id":17,"name":"Train ID","value":"238-11"},{"id":16,"name":"Locomotive ID","value":"4041"},{"id":130,"name":"Impact","value":""},{"id":150,"name":"Time of Event (Mountain Time)","value":"00:36:09"},{"id":151,"name":"Denver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57"/>
        <v>start /low /b %USERPROFILE%\Documents\GitHub\eaglep3\Utilities\DownloadLogsFromS3.py --loco 4041 --day 2017-05-11</v>
      </c>
      <c r="AN125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791</v>
      </c>
      <c r="B126" s="7">
        <v>4028</v>
      </c>
      <c r="C126" s="21" t="s">
        <v>206</v>
      </c>
      <c r="D126" s="21" t="s">
        <v>379</v>
      </c>
      <c r="E126" s="13">
        <v>42866.975104166668</v>
      </c>
      <c r="F126" s="13">
        <v>42866.979386574072</v>
      </c>
      <c r="G126" s="7">
        <v>1</v>
      </c>
      <c r="H126" s="21" t="s">
        <v>895</v>
      </c>
      <c r="I126" s="13">
        <v>42867.003993055558</v>
      </c>
      <c r="J126" s="7">
        <v>0</v>
      </c>
      <c r="K126" s="92" t="str">
        <f t="shared" si="44"/>
        <v>4027/4028</v>
      </c>
      <c r="L126" s="21" t="str">
        <f>VLOOKUP(A126,'Trips&amp;Operators'!$C$1:$G$99999,5,FALSE)</f>
        <v>NEWELL JAMES</v>
      </c>
      <c r="M126" s="6">
        <f t="shared" si="45"/>
        <v>2.4606481485534459E-2</v>
      </c>
      <c r="N126" s="7">
        <f t="shared" si="60"/>
        <v>35.433333339169621</v>
      </c>
      <c r="O126" s="7"/>
      <c r="P126" s="7"/>
      <c r="Q126" s="22"/>
      <c r="R126" s="190"/>
      <c r="S126" s="196">
        <f t="shared" si="61"/>
        <v>1</v>
      </c>
      <c r="T126" s="190" t="str">
        <f t="shared" si="46"/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47"/>
        <v>https://d0f6bd738d7f1b3e5a7ca70fe4ff75f0.us-east-1.aws.found.io/app/kibana#/discover/Steve-Slow-Train-Analysis-(2080s-and-2083s)?_g=(refreshInterval:(display:Off,pause:!f,section:0,value:0),time:(from:'2017-05-11T22:24:09-0600',mode:absolute,to:'2017-05-12T01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6" s="192" t="str">
        <f t="shared" si="48"/>
        <v>N</v>
      </c>
      <c r="X126" s="192">
        <f t="shared" si="62"/>
        <v>1</v>
      </c>
      <c r="Y126" s="192">
        <f t="shared" si="49"/>
        <v>4.3700000000000003E-2</v>
      </c>
      <c r="Z126" s="192">
        <f t="shared" si="59"/>
        <v>23.332699999999999</v>
      </c>
      <c r="AA126" s="192">
        <f t="shared" si="50"/>
        <v>23.288999999999998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51"/>
        <v>0239-11</v>
      </c>
      <c r="AE126" s="80" t="str">
        <f t="shared" si="52"/>
        <v>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 &amp; aws s3 cp s3://rtdc.mdm.uploadarchive.raw/RTDC4028/ "%USERPROFILE%\AppData\Local\Temp\OnboardLogs"\RTDC4028\2017-05-12 --exclude "*" --recursive --include "*20170512*" &amp; "%USERPROFILE%\Documents\GitHub\mrs-test-scripts\Headless Mode &amp; Sideloading\WalkAndUnGZ.bat" "%USERPROFILE%\AppData\Local\Temp\OnboardLogs"\RTDC4028\2017-05-12</v>
      </c>
      <c r="AF126" s="77" t="str">
        <f t="shared" si="53"/>
        <v>"C:\Program Files (x86)\AstroGrep\AstroGrep.exe" /e /r /s /spath="%USERPROFILE%\AppData\Local\Temp\OnboardLogs" /stypes="app*4028*20170512*" /stext=" 06:.+((SYSTEM_STATE.+slice.+state.+changed )|(ment ac)|(multiple cpu faults)|(system.+state.+changed )|(\[timeout)|(PRM\|1\|D)|(kpr)|(kdp)|(train st.+moving)|(\|lc)|(penalty))"</v>
      </c>
      <c r="AG126" s="1" t="str">
        <f t="shared" si="54"/>
        <v>EC</v>
      </c>
      <c r="AH126" s="81" t="str">
        <f t="shared" si="55"/>
        <v>"%USERPROFILE%\Documents\GitHub\eaglep3\Utilities\RefineRTDCRunTimes.py" --tripid 239-11 --locoid 4028 --swversion DE.1.0.9.0 --startMP 204:437 --initTime 2017-05-11T23:24:09 --startdatetime 2017-05-11T23:30:19 --delay 1 --endMP 204:233327 --enddatetime 2017-05-12T00:05:45 --enforcementcount 0 &gt;&gt;C:\Users\stu\Documents\GitHub\eaglep3-reporting\EC\2017-05-11-refined-times.txt</v>
      </c>
      <c r="AI126" s="99" t="str">
        <f t="shared" si="56"/>
        <v>echo {"issue":{"subject":"","project_id":79,"tracker_id":40,"status_id":1,"priority_id":2,"assigned_to_id":23,"start_date":"2017-05-12","description":"","custom_fields":[{"id":1,"name":"Subdivision","value":"EC"},{"id":4,"name":"Milepost","value":"23.3327"},{"id":17,"name":"Train ID","value":"239-11"},{"id":16,"name":"Locomotive ID","value":"4028"},{"id":130,"name":"Impact","value":""},{"id":150,"name":"Time of Event (Mountain Time)","value":"00:05:45"},{"id":151,"name":"Denver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57"/>
        <v>start /low /b %USERPROFILE%\Documents\GitHub\eaglep3\Utilities\DownloadLogsFromS3.py --loco 4028 --day 2017-05-11</v>
      </c>
      <c r="AN126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06:05:45"},{"id":29,"name":"Sharepoint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795</v>
      </c>
      <c r="B127" s="7">
        <v>4027</v>
      </c>
      <c r="C127" s="21" t="s">
        <v>206</v>
      </c>
      <c r="D127" s="21" t="s">
        <v>896</v>
      </c>
      <c r="E127" s="13">
        <v>42867.030868055554</v>
      </c>
      <c r="F127" s="13">
        <v>42867.032152777778</v>
      </c>
      <c r="G127" s="7">
        <v>1</v>
      </c>
      <c r="H127" s="21" t="s">
        <v>354</v>
      </c>
      <c r="I127" s="13">
        <v>42867.048391203702</v>
      </c>
      <c r="J127" s="7">
        <v>0</v>
      </c>
      <c r="K127" s="92" t="str">
        <f t="shared" si="44"/>
        <v>4027/4028</v>
      </c>
      <c r="L127" s="21" t="str">
        <f>VLOOKUP(A127,'Trips&amp;Operators'!$C$1:$G$99999,5,FALSE)</f>
        <v>NEWELL JAMES</v>
      </c>
      <c r="M127" s="6">
        <f t="shared" si="45"/>
        <v>1.6238425923802424E-2</v>
      </c>
      <c r="N127" s="7"/>
      <c r="O127" s="7"/>
      <c r="P127" s="7">
        <f t="shared" si="60"/>
        <v>23.383333330275491</v>
      </c>
      <c r="Q127" s="22"/>
      <c r="R127" s="190" t="s">
        <v>1048</v>
      </c>
      <c r="S127" s="196">
        <f t="shared" si="61"/>
        <v>1</v>
      </c>
      <c r="T127" s="190" t="str">
        <f t="shared" si="46"/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47"/>
        <v>https://d0f6bd738d7f1b3e5a7ca70fe4ff75f0.us-east-1.aws.found.io/app/kibana#/discover/Steve-Slow-Train-Analysis-(2080s-and-2083s)?_g=(refreshInterval:(display:Off,pause:!f,section:0,value:0),time:(from:'2017-05-11T23:44:27-0600',mode:absolute,to:'2017-05-12T02:09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7" s="192" t="str">
        <f t="shared" si="48"/>
        <v>Y</v>
      </c>
      <c r="X127" s="192">
        <f t="shared" si="62"/>
        <v>1</v>
      </c>
      <c r="Y127" s="192">
        <f t="shared" si="49"/>
        <v>12.786899999999999</v>
      </c>
      <c r="Z127" s="192">
        <f t="shared" ref="Z127:Z156" si="63">RIGHT(H127,LEN(H127)-4)/10000</f>
        <v>1.6E-2</v>
      </c>
      <c r="AA127" s="192">
        <f t="shared" si="50"/>
        <v>12.770899999999999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51"/>
        <v>0240-11</v>
      </c>
      <c r="AE127" s="80" t="str">
        <f t="shared" si="52"/>
        <v>aws s3 cp s3://rtdc.mdm.uploadarchive.raw/RTDC4027/ "%USERPROFILE%\AppData\Local\Temp\OnboardLogs"\RTDC4027\2017-05-12 --exclude "*" --recursive --include "*20170512*" &amp; "%USERPROFILE%\Documents\GitHub\mrs-test-scripts\Headless Mode &amp; Sideloading\WalkAndUnGZ.bat" "%USERPROFILE%\AppData\Local\Temp\OnboardLogs"\RTDC4027\2017-05-12 &amp; aws s3 cp s3://rtdc.mdm.uploadarchive.raw/RTDC4027/ "%USERPROFILE%\AppData\Local\Temp\OnboardLogs"\RTDC4027\2017-05-13 --exclude "*" --recursive --include "*20170513*" &amp; "%USERPROFILE%\Documents\GitHub\mrs-test-scripts\Headless Mode &amp; Sideloading\WalkAndUnGZ.bat" "%USERPROFILE%\AppData\Local\Temp\OnboardLogs"\RTDC4027\2017-05-13</v>
      </c>
      <c r="AF127" s="77" t="str">
        <f t="shared" si="53"/>
        <v>"C:\Program Files (x86)\AstroGrep\AstroGrep.exe" /e /r /s /spath="%USERPROFILE%\AppData\Local\Temp\OnboardLogs" /stypes="app*4027*20170512*" /stext=" 07:.+((SYSTEM_STATE.+slice.+state.+changed )|(ment ac)|(multiple cpu faults)|(system.+state.+changed )|(\[timeout)|(PRM\|1\|D)|(kpr)|(kdp)|(train st.+moving)|(\|lc)|(penalty))"</v>
      </c>
      <c r="AG127" s="1" t="str">
        <f t="shared" si="54"/>
        <v>EC</v>
      </c>
      <c r="AH127" s="81" t="str">
        <f t="shared" si="55"/>
        <v>"%USERPROFILE%\Documents\GitHub\eaglep3\Utilities\RefineRTDCRunTimes.py" --tripid 240-11 --locoid 4027 --swversion DE.1.0.9.0 --startMP 204:127869 --initTime 2017-05-12T00:44:27 --startdatetime 2017-05-12T00:46:18 --delay 1 --endMP 204:160 --enddatetime 2017-05-12T01:09:41 --enforcementcount 0 &gt;&gt;C:\Users\stu\Documents\GitHub\eaglep3-reporting\EC\2017-05-11-refined-times.txt</v>
      </c>
      <c r="AI127" s="99" t="str">
        <f t="shared" si="56"/>
        <v>echo {"issue":{"subject":"Onboard in-route failure","project_id":79,"tracker_id":40,"status_id":1,"priority_id":2,"assigned_to_id":23,"start_date":"2017-05-12","description":"","custom_fields":[{"id":1,"name":"Subdivision","value":"EC"},{"id":4,"name":"Milepost","value":"0.016"},{"id":17,"name":"Train ID","value":"240-11"},{"id":16,"name":"Locomotive ID","value":"4027"},{"id":130,"name":"Impact","value":""},{"id":150,"name":"Time of Event (Mountain Time)","value":"01:09:41"},{"id":151,"name":"Denver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57"/>
        <v>start /low /b %USERPROFILE%\Documents\GitHub\eaglep3\Utilities\DownloadLogsFromS3.py --loco 4027 --day 2017-05-12</v>
      </c>
      <c r="AN127" s="154" t="str">
        <f t="shared" si="58"/>
        <v>echo {"issue":{"subject":"Onboard in-route failure","project_id":30,"tracker_id":4,"status_id":1,"priority_id":1,"assigned_to_id":10,"start_date":"2017-05-12","description":"","custom_fields":[{"id":30,"name":"Category","value":"Issue"},{"id":3,"name":"Functional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07:09:41"},{"id":29,"name":"Sharepoint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793</v>
      </c>
      <c r="B128" s="7">
        <v>4002</v>
      </c>
      <c r="C128" s="21" t="s">
        <v>206</v>
      </c>
      <c r="D128" s="21" t="s">
        <v>441</v>
      </c>
      <c r="E128" s="13">
        <v>42866.997175925928</v>
      </c>
      <c r="F128" s="13">
        <v>42867.000127314815</v>
      </c>
      <c r="G128" s="7">
        <v>1</v>
      </c>
      <c r="H128" s="21" t="s">
        <v>897</v>
      </c>
      <c r="I128" s="13">
        <v>42867.026018518518</v>
      </c>
      <c r="J128" s="7">
        <v>0</v>
      </c>
      <c r="K128" s="92" t="str">
        <f t="shared" si="44"/>
        <v>4001/4002</v>
      </c>
      <c r="L128" s="21" t="str">
        <f>VLOOKUP(A128,'Trips&amp;Operators'!$C$1:$G$99999,5,FALSE)</f>
        <v>BROWN JACOB</v>
      </c>
      <c r="M128" s="6">
        <f t="shared" si="45"/>
        <v>2.5891203702485655E-2</v>
      </c>
      <c r="N128" s="7">
        <f t="shared" si="60"/>
        <v>37.283333331579342</v>
      </c>
      <c r="O128" s="7"/>
      <c r="P128" s="7"/>
      <c r="Q128" s="22"/>
      <c r="R128" s="190"/>
      <c r="S128" s="196">
        <f t="shared" si="61"/>
        <v>1</v>
      </c>
      <c r="T128" s="190" t="str">
        <f t="shared" si="46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47"/>
        <v>https://d0f6bd738d7f1b3e5a7ca70fe4ff75f0.us-east-1.aws.found.io/app/kibana#/discover/Steve-Slow-Train-Analysis-(2080s-and-2083s)?_g=(refreshInterval:(display:Off,pause:!f,section:0,value:0),time:(from:'2017-05-11T22:55:56-0600',mode:absolute,to:'2017-05-12T01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8" s="192" t="str">
        <f t="shared" si="48"/>
        <v>N</v>
      </c>
      <c r="X128" s="192">
        <f t="shared" si="62"/>
        <v>1</v>
      </c>
      <c r="Y128" s="192">
        <f t="shared" si="49"/>
        <v>4.6199999999999998E-2</v>
      </c>
      <c r="Z128" s="192">
        <f t="shared" si="63"/>
        <v>23.3307</v>
      </c>
      <c r="AA128" s="192">
        <f t="shared" si="50"/>
        <v>23.284500000000001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51"/>
        <v>0241-11</v>
      </c>
      <c r="AE128" s="80" t="str">
        <f t="shared" si="52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28" s="77" t="str">
        <f t="shared" si="53"/>
        <v>"C:\Program Files (x86)\AstroGrep\AstroGrep.exe" /e /r /s /spath="%USERPROFILE%\AppData\Local\Temp\OnboardLogs" /stypes="app*4002*20170512*" /stext=" 06:.+((SYSTEM_STATE.+slice.+state.+changed )|(ment ac)|(multiple cpu faults)|(system.+state.+changed )|(\[timeout)|(PRM\|1\|D)|(kpr)|(kdp)|(train st.+moving)|(\|lc)|(penalty))"</v>
      </c>
      <c r="AG128" s="1" t="str">
        <f t="shared" si="54"/>
        <v>EC</v>
      </c>
      <c r="AH128" s="81" t="str">
        <f t="shared" si="55"/>
        <v>"%USERPROFILE%\Documents\GitHub\eaglep3\Utilities\RefineRTDCRunTimes.py" --tripid 241-11 --locoid 4002 --swversion DE.1.0.9.0 --startMP 204:462 --initTime 2017-05-11T23:55:56 --startdatetime 2017-05-12T00:00:11 --delay 1 --endMP 204:233307 --enddatetime 2017-05-12T00:37:28 --enforcementcount 0 &gt;&gt;C:\Users\stu\Documents\GitHub\eaglep3-reporting\EC\2017-05-11-refined-times.txt</v>
      </c>
      <c r="AI128" s="99" t="str">
        <f t="shared" si="56"/>
        <v>echo {"issue":{"subject":"","project_id":79,"tracker_id":40,"status_id":1,"priority_id":2,"assigned_to_id":23,"start_date":"2017-05-12","description":"","custom_fields":[{"id":1,"name":"Subdivision","value":"EC"},{"id":4,"name":"Milepost","value":"23.3307"},{"id":17,"name":"Train ID","value":"241-11"},{"id":16,"name":"Locomotive ID","value":"4002"},{"id":130,"name":"Impact","value":""},{"id":150,"name":"Time of Event (Mountain Time)","value":"00:37:28"},{"id":151,"name":"Denver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57"/>
        <v>start /low /b %USERPROFILE%\Documents\GitHub\eaglep3\Utilities\DownloadLogsFromS3.py --loco 4002 --day 2017-05-12</v>
      </c>
      <c r="AN128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06:37:28"},{"id":29,"name":"Sharepoint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797</v>
      </c>
      <c r="B129" s="7">
        <v>4001</v>
      </c>
      <c r="C129" s="21" t="s">
        <v>206</v>
      </c>
      <c r="D129" s="21" t="s">
        <v>396</v>
      </c>
      <c r="E129" s="13">
        <v>42867.03634259259</v>
      </c>
      <c r="F129" s="13">
        <v>42867.0390625</v>
      </c>
      <c r="G129" s="7">
        <v>1</v>
      </c>
      <c r="H129" s="21" t="s">
        <v>871</v>
      </c>
      <c r="I129" s="13">
        <v>42867.066678240742</v>
      </c>
      <c r="J129" s="7">
        <v>0</v>
      </c>
      <c r="K129" s="92" t="str">
        <f t="shared" si="44"/>
        <v>4001/4002</v>
      </c>
      <c r="L129" s="21" t="str">
        <f>VLOOKUP(A129,'Trips&amp;Operators'!$C$1:$G$99999,5,FALSE)</f>
        <v>BROWN JACOB</v>
      </c>
      <c r="M129" s="6">
        <f t="shared" si="45"/>
        <v>2.7615740742476191E-2</v>
      </c>
      <c r="N129" s="7">
        <f t="shared" ref="N129:N160" si="64">24*60*SUM($M129:$M129)</f>
        <v>39.766666669165716</v>
      </c>
      <c r="O129" s="7"/>
      <c r="P129" s="7"/>
      <c r="Q129" s="22"/>
      <c r="R129" s="190"/>
      <c r="S129" s="196">
        <f t="shared" si="61"/>
        <v>1</v>
      </c>
      <c r="T129" s="190" t="str">
        <f t="shared" si="46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47"/>
        <v>https://d0f6bd738d7f1b3e5a7ca70fe4ff75f0.us-east-1.aws.found.io/app/kibana#/discover/Steve-Slow-Train-Analysis-(2080s-and-2083s)?_g=(refreshInterval:(display:Off,pause:!f,section:0,value:0),time:(from:'2017-05-11T23:52:20-0600',mode:absolute,to:'2017-05-12T02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9" s="192" t="str">
        <f t="shared" si="48"/>
        <v>N</v>
      </c>
      <c r="X129" s="192">
        <f t="shared" si="62"/>
        <v>1</v>
      </c>
      <c r="Y129" s="192">
        <f t="shared" si="49"/>
        <v>23.299199999999999</v>
      </c>
      <c r="Z129" s="192">
        <f t="shared" si="63"/>
        <v>1.54E-2</v>
      </c>
      <c r="AA129" s="192">
        <f t="shared" si="50"/>
        <v>23.283799999999999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51"/>
        <v>0242-11</v>
      </c>
      <c r="AE129" s="80" t="str">
        <f t="shared" si="52"/>
        <v>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 &amp; aws s3 cp s3://rtdc.mdm.uploadarchive.raw/RTDC4001/ "%USERPROFILE%\AppData\Local\Temp\OnboardLogs"\RTDC4001\2017-05-13 --exclude "*" --recursive --include "*20170513*" &amp; "%USERPROFILE%\Documents\GitHub\mrs-test-scripts\Headless Mode &amp; Sideloading\WalkAndUnGZ.bat" "%USERPROFILE%\AppData\Local\Temp\OnboardLogs"\RTDC4001\2017-05-13</v>
      </c>
      <c r="AF129" s="77" t="str">
        <f t="shared" si="53"/>
        <v>"C:\Program Files (x86)\AstroGrep\AstroGrep.exe" /e /r /s /spath="%USERPROFILE%\AppData\Local\Temp\OnboardLogs" /stypes="app*4001*20170512*" /stext=" 07:.+((SYSTEM_STATE.+slice.+state.+changed )|(ment ac)|(multiple cpu faults)|(system.+state.+changed )|(\[timeout)|(PRM\|1\|D)|(kpr)|(kdp)|(train st.+moving)|(\|lc)|(penalty))"</v>
      </c>
      <c r="AG129" s="1" t="str">
        <f t="shared" si="54"/>
        <v>EC</v>
      </c>
      <c r="AH129" s="81" t="str">
        <f t="shared" si="55"/>
        <v>"%USERPROFILE%\Documents\GitHub\eaglep3\Utilities\RefineRTDCRunTimes.py" --tripid 242-11 --locoid 4001 --swversion DE.1.0.9.0 --startMP 204:232992 --initTime 2017-05-12T00:52:20 --startdatetime 2017-05-12T00:56:15 --delay 1 --endMP 204:154 --enddatetime 2017-05-12T01:36:01 --enforcementcount 0 &gt;&gt;C:\Users\stu\Documents\GitHub\eaglep3-reporting\EC\2017-05-11-refined-times.txt</v>
      </c>
      <c r="AI129" s="99" t="str">
        <f t="shared" si="56"/>
        <v>echo {"issue":{"subject":"","project_id":79,"tracker_id":40,"status_id":1,"priority_id":2,"assigned_to_id":23,"start_date":"2017-05-12","description":"","custom_fields":[{"id":1,"name":"Subdivision","value":"EC"},{"id":4,"name":"Milepost","value":"0.0154"},{"id":17,"name":"Train ID","value":"242-11"},{"id":16,"name":"Locomotive ID","value":"4001"},{"id":130,"name":"Impact","value":""},{"id":150,"name":"Time of Event (Mountain Time)","value":"01:36:01"},{"id":151,"name":"Denver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57"/>
        <v>start /low /b %USERPROFILE%\Documents\GitHub\eaglep3\Utilities\DownloadLogsFromS3.py --loco 4001 --day 2017-05-12</v>
      </c>
      <c r="AN129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07:36:01"},{"id":29,"name":"Sharepoint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794</v>
      </c>
      <c r="B130" s="7">
        <v>4004</v>
      </c>
      <c r="C130" s="21" t="s">
        <v>206</v>
      </c>
      <c r="D130" s="21" t="s">
        <v>347</v>
      </c>
      <c r="E130" s="13">
        <v>42867.007048611114</v>
      </c>
      <c r="F130" s="13">
        <v>42867.021018518521</v>
      </c>
      <c r="G130" s="7">
        <v>2</v>
      </c>
      <c r="H130" s="21" t="s">
        <v>807</v>
      </c>
      <c r="I130" s="13">
        <v>42867.047974537039</v>
      </c>
      <c r="J130" s="7">
        <v>0</v>
      </c>
      <c r="K130" s="92" t="str">
        <f t="shared" si="44"/>
        <v>4003/4004</v>
      </c>
      <c r="L130" s="21" t="str">
        <f>VLOOKUP(A130,'Trips&amp;Operators'!$C$1:$G$99999,5,FALSE)</f>
        <v>FORTUNATO FRANK</v>
      </c>
      <c r="M130" s="6">
        <f t="shared" si="45"/>
        <v>2.6956018518831115E-2</v>
      </c>
      <c r="N130" s="7">
        <f t="shared" si="64"/>
        <v>38.816666667116806</v>
      </c>
      <c r="O130" s="7"/>
      <c r="P130" s="7"/>
      <c r="Q130" s="22"/>
      <c r="R130" s="190"/>
      <c r="S130" s="196">
        <f t="shared" si="61"/>
        <v>1</v>
      </c>
      <c r="T130" s="190" t="str">
        <f t="shared" si="46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47"/>
        <v>https://d0f6bd738d7f1b3e5a7ca70fe4ff75f0.us-east-1.aws.found.io/app/kibana#/discover/Steve-Slow-Train-Analysis-(2080s-and-2083s)?_g=(refreshInterval:(display:Off,pause:!f,section:0,value:0),time:(from:'2017-05-11T23:10:09-0600',mode:absolute,to:'2017-05-12T02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0" s="192" t="str">
        <f t="shared" si="48"/>
        <v>N</v>
      </c>
      <c r="X130" s="192">
        <f t="shared" si="62"/>
        <v>1</v>
      </c>
      <c r="Y130" s="192">
        <f t="shared" si="49"/>
        <v>4.4900000000000002E-2</v>
      </c>
      <c r="Z130" s="192">
        <f t="shared" si="63"/>
        <v>23.328900000000001</v>
      </c>
      <c r="AA130" s="192">
        <f t="shared" si="50"/>
        <v>23.284000000000002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51"/>
        <v>0243-11</v>
      </c>
      <c r="AE130" s="80" t="str">
        <f t="shared" si="52"/>
        <v>aws s3 cp s3://rtdc.mdm.uploadarchive.raw/RTDC4004/ "%USERPROFILE%\AppData\Local\Temp\OnboardLogs"\RTDC4004\2017-05-12 --exclude "*" --recursive --include "*20170512*" &amp; "%USERPROFILE%\Documents\GitHub\mrs-test-scripts\Headless Mode &amp; Sideloading\WalkAndUnGZ.bat" "%USERPROFILE%\AppData\Local\Temp\OnboardLogs"\RTDC4004\2017-05-12 &amp; aws s3 cp s3://rtdc.mdm.uploadarchive.raw/RTDC4004/ "%USERPROFILE%\AppData\Local\Temp\OnboardLogs"\RTDC4004\2017-05-13 --exclude "*" --recursive --include "*20170513*" &amp; "%USERPROFILE%\Documents\GitHub\mrs-test-scripts\Headless Mode &amp; Sideloading\WalkAndUnGZ.bat" "%USERPROFILE%\AppData\Local\Temp\OnboardLogs"\RTDC4004\2017-05-13</v>
      </c>
      <c r="AF130" s="77" t="str">
        <f t="shared" si="53"/>
        <v>"C:\Program Files (x86)\AstroGrep\AstroGrep.exe" /e /r /s /spath="%USERPROFILE%\AppData\Local\Temp\OnboardLogs" /stypes="app*4004*20170512*" /stext=" 07:.+((SYSTEM_STATE.+slice.+state.+changed )|(ment ac)|(multiple cpu faults)|(system.+state.+changed )|(\[timeout)|(PRM\|1\|D)|(kpr)|(kdp)|(train st.+moving)|(\|lc)|(penalty))"</v>
      </c>
      <c r="AG130" s="1" t="str">
        <f t="shared" si="54"/>
        <v>EC</v>
      </c>
      <c r="AH130" s="81" t="str">
        <f t="shared" si="55"/>
        <v>"%USERPROFILE%\Documents\GitHub\eaglep3\Utilities\RefineRTDCRunTimes.py" --tripid 243-11 --locoid 4004 --swversion DE.1.0.9.0 --startMP 204:449 --initTime 2017-05-12T00:10:09 --startdatetime 2017-05-12T00:30:16 --delay 2 --endMP 204:233289 --enddatetime 2017-05-12T01:09:05 --enforcementcount 0 &gt;&gt;C:\Users\stu\Documents\GitHub\eaglep3-reporting\EC\2017-05-11-refined-times.txt</v>
      </c>
      <c r="AI130" s="99" t="str">
        <f t="shared" si="56"/>
        <v>echo {"issue":{"subject":"","project_id":79,"tracker_id":40,"status_id":1,"priority_id":2,"assigned_to_id":23,"start_date":"2017-05-12","description":"","custom_fields":[{"id":1,"name":"Subdivision","value":"EC"},{"id":4,"name":"Milepost","value":"23.3289"},{"id":17,"name":"Train ID","value":"243-11"},{"id":16,"name":"Locomotive ID","value":"4004"},{"id":130,"name":"Impact","value":""},{"id":150,"name":"Time of Event (Mountain Time)","value":"01:09:05"},{"id":151,"name":"Denver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57"/>
        <v>start /low /b %USERPROFILE%\Documents\GitHub\eaglep3\Utilities\DownloadLogsFromS3.py --loco 4004 --day 2017-05-12</v>
      </c>
      <c r="AN130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07:09:05"},{"id":29,"name":"Sharepoint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798</v>
      </c>
      <c r="B131" s="7">
        <v>4003</v>
      </c>
      <c r="C131" s="21" t="s">
        <v>206</v>
      </c>
      <c r="D131" s="21" t="s">
        <v>898</v>
      </c>
      <c r="E131" s="13">
        <v>42867.049803240741</v>
      </c>
      <c r="F131" s="13">
        <v>42867.060208333336</v>
      </c>
      <c r="G131" s="7">
        <v>1</v>
      </c>
      <c r="H131" s="21" t="s">
        <v>373</v>
      </c>
      <c r="I131" s="13">
        <v>42867.08734953704</v>
      </c>
      <c r="J131" s="7">
        <v>0</v>
      </c>
      <c r="K131" s="92" t="str">
        <f t="shared" si="44"/>
        <v>4003/4004</v>
      </c>
      <c r="L131" s="21" t="str">
        <f>VLOOKUP(A131,'Trips&amp;Operators'!$C$1:$G$99999,5,FALSE)</f>
        <v>FORTUNATO FRANK</v>
      </c>
      <c r="M131" s="6">
        <f t="shared" si="45"/>
        <v>2.7141203703649808E-2</v>
      </c>
      <c r="N131" s="7">
        <f t="shared" si="64"/>
        <v>39.083333333255723</v>
      </c>
      <c r="O131" s="7"/>
      <c r="P131" s="7"/>
      <c r="Q131" s="22"/>
      <c r="R131" s="190"/>
      <c r="S131" s="196">
        <f t="shared" ref="S131:S162" si="65">SUM(U131:U131)/IF(AG131="EC",12,1)</f>
        <v>1</v>
      </c>
      <c r="T131" s="190" t="str">
        <f t="shared" si="46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47"/>
        <v>https://d0f6bd738d7f1b3e5a7ca70fe4ff75f0.us-east-1.aws.found.io/app/kibana#/discover/Steve-Slow-Train-Analysis-(2080s-and-2083s)?_g=(refreshInterval:(display:Off,pause:!f,section:0,value:0),time:(from:'2017-05-12T00:11:43-0600',mode:absolute,to:'2017-05-12T03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1" s="192" t="str">
        <f t="shared" si="48"/>
        <v>N</v>
      </c>
      <c r="X131" s="192">
        <f t="shared" si="62"/>
        <v>1</v>
      </c>
      <c r="Y131" s="192">
        <f t="shared" si="49"/>
        <v>23.2989</v>
      </c>
      <c r="Z131" s="192">
        <f t="shared" si="63"/>
        <v>1.3899999999999999E-2</v>
      </c>
      <c r="AA131" s="192">
        <f t="shared" si="50"/>
        <v>23.285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51"/>
        <v>0244-11</v>
      </c>
      <c r="AE131" s="80" t="str">
        <f t="shared" si="52"/>
        <v>aws s3 cp s3://rtdc.mdm.uploadarchive.raw/RTDC4003/ "%USERPROFILE%\AppData\Local\Temp\OnboardLogs"\RTDC4003\2017-05-12 --exclude "*" --recursive --include "*20170512*" &amp; "%USERPROFILE%\Documents\GitHub\mrs-test-scripts\Headless Mode &amp; Sideloading\WalkAndUnGZ.bat" "%USERPROFILE%\AppData\Local\Temp\OnboardLogs"\RTDC4003\2017-05-12 &amp; aws s3 cp s3://rtdc.mdm.uploadarchive.raw/RTDC4003/ "%USERPROFILE%\AppData\Local\Temp\OnboardLogs"\RTDC4003\2017-05-13 --exclude "*" --recursive --include "*20170513*" &amp; "%USERPROFILE%\Documents\GitHub\mrs-test-scripts\Headless Mode &amp; Sideloading\WalkAndUnGZ.bat" "%USERPROFILE%\AppData\Local\Temp\OnboardLogs"\RTDC4003\2017-05-13</v>
      </c>
      <c r="AF131" s="77" t="str">
        <f t="shared" si="53"/>
        <v>"C:\Program Files (x86)\AstroGrep\AstroGrep.exe" /e /r /s /spath="%USERPROFILE%\AppData\Local\Temp\OnboardLogs" /stypes="app*4003*20170512*" /stext=" 08:.+((SYSTEM_STATE.+slice.+state.+changed )|(ment ac)|(multiple cpu faults)|(system.+state.+changed )|(\[timeout)|(PRM\|1\|D)|(kpr)|(kdp)|(train st.+moving)|(\|lc)|(penalty))"</v>
      </c>
      <c r="AG131" s="1" t="str">
        <f t="shared" si="54"/>
        <v>EC</v>
      </c>
      <c r="AH131" s="81" t="str">
        <f t="shared" si="55"/>
        <v>"%USERPROFILE%\Documents\GitHub\eaglep3\Utilities\RefineRTDCRunTimes.py" --tripid 244-11 --locoid 4003 --swversion DE.1.0.9.0 --startMP 204:232989 --initTime 2017-05-12T01:11:43 --startdatetime 2017-05-12T01:26:42 --delay 1 --endMP 204:139 --enddatetime 2017-05-12T02:05:47 --enforcementcount 0 &gt;&gt;C:\Users\stu\Documents\GitHub\eaglep3-reporting\EC\2017-05-11-refined-times.txt</v>
      </c>
      <c r="AI131" s="99" t="str">
        <f t="shared" si="56"/>
        <v>echo {"issue":{"subject":"","project_id":79,"tracker_id":40,"status_id":1,"priority_id":2,"assigned_to_id":23,"start_date":"2017-05-12","description":"","custom_fields":[{"id":1,"name":"Subdivision","value":"EC"},{"id":4,"name":"Milepost","value":"0.0139"},{"id":17,"name":"Train ID","value":"244-11"},{"id":16,"name":"Locomotive ID","value":"4003"},{"id":130,"name":"Impact","value":""},{"id":150,"name":"Time of Event (Mountain Time)","value":"02:05:47"},{"id":151,"name":"Denver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57"/>
        <v>start /low /b %USERPROFILE%\Documents\GitHub\eaglep3\Utilities\DownloadLogsFromS3.py --loco 4003 --day 2017-05-12</v>
      </c>
      <c r="AN131" s="154" t="str">
        <f t="shared" si="58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08:05:47"},{"id":29,"name":"Sharepoint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626</v>
      </c>
      <c r="B132" s="7">
        <v>4007</v>
      </c>
      <c r="C132" s="21" t="s">
        <v>206</v>
      </c>
      <c r="D132" s="21" t="s">
        <v>970</v>
      </c>
      <c r="E132" s="13">
        <v>42866.211759259262</v>
      </c>
      <c r="F132" s="13">
        <v>42866.212777777779</v>
      </c>
      <c r="G132" s="7">
        <v>0</v>
      </c>
      <c r="H132" s="21" t="s">
        <v>558</v>
      </c>
      <c r="I132" s="13">
        <v>42866.226030092592</v>
      </c>
      <c r="J132" s="7">
        <v>0</v>
      </c>
      <c r="K132" s="92" t="str">
        <f t="shared" si="44"/>
        <v>4007/4008</v>
      </c>
      <c r="L132" s="21" t="str">
        <f>VLOOKUP(A132,'Trips&amp;Operators'!$C$1:$G$99999,5,FALSE)</f>
        <v>MACDONALD THOMAS</v>
      </c>
      <c r="M132" s="6">
        <f t="shared" si="45"/>
        <v>1.3252314813144039E-2</v>
      </c>
      <c r="N132" s="7">
        <f t="shared" si="64"/>
        <v>19.083333330927417</v>
      </c>
      <c r="O132" s="7"/>
      <c r="P132" s="7"/>
      <c r="Q132" s="22"/>
      <c r="R132" s="190"/>
      <c r="S132" s="196">
        <f t="shared" si="65"/>
        <v>1</v>
      </c>
      <c r="T132" s="190" t="str">
        <f t="shared" si="46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</v>
      </c>
      <c r="V132" s="191" t="str">
        <f t="shared" si="47"/>
        <v>https://d0f6bd738d7f1b3e5a7ca70fe4ff75f0.us-east-1.aws.found.io/app/kibana#/discover/Steve-Slow-Train-Analysis-(2080s-and-2083s)?_g=(refreshInterval:(display:Off,pause:!f,section:0,value:0),time:(from:'2017-05-11T04:04:56-0600',mode:absolute,to:'2017-05-11T06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2" s="192" t="str">
        <f t="shared" si="48"/>
        <v>N</v>
      </c>
      <c r="X132" s="192">
        <f t="shared" si="62"/>
        <v>556</v>
      </c>
      <c r="Y132" s="192">
        <f t="shared" si="49"/>
        <v>5.8574000000000002</v>
      </c>
      <c r="Z132" s="192">
        <f t="shared" si="63"/>
        <v>6.8199999999999997E-2</v>
      </c>
      <c r="AA132" s="192">
        <f t="shared" si="50"/>
        <v>5.7892000000000001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51"/>
        <v>0800-11</v>
      </c>
      <c r="AE132" s="80" t="str">
        <f t="shared" si="52"/>
        <v>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 &amp; aws s3 cp s3://rtdc.mdm.uploadarchive.raw/RTDC4007/ "%USERPROFILE%\AppData\Local\Temp\OnboardLogs"\RTDC4007\2017-05-12 --exclude "*" --recursive --include "*20170512*" &amp; "%USERPROFILE%\Documents\GitHub\mrs-test-scripts\Headless Mode &amp; Sideloading\WalkAndUnGZ.bat" "%USERPROFILE%\AppData\Local\Temp\OnboardLogs"\RTDC4007\2017-05-12</v>
      </c>
      <c r="AF132" s="77" t="str">
        <f t="shared" si="53"/>
        <v>"C:\Program Files (x86)\AstroGrep\AstroGrep.exe" /e /r /s /spath="%USERPROFILE%\AppData\Local\Temp\OnboardLogs" /stypes="app*4007*20170511*" /stext=" 11:.+((SYSTEM_STATE.+slice.+state.+changed )|(ment ac)|(multiple cpu faults)|(system.+state.+changed )|(\[timeout)|(PRM\|1\|D)|(kpr)|(kdp)|(train st.+moving)|(\|lc)|(penalty))"</v>
      </c>
      <c r="AG132" s="1" t="str">
        <f t="shared" si="54"/>
        <v>NW</v>
      </c>
      <c r="AH132" s="81" t="str">
        <f t="shared" si="55"/>
        <v>"%USERPROFILE%\Documents\GitHub\eaglep3\Utilities\RefineRTDCRunTimes.py" --tripid 800-11 --locoid 4007 --swversion DE.1.0.9.0 --startMP 300:58574 --initTime 2017-05-11T05:04:56 --startdatetime 2017-05-11T05:06:24 --delay 0 --endMP 204:682 --enddatetime 2017-05-11T05:25:29 --enforcementcount 0 &gt;&gt;C:\Users\stu\Documents\GitHub\eaglep3-reporting\EC\2017-05-11-refined-times.txt</v>
      </c>
      <c r="AI132" s="99" t="str">
        <f t="shared" si="56"/>
        <v>echo {"issue":{"subject":"","project_id":79,"tracker_id":40,"status_id":1,"priority_id":2,"assigned_to_id":23,"start_date":"2017-05-11","description":"","custom_fields":[{"id":1,"name":"Subdivision","value":"NW"},{"id":4,"name":"Milepost","value":"0.0682"},{"id":17,"name":"Train ID","value":"800-11"},{"id":16,"name":"Locomotive ID","value":"4007"},{"id":130,"name":"Impact","value":""},{"id":150,"name":"Time of Event (Mountain Time)","value":"05:25:29"},{"id":151,"name":"Denver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57"/>
        <v>start /low /b %USERPROFILE%\Documents\GitHub\eaglep3\Utilities\DownloadLogsFromS3.py --loco 4007 --day 2017-05-11</v>
      </c>
      <c r="AN132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11:25:29"},{"id":29,"name":"Sharepoint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630</v>
      </c>
      <c r="B133" s="7">
        <v>4008</v>
      </c>
      <c r="C133" s="21" t="s">
        <v>206</v>
      </c>
      <c r="D133" s="21" t="s">
        <v>971</v>
      </c>
      <c r="E133" s="13">
        <v>42866.228217592594</v>
      </c>
      <c r="F133" s="13">
        <v>42866.243935185186</v>
      </c>
      <c r="G133" s="7">
        <v>1</v>
      </c>
      <c r="H133" s="21" t="s">
        <v>972</v>
      </c>
      <c r="I133" s="13">
        <v>42866.252708333333</v>
      </c>
      <c r="J133" s="7">
        <v>0</v>
      </c>
      <c r="K133" s="92" t="str">
        <f t="shared" si="44"/>
        <v>4007/4008</v>
      </c>
      <c r="L133" s="21" t="str">
        <f>VLOOKUP(A133,'Trips&amp;Operators'!$C$1:$G$99999,5,FALSE)</f>
        <v>MACDONALD THOMAS</v>
      </c>
      <c r="M133" s="6">
        <f t="shared" si="45"/>
        <v>8.7731481471564621E-3</v>
      </c>
      <c r="N133" s="7">
        <f t="shared" si="64"/>
        <v>12.633333331905305</v>
      </c>
      <c r="O133" s="7"/>
      <c r="P133" s="7"/>
      <c r="Q133" s="22"/>
      <c r="R133" s="190"/>
      <c r="S133" s="196">
        <f t="shared" si="65"/>
        <v>1</v>
      </c>
      <c r="T133" s="190" t="str">
        <f t="shared" si="46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</v>
      </c>
      <c r="V133" s="191" t="str">
        <f t="shared" si="47"/>
        <v>https://d0f6bd738d7f1b3e5a7ca70fe4ff75f0.us-east-1.aws.found.io/app/kibana#/discover/Steve-Slow-Train-Analysis-(2080s-and-2083s)?_g=(refreshInterval:(display:Off,pause:!f,section:0,value:0),time:(from:'2017-05-11T04:28:38-0600',mode:absolute,to:'2017-05-11T07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192" t="str">
        <f t="shared" si="48"/>
        <v>N</v>
      </c>
      <c r="X133" s="192">
        <f t="shared" si="62"/>
        <v>1</v>
      </c>
      <c r="Y133" s="192">
        <f t="shared" si="49"/>
        <v>9.8500000000000004E-2</v>
      </c>
      <c r="Z133" s="192">
        <f t="shared" si="63"/>
        <v>5.8944000000000001</v>
      </c>
      <c r="AA133" s="192">
        <f t="shared" si="50"/>
        <v>5.7959000000000005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51"/>
        <v>0801-11</v>
      </c>
      <c r="AE133" s="80" t="str">
        <f t="shared" si="52"/>
        <v>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 &amp; aws s3 cp s3://rtdc.mdm.uploadarchive.raw/RTDC4008/ "%USERPROFILE%\AppData\Local\Temp\OnboardLogs"\RTDC4008\2017-05-12 --exclude "*" --recursive --include "*20170512*" &amp; "%USERPROFILE%\Documents\GitHub\mrs-test-scripts\Headless Mode &amp; Sideloading\WalkAndUnGZ.bat" "%USERPROFILE%\AppData\Local\Temp\OnboardLogs"\RTDC4008\2017-05-12</v>
      </c>
      <c r="AF133" s="77" t="str">
        <f t="shared" si="53"/>
        <v>"C:\Program Files (x86)\AstroGrep\AstroGrep.exe" /e /r /s /spath="%USERPROFILE%\AppData\Local\Temp\OnboardLogs" /stypes="app*4008*20170511*" /stext=" 12:.+((SYSTEM_STATE.+slice.+state.+changed )|(ment ac)|(multiple cpu faults)|(system.+state.+changed )|(\[timeout)|(PRM\|1\|D)|(kpr)|(kdp)|(train st.+moving)|(\|lc)|(penalty))"</v>
      </c>
      <c r="AG133" s="1" t="str">
        <f t="shared" si="54"/>
        <v>NW</v>
      </c>
      <c r="AH133" s="81" t="str">
        <f t="shared" si="55"/>
        <v>"%USERPROFILE%\Documents\GitHub\eaglep3\Utilities\RefineRTDCRunTimes.py" --tripid 801-11 --locoid 4008 --swversion DE.1.0.9.0 --startMP 204:985 --initTime 2017-05-11T05:28:38 --startdatetime 2017-05-11T05:51:16 --delay 1 --endMP 300:58944 --enddatetime 2017-05-11T06:03:54 --enforcementcount 0 &gt;&gt;C:\Users\stu\Documents\GitHub\eaglep3-reporting\EC\2017-05-11-refined-times.txt</v>
      </c>
      <c r="AI133" s="99" t="str">
        <f t="shared" si="56"/>
        <v>echo {"issue":{"subject":"","project_id":79,"tracker_id":40,"status_id":1,"priority_id":2,"assigned_to_id":23,"start_date":"2017-05-11","description":"","custom_fields":[{"id":1,"name":"Subdivision","value":"NW"},{"id":4,"name":"Milepost","value":"5.8944"},{"id":17,"name":"Train ID","value":"801-11"},{"id":16,"name":"Locomotive ID","value":"4008"},{"id":130,"name":"Impact","value":""},{"id":150,"name":"Time of Event (Mountain Time)","value":"06:03:54"},{"id":151,"name":"Denver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57"/>
        <v>start /low /b %USERPROFILE%\Documents\GitHub\eaglep3\Utilities\DownloadLogsFromS3.py --loco 4008 --day 2017-05-11</v>
      </c>
      <c r="AN133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636</v>
      </c>
      <c r="B134" s="7">
        <v>4007</v>
      </c>
      <c r="C134" s="21" t="s">
        <v>206</v>
      </c>
      <c r="D134" s="21" t="s">
        <v>487</v>
      </c>
      <c r="E134" s="13">
        <v>42866.253449074073</v>
      </c>
      <c r="F134" s="13">
        <v>42866.254583333335</v>
      </c>
      <c r="G134" s="7">
        <v>1</v>
      </c>
      <c r="H134" s="21" t="s">
        <v>488</v>
      </c>
      <c r="I134" s="13">
        <v>42866.267835648148</v>
      </c>
      <c r="J134" s="7">
        <v>0</v>
      </c>
      <c r="K134" s="92" t="str">
        <f t="shared" si="44"/>
        <v>4007/4008</v>
      </c>
      <c r="L134" s="21" t="str">
        <f>VLOOKUP(A134,'Trips&amp;Operators'!$C$1:$G$99999,5,FALSE)</f>
        <v>MACDONALD THOMAS</v>
      </c>
      <c r="M134" s="6">
        <f t="shared" si="45"/>
        <v>1.3252314813144039E-2</v>
      </c>
      <c r="N134" s="7">
        <f t="shared" si="64"/>
        <v>19.083333330927417</v>
      </c>
      <c r="O134" s="7"/>
      <c r="P134" s="7"/>
      <c r="Q134" s="22"/>
      <c r="R134" s="190"/>
      <c r="S134" s="196">
        <f t="shared" si="65"/>
        <v>1</v>
      </c>
      <c r="T134" s="190" t="str">
        <f t="shared" si="46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</v>
      </c>
      <c r="V134" s="191" t="str">
        <f t="shared" si="47"/>
        <v>https://d0f6bd738d7f1b3e5a7ca70fe4ff75f0.us-east-1.aws.found.io/app/kibana#/discover/Steve-Slow-Train-Analysis-(2080s-and-2083s)?_g=(refreshInterval:(display:Off,pause:!f,section:0,value:0),time:(from:'2017-05-11T05:04:58-0600',mode:absolute,to:'2017-05-11T07:25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4" s="192" t="str">
        <f t="shared" si="48"/>
        <v>N</v>
      </c>
      <c r="X134" s="192">
        <f t="shared" si="62"/>
        <v>1</v>
      </c>
      <c r="Y134" s="192">
        <f t="shared" si="49"/>
        <v>5.8624000000000001</v>
      </c>
      <c r="Z134" s="192">
        <f t="shared" si="63"/>
        <v>6.7799999999999999E-2</v>
      </c>
      <c r="AA134" s="192">
        <f t="shared" si="50"/>
        <v>5.7946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51"/>
        <v>0802-11</v>
      </c>
      <c r="AE134" s="80" t="str">
        <f t="shared" si="52"/>
        <v>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 &amp; aws s3 cp s3://rtdc.mdm.uploadarchive.raw/RTDC4007/ "%USERPROFILE%\AppData\Local\Temp\OnboardLogs"\RTDC4007\2017-05-12 --exclude "*" --recursive --include "*20170512*" &amp; "%USERPROFILE%\Documents\GitHub\mrs-test-scripts\Headless Mode &amp; Sideloading\WalkAndUnGZ.bat" "%USERPROFILE%\AppData\Local\Temp\OnboardLogs"\RTDC4007\2017-05-12</v>
      </c>
      <c r="AF134" s="77" t="str">
        <f t="shared" si="53"/>
        <v>"C:\Program Files (x86)\AstroGrep\AstroGrep.exe" /e /r /s /spath="%USERPROFILE%\AppData\Local\Temp\OnboardLogs" /stypes="app*4007*20170511*" /stext=" 12:.+((SYSTEM_STATE.+slice.+state.+changed )|(ment ac)|(multiple cpu faults)|(system.+state.+changed )|(\[timeout)|(PRM\|1\|D)|(kpr)|(kdp)|(train st.+moving)|(\|lc)|(penalty))"</v>
      </c>
      <c r="AG134" s="1" t="str">
        <f t="shared" si="54"/>
        <v>NW</v>
      </c>
      <c r="AH134" s="81" t="str">
        <f t="shared" si="55"/>
        <v>"%USERPROFILE%\Documents\GitHub\eaglep3\Utilities\RefineRTDCRunTimes.py" --tripid 802-11 --locoid 4007 --swversion DE.1.0.9.0 --startMP 300:58624 --initTime 2017-05-11T06:04:58 --startdatetime 2017-05-11T06:06:36 --delay 1 --endMP 204:678 --enddatetime 2017-05-11T06:25:41 --enforcementcount 0 &gt;&gt;C:\Users\stu\Documents\GitHub\eaglep3-reporting\EC\2017-05-11-refined-times.txt</v>
      </c>
      <c r="AI134" s="99" t="str">
        <f t="shared" si="56"/>
        <v>echo {"issue":{"subject":"","project_id":79,"tracker_id":40,"status_id":1,"priority_id":2,"assigned_to_id":23,"start_date":"2017-05-11","description":"","custom_fields":[{"id":1,"name":"Subdivision","value":"NW"},{"id":4,"name":"Milepost","value":"0.0678"},{"id":17,"name":"Train ID","value":"802-11"},{"id":16,"name":"Locomotive ID","value":"4007"},{"id":130,"name":"Impact","value":""},{"id":150,"name":"Time of Event (Mountain Time)","value":"06:25:41"},{"id":151,"name":"Denver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57"/>
        <v>start /low /b %USERPROFILE%\Documents\GitHub\eaglep3\Utilities\DownloadLogsFromS3.py --loco 4007 --day 2017-05-11</v>
      </c>
      <c r="AN134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12:25:41"},{"id":29,"name":"Sharepoint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639</v>
      </c>
      <c r="B135" s="7">
        <v>4022</v>
      </c>
      <c r="C135" s="21" t="s">
        <v>206</v>
      </c>
      <c r="D135" s="21" t="s">
        <v>973</v>
      </c>
      <c r="E135" s="13">
        <v>42866.25990740741</v>
      </c>
      <c r="F135" s="13">
        <v>42866.264768518522</v>
      </c>
      <c r="G135" s="7">
        <v>1</v>
      </c>
      <c r="H135" s="21" t="s">
        <v>974</v>
      </c>
      <c r="I135" s="13">
        <v>42866.273900462962</v>
      </c>
      <c r="J135" s="7">
        <v>0</v>
      </c>
      <c r="K135" s="92" t="str">
        <f t="shared" si="44"/>
        <v>4021/4022</v>
      </c>
      <c r="L135" s="21" t="str">
        <f>VLOOKUP(A135,'Trips&amp;Operators'!$C$1:$G$99999,5,FALSE)</f>
        <v>LOZA FIDEL</v>
      </c>
      <c r="M135" s="6">
        <f t="shared" si="45"/>
        <v>9.1319444400141947E-3</v>
      </c>
      <c r="N135" s="7">
        <f t="shared" si="64"/>
        <v>13.14999999362044</v>
      </c>
      <c r="O135" s="7"/>
      <c r="P135" s="7"/>
      <c r="Q135" s="22"/>
      <c r="R135" s="190"/>
      <c r="S135" s="196">
        <f t="shared" si="65"/>
        <v>1</v>
      </c>
      <c r="T135" s="190" t="str">
        <f t="shared" si="46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</v>
      </c>
      <c r="V135" s="191" t="str">
        <f t="shared" si="47"/>
        <v>https://d0f6bd738d7f1b3e5a7ca70fe4ff75f0.us-east-1.aws.found.io/app/kibana#/discover/Steve-Slow-Train-Analysis-(2080s-and-2083s)?_g=(refreshInterval:(display:Off,pause:!f,section:0,value:0),time:(from:'2017-05-11T05:14:16-0600',mode:absolute,to:'2017-05-11T07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5" s="192" t="str">
        <f t="shared" si="48"/>
        <v>N</v>
      </c>
      <c r="X135" s="192">
        <f t="shared" si="62"/>
        <v>1</v>
      </c>
      <c r="Y135" s="192">
        <f t="shared" si="49"/>
        <v>9.7600000000000006E-2</v>
      </c>
      <c r="Z135" s="192">
        <f t="shared" si="63"/>
        <v>5.8954000000000004</v>
      </c>
      <c r="AA135" s="192">
        <f t="shared" si="50"/>
        <v>5.7978000000000005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51"/>
        <v>0803-11</v>
      </c>
      <c r="AE135" s="80" t="str">
        <f t="shared" si="52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35" s="77" t="str">
        <f t="shared" si="53"/>
        <v>"C:\Program Files (x86)\AstroGrep\AstroGrep.exe" /e /r /s /spath="%USERPROFILE%\AppData\Local\Temp\OnboardLogs" /stypes="app*4022*20170511*" /stext=" 12:.+((SYSTEM_STATE.+slice.+state.+changed )|(ment ac)|(multiple cpu faults)|(system.+state.+changed )|(\[timeout)|(PRM\|1\|D)|(kpr)|(kdp)|(train st.+moving)|(\|lc)|(penalty))"</v>
      </c>
      <c r="AG135" s="1" t="str">
        <f t="shared" si="54"/>
        <v>NW</v>
      </c>
      <c r="AH135" s="81" t="str">
        <f t="shared" si="55"/>
        <v>"%USERPROFILE%\Documents\GitHub\eaglep3\Utilities\RefineRTDCRunTimes.py" --tripid 803-11 --locoid 4022 --swversion DE.1.0.9.0 --startMP 204:976 --initTime 2017-05-11T06:14:16 --startdatetime 2017-05-11T06:21:16 --delay 1 --endMP 300:58954 --enddatetime 2017-05-11T06:34:25 --enforcementcount 0 &gt;&gt;C:\Users\stu\Documents\GitHub\eaglep3-reporting\EC\2017-05-11-refined-times.txt</v>
      </c>
      <c r="AI135" s="99" t="str">
        <f t="shared" si="56"/>
        <v>echo {"issue":{"subject":"","project_id":79,"tracker_id":40,"status_id":1,"priority_id":2,"assigned_to_id":23,"start_date":"2017-05-11","description":"","custom_fields":[{"id":1,"name":"Subdivision","value":"NW"},{"id":4,"name":"Milepost","value":"5.8954"},{"id":17,"name":"Train ID","value":"803-11"},{"id":16,"name":"Locomotive ID","value":"4022"},{"id":130,"name":"Impact","value":""},{"id":150,"name":"Time of Event (Mountain Time)","value":"06:34:25"},{"id":151,"name":"Denver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57"/>
        <v>start /low /b %USERPROFILE%\Documents\GitHub\eaglep3\Utilities\DownloadLogsFromS3.py --loco 4022 --day 2017-05-11</v>
      </c>
      <c r="AN135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576</v>
      </c>
      <c r="B136" s="7">
        <v>4021</v>
      </c>
      <c r="C136" s="21" t="s">
        <v>206</v>
      </c>
      <c r="D136" s="21" t="s">
        <v>975</v>
      </c>
      <c r="E136" s="13">
        <v>42866.275324074071</v>
      </c>
      <c r="F136" s="13">
        <v>42866.276944444442</v>
      </c>
      <c r="G136" s="7">
        <v>1</v>
      </c>
      <c r="H136" s="21" t="s">
        <v>976</v>
      </c>
      <c r="I136" s="13">
        <v>42866.28806712963</v>
      </c>
      <c r="J136" s="7">
        <v>0</v>
      </c>
      <c r="K136" s="92" t="str">
        <f t="shared" si="44"/>
        <v>4021/4022</v>
      </c>
      <c r="L136" s="21" t="str">
        <f>VLOOKUP(A136,'Trips&amp;Operators'!$C$1:$G$99999,5,FALSE)</f>
        <v>LOZA FIDEL</v>
      </c>
      <c r="M136" s="6">
        <f t="shared" si="45"/>
        <v>1.1122685187729076E-2</v>
      </c>
      <c r="N136" s="7">
        <f t="shared" si="64"/>
        <v>16.016666670329869</v>
      </c>
      <c r="O136" s="7"/>
      <c r="P136" s="7"/>
      <c r="Q136" s="22"/>
      <c r="R136" s="190"/>
      <c r="S136" s="196">
        <f t="shared" si="65"/>
        <v>1</v>
      </c>
      <c r="T136" s="190" t="str">
        <f t="shared" si="46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</v>
      </c>
      <c r="V136" s="191" t="str">
        <f t="shared" si="47"/>
        <v>https://d0f6bd738d7f1b3e5a7ca70fe4ff75f0.us-east-1.aws.found.io/app/kibana#/discover/Steve-Slow-Train-Analysis-(2080s-and-2083s)?_g=(refreshInterval:(display:Off,pause:!f,section:0,value:0),time:(from:'2017-05-11T05:36:28-0600',mode:absolute,to:'2017-05-11T07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6" s="192" t="str">
        <f t="shared" si="48"/>
        <v>N</v>
      </c>
      <c r="X136" s="192">
        <f t="shared" si="62"/>
        <v>1</v>
      </c>
      <c r="Y136" s="192">
        <f t="shared" si="49"/>
        <v>5.8639999999999999</v>
      </c>
      <c r="Z136" s="192">
        <f t="shared" si="63"/>
        <v>6.9099999999999995E-2</v>
      </c>
      <c r="AA136" s="192">
        <f t="shared" si="50"/>
        <v>5.7949000000000002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51"/>
        <v>0804-11</v>
      </c>
      <c r="AE136" s="80" t="str">
        <f t="shared" si="52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36" s="77" t="str">
        <f t="shared" si="53"/>
        <v>"C:\Program Files (x86)\AstroGrep\AstroGrep.exe" /e /r /s /spath="%USERPROFILE%\AppData\Local\Temp\OnboardLogs" /stypes="app*4021*20170511*" /stext=" 12:.+((SYSTEM_STATE.+slice.+state.+changed )|(ment ac)|(multiple cpu faults)|(system.+state.+changed )|(\[timeout)|(PRM\|1\|D)|(kpr)|(kdp)|(train st.+moving)|(\|lc)|(penalty))"</v>
      </c>
      <c r="AG136" s="1" t="str">
        <f t="shared" si="54"/>
        <v>NW</v>
      </c>
      <c r="AH136" s="81" t="str">
        <f t="shared" si="55"/>
        <v>"%USERPROFILE%\Documents\GitHub\eaglep3\Utilities\RefineRTDCRunTimes.py" --tripid 804-11 --locoid 4021 --swversion DE.1.0.9.0 --startMP 300:58640 --initTime 2017-05-11T06:36:28 --startdatetime 2017-05-11T06:38:48 --delay 1 --endMP 204:691 --enddatetime 2017-05-11T06:54:49 --enforcementcount 0 &gt;&gt;C:\Users\stu\Documents\GitHub\eaglep3-reporting\EC\2017-05-11-refined-times.txt</v>
      </c>
      <c r="AI136" s="99" t="str">
        <f t="shared" si="56"/>
        <v>echo {"issue":{"subject":"","project_id":79,"tracker_id":40,"status_id":1,"priority_id":2,"assigned_to_id":23,"start_date":"2017-05-11","description":"","custom_fields":[{"id":1,"name":"Subdivision","value":"NW"},{"id":4,"name":"Milepost","value":"0.0691"},{"id":17,"name":"Train ID","value":"804-11"},{"id":16,"name":"Locomotive ID","value":"4021"},{"id":130,"name":"Impact","value":""},{"id":150,"name":"Time of Event (Mountain Time)","value":"06:54:49"},{"id":151,"name":"Denver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57"/>
        <v>start /low /b %USERPROFILE%\Documents\GitHub\eaglep3\Utilities\DownloadLogsFromS3.py --loco 4021 --day 2017-05-11</v>
      </c>
      <c r="AN136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641</v>
      </c>
      <c r="B137" s="7">
        <v>4008</v>
      </c>
      <c r="C137" s="21" t="s">
        <v>206</v>
      </c>
      <c r="D137" s="21" t="s">
        <v>977</v>
      </c>
      <c r="E137" s="13">
        <v>42866.269432870373</v>
      </c>
      <c r="F137" s="13">
        <v>42866.285567129627</v>
      </c>
      <c r="G137" s="7">
        <v>0</v>
      </c>
      <c r="H137" s="21" t="s">
        <v>978</v>
      </c>
      <c r="I137" s="13">
        <v>42866.29415509259</v>
      </c>
      <c r="J137" s="7">
        <v>0</v>
      </c>
      <c r="K137" s="92" t="str">
        <f t="shared" si="44"/>
        <v>4007/4008</v>
      </c>
      <c r="L137" s="21" t="str">
        <f>VLOOKUP(A137,'Trips&amp;Operators'!$C$1:$G$99999,5,FALSE)</f>
        <v>MACDONALD THOMAS</v>
      </c>
      <c r="M137" s="6">
        <f t="shared" si="45"/>
        <v>8.5879629623377696E-3</v>
      </c>
      <c r="N137" s="7">
        <f t="shared" si="64"/>
        <v>12.366666665766388</v>
      </c>
      <c r="O137" s="7"/>
      <c r="P137" s="7"/>
      <c r="Q137" s="22"/>
      <c r="R137" s="190"/>
      <c r="S137" s="196">
        <f t="shared" si="65"/>
        <v>1</v>
      </c>
      <c r="T137" s="190" t="str">
        <f t="shared" si="46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</v>
      </c>
      <c r="V137" s="191" t="str">
        <f t="shared" si="47"/>
        <v>https://d0f6bd738d7f1b3e5a7ca70fe4ff75f0.us-east-1.aws.found.io/app/kibana#/discover/Steve-Slow-Train-Analysis-(2080s-and-2083s)?_g=(refreshInterval:(display:Off,pause:!f,section:0,value:0),time:(from:'2017-05-11T05:27:59-0600',mode:absolute,to:'2017-05-11T08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7" s="192" t="str">
        <f t="shared" si="48"/>
        <v>N</v>
      </c>
      <c r="X137" s="192">
        <f t="shared" si="62"/>
        <v>1</v>
      </c>
      <c r="Y137" s="192">
        <f t="shared" si="49"/>
        <v>9.7100000000000006E-2</v>
      </c>
      <c r="Z137" s="192">
        <f t="shared" si="63"/>
        <v>5.9008000000000003</v>
      </c>
      <c r="AA137" s="192">
        <f t="shared" si="50"/>
        <v>5.8037000000000001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51"/>
        <v>0805-11</v>
      </c>
      <c r="AE137" s="80" t="str">
        <f t="shared" si="52"/>
        <v>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 &amp; aws s3 cp s3://rtdc.mdm.uploadarchive.raw/RTDC4008/ "%USERPROFILE%\AppData\Local\Temp\OnboardLogs"\RTDC4008\2017-05-12 --exclude "*" --recursive --include "*20170512*" &amp; "%USERPROFILE%\Documents\GitHub\mrs-test-scripts\Headless Mode &amp; Sideloading\WalkAndUnGZ.bat" "%USERPROFILE%\AppData\Local\Temp\OnboardLogs"\RTDC4008\2017-05-12</v>
      </c>
      <c r="AF137" s="77" t="str">
        <f t="shared" si="53"/>
        <v>"C:\Program Files (x86)\AstroGrep\AstroGrep.exe" /e /r /s /spath="%USERPROFILE%\AppData\Local\Temp\OnboardLogs" /stypes="app*4008*20170511*" /stext=" 13:.+((SYSTEM_STATE.+slice.+state.+changed )|(ment ac)|(multiple cpu faults)|(system.+state.+changed )|(\[timeout)|(PRM\|1\|D)|(kpr)|(kdp)|(train st.+moving)|(\|lc)|(penalty))"</v>
      </c>
      <c r="AG137" s="1" t="str">
        <f t="shared" si="54"/>
        <v>NW</v>
      </c>
      <c r="AH137" s="81" t="str">
        <f t="shared" si="55"/>
        <v>"%USERPROFILE%\Documents\GitHub\eaglep3\Utilities\RefineRTDCRunTimes.py" --tripid 805-11 --locoid 4008 --swversion DE.1.0.9.0 --startMP 204:971 --initTime 2017-05-11T06:27:59 --startdatetime 2017-05-11T06:51:13 --delay 0 --endMP 300:59008 --enddatetime 2017-05-11T07:03:35 --enforcementcount 0 &gt;&gt;C:\Users\stu\Documents\GitHub\eaglep3-reporting\EC\2017-05-11-refined-times.txt</v>
      </c>
      <c r="AI137" s="99" t="str">
        <f t="shared" si="56"/>
        <v>echo {"issue":{"subject":"","project_id":79,"tracker_id":40,"status_id":1,"priority_id":2,"assigned_to_id":23,"start_date":"2017-05-11","description":"","custom_fields":[{"id":1,"name":"Subdivision","value":"NW"},{"id":4,"name":"Milepost","value":"5.9008"},{"id":17,"name":"Train ID","value":"805-11"},{"id":16,"name":"Locomotive ID","value":"4008"},{"id":130,"name":"Impact","value":""},{"id":150,"name":"Time of Event (Mountain Time)","value":"07:03:35"},{"id":151,"name":"Denver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57"/>
        <v>start /low /b %USERPROFILE%\Documents\GitHub\eaglep3\Utilities\DownloadLogsFromS3.py --loco 4008 --day 2017-05-11</v>
      </c>
      <c r="AN137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2" t="s">
        <v>647</v>
      </c>
      <c r="B138" s="7">
        <v>4007</v>
      </c>
      <c r="C138" s="21" t="s">
        <v>206</v>
      </c>
      <c r="D138" s="21" t="s">
        <v>979</v>
      </c>
      <c r="E138" s="13">
        <v>42866.294953703706</v>
      </c>
      <c r="F138" s="13">
        <v>42866.296064814815</v>
      </c>
      <c r="G138" s="7">
        <v>0</v>
      </c>
      <c r="H138" s="21" t="s">
        <v>980</v>
      </c>
      <c r="I138" s="13">
        <v>42866.309976851851</v>
      </c>
      <c r="J138" s="7">
        <v>0</v>
      </c>
      <c r="K138" s="92" t="str">
        <f t="shared" si="44"/>
        <v>4007/4008</v>
      </c>
      <c r="L138" s="21" t="str">
        <f>VLOOKUP(A138,'Trips&amp;Operators'!$C$1:$G$99999,5,FALSE)</f>
        <v>MACDONALD THOMAS</v>
      </c>
      <c r="M138" s="6">
        <f t="shared" si="45"/>
        <v>1.3912037036789116E-2</v>
      </c>
      <c r="N138" s="7">
        <f t="shared" si="64"/>
        <v>20.033333332976326</v>
      </c>
      <c r="O138" s="7"/>
      <c r="P138" s="7"/>
      <c r="Q138" s="22"/>
      <c r="R138" s="190"/>
      <c r="S138" s="196">
        <f t="shared" si="65"/>
        <v>1</v>
      </c>
      <c r="T138" s="190" t="str">
        <f t="shared" si="46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</v>
      </c>
      <c r="V138" s="191" t="str">
        <f t="shared" si="47"/>
        <v>https://d0f6bd738d7f1b3e5a7ca70fe4ff75f0.us-east-1.aws.found.io/app/kibana#/discover/Steve-Slow-Train-Analysis-(2080s-and-2083s)?_g=(refreshInterval:(display:Off,pause:!f,section:0,value:0),time:(from:'2017-05-11T06:04:44-0600',mode:absolute,to:'2017-05-11T08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8" s="192" t="str">
        <f t="shared" si="48"/>
        <v>N</v>
      </c>
      <c r="X138" s="192">
        <f t="shared" si="62"/>
        <v>1</v>
      </c>
      <c r="Y138" s="192">
        <f t="shared" si="49"/>
        <v>5.8696000000000002</v>
      </c>
      <c r="Z138" s="192">
        <f t="shared" si="63"/>
        <v>7.0499999999999993E-2</v>
      </c>
      <c r="AA138" s="192">
        <f t="shared" si="50"/>
        <v>5.7991000000000001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51"/>
        <v>0806-11</v>
      </c>
      <c r="AE138" s="80" t="str">
        <f t="shared" si="52"/>
        <v>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 &amp; aws s3 cp s3://rtdc.mdm.uploadarchive.raw/RTDC4007/ "%USERPROFILE%\AppData\Local\Temp\OnboardLogs"\RTDC4007\2017-05-12 --exclude "*" --recursive --include "*20170512*" &amp; "%USERPROFILE%\Documents\GitHub\mrs-test-scripts\Headless Mode &amp; Sideloading\WalkAndUnGZ.bat" "%USERPROFILE%\AppData\Local\Temp\OnboardLogs"\RTDC4007\2017-05-12</v>
      </c>
      <c r="AF138" s="77" t="str">
        <f t="shared" si="53"/>
        <v>"C:\Program Files (x86)\AstroGrep\AstroGrep.exe" /e /r /s /spath="%USERPROFILE%\AppData\Local\Temp\OnboardLogs" /stypes="app*4007*20170511*" /stext=" 13:.+((SYSTEM_STATE.+slice.+state.+changed )|(ment ac)|(multiple cpu faults)|(system.+state.+changed )|(\[timeout)|(PRM\|1\|D)|(kpr)|(kdp)|(train st.+moving)|(\|lc)|(penalty))"</v>
      </c>
      <c r="AG138" s="1" t="str">
        <f t="shared" si="54"/>
        <v>NW</v>
      </c>
      <c r="AH138" s="81" t="str">
        <f t="shared" si="55"/>
        <v>"%USERPROFILE%\Documents\GitHub\eaglep3\Utilities\RefineRTDCRunTimes.py" --tripid 806-11 --locoid 4007 --swversion DE.1.0.9.0 --startMP 300:58696 --initTime 2017-05-11T07:04:44 --startdatetime 2017-05-11T07:06:20 --delay 0 --endMP 204:705 --enddatetime 2017-05-11T07:26:22 --enforcementcount 0 &gt;&gt;C:\Users\stu\Documents\GitHub\eaglep3-reporting\EC\2017-05-11-refined-times.txt</v>
      </c>
      <c r="AI138" s="99" t="str">
        <f t="shared" si="56"/>
        <v>echo {"issue":{"subject":"","project_id":79,"tracker_id":40,"status_id":1,"priority_id":2,"assigned_to_id":23,"start_date":"2017-05-11","description":"","custom_fields":[{"id":1,"name":"Subdivision","value":"NW"},{"id":4,"name":"Milepost","value":"0.0705"},{"id":17,"name":"Train ID","value":"806-11"},{"id":16,"name":"Locomotive ID","value":"4007"},{"id":130,"name":"Impact","value":""},{"id":150,"name":"Time of Event (Mountain Time)","value":"07:26:22"},{"id":151,"name":"Denver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20"/>
      <c r="AK138" s="47"/>
      <c r="AL138" s="47"/>
      <c r="AM138" s="145" t="str">
        <f t="shared" si="57"/>
        <v>start /low /b %USERPROFILE%\Documents\GitHub\eaglep3\Utilities\DownloadLogsFromS3.py --loco 4007 --day 2017-05-11</v>
      </c>
      <c r="AN138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9" spans="1:91" s="20" customFormat="1" x14ac:dyDescent="0.25">
      <c r="A139" s="32" t="s">
        <v>651</v>
      </c>
      <c r="B139" s="7">
        <v>4022</v>
      </c>
      <c r="C139" s="21" t="s">
        <v>206</v>
      </c>
      <c r="D139" s="21" t="s">
        <v>981</v>
      </c>
      <c r="E139" s="13">
        <v>42866.30091435185</v>
      </c>
      <c r="F139" s="13">
        <v>42866.306458333333</v>
      </c>
      <c r="G139" s="7">
        <v>1</v>
      </c>
      <c r="H139" s="21" t="s">
        <v>482</v>
      </c>
      <c r="I139" s="13">
        <v>42866.315185185187</v>
      </c>
      <c r="J139" s="7">
        <v>0</v>
      </c>
      <c r="K139" s="92" t="str">
        <f t="shared" si="44"/>
        <v>4021/4022</v>
      </c>
      <c r="L139" s="21" t="str">
        <f>VLOOKUP(A139,'Trips&amp;Operators'!$C$1:$G$99999,5,FALSE)</f>
        <v>LOZA FIDEL</v>
      </c>
      <c r="M139" s="6">
        <f t="shared" si="45"/>
        <v>8.7268518545897678E-3</v>
      </c>
      <c r="N139" s="7">
        <f t="shared" si="64"/>
        <v>12.566666670609266</v>
      </c>
      <c r="O139" s="7"/>
      <c r="P139" s="7"/>
      <c r="Q139" s="22"/>
      <c r="R139" s="190"/>
      <c r="S139" s="196">
        <f t="shared" si="65"/>
        <v>1</v>
      </c>
      <c r="T139" s="190" t="str">
        <f t="shared" si="46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</v>
      </c>
      <c r="V139" s="191" t="str">
        <f t="shared" si="47"/>
        <v>https://d0f6bd738d7f1b3e5a7ca70fe4ff75f0.us-east-1.aws.found.io/app/kibana#/discover/Steve-Slow-Train-Analysis-(2080s-and-2083s)?_g=(refreshInterval:(display:Off,pause:!f,section:0,value:0),time:(from:'2017-05-11T06:13:19-0600',mode:absolute,to:'2017-05-11T08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192" t="str">
        <f t="shared" si="48"/>
        <v>N</v>
      </c>
      <c r="X139" s="192">
        <f t="shared" si="62"/>
        <v>1</v>
      </c>
      <c r="Y139" s="192">
        <f t="shared" si="49"/>
        <v>9.8799999999999999E-2</v>
      </c>
      <c r="Z139" s="192">
        <f t="shared" si="63"/>
        <v>5.8960999999999997</v>
      </c>
      <c r="AA139" s="192">
        <f t="shared" si="50"/>
        <v>5.7972999999999999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51"/>
        <v>0807-11</v>
      </c>
      <c r="AE139" s="80" t="str">
        <f t="shared" si="52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39" s="77" t="str">
        <f t="shared" si="53"/>
        <v>"C:\Program Files (x86)\AstroGrep\AstroGrep.exe" /e /r /s /spath="%USERPROFILE%\AppData\Local\Temp\OnboardLogs" /stypes="app*4022*20170511*" /stext=" 13:.+((SYSTEM_STATE.+slice.+state.+changed )|(ment ac)|(multiple cpu faults)|(system.+state.+changed )|(\[timeout)|(PRM\|1\|D)|(kpr)|(kdp)|(train st.+moving)|(\|lc)|(penalty))"</v>
      </c>
      <c r="AG139" s="1" t="str">
        <f t="shared" si="54"/>
        <v>NW</v>
      </c>
      <c r="AH139" s="81" t="str">
        <f t="shared" si="55"/>
        <v>"%USERPROFILE%\Documents\GitHub\eaglep3\Utilities\RefineRTDCRunTimes.py" --tripid 807-11 --locoid 4022 --swversion DE.1.0.9.0 --startMP 204:988 --initTime 2017-05-11T07:13:19 --startdatetime 2017-05-11T07:21:18 --delay 1 --endMP 300:58961 --enddatetime 2017-05-11T07:33:52 --enforcementcount 0 &gt;&gt;C:\Users\stu\Documents\GitHub\eaglep3-reporting\EC\2017-05-11-refined-times.txt</v>
      </c>
      <c r="AI139" s="99" t="str">
        <f t="shared" si="56"/>
        <v>echo {"issue":{"subject":"","project_id":79,"tracker_id":40,"status_id":1,"priority_id":2,"assigned_to_id":23,"start_date":"2017-05-11","description":"","custom_fields":[{"id":1,"name":"Subdivision","value":"NW"},{"id":4,"name":"Milepost","value":"5.8961"},{"id":17,"name":"Train ID","value":"807-11"},{"id":16,"name":"Locomotive ID","value":"4022"},{"id":130,"name":"Impact","value":""},{"id":150,"name":"Time of Event (Mountain Time)","value":"07:33:52"},{"id":151,"name":"Denver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57"/>
        <v>start /low /b %USERPROFILE%\Documents\GitHub\eaglep3\Utilities\DownloadLogsFromS3.py --loco 4022 --day 2017-05-11</v>
      </c>
      <c r="AN139" s="154" t="str">
        <f t="shared" si="58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578</v>
      </c>
      <c r="B140" s="7">
        <v>4021</v>
      </c>
      <c r="C140" s="21" t="s">
        <v>206</v>
      </c>
      <c r="D140" s="21" t="s">
        <v>982</v>
      </c>
      <c r="E140" s="13">
        <v>42866.31659722222</v>
      </c>
      <c r="F140" s="13">
        <v>42866.318379629629</v>
      </c>
      <c r="G140" s="7">
        <v>1</v>
      </c>
      <c r="H140" s="21" t="s">
        <v>983</v>
      </c>
      <c r="I140" s="13">
        <v>42866.330081018517</v>
      </c>
      <c r="J140" s="7">
        <v>0</v>
      </c>
      <c r="K140" s="92" t="str">
        <f t="shared" ref="K140:K205" si="66">IF(ISEVEN(B140),(B140-1)&amp;"/"&amp;B140,B140&amp;"/"&amp;(B140+1))</f>
        <v>4021/4022</v>
      </c>
      <c r="L140" s="21" t="str">
        <f>VLOOKUP(A140,'Trips&amp;Operators'!$C$1:$G$99999,5,FALSE)</f>
        <v>LOZA FIDEL</v>
      </c>
      <c r="M140" s="6">
        <f t="shared" ref="M140:M205" si="67">I140-F140</f>
        <v>1.17013888884685E-2</v>
      </c>
      <c r="N140" s="7">
        <f t="shared" si="64"/>
        <v>16.84999999939464</v>
      </c>
      <c r="O140" s="7"/>
      <c r="P140" s="7"/>
      <c r="Q140" s="22"/>
      <c r="R140" s="190"/>
      <c r="S140" s="196">
        <f t="shared" si="65"/>
        <v>1</v>
      </c>
      <c r="T140" s="190" t="str">
        <f t="shared" ref="T140:T205" si="68">IF(ISEVEN(LEFT(AD140,4)),"Southbound","NorthBound")</f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</v>
      </c>
      <c r="V140" s="191" t="str">
        <f t="shared" ref="V140:V205" si="69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-05-11T06:35:54-0600',mode:absolute,to:'2017-05-11T08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192" t="str">
        <f t="shared" ref="W140:W205" si="70">IF(AA140&lt;IF(AG140="EC",23,5.65),"Y","N")</f>
        <v>N</v>
      </c>
      <c r="X140" s="192">
        <f t="shared" si="62"/>
        <v>1</v>
      </c>
      <c r="Y140" s="192">
        <f t="shared" ref="Y140:Y205" si="71">RIGHT(D140,LEN(D140)-4)/10000</f>
        <v>5.8651</v>
      </c>
      <c r="Z140" s="192">
        <f t="shared" si="63"/>
        <v>6.9400000000000003E-2</v>
      </c>
      <c r="AA140" s="192">
        <f t="shared" ref="AA140:AA205" si="72">ABS(Z140-Y140)</f>
        <v>5.7957000000000001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ref="AD140:AD205" si="73">IF(LEN(A140)=6,"0"&amp;A140,A140)</f>
        <v>0808-11</v>
      </c>
      <c r="AE140" s="80" t="str">
        <f t="shared" ref="AE140:AE205" si="74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40" s="77" t="str">
        <f t="shared" ref="AF140:AF205" si="75"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/stypes="app*4021*20170511*" /stext=" 13:.+((SYSTEM_STATE.+slice.+state.+changed )|(ment ac)|(multiple cpu faults)|(system.+state.+changed )|(\[timeout)|(PRM\|1\|D)|(kpr)|(kdp)|(train st.+moving)|(\|lc)|(penalty))"</v>
      </c>
      <c r="AG140" s="1" t="str">
        <f t="shared" ref="AG140:AG205" si="76">IFERROR(IF(VALUE(LEFT(AD140,2))&lt;=2,"EC",IF(OR(VALUE(LEFT(AD140,2))=8,VALUE(LEFT(AD140,2))=18),"NW","Other")),"Other")</f>
        <v>NW</v>
      </c>
      <c r="AH140" s="81" t="str">
        <f t="shared" ref="AH140:AH205" si="77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808-11 --locoid 4021 --swversion DE.1.0.9.0 --startMP 300:58651 --initTime 2017-05-11T07:35:54 --startdatetime 2017-05-11T07:38:28 --delay 1 --endMP 204:694 --enddatetime 2017-05-11T07:55:19 --enforcementcount 0 &gt;&gt;C:\Users\stu\Documents\GitHub\eaglep3-reporting\EC\2017-05-11-refined-times.txt</v>
      </c>
      <c r="AI140" s="99" t="str">
        <f t="shared" ref="AI140:AI205" si="78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{"issue":{"subject":"","project_id":79,"tracker_id":40,"status_id":1,"priority_id":2,"assigned_to_id":23,"start_date":"2017-05-11","description":"","custom_fields":[{"id":1,"name":"Subdivision","value":"NW"},{"id":4,"name":"Milepost","value":"0.0694"},{"id":17,"name":"Train ID","value":"808-11"},{"id":16,"name":"Locomotive ID","value":"4021"},{"id":130,"name":"Impact","value":""},{"id":150,"name":"Time of Event (Mountain Time)","value":"07:55:19"},{"id":151,"name":"Denver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ref="AM140:AM205" si="79">"start /low /b "&amp;dls3logs&amp;" --loco "&amp;B140&amp;" --day "&amp;TEXT(F140,"YYYY-MM-DD")</f>
        <v>start /low /b %USERPROFILE%\Documents\GitHub\eaglep3\Utilities\DownloadLogsFromS3.py --loco 4021 --day 2017-05-11</v>
      </c>
      <c r="AN140" s="154" t="str">
        <f t="shared" ref="AN140:AN205" si="80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581</v>
      </c>
      <c r="B141" s="7">
        <v>4008</v>
      </c>
      <c r="C141" s="21" t="s">
        <v>206</v>
      </c>
      <c r="D141" s="21" t="s">
        <v>561</v>
      </c>
      <c r="E141" s="13">
        <v>42866.311030092591</v>
      </c>
      <c r="F141" s="13">
        <v>42866.327488425923</v>
      </c>
      <c r="G141" s="7">
        <v>1</v>
      </c>
      <c r="H141" s="21" t="s">
        <v>567</v>
      </c>
      <c r="I141" s="13">
        <v>42866.336875000001</v>
      </c>
      <c r="J141" s="7">
        <v>0</v>
      </c>
      <c r="K141" s="92" t="str">
        <f t="shared" si="66"/>
        <v>4007/4008</v>
      </c>
      <c r="L141" s="21" t="str">
        <f>VLOOKUP(A141,'Trips&amp;Operators'!$C$1:$G$99999,5,FALSE)</f>
        <v>MACDONALD THOMAS</v>
      </c>
      <c r="M141" s="6">
        <f t="shared" si="67"/>
        <v>9.3865740782348439E-3</v>
      </c>
      <c r="N141" s="7">
        <f t="shared" si="64"/>
        <v>13.516666672658175</v>
      </c>
      <c r="O141" s="7"/>
      <c r="P141" s="7"/>
      <c r="Q141" s="22"/>
      <c r="R141" s="190"/>
      <c r="S141" s="196">
        <f t="shared" si="65"/>
        <v>1</v>
      </c>
      <c r="T141" s="190" t="str">
        <f t="shared" si="68"/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</v>
      </c>
      <c r="V141" s="191" t="str">
        <f t="shared" si="69"/>
        <v>https://d0f6bd738d7f1b3e5a7ca70fe4ff75f0.us-east-1.aws.found.io/app/kibana#/discover/Steve-Slow-Train-Analysis-(2080s-and-2083s)?_g=(refreshInterval:(display:Off,pause:!f,section:0,value:0),time:(from:'2017-05-11T06:27:53-0600',mode:absolute,to:'2017-05-11T09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192" t="str">
        <f t="shared" si="70"/>
        <v>N</v>
      </c>
      <c r="X141" s="192">
        <f t="shared" si="62"/>
        <v>1</v>
      </c>
      <c r="Y141" s="192">
        <f t="shared" si="71"/>
        <v>9.9199999999999997E-2</v>
      </c>
      <c r="Z141" s="192">
        <f t="shared" si="63"/>
        <v>5.8979999999999997</v>
      </c>
      <c r="AA141" s="192">
        <f t="shared" si="72"/>
        <v>5.7988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si="73"/>
        <v>0809-11</v>
      </c>
      <c r="AE141" s="80" t="str">
        <f t="shared" si="74"/>
        <v>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 &amp; aws s3 cp s3://rtdc.mdm.uploadarchive.raw/RTDC4008/ "%USERPROFILE%\AppData\Local\Temp\OnboardLogs"\RTDC4008\2017-05-12 --exclude "*" --recursive --include "*20170512*" &amp; "%USERPROFILE%\Documents\GitHub\mrs-test-scripts\Headless Mode &amp; Sideloading\WalkAndUnGZ.bat" "%USERPROFILE%\AppData\Local\Temp\OnboardLogs"\RTDC4008\2017-05-12</v>
      </c>
      <c r="AF141" s="77" t="str">
        <f t="shared" si="75"/>
        <v>"C:\Program Files (x86)\AstroGrep\AstroGrep.exe" /e /r /s /spath="%USERPROFILE%\AppData\Local\Temp\OnboardLogs" /stypes="app*4008*20170511*" /stext=" 14:.+((SYSTEM_STATE.+slice.+state.+changed )|(ment ac)|(multiple cpu faults)|(system.+state.+changed )|(\[timeout)|(PRM\|1\|D)|(kpr)|(kdp)|(train st.+moving)|(\|lc)|(penalty))"</v>
      </c>
      <c r="AG141" s="1" t="str">
        <f t="shared" si="76"/>
        <v>NW</v>
      </c>
      <c r="AH141" s="81" t="str">
        <f t="shared" si="77"/>
        <v>"%USERPROFILE%\Documents\GitHub\eaglep3\Utilities\RefineRTDCRunTimes.py" --tripid 809-11 --locoid 4008 --swversion DE.1.0.9.0 --startMP 204:992 --initTime 2017-05-11T07:27:53 --startdatetime 2017-05-11T07:51:35 --delay 1 --endMP 300:58980 --enddatetime 2017-05-11T08:05:06 --enforcementcount 0 &gt;&gt;C:\Users\stu\Documents\GitHub\eaglep3-reporting\EC\2017-05-11-refined-times.txt</v>
      </c>
      <c r="AI141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{"issue":{"subject":"","project_id":79,"tracker_id":40,"status_id":1,"priority_id":2,"assigned_to_id":23,"start_date":"2017-05-11","description":"","custom_fields":[{"id":1,"name":"Subdivision","value":"NW"},{"id":4,"name":"Milepost","value":"5.898"},{"id":17,"name":"Train ID","value":"809-11"},{"id":16,"name":"Locomotive ID","value":"4008"},{"id":130,"name":"Impact","value":""},{"id":150,"name":"Time of Event (Mountain Time)","value":"08:05:06"},{"id":151,"name":"Denver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79"/>
        <v>start /low /b %USERPROFILE%\Documents\GitHub\eaglep3\Utilities\DownloadLogsFromS3.py --loco 4008 --day 2017-05-11</v>
      </c>
      <c r="AN141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582</v>
      </c>
      <c r="B142" s="7">
        <v>4007</v>
      </c>
      <c r="C142" s="21" t="s">
        <v>206</v>
      </c>
      <c r="D142" s="21" t="s">
        <v>984</v>
      </c>
      <c r="E142" s="13">
        <v>42866.337500000001</v>
      </c>
      <c r="F142" s="13">
        <v>42866.338495370372</v>
      </c>
      <c r="G142" s="7">
        <v>0</v>
      </c>
      <c r="H142" s="21" t="s">
        <v>985</v>
      </c>
      <c r="I142" s="13">
        <v>42866.351215277777</v>
      </c>
      <c r="J142" s="7">
        <v>0</v>
      </c>
      <c r="K142" s="92" t="str">
        <f t="shared" si="66"/>
        <v>4007/4008</v>
      </c>
      <c r="L142" s="21" t="str">
        <f>VLOOKUP(A142,'Trips&amp;Operators'!$C$1:$G$99999,5,FALSE)</f>
        <v>MACDONALD THOMAS</v>
      </c>
      <c r="M142" s="6">
        <f t="shared" si="67"/>
        <v>1.2719907404971309E-2</v>
      </c>
      <c r="N142" s="7">
        <f t="shared" si="64"/>
        <v>18.316666663158685</v>
      </c>
      <c r="O142" s="7"/>
      <c r="P142" s="7"/>
      <c r="Q142" s="22"/>
      <c r="R142" s="190"/>
      <c r="S142" s="196">
        <f t="shared" si="65"/>
        <v>1</v>
      </c>
      <c r="T142" s="190" t="str">
        <f t="shared" si="68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</v>
      </c>
      <c r="V142" s="191" t="str">
        <f t="shared" si="69"/>
        <v>https://d0f6bd738d7f1b3e5a7ca70fe4ff75f0.us-east-1.aws.found.io/app/kibana#/discover/Steve-Slow-Train-Analysis-(2080s-and-2083s)?_g=(refreshInterval:(display:Off,pause:!f,section:0,value:0),time:(from:'2017-05-11T07:06:00-0600',mode:absolute,to:'2017-05-11T09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2" s="192" t="str">
        <f t="shared" si="70"/>
        <v>N</v>
      </c>
      <c r="X142" s="192">
        <f t="shared" si="62"/>
        <v>1</v>
      </c>
      <c r="Y142" s="192">
        <f t="shared" si="71"/>
        <v>5.8654999999999999</v>
      </c>
      <c r="Z142" s="192">
        <f t="shared" si="63"/>
        <v>1.5100000000000001E-2</v>
      </c>
      <c r="AA142" s="192">
        <f t="shared" si="72"/>
        <v>5.8503999999999996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73"/>
        <v>0810-11</v>
      </c>
      <c r="AE142" s="80" t="str">
        <f t="shared" si="74"/>
        <v>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 &amp; aws s3 cp s3://rtdc.mdm.uploadarchive.raw/RTDC4007/ "%USERPROFILE%\AppData\Local\Temp\OnboardLogs"\RTDC4007\2017-05-12 --exclude "*" --recursive --include "*20170512*" &amp; "%USERPROFILE%\Documents\GitHub\mrs-test-scripts\Headless Mode &amp; Sideloading\WalkAndUnGZ.bat" "%USERPROFILE%\AppData\Local\Temp\OnboardLogs"\RTDC4007\2017-05-12</v>
      </c>
      <c r="AF142" s="77" t="str">
        <f t="shared" si="75"/>
        <v>"C:\Program Files (x86)\AstroGrep\AstroGrep.exe" /e /r /s /spath="%USERPROFILE%\AppData\Local\Temp\OnboardLogs" /stypes="app*4007*20170511*" /stext=" 14:.+((SYSTEM_STATE.+slice.+state.+changed )|(ment ac)|(multiple cpu faults)|(system.+state.+changed )|(\[timeout)|(PRM\|1\|D)|(kpr)|(kdp)|(train st.+moving)|(\|lc)|(penalty))"</v>
      </c>
      <c r="AG142" s="1" t="str">
        <f t="shared" si="76"/>
        <v>NW</v>
      </c>
      <c r="AH142" s="81" t="str">
        <f t="shared" si="77"/>
        <v>"%USERPROFILE%\Documents\GitHub\eaglep3\Utilities\RefineRTDCRunTimes.py" --tripid 810-11 --locoid 4007 --swversion DE.1.0.9.0 --startMP 300:58655 --initTime 2017-05-11T08:06:00 --startdatetime 2017-05-11T08:07:26 --delay 0 --endMP 204:151 --enddatetime 2017-05-11T08:25:45 --enforcementcount 0 &gt;&gt;C:\Users\stu\Documents\GitHub\eaglep3-reporting\EC\2017-05-11-refined-times.txt</v>
      </c>
      <c r="AI142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{"issue":{"subject":"","project_id":79,"tracker_id":40,"status_id":1,"priority_id":2,"assigned_to_id":23,"start_date":"2017-05-11","description":"","custom_fields":[{"id":1,"name":"Subdivision","value":"NW"},{"id":4,"name":"Milepost","value":"0.0151"},{"id":17,"name":"Train ID","value":"810-11"},{"id":16,"name":"Locomotive ID","value":"4007"},{"id":130,"name":"Impact","value":""},{"id":150,"name":"Time of Event (Mountain Time)","value":"08:25:45"},{"id":151,"name":"Denver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79"/>
        <v>start /low /b %USERPROFILE%\Documents\GitHub\eaglep3\Utilities\DownloadLogsFromS3.py --loco 4007 --day 2017-05-11</v>
      </c>
      <c r="AN142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659</v>
      </c>
      <c r="B143" s="7">
        <v>4022</v>
      </c>
      <c r="C143" s="21" t="s">
        <v>206</v>
      </c>
      <c r="D143" s="21" t="s">
        <v>453</v>
      </c>
      <c r="E143" s="13">
        <v>42866.344490740739</v>
      </c>
      <c r="F143" s="13">
        <v>42866.348113425927</v>
      </c>
      <c r="G143" s="7">
        <v>1</v>
      </c>
      <c r="H143" s="21" t="s">
        <v>986</v>
      </c>
      <c r="I143" s="13">
        <v>42866.356898148151</v>
      </c>
      <c r="J143" s="7">
        <v>0</v>
      </c>
      <c r="K143" s="92" t="str">
        <f t="shared" si="66"/>
        <v>4021/4022</v>
      </c>
      <c r="L143" s="21" t="str">
        <f>VLOOKUP(A143,'Trips&amp;Operators'!$C$1:$G$99999,5,FALSE)</f>
        <v>LOZA FIDEL</v>
      </c>
      <c r="M143" s="6">
        <f t="shared" si="67"/>
        <v>8.7847222239361145E-3</v>
      </c>
      <c r="N143" s="7">
        <f t="shared" si="64"/>
        <v>12.650000002468005</v>
      </c>
      <c r="O143" s="7"/>
      <c r="P143" s="7"/>
      <c r="Q143" s="22"/>
      <c r="R143" s="190"/>
      <c r="S143" s="196">
        <f t="shared" si="65"/>
        <v>1</v>
      </c>
      <c r="T143" s="190" t="str">
        <f t="shared" si="68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</v>
      </c>
      <c r="V143" s="191" t="str">
        <f t="shared" si="69"/>
        <v>https://d0f6bd738d7f1b3e5a7ca70fe4ff75f0.us-east-1.aws.found.io/app/kibana#/discover/Steve-Slow-Train-Analysis-(2080s-and-2083s)?_g=(refreshInterval:(display:Off,pause:!f,section:0,value:0),time:(from:'2017-05-11T07:16:04-0600',mode:absolute,to:'2017-05-11T09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3" s="192" t="str">
        <f t="shared" si="70"/>
        <v>N</v>
      </c>
      <c r="X143" s="192">
        <f t="shared" si="62"/>
        <v>1</v>
      </c>
      <c r="Y143" s="192">
        <f t="shared" si="71"/>
        <v>9.7900000000000001E-2</v>
      </c>
      <c r="Z143" s="192">
        <f t="shared" si="63"/>
        <v>5.8948</v>
      </c>
      <c r="AA143" s="192">
        <f t="shared" si="72"/>
        <v>5.7968999999999999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73"/>
        <v>0811-11</v>
      </c>
      <c r="AE143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43" s="77" t="str">
        <f t="shared" si="75"/>
        <v>"C:\Program Files (x86)\AstroGrep\AstroGrep.exe" /e /r /s /spath="%USERPROFILE%\AppData\Local\Temp\OnboardLogs" /stypes="app*4022*20170511*" /stext=" 14:.+((SYSTEM_STATE.+slice.+state.+changed )|(ment ac)|(multiple cpu faults)|(system.+state.+changed )|(\[timeout)|(PRM\|1\|D)|(kpr)|(kdp)|(train st.+moving)|(\|lc)|(penalty))"</v>
      </c>
      <c r="AG143" s="1" t="str">
        <f t="shared" si="76"/>
        <v>NW</v>
      </c>
      <c r="AH143" s="81" t="str">
        <f t="shared" si="77"/>
        <v>"%USERPROFILE%\Documents\GitHub\eaglep3\Utilities\RefineRTDCRunTimes.py" --tripid 811-11 --locoid 4022 --swversion DE.1.0.9.0 --startMP 204:979 --initTime 2017-05-11T08:16:04 --startdatetime 2017-05-11T08:21:17 --delay 1 --endMP 300:58948 --enddatetime 2017-05-11T08:33:56 --enforcementcount 0 &gt;&gt;C:\Users\stu\Documents\GitHub\eaglep3-reporting\EC\2017-05-11-refined-times.txt</v>
      </c>
      <c r="AI143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{"issue":{"subject":"","project_id":79,"tracker_id":40,"status_id":1,"priority_id":2,"assigned_to_id":23,"start_date":"2017-05-11","description":"","custom_fields":[{"id":1,"name":"Subdivision","value":"NW"},{"id":4,"name":"Milepost","value":"5.8948"},{"id":17,"name":"Train ID","value":"811-11"},{"id":16,"name":"Locomotive ID","value":"4022"},{"id":130,"name":"Impact","value":""},{"id":150,"name":"Time of Event (Mountain Time)","value":"08:33:56"},{"id":151,"name":"Denver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79"/>
        <v>start /low /b %USERPROFILE%\Documents\GitHub\eaglep3\Utilities\DownloadLogsFromS3.py --loco 4022 --day 2017-05-11</v>
      </c>
      <c r="AN143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663</v>
      </c>
      <c r="B144" s="7">
        <v>4021</v>
      </c>
      <c r="C144" s="21" t="s">
        <v>206</v>
      </c>
      <c r="D144" s="21" t="s">
        <v>987</v>
      </c>
      <c r="E144" s="13">
        <v>42866.358657407407</v>
      </c>
      <c r="F144" s="13">
        <v>42866.360555555555</v>
      </c>
      <c r="G144" s="7">
        <v>1</v>
      </c>
      <c r="H144" s="21" t="s">
        <v>563</v>
      </c>
      <c r="I144" s="13">
        <v>42866.371342592596</v>
      </c>
      <c r="J144" s="7">
        <v>0</v>
      </c>
      <c r="K144" s="92" t="str">
        <f t="shared" si="66"/>
        <v>4021/4022</v>
      </c>
      <c r="L144" s="21" t="str">
        <f>VLOOKUP(A144,'Trips&amp;Operators'!$C$1:$G$99999,5,FALSE)</f>
        <v>LOZA FIDEL</v>
      </c>
      <c r="M144" s="6">
        <f t="shared" si="67"/>
        <v>1.078703704115469E-2</v>
      </c>
      <c r="N144" s="7">
        <f t="shared" si="64"/>
        <v>15.533333339262754</v>
      </c>
      <c r="O144" s="7"/>
      <c r="P144" s="7"/>
      <c r="Q144" s="22"/>
      <c r="R144" s="190"/>
      <c r="S144" s="196">
        <f t="shared" si="65"/>
        <v>1</v>
      </c>
      <c r="T144" s="190" t="str">
        <f t="shared" si="68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</v>
      </c>
      <c r="V144" s="191" t="str">
        <f t="shared" si="69"/>
        <v>https://d0f6bd738d7f1b3e5a7ca70fe4ff75f0.us-east-1.aws.found.io/app/kibana#/discover/Steve-Slow-Train-Analysis-(2080s-and-2083s)?_g=(refreshInterval:(display:Off,pause:!f,section:0,value:0),time:(from:'2017-05-11T07:36:28-0600',mode:absolute,to:'2017-05-11T09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4" s="192" t="str">
        <f t="shared" si="70"/>
        <v>N</v>
      </c>
      <c r="X144" s="192">
        <f t="shared" si="62"/>
        <v>1</v>
      </c>
      <c r="Y144" s="192">
        <f t="shared" si="71"/>
        <v>5.8638000000000003</v>
      </c>
      <c r="Z144" s="192">
        <f t="shared" si="63"/>
        <v>6.8699999999999997E-2</v>
      </c>
      <c r="AA144" s="192">
        <f t="shared" si="72"/>
        <v>5.7951000000000006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73"/>
        <v>0812-11</v>
      </c>
      <c r="AE144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44" s="77" t="str">
        <f t="shared" si="75"/>
        <v>"C:\Program Files (x86)\AstroGrep\AstroGrep.exe" /e /r /s /spath="%USERPROFILE%\AppData\Local\Temp\OnboardLogs" /stypes="app*4021*20170511*" /stext=" 14:.+((SYSTEM_STATE.+slice.+state.+changed )|(ment ac)|(multiple cpu faults)|(system.+state.+changed )|(\[timeout)|(PRM\|1\|D)|(kpr)|(kdp)|(train st.+moving)|(\|lc)|(penalty))"</v>
      </c>
      <c r="AG144" s="1" t="str">
        <f t="shared" si="76"/>
        <v>NW</v>
      </c>
      <c r="AH144" s="81" t="str">
        <f t="shared" si="77"/>
        <v>"%USERPROFILE%\Documents\GitHub\eaglep3\Utilities\RefineRTDCRunTimes.py" --tripid 812-11 --locoid 4021 --swversion DE.1.0.9.0 --startMP 300:58638 --initTime 2017-05-11T08:36:28 --startdatetime 2017-05-11T08:39:12 --delay 1 --endMP 204:687 --enddatetime 2017-05-11T08:54:44 --enforcementcount 0 &gt;&gt;C:\Users\stu\Documents\GitHub\eaglep3-reporting\EC\2017-05-11-refined-times.txt</v>
      </c>
      <c r="AI144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{"issue":{"subject":"","project_id":79,"tracker_id":40,"status_id":1,"priority_id":2,"assigned_to_id":23,"start_date":"2017-05-11","description":"","custom_fields":[{"id":1,"name":"Subdivision","value":"NW"},{"id":4,"name":"Milepost","value":"0.0687"},{"id":17,"name":"Train ID","value":"812-11"},{"id":16,"name":"Locomotive ID","value":"4021"},{"id":130,"name":"Impact","value":""},{"id":150,"name":"Time of Event (Mountain Time)","value":"08:54:44"},{"id":151,"name":"Denver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79"/>
        <v>start /low /b %USERPROFILE%\Documents\GitHub\eaglep3\Utilities\DownloadLogsFromS3.py --loco 4021 --day 2017-05-11</v>
      </c>
      <c r="AN144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2" t="s">
        <v>666</v>
      </c>
      <c r="B145" s="7">
        <v>4022</v>
      </c>
      <c r="C145" s="21" t="s">
        <v>206</v>
      </c>
      <c r="D145" s="21" t="s">
        <v>977</v>
      </c>
      <c r="E145" s="13">
        <v>42866.382013888891</v>
      </c>
      <c r="F145" s="13">
        <v>42866.389803240738</v>
      </c>
      <c r="G145" s="7">
        <v>0</v>
      </c>
      <c r="H145" s="21" t="s">
        <v>485</v>
      </c>
      <c r="I145" s="13">
        <v>42866.398553240739</v>
      </c>
      <c r="J145" s="7">
        <v>0</v>
      </c>
      <c r="K145" s="92" t="str">
        <f t="shared" si="66"/>
        <v>4021/4022</v>
      </c>
      <c r="L145" s="21" t="str">
        <f>VLOOKUP(A145,'Trips&amp;Operators'!$C$1:$G$99999,5,FALSE)</f>
        <v>LOZA FIDEL</v>
      </c>
      <c r="M145" s="6">
        <f t="shared" si="67"/>
        <v>8.7500000008731149E-3</v>
      </c>
      <c r="N145" s="7">
        <f t="shared" si="64"/>
        <v>12.600000001257285</v>
      </c>
      <c r="O145" s="7"/>
      <c r="P145" s="7"/>
      <c r="Q145" s="22"/>
      <c r="R145" s="190"/>
      <c r="S145" s="196">
        <f t="shared" si="65"/>
        <v>1</v>
      </c>
      <c r="T145" s="190" t="str">
        <f t="shared" si="68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</v>
      </c>
      <c r="V145" s="191" t="str">
        <f t="shared" si="69"/>
        <v>https://d0f6bd738d7f1b3e5a7ca70fe4ff75f0.us-east-1.aws.found.io/app/kibana#/discover/Steve-Slow-Train-Analysis-(2080s-and-2083s)?_g=(refreshInterval:(display:Off,pause:!f,section:0,value:0),time:(from:'2017-05-11T08:10:06-0600',mode:absolute,to:'2017-05-11T10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5" s="192" t="str">
        <f t="shared" si="70"/>
        <v>N</v>
      </c>
      <c r="X145" s="192">
        <f t="shared" si="62"/>
        <v>1</v>
      </c>
      <c r="Y145" s="192">
        <f t="shared" si="71"/>
        <v>9.7100000000000006E-2</v>
      </c>
      <c r="Z145" s="192">
        <f t="shared" si="63"/>
        <v>5.8956</v>
      </c>
      <c r="AA145" s="192">
        <f t="shared" si="72"/>
        <v>5.7984999999999998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73"/>
        <v>0813-11</v>
      </c>
      <c r="AE145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45" s="77" t="str">
        <f t="shared" si="75"/>
        <v>"C:\Program Files (x86)\AstroGrep\AstroGrep.exe" /e /r /s /spath="%USERPROFILE%\AppData\Local\Temp\OnboardLogs" /stypes="app*4022*20170511*" /stext=" 15:.+((SYSTEM_STATE.+slice.+state.+changed )|(ment ac)|(multiple cpu faults)|(system.+state.+changed )|(\[timeout)|(PRM\|1\|D)|(kpr)|(kdp)|(train st.+moving)|(\|lc)|(penalty))"</v>
      </c>
      <c r="AG145" s="1" t="str">
        <f t="shared" si="76"/>
        <v>NW</v>
      </c>
      <c r="AH145" s="81" t="str">
        <f t="shared" si="77"/>
        <v>"%USERPROFILE%\Documents\GitHub\eaglep3\Utilities\RefineRTDCRunTimes.py" --tripid 813-11 --locoid 4022 --swversion DE.1.0.9.0 --startMP 204:971 --initTime 2017-05-11T09:10:06 --startdatetime 2017-05-11T09:21:19 --delay 0 --endMP 300:58956 --enddatetime 2017-05-11T09:33:55 --enforcementcount 0 &gt;&gt;C:\Users\stu\Documents\GitHub\eaglep3-reporting\EC\2017-05-11-refined-times.txt</v>
      </c>
      <c r="AI145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{"issue":{"subject":"","project_id":79,"tracker_id":40,"status_id":1,"priority_id":2,"assigned_to_id":23,"start_date":"2017-05-11","description":"","custom_fields":[{"id":1,"name":"Subdivision","value":"NW"},{"id":4,"name":"Milepost","value":"5.8956"},{"id":17,"name":"Train ID","value":"813-11"},{"id":16,"name":"Locomotive ID","value":"4022"},{"id":130,"name":"Impact","value":""},{"id":150,"name":"Time of Event (Mountain Time)","value":"09:33:55"},{"id":151,"name":"Denver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20"/>
      <c r="AK145" s="47"/>
      <c r="AL145" s="47"/>
      <c r="AM145" s="145" t="str">
        <f t="shared" si="79"/>
        <v>start /low /b %USERPROFILE%\Documents\GitHub\eaglep3\Utilities\DownloadLogsFromS3.py --loco 4022 --day 2017-05-11</v>
      </c>
      <c r="AN145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15:33:55"},{"id":29,"name":"Sharepoint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6" spans="1:91" x14ac:dyDescent="0.25">
      <c r="A146" s="32" t="s">
        <v>669</v>
      </c>
      <c r="B146" s="7">
        <v>4021</v>
      </c>
      <c r="C146" s="21" t="s">
        <v>206</v>
      </c>
      <c r="D146" s="21" t="s">
        <v>555</v>
      </c>
      <c r="E146" s="13">
        <v>42866.400057870371</v>
      </c>
      <c r="F146" s="13">
        <v>42866.401643518519</v>
      </c>
      <c r="G146" s="7">
        <v>1</v>
      </c>
      <c r="H146" s="21" t="s">
        <v>569</v>
      </c>
      <c r="I146" s="13">
        <v>42866.412789351853</v>
      </c>
      <c r="J146" s="7">
        <v>0</v>
      </c>
      <c r="K146" s="92" t="str">
        <f t="shared" si="66"/>
        <v>4021/4022</v>
      </c>
      <c r="L146" s="21" t="str">
        <f>VLOOKUP(A146,'Trips&amp;Operators'!$C$1:$G$99999,5,FALSE)</f>
        <v>LOZA FIDEL</v>
      </c>
      <c r="M146" s="6">
        <f t="shared" si="67"/>
        <v>1.1145833334012423E-2</v>
      </c>
      <c r="N146" s="7">
        <f t="shared" si="64"/>
        <v>16.050000000977889</v>
      </c>
      <c r="O146" s="7"/>
      <c r="P146" s="7"/>
      <c r="Q146" s="22"/>
      <c r="R146" s="190"/>
      <c r="S146" s="196">
        <f t="shared" si="65"/>
        <v>1</v>
      </c>
      <c r="T146" s="190" t="str">
        <f t="shared" si="68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</v>
      </c>
      <c r="V146" s="191" t="str">
        <f t="shared" si="69"/>
        <v>https://d0f6bd738d7f1b3e5a7ca70fe4ff75f0.us-east-1.aws.found.io/app/kibana#/discover/Steve-Slow-Train-Analysis-(2080s-and-2083s)?_g=(refreshInterval:(display:Off,pause:!f,section:0,value:0),time:(from:'2017-05-11T08:36:05-0600',mode:absolute,to:'2017-05-11T10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6" s="192" t="str">
        <f t="shared" si="70"/>
        <v>N</v>
      </c>
      <c r="X146" s="192">
        <f t="shared" si="62"/>
        <v>1</v>
      </c>
      <c r="Y146" s="192">
        <f t="shared" si="71"/>
        <v>5.8647</v>
      </c>
      <c r="Z146" s="192">
        <f t="shared" si="63"/>
        <v>6.6799999999999998E-2</v>
      </c>
      <c r="AA146" s="192">
        <f t="shared" si="72"/>
        <v>5.7979000000000003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73"/>
        <v>0814-11</v>
      </c>
      <c r="AE146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46" s="77" t="str">
        <f t="shared" si="75"/>
        <v>"C:\Program Files (x86)\AstroGrep\AstroGrep.exe" /e /r /s /spath="%USERPROFILE%\AppData\Local\Temp\OnboardLogs" /stypes="app*4021*20170511*" /stext=" 15:.+((SYSTEM_STATE.+slice.+state.+changed )|(ment ac)|(multiple cpu faults)|(system.+state.+changed )|(\[timeout)|(PRM\|1\|D)|(kpr)|(kdp)|(train st.+moving)|(\|lc)|(penalty))"</v>
      </c>
      <c r="AG146" s="1" t="str">
        <f t="shared" si="76"/>
        <v>NW</v>
      </c>
      <c r="AH146" s="81" t="str">
        <f t="shared" si="77"/>
        <v>"%USERPROFILE%\Documents\GitHub\eaglep3\Utilities\RefineRTDCRunTimes.py" --tripid 814-11 --locoid 4021 --swversion DE.1.0.9.0 --startMP 300:58647 --initTime 2017-05-11T09:36:05 --startdatetime 2017-05-11T09:38:22 --delay 1 --endMP 204:668 --enddatetime 2017-05-11T09:54:25 --enforcementcount 0 &gt;&gt;C:\Users\stu\Documents\GitHub\eaglep3-reporting\EC\2017-05-11-refined-times.txt</v>
      </c>
      <c r="AI146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{"issue":{"subject":"","project_id":79,"tracker_id":40,"status_id":1,"priority_id":2,"assigned_to_id":23,"start_date":"2017-05-11","description":"","custom_fields":[{"id":1,"name":"Subdivision","value":"NW"},{"id":4,"name":"Milepost","value":"0.0668"},{"id":17,"name":"Train ID","value":"814-11"},{"id":16,"name":"Locomotive ID","value":"4021"},{"id":130,"name":"Impact","value":""},{"id":150,"name":"Time of Event (Mountain Time)","value":"09:54:25"},{"id":151,"name":"Denver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79"/>
        <v>start /low /b %USERPROFILE%\Documents\GitHub\eaglep3\Utilities\DownloadLogsFromS3.py --loco 4021 --day 2017-05-11</v>
      </c>
      <c r="AN146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15:54:25"},{"id":29,"name":"Sharepoint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2" t="s">
        <v>675</v>
      </c>
      <c r="B147" s="7">
        <v>4022</v>
      </c>
      <c r="C147" s="21" t="s">
        <v>206</v>
      </c>
      <c r="D147" s="21" t="s">
        <v>988</v>
      </c>
      <c r="E147" s="13">
        <v>42866.429444444446</v>
      </c>
      <c r="F147" s="13">
        <v>42866.431446759256</v>
      </c>
      <c r="G147" s="7">
        <v>1</v>
      </c>
      <c r="H147" s="21" t="s">
        <v>989</v>
      </c>
      <c r="I147" s="13">
        <v>42866.440439814818</v>
      </c>
      <c r="J147" s="7">
        <v>0</v>
      </c>
      <c r="K147" s="92" t="str">
        <f t="shared" si="66"/>
        <v>4021/4022</v>
      </c>
      <c r="L147" s="21" t="str">
        <f>VLOOKUP(A147,'Trips&amp;Operators'!$C$1:$G$99999,5,FALSE)</f>
        <v>LOZA FIDEL</v>
      </c>
      <c r="M147" s="6">
        <f t="shared" si="67"/>
        <v>8.9930555623141117E-3</v>
      </c>
      <c r="N147" s="7">
        <f t="shared" si="64"/>
        <v>12.950000009732321</v>
      </c>
      <c r="O147" s="7"/>
      <c r="P147" s="7"/>
      <c r="Q147" s="22"/>
      <c r="R147" s="190"/>
      <c r="S147" s="196">
        <f t="shared" si="65"/>
        <v>1</v>
      </c>
      <c r="T147" s="190" t="str">
        <f t="shared" si="68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</v>
      </c>
      <c r="V147" s="191" t="str">
        <f t="shared" si="69"/>
        <v>https://d0f6bd738d7f1b3e5a7ca70fe4ff75f0.us-east-1.aws.found.io/app/kibana#/discover/Steve-Slow-Train-Analysis-(2080s-and-2083s)?_g=(refreshInterval:(display:Off,pause:!f,section:0,value:0),time:(from:'2017-05-11T09:18:24-0600',mode:absolute,to:'2017-05-11T11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192" t="str">
        <f t="shared" si="70"/>
        <v>N</v>
      </c>
      <c r="X147" s="192">
        <f t="shared" si="62"/>
        <v>1</v>
      </c>
      <c r="Y147" s="192">
        <f t="shared" si="71"/>
        <v>9.7799999999999998E-2</v>
      </c>
      <c r="Z147" s="192">
        <f t="shared" si="63"/>
        <v>5.8958000000000004</v>
      </c>
      <c r="AA147" s="192">
        <f t="shared" si="72"/>
        <v>5.798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73"/>
        <v>0815-11</v>
      </c>
      <c r="AE147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47" s="77" t="str">
        <f t="shared" si="75"/>
        <v>"C:\Program Files (x86)\AstroGrep\AstroGrep.exe" /e /r /s /spath="%USERPROFILE%\AppData\Local\Temp\OnboardLogs" /stypes="app*4022*20170511*" /stext=" 16:.+((SYSTEM_STATE.+slice.+state.+changed )|(ment ac)|(multiple cpu faults)|(system.+state.+changed )|(\[timeout)|(PRM\|1\|D)|(kpr)|(kdp)|(train st.+moving)|(\|lc)|(penalty))"</v>
      </c>
      <c r="AG147" s="1" t="str">
        <f t="shared" si="76"/>
        <v>NW</v>
      </c>
      <c r="AH147" s="81" t="str">
        <f t="shared" si="77"/>
        <v>"%USERPROFILE%\Documents\GitHub\eaglep3\Utilities\RefineRTDCRunTimes.py" --tripid 815-11 --locoid 4022 --swversion DE.1.0.9.0 --startMP 204:978 --initTime 2017-05-11T10:18:24 --startdatetime 2017-05-11T10:21:17 --delay 1 --endMP 300:58958 --enddatetime 2017-05-11T10:34:14 --enforcementcount 0 &gt;&gt;C:\Users\stu\Documents\GitHub\eaglep3-reporting\EC\2017-05-11-refined-times.txt</v>
      </c>
      <c r="AI147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{"issue":{"subject":"","project_id":79,"tracker_id":40,"status_id":1,"priority_id":2,"assigned_to_id":23,"start_date":"2017-05-11","description":"","custom_fields":[{"id":1,"name":"Subdivision","value":"NW"},{"id":4,"name":"Milepost","value":"5.8958"},{"id":17,"name":"Train ID","value":"815-11"},{"id":16,"name":"Locomotive ID","value":"4022"},{"id":130,"name":"Impact","value":""},{"id":150,"name":"Time of Event (Mountain Time)","value":"10:34:14"},{"id":151,"name":"Denver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79"/>
        <v>start /low /b %USERPROFILE%\Documents\GitHub\eaglep3\Utilities\DownloadLogsFromS3.py --loco 4022 --day 2017-05-11</v>
      </c>
      <c r="AN147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16:34:14"},{"id":29,"name":"Sharepoint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677</v>
      </c>
      <c r="B148" s="7">
        <v>4021</v>
      </c>
      <c r="C148" s="21" t="s">
        <v>206</v>
      </c>
      <c r="D148" s="21" t="s">
        <v>450</v>
      </c>
      <c r="E148" s="13">
        <v>42866.44190972222</v>
      </c>
      <c r="F148" s="13">
        <v>42866.443425925929</v>
      </c>
      <c r="G148" s="7">
        <v>1</v>
      </c>
      <c r="H148" s="21" t="s">
        <v>990</v>
      </c>
      <c r="I148" s="13">
        <v>42866.455254629633</v>
      </c>
      <c r="J148" s="7">
        <v>0</v>
      </c>
      <c r="K148" s="92" t="str">
        <f t="shared" si="66"/>
        <v>4021/4022</v>
      </c>
      <c r="L148" s="21" t="str">
        <f>VLOOKUP(A148,'Trips&amp;Operators'!$C$1:$G$99999,5,FALSE)</f>
        <v>LOZA FIDEL</v>
      </c>
      <c r="M148" s="6">
        <f t="shared" si="67"/>
        <v>1.1828703703940846E-2</v>
      </c>
      <c r="N148" s="7">
        <f t="shared" si="64"/>
        <v>17.033333333674818</v>
      </c>
      <c r="O148" s="7"/>
      <c r="P148" s="7"/>
      <c r="Q148" s="22"/>
      <c r="R148" s="190"/>
      <c r="S148" s="196">
        <f t="shared" si="65"/>
        <v>1</v>
      </c>
      <c r="T148" s="190" t="str">
        <f t="shared" si="68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</v>
      </c>
      <c r="V148" s="191" t="str">
        <f t="shared" si="69"/>
        <v>https://d0f6bd738d7f1b3e5a7ca70fe4ff75f0.us-east-1.aws.found.io/app/kibana#/discover/Steve-Slow-Train-Analysis-(2080s-and-2083s)?_g=(refreshInterval:(display:Off,pause:!f,section:0,value:0),time:(from:'2017-05-11T09:36:21-0600',mode:absolute,to:'2017-05-11T11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192" t="str">
        <f t="shared" si="70"/>
        <v>N</v>
      </c>
      <c r="X148" s="192">
        <f t="shared" si="62"/>
        <v>1</v>
      </c>
      <c r="Y148" s="192">
        <f t="shared" si="71"/>
        <v>5.8644999999999996</v>
      </c>
      <c r="Z148" s="192">
        <f t="shared" si="63"/>
        <v>6.6400000000000001E-2</v>
      </c>
      <c r="AA148" s="192">
        <f t="shared" si="72"/>
        <v>5.7980999999999998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73"/>
        <v>0816-11</v>
      </c>
      <c r="AE148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48" s="77" t="str">
        <f t="shared" si="75"/>
        <v>"C:\Program Files (x86)\AstroGrep\AstroGrep.exe" /e /r /s /spath="%USERPROFILE%\AppData\Local\Temp\OnboardLogs" /stypes="app*4021*20170511*" /stext=" 16:.+((SYSTEM_STATE.+slice.+state.+changed )|(ment ac)|(multiple cpu faults)|(system.+state.+changed )|(\[timeout)|(PRM\|1\|D)|(kpr)|(kdp)|(train st.+moving)|(\|lc)|(penalty))"</v>
      </c>
      <c r="AG148" s="1" t="str">
        <f t="shared" si="76"/>
        <v>NW</v>
      </c>
      <c r="AH148" s="81" t="str">
        <f t="shared" si="77"/>
        <v>"%USERPROFILE%\Documents\GitHub\eaglep3\Utilities\RefineRTDCRunTimes.py" --tripid 816-11 --locoid 4021 --swversion DE.1.0.9.0 --startMP 300:58645 --initTime 2017-05-11T10:36:21 --startdatetime 2017-05-11T10:38:32 --delay 1 --endMP 204:664 --enddatetime 2017-05-11T10:55:34 --enforcementcount 0 &gt;&gt;C:\Users\stu\Documents\GitHub\eaglep3-reporting\EC\2017-05-11-refined-times.txt</v>
      </c>
      <c r="AI148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{"issue":{"subject":"","project_id":79,"tracker_id":40,"status_id":1,"priority_id":2,"assigned_to_id":23,"start_date":"2017-05-11","description":"","custom_fields":[{"id":1,"name":"Subdivision","value":"NW"},{"id":4,"name":"Milepost","value":"0.0664"},{"id":17,"name":"Train ID","value":"816-11"},{"id":16,"name":"Locomotive ID","value":"4021"},{"id":130,"name":"Impact","value":""},{"id":150,"name":"Time of Event (Mountain Time)","value":"10:55:34"},{"id":151,"name":"Denver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79"/>
        <v>start /low /b %USERPROFILE%\Documents\GitHub\eaglep3\Utilities\DownloadLogsFromS3.py --loco 4021 --day 2017-05-11</v>
      </c>
      <c r="AN148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16:55:34"},{"id":29,"name":"Sharepoint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x14ac:dyDescent="0.25">
      <c r="A149" s="32" t="s">
        <v>684</v>
      </c>
      <c r="B149" s="7">
        <v>4022</v>
      </c>
      <c r="C149" s="21" t="s">
        <v>206</v>
      </c>
      <c r="D149" s="21" t="s">
        <v>973</v>
      </c>
      <c r="E149" s="13">
        <v>42866.471122685187</v>
      </c>
      <c r="F149" s="13">
        <v>42866.473124999997</v>
      </c>
      <c r="G149" s="7">
        <v>1</v>
      </c>
      <c r="H149" s="21" t="s">
        <v>991</v>
      </c>
      <c r="I149" s="13">
        <v>42866.481921296298</v>
      </c>
      <c r="J149" s="7">
        <v>0</v>
      </c>
      <c r="K149" s="92" t="str">
        <f t="shared" si="66"/>
        <v>4021/4022</v>
      </c>
      <c r="L149" s="21" t="str">
        <f>VLOOKUP(A149,'Trips&amp;Operators'!$C$1:$G$99999,5,FALSE)</f>
        <v>LOZA FIDEL</v>
      </c>
      <c r="M149" s="6">
        <f t="shared" si="67"/>
        <v>8.7962963007157668E-3</v>
      </c>
      <c r="N149" s="7">
        <f t="shared" si="64"/>
        <v>12.666666673030704</v>
      </c>
      <c r="O149" s="7"/>
      <c r="P149" s="7"/>
      <c r="Q149" s="22"/>
      <c r="R149" s="190"/>
      <c r="S149" s="196">
        <f t="shared" si="65"/>
        <v>1</v>
      </c>
      <c r="T149" s="190" t="str">
        <f t="shared" si="68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</v>
      </c>
      <c r="V149" s="191" t="str">
        <f t="shared" si="69"/>
        <v>https://d0f6bd738d7f1b3e5a7ca70fe4ff75f0.us-east-1.aws.found.io/app/kibana#/discover/Steve-Slow-Train-Analysis-(2080s-and-2083s)?_g=(refreshInterval:(display:Off,pause:!f,section:0,value:0),time:(from:'2017-05-11T10:18:25-0600',mode:absolute,to:'2017-05-11T12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9" s="192" t="str">
        <f t="shared" si="70"/>
        <v>N</v>
      </c>
      <c r="X149" s="192">
        <f t="shared" si="62"/>
        <v>1</v>
      </c>
      <c r="Y149" s="192">
        <f t="shared" si="71"/>
        <v>9.7600000000000006E-2</v>
      </c>
      <c r="Z149" s="192">
        <f t="shared" si="63"/>
        <v>5.8945999999999996</v>
      </c>
      <c r="AA149" s="192">
        <f t="shared" si="72"/>
        <v>5.7969999999999997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73"/>
        <v>0817-11</v>
      </c>
      <c r="AE149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49" s="77" t="str">
        <f t="shared" si="75"/>
        <v>"C:\Program Files (x86)\AstroGrep\AstroGrep.exe" /e /r /s /spath="%USERPROFILE%\AppData\Local\Temp\OnboardLogs" /stypes="app*4022*20170511*" /stext=" 17:.+((SYSTEM_STATE.+slice.+state.+changed )|(ment ac)|(multiple cpu faults)|(system.+state.+changed )|(\[timeout)|(PRM\|1\|D)|(kpr)|(kdp)|(train st.+moving)|(\|lc)|(penalty))"</v>
      </c>
      <c r="AG149" s="1" t="str">
        <f t="shared" si="76"/>
        <v>NW</v>
      </c>
      <c r="AH149" s="81" t="str">
        <f t="shared" si="77"/>
        <v>"%USERPROFILE%\Documents\GitHub\eaglep3\Utilities\RefineRTDCRunTimes.py" --tripid 817-11 --locoid 4022 --swversion DE.1.0.9.0 --startMP 204:976 --initTime 2017-05-11T11:18:25 --startdatetime 2017-05-11T11:21:18 --delay 1 --endMP 300:58946 --enddatetime 2017-05-11T11:33:58 --enforcementcount 0 &gt;&gt;C:\Users\stu\Documents\GitHub\eaglep3-reporting\EC\2017-05-11-refined-times.txt</v>
      </c>
      <c r="AI149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{"issue":{"subject":"","project_id":79,"tracker_id":40,"status_id":1,"priority_id":2,"assigned_to_id":23,"start_date":"2017-05-11","description":"","custom_fields":[{"id":1,"name":"Subdivision","value":"NW"},{"id":4,"name":"Milepost","value":"5.8946"},{"id":17,"name":"Train ID","value":"817-11"},{"id":16,"name":"Locomotive ID","value":"4022"},{"id":130,"name":"Impact","value":""},{"id":150,"name":"Time of Event (Mountain Time)","value":"11:33:58"},{"id":151,"name":"Denver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79"/>
        <v>start /low /b %USERPROFILE%\Documents\GitHub\eaglep3\Utilities\DownloadLogsFromS3.py --loco 4022 --day 2017-05-11</v>
      </c>
      <c r="AN149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17:33:58"},{"id":29,"name":"Sharepoint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690</v>
      </c>
      <c r="B150" s="7">
        <v>4021</v>
      </c>
      <c r="C150" s="21" t="s">
        <v>206</v>
      </c>
      <c r="D150" s="21" t="s">
        <v>975</v>
      </c>
      <c r="E150" s="13">
        <v>42866.483148148145</v>
      </c>
      <c r="F150" s="13">
        <v>42866.484525462962</v>
      </c>
      <c r="G150" s="7">
        <v>1</v>
      </c>
      <c r="H150" s="21" t="s">
        <v>486</v>
      </c>
      <c r="I150" s="13">
        <v>42866.496064814812</v>
      </c>
      <c r="J150" s="7">
        <v>0</v>
      </c>
      <c r="K150" s="92" t="str">
        <f t="shared" si="66"/>
        <v>4021/4022</v>
      </c>
      <c r="L150" s="21" t="str">
        <f>VLOOKUP(A150,'Trips&amp;Operators'!$C$1:$G$99999,5,FALSE)</f>
        <v>LOZA FIDEL</v>
      </c>
      <c r="M150" s="6">
        <f t="shared" si="67"/>
        <v>1.1539351849933155E-2</v>
      </c>
      <c r="N150" s="7">
        <f t="shared" si="64"/>
        <v>16.616666663903743</v>
      </c>
      <c r="O150" s="7"/>
      <c r="P150" s="7"/>
      <c r="Q150" s="22"/>
      <c r="R150" s="190"/>
      <c r="S150" s="196">
        <f t="shared" si="65"/>
        <v>1</v>
      </c>
      <c r="T150" s="190" t="str">
        <f t="shared" si="68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</v>
      </c>
      <c r="V150" s="191" t="str">
        <f t="shared" si="69"/>
        <v>https://d0f6bd738d7f1b3e5a7ca70fe4ff75f0.us-east-1.aws.found.io/app/kibana#/discover/Steve-Slow-Train-Analysis-(2080s-and-2083s)?_g=(refreshInterval:(display:Off,pause:!f,section:0,value:0),time:(from:'2017-05-11T10:35:44-0600',mode:absolute,to:'2017-05-11T12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0" s="192" t="str">
        <f t="shared" si="70"/>
        <v>N</v>
      </c>
      <c r="X150" s="192">
        <f t="shared" si="62"/>
        <v>1</v>
      </c>
      <c r="Y150" s="192">
        <f t="shared" si="71"/>
        <v>5.8639999999999999</v>
      </c>
      <c r="Z150" s="192">
        <f t="shared" si="63"/>
        <v>6.8400000000000002E-2</v>
      </c>
      <c r="AA150" s="192">
        <f t="shared" si="72"/>
        <v>5.7956000000000003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73"/>
        <v>0818-11</v>
      </c>
      <c r="AE150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50" s="77" t="str">
        <f t="shared" si="75"/>
        <v>"C:\Program Files (x86)\AstroGrep\AstroGrep.exe" /e /r /s /spath="%USERPROFILE%\AppData\Local\Temp\OnboardLogs" /stypes="app*4021*20170511*" /stext=" 17:.+((SYSTEM_STATE.+slice.+state.+changed )|(ment ac)|(multiple cpu faults)|(system.+state.+changed )|(\[timeout)|(PRM\|1\|D)|(kpr)|(kdp)|(train st.+moving)|(\|lc)|(penalty))"</v>
      </c>
      <c r="AG150" s="1" t="str">
        <f t="shared" si="76"/>
        <v>NW</v>
      </c>
      <c r="AH150" s="81" t="str">
        <f t="shared" si="77"/>
        <v>"%USERPROFILE%\Documents\GitHub\eaglep3\Utilities\RefineRTDCRunTimes.py" --tripid 818-11 --locoid 4021 --swversion DE.1.0.9.0 --startMP 300:58640 --initTime 2017-05-11T11:35:44 --startdatetime 2017-05-11T11:37:43 --delay 1 --endMP 204:684 --enddatetime 2017-05-11T11:54:20 --enforcementcount 0 &gt;&gt;C:\Users\stu\Documents\GitHub\eaglep3-reporting\EC\2017-05-11-refined-times.txt</v>
      </c>
      <c r="AI150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{"issue":{"subject":"","project_id":79,"tracker_id":40,"status_id":1,"priority_id":2,"assigned_to_id":23,"start_date":"2017-05-11","description":"","custom_fields":[{"id":1,"name":"Subdivision","value":"NW"},{"id":4,"name":"Milepost","value":"0.0684"},{"id":17,"name":"Train ID","value":"818-11"},{"id":16,"name":"Locomotive ID","value":"4021"},{"id":130,"name":"Impact","value":""},{"id":150,"name":"Time of Event (Mountain Time)","value":"11:54:20"},{"id":151,"name":"Denver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79"/>
        <v>start /low /b %USERPROFILE%\Documents\GitHub\eaglep3\Utilities\DownloadLogsFromS3.py --loco 4021 --day 2017-05-11</v>
      </c>
      <c r="AN150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17:54:20"},{"id":29,"name":"Sharepoint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698</v>
      </c>
      <c r="B151" s="7">
        <v>4022</v>
      </c>
      <c r="C151" s="21" t="s">
        <v>206</v>
      </c>
      <c r="D151" s="21" t="s">
        <v>973</v>
      </c>
      <c r="E151" s="13">
        <v>42866.507349537038</v>
      </c>
      <c r="F151" s="13">
        <v>42866.514768518522</v>
      </c>
      <c r="G151" s="7">
        <v>1</v>
      </c>
      <c r="H151" s="21" t="s">
        <v>986</v>
      </c>
      <c r="I151" s="13">
        <v>42866.523668981485</v>
      </c>
      <c r="J151" s="7">
        <v>0</v>
      </c>
      <c r="K151" s="92" t="str">
        <f t="shared" si="66"/>
        <v>4021/4022</v>
      </c>
      <c r="L151" s="21" t="str">
        <f>VLOOKUP(A151,'Trips&amp;Operators'!$C$1:$G$99999,5,FALSE)</f>
        <v>LOZA FIDEL</v>
      </c>
      <c r="M151" s="6">
        <f t="shared" si="67"/>
        <v>8.9004629626288079E-3</v>
      </c>
      <c r="N151" s="7">
        <f t="shared" si="64"/>
        <v>12.816666666185483</v>
      </c>
      <c r="O151" s="7"/>
      <c r="P151" s="7"/>
      <c r="Q151" s="22"/>
      <c r="R151" s="190"/>
      <c r="S151" s="196">
        <f t="shared" si="65"/>
        <v>1</v>
      </c>
      <c r="T151" s="190" t="str">
        <f t="shared" si="68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191" t="str">
        <f t="shared" si="69"/>
        <v>https://d0f6bd738d7f1b3e5a7ca70fe4ff75f0.us-east-1.aws.found.io/app/kibana#/discover/Steve-Slow-Train-Analysis-(2080s-and-2083s)?_g=(refreshInterval:(display:Off,pause:!f,section:0,value:0),time:(from:'2017-05-11T11:10:35-0600',mode:absolute,to:'2017-05-11T13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1" s="192" t="str">
        <f t="shared" si="70"/>
        <v>N</v>
      </c>
      <c r="X151" s="192">
        <f t="shared" si="62"/>
        <v>1</v>
      </c>
      <c r="Y151" s="192">
        <f t="shared" si="71"/>
        <v>9.7600000000000006E-2</v>
      </c>
      <c r="Z151" s="192">
        <f t="shared" si="63"/>
        <v>5.8948</v>
      </c>
      <c r="AA151" s="192">
        <f t="shared" si="72"/>
        <v>5.7972000000000001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73"/>
        <v>0819-11</v>
      </c>
      <c r="AE151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51" s="77" t="str">
        <f t="shared" si="75"/>
        <v>"C:\Program Files (x86)\AstroGrep\AstroGrep.exe" /e /r /s /spath="%USERPROFILE%\AppData\Local\Temp\OnboardLogs" /stypes="app*4022*20170511*" /stext=" 18:.+((SYSTEM_STATE.+slice.+state.+changed )|(ment ac)|(multiple cpu faults)|(system.+state.+changed )|(\[timeout)|(PRM\|1\|D)|(kpr)|(kdp)|(train st.+moving)|(\|lc)|(penalty))"</v>
      </c>
      <c r="AG151" s="1" t="str">
        <f t="shared" si="76"/>
        <v>NW</v>
      </c>
      <c r="AH151" s="81" t="str">
        <f t="shared" si="77"/>
        <v>"%USERPROFILE%\Documents\GitHub\eaglep3\Utilities\RefineRTDCRunTimes.py" --tripid 819-11 --locoid 4022 --swversion DE.1.0.9.0 --startMP 204:976 --initTime 2017-05-11T12:10:35 --startdatetime 2017-05-11T12:21:16 --delay 1 --endMP 300:58948 --enddatetime 2017-05-11T12:34:05 --enforcementcount 0 &gt;&gt;C:\Users\stu\Documents\GitHub\eaglep3-reporting\EC\2017-05-11-refined-times.txt</v>
      </c>
      <c r="AI151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{"issue":{"subject":"","project_id":79,"tracker_id":40,"status_id":1,"priority_id":2,"assigned_to_id":23,"start_date":"2017-05-11","description":"","custom_fields":[{"id":1,"name":"Subdivision","value":"NW"},{"id":4,"name":"Milepost","value":"5.8948"},{"id":17,"name":"Train ID","value":"819-11"},{"id":16,"name":"Locomotive ID","value":"4022"},{"id":130,"name":"Impact","value":""},{"id":150,"name":"Time of Event (Mountain Time)","value":"12:34:05"},{"id":151,"name":"Denver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79"/>
        <v>start /low /b %USERPROFILE%\Documents\GitHub\eaglep3\Utilities\DownloadLogsFromS3.py --loco 4022 --day 2017-05-11</v>
      </c>
      <c r="AN151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701</v>
      </c>
      <c r="B152" s="7">
        <v>4021</v>
      </c>
      <c r="C152" s="21" t="s">
        <v>206</v>
      </c>
      <c r="D152" s="21" t="s">
        <v>987</v>
      </c>
      <c r="E152" s="13">
        <v>42866.524756944447</v>
      </c>
      <c r="F152" s="13">
        <v>42866.526099537034</v>
      </c>
      <c r="G152" s="7">
        <v>1</v>
      </c>
      <c r="H152" s="21" t="s">
        <v>980</v>
      </c>
      <c r="I152" s="13">
        <v>42866.537870370368</v>
      </c>
      <c r="J152" s="7">
        <v>0</v>
      </c>
      <c r="K152" s="92" t="str">
        <f t="shared" si="66"/>
        <v>4021/4022</v>
      </c>
      <c r="L152" s="21" t="str">
        <f>VLOOKUP(A152,'Trips&amp;Operators'!$C$1:$G$99999,5,FALSE)</f>
        <v>LOZA FIDEL</v>
      </c>
      <c r="M152" s="6">
        <f t="shared" si="67"/>
        <v>1.1770833334594499E-2</v>
      </c>
      <c r="N152" s="7">
        <f t="shared" si="64"/>
        <v>16.950000001816079</v>
      </c>
      <c r="O152" s="7"/>
      <c r="P152" s="7"/>
      <c r="Q152" s="22"/>
      <c r="R152" s="190"/>
      <c r="S152" s="196">
        <f t="shared" si="65"/>
        <v>1</v>
      </c>
      <c r="T152" s="190" t="str">
        <f t="shared" si="68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191" t="str">
        <f t="shared" si="69"/>
        <v>https://d0f6bd738d7f1b3e5a7ca70fe4ff75f0.us-east-1.aws.found.io/app/kibana#/discover/Steve-Slow-Train-Analysis-(2080s-and-2083s)?_g=(refreshInterval:(display:Off,pause:!f,section:0,value:0),time:(from:'2017-05-11T11:35:39-0600',mode:absolute,to:'2017-05-11T13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2" s="192" t="str">
        <f t="shared" si="70"/>
        <v>N</v>
      </c>
      <c r="X152" s="192">
        <f t="shared" si="62"/>
        <v>1</v>
      </c>
      <c r="Y152" s="192">
        <f t="shared" si="71"/>
        <v>5.8638000000000003</v>
      </c>
      <c r="Z152" s="192">
        <f t="shared" si="63"/>
        <v>7.0499999999999993E-2</v>
      </c>
      <c r="AA152" s="192">
        <f t="shared" si="72"/>
        <v>5.7933000000000003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73"/>
        <v>0820-11</v>
      </c>
      <c r="AE152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52" s="77" t="str">
        <f t="shared" si="75"/>
        <v>"C:\Program Files (x86)\AstroGrep\AstroGrep.exe" /e /r /s /spath="%USERPROFILE%\AppData\Local\Temp\OnboardLogs" /stypes="app*4021*20170511*" /stext=" 18:.+((SYSTEM_STATE.+slice.+state.+changed )|(ment ac)|(multiple cpu faults)|(system.+state.+changed )|(\[timeout)|(PRM\|1\|D)|(kpr)|(kdp)|(train st.+moving)|(\|lc)|(penalty))"</v>
      </c>
      <c r="AG152" s="1" t="str">
        <f t="shared" si="76"/>
        <v>NW</v>
      </c>
      <c r="AH152" s="81" t="str">
        <f t="shared" si="77"/>
        <v>"%USERPROFILE%\Documents\GitHub\eaglep3\Utilities\RefineRTDCRunTimes.py" --tripid 820-11 --locoid 4021 --swversion DE.1.0.9.0 --startMP 300:58638 --initTime 2017-05-11T12:35:39 --startdatetime 2017-05-11T12:37:35 --delay 1 --endMP 204:705 --enddatetime 2017-05-11T12:54:32 --enforcementcount 0 &gt;&gt;C:\Users\stu\Documents\GitHub\eaglep3-reporting\EC\2017-05-11-refined-times.txt</v>
      </c>
      <c r="AI152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{"issue":{"subject":"","project_id":79,"tracker_id":40,"status_id":1,"priority_id":2,"assigned_to_id":23,"start_date":"2017-05-11","description":"","custom_fields":[{"id":1,"name":"Subdivision","value":"NW"},{"id":4,"name":"Milepost","value":"0.0705"},{"id":17,"name":"Train ID","value":"820-11"},{"id":16,"name":"Locomotive ID","value":"4021"},{"id":130,"name":"Impact","value":""},{"id":150,"name":"Time of Event (Mountain Time)","value":"12:54:32"},{"id":151,"name":"Denver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9"/>
        <v>start /low /b %USERPROFILE%\Documents\GitHub\eaglep3\Utilities\DownloadLogsFromS3.py --loco 4021 --day 2017-05-11</v>
      </c>
      <c r="AN152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704</v>
      </c>
      <c r="B153" s="7">
        <v>4022</v>
      </c>
      <c r="C153" s="21" t="s">
        <v>206</v>
      </c>
      <c r="D153" s="21" t="s">
        <v>992</v>
      </c>
      <c r="E153" s="13">
        <v>42866.549189814818</v>
      </c>
      <c r="F153" s="13">
        <v>42866.556400462963</v>
      </c>
      <c r="G153" s="7">
        <v>1</v>
      </c>
      <c r="H153" s="21" t="s">
        <v>993</v>
      </c>
      <c r="I153" s="13">
        <v>42866.566145833334</v>
      </c>
      <c r="J153" s="7">
        <v>0</v>
      </c>
      <c r="K153" s="92" t="str">
        <f t="shared" si="66"/>
        <v>4021/4022</v>
      </c>
      <c r="L153" s="21" t="str">
        <f>VLOOKUP(A153,'Trips&amp;Operators'!$C$1:$G$99999,5,FALSE)</f>
        <v>ZEWDU DEREJE</v>
      </c>
      <c r="M153" s="6">
        <f t="shared" si="67"/>
        <v>9.7453703710925765E-3</v>
      </c>
      <c r="N153" s="7">
        <f t="shared" si="64"/>
        <v>14.03333333437331</v>
      </c>
      <c r="O153" s="7"/>
      <c r="P153" s="7"/>
      <c r="Q153" s="22"/>
      <c r="R153" s="190"/>
      <c r="S153" s="196">
        <f t="shared" si="65"/>
        <v>1</v>
      </c>
      <c r="T153" s="190" t="str">
        <f t="shared" si="68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191" t="str">
        <f t="shared" si="69"/>
        <v>https://d0f6bd738d7f1b3e5a7ca70fe4ff75f0.us-east-1.aws.found.io/app/kibana#/discover/Steve-Slow-Train-Analysis-(2080s-and-2083s)?_g=(refreshInterval:(display:Off,pause:!f,section:0,value:0),time:(from:'2017-05-11T12:10:50-0600',mode:absolute,to:'2017-05-11T14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3" s="192" t="str">
        <f t="shared" si="70"/>
        <v>N</v>
      </c>
      <c r="X153" s="192">
        <f t="shared" si="62"/>
        <v>1</v>
      </c>
      <c r="Y153" s="192">
        <f t="shared" si="71"/>
        <v>9.74E-2</v>
      </c>
      <c r="Z153" s="192">
        <f t="shared" si="63"/>
        <v>5.8930999999999996</v>
      </c>
      <c r="AA153" s="192">
        <f t="shared" si="72"/>
        <v>5.7956999999999992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73"/>
        <v>0821-11</v>
      </c>
      <c r="AE153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53" s="77" t="str">
        <f t="shared" si="75"/>
        <v>"C:\Program Files (x86)\AstroGrep\AstroGrep.exe" /e /r /s /spath="%USERPROFILE%\AppData\Local\Temp\OnboardLogs" /stypes="app*4022*20170511*" /stext=" 19:.+((SYSTEM_STATE.+slice.+state.+changed )|(ment ac)|(multiple cpu faults)|(system.+state.+changed )|(\[timeout)|(PRM\|1\|D)|(kpr)|(kdp)|(train st.+moving)|(\|lc)|(penalty))"</v>
      </c>
      <c r="AG153" s="1" t="str">
        <f t="shared" si="76"/>
        <v>NW</v>
      </c>
      <c r="AH153" s="81" t="str">
        <f t="shared" si="77"/>
        <v>"%USERPROFILE%\Documents\GitHub\eaglep3\Utilities\RefineRTDCRunTimes.py" --tripid 821-11 --locoid 4022 --swversion DE.1.0.9.0 --startMP 204:974 --initTime 2017-05-11T13:10:50 --startdatetime 2017-05-11T13:21:13 --delay 1 --endMP 300:58931 --enddatetime 2017-05-11T13:35:15 --enforcementcount 0 &gt;&gt;C:\Users\stu\Documents\GitHub\eaglep3-reporting\EC\2017-05-11-refined-times.txt</v>
      </c>
      <c r="AI153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{"issue":{"subject":"","project_id":79,"tracker_id":40,"status_id":1,"priority_id":2,"assigned_to_id":23,"start_date":"2017-05-11","description":"","custom_fields":[{"id":1,"name":"Subdivision","value":"NW"},{"id":4,"name":"Milepost","value":"5.8931"},{"id":17,"name":"Train ID","value":"821-11"},{"id":16,"name":"Locomotive ID","value":"4022"},{"id":130,"name":"Impact","value":""},{"id":150,"name":"Time of Event (Mountain Time)","value":"13:35:15"},{"id":151,"name":"Denver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79"/>
        <v>start /low /b %USERPROFILE%\Documents\GitHub\eaglep3\Utilities\DownloadLogsFromS3.py --loco 4022 --day 2017-05-11</v>
      </c>
      <c r="AN153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19:35:15"},{"id":29,"name":"Sharepoint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707</v>
      </c>
      <c r="B154" s="7">
        <v>4021</v>
      </c>
      <c r="C154" s="21" t="s">
        <v>206</v>
      </c>
      <c r="D154" s="21" t="s">
        <v>566</v>
      </c>
      <c r="E154" s="13">
        <v>42866.567129629628</v>
      </c>
      <c r="F154" s="13">
        <v>42866.56863425926</v>
      </c>
      <c r="G154" s="7">
        <v>1</v>
      </c>
      <c r="H154" s="21" t="s">
        <v>994</v>
      </c>
      <c r="I154" s="13">
        <v>42866.579965277779</v>
      </c>
      <c r="J154" s="7">
        <v>0</v>
      </c>
      <c r="K154" s="92" t="str">
        <f t="shared" si="66"/>
        <v>4021/4022</v>
      </c>
      <c r="L154" s="21" t="str">
        <f>VLOOKUP(A154,'Trips&amp;Operators'!$C$1:$G$99999,5,FALSE)</f>
        <v>ZEWDU DEREJE</v>
      </c>
      <c r="M154" s="6">
        <f t="shared" si="67"/>
        <v>1.1331018518831115E-2</v>
      </c>
      <c r="N154" s="7">
        <f t="shared" si="64"/>
        <v>16.316666667116806</v>
      </c>
      <c r="O154" s="7"/>
      <c r="P154" s="7"/>
      <c r="Q154" s="22"/>
      <c r="R154" s="190"/>
      <c r="S154" s="196">
        <f t="shared" si="65"/>
        <v>1</v>
      </c>
      <c r="T154" s="190" t="str">
        <f t="shared" si="68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191" t="str">
        <f t="shared" si="69"/>
        <v>https://d0f6bd738d7f1b3e5a7ca70fe4ff75f0.us-east-1.aws.found.io/app/kibana#/discover/Steve-Slow-Train-Analysis-(2080s-and-2083s)?_g=(refreshInterval:(display:Off,pause:!f,section:0,value:0),time:(from:'2017-05-11T12:36:40-0600',mode:absolute,to:'2017-05-11T14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4" s="192" t="str">
        <f t="shared" si="70"/>
        <v>N</v>
      </c>
      <c r="X154" s="192">
        <f t="shared" si="62"/>
        <v>1</v>
      </c>
      <c r="Y154" s="192">
        <f t="shared" si="71"/>
        <v>5.8609</v>
      </c>
      <c r="Z154" s="192">
        <f t="shared" si="63"/>
        <v>6.9800000000000001E-2</v>
      </c>
      <c r="AA154" s="192">
        <f t="shared" si="72"/>
        <v>5.7911000000000001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73"/>
        <v>0822-11</v>
      </c>
      <c r="AE154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54" s="77" t="str">
        <f t="shared" si="75"/>
        <v>"C:\Program Files (x86)\AstroGrep\AstroGrep.exe" /e /r /s /spath="%USERPROFILE%\AppData\Local\Temp\OnboardLogs" /stypes="app*4021*20170511*" /stext=" 19:.+((SYSTEM_STATE.+slice.+state.+changed )|(ment ac)|(multiple cpu faults)|(system.+state.+changed )|(\[timeout)|(PRM\|1\|D)|(kpr)|(kdp)|(train st.+moving)|(\|lc)|(penalty))"</v>
      </c>
      <c r="AG154" s="1" t="str">
        <f t="shared" si="76"/>
        <v>NW</v>
      </c>
      <c r="AH154" s="81" t="str">
        <f t="shared" si="77"/>
        <v>"%USERPROFILE%\Documents\GitHub\eaglep3\Utilities\RefineRTDCRunTimes.py" --tripid 822-11 --locoid 4021 --swversion DE.1.0.9.0 --startMP 300:58609 --initTime 2017-05-11T13:36:40 --startdatetime 2017-05-11T13:38:50 --delay 1 --endMP 204:698 --enddatetime 2017-05-11T13:55:09 --enforcementcount 0 &gt;&gt;C:\Users\stu\Documents\GitHub\eaglep3-reporting\EC\2017-05-11-refined-times.txt</v>
      </c>
      <c r="AI154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{"issue":{"subject":"","project_id":79,"tracker_id":40,"status_id":1,"priority_id":2,"assigned_to_id":23,"start_date":"2017-05-11","description":"","custom_fields":[{"id":1,"name":"Subdivision","value":"NW"},{"id":4,"name":"Milepost","value":"0.0698"},{"id":17,"name":"Train ID","value":"822-11"},{"id":16,"name":"Locomotive ID","value":"4021"},{"id":130,"name":"Impact","value":""},{"id":150,"name":"Time of Event (Mountain Time)","value":"13:55:09"},{"id":151,"name":"Denver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9"/>
        <v>start /low /b %USERPROFILE%\Documents\GitHub\eaglep3\Utilities\DownloadLogsFromS3.py --loco 4021 --day 2017-05-11</v>
      </c>
      <c r="AN154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19:55:09"},{"id":29,"name":"Sharepoint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711</v>
      </c>
      <c r="B155" s="7">
        <v>4022</v>
      </c>
      <c r="C155" s="21" t="s">
        <v>206</v>
      </c>
      <c r="D155" s="21" t="s">
        <v>988</v>
      </c>
      <c r="E155" s="13">
        <v>42866.581967592596</v>
      </c>
      <c r="F155" s="13">
        <v>42866.598113425927</v>
      </c>
      <c r="G155" s="7">
        <v>1</v>
      </c>
      <c r="H155" s="21" t="s">
        <v>995</v>
      </c>
      <c r="I155" s="13">
        <v>42866.607442129629</v>
      </c>
      <c r="J155" s="7">
        <v>0</v>
      </c>
      <c r="K155" s="92" t="str">
        <f t="shared" si="66"/>
        <v>4021/4022</v>
      </c>
      <c r="L155" s="21" t="str">
        <f>VLOOKUP(A155,'Trips&amp;Operators'!$C$1:$G$99999,5,FALSE)</f>
        <v>ZEWDU DEREJE</v>
      </c>
      <c r="M155" s="6">
        <f t="shared" si="67"/>
        <v>9.3287037016125396E-3</v>
      </c>
      <c r="N155" s="7">
        <f t="shared" si="64"/>
        <v>13.433333330322057</v>
      </c>
      <c r="O155" s="7"/>
      <c r="P155" s="7"/>
      <c r="Q155" s="22"/>
      <c r="R155" s="190"/>
      <c r="S155" s="196">
        <f t="shared" si="65"/>
        <v>1</v>
      </c>
      <c r="T155" s="190" t="str">
        <f t="shared" si="68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91" t="str">
        <f t="shared" si="69"/>
        <v>https://d0f6bd738d7f1b3e5a7ca70fe4ff75f0.us-east-1.aws.found.io/app/kibana#/discover/Steve-Slow-Train-Analysis-(2080s-and-2083s)?_g=(refreshInterval:(display:Off,pause:!f,section:0,value:0),time:(from:'2017-05-11T12:58:02-0600',mode:absolute,to:'2017-05-11T15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192" t="str">
        <f t="shared" si="70"/>
        <v>N</v>
      </c>
      <c r="X155" s="192">
        <f t="shared" si="62"/>
        <v>1</v>
      </c>
      <c r="Y155" s="192">
        <f t="shared" si="71"/>
        <v>9.7799999999999998E-2</v>
      </c>
      <c r="Z155" s="192">
        <f t="shared" si="63"/>
        <v>5.8952</v>
      </c>
      <c r="AA155" s="192">
        <f t="shared" si="72"/>
        <v>5.7973999999999997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73"/>
        <v>0823-11</v>
      </c>
      <c r="AE155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55" s="77" t="str">
        <f t="shared" si="75"/>
        <v>"C:\Program Files (x86)\AstroGrep\AstroGrep.exe" /e /r /s /spath="%USERPROFILE%\AppData\Local\Temp\OnboardLogs" /stypes="app*4022*20170511*" /stext=" 20:.+((SYSTEM_STATE.+slice.+state.+changed )|(ment ac)|(multiple cpu faults)|(system.+state.+changed )|(\[timeout)|(PRM\|1\|D)|(kpr)|(kdp)|(train st.+moving)|(\|lc)|(penalty))"</v>
      </c>
      <c r="AG155" s="1" t="str">
        <f t="shared" si="76"/>
        <v>NW</v>
      </c>
      <c r="AH155" s="81" t="str">
        <f t="shared" si="77"/>
        <v>"%USERPROFILE%\Documents\GitHub\eaglep3\Utilities\RefineRTDCRunTimes.py" --tripid 823-11 --locoid 4022 --swversion DE.1.0.9.0 --startMP 204:978 --initTime 2017-05-11T13:58:02 --startdatetime 2017-05-11T14:21:17 --delay 1 --endMP 300:58952 --enddatetime 2017-05-11T14:34:43 --enforcementcount 0 &gt;&gt;C:\Users\stu\Documents\GitHub\eaglep3-reporting\EC\2017-05-11-refined-times.txt</v>
      </c>
      <c r="AI155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{"issue":{"subject":"","project_id":79,"tracker_id":40,"status_id":1,"priority_id":2,"assigned_to_id":23,"start_date":"2017-05-11","description":"","custom_fields":[{"id":1,"name":"Subdivision","value":"NW"},{"id":4,"name":"Milepost","value":"5.8952"},{"id":17,"name":"Train ID","value":"823-11"},{"id":16,"name":"Locomotive ID","value":"4022"},{"id":130,"name":"Impact","value":""},{"id":150,"name":"Time of Event (Mountain Time)","value":"14:34:43"},{"id":151,"name":"Denver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79"/>
        <v>start /low /b %USERPROFILE%\Documents\GitHub\eaglep3\Utilities\DownloadLogsFromS3.py --loco 4022 --day 2017-05-11</v>
      </c>
      <c r="AN155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20:34:43"},{"id":29,"name":"Sharepoint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2" t="s">
        <v>714</v>
      </c>
      <c r="B156" s="7">
        <v>4021</v>
      </c>
      <c r="C156" s="21" t="s">
        <v>206</v>
      </c>
      <c r="D156" s="21" t="s">
        <v>489</v>
      </c>
      <c r="E156" s="13">
        <v>42866.608252314814</v>
      </c>
      <c r="F156" s="13">
        <v>42866.609652777777</v>
      </c>
      <c r="G156" s="7">
        <v>1</v>
      </c>
      <c r="H156" s="21" t="s">
        <v>976</v>
      </c>
      <c r="I156" s="13">
        <v>42866.621863425928</v>
      </c>
      <c r="J156" s="7">
        <v>0</v>
      </c>
      <c r="K156" s="92" t="str">
        <f t="shared" si="66"/>
        <v>4021/4022</v>
      </c>
      <c r="L156" s="21" t="str">
        <f>VLOOKUP(A156,'Trips&amp;Operators'!$C$1:$G$99999,5,FALSE)</f>
        <v>ZEWDU DEREJE</v>
      </c>
      <c r="M156" s="6">
        <f t="shared" si="67"/>
        <v>1.2210648150357883E-2</v>
      </c>
      <c r="N156" s="7">
        <f t="shared" si="64"/>
        <v>17.583333336515352</v>
      </c>
      <c r="O156" s="7"/>
      <c r="P156" s="7"/>
      <c r="Q156" s="22"/>
      <c r="R156" s="190"/>
      <c r="S156" s="196">
        <f t="shared" si="65"/>
        <v>1</v>
      </c>
      <c r="T156" s="190" t="str">
        <f t="shared" si="68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91" t="str">
        <f t="shared" si="69"/>
        <v>https://d0f6bd738d7f1b3e5a7ca70fe4ff75f0.us-east-1.aws.found.io/app/kibana#/discover/Steve-Slow-Train-Analysis-(2080s-and-2083s)?_g=(refreshInterval:(display:Off,pause:!f,section:0,value:0),time:(from:'2017-05-11T13:35:53-0600',mode:absolute,to:'2017-05-11T15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192" t="str">
        <f t="shared" si="70"/>
        <v>N</v>
      </c>
      <c r="X156" s="192">
        <f t="shared" si="62"/>
        <v>1</v>
      </c>
      <c r="Y156" s="192">
        <f t="shared" si="71"/>
        <v>5.8634000000000004</v>
      </c>
      <c r="Z156" s="192">
        <f t="shared" si="63"/>
        <v>6.9099999999999995E-2</v>
      </c>
      <c r="AA156" s="192">
        <f t="shared" si="72"/>
        <v>5.7943000000000007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73"/>
        <v>0824-11</v>
      </c>
      <c r="AE156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56" s="77" t="str">
        <f t="shared" si="75"/>
        <v>"C:\Program Files (x86)\AstroGrep\AstroGrep.exe" /e /r /s /spath="%USERPROFILE%\AppData\Local\Temp\OnboardLogs" /stypes="app*4021*20170511*" /stext=" 20:.+((SYSTEM_STATE.+slice.+state.+changed )|(ment ac)|(multiple cpu faults)|(system.+state.+changed )|(\[timeout)|(PRM\|1\|D)|(kpr)|(kdp)|(train st.+moving)|(\|lc)|(penalty))"</v>
      </c>
      <c r="AG156" s="1" t="str">
        <f t="shared" si="76"/>
        <v>NW</v>
      </c>
      <c r="AH156" s="81" t="str">
        <f t="shared" si="77"/>
        <v>"%USERPROFILE%\Documents\GitHub\eaglep3\Utilities\RefineRTDCRunTimes.py" --tripid 824-11 --locoid 4021 --swversion DE.1.0.9.0 --startMP 300:58634 --initTime 2017-05-11T14:35:53 --startdatetime 2017-05-11T14:37:54 --delay 1 --endMP 204:691 --enddatetime 2017-05-11T14:55:29 --enforcementcount 0 &gt;&gt;C:\Users\stu\Documents\GitHub\eaglep3-reporting\EC\2017-05-11-refined-times.txt</v>
      </c>
      <c r="AI156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{"issue":{"subject":"","project_id":79,"tracker_id":40,"status_id":1,"priority_id":2,"assigned_to_id":23,"start_date":"2017-05-11","description":"","custom_fields":[{"id":1,"name":"Subdivision","value":"NW"},{"id":4,"name":"Milepost","value":"0.0691"},{"id":17,"name":"Train ID","value":"824-11"},{"id":16,"name":"Locomotive ID","value":"4021"},{"id":130,"name":"Impact","value":""},{"id":150,"name":"Time of Event (Mountain Time)","value":"14:55:29"},{"id":151,"name":"Denver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79"/>
        <v>start /low /b %USERPROFILE%\Documents\GitHub\eaglep3\Utilities\DownloadLogsFromS3.py --loco 4021 --day 2017-05-11</v>
      </c>
      <c r="AN156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2" t="s">
        <v>720</v>
      </c>
      <c r="B157" s="7">
        <v>4022</v>
      </c>
      <c r="C157" s="21" t="s">
        <v>206</v>
      </c>
      <c r="D157" s="21" t="s">
        <v>557</v>
      </c>
      <c r="E157" s="13">
        <v>42866.623749999999</v>
      </c>
      <c r="F157" s="13">
        <v>42866.639733796299</v>
      </c>
      <c r="G157" s="7">
        <v>1</v>
      </c>
      <c r="H157" s="21" t="s">
        <v>996</v>
      </c>
      <c r="I157" s="13">
        <v>42866.649328703701</v>
      </c>
      <c r="J157" s="7">
        <v>0</v>
      </c>
      <c r="K157" s="92" t="str">
        <f t="shared" si="66"/>
        <v>4021/4022</v>
      </c>
      <c r="L157" s="21" t="str">
        <f>VLOOKUP(A157,'Trips&amp;Operators'!$C$1:$G$99999,5,FALSE)</f>
        <v>ZEWDU DEREJE</v>
      </c>
      <c r="M157" s="6">
        <f t="shared" si="67"/>
        <v>9.594907402060926E-3</v>
      </c>
      <c r="N157" s="7">
        <f t="shared" si="64"/>
        <v>13.816666658967733</v>
      </c>
      <c r="O157" s="7"/>
      <c r="P157" s="7"/>
      <c r="Q157" s="22"/>
      <c r="R157" s="190"/>
      <c r="S157" s="196">
        <f t="shared" si="65"/>
        <v>1</v>
      </c>
      <c r="T157" s="190" t="str">
        <f t="shared" si="68"/>
        <v>NorthBound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1" t="str">
        <f t="shared" si="69"/>
        <v>https://d0f6bd738d7f1b3e5a7ca70fe4ff75f0.us-east-1.aws.found.io/app/kibana#/discover/Steve-Slow-Train-Analysis-(2080s-and-2083s)?_g=(refreshInterval:(display:Off,pause:!f,section:0,value:0),time:(from:'2017-05-11T13:58:12-0600',mode:absolute,to:'2017-05-11T16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7" s="192" t="str">
        <f t="shared" si="70"/>
        <v>N</v>
      </c>
      <c r="X157" s="192">
        <f t="shared" si="62"/>
        <v>1</v>
      </c>
      <c r="Y157" s="192">
        <f t="shared" si="71"/>
        <v>9.7199999999999995E-2</v>
      </c>
      <c r="Z157" s="192">
        <f t="shared" ref="Z157:Z188" si="81">RIGHT(H157,LEN(H157)-4)/10000</f>
        <v>5.8935000000000004</v>
      </c>
      <c r="AA157" s="192">
        <f t="shared" si="72"/>
        <v>5.7963000000000005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73"/>
        <v>0825-11</v>
      </c>
      <c r="AE157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57" s="77" t="str">
        <f t="shared" si="75"/>
        <v>"C:\Program Files (x86)\AstroGrep\AstroGrep.exe" /e /r /s /spath="%USERPROFILE%\AppData\Local\Temp\OnboardLogs" /stypes="app*4022*20170511*" /stext=" 21:.+((SYSTEM_STATE.+slice.+state.+changed )|(ment ac)|(multiple cpu faults)|(system.+state.+changed )|(\[timeout)|(PRM\|1\|D)|(kpr)|(kdp)|(train st.+moving)|(\|lc)|(penalty))"</v>
      </c>
      <c r="AG157" s="1" t="str">
        <f t="shared" si="76"/>
        <v>NW</v>
      </c>
      <c r="AH157" s="81" t="str">
        <f t="shared" si="77"/>
        <v>"%USERPROFILE%\Documents\GitHub\eaglep3\Utilities\RefineRTDCRunTimes.py" --tripid 825-11 --locoid 4022 --swversion DE.1.0.9.0 --startMP 204:972 --initTime 2017-05-11T14:58:12 --startdatetime 2017-05-11T15:21:13 --delay 1 --endMP 300:58935 --enddatetime 2017-05-11T15:35:02 --enforcementcount 0 &gt;&gt;C:\Users\stu\Documents\GitHub\eaglep3-reporting\EC\2017-05-11-refined-times.txt</v>
      </c>
      <c r="AI157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{"issue":{"subject":"","project_id":79,"tracker_id":40,"status_id":1,"priority_id":2,"assigned_to_id":23,"start_date":"2017-05-11","description":"","custom_fields":[{"id":1,"name":"Subdivision","value":"NW"},{"id":4,"name":"Milepost","value":"5.8935"},{"id":17,"name":"Train ID","value":"825-11"},{"id":16,"name":"Locomotive ID","value":"4022"},{"id":130,"name":"Impact","value":""},{"id":150,"name":"Time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79"/>
        <v>start /low /b %USERPROFILE%\Documents\GitHub\eaglep3\Utilities\DownloadLogsFromS3.py --loco 4022 --day 2017-05-11</v>
      </c>
      <c r="AN157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21:35:02"},{"id":29,"name":"Sharepoint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723</v>
      </c>
      <c r="B158" s="7">
        <v>4021</v>
      </c>
      <c r="C158" s="21" t="s">
        <v>206</v>
      </c>
      <c r="D158" s="21" t="s">
        <v>997</v>
      </c>
      <c r="E158" s="13">
        <v>42866.650405092594</v>
      </c>
      <c r="F158" s="13">
        <v>42866.65185185185</v>
      </c>
      <c r="G158" s="7">
        <v>1</v>
      </c>
      <c r="H158" s="21" t="s">
        <v>484</v>
      </c>
      <c r="I158" s="13">
        <v>42866.664502314816</v>
      </c>
      <c r="J158" s="7">
        <v>0</v>
      </c>
      <c r="K158" s="92" t="str">
        <f t="shared" si="66"/>
        <v>4021/4022</v>
      </c>
      <c r="L158" s="21" t="str">
        <f>VLOOKUP(A158,'Trips&amp;Operators'!$C$1:$G$99999,5,FALSE)</f>
        <v>ZEWDU DEREJE</v>
      </c>
      <c r="M158" s="6">
        <f t="shared" si="67"/>
        <v>1.2650462966121268E-2</v>
      </c>
      <c r="N158" s="7">
        <f t="shared" si="64"/>
        <v>18.216666671214625</v>
      </c>
      <c r="O158" s="7"/>
      <c r="P158" s="7"/>
      <c r="Q158" s="22"/>
      <c r="R158" s="190"/>
      <c r="S158" s="196">
        <f t="shared" si="65"/>
        <v>1</v>
      </c>
      <c r="T158" s="190" t="str">
        <f t="shared" si="68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 t="shared" si="69"/>
        <v>https://d0f6bd738d7f1b3e5a7ca70fe4ff75f0.us-east-1.aws.found.io/app/kibana#/discover/Steve-Slow-Train-Analysis-(2080s-and-2083s)?_g=(refreshInterval:(display:Off,pause:!f,section:0,value:0),time:(from:'2017-05-11T14:36:35-0600',mode:absolute,to:'2017-05-11T16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8" s="192" t="str">
        <f t="shared" si="70"/>
        <v>N</v>
      </c>
      <c r="X158" s="192">
        <f t="shared" si="62"/>
        <v>1</v>
      </c>
      <c r="Y158" s="192">
        <f t="shared" si="71"/>
        <v>5.8615000000000004</v>
      </c>
      <c r="Z158" s="192">
        <f t="shared" si="81"/>
        <v>6.9199999999999998E-2</v>
      </c>
      <c r="AA158" s="192">
        <f t="shared" si="72"/>
        <v>5.7923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73"/>
        <v>0826-11</v>
      </c>
      <c r="AE158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58" s="77" t="str">
        <f t="shared" si="75"/>
        <v>"C:\Program Files (x86)\AstroGrep\AstroGrep.exe" /e /r /s /spath="%USERPROFILE%\AppData\Local\Temp\OnboardLogs" /stypes="app*4021*20170511*" /stext=" 21:.+((SYSTEM_STATE.+slice.+state.+changed )|(ment ac)|(multiple cpu faults)|(system.+state.+changed )|(\[timeout)|(PRM\|1\|D)|(kpr)|(kdp)|(train st.+moving)|(\|lc)|(penalty))"</v>
      </c>
      <c r="AG158" s="1" t="str">
        <f t="shared" si="76"/>
        <v>NW</v>
      </c>
      <c r="AH158" s="81" t="str">
        <f t="shared" si="77"/>
        <v>"%USERPROFILE%\Documents\GitHub\eaglep3\Utilities\RefineRTDCRunTimes.py" --tripid 826-11 --locoid 4021 --swversion DE.1.0.9.0 --startMP 300:58615 --initTime 2017-05-11T15:36:35 --startdatetime 2017-05-11T15:38:40 --delay 1 --endMP 204:692 --enddatetime 2017-05-11T15:56:53 --enforcementcount 0 &gt;&gt;C:\Users\stu\Documents\GitHub\eaglep3-reporting\EC\2017-05-11-refined-times.txt</v>
      </c>
      <c r="AI158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{"issue":{"subject":"","project_id":79,"tracker_id":40,"status_id":1,"priority_id":2,"assigned_to_id":23,"start_date":"2017-05-11","description":"","custom_fields":[{"id":1,"name":"Subdivision","value":"NW"},{"id":4,"name":"Milepost","value":"0.0692"},{"id":17,"name":"Train ID","value":"826-11"},{"id":16,"name":"Locomotive ID","value":"4021"},{"id":130,"name":"Impact","value":""},{"id":150,"name":"Time of Event (Mountain Time)","value":"15:56:53"},{"id":151,"name":"Denver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79"/>
        <v>start /low /b %USERPROFILE%\Documents\GitHub\eaglep3\Utilities\DownloadLogsFromS3.py --loco 4021 --day 2017-05-11</v>
      </c>
      <c r="AN158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21:56:53"},{"id":29,"name":"Sharepoint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725</v>
      </c>
      <c r="B159" s="7">
        <v>4008</v>
      </c>
      <c r="C159" s="21" t="s">
        <v>206</v>
      </c>
      <c r="D159" s="21" t="s">
        <v>560</v>
      </c>
      <c r="E159" s="13">
        <v>42866.660011574073</v>
      </c>
      <c r="F159" s="13">
        <v>42866.661597222221</v>
      </c>
      <c r="G159" s="7">
        <v>1</v>
      </c>
      <c r="H159" s="21" t="s">
        <v>564</v>
      </c>
      <c r="I159" s="13">
        <v>42866.67119212963</v>
      </c>
      <c r="J159" s="7">
        <v>0</v>
      </c>
      <c r="K159" s="92" t="str">
        <f t="shared" si="66"/>
        <v>4007/4008</v>
      </c>
      <c r="L159" s="21" t="str">
        <f>VLOOKUP(A159,'Trips&amp;Operators'!$C$1:$G$99999,5,FALSE)</f>
        <v>STORY SAMANTHA</v>
      </c>
      <c r="M159" s="6">
        <f t="shared" si="67"/>
        <v>9.5949074093368836E-3</v>
      </c>
      <c r="N159" s="7">
        <f t="shared" si="64"/>
        <v>13.816666669445112</v>
      </c>
      <c r="O159" s="7"/>
      <c r="P159" s="7"/>
      <c r="Q159" s="22"/>
      <c r="R159" s="190"/>
      <c r="S159" s="196">
        <f t="shared" si="65"/>
        <v>1</v>
      </c>
      <c r="T159" s="190" t="str">
        <f t="shared" si="68"/>
        <v>NorthBound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69"/>
        <v>https://d0f6bd738d7f1b3e5a7ca70fe4ff75f0.us-east-1.aws.found.io/app/kibana#/discover/Steve-Slow-Train-Analysis-(2080s-and-2083s)?_g=(refreshInterval:(display:Off,pause:!f,section:0,value:0),time:(from:'2017-05-11T14:50:25-0600',mode:absolute,to:'2017-05-11T17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9" s="192" t="str">
        <f t="shared" si="70"/>
        <v>N</v>
      </c>
      <c r="X159" s="192">
        <f t="shared" si="62"/>
        <v>1</v>
      </c>
      <c r="Y159" s="192">
        <f t="shared" si="71"/>
        <v>9.5000000000000001E-2</v>
      </c>
      <c r="Z159" s="192">
        <f t="shared" si="81"/>
        <v>5.8933</v>
      </c>
      <c r="AA159" s="192">
        <f t="shared" si="72"/>
        <v>5.7983000000000002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73"/>
        <v>0827-11</v>
      </c>
      <c r="AE159" s="80" t="str">
        <f t="shared" si="74"/>
        <v>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 &amp; aws s3 cp s3://rtdc.mdm.uploadarchive.raw/RTDC4008/ "%USERPROFILE%\AppData\Local\Temp\OnboardLogs"\RTDC4008\2017-05-12 --exclude "*" --recursive --include "*20170512*" &amp; "%USERPROFILE%\Documents\GitHub\mrs-test-scripts\Headless Mode &amp; Sideloading\WalkAndUnGZ.bat" "%USERPROFILE%\AppData\Local\Temp\OnboardLogs"\RTDC4008\2017-05-12</v>
      </c>
      <c r="AF159" s="77" t="str">
        <f t="shared" si="75"/>
        <v>"C:\Program Files (x86)\AstroGrep\AstroGrep.exe" /e /r /s /spath="%USERPROFILE%\AppData\Local\Temp\OnboardLogs" /stypes="app*4008*20170511*" /stext=" 22:.+((SYSTEM_STATE.+slice.+state.+changed )|(ment ac)|(multiple cpu faults)|(system.+state.+changed )|(\[timeout)|(PRM\|1\|D)|(kpr)|(kdp)|(train st.+moving)|(\|lc)|(penalty))"</v>
      </c>
      <c r="AG159" s="1" t="str">
        <f t="shared" si="76"/>
        <v>NW</v>
      </c>
      <c r="AH159" s="81" t="str">
        <f t="shared" si="77"/>
        <v>"%USERPROFILE%\Documents\GitHub\eaglep3\Utilities\RefineRTDCRunTimes.py" --tripid 827-11 --locoid 4008 --swversion DE.1.0.9.0 --startMP 204:950 --initTime 2017-05-11T15:50:25 --startdatetime 2017-05-11T15:52:42 --delay 1 --endMP 300:58933 --enddatetime 2017-05-11T16:06:31 --enforcementcount 0 &gt;&gt;C:\Users\stu\Documents\GitHub\eaglep3-reporting\EC\2017-05-11-refined-times.txt</v>
      </c>
      <c r="AI159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{"issue":{"subject":"","project_id":79,"tracker_id":40,"status_id":1,"priority_id":2,"assigned_to_id":23,"start_date":"2017-05-11","description":"","custom_fields":[{"id":1,"name":"Subdivision","value":"NW"},{"id":4,"name":"Milepost","value":"5.8933"},{"id":17,"name":"Train ID","value":"827-11"},{"id":16,"name":"Locomotive ID","value":"4008"},{"id":130,"name":"Impact","value":""},{"id":150,"name":"Time of Event (Mountain Time)","value":"16:06:31"},{"id":151,"name":"Denver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79"/>
        <v>start /low /b %USERPROFILE%\Documents\GitHub\eaglep3\Utilities\DownloadLogsFromS3.py --loco 4008 --day 2017-05-11</v>
      </c>
      <c r="AN159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22:06:31"},{"id":29,"name":"Sharepoint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724</v>
      </c>
      <c r="B160" s="7">
        <v>4007</v>
      </c>
      <c r="C160" s="21" t="s">
        <v>206</v>
      </c>
      <c r="D160" s="21" t="s">
        <v>997</v>
      </c>
      <c r="E160" s="13">
        <v>42866.672129629631</v>
      </c>
      <c r="F160" s="13">
        <v>42866.673379629632</v>
      </c>
      <c r="G160" s="7">
        <v>1</v>
      </c>
      <c r="H160" s="21" t="s">
        <v>563</v>
      </c>
      <c r="I160" s="13">
        <v>42866.684837962966</v>
      </c>
      <c r="J160" s="7">
        <v>0</v>
      </c>
      <c r="K160" s="92" t="str">
        <f t="shared" si="66"/>
        <v>4007/4008</v>
      </c>
      <c r="L160" s="21" t="str">
        <f>VLOOKUP(A160,'Trips&amp;Operators'!$C$1:$G$99999,5,FALSE)</f>
        <v>STORY SAMANTHA</v>
      </c>
      <c r="M160" s="6">
        <f t="shared" si="67"/>
        <v>1.1458333334303461E-2</v>
      </c>
      <c r="N160" s="7">
        <f t="shared" si="64"/>
        <v>16.500000001396984</v>
      </c>
      <c r="O160" s="7"/>
      <c r="P160" s="7"/>
      <c r="Q160" s="22"/>
      <c r="R160" s="190"/>
      <c r="S160" s="196">
        <f t="shared" si="65"/>
        <v>1</v>
      </c>
      <c r="T160" s="190" t="str">
        <f t="shared" si="68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69"/>
        <v>https://d0f6bd738d7f1b3e5a7ca70fe4ff75f0.us-east-1.aws.found.io/app/kibana#/discover/Steve-Slow-Train-Analysis-(2080s-and-2083s)?_g=(refreshInterval:(display:Off,pause:!f,section:0,value:0),time:(from:'2017-05-11T15:07:52-0600',mode:absolute,to:'2017-05-11T17:26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0" s="192" t="str">
        <f t="shared" si="70"/>
        <v>N</v>
      </c>
      <c r="X160" s="192">
        <f t="shared" si="62"/>
        <v>1</v>
      </c>
      <c r="Y160" s="192">
        <f t="shared" si="71"/>
        <v>5.8615000000000004</v>
      </c>
      <c r="Z160" s="192">
        <f t="shared" si="81"/>
        <v>6.8699999999999997E-2</v>
      </c>
      <c r="AA160" s="192">
        <f t="shared" si="72"/>
        <v>5.7928000000000006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73"/>
        <v>0828-11</v>
      </c>
      <c r="AE160" s="80" t="str">
        <f t="shared" si="74"/>
        <v>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 &amp; aws s3 cp s3://rtdc.mdm.uploadarchive.raw/RTDC4007/ "%USERPROFILE%\AppData\Local\Temp\OnboardLogs"\RTDC4007\2017-05-12 --exclude "*" --recursive --include "*20170512*" &amp; "%USERPROFILE%\Documents\GitHub\mrs-test-scripts\Headless Mode &amp; Sideloading\WalkAndUnGZ.bat" "%USERPROFILE%\AppData\Local\Temp\OnboardLogs"\RTDC4007\2017-05-12</v>
      </c>
      <c r="AF160" s="77" t="str">
        <f t="shared" si="75"/>
        <v>"C:\Program Files (x86)\AstroGrep\AstroGrep.exe" /e /r /s /spath="%USERPROFILE%\AppData\Local\Temp\OnboardLogs" /stypes="app*4007*20170511*" /stext=" 22:.+((SYSTEM_STATE.+slice.+state.+changed )|(ment ac)|(multiple cpu faults)|(system.+state.+changed )|(\[timeout)|(PRM\|1\|D)|(kpr)|(kdp)|(train st.+moving)|(\|lc)|(penalty))"</v>
      </c>
      <c r="AG160" s="1" t="str">
        <f t="shared" si="76"/>
        <v>NW</v>
      </c>
      <c r="AH160" s="81" t="str">
        <f t="shared" si="77"/>
        <v>"%USERPROFILE%\Documents\GitHub\eaglep3\Utilities\RefineRTDCRunTimes.py" --tripid 828-11 --locoid 4007 --swversion DE.1.0.9.0 --startMP 300:58615 --initTime 2017-05-11T16:07:52 --startdatetime 2017-05-11T16:09:40 --delay 1 --endMP 204:687 --enddatetime 2017-05-11T16:26:10 --enforcementcount 0 &gt;&gt;C:\Users\stu\Documents\GitHub\eaglep3-reporting\EC\2017-05-11-refined-times.txt</v>
      </c>
      <c r="AI160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{"issue":{"subject":"","project_id":79,"tracker_id":40,"status_id":1,"priority_id":2,"assigned_to_id":23,"start_date":"2017-05-11","description":"","custom_fields":[{"id":1,"name":"Subdivision","value":"NW"},{"id":4,"name":"Milepost","value":"0.0687"},{"id":17,"name":"Train ID","value":"828-11"},{"id":16,"name":"Locomotive ID","value":"4007"},{"id":130,"name":"Impact","value":""},{"id":150,"name":"Time of Event (Mountain Time)","value":"16:26:10"},{"id":151,"name":"Denver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79"/>
        <v>start /low /b %USERPROFILE%\Documents\GitHub\eaglep3\Utilities\DownloadLogsFromS3.py --loco 4007 --day 2017-05-11</v>
      </c>
      <c r="AN160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22:26:10"},{"id":29,"name":"Sharepoint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727</v>
      </c>
      <c r="B161" s="7">
        <v>4022</v>
      </c>
      <c r="C161" s="21" t="s">
        <v>206</v>
      </c>
      <c r="D161" s="21" t="s">
        <v>973</v>
      </c>
      <c r="E161" s="13">
        <v>42866.666655092595</v>
      </c>
      <c r="F161" s="13">
        <v>42866.681435185186</v>
      </c>
      <c r="G161" s="7">
        <v>1</v>
      </c>
      <c r="H161" s="21" t="s">
        <v>482</v>
      </c>
      <c r="I161" s="13">
        <v>42866.690798611111</v>
      </c>
      <c r="J161" s="7">
        <v>0</v>
      </c>
      <c r="K161" s="92" t="str">
        <f t="shared" si="66"/>
        <v>4021/4022</v>
      </c>
      <c r="L161" s="21" t="str">
        <f>VLOOKUP(A161,'Trips&amp;Operators'!$C$1:$G$99999,5,FALSE)</f>
        <v>ZEWDU DEREJE</v>
      </c>
      <c r="M161" s="6">
        <f t="shared" si="67"/>
        <v>9.3634259246755391E-3</v>
      </c>
      <c r="N161" s="7">
        <f t="shared" ref="N161:N192" si="82">24*60*SUM($M161:$M161)</f>
        <v>13.483333331532776</v>
      </c>
      <c r="O161" s="7"/>
      <c r="P161" s="7"/>
      <c r="Q161" s="22"/>
      <c r="R161" s="190"/>
      <c r="S161" s="196">
        <f t="shared" si="65"/>
        <v>1</v>
      </c>
      <c r="T161" s="190" t="str">
        <f t="shared" si="68"/>
        <v>NorthBound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69"/>
        <v>https://d0f6bd738d7f1b3e5a7ca70fe4ff75f0.us-east-1.aws.found.io/app/kibana#/discover/Steve-Slow-Train-Analysis-(2080s-and-2083s)?_g=(refreshInterval:(display:Off,pause:!f,section:0,value:0),time:(from:'2017-05-11T14:59:59-0600',mode:absolute,to:'2017-05-11T17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192" t="str">
        <f t="shared" si="70"/>
        <v>N</v>
      </c>
      <c r="X161" s="192">
        <f t="shared" si="62"/>
        <v>1</v>
      </c>
      <c r="Y161" s="192">
        <f t="shared" si="71"/>
        <v>9.7600000000000006E-2</v>
      </c>
      <c r="Z161" s="192">
        <f t="shared" si="81"/>
        <v>5.8960999999999997</v>
      </c>
      <c r="AA161" s="192">
        <f t="shared" si="72"/>
        <v>5.7984999999999998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73"/>
        <v>0829-11</v>
      </c>
      <c r="AE161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61" s="77" t="str">
        <f t="shared" si="75"/>
        <v>"C:\Program Files (x86)\AstroGrep\AstroGrep.exe" /e /r /s /spath="%USERPROFILE%\AppData\Local\Temp\OnboardLogs" /stypes="app*4022*20170511*" /stext=" 22:.+((SYSTEM_STATE.+slice.+state.+changed )|(ment ac)|(multiple cpu faults)|(system.+state.+changed )|(\[timeout)|(PRM\|1\|D)|(kpr)|(kdp)|(train st.+moving)|(\|lc)|(penalty))"</v>
      </c>
      <c r="AG161" s="1" t="str">
        <f t="shared" si="76"/>
        <v>NW</v>
      </c>
      <c r="AH161" s="81" t="str">
        <f t="shared" si="77"/>
        <v>"%USERPROFILE%\Documents\GitHub\eaglep3\Utilities\RefineRTDCRunTimes.py" --tripid 829-11 --locoid 4022 --swversion DE.1.0.9.0 --startMP 204:976 --initTime 2017-05-11T15:59:59 --startdatetime 2017-05-11T16:21:16 --delay 1 --endMP 300:58961 --enddatetime 2017-05-11T16:34:45 --enforcementcount 0 &gt;&gt;C:\Users\stu\Documents\GitHub\eaglep3-reporting\EC\2017-05-11-refined-times.txt</v>
      </c>
      <c r="AI161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{"issue":{"subject":"","project_id":79,"tracker_id":40,"status_id":1,"priority_id":2,"assigned_to_id":23,"start_date":"2017-05-11","description":"","custom_fields":[{"id":1,"name":"Subdivision","value":"NW"},{"id":4,"name":"Milepost","value":"5.8961"},{"id":17,"name":"Train ID","value":"829-11"},{"id":16,"name":"Locomotive ID","value":"4022"},{"id":130,"name":"Impact","value":""},{"id":150,"name":"Time of Event (Mountain Time)","value":"16:34:45"},{"id":151,"name":"Denver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79"/>
        <v>start /low /b %USERPROFILE%\Documents\GitHub\eaglep3\Utilities\DownloadLogsFromS3.py --loco 4022 --day 2017-05-11</v>
      </c>
      <c r="AN161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22:34:45"},{"id":29,"name":"Sharepoint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734</v>
      </c>
      <c r="B162" s="7">
        <v>4021</v>
      </c>
      <c r="C162" s="21" t="s">
        <v>206</v>
      </c>
      <c r="D162" s="21" t="s">
        <v>562</v>
      </c>
      <c r="E162" s="13">
        <v>42866.691655092596</v>
      </c>
      <c r="F162" s="13">
        <v>42866.693078703705</v>
      </c>
      <c r="G162" s="7">
        <v>1</v>
      </c>
      <c r="H162" s="21" t="s">
        <v>491</v>
      </c>
      <c r="I162" s="13">
        <v>42866.705648148149</v>
      </c>
      <c r="J162" s="7">
        <v>0</v>
      </c>
      <c r="K162" s="92" t="str">
        <f t="shared" si="66"/>
        <v>4021/4022</v>
      </c>
      <c r="L162" s="21" t="str">
        <f>VLOOKUP(A162,'Trips&amp;Operators'!$C$1:$G$99999,5,FALSE)</f>
        <v>ZEWDU DEREJE</v>
      </c>
      <c r="M162" s="6">
        <f t="shared" si="67"/>
        <v>1.2569444443215616E-2</v>
      </c>
      <c r="N162" s="7">
        <f t="shared" si="82"/>
        <v>18.099999998230487</v>
      </c>
      <c r="O162" s="7"/>
      <c r="P162" s="7"/>
      <c r="Q162" s="22"/>
      <c r="R162" s="190"/>
      <c r="S162" s="196">
        <f t="shared" si="65"/>
        <v>1</v>
      </c>
      <c r="T162" s="190" t="str">
        <f t="shared" si="68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69"/>
        <v>https://d0f6bd738d7f1b3e5a7ca70fe4ff75f0.us-east-1.aws.found.io/app/kibana#/discover/Steve-Slow-Train-Analysis-(2080s-and-2083s)?_g=(refreshInterval:(display:Off,pause:!f,section:0,value:0),time:(from:'2017-05-11T15:35:59-0600',mode:absolute,to:'2017-05-11T17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192" t="str">
        <f t="shared" si="70"/>
        <v>N</v>
      </c>
      <c r="X162" s="192">
        <f t="shared" si="62"/>
        <v>1</v>
      </c>
      <c r="Y162" s="192">
        <f t="shared" si="71"/>
        <v>5.8643000000000001</v>
      </c>
      <c r="Z162" s="192">
        <f t="shared" si="81"/>
        <v>6.8000000000000005E-2</v>
      </c>
      <c r="AA162" s="192">
        <f t="shared" si="72"/>
        <v>5.7963000000000005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73"/>
        <v>0830-11</v>
      </c>
      <c r="AE162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62" s="77" t="str">
        <f t="shared" si="75"/>
        <v>"C:\Program Files (x86)\AstroGrep\AstroGrep.exe" /e /r /s /spath="%USERPROFILE%\AppData\Local\Temp\OnboardLogs" /stypes="app*4021*20170511*" /stext=" 22:.+((SYSTEM_STATE.+slice.+state.+changed )|(ment ac)|(multiple cpu faults)|(system.+state.+changed )|(\[timeout)|(PRM\|1\|D)|(kpr)|(kdp)|(train st.+moving)|(\|lc)|(penalty))"</v>
      </c>
      <c r="AG162" s="1" t="str">
        <f t="shared" si="76"/>
        <v>NW</v>
      </c>
      <c r="AH162" s="81" t="str">
        <f t="shared" si="77"/>
        <v>"%USERPROFILE%\Documents\GitHub\eaglep3\Utilities\RefineRTDCRunTimes.py" --tripid 830-11 --locoid 4021 --swversion DE.1.0.9.0 --startMP 300:58643 --initTime 2017-05-11T16:35:59 --startdatetime 2017-05-11T16:38:02 --delay 1 --endMP 204:680 --enddatetime 2017-05-11T16:56:08 --enforcementcount 0 &gt;&gt;C:\Users\stu\Documents\GitHub\eaglep3-reporting\EC\2017-05-11-refined-times.txt</v>
      </c>
      <c r="AI162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{"issue":{"subject":"","project_id":79,"tracker_id":40,"status_id":1,"priority_id":2,"assigned_to_id":23,"start_date":"2017-05-11","description":"","custom_fields":[{"id":1,"name":"Subdivision","value":"NW"},{"id":4,"name":"Milepost","value":"0.068"},{"id":17,"name":"Train ID","value":"830-11"},{"id":16,"name":"Locomotive ID","value":"4021"},{"id":130,"name":"Impact","value":""},{"id":150,"name":"Time of Event (Mountain Time)","value":"16:56:08"},{"id":151,"name":"Denver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79"/>
        <v>start /low /b %USERPROFILE%\Documents\GitHub\eaglep3\Utilities\DownloadLogsFromS3.py --loco 4021 --day 2017-05-11</v>
      </c>
      <c r="AN162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22:56:08"},{"id":29,"name":"Sharepoint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735</v>
      </c>
      <c r="B163" s="7">
        <v>4008</v>
      </c>
      <c r="C163" s="21" t="s">
        <v>206</v>
      </c>
      <c r="D163" s="21" t="s">
        <v>565</v>
      </c>
      <c r="E163" s="13">
        <v>42866.700150462966</v>
      </c>
      <c r="F163" s="13">
        <v>42866.702638888892</v>
      </c>
      <c r="G163" s="7">
        <v>1</v>
      </c>
      <c r="H163" s="21" t="s">
        <v>556</v>
      </c>
      <c r="I163" s="13">
        <v>42866.712581018517</v>
      </c>
      <c r="J163" s="7">
        <v>0</v>
      </c>
      <c r="K163" s="92" t="str">
        <f t="shared" si="66"/>
        <v>4007/4008</v>
      </c>
      <c r="L163" s="21" t="str">
        <f>VLOOKUP(A163,'Trips&amp;Operators'!$C$1:$G$99999,5,FALSE)</f>
        <v>LAMAR NEKESHA</v>
      </c>
      <c r="M163" s="6">
        <f t="shared" si="67"/>
        <v>9.9421296254149638E-3</v>
      </c>
      <c r="N163" s="7">
        <f t="shared" si="82"/>
        <v>14.316666660597548</v>
      </c>
      <c r="O163" s="7"/>
      <c r="P163" s="7"/>
      <c r="Q163" s="22"/>
      <c r="R163" s="190"/>
      <c r="S163" s="196">
        <f t="shared" ref="S163:S195" si="83">SUM(U163:U163)/IF(AG163="EC",12,1)</f>
        <v>1</v>
      </c>
      <c r="T163" s="190" t="str">
        <f t="shared" si="68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69"/>
        <v>https://d0f6bd738d7f1b3e5a7ca70fe4ff75f0.us-east-1.aws.found.io/app/kibana#/discover/Steve-Slow-Train-Analysis-(2080s-and-2083s)?_g=(refreshInterval:(display:Off,pause:!f,section:0,value:0),time:(from:'2017-05-11T15:48:13-0600',mode:absolute,to:'2017-05-11T18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3" s="192" t="str">
        <f t="shared" si="70"/>
        <v>N</v>
      </c>
      <c r="X163" s="192">
        <f t="shared" si="62"/>
        <v>1</v>
      </c>
      <c r="Y163" s="192">
        <f t="shared" si="71"/>
        <v>9.5799999999999996E-2</v>
      </c>
      <c r="Z163" s="192">
        <f t="shared" si="81"/>
        <v>5.8929</v>
      </c>
      <c r="AA163" s="192">
        <f t="shared" si="72"/>
        <v>5.7971000000000004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73"/>
        <v>0831-11</v>
      </c>
      <c r="AE163" s="80" t="str">
        <f t="shared" si="74"/>
        <v>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 &amp; aws s3 cp s3://rtdc.mdm.uploadarchive.raw/RTDC4008/ "%USERPROFILE%\AppData\Local\Temp\OnboardLogs"\RTDC4008\2017-05-12 --exclude "*" --recursive --include "*20170512*" &amp; "%USERPROFILE%\Documents\GitHub\mrs-test-scripts\Headless Mode &amp; Sideloading\WalkAndUnGZ.bat" "%USERPROFILE%\AppData\Local\Temp\OnboardLogs"\RTDC4008\2017-05-12</v>
      </c>
      <c r="AF163" s="77" t="str">
        <f t="shared" si="75"/>
        <v>"C:\Program Files (x86)\AstroGrep\AstroGrep.exe" /e /r /s /spath="%USERPROFILE%\AppData\Local\Temp\OnboardLogs" /stypes="app*4008*20170511*" /stext=" 23:.+((SYSTEM_STATE.+slice.+state.+changed )|(ment ac)|(multiple cpu faults)|(system.+state.+changed )|(\[timeout)|(PRM\|1\|D)|(kpr)|(kdp)|(train st.+moving)|(\|lc)|(penalty))"</v>
      </c>
      <c r="AG163" s="1" t="str">
        <f t="shared" si="76"/>
        <v>NW</v>
      </c>
      <c r="AH163" s="81" t="str">
        <f t="shared" si="77"/>
        <v>"%USERPROFILE%\Documents\GitHub\eaglep3\Utilities\RefineRTDCRunTimes.py" --tripid 831-11 --locoid 4008 --swversion DE.1.0.9.0 --startMP 204:958 --initTime 2017-05-11T16:48:13 --startdatetime 2017-05-11T16:51:48 --delay 1 --endMP 300:58929 --enddatetime 2017-05-11T17:06:07 --enforcementcount 0 &gt;&gt;C:\Users\stu\Documents\GitHub\eaglep3-reporting\EC\2017-05-11-refined-times.txt</v>
      </c>
      <c r="AI163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{"issue":{"subject":"","project_id":79,"tracker_id":40,"status_id":1,"priority_id":2,"assigned_to_id":23,"start_date":"2017-05-11","description":"","custom_fields":[{"id":1,"name":"Subdivision","value":"NW"},{"id":4,"name":"Milepost","value":"5.8929"},{"id":17,"name":"Train ID","value":"831-11"},{"id":16,"name":"Locomotive ID","value":"4008"},{"id":130,"name":"Impact","value":""},{"id":150,"name":"Time of Event (Mountain Time)","value":"17:06:07"},{"id":151,"name":"Denver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79"/>
        <v>start /low /b %USERPROFILE%\Documents\GitHub\eaglep3\Utilities\DownloadLogsFromS3.py --loco 4008 --day 2017-05-11</v>
      </c>
      <c r="AN163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740</v>
      </c>
      <c r="B164" s="7">
        <v>4007</v>
      </c>
      <c r="C164" s="21" t="s">
        <v>206</v>
      </c>
      <c r="D164" s="21" t="s">
        <v>998</v>
      </c>
      <c r="E164" s="13">
        <v>42866.713692129626</v>
      </c>
      <c r="F164" s="13">
        <v>42866.715150462966</v>
      </c>
      <c r="G164" s="7">
        <v>1</v>
      </c>
      <c r="H164" s="21" t="s">
        <v>999</v>
      </c>
      <c r="I164" s="13">
        <v>42866.726643518516</v>
      </c>
      <c r="J164" s="7">
        <v>0</v>
      </c>
      <c r="K164" s="92" t="str">
        <f t="shared" si="66"/>
        <v>4007/4008</v>
      </c>
      <c r="L164" s="21" t="str">
        <f>VLOOKUP(A164,'Trips&amp;Operators'!$C$1:$G$99999,5,FALSE)</f>
        <v>LAMAR NEKESHA</v>
      </c>
      <c r="M164" s="6">
        <f t="shared" si="67"/>
        <v>1.1493055550090503E-2</v>
      </c>
      <c r="N164" s="7">
        <f t="shared" si="82"/>
        <v>16.549999992130324</v>
      </c>
      <c r="O164" s="7"/>
      <c r="P164" s="7"/>
      <c r="Q164" s="22"/>
      <c r="R164" s="190"/>
      <c r="S164" s="196">
        <f t="shared" si="83"/>
        <v>1</v>
      </c>
      <c r="T164" s="190" t="str">
        <f t="shared" si="68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69"/>
        <v>https://d0f6bd738d7f1b3e5a7ca70fe4ff75f0.us-east-1.aws.found.io/app/kibana#/discover/Steve-Slow-Train-Analysis-(2080s-and-2083s)?_g=(refreshInterval:(display:Off,pause:!f,section:0,value:0),time:(from:'2017-05-11T16:07:43-0600',mode:absolute,to:'2017-05-11T18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4" s="192" t="str">
        <f t="shared" si="70"/>
        <v>N</v>
      </c>
      <c r="X164" s="192">
        <f t="shared" si="62"/>
        <v>1</v>
      </c>
      <c r="Y164" s="192">
        <f t="shared" si="71"/>
        <v>5.8608000000000002</v>
      </c>
      <c r="Z164" s="192">
        <f t="shared" si="81"/>
        <v>6.54E-2</v>
      </c>
      <c r="AA164" s="192">
        <f t="shared" si="72"/>
        <v>5.7953999999999999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73"/>
        <v>0832-11</v>
      </c>
      <c r="AE164" s="80" t="str">
        <f t="shared" si="74"/>
        <v>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 &amp; aws s3 cp s3://rtdc.mdm.uploadarchive.raw/RTDC4007/ "%USERPROFILE%\AppData\Local\Temp\OnboardLogs"\RTDC4007\2017-05-12 --exclude "*" --recursive --include "*20170512*" &amp; "%USERPROFILE%\Documents\GitHub\mrs-test-scripts\Headless Mode &amp; Sideloading\WalkAndUnGZ.bat" "%USERPROFILE%\AppData\Local\Temp\OnboardLogs"\RTDC4007\2017-05-12</v>
      </c>
      <c r="AF164" s="77" t="str">
        <f t="shared" si="75"/>
        <v>"C:\Program Files (x86)\AstroGrep\AstroGrep.exe" /e /r /s /spath="%USERPROFILE%\AppData\Local\Temp\OnboardLogs" /stypes="app*4007*20170511*" /stext=" 23:.+((SYSTEM_STATE.+slice.+state.+changed )|(ment ac)|(multiple cpu faults)|(system.+state.+changed )|(\[timeout)|(PRM\|1\|D)|(kpr)|(kdp)|(train st.+moving)|(\|lc)|(penalty))"</v>
      </c>
      <c r="AG164" s="1" t="str">
        <f t="shared" si="76"/>
        <v>NW</v>
      </c>
      <c r="AH164" s="81" t="str">
        <f t="shared" si="77"/>
        <v>"%USERPROFILE%\Documents\GitHub\eaglep3\Utilities\RefineRTDCRunTimes.py" --tripid 832-11 --locoid 4007 --swversion DE.1.0.9.0 --startMP 300:58608 --initTime 2017-05-11T17:07:43 --startdatetime 2017-05-11T17:09:49 --delay 1 --endMP 204:654 --enddatetime 2017-05-11T17:26:22 --enforcementcount 0 &gt;&gt;C:\Users\stu\Documents\GitHub\eaglep3-reporting\EC\2017-05-11-refined-times.txt</v>
      </c>
      <c r="AI164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{"issue":{"subject":"","project_id":79,"tracker_id":40,"status_id":1,"priority_id":2,"assigned_to_id":23,"start_date":"2017-05-11","description":"","custom_fields":[{"id":1,"name":"Subdivision","value":"NW"},{"id":4,"name":"Milepost","value":"0.0654"},{"id":17,"name":"Train ID","value":"832-11"},{"id":16,"name":"Locomotive ID","value":"4007"},{"id":130,"name":"Impact","value":""},{"id":150,"name":"Time of Event (Mountain Time)","value":"17:26:22"},{"id":151,"name":"Denver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79"/>
        <v>start /low /b %USERPROFILE%\Documents\GitHub\eaglep3\Utilities\DownloadLogsFromS3.py --loco 4007 --day 2017-05-11</v>
      </c>
      <c r="AN164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593</v>
      </c>
      <c r="B165" s="7">
        <v>4022</v>
      </c>
      <c r="C165" s="21" t="s">
        <v>206</v>
      </c>
      <c r="D165" s="21" t="s">
        <v>483</v>
      </c>
      <c r="E165" s="13">
        <v>42866.70789351852</v>
      </c>
      <c r="F165" s="13">
        <v>42866.723055555558</v>
      </c>
      <c r="G165" s="7">
        <v>1</v>
      </c>
      <c r="H165" s="21" t="s">
        <v>1000</v>
      </c>
      <c r="I165" s="13">
        <v>42866.732974537037</v>
      </c>
      <c r="J165" s="7">
        <v>0</v>
      </c>
      <c r="K165" s="92" t="str">
        <f t="shared" si="66"/>
        <v>4021/4022</v>
      </c>
      <c r="L165" s="21" t="str">
        <f>VLOOKUP(A165,'Trips&amp;Operators'!$C$1:$G$99999,5,FALSE)</f>
        <v>ZEWDU DEREJE</v>
      </c>
      <c r="M165" s="6">
        <f t="shared" si="67"/>
        <v>9.9189814791316167E-3</v>
      </c>
      <c r="N165" s="7">
        <f t="shared" si="82"/>
        <v>14.283333329949528</v>
      </c>
      <c r="O165" s="7"/>
      <c r="P165" s="7"/>
      <c r="Q165" s="22"/>
      <c r="R165" s="190"/>
      <c r="S165" s="196">
        <f t="shared" si="83"/>
        <v>1</v>
      </c>
      <c r="T165" s="190" t="str">
        <f t="shared" si="68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69"/>
        <v>https://d0f6bd738d7f1b3e5a7ca70fe4ff75f0.us-east-1.aws.found.io/app/kibana#/discover/Steve-Slow-Train-Analysis-(2080s-and-2083s)?_g=(refreshInterval:(display:Off,pause:!f,section:0,value:0),time:(from:'2017-05-11T15:59:22-0600',mode:absolute,to:'2017-05-11T18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192" t="str">
        <f t="shared" si="70"/>
        <v>N</v>
      </c>
      <c r="X165" s="192">
        <f t="shared" si="62"/>
        <v>1</v>
      </c>
      <c r="Y165" s="192">
        <f t="shared" si="71"/>
        <v>9.8100000000000007E-2</v>
      </c>
      <c r="Z165" s="192">
        <f t="shared" si="81"/>
        <v>5.8959999999999999</v>
      </c>
      <c r="AA165" s="192">
        <f t="shared" si="72"/>
        <v>5.7979000000000003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73"/>
        <v>0833-11</v>
      </c>
      <c r="AE165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65" s="77" t="str">
        <f t="shared" si="75"/>
        <v>"C:\Program Files (x86)\AstroGrep\AstroGrep.exe" /e /r /s /spath="%USERPROFILE%\AppData\Local\Temp\OnboardLogs" /stypes="app*4022*20170511*" /stext=" 23:.+((SYSTEM_STATE.+slice.+state.+changed )|(ment ac)|(multiple cpu faults)|(system.+state.+changed )|(\[timeout)|(PRM\|1\|D)|(kpr)|(kdp)|(train st.+moving)|(\|lc)|(penalty))"</v>
      </c>
      <c r="AG165" s="1" t="str">
        <f t="shared" si="76"/>
        <v>NW</v>
      </c>
      <c r="AH165" s="81" t="str">
        <f t="shared" si="77"/>
        <v>"%USERPROFILE%\Documents\GitHub\eaglep3\Utilities\RefineRTDCRunTimes.py" --tripid 833-11 --locoid 4022 --swversion DE.1.0.9.0 --startMP 204:981 --initTime 2017-05-11T16:59:22 --startdatetime 2017-05-11T17:21:12 --delay 1 --endMP 300:58960 --enddatetime 2017-05-11T17:35:29 --enforcementcount 0 &gt;&gt;C:\Users\stu\Documents\GitHub\eaglep3-reporting\EC\2017-05-11-refined-times.txt</v>
      </c>
      <c r="AI165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{"issue":{"subject":"","project_id":79,"tracker_id":40,"status_id":1,"priority_id":2,"assigned_to_id":23,"start_date":"2017-05-11","description":"","custom_fields":[{"id":1,"name":"Subdivision","value":"NW"},{"id":4,"name":"Milepost","value":"5.896"},{"id":17,"name":"Train ID","value":"833-11"},{"id":16,"name":"Locomotive ID","value":"4022"},{"id":130,"name":"Impact","value":""},{"id":150,"name":"Time of Event (Mountain Time)","value":"17:35:29"},{"id":151,"name":"Denver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79"/>
        <v>start /low /b %USERPROFILE%\Documents\GitHub\eaglep3\Utilities\DownloadLogsFromS3.py --loco 4022 --day 2017-05-11</v>
      </c>
      <c r="AN165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744</v>
      </c>
      <c r="B166" s="7">
        <v>4021</v>
      </c>
      <c r="C166" s="21" t="s">
        <v>206</v>
      </c>
      <c r="D166" s="21" t="s">
        <v>562</v>
      </c>
      <c r="E166" s="13">
        <v>42866.733981481484</v>
      </c>
      <c r="F166" s="13">
        <v>42866.73541666667</v>
      </c>
      <c r="G166" s="7">
        <v>1</v>
      </c>
      <c r="H166" s="21" t="s">
        <v>484</v>
      </c>
      <c r="I166" s="13">
        <v>42866.747337962966</v>
      </c>
      <c r="J166" s="7">
        <v>0</v>
      </c>
      <c r="K166" s="92" t="str">
        <f t="shared" si="66"/>
        <v>4021/4022</v>
      </c>
      <c r="L166" s="21" t="str">
        <f>VLOOKUP(A166,'Trips&amp;Operators'!$C$1:$G$99999,5,FALSE)</f>
        <v>ZEWDU DEREJE</v>
      </c>
      <c r="M166" s="6">
        <f t="shared" si="67"/>
        <v>1.1921296296350192E-2</v>
      </c>
      <c r="N166" s="7">
        <f t="shared" si="82"/>
        <v>17.166666666744277</v>
      </c>
      <c r="O166" s="7"/>
      <c r="P166" s="7"/>
      <c r="Q166" s="22"/>
      <c r="R166" s="190"/>
      <c r="S166" s="196">
        <f t="shared" si="83"/>
        <v>1</v>
      </c>
      <c r="T166" s="190" t="str">
        <f t="shared" si="68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69"/>
        <v>https://d0f6bd738d7f1b3e5a7ca70fe4ff75f0.us-east-1.aws.found.io/app/kibana#/discover/Steve-Slow-Train-Analysis-(2080s-and-2083s)?_g=(refreshInterval:(display:Off,pause:!f,section:0,value:0),time:(from:'2017-05-11T16:36:56-0600',mode:absolute,to:'2017-05-11T18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192" t="str">
        <f t="shared" si="70"/>
        <v>N</v>
      </c>
      <c r="X166" s="192">
        <f t="shared" si="62"/>
        <v>1</v>
      </c>
      <c r="Y166" s="192">
        <f t="shared" si="71"/>
        <v>5.8643000000000001</v>
      </c>
      <c r="Z166" s="192">
        <f t="shared" si="81"/>
        <v>6.9199999999999998E-2</v>
      </c>
      <c r="AA166" s="192">
        <f t="shared" si="72"/>
        <v>5.7950999999999997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73"/>
        <v>0834-11</v>
      </c>
      <c r="AE166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66" s="77" t="str">
        <f t="shared" si="75"/>
        <v>"C:\Program Files (x86)\AstroGrep\AstroGrep.exe" /e /r /s /spath="%USERPROFILE%\AppData\Local\Temp\OnboardLogs" /stypes="app*4021*20170511*" /stext=" 23:.+((SYSTEM_STATE.+slice.+state.+changed )|(ment ac)|(multiple cpu faults)|(system.+state.+changed )|(\[timeout)|(PRM\|1\|D)|(kpr)|(kdp)|(train st.+moving)|(\|lc)|(penalty))"</v>
      </c>
      <c r="AG166" s="1" t="str">
        <f t="shared" si="76"/>
        <v>NW</v>
      </c>
      <c r="AH166" s="81" t="str">
        <f t="shared" si="77"/>
        <v>"%USERPROFILE%\Documents\GitHub\eaglep3\Utilities\RefineRTDCRunTimes.py" --tripid 834-11 --locoid 4021 --swversion DE.1.0.9.0 --startMP 300:58643 --initTime 2017-05-11T17:36:56 --startdatetime 2017-05-11T17:39:00 --delay 1 --endMP 204:692 --enddatetime 2017-05-11T17:56:10 --enforcementcount 0 &gt;&gt;C:\Users\stu\Documents\GitHub\eaglep3-reporting\EC\2017-05-11-refined-times.txt</v>
      </c>
      <c r="AI166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{"issue":{"subject":"","project_id":79,"tracker_id":40,"status_id":1,"priority_id":2,"assigned_to_id":23,"start_date":"2017-05-11","description":"","custom_fields":[{"id":1,"name":"Subdivision","value":"NW"},{"id":4,"name":"Milepost","value":"0.0692"},{"id":17,"name":"Train ID","value":"834-11"},{"id":16,"name":"Locomotive ID","value":"4021"},{"id":130,"name":"Impact","value":""},{"id":150,"name":"Time of Event (Mountain Time)","value":"17:56:10"},{"id":151,"name":"Denver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79"/>
        <v>start /low /b %USERPROFILE%\Documents\GitHub\eaglep3\Utilities\DownloadLogsFromS3.py --loco 4021 --day 2017-05-11</v>
      </c>
      <c r="AN166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746</v>
      </c>
      <c r="B167" s="7">
        <v>4008</v>
      </c>
      <c r="C167" s="21" t="s">
        <v>206</v>
      </c>
      <c r="D167" s="21" t="s">
        <v>1001</v>
      </c>
      <c r="E167" s="13">
        <v>42866.73778935185</v>
      </c>
      <c r="F167" s="13">
        <v>42866.743993055556</v>
      </c>
      <c r="G167" s="7">
        <v>1</v>
      </c>
      <c r="H167" s="21" t="s">
        <v>454</v>
      </c>
      <c r="I167" s="13">
        <v>42866.754004629627</v>
      </c>
      <c r="J167" s="7">
        <v>0</v>
      </c>
      <c r="K167" s="92" t="str">
        <f t="shared" si="66"/>
        <v>4007/4008</v>
      </c>
      <c r="L167" s="21" t="str">
        <f>VLOOKUP(A167,'Trips&amp;Operators'!$C$1:$G$99999,5,FALSE)</f>
        <v>LAMAR NEKESHA</v>
      </c>
      <c r="M167" s="6">
        <f t="shared" si="67"/>
        <v>1.0011574071540963E-2</v>
      </c>
      <c r="N167" s="7">
        <f t="shared" si="82"/>
        <v>14.416666663018987</v>
      </c>
      <c r="O167" s="7"/>
      <c r="P167" s="7"/>
      <c r="Q167" s="22"/>
      <c r="R167" s="190"/>
      <c r="S167" s="196">
        <f t="shared" si="83"/>
        <v>1</v>
      </c>
      <c r="T167" s="190" t="str">
        <f t="shared" si="68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69"/>
        <v>https://d0f6bd738d7f1b3e5a7ca70fe4ff75f0.us-east-1.aws.found.io/app/kibana#/discover/Steve-Slow-Train-Analysis-(2080s-and-2083s)?_g=(refreshInterval:(display:Off,pause:!f,section:0,value:0),time:(from:'2017-05-11T16:42:25-0600',mode:absolute,to:'2017-05-11T19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192" t="str">
        <f t="shared" si="70"/>
        <v>N</v>
      </c>
      <c r="X167" s="192">
        <f t="shared" si="62"/>
        <v>1</v>
      </c>
      <c r="Y167" s="192">
        <f t="shared" si="71"/>
        <v>9.2999999999999999E-2</v>
      </c>
      <c r="Z167" s="192">
        <f t="shared" si="81"/>
        <v>5.8925999999999998</v>
      </c>
      <c r="AA167" s="192">
        <f t="shared" si="72"/>
        <v>5.7995999999999999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73"/>
        <v>0835-11</v>
      </c>
      <c r="AE167" s="80" t="str">
        <f t="shared" si="74"/>
        <v>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 &amp; aws s3 cp s3://rtdc.mdm.uploadarchive.raw/RTDC4008/ "%USERPROFILE%\AppData\Local\Temp\OnboardLogs"\RTDC4008\2017-05-12 --exclude "*" --recursive --include "*20170512*" &amp; "%USERPROFILE%\Documents\GitHub\mrs-test-scripts\Headless Mode &amp; Sideloading\WalkAndUnGZ.bat" "%USERPROFILE%\AppData\Local\Temp\OnboardLogs"\RTDC4008\2017-05-12</v>
      </c>
      <c r="AF167" s="77" t="str">
        <f t="shared" si="75"/>
        <v>"C:\Program Files (x86)\AstroGrep\AstroGrep.exe" /e /r /s /spath="%USERPROFILE%\AppData\Local\Temp\OnboardLogs" /stypes="app*4008*20170512*" /stext=" 00:.+((SYSTEM_STATE.+slice.+state.+changed )|(ment ac)|(multiple cpu faults)|(system.+state.+changed )|(\[timeout)|(PRM\|1\|D)|(kpr)|(kdp)|(train st.+moving)|(\|lc)|(penalty))"</v>
      </c>
      <c r="AG167" s="1" t="str">
        <f t="shared" si="76"/>
        <v>NW</v>
      </c>
      <c r="AH167" s="81" t="str">
        <f t="shared" si="77"/>
        <v>"%USERPROFILE%\Documents\GitHub\eaglep3\Utilities\RefineRTDCRunTimes.py" --tripid 835-11 --locoid 4008 --swversion DE.1.0.9.0 --startMP 204:930 --initTime 2017-05-11T17:42:25 --startdatetime 2017-05-11T17:51:21 --delay 1 --endMP 300:58926 --enddatetime 2017-05-11T18:05:46 --enforcementcount 0 &gt;&gt;C:\Users\stu\Documents\GitHub\eaglep3-reporting\EC\2017-05-11-refined-times.txt</v>
      </c>
      <c r="AI167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{"issue":{"subject":"","project_id":79,"tracker_id":40,"status_id":1,"priority_id":2,"assigned_to_id":23,"start_date":"2017-05-11","description":"","custom_fields":[{"id":1,"name":"Subdivision","value":"NW"},{"id":4,"name":"Milepost","value":"5.8926"},{"id":17,"name":"Train ID","value":"835-11"},{"id":16,"name":"Locomotive ID","value":"4008"},{"id":130,"name":"Impact","value":""},{"id":150,"name":"Time of Event (Mountain Time)","value":"18:05:46"},{"id":151,"name":"Denver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79"/>
        <v>start /low /b %USERPROFILE%\Documents\GitHub\eaglep3\Utilities\DownloadLogsFromS3.py --loco 4008 --day 2017-05-11</v>
      </c>
      <c r="AN167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00:05:46"},{"id":29,"name":"Sharepoint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752</v>
      </c>
      <c r="B168" s="7">
        <v>4007</v>
      </c>
      <c r="C168" s="21" t="s">
        <v>206</v>
      </c>
      <c r="D168" s="21" t="s">
        <v>1002</v>
      </c>
      <c r="E168" s="13">
        <v>42866.755173611113</v>
      </c>
      <c r="F168" s="13">
        <v>42866.756643518522</v>
      </c>
      <c r="G168" s="7">
        <v>1</v>
      </c>
      <c r="H168" s="21" t="s">
        <v>1003</v>
      </c>
      <c r="I168" s="13">
        <v>42866.768414351849</v>
      </c>
      <c r="J168" s="7">
        <v>0</v>
      </c>
      <c r="K168" s="92" t="str">
        <f t="shared" si="66"/>
        <v>4007/4008</v>
      </c>
      <c r="L168" s="21" t="str">
        <f>VLOOKUP(A168,'Trips&amp;Operators'!$C$1:$G$99999,5,FALSE)</f>
        <v>LAMAR NEKESHA</v>
      </c>
      <c r="M168" s="6">
        <f t="shared" si="67"/>
        <v>1.1770833327318542E-2</v>
      </c>
      <c r="N168" s="7">
        <f t="shared" si="82"/>
        <v>16.9499999913387</v>
      </c>
      <c r="O168" s="7"/>
      <c r="P168" s="7"/>
      <c r="Q168" s="22"/>
      <c r="R168" s="190"/>
      <c r="S168" s="196">
        <f t="shared" si="83"/>
        <v>1</v>
      </c>
      <c r="T168" s="190" t="str">
        <f t="shared" si="68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69"/>
        <v>https://d0f6bd738d7f1b3e5a7ca70fe4ff75f0.us-east-1.aws.found.io/app/kibana#/discover/Steve-Slow-Train-Analysis-(2080s-and-2083s)?_g=(refreshInterval:(display:Off,pause:!f,section:0,value:0),time:(from:'2017-05-11T17:07:27-0600',mode:absolute,to:'2017-05-11T19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192" t="str">
        <f t="shared" si="70"/>
        <v>N</v>
      </c>
      <c r="X168" s="192">
        <f t="shared" si="62"/>
        <v>1</v>
      </c>
      <c r="Y168" s="192">
        <f t="shared" si="71"/>
        <v>5.8604000000000003</v>
      </c>
      <c r="Z168" s="192">
        <f t="shared" si="81"/>
        <v>6.59E-2</v>
      </c>
      <c r="AA168" s="192">
        <f t="shared" si="72"/>
        <v>5.7945000000000002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73"/>
        <v>0836-11</v>
      </c>
      <c r="AE168" s="80" t="str">
        <f t="shared" si="74"/>
        <v>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 &amp; aws s3 cp s3://rtdc.mdm.uploadarchive.raw/RTDC4007/ "%USERPROFILE%\AppData\Local\Temp\OnboardLogs"\RTDC4007\2017-05-12 --exclude "*" --recursive --include "*20170512*" &amp; "%USERPROFILE%\Documents\GitHub\mrs-test-scripts\Headless Mode &amp; Sideloading\WalkAndUnGZ.bat" "%USERPROFILE%\AppData\Local\Temp\OnboardLogs"\RTDC4007\2017-05-12</v>
      </c>
      <c r="AF168" s="77" t="str">
        <f t="shared" si="75"/>
        <v>"C:\Program Files (x86)\AstroGrep\AstroGrep.exe" /e /r /s /spath="%USERPROFILE%\AppData\Local\Temp\OnboardLogs" /stypes="app*4007*20170512*" /stext=" 00:.+((SYSTEM_STATE.+slice.+state.+changed )|(ment ac)|(multiple cpu faults)|(system.+state.+changed )|(\[timeout)|(PRM\|1\|D)|(kpr)|(kdp)|(train st.+moving)|(\|lc)|(penalty))"</v>
      </c>
      <c r="AG168" s="1" t="str">
        <f t="shared" si="76"/>
        <v>NW</v>
      </c>
      <c r="AH168" s="81" t="str">
        <f t="shared" si="77"/>
        <v>"%USERPROFILE%\Documents\GitHub\eaglep3\Utilities\RefineRTDCRunTimes.py" --tripid 836-11 --locoid 4007 --swversion DE.1.0.9.0 --startMP 300:58604 --initTime 2017-05-11T18:07:27 --startdatetime 2017-05-11T18:09:34 --delay 1 --endMP 204:659 --enddatetime 2017-05-11T18:26:31 --enforcementcount 0 &gt;&gt;C:\Users\stu\Documents\GitHub\eaglep3-reporting\EC\2017-05-11-refined-times.txt</v>
      </c>
      <c r="AI168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{"issue":{"subject":"","project_id":79,"tracker_id":40,"status_id":1,"priority_id":2,"assigned_to_id":23,"start_date":"2017-05-11","description":"","custom_fields":[{"id":1,"name":"Subdivision","value":"NW"},{"id":4,"name":"Milepost","value":"0.0659"},{"id":17,"name":"Train ID","value":"836-11"},{"id":16,"name":"Locomotive ID","value":"4007"},{"id":130,"name":"Impact","value":""},{"id":150,"name":"Time of Event (Mountain Time)","value":"18:26:31"},{"id":151,"name":"Denver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79"/>
        <v>start /low /b %USERPROFILE%\Documents\GitHub\eaglep3\Utilities\DownloadLogsFromS3.py --loco 4007 --day 2017-05-11</v>
      </c>
      <c r="AN168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00:26:31"},{"id":29,"name":"Sharepoint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751</v>
      </c>
      <c r="B169" s="7">
        <v>4022</v>
      </c>
      <c r="C169" s="21" t="s">
        <v>206</v>
      </c>
      <c r="D169" s="21" t="s">
        <v>988</v>
      </c>
      <c r="E169" s="13">
        <v>42866.749421296299</v>
      </c>
      <c r="F169" s="13">
        <v>42866.764884259261</v>
      </c>
      <c r="G169" s="7">
        <v>11</v>
      </c>
      <c r="H169" s="21" t="s">
        <v>986</v>
      </c>
      <c r="I169" s="13">
        <v>42866.774224537039</v>
      </c>
      <c r="J169" s="7">
        <v>0</v>
      </c>
      <c r="K169" s="92" t="str">
        <f t="shared" si="66"/>
        <v>4021/4022</v>
      </c>
      <c r="L169" s="21" t="str">
        <f>VLOOKUP(A169,'Trips&amp;Operators'!$C$1:$G$99999,5,FALSE)</f>
        <v>ZEWDU DEREJE</v>
      </c>
      <c r="M169" s="6">
        <f t="shared" si="67"/>
        <v>9.340277778392192E-3</v>
      </c>
      <c r="N169" s="7">
        <f t="shared" si="82"/>
        <v>13.450000000884756</v>
      </c>
      <c r="O169" s="7"/>
      <c r="P169" s="7"/>
      <c r="Q169" s="22"/>
      <c r="R169" s="190"/>
      <c r="S169" s="196">
        <f t="shared" si="83"/>
        <v>1</v>
      </c>
      <c r="T169" s="190" t="str">
        <f t="shared" si="68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69"/>
        <v>https://d0f6bd738d7f1b3e5a7ca70fe4ff75f0.us-east-1.aws.found.io/app/kibana#/discover/Steve-Slow-Train-Analysis-(2080s-and-2083s)?_g=(refreshInterval:(display:Off,pause:!f,section:0,value:0),time:(from:'2017-05-11T16:59:10-0600',mode:absolute,to:'2017-05-11T19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192" t="str">
        <f t="shared" si="70"/>
        <v>N</v>
      </c>
      <c r="X169" s="192">
        <f t="shared" si="62"/>
        <v>1</v>
      </c>
      <c r="Y169" s="192">
        <f t="shared" si="71"/>
        <v>9.7799999999999998E-2</v>
      </c>
      <c r="Z169" s="192">
        <f t="shared" si="81"/>
        <v>5.8948</v>
      </c>
      <c r="AA169" s="192">
        <f t="shared" si="72"/>
        <v>5.7969999999999997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73"/>
        <v>0837-11</v>
      </c>
      <c r="AE169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69" s="77" t="str">
        <f t="shared" si="75"/>
        <v>"C:\Program Files (x86)\AstroGrep\AstroGrep.exe" /e /r /s /spath="%USERPROFILE%\AppData\Local\Temp\OnboardLogs" /stypes="app*4022*20170512*" /stext=" 00:.+((SYSTEM_STATE.+slice.+state.+changed )|(ment ac)|(multiple cpu faults)|(system.+state.+changed )|(\[timeout)|(PRM\|1\|D)|(kpr)|(kdp)|(train st.+moving)|(\|lc)|(penalty))"</v>
      </c>
      <c r="AG169" s="1" t="str">
        <f t="shared" si="76"/>
        <v>NW</v>
      </c>
      <c r="AH169" s="81" t="str">
        <f t="shared" si="77"/>
        <v>"%USERPROFILE%\Documents\GitHub\eaglep3\Utilities\RefineRTDCRunTimes.py" --tripid 837-11 --locoid 4022 --swversion DE.1.0.9.0 --startMP 204:978 --initTime 2017-05-11T17:59:10 --startdatetime 2017-05-11T18:21:26 --delay 11 --endMP 300:58948 --enddatetime 2017-05-11T18:34:53 --enforcementcount 0 &gt;&gt;C:\Users\stu\Documents\GitHub\eaglep3-reporting\EC\2017-05-11-refined-times.txt</v>
      </c>
      <c r="AI169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{"issue":{"subject":"","project_id":79,"tracker_id":40,"status_id":1,"priority_id":2,"assigned_to_id":23,"start_date":"2017-05-11","description":"","custom_fields":[{"id":1,"name":"Subdivision","value":"NW"},{"id":4,"name":"Milepost","value":"5.8948"},{"id":17,"name":"Train ID","value":"837-11"},{"id":16,"name":"Locomotive ID","value":"4022"},{"id":130,"name":"Impact","value":""},{"id":150,"name":"Time of Event (Mountain Time)","value":"18:34:53"},{"id":151,"name":"Denver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79"/>
        <v>start /low /b %USERPROFILE%\Documents\GitHub\eaglep3\Utilities\DownloadLogsFromS3.py --loco 4022 --day 2017-05-11</v>
      </c>
      <c r="AN169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00:34:53"},{"id":29,"name":"Sharepoint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756</v>
      </c>
      <c r="B170" s="7">
        <v>4021</v>
      </c>
      <c r="C170" s="21" t="s">
        <v>206</v>
      </c>
      <c r="D170" s="21" t="s">
        <v>987</v>
      </c>
      <c r="E170" s="13">
        <v>42866.775034722225</v>
      </c>
      <c r="F170" s="13">
        <v>42866.77652777778</v>
      </c>
      <c r="G170" s="7">
        <v>1</v>
      </c>
      <c r="H170" s="21" t="s">
        <v>1004</v>
      </c>
      <c r="I170" s="13">
        <v>42866.788576388892</v>
      </c>
      <c r="J170" s="7">
        <v>0</v>
      </c>
      <c r="K170" s="92" t="str">
        <f t="shared" si="66"/>
        <v>4021/4022</v>
      </c>
      <c r="L170" s="21" t="str">
        <f>VLOOKUP(A170,'Trips&amp;Operators'!$C$1:$G$99999,5,FALSE)</f>
        <v>ZEWDU DEREJE</v>
      </c>
      <c r="M170" s="6">
        <f t="shared" si="67"/>
        <v>1.2048611111822538E-2</v>
      </c>
      <c r="N170" s="7">
        <f t="shared" si="82"/>
        <v>17.350000001024455</v>
      </c>
      <c r="O170" s="7"/>
      <c r="P170" s="7"/>
      <c r="Q170" s="22"/>
      <c r="R170" s="190"/>
      <c r="S170" s="196">
        <f t="shared" si="83"/>
        <v>1</v>
      </c>
      <c r="T170" s="190" t="str">
        <f t="shared" si="68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69"/>
        <v>https://d0f6bd738d7f1b3e5a7ca70fe4ff75f0.us-east-1.aws.found.io/app/kibana#/discover/Steve-Slow-Train-Analysis-(2080s-and-2083s)?_g=(refreshInterval:(display:Off,pause:!f,section:0,value:0),time:(from:'2017-05-11T17:36:03-0600',mode:absolute,to:'2017-05-11T19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192" t="str">
        <f t="shared" si="70"/>
        <v>N</v>
      </c>
      <c r="X170" s="192">
        <f t="shared" si="62"/>
        <v>1</v>
      </c>
      <c r="Y170" s="192">
        <f t="shared" si="71"/>
        <v>5.8638000000000003</v>
      </c>
      <c r="Z170" s="192">
        <f t="shared" si="81"/>
        <v>6.7000000000000004E-2</v>
      </c>
      <c r="AA170" s="192">
        <f t="shared" si="72"/>
        <v>5.7968000000000002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73"/>
        <v>0838-11</v>
      </c>
      <c r="AE170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70" s="77" t="str">
        <f t="shared" si="75"/>
        <v>"C:\Program Files (x86)\AstroGrep\AstroGrep.exe" /e /r /s /spath="%USERPROFILE%\AppData\Local\Temp\OnboardLogs" /stypes="app*4021*20170512*" /stext=" 00:.+((SYSTEM_STATE.+slice.+state.+changed )|(ment ac)|(multiple cpu faults)|(system.+state.+changed )|(\[timeout)|(PRM\|1\|D)|(kpr)|(kdp)|(train st.+moving)|(\|lc)|(penalty))"</v>
      </c>
      <c r="AG170" s="1" t="str">
        <f t="shared" si="76"/>
        <v>NW</v>
      </c>
      <c r="AH170" s="81" t="str">
        <f t="shared" si="77"/>
        <v>"%USERPROFILE%\Documents\GitHub\eaglep3\Utilities\RefineRTDCRunTimes.py" --tripid 838-11 --locoid 4021 --swversion DE.1.0.9.0 --startMP 300:58638 --initTime 2017-05-11T18:36:03 --startdatetime 2017-05-11T18:38:12 --delay 1 --endMP 204:670 --enddatetime 2017-05-11T18:55:33 --enforcementcount 0 &gt;&gt;C:\Users\stu\Documents\GitHub\eaglep3-reporting\EC\2017-05-11-refined-times.txt</v>
      </c>
      <c r="AI170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{"issue":{"subject":"","project_id":79,"tracker_id":40,"status_id":1,"priority_id":2,"assigned_to_id":23,"start_date":"2017-05-11","description":"","custom_fields":[{"id":1,"name":"Subdivision","value":"NW"},{"id":4,"name":"Milepost","value":"0.067"},{"id":17,"name":"Train ID","value":"838-11"},{"id":16,"name":"Locomotive ID","value":"4021"},{"id":130,"name":"Impact","value":""},{"id":150,"name":"Time of Event (Mountain Time)","value":"18:55:33"},{"id":151,"name":"Denver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79"/>
        <v>start /low /b %USERPROFILE%\Documents\GitHub\eaglep3\Utilities\DownloadLogsFromS3.py --loco 4021 --day 2017-05-11</v>
      </c>
      <c r="AN170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00:55:33"},{"id":29,"name":"Sharepoint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759</v>
      </c>
      <c r="B171" s="7">
        <v>4008</v>
      </c>
      <c r="C171" s="21" t="s">
        <v>206</v>
      </c>
      <c r="D171" s="21" t="s">
        <v>451</v>
      </c>
      <c r="E171" s="13">
        <v>42866.782013888886</v>
      </c>
      <c r="F171" s="13">
        <v>42866.785636574074</v>
      </c>
      <c r="G171" s="7">
        <v>2</v>
      </c>
      <c r="H171" s="21" t="s">
        <v>1005</v>
      </c>
      <c r="I171" s="13">
        <v>42866.795370370368</v>
      </c>
      <c r="J171" s="7">
        <v>0</v>
      </c>
      <c r="K171" s="92" t="str">
        <f t="shared" si="66"/>
        <v>4007/4008</v>
      </c>
      <c r="L171" s="21" t="str">
        <f>VLOOKUP(A171,'Trips&amp;Operators'!$C$1:$G$99999,5,FALSE)</f>
        <v>LAMAR NEKESHA</v>
      </c>
      <c r="M171" s="6">
        <f t="shared" si="67"/>
        <v>9.7337962943129241E-3</v>
      </c>
      <c r="N171" s="7">
        <f t="shared" si="82"/>
        <v>14.016666663810611</v>
      </c>
      <c r="O171" s="7"/>
      <c r="P171" s="7"/>
      <c r="Q171" s="22"/>
      <c r="R171" s="190"/>
      <c r="S171" s="196">
        <f t="shared" si="83"/>
        <v>1</v>
      </c>
      <c r="T171" s="190" t="str">
        <f t="shared" si="68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69"/>
        <v>https://d0f6bd738d7f1b3e5a7ca70fe4ff75f0.us-east-1.aws.found.io/app/kibana#/discover/Steve-Slow-Train-Analysis-(2080s-and-2083s)?_g=(refreshInterval:(display:Off,pause:!f,section:0,value:0),time:(from:'2017-05-11T17:46:06-0600',mode:absolute,to:'2017-05-11T20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192" t="str">
        <f t="shared" si="70"/>
        <v>N</v>
      </c>
      <c r="X171" s="192">
        <f t="shared" si="62"/>
        <v>1</v>
      </c>
      <c r="Y171" s="192">
        <f t="shared" si="71"/>
        <v>9.4799999999999995E-2</v>
      </c>
      <c r="Z171" s="192">
        <f t="shared" si="81"/>
        <v>5.8943000000000003</v>
      </c>
      <c r="AA171" s="192">
        <f t="shared" si="72"/>
        <v>5.7995000000000001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73"/>
        <v>0839-11</v>
      </c>
      <c r="AE171" s="80" t="str">
        <f t="shared" si="74"/>
        <v>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 &amp; aws s3 cp s3://rtdc.mdm.uploadarchive.raw/RTDC4008/ "%USERPROFILE%\AppData\Local\Temp\OnboardLogs"\RTDC4008\2017-05-12 --exclude "*" --recursive --include "*20170512*" &amp; "%USERPROFILE%\Documents\GitHub\mrs-test-scripts\Headless Mode &amp; Sideloading\WalkAndUnGZ.bat" "%USERPROFILE%\AppData\Local\Temp\OnboardLogs"\RTDC4008\2017-05-12</v>
      </c>
      <c r="AF171" s="77" t="str">
        <f t="shared" si="75"/>
        <v>"C:\Program Files (x86)\AstroGrep\AstroGrep.exe" /e /r /s /spath="%USERPROFILE%\AppData\Local\Temp\OnboardLogs" /stypes="app*4008*20170512*" /stext=" 01:.+((SYSTEM_STATE.+slice.+state.+changed )|(ment ac)|(multiple cpu faults)|(system.+state.+changed )|(\[timeout)|(PRM\|1\|D)|(kpr)|(kdp)|(train st.+moving)|(\|lc)|(penalty))"</v>
      </c>
      <c r="AG171" s="1" t="str">
        <f t="shared" si="76"/>
        <v>NW</v>
      </c>
      <c r="AH171" s="81" t="str">
        <f t="shared" si="77"/>
        <v>"%USERPROFILE%\Documents\GitHub\eaglep3\Utilities\RefineRTDCRunTimes.py" --tripid 839-11 --locoid 4008 --swversion DE.1.0.9.0 --startMP 204:948 --initTime 2017-05-11T18:46:06 --startdatetime 2017-05-11T18:51:19 --delay 2 --endMP 300:58943 --enddatetime 2017-05-11T19:05:20 --enforcementcount 0 &gt;&gt;C:\Users\stu\Documents\GitHub\eaglep3-reporting\EC\2017-05-11-refined-times.txt</v>
      </c>
      <c r="AI171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{"issue":{"subject":"","project_id":79,"tracker_id":40,"status_id":1,"priority_id":2,"assigned_to_id":23,"start_date":"2017-05-11","description":"","custom_fields":[{"id":1,"name":"Subdivision","value":"NW"},{"id":4,"name":"Milepost","value":"5.8943"},{"id":17,"name":"Train ID","value":"839-11"},{"id":16,"name":"Locomotive ID","value":"4008"},{"id":130,"name":"Impact","value":""},{"id":150,"name":"Time of Event (Mountain Time)","value":"19:05:20"},{"id":151,"name":"Denver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79"/>
        <v>start /low /b %USERPROFILE%\Documents\GitHub\eaglep3\Utilities\DownloadLogsFromS3.py --loco 4008 --day 2017-05-11</v>
      </c>
      <c r="AN171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769</v>
      </c>
      <c r="B172" s="7">
        <v>4021</v>
      </c>
      <c r="C172" s="21" t="s">
        <v>206</v>
      </c>
      <c r="D172" s="21" t="s">
        <v>555</v>
      </c>
      <c r="E172" s="13">
        <v>42866.81658564815</v>
      </c>
      <c r="F172" s="13">
        <v>42866.818148148152</v>
      </c>
      <c r="G172" s="7">
        <v>1</v>
      </c>
      <c r="H172" s="21" t="s">
        <v>563</v>
      </c>
      <c r="I172" s="13">
        <v>42866.83021990741</v>
      </c>
      <c r="J172" s="7">
        <v>0</v>
      </c>
      <c r="K172" s="92" t="str">
        <f t="shared" si="66"/>
        <v>4021/4022</v>
      </c>
      <c r="L172" s="21" t="str">
        <f>VLOOKUP(A172,'Trips&amp;Operators'!$C$1:$G$99999,5,FALSE)</f>
        <v>ZEWDU DEREJE</v>
      </c>
      <c r="M172" s="6">
        <f t="shared" si="67"/>
        <v>1.2071759258105885E-2</v>
      </c>
      <c r="N172" s="7">
        <f t="shared" si="82"/>
        <v>17.383333331672475</v>
      </c>
      <c r="O172" s="7"/>
      <c r="P172" s="7"/>
      <c r="Q172" s="22"/>
      <c r="R172" s="190"/>
      <c r="S172" s="196">
        <f t="shared" si="83"/>
        <v>1</v>
      </c>
      <c r="T172" s="190" t="str">
        <f t="shared" si="68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69"/>
        <v>https://d0f6bd738d7f1b3e5a7ca70fe4ff75f0.us-east-1.aws.found.io/app/kibana#/discover/Steve-Slow-Train-Analysis-(2080s-and-2083s)?_g=(refreshInterval:(display:Off,pause:!f,section:0,value:0),time:(from:'2017-05-11T18:35:53-0600',mode:absolute,to:'2017-05-11T20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2" s="192" t="str">
        <f t="shared" si="70"/>
        <v>N</v>
      </c>
      <c r="X172" s="192">
        <f t="shared" si="62"/>
        <v>1</v>
      </c>
      <c r="Y172" s="192">
        <f t="shared" si="71"/>
        <v>5.8647</v>
      </c>
      <c r="Z172" s="192">
        <f t="shared" si="81"/>
        <v>6.8699999999999997E-2</v>
      </c>
      <c r="AA172" s="192">
        <f t="shared" si="72"/>
        <v>5.7960000000000003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73"/>
        <v>0840-11</v>
      </c>
      <c r="AE172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72" s="77" t="str">
        <f t="shared" si="75"/>
        <v>"C:\Program Files (x86)\AstroGrep\AstroGrep.exe" /e /r /s /spath="%USERPROFILE%\AppData\Local\Temp\OnboardLogs" /stypes="app*4021*20170512*" /stext=" 01:.+((SYSTEM_STATE.+slice.+state.+changed )|(ment ac)|(multiple cpu faults)|(system.+state.+changed )|(\[timeout)|(PRM\|1\|D)|(kpr)|(kdp)|(train st.+moving)|(\|lc)|(penalty))"</v>
      </c>
      <c r="AG172" s="1" t="str">
        <f t="shared" si="76"/>
        <v>NW</v>
      </c>
      <c r="AH172" s="81" t="str">
        <f t="shared" si="77"/>
        <v>"%USERPROFILE%\Documents\GitHub\eaglep3\Utilities\RefineRTDCRunTimes.py" --tripid 840-11 --locoid 4021 --swversion DE.1.0.9.0 --startMP 300:58647 --initTime 2017-05-11T19:35:53 --startdatetime 2017-05-11T19:38:08 --delay 1 --endMP 204:687 --enddatetime 2017-05-11T19:55:31 --enforcementcount 0 &gt;&gt;C:\Users\stu\Documents\GitHub\eaglep3-reporting\EC\2017-05-11-refined-times.txt</v>
      </c>
      <c r="AI172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{"issue":{"subject":"","project_id":79,"tracker_id":40,"status_id":1,"priority_id":2,"assigned_to_id":23,"start_date":"2017-05-11","description":"","custom_fields":[{"id":1,"name":"Subdivision","value":"NW"},{"id":4,"name":"Milepost","value":"0.0687"},{"id":17,"name":"Train ID","value":"840-11"},{"id":16,"name":"Locomotive ID","value":"4021"},{"id":130,"name":"Impact","value":""},{"id":150,"name":"Time of Event (Mountain Time)","value":"19:55:31"},{"id":151,"name":"Denver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79"/>
        <v>start /low /b %USERPROFILE%\Documents\GitHub\eaglep3\Utilities\DownloadLogsFromS3.py --loco 4021 --day 2017-05-11</v>
      </c>
      <c r="AN172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764</v>
      </c>
      <c r="B173" s="7">
        <v>4022</v>
      </c>
      <c r="C173" s="21" t="s">
        <v>206</v>
      </c>
      <c r="D173" s="21" t="s">
        <v>557</v>
      </c>
      <c r="E173" s="13">
        <v>42866.79650462963</v>
      </c>
      <c r="F173" s="13">
        <v>42866.80641203704</v>
      </c>
      <c r="G173" s="7">
        <v>1</v>
      </c>
      <c r="H173" s="21" t="s">
        <v>989</v>
      </c>
      <c r="I173" s="13">
        <v>42866.815671296295</v>
      </c>
      <c r="J173" s="7">
        <v>0</v>
      </c>
      <c r="K173" s="92" t="str">
        <f t="shared" si="66"/>
        <v>4021/4022</v>
      </c>
      <c r="L173" s="21" t="str">
        <f>VLOOKUP(A173,'Trips&amp;Operators'!$C$1:$G$99999,5,FALSE)</f>
        <v>ZEWDU DEREJE</v>
      </c>
      <c r="M173" s="6">
        <f t="shared" si="67"/>
        <v>9.2592592554865405E-3</v>
      </c>
      <c r="N173" s="7">
        <f t="shared" si="82"/>
        <v>13.333333327900618</v>
      </c>
      <c r="O173" s="7"/>
      <c r="P173" s="7"/>
      <c r="Q173" s="22"/>
      <c r="R173" s="190"/>
      <c r="S173" s="196">
        <f t="shared" si="83"/>
        <v>1</v>
      </c>
      <c r="T173" s="190" t="str">
        <f t="shared" si="68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69"/>
        <v>https://d0f6bd738d7f1b3e5a7ca70fe4ff75f0.us-east-1.aws.found.io/app/kibana#/discover/Steve-Slow-Train-Analysis-(2080s-and-2083s)?_g=(refreshInterval:(display:Off,pause:!f,section:0,value:0),time:(from:'2017-05-11T18:06:58-0600',mode:absolute,to:'2017-05-11T20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3" s="192" t="str">
        <f t="shared" si="70"/>
        <v>N</v>
      </c>
      <c r="X173" s="192">
        <f t="shared" si="62"/>
        <v>1</v>
      </c>
      <c r="Y173" s="192">
        <f t="shared" si="71"/>
        <v>9.7199999999999995E-2</v>
      </c>
      <c r="Z173" s="192">
        <f t="shared" si="81"/>
        <v>5.8958000000000004</v>
      </c>
      <c r="AA173" s="192">
        <f t="shared" si="72"/>
        <v>5.7986000000000004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73"/>
        <v>0841-11</v>
      </c>
      <c r="AE173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73" s="77" t="str">
        <f t="shared" si="75"/>
        <v>"C:\Program Files (x86)\AstroGrep\AstroGrep.exe" /e /r /s /spath="%USERPROFILE%\AppData\Local\Temp\OnboardLogs" /stypes="app*4022*20170512*" /stext=" 01:.+((SYSTEM_STATE.+slice.+state.+changed )|(ment ac)|(multiple cpu faults)|(system.+state.+changed )|(\[timeout)|(PRM\|1\|D)|(kpr)|(kdp)|(train st.+moving)|(\|lc)|(penalty))"</v>
      </c>
      <c r="AG173" s="1" t="str">
        <f t="shared" si="76"/>
        <v>NW</v>
      </c>
      <c r="AH173" s="81" t="str">
        <f t="shared" si="77"/>
        <v>"%USERPROFILE%\Documents\GitHub\eaglep3\Utilities\RefineRTDCRunTimes.py" --tripid 841-11 --locoid 4022 --swversion DE.1.0.9.0 --startMP 204:972 --initTime 2017-05-11T19:06:58 --startdatetime 2017-05-11T19:21:14 --delay 1 --endMP 300:58958 --enddatetime 2017-05-11T19:34:34 --enforcementcount 0 &gt;&gt;C:\Users\stu\Documents\GitHub\eaglep3-reporting\EC\2017-05-11-refined-times.txt</v>
      </c>
      <c r="AI173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{"issue":{"subject":"","project_id":79,"tracker_id":40,"status_id":1,"priority_id":2,"assigned_to_id":23,"start_date":"2017-05-11","description":"","custom_fields":[{"id":1,"name":"Subdivision","value":"NW"},{"id":4,"name":"Milepost","value":"5.8958"},{"id":17,"name":"Train ID","value":"841-11"},{"id":16,"name":"Locomotive ID","value":"4022"},{"id":130,"name":"Impact","value":""},{"id":150,"name":"Time of Event (Mountain Time)","value":"19:34:34"},{"id":151,"name":"Denver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79"/>
        <v>start /low /b %USERPROFILE%\Documents\GitHub\eaglep3\Utilities\DownloadLogsFromS3.py --loco 4022 --day 2017-05-11</v>
      </c>
      <c r="AN173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774</v>
      </c>
      <c r="B174" s="7">
        <v>4021</v>
      </c>
      <c r="C174" s="21" t="s">
        <v>206</v>
      </c>
      <c r="D174" s="21" t="s">
        <v>1006</v>
      </c>
      <c r="E174" s="13">
        <v>42866.858854166669</v>
      </c>
      <c r="F174" s="13">
        <v>42866.860451388886</v>
      </c>
      <c r="G174" s="7">
        <v>1</v>
      </c>
      <c r="H174" s="21" t="s">
        <v>1007</v>
      </c>
      <c r="I174" s="13">
        <v>42866.87159722222</v>
      </c>
      <c r="J174" s="7">
        <v>0</v>
      </c>
      <c r="K174" s="92" t="str">
        <f t="shared" si="66"/>
        <v>4021/4022</v>
      </c>
      <c r="L174" s="21" t="str">
        <f>VLOOKUP(A174,'Trips&amp;Operators'!$C$1:$G$99999,5,FALSE)</f>
        <v>ZEWDU DEREJE</v>
      </c>
      <c r="M174" s="6">
        <f t="shared" si="67"/>
        <v>1.1145833334012423E-2</v>
      </c>
      <c r="N174" s="7">
        <f t="shared" si="82"/>
        <v>16.050000000977889</v>
      </c>
      <c r="O174" s="7"/>
      <c r="P174" s="7"/>
      <c r="Q174" s="22"/>
      <c r="R174" s="190"/>
      <c r="S174" s="196">
        <f t="shared" si="83"/>
        <v>1</v>
      </c>
      <c r="T174" s="190" t="str">
        <f t="shared" si="68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69"/>
        <v>https://d0f6bd738d7f1b3e5a7ca70fe4ff75f0.us-east-1.aws.found.io/app/kibana#/discover/Steve-Slow-Train-Analysis-(2080s-and-2083s)?_g=(refreshInterval:(display:Off,pause:!f,section:0,value:0),time:(from:'2017-05-11T19:36:45-0600',mode:absolute,to:'2017-05-11T21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4" s="192" t="str">
        <f t="shared" si="70"/>
        <v>N</v>
      </c>
      <c r="X174" s="192">
        <f t="shared" si="62"/>
        <v>1</v>
      </c>
      <c r="Y174" s="192">
        <f t="shared" si="71"/>
        <v>5.8662000000000001</v>
      </c>
      <c r="Z174" s="192">
        <f t="shared" si="81"/>
        <v>6.8500000000000005E-2</v>
      </c>
      <c r="AA174" s="192">
        <f t="shared" si="72"/>
        <v>5.7976999999999999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73"/>
        <v>0842-11</v>
      </c>
      <c r="AE174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74" s="77" t="str">
        <f t="shared" si="75"/>
        <v>"C:\Program Files (x86)\AstroGrep\AstroGrep.exe" /e /r /s /spath="%USERPROFILE%\AppData\Local\Temp\OnboardLogs" /stypes="app*4021*20170512*" /stext=" 02:.+((SYSTEM_STATE.+slice.+state.+changed )|(ment ac)|(multiple cpu faults)|(system.+state.+changed )|(\[timeout)|(PRM\|1\|D)|(kpr)|(kdp)|(train st.+moving)|(\|lc)|(penalty))"</v>
      </c>
      <c r="AG174" s="1" t="str">
        <f t="shared" si="76"/>
        <v>NW</v>
      </c>
      <c r="AH174" s="81" t="str">
        <f t="shared" si="77"/>
        <v>"%USERPROFILE%\Documents\GitHub\eaglep3\Utilities\RefineRTDCRunTimes.py" --tripid 842-11 --locoid 4021 --swversion DE.1.0.9.0 --startMP 300:58662 --initTime 2017-05-11T20:36:45 --startdatetime 2017-05-11T20:39:03 --delay 1 --endMP 204:685 --enddatetime 2017-05-11T20:55:06 --enforcementcount 0 &gt;&gt;C:\Users\stu\Documents\GitHub\eaglep3-reporting\EC\2017-05-11-refined-times.txt</v>
      </c>
      <c r="AI174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{"issue":{"subject":"","project_id":79,"tracker_id":40,"status_id":1,"priority_id":2,"assigned_to_id":23,"start_date":"2017-05-11","description":"","custom_fields":[{"id":1,"name":"Subdivision","value":"NW"},{"id":4,"name":"Milepost","value":"0.0685"},{"id":17,"name":"Train ID","value":"842-11"},{"id":16,"name":"Locomotive ID","value":"4021"},{"id":130,"name":"Impact","value":""},{"id":150,"name":"Time of Event (Mountain Time)","value":"20:55:06"},{"id":151,"name":"Denver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79"/>
        <v>start /low /b %USERPROFILE%\Documents\GitHub\eaglep3\Utilities\DownloadLogsFromS3.py --loco 4021 --day 2017-05-11</v>
      </c>
      <c r="AN174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772</v>
      </c>
      <c r="B175" s="7">
        <v>4022</v>
      </c>
      <c r="C175" s="21" t="s">
        <v>206</v>
      </c>
      <c r="D175" s="21" t="s">
        <v>973</v>
      </c>
      <c r="E175" s="13">
        <v>42866.832615740743</v>
      </c>
      <c r="F175" s="13">
        <v>42866.848090277781</v>
      </c>
      <c r="G175" s="7">
        <v>1</v>
      </c>
      <c r="H175" s="21" t="s">
        <v>568</v>
      </c>
      <c r="I175" s="13">
        <v>42866.857858796298</v>
      </c>
      <c r="J175" s="7">
        <v>0</v>
      </c>
      <c r="K175" s="92" t="str">
        <f t="shared" si="66"/>
        <v>4021/4022</v>
      </c>
      <c r="L175" s="21" t="str">
        <f>VLOOKUP(A175,'Trips&amp;Operators'!$C$1:$G$99999,5,FALSE)</f>
        <v>ZEWDU DEREJE</v>
      </c>
      <c r="M175" s="6">
        <f t="shared" si="67"/>
        <v>9.7685185173759237E-3</v>
      </c>
      <c r="N175" s="7">
        <f t="shared" si="82"/>
        <v>14.06666666502133</v>
      </c>
      <c r="O175" s="7"/>
      <c r="P175" s="7"/>
      <c r="Q175" s="22"/>
      <c r="R175" s="190"/>
      <c r="S175" s="196">
        <f t="shared" si="83"/>
        <v>1</v>
      </c>
      <c r="T175" s="190" t="str">
        <f t="shared" si="68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69"/>
        <v>https://d0f6bd738d7f1b3e5a7ca70fe4ff75f0.us-east-1.aws.found.io/app/kibana#/discover/Steve-Slow-Train-Analysis-(2080s-and-2083s)?_g=(refreshInterval:(display:Off,pause:!f,section:0,value:0),time:(from:'2017-05-11T18:58:58-0600',mode:absolute,to:'2017-05-11T21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5" s="192" t="str">
        <f t="shared" si="70"/>
        <v>N</v>
      </c>
      <c r="X175" s="192">
        <f t="shared" ref="X175:X240" si="84">VALUE(LEFT(AD175,4))-VALUE(LEFT(AD174,4))</f>
        <v>1</v>
      </c>
      <c r="Y175" s="192">
        <f t="shared" si="71"/>
        <v>9.7600000000000006E-2</v>
      </c>
      <c r="Z175" s="192">
        <f t="shared" si="81"/>
        <v>5.8963000000000001</v>
      </c>
      <c r="AA175" s="192">
        <f t="shared" si="72"/>
        <v>5.7987000000000002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73"/>
        <v>0843-11</v>
      </c>
      <c r="AE175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75" s="77" t="str">
        <f t="shared" si="75"/>
        <v>"C:\Program Files (x86)\AstroGrep\AstroGrep.exe" /e /r /s /spath="%USERPROFILE%\AppData\Local\Temp\OnboardLogs" /stypes="app*4022*20170512*" /stext=" 02:.+((SYSTEM_STATE.+slice.+state.+changed )|(ment ac)|(multiple cpu faults)|(system.+state.+changed )|(\[timeout)|(PRM\|1\|D)|(kpr)|(kdp)|(train st.+moving)|(\|lc)|(penalty))"</v>
      </c>
      <c r="AG175" s="1" t="str">
        <f t="shared" si="76"/>
        <v>NW</v>
      </c>
      <c r="AH175" s="81" t="str">
        <f t="shared" si="77"/>
        <v>"%USERPROFILE%\Documents\GitHub\eaglep3\Utilities\RefineRTDCRunTimes.py" --tripid 843-11 --locoid 4022 --swversion DE.1.0.9.0 --startMP 204:976 --initTime 2017-05-11T19:58:58 --startdatetime 2017-05-11T20:21:15 --delay 1 --endMP 300:58963 --enddatetime 2017-05-11T20:35:19 --enforcementcount 0 &gt;&gt;C:\Users\stu\Documents\GitHub\eaglep3-reporting\EC\2017-05-11-refined-times.txt</v>
      </c>
      <c r="AI175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{"issue":{"subject":"","project_id":79,"tracker_id":40,"status_id":1,"priority_id":2,"assigned_to_id":23,"start_date":"2017-05-11","description":"","custom_fields":[{"id":1,"name":"Subdivision","value":"NW"},{"id":4,"name":"Milepost","value":"5.8963"},{"id":17,"name":"Train ID","value":"843-11"},{"id":16,"name":"Locomotive ID","value":"4022"},{"id":130,"name":"Impact","value":""},{"id":150,"name":"Time of Event (Mountain Time)","value":"20:35:19"},{"id":151,"name":"Denver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79"/>
        <v>start /low /b %USERPROFILE%\Documents\GitHub\eaglep3\Utilities\DownloadLogsFromS3.py --loco 4022 --day 2017-05-11</v>
      </c>
      <c r="AN175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02:35:19"},{"id":29,"name":"Sharepoint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602</v>
      </c>
      <c r="B176" s="7">
        <v>4021</v>
      </c>
      <c r="C176" s="21" t="s">
        <v>206</v>
      </c>
      <c r="D176" s="21" t="s">
        <v>1008</v>
      </c>
      <c r="E176" s="13">
        <v>42866.901203703703</v>
      </c>
      <c r="F176" s="13">
        <v>42866.902731481481</v>
      </c>
      <c r="G176" s="7">
        <v>1</v>
      </c>
      <c r="H176" s="21" t="s">
        <v>1009</v>
      </c>
      <c r="I176" s="13">
        <v>42866.915196759262</v>
      </c>
      <c r="J176" s="7">
        <v>0</v>
      </c>
      <c r="K176" s="92" t="str">
        <f t="shared" si="66"/>
        <v>4021/4022</v>
      </c>
      <c r="L176" s="21" t="str">
        <f>VLOOKUP(A176,'Trips&amp;Operators'!$C$1:$G$99999,5,FALSE)</f>
        <v>LAMAR NEKESHA</v>
      </c>
      <c r="M176" s="6">
        <f t="shared" si="67"/>
        <v>1.2465277781302575E-2</v>
      </c>
      <c r="N176" s="7">
        <f t="shared" si="82"/>
        <v>17.950000005075708</v>
      </c>
      <c r="O176" s="7"/>
      <c r="P176" s="7"/>
      <c r="Q176" s="22"/>
      <c r="R176" s="190"/>
      <c r="S176" s="196">
        <f t="shared" si="83"/>
        <v>1</v>
      </c>
      <c r="T176" s="190" t="str">
        <f t="shared" si="68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69"/>
        <v>https://d0f6bd738d7f1b3e5a7ca70fe4ff75f0.us-east-1.aws.found.io/app/kibana#/discover/Steve-Slow-Train-Analysis-(2080s-and-2083s)?_g=(refreshInterval:(display:Off,pause:!f,section:0,value:0),time:(from:'2017-05-11T20:37:44-0600',mode:absolute,to:'2017-05-11T22:57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6" s="192" t="str">
        <f t="shared" si="70"/>
        <v>N</v>
      </c>
      <c r="X176" s="192">
        <f t="shared" si="84"/>
        <v>1</v>
      </c>
      <c r="Y176" s="192">
        <f t="shared" si="71"/>
        <v>5.8589000000000002</v>
      </c>
      <c r="Z176" s="192">
        <f t="shared" si="81"/>
        <v>6.5000000000000002E-2</v>
      </c>
      <c r="AA176" s="192">
        <f t="shared" si="72"/>
        <v>5.7938999999999998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73"/>
        <v>0844-11</v>
      </c>
      <c r="AE176" s="80" t="str">
        <f t="shared" si="74"/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76" s="77" t="str">
        <f t="shared" si="75"/>
        <v>"C:\Program Files (x86)\AstroGrep\AstroGrep.exe" /e /r /s /spath="%USERPROFILE%\AppData\Local\Temp\OnboardLogs" /stypes="app*4021*20170512*" /stext=" 03:.+((SYSTEM_STATE.+slice.+state.+changed )|(ment ac)|(multiple cpu faults)|(system.+state.+changed )|(\[timeout)|(PRM\|1\|D)|(kpr)|(kdp)|(train st.+moving)|(\|lc)|(penalty))"</v>
      </c>
      <c r="AG176" s="1" t="str">
        <f t="shared" si="76"/>
        <v>NW</v>
      </c>
      <c r="AH176" s="81" t="str">
        <f t="shared" si="77"/>
        <v>"%USERPROFILE%\Documents\GitHub\eaglep3\Utilities\RefineRTDCRunTimes.py" --tripid 844-11 --locoid 4021 --swversion DE.1.0.9.0 --startMP 300:58589 --initTime 2017-05-11T21:37:44 --startdatetime 2017-05-11T21:39:56 --delay 1 --endMP 204:650 --enddatetime 2017-05-11T21:57:53 --enforcementcount 0 &gt;&gt;C:\Users\stu\Documents\GitHub\eaglep3-reporting\EC\2017-05-11-refined-times.txt</v>
      </c>
      <c r="AI176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{"issue":{"subject":"","project_id":79,"tracker_id":40,"status_id":1,"priority_id":2,"assigned_to_id":23,"start_date":"2017-05-11","description":"","custom_fields":[{"id":1,"name":"Subdivision","value":"NW"},{"id":4,"name":"Milepost","value":"0.065"},{"id":17,"name":"Train ID","value":"844-11"},{"id":16,"name":"Locomotive ID","value":"4021"},{"id":130,"name":"Impact","value":""},{"id":150,"name":"Time of Event (Mountain Time)","value":"21:57:53"},{"id":151,"name":"Denver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79"/>
        <v>start /low /b %USERPROFILE%\Documents\GitHub\eaglep3\Utilities\DownloadLogsFromS3.py --loco 4021 --day 2017-05-11</v>
      </c>
      <c r="AN176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03:57:53"},{"id":29,"name":"Sharepoint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s="20" customFormat="1" x14ac:dyDescent="0.25">
      <c r="A177" s="32" t="s">
        <v>779</v>
      </c>
      <c r="B177" s="7">
        <v>4022</v>
      </c>
      <c r="C177" s="21" t="s">
        <v>206</v>
      </c>
      <c r="D177" s="21" t="s">
        <v>554</v>
      </c>
      <c r="E177" s="13">
        <v>42866.88554398148</v>
      </c>
      <c r="F177" s="13">
        <v>42866.890266203707</v>
      </c>
      <c r="G177" s="7">
        <v>1</v>
      </c>
      <c r="H177" s="21" t="s">
        <v>1010</v>
      </c>
      <c r="I177" s="13">
        <v>42866.900046296294</v>
      </c>
      <c r="J177" s="7">
        <v>0</v>
      </c>
      <c r="K177" s="92" t="str">
        <f t="shared" si="66"/>
        <v>4021/4022</v>
      </c>
      <c r="L177" s="21" t="str">
        <f>VLOOKUP(A177,'Trips&amp;Operators'!$C$1:$G$99999,5,FALSE)</f>
        <v>LAMAR NEKESHA</v>
      </c>
      <c r="M177" s="6">
        <f t="shared" si="67"/>
        <v>9.7800925868796185E-3</v>
      </c>
      <c r="N177" s="7">
        <f t="shared" si="82"/>
        <v>14.083333325106651</v>
      </c>
      <c r="O177" s="7"/>
      <c r="P177" s="7"/>
      <c r="Q177" s="22"/>
      <c r="R177" s="190"/>
      <c r="S177" s="196">
        <f t="shared" si="83"/>
        <v>1</v>
      </c>
      <c r="T177" s="190" t="str">
        <f t="shared" si="68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69"/>
        <v>https://d0f6bd738d7f1b3e5a7ca70fe4ff75f0.us-east-1.aws.found.io/app/kibana#/discover/Steve-Slow-Train-Analysis-(2080s-and-2083s)?_g=(refreshInterval:(display:Off,pause:!f,section:0,value:0),time:(from:'2017-05-11T20:15:11-0600',mode:absolute,to:'2017-05-11T22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7" s="192" t="str">
        <f t="shared" si="70"/>
        <v>N</v>
      </c>
      <c r="X177" s="192">
        <f t="shared" si="84"/>
        <v>1</v>
      </c>
      <c r="Y177" s="192">
        <f t="shared" si="71"/>
        <v>9.6699999999999994E-2</v>
      </c>
      <c r="Z177" s="192">
        <f t="shared" si="81"/>
        <v>5.8912000000000004</v>
      </c>
      <c r="AA177" s="192">
        <f t="shared" si="72"/>
        <v>5.7945000000000002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73"/>
        <v>0845-11</v>
      </c>
      <c r="AE177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77" s="77" t="str">
        <f t="shared" si="75"/>
        <v>"C:\Program Files (x86)\AstroGrep\AstroGrep.exe" /e /r /s /spath="%USERPROFILE%\AppData\Local\Temp\OnboardLogs" /stypes="app*4022*20170512*" /stext=" 03:.+((SYSTEM_STATE.+slice.+state.+changed )|(ment ac)|(multiple cpu faults)|(system.+state.+changed )|(\[timeout)|(PRM\|1\|D)|(kpr)|(kdp)|(train st.+moving)|(\|lc)|(penalty))"</v>
      </c>
      <c r="AG177" s="1" t="str">
        <f t="shared" si="76"/>
        <v>NW</v>
      </c>
      <c r="AH177" s="81" t="str">
        <f t="shared" si="77"/>
        <v>"%USERPROFILE%\Documents\GitHub\eaglep3\Utilities\RefineRTDCRunTimes.py" --tripid 845-11 --locoid 4022 --swversion DE.1.0.9.0 --startMP 204:967 --initTime 2017-05-11T21:15:11 --startdatetime 2017-05-11T21:21:59 --delay 1 --endMP 300:58912 --enddatetime 2017-05-11T21:36:04 --enforcementcount 0 &gt;&gt;C:\Users\stu\Documents\GitHub\eaglep3-reporting\EC\2017-05-11-refined-times.txt</v>
      </c>
      <c r="AI177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{"issue":{"subject":"","project_id":79,"tracker_id":40,"status_id":1,"priority_id":2,"assigned_to_id":23,"start_date":"2017-05-11","description":"","custom_fields":[{"id":1,"name":"Subdivision","value":"NW"},{"id":4,"name":"Milepost","value":"5.8912"},{"id":17,"name":"Train ID","value":"845-11"},{"id":16,"name":"Locomotive ID","value":"4022"},{"id":130,"name":"Impact","value":""},{"id":150,"name":"Time of Event (Mountain Time)","value":"21:36:04"},{"id":151,"name":"Denver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79"/>
        <v>start /low /b %USERPROFILE%\Documents\GitHub\eaglep3\Utilities\DownloadLogsFromS3.py --loco 4022 --day 2017-05-11</v>
      </c>
      <c r="AN177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784</v>
      </c>
      <c r="B178" s="7">
        <v>4022</v>
      </c>
      <c r="C178" s="21" t="s">
        <v>206</v>
      </c>
      <c r="D178" s="21" t="s">
        <v>977</v>
      </c>
      <c r="E178" s="13">
        <v>42866.926724537036</v>
      </c>
      <c r="F178" s="13">
        <v>42866.931527777779</v>
      </c>
      <c r="G178" s="7">
        <v>2</v>
      </c>
      <c r="H178" s="21" t="s">
        <v>1005</v>
      </c>
      <c r="I178" s="13">
        <v>42866.942256944443</v>
      </c>
      <c r="J178" s="7">
        <v>0</v>
      </c>
      <c r="K178" s="92" t="str">
        <f t="shared" si="66"/>
        <v>4021/4022</v>
      </c>
      <c r="L178" s="21" t="str">
        <f>VLOOKUP(A178,'Trips&amp;Operators'!$C$1:$G$99999,5,FALSE)</f>
        <v>LAMAR NEKESHA</v>
      </c>
      <c r="M178" s="6">
        <f t="shared" si="67"/>
        <v>1.0729166664532386E-2</v>
      </c>
      <c r="N178" s="7">
        <f t="shared" si="82"/>
        <v>15.449999996926636</v>
      </c>
      <c r="O178" s="7"/>
      <c r="P178" s="7"/>
      <c r="Q178" s="22"/>
      <c r="R178" s="190"/>
      <c r="S178" s="196">
        <f t="shared" si="83"/>
        <v>1</v>
      </c>
      <c r="T178" s="190" t="str">
        <f t="shared" si="68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69"/>
        <v>https://d0f6bd738d7f1b3e5a7ca70fe4ff75f0.us-east-1.aws.found.io/app/kibana#/discover/Steve-Slow-Train-Analysis-(2080s-and-2083s)?_g=(refreshInterval:(display:Off,pause:!f,section:0,value:0),time:(from:'2017-05-11T21:14:29-0600',mode:absolute,to:'2017-05-11T23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8" s="192" t="str">
        <f t="shared" si="70"/>
        <v>N</v>
      </c>
      <c r="X178" s="192">
        <f t="shared" si="84"/>
        <v>2</v>
      </c>
      <c r="Y178" s="192">
        <f t="shared" si="71"/>
        <v>9.7100000000000006E-2</v>
      </c>
      <c r="Z178" s="192">
        <f t="shared" si="81"/>
        <v>5.8943000000000003</v>
      </c>
      <c r="AA178" s="192">
        <f t="shared" si="72"/>
        <v>5.7972000000000001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73"/>
        <v>0847-11</v>
      </c>
      <c r="AE178" s="80" t="str">
        <f t="shared" si="74"/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AF178" s="77" t="str">
        <f t="shared" si="75"/>
        <v>"C:\Program Files (x86)\AstroGrep\AstroGrep.exe" /e /r /s /spath="%USERPROFILE%\AppData\Local\Temp\OnboardLogs" /stypes="app*4022*20170512*" /stext=" 04:.+((SYSTEM_STATE.+slice.+state.+changed )|(ment ac)|(multiple cpu faults)|(system.+state.+changed )|(\[timeout)|(PRM\|1\|D)|(kpr)|(kdp)|(train st.+moving)|(\|lc)|(penalty))"</v>
      </c>
      <c r="AG178" s="1" t="str">
        <f t="shared" si="76"/>
        <v>NW</v>
      </c>
      <c r="AH178" s="81" t="str">
        <f t="shared" si="77"/>
        <v>"%USERPROFILE%\Documents\GitHub\eaglep3\Utilities\RefineRTDCRunTimes.py" --tripid 847-11 --locoid 4022 --swversion DE.1.0.9.0 --startMP 204:971 --initTime 2017-05-11T22:14:29 --startdatetime 2017-05-11T22:21:24 --delay 2 --endMP 300:58943 --enddatetime 2017-05-11T22:36:51 --enforcementcount 0 &gt;&gt;C:\Users\stu\Documents\GitHub\eaglep3-reporting\EC\2017-05-11-refined-times.txt</v>
      </c>
      <c r="AI178" s="99" t="str">
        <f t="shared" si="78"/>
        <v>echo {"issue":{"subject":"","project_id":79,"tracker_id":40,"status_id":1,"priority_id":2,"assigned_to_id":23,"start_date":"2017-05-11","description":"","custom_fields":[{"id":1,"name":"Subdivision","value":"NW"},{"id":4,"name":"Milepost","value":"5.8943"},{"id":17,"name":"Train ID","value":"847-11"},{"id":16,"name":"Locomotive ID","value":"4022"},{"id":130,"name":"Impact","value":""},{"id":150,"name":"Time of Event (Mountain Time)","value":"22:36:51"},{"id":151,"name":"Denver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79"/>
        <v>start /low /b %USERPROFILE%\Documents\GitHub\eaglep3\Utilities\DownloadLogsFromS3.py --loco 4022 --day 2017-05-11</v>
      </c>
      <c r="AN178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04:36:51"},{"id":29,"name":"Sharepoint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603</v>
      </c>
      <c r="B179" s="7">
        <v>4015</v>
      </c>
      <c r="C179" s="21" t="s">
        <v>206</v>
      </c>
      <c r="D179" s="21" t="s">
        <v>899</v>
      </c>
      <c r="E179" s="13">
        <v>42866.11619212963</v>
      </c>
      <c r="F179" s="13">
        <v>42866.12427083333</v>
      </c>
      <c r="G179" s="7">
        <v>11</v>
      </c>
      <c r="H179" s="21" t="s">
        <v>528</v>
      </c>
      <c r="I179" s="13">
        <v>42866.13</v>
      </c>
      <c r="J179" s="7">
        <v>0</v>
      </c>
      <c r="K179" s="92" t="str">
        <f t="shared" si="66"/>
        <v>4015/4016</v>
      </c>
      <c r="L179" s="21" t="str">
        <f>VLOOKUP(A179,'Trips&amp;Operators'!$C$1:$G$99999,5,FALSE)</f>
        <v>BADERTSCHER DIANE</v>
      </c>
      <c r="M179" s="6">
        <f t="shared" si="67"/>
        <v>5.7291666671517305E-3</v>
      </c>
      <c r="N179" s="7">
        <f t="shared" si="82"/>
        <v>8.2500000006984919</v>
      </c>
      <c r="O179" s="7"/>
      <c r="P179" s="7"/>
      <c r="Q179" s="22"/>
      <c r="R179" s="190"/>
      <c r="S179" s="196">
        <f t="shared" si="83"/>
        <v>1</v>
      </c>
      <c r="T179" s="190" t="str">
        <f t="shared" si="68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69"/>
        <v>https://d0f6bd738d7f1b3e5a7ca70fe4ff75f0.us-east-1.aws.found.io/app/kibana#/discover/Steve-Slow-Train-Analysis-(2080s-and-2083s)?_g=(refreshInterval:(display:Off,pause:!f,section:0,value:0),time:(from:'2017-05-11T01:47:19-0600',mode:absolute,to:'2017-05-11T04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192" t="str">
        <f t="shared" si="70"/>
        <v>Y</v>
      </c>
      <c r="X179" s="192">
        <f t="shared" si="84"/>
        <v>-545</v>
      </c>
      <c r="Y179" s="192">
        <f t="shared" si="71"/>
        <v>2.2936000000000001</v>
      </c>
      <c r="Z179" s="192">
        <f t="shared" si="81"/>
        <v>1.34E-2</v>
      </c>
      <c r="AA179" s="192">
        <f t="shared" si="72"/>
        <v>2.2802000000000002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73"/>
        <v>0302-11</v>
      </c>
      <c r="AE179" s="80" t="str">
        <f t="shared" si="74"/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AF179" s="77" t="str">
        <f t="shared" si="75"/>
        <v>"C:\Program Files (x86)\AstroGrep\AstroGrep.exe" /e /r /s /spath="%USERPROFILE%\AppData\Local\Temp\OnboardLogs" /stypes="app*4015*20170511*" /stext=" 09:.+((SYSTEM_STATE.+slice.+state.+changed )|(ment ac)|(multiple cpu faults)|(system.+state.+changed )|(\[timeout)|(PRM\|1\|D)|(kpr)|(kdp)|(train st.+moving)|(\|lc)|(penalty))"</v>
      </c>
      <c r="AG179" s="1" t="str">
        <f t="shared" si="76"/>
        <v>Other</v>
      </c>
      <c r="AH179" s="81" t="str">
        <f t="shared" si="77"/>
        <v>"%USERPROFILE%\Documents\GitHub\eaglep3\Utilities\RefineRTDCRunTimes.py" --tripid 302-11 --locoid 4015 --swversion DE.1.0.9.0 --startMP 300:22936 --initTime 2017-05-11T02:47:19 --startdatetime 2017-05-11T02:58:57 --delay 11 --endMP 204:134 --enddatetime 2017-05-11T03:07:12 --enforcementcount 0 &gt;&gt;C:\Users\stu\Documents\GitHub\eaglep3-reporting\EC\2017-05-11-refined-times.txt</v>
      </c>
      <c r="AI179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{"issue":{"subject":"","project_id":79,"tracker_id":40,"status_id":1,"priority_id":2,"assigned_to_id":23,"start_date":"2017-05-11","description":"","custom_fields":[{"id":1,"name":"Subdivision","value":"Other"},{"id":4,"name":"Milepost","value":"0.0134"},{"id":17,"name":"Train ID","value":"302-11"},{"id":16,"name":"Locomotive ID","value":"4015"},{"id":130,"name":"Impact","value":""},{"id":150,"name":"Time of Event (Mountain Time)","value":"03:07:12"},{"id":151,"name":"Denver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79"/>
        <v>start /low /b %USERPROFILE%\Documents\GitHub\eaglep3\Utilities\DownloadLogsFromS3.py --loco 4015 --day 2017-05-11</v>
      </c>
      <c r="AN179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09:07:12"},{"id":29,"name":"Sharepoint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757</v>
      </c>
      <c r="B180" s="7">
        <v>4016</v>
      </c>
      <c r="C180" s="21" t="s">
        <v>206</v>
      </c>
      <c r="D180" s="21" t="s">
        <v>394</v>
      </c>
      <c r="E180" s="13">
        <v>42866.778877314813</v>
      </c>
      <c r="F180" s="13">
        <v>42866.797662037039</v>
      </c>
      <c r="G180" s="7">
        <v>1</v>
      </c>
      <c r="H180" s="21" t="s">
        <v>900</v>
      </c>
      <c r="I180" s="13">
        <v>42866.804861111108</v>
      </c>
      <c r="J180" s="7">
        <v>0</v>
      </c>
      <c r="K180" s="92" t="str">
        <f t="shared" si="66"/>
        <v>4015/4016</v>
      </c>
      <c r="L180" s="21" t="str">
        <f>VLOOKUP(A180,'Trips&amp;Operators'!$C$1:$G$99999,5,FALSE)</f>
        <v>BRANDNER MELINDA</v>
      </c>
      <c r="M180" s="6">
        <f t="shared" si="67"/>
        <v>7.1990740689216182E-3</v>
      </c>
      <c r="N180" s="7">
        <f t="shared" si="82"/>
        <v>10.36666665924713</v>
      </c>
      <c r="O180" s="7"/>
      <c r="P180" s="7"/>
      <c r="Q180" s="22"/>
      <c r="R180" s="190"/>
      <c r="S180" s="196">
        <f t="shared" si="83"/>
        <v>1</v>
      </c>
      <c r="T180" s="190" t="str">
        <f t="shared" si="68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69"/>
        <v>https://d0f6bd738d7f1b3e5a7ca70fe4ff75f0.us-east-1.aws.found.io/app/kibana#/discover/Steve-Slow-Train-Analysis-(2080s-and-2083s)?_g=(refreshInterval:(display:Off,pause:!f,section:0,value:0),time:(from:'2017-05-11T17:41:35-0600',mode:absolute,to:'2017-05-11T20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192" t="str">
        <f t="shared" si="70"/>
        <v>Y</v>
      </c>
      <c r="X180" s="192">
        <f t="shared" si="84"/>
        <v>1</v>
      </c>
      <c r="Y180" s="192">
        <f t="shared" si="71"/>
        <v>4.7800000000000002E-2</v>
      </c>
      <c r="Z180" s="192">
        <f t="shared" si="81"/>
        <v>2.3016999999999999</v>
      </c>
      <c r="AA180" s="192">
        <f t="shared" si="72"/>
        <v>2.2538999999999998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73"/>
        <v>0303-11</v>
      </c>
      <c r="AE180" s="80" t="str">
        <f t="shared" si="74"/>
        <v>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 &amp; 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</v>
      </c>
      <c r="AF180" s="77" t="str">
        <f t="shared" si="75"/>
        <v>"C:\Program Files (x86)\AstroGrep\AstroGrep.exe" /e /r /s /spath="%USERPROFILE%\AppData\Local\Temp\OnboardLogs" /stypes="app*4016*20170512*" /stext=" 01:.+((SYSTEM_STATE.+slice.+state.+changed )|(ment ac)|(multiple cpu faults)|(system.+state.+changed )|(\[timeout)|(PRM\|1\|D)|(kpr)|(kdp)|(train st.+moving)|(\|lc)|(penalty))"</v>
      </c>
      <c r="AG180" s="1" t="str">
        <f t="shared" si="76"/>
        <v>Other</v>
      </c>
      <c r="AH180" s="81" t="str">
        <f t="shared" si="77"/>
        <v>"%USERPROFILE%\Documents\GitHub\eaglep3\Utilities\RefineRTDCRunTimes.py" --tripid 303-11 --locoid 4016 --swversion DE.1.0.9.0 --startMP 204:478 --initTime 2017-05-11T18:41:35 --startdatetime 2017-05-11T19:08:38 --delay 1 --endMP 300:23017 --enddatetime 2017-05-11T19:19:00 --enforcementcount 0 &gt;&gt;C:\Users\stu\Documents\GitHub\eaglep3-reporting\EC\2017-05-11-refined-times.txt</v>
      </c>
      <c r="AI180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{"issue":{"subject":"","project_id":79,"tracker_id":40,"status_id":1,"priority_id":2,"assigned_to_id":23,"start_date":"2017-05-11","description":"","custom_fields":[{"id":1,"name":"Subdivision","value":"Other"},{"id":4,"name":"Milepost","value":"2.3017"},{"id":17,"name":"Train ID","value":"303-11"},{"id":16,"name":"Locomotive ID","value":"4016"},{"id":130,"name":"Impact","value":""},{"id":150,"name":"Time of Event (Mountain Time)","value":"19:19:00"},{"id":151,"name":"Denver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79"/>
        <v>start /low /b %USERPROFILE%\Documents\GitHub\eaglep3\Utilities\DownloadLogsFromS3.py --loco 4016 --day 2017-05-11</v>
      </c>
      <c r="AN180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605</v>
      </c>
      <c r="B181" s="7">
        <v>4025</v>
      </c>
      <c r="C181" s="21" t="s">
        <v>206</v>
      </c>
      <c r="D181" s="21" t="s">
        <v>901</v>
      </c>
      <c r="E181" s="13">
        <v>42866.138136574074</v>
      </c>
      <c r="F181" s="13">
        <v>42866.140694444446</v>
      </c>
      <c r="G181" s="7">
        <v>3</v>
      </c>
      <c r="H181" s="21" t="s">
        <v>376</v>
      </c>
      <c r="I181" s="13">
        <v>42866.146481481483</v>
      </c>
      <c r="J181" s="7">
        <v>0</v>
      </c>
      <c r="K181" s="92" t="str">
        <f t="shared" si="66"/>
        <v>4025/4026</v>
      </c>
      <c r="L181" s="21" t="str">
        <f>VLOOKUP(A181,'Trips&amp;Operators'!$C$1:$G$99999,5,FALSE)</f>
        <v>BONDS REYNALDO</v>
      </c>
      <c r="M181" s="6">
        <f t="shared" si="67"/>
        <v>5.7870370364980772E-3</v>
      </c>
      <c r="N181" s="7">
        <f t="shared" si="82"/>
        <v>8.3333333325572312</v>
      </c>
      <c r="O181" s="7"/>
      <c r="P181" s="7"/>
      <c r="Q181" s="22"/>
      <c r="R181" s="190"/>
      <c r="S181" s="196">
        <f t="shared" si="83"/>
        <v>1</v>
      </c>
      <c r="T181" s="190" t="str">
        <f t="shared" si="68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69"/>
        <v>https://d0f6bd738d7f1b3e5a7ca70fe4ff75f0.us-east-1.aws.found.io/app/kibana#/discover/Steve-Slow-Train-Analysis-(2080s-and-2083s)?_g=(refreshInterval:(display:Off,pause:!f,section:0,value:0),time:(from:'2017-05-11T02:18:55-0600',mode:absolute,to:'2017-05-11T04:30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1" s="192" t="str">
        <f t="shared" si="70"/>
        <v>Y</v>
      </c>
      <c r="X181" s="192">
        <f t="shared" si="84"/>
        <v>1</v>
      </c>
      <c r="Y181" s="192">
        <f t="shared" si="71"/>
        <v>2.3460999999999999</v>
      </c>
      <c r="Z181" s="192">
        <f t="shared" si="81"/>
        <v>1.47E-2</v>
      </c>
      <c r="AA181" s="192">
        <f t="shared" si="72"/>
        <v>2.3313999999999999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73"/>
        <v>0304-11</v>
      </c>
      <c r="AE181" s="80" t="str">
        <f t="shared" si="74"/>
        <v>aws s3 cp s3://rtdc.mdm.uploadarchive.raw/RTDC4025/ "%USERPROFILE%\AppData\Local\Temp\OnboardLogs"\RTDC4025\2017-05-11 --exclude "*" --recursive --include "*20170511*" &amp; "%USERPROFILE%\Documents\GitHub\mrs-test-scripts\Headless Mode &amp; Sideloading\WalkAndUnGZ.bat" "%USERPROFILE%\AppData\Local\Temp\OnboardLogs"\RTDC4025\2017-05-11 &amp; aws s3 cp s3://rtdc.mdm.uploadarchive.raw/RTDC4025/ "%USERPROFILE%\AppData\Local\Temp\OnboardLogs"\RTDC4025\2017-05-12 --exclude "*" --recursive --include "*20170512*" &amp; "%USERPROFILE%\Documents\GitHub\mrs-test-scripts\Headless Mode &amp; Sideloading\WalkAndUnGZ.bat" "%USERPROFILE%\AppData\Local\Temp\OnboardLogs"\RTDC4025\2017-05-12</v>
      </c>
      <c r="AF181" s="77" t="str">
        <f t="shared" si="75"/>
        <v>"C:\Program Files (x86)\AstroGrep\AstroGrep.exe" /e /r /s /spath="%USERPROFILE%\AppData\Local\Temp\OnboardLogs" /stypes="app*4025*20170511*" /stext=" 09:.+((SYSTEM_STATE.+slice.+state.+changed )|(ment ac)|(multiple cpu faults)|(system.+state.+changed )|(\[timeout)|(PRM\|1\|D)|(kpr)|(kdp)|(train st.+moving)|(\|lc)|(penalty))"</v>
      </c>
      <c r="AG181" s="1" t="str">
        <f t="shared" si="76"/>
        <v>Other</v>
      </c>
      <c r="AH181" s="81" t="str">
        <f t="shared" si="77"/>
        <v>"%USERPROFILE%\Documents\GitHub\eaglep3\Utilities\RefineRTDCRunTimes.py" --tripid 304-11 --locoid 4025 --swversion DE.1.0.9.0 --startMP 300:23461 --initTime 2017-05-11T03:18:55 --startdatetime 2017-05-11T03:22:36 --delay 3 --endMP 204:147 --enddatetime 2017-05-11T03:30:56 --enforcementcount 0 &gt;&gt;C:\Users\stu\Documents\GitHub\eaglep3-reporting\EC\2017-05-11-refined-times.txt</v>
      </c>
      <c r="AI181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{"issue":{"subject":"","project_id":79,"tracker_id":40,"status_id":1,"priority_id":2,"assigned_to_id":23,"start_date":"2017-05-11","description":"","custom_fields":[{"id":1,"name":"Subdivision","value":"Other"},{"id":4,"name":"Milepost","value":"0.0147"},{"id":17,"name":"Train ID","value":"304-11"},{"id":16,"name":"Locomotive ID","value":"4025"},{"id":130,"name":"Impact","value":""},{"id":150,"name":"Time of Event (Mountain Time)","value":"03:30:56"},{"id":151,"name":"Denver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79"/>
        <v>start /low /b %USERPROFILE%\Documents\GitHub\eaglep3\Utilities\DownloadLogsFromS3.py --loco 4025 --day 2017-05-11</v>
      </c>
      <c r="AN181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09:30:56"},{"id":29,"name":"Sharepoint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768</v>
      </c>
      <c r="B182" s="7">
        <v>4006</v>
      </c>
      <c r="C182" s="21" t="s">
        <v>206</v>
      </c>
      <c r="D182" s="21" t="s">
        <v>902</v>
      </c>
      <c r="E182" s="13">
        <v>42866.813368055555</v>
      </c>
      <c r="F182" s="13">
        <v>42866.815104166664</v>
      </c>
      <c r="G182" s="7">
        <v>1</v>
      </c>
      <c r="H182" s="21" t="s">
        <v>903</v>
      </c>
      <c r="I182" s="13">
        <v>42866.825972222221</v>
      </c>
      <c r="J182" s="7">
        <v>0</v>
      </c>
      <c r="K182" s="92" t="str">
        <f t="shared" si="66"/>
        <v>4005/4006</v>
      </c>
      <c r="L182" s="21" t="str">
        <f>VLOOKUP(A182,'Trips&amp;Operators'!$C$1:$G$99999,5,FALSE)</f>
        <v>DELGADO DIANAH</v>
      </c>
      <c r="M182" s="6">
        <f t="shared" si="67"/>
        <v>1.0868055556784384E-2</v>
      </c>
      <c r="N182" s="7">
        <f t="shared" si="82"/>
        <v>15.650000001769513</v>
      </c>
      <c r="O182" s="7"/>
      <c r="P182" s="7"/>
      <c r="Q182" s="22"/>
      <c r="R182" s="190"/>
      <c r="S182" s="196">
        <f t="shared" si="83"/>
        <v>1</v>
      </c>
      <c r="T182" s="190" t="str">
        <f t="shared" si="68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69"/>
        <v>https://d0f6bd738d7f1b3e5a7ca70fe4ff75f0.us-east-1.aws.found.io/app/kibana#/discover/Steve-Slow-Train-Analysis-(2080s-and-2083s)?_g=(refreshInterval:(display:Off,pause:!f,section:0,value:0),time:(from:'2017-05-11T18:31:15-0600',mode:absolute,to:'2017-05-11T20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2" s="192" t="str">
        <f t="shared" si="70"/>
        <v>Y</v>
      </c>
      <c r="X182" s="192">
        <f t="shared" si="84"/>
        <v>1</v>
      </c>
      <c r="Y182" s="192">
        <f t="shared" si="71"/>
        <v>7.1400000000000005E-2</v>
      </c>
      <c r="Z182" s="192">
        <f t="shared" si="81"/>
        <v>2.3300999999999998</v>
      </c>
      <c r="AA182" s="192">
        <f t="shared" si="72"/>
        <v>2.2586999999999997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73"/>
        <v>0305-11</v>
      </c>
      <c r="AE182" s="80" t="str">
        <f t="shared" si="74"/>
        <v>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 &amp; aws s3 cp s3://rtdc.mdm.uploadarchive.raw/RTDC4006/ "%USERPROFILE%\AppData\Local\Temp\OnboardLogs"\RTDC4006\2017-05-12 --exclude "*" --recursive --include "*20170512*" &amp; "%USERPROFILE%\Documents\GitHub\mrs-test-scripts\Headless Mode &amp; Sideloading\WalkAndUnGZ.bat" "%USERPROFILE%\AppData\Local\Temp\OnboardLogs"\RTDC4006\2017-05-12</v>
      </c>
      <c r="AF182" s="77" t="str">
        <f t="shared" si="75"/>
        <v>"C:\Program Files (x86)\AstroGrep\AstroGrep.exe" /e /r /s /spath="%USERPROFILE%\AppData\Local\Temp\OnboardLogs" /stypes="app*4006*20170512*" /stext=" 01:.+((SYSTEM_STATE.+slice.+state.+changed )|(ment ac)|(multiple cpu faults)|(system.+state.+changed )|(\[timeout)|(PRM\|1\|D)|(kpr)|(kdp)|(train st.+moving)|(\|lc)|(penalty))"</v>
      </c>
      <c r="AG182" s="1" t="str">
        <f t="shared" si="76"/>
        <v>Other</v>
      </c>
      <c r="AH182" s="81" t="str">
        <f t="shared" si="77"/>
        <v>"%USERPROFILE%\Documents\GitHub\eaglep3\Utilities\RefineRTDCRunTimes.py" --tripid 305-11 --locoid 4006 --swversion DE.1.0.9.0 --startMP 204:714 --initTime 2017-05-11T19:31:15 --startdatetime 2017-05-11T19:33:45 --delay 1 --endMP 300:23301 --enddatetime 2017-05-11T19:49:24 --enforcementcount 0 &gt;&gt;C:\Users\stu\Documents\GitHub\eaglep3-reporting\EC\2017-05-11-refined-times.txt</v>
      </c>
      <c r="AI182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{"issue":{"subject":"","project_id":79,"tracker_id":40,"status_id":1,"priority_id":2,"assigned_to_id":23,"start_date":"2017-05-11","description":"","custom_fields":[{"id":1,"name":"Subdivision","value":"Other"},{"id":4,"name":"Milepost","value":"2.3301"},{"id":17,"name":"Train ID","value":"305-11"},{"id":16,"name":"Locomotive ID","value":"4006"},{"id":130,"name":"Impact","value":""},{"id":150,"name":"Time of Event (Mountain Time)","value":"19:49:24"},{"id":151,"name":"Denver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79"/>
        <v>start /low /b %USERPROFILE%\Documents\GitHub\eaglep3\Utilities\DownloadLogsFromS3.py --loco 4006 --day 2017-05-11</v>
      </c>
      <c r="AN182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607</v>
      </c>
      <c r="B183" s="7">
        <v>4003</v>
      </c>
      <c r="C183" s="21" t="s">
        <v>206</v>
      </c>
      <c r="D183" s="21" t="s">
        <v>904</v>
      </c>
      <c r="E183" s="13">
        <v>42866.160520833335</v>
      </c>
      <c r="F183" s="13">
        <v>42866.163298611114</v>
      </c>
      <c r="G183" s="7">
        <v>3</v>
      </c>
      <c r="H183" s="21" t="s">
        <v>353</v>
      </c>
      <c r="I183" s="13">
        <v>42866.169270833336</v>
      </c>
      <c r="J183" s="7">
        <v>0</v>
      </c>
      <c r="K183" s="92" t="str">
        <f t="shared" si="66"/>
        <v>4003/4004</v>
      </c>
      <c r="L183" s="21" t="str">
        <f>VLOOKUP(A183,'Trips&amp;Operators'!$C$1:$G$99999,5,FALSE)</f>
        <v>ROBINSON KADDIBA</v>
      </c>
      <c r="M183" s="6">
        <f t="shared" si="67"/>
        <v>5.9722222213167697E-3</v>
      </c>
      <c r="N183" s="7">
        <f t="shared" si="82"/>
        <v>8.5999999986961484</v>
      </c>
      <c r="O183" s="7"/>
      <c r="P183" s="7"/>
      <c r="Q183" s="22"/>
      <c r="R183" s="190"/>
      <c r="S183" s="196">
        <f t="shared" si="83"/>
        <v>1</v>
      </c>
      <c r="T183" s="190" t="str">
        <f t="shared" si="68"/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69"/>
        <v>https://d0f6bd738d7f1b3e5a7ca70fe4ff75f0.us-east-1.aws.found.io/app/kibana#/discover/Steve-Slow-Train-Analysis-(2080s-and-2083s)?_g=(refreshInterval:(display:Off,pause:!f,section:0,value:0),time:(from:'2017-05-11T02:51:09-0600',mode:absolute,to:'2017-05-11T05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3" s="192" t="str">
        <f t="shared" si="70"/>
        <v>Y</v>
      </c>
      <c r="X183" s="192">
        <f t="shared" si="84"/>
        <v>1</v>
      </c>
      <c r="Y183" s="192">
        <f t="shared" si="71"/>
        <v>2.298</v>
      </c>
      <c r="Z183" s="192">
        <f t="shared" si="81"/>
        <v>1.4500000000000001E-2</v>
      </c>
      <c r="AA183" s="192">
        <f t="shared" si="72"/>
        <v>2.2835000000000001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73"/>
        <v>0306-11</v>
      </c>
      <c r="AE183" s="80" t="str">
        <f t="shared" si="74"/>
        <v>aws s3 cp s3://rtdc.mdm.uploadarchive.raw/RTDC4003/ "%USERPROFILE%\AppData\Local\Temp\OnboardLogs"\RTDC4003\2017-05-11 --exclude "*" --recursive --include "*20170511*" &amp; "%USERPROFILE%\Documents\GitHub\mrs-test-scripts\Headless Mode &amp; Sideloading\WalkAndUnGZ.bat" "%USERPROFILE%\AppData\Local\Temp\OnboardLogs"\RTDC4003\2017-05-11 &amp; aws s3 cp s3://rtdc.mdm.uploadarchive.raw/RTDC4003/ "%USERPROFILE%\AppData\Local\Temp\OnboardLogs"\RTDC4003\2017-05-12 --exclude "*" --recursive --include "*20170512*" &amp; "%USERPROFILE%\Documents\GitHub\mrs-test-scripts\Headless Mode &amp; Sideloading\WalkAndUnGZ.bat" "%USERPROFILE%\AppData\Local\Temp\OnboardLogs"\RTDC4003\2017-05-12</v>
      </c>
      <c r="AF183" s="77" t="str">
        <f t="shared" si="75"/>
        <v>"C:\Program Files (x86)\AstroGrep\AstroGrep.exe" /e /r /s /spath="%USERPROFILE%\AppData\Local\Temp\OnboardLogs" /stypes="app*4003*20170511*" /stext=" 10:.+((SYSTEM_STATE.+slice.+state.+changed )|(ment ac)|(multiple cpu faults)|(system.+state.+changed )|(\[timeout)|(PRM\|1\|D)|(kpr)|(kdp)|(train st.+moving)|(\|lc)|(penalty))"</v>
      </c>
      <c r="AG183" s="1" t="str">
        <f t="shared" si="76"/>
        <v>Other</v>
      </c>
      <c r="AH183" s="81" t="str">
        <f t="shared" si="77"/>
        <v>"%USERPROFILE%\Documents\GitHub\eaglep3\Utilities\RefineRTDCRunTimes.py" --tripid 306-11 --locoid 4003 --swversion DE.1.0.9.0 --startMP 300:22980 --initTime 2017-05-11T03:51:09 --startdatetime 2017-05-11T03:55:09 --delay 3 --endMP 204:145 --enddatetime 2017-05-11T04:03:45 --enforcementcount 0 &gt;&gt;C:\Users\stu\Documents\GitHub\eaglep3-reporting\EC\2017-05-11-refined-times.txt</v>
      </c>
      <c r="AI183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{"issue":{"subject":"","project_id":79,"tracker_id":40,"status_id":1,"priority_id":2,"assigned_to_id":23,"start_date":"2017-05-11","description":"","custom_fields":[{"id":1,"name":"Subdivision","value":"Other"},{"id":4,"name":"Milepost","value":"0.0145"},{"id":17,"name":"Train ID","value":"306-11"},{"id":16,"name":"Locomotive ID","value":"4003"},{"id":130,"name":"Impact","value":""},{"id":150,"name":"Time of Event (Mountain Time)","value":"04:03:45"},{"id":151,"name":"Denver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79"/>
        <v>start /low /b %USERPROFILE%\Documents\GitHub\eaglep3\Utilities\DownloadLogsFromS3.py --loco 4003 --day 2017-05-11</v>
      </c>
      <c r="AN183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10:03:45"},{"id":29,"name":"Sharepoint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598</v>
      </c>
      <c r="B184" s="7">
        <v>4026</v>
      </c>
      <c r="C184" s="21" t="s">
        <v>206</v>
      </c>
      <c r="D184" s="21" t="s">
        <v>905</v>
      </c>
      <c r="E184" s="13">
        <v>42866.828090277777</v>
      </c>
      <c r="F184" s="13">
        <v>42866.830752314818</v>
      </c>
      <c r="G184" s="7">
        <v>1</v>
      </c>
      <c r="H184" s="21" t="s">
        <v>906</v>
      </c>
      <c r="I184" s="13">
        <v>42866.851284722223</v>
      </c>
      <c r="J184" s="7">
        <v>0</v>
      </c>
      <c r="K184" s="92" t="str">
        <f t="shared" si="66"/>
        <v>4025/4026</v>
      </c>
      <c r="L184" s="21" t="str">
        <f>VLOOKUP(A184,'Trips&amp;Operators'!$C$1:$G$99999,5,FALSE)</f>
        <v>PERKINS DARREN</v>
      </c>
      <c r="M184" s="6">
        <f t="shared" si="67"/>
        <v>2.0532407404971309E-2</v>
      </c>
      <c r="N184" s="7">
        <f t="shared" si="82"/>
        <v>29.566666663158685</v>
      </c>
      <c r="O184" s="7"/>
      <c r="P184" s="7"/>
      <c r="Q184" s="22"/>
      <c r="R184" s="190"/>
      <c r="S184" s="196">
        <f t="shared" si="83"/>
        <v>1</v>
      </c>
      <c r="T184" s="190" t="str">
        <f t="shared" si="68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69"/>
        <v>https://d0f6bd738d7f1b3e5a7ca70fe4ff75f0.us-east-1.aws.found.io/app/kibana#/discover/Steve-Slow-Train-Analysis-(2080s-and-2083s)?_g=(refreshInterval:(display:Off,pause:!f,section:0,value:0),time:(from:'2017-05-11T18:52:27-0600',mode:absolute,to:'2017-05-11T21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4" s="192" t="str">
        <f t="shared" si="70"/>
        <v>Y</v>
      </c>
      <c r="X184" s="192">
        <f t="shared" si="84"/>
        <v>1</v>
      </c>
      <c r="Y184" s="192">
        <f t="shared" si="71"/>
        <v>6.8599999999999994E-2</v>
      </c>
      <c r="Z184" s="192">
        <f t="shared" si="81"/>
        <v>2.2673000000000001</v>
      </c>
      <c r="AA184" s="192">
        <f t="shared" si="72"/>
        <v>2.1987000000000001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73"/>
        <v>0307-11</v>
      </c>
      <c r="AE184" s="80" t="str">
        <f t="shared" si="74"/>
        <v>aws s3 cp s3://rtdc.mdm.uploadarchive.raw/RTDC4026/ "%USERPROFILE%\AppData\Local\Temp\OnboardLogs"\RTDC4026\2017-05-11 --exclude "*" --recursive --include "*20170511*" &amp; "%USERPROFILE%\Documents\GitHub\mrs-test-scripts\Headless Mode &amp; Sideloading\WalkAndUnGZ.bat" "%USERPROFILE%\AppData\Local\Temp\OnboardLogs"\RTDC4026\2017-05-11 &amp; aws s3 cp s3://rtdc.mdm.uploadarchive.raw/RTDC4026/ "%USERPROFILE%\AppData\Local\Temp\OnboardLogs"\RTDC4026\2017-05-12 --exclude "*" --recursive --include "*20170512*" &amp; "%USERPROFILE%\Documents\GitHub\mrs-test-scripts\Headless Mode &amp; Sideloading\WalkAndUnGZ.bat" "%USERPROFILE%\AppData\Local\Temp\OnboardLogs"\RTDC4026\2017-05-12</v>
      </c>
      <c r="AF184" s="77" t="str">
        <f t="shared" si="75"/>
        <v>"C:\Program Files (x86)\AstroGrep\AstroGrep.exe" /e /r /s /spath="%USERPROFILE%\AppData\Local\Temp\OnboardLogs" /stypes="app*4026*20170512*" /stext=" 02:.+((SYSTEM_STATE.+slice.+state.+changed )|(ment ac)|(multiple cpu faults)|(system.+state.+changed )|(\[timeout)|(PRM\|1\|D)|(kpr)|(kdp)|(train st.+moving)|(\|lc)|(penalty))"</v>
      </c>
      <c r="AG184" s="1" t="str">
        <f t="shared" si="76"/>
        <v>Other</v>
      </c>
      <c r="AH184" s="81" t="str">
        <f t="shared" si="77"/>
        <v>"%USERPROFILE%\Documents\GitHub\eaglep3\Utilities\RefineRTDCRunTimes.py" --tripid 307-11 --locoid 4026 --swversion DE.1.0.9.0 --startMP 204:686 --initTime 2017-05-11T19:52:27 --startdatetime 2017-05-11T19:56:17 --delay 1 --endMP 300:22673 --enddatetime 2017-05-11T20:25:51 --enforcementcount 0 &gt;&gt;C:\Users\stu\Documents\GitHub\eaglep3-reporting\EC\2017-05-11-refined-times.txt</v>
      </c>
      <c r="AI184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{"issue":{"subject":"","project_id":79,"tracker_id":40,"status_id":1,"priority_id":2,"assigned_to_id":23,"start_date":"2017-05-11","description":"","custom_fields":[{"id":1,"name":"Subdivision","value":"Other"},{"id":4,"name":"Milepost","value":"2.2673"},{"id":17,"name":"Train ID","value":"307-11"},{"id":16,"name":"Locomotive ID","value":"4026"},{"id":130,"name":"Impact","value":""},{"id":150,"name":"Time of Event (Mountain Time)","value":"20:25:51"},{"id":151,"name":"Denver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79"/>
        <v>start /low /b %USERPROFILE%\Documents\GitHub\eaglep3\Utilities\DownloadLogsFromS3.py --loco 4026 --day 2017-05-11</v>
      </c>
      <c r="AN184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02:25:51"},{"id":29,"name":"Sharepoint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611</v>
      </c>
      <c r="B185" s="7">
        <v>4023</v>
      </c>
      <c r="C185" s="21" t="s">
        <v>206</v>
      </c>
      <c r="D185" s="21" t="s">
        <v>907</v>
      </c>
      <c r="E185" s="13">
        <v>42866.170520833337</v>
      </c>
      <c r="F185" s="13">
        <v>42866.173333333332</v>
      </c>
      <c r="G185" s="7">
        <v>3</v>
      </c>
      <c r="H185" s="21" t="s">
        <v>908</v>
      </c>
      <c r="I185" s="13">
        <v>42866.181226851855</v>
      </c>
      <c r="J185" s="7">
        <v>0</v>
      </c>
      <c r="K185" s="92" t="str">
        <f t="shared" si="66"/>
        <v>4023/4024</v>
      </c>
      <c r="L185" s="21" t="str">
        <f>VLOOKUP(A185,'Trips&amp;Operators'!$C$1:$G$99999,5,FALSE)</f>
        <v>COOLAHAN JOHN</v>
      </c>
      <c r="M185" s="6">
        <f t="shared" si="67"/>
        <v>7.8935185229056515E-3</v>
      </c>
      <c r="N185" s="7">
        <f t="shared" si="82"/>
        <v>11.366666672984138</v>
      </c>
      <c r="O185" s="7"/>
      <c r="P185" s="7"/>
      <c r="Q185" s="22"/>
      <c r="R185" s="190"/>
      <c r="S185" s="196">
        <f t="shared" si="83"/>
        <v>1</v>
      </c>
      <c r="T185" s="190" t="str">
        <f t="shared" si="68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69"/>
        <v>https://d0f6bd738d7f1b3e5a7ca70fe4ff75f0.us-east-1.aws.found.io/app/kibana#/discover/Steve-Slow-Train-Analysis-(2080s-and-2083s)?_g=(refreshInterval:(display:Off,pause:!f,section:0,value:0),time:(from:'2017-05-11T03:05:33-0600',mode:absolute,to:'2017-05-11T05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5" s="192" t="str">
        <f t="shared" si="70"/>
        <v>Y</v>
      </c>
      <c r="X185" s="192">
        <f t="shared" si="84"/>
        <v>1</v>
      </c>
      <c r="Y185" s="192">
        <f t="shared" si="71"/>
        <v>2.3439999999999999</v>
      </c>
      <c r="Z185" s="192">
        <f t="shared" si="81"/>
        <v>1.7399999999999999E-2</v>
      </c>
      <c r="AA185" s="192">
        <f t="shared" si="72"/>
        <v>2.3266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73"/>
        <v>0308-11</v>
      </c>
      <c r="AE185" s="80" t="str">
        <f t="shared" si="74"/>
        <v>aws s3 cp s3://rtdc.mdm.uploadarchive.raw/RTDC4023/ "%USERPROFILE%\AppData\Local\Temp\OnboardLogs"\RTDC4023\2017-05-11 --exclude "*" --recursive --include "*20170511*" &amp; "%USERPROFILE%\Documents\GitHub\mrs-test-scripts\Headless Mode &amp; Sideloading\WalkAndUnGZ.bat" "%USERPROFILE%\AppData\Local\Temp\OnboardLogs"\RTDC4023\2017-05-11 &amp; aws s3 cp s3://rtdc.mdm.uploadarchive.raw/RTDC4023/ "%USERPROFILE%\AppData\Local\Temp\OnboardLogs"\RTDC4023\2017-05-12 --exclude "*" --recursive --include "*20170512*" &amp; "%USERPROFILE%\Documents\GitHub\mrs-test-scripts\Headless Mode &amp; Sideloading\WalkAndUnGZ.bat" "%USERPROFILE%\AppData\Local\Temp\OnboardLogs"\RTDC4023\2017-05-12</v>
      </c>
      <c r="AF185" s="77" t="str">
        <f t="shared" si="75"/>
        <v>"C:\Program Files (x86)\AstroGrep\AstroGrep.exe" /e /r /s /spath="%USERPROFILE%\AppData\Local\Temp\OnboardLogs" /stypes="app*4023*20170511*" /stext=" 10:.+((SYSTEM_STATE.+slice.+state.+changed )|(ment ac)|(multiple cpu faults)|(system.+state.+changed )|(\[timeout)|(PRM\|1\|D)|(kpr)|(kdp)|(train st.+moving)|(\|lc)|(penalty))"</v>
      </c>
      <c r="AG185" s="1" t="str">
        <f t="shared" si="76"/>
        <v>Other</v>
      </c>
      <c r="AH185" s="81" t="str">
        <f t="shared" si="77"/>
        <v>"%USERPROFILE%\Documents\GitHub\eaglep3\Utilities\RefineRTDCRunTimes.py" --tripid 308-11 --locoid 4023 --swversion DE.1.0.9.0 --startMP 300:23440 --initTime 2017-05-11T04:05:33 --startdatetime 2017-05-11T04:09:36 --delay 3 --endMP 204:174 --enddatetime 2017-05-11T04:20:58 --enforcementcount 0 &gt;&gt;C:\Users\stu\Documents\GitHub\eaglep3-reporting\EC\2017-05-11-refined-times.txt</v>
      </c>
      <c r="AI185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{"issue":{"subject":"","project_id":79,"tracker_id":40,"status_id":1,"priority_id":2,"assigned_to_id":23,"start_date":"2017-05-11","description":"","custom_fields":[{"id":1,"name":"Subdivision","value":"Other"},{"id":4,"name":"Milepost","value":"0.0174"},{"id":17,"name":"Train ID","value":"308-11"},{"id":16,"name":"Locomotive ID","value":"4023"},{"id":130,"name":"Impact","value":""},{"id":150,"name":"Time of Event (Mountain Time)","value":"04:20:58"},{"id":151,"name":"Denver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79"/>
        <v>start /low /b %USERPROFILE%\Documents\GitHub\eaglep3\Utilities\DownloadLogsFromS3.py --loco 4023 --day 2017-05-11</v>
      </c>
      <c r="AN185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10:20:58"},{"id":29,"name":"Sharepoint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799</v>
      </c>
      <c r="B186" s="7">
        <v>4028</v>
      </c>
      <c r="C186" s="21" t="s">
        <v>206</v>
      </c>
      <c r="D186" s="21" t="s">
        <v>388</v>
      </c>
      <c r="E186" s="13">
        <v>42867.052893518521</v>
      </c>
      <c r="F186" s="13">
        <v>42867.054571759261</v>
      </c>
      <c r="G186" s="7">
        <v>1</v>
      </c>
      <c r="H186" s="21" t="s">
        <v>480</v>
      </c>
      <c r="I186" s="13">
        <v>42867.060474537036</v>
      </c>
      <c r="J186" s="7">
        <v>0</v>
      </c>
      <c r="K186" s="92" t="str">
        <f t="shared" si="66"/>
        <v>4027/4028</v>
      </c>
      <c r="L186" s="21" t="str">
        <f>VLOOKUP(A186,'Trips&amp;Operators'!$C$1:$G$99999,5,FALSE)</f>
        <v>NEWELL JAMES</v>
      </c>
      <c r="M186" s="6">
        <f t="shared" si="67"/>
        <v>5.9027777751907706E-3</v>
      </c>
      <c r="N186" s="7">
        <f t="shared" si="82"/>
        <v>8.4999999962747097</v>
      </c>
      <c r="O186" s="7"/>
      <c r="P186" s="7"/>
      <c r="Q186" s="22"/>
      <c r="R186" s="190"/>
      <c r="S186" s="196">
        <f t="shared" si="83"/>
        <v>1</v>
      </c>
      <c r="T186" s="190" t="str">
        <f t="shared" si="68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69"/>
        <v>https://d0f6bd738d7f1b3e5a7ca70fe4ff75f0.us-east-1.aws.found.io/app/kibana#/discover/Steve-Slow-Train-Analysis-(2080s-and-2083s)?_g=(refreshInterval:(display:Off,pause:!f,section:0,value:0),time:(from:'2017-05-12T00:16:10-0600',mode:absolute,to:'2017-05-12T02:27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192" t="str">
        <f t="shared" si="70"/>
        <v>Y</v>
      </c>
      <c r="X186" s="192">
        <f t="shared" si="84"/>
        <v>1</v>
      </c>
      <c r="Y186" s="192">
        <f t="shared" si="71"/>
        <v>4.5499999999999999E-2</v>
      </c>
      <c r="Z186" s="192">
        <f t="shared" si="81"/>
        <v>2.3302</v>
      </c>
      <c r="AA186" s="192">
        <f t="shared" si="72"/>
        <v>2.2847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73"/>
        <v>0309-11</v>
      </c>
      <c r="AE186" s="80" t="str">
        <f t="shared" si="74"/>
        <v>aws s3 cp s3://rtdc.mdm.uploadarchive.raw/RTDC4028/ "%USERPROFILE%\AppData\Local\Temp\OnboardLogs"\RTDC4028\2017-05-12 --exclude "*" --recursive --include "*20170512*" &amp; "%USERPROFILE%\Documents\GitHub\mrs-test-scripts\Headless Mode &amp; Sideloading\WalkAndUnGZ.bat" "%USERPROFILE%\AppData\Local\Temp\OnboardLogs"\RTDC4028\2017-05-12 &amp; aws s3 cp s3://rtdc.mdm.uploadarchive.raw/RTDC4028/ "%USERPROFILE%\AppData\Local\Temp\OnboardLogs"\RTDC4028\2017-05-13 --exclude "*" --recursive --include "*20170513*" &amp; "%USERPROFILE%\Documents\GitHub\mrs-test-scripts\Headless Mode &amp; Sideloading\WalkAndUnGZ.bat" "%USERPROFILE%\AppData\Local\Temp\OnboardLogs"\RTDC4028\2017-05-13</v>
      </c>
      <c r="AF186" s="77" t="str">
        <f t="shared" si="75"/>
        <v>"C:\Program Files (x86)\AstroGrep\AstroGrep.exe" /e /r /s /spath="%USERPROFILE%\AppData\Local\Temp\OnboardLogs" /stypes="app*4028*20170512*" /stext=" 07:.+((SYSTEM_STATE.+slice.+state.+changed )|(ment ac)|(multiple cpu faults)|(system.+state.+changed )|(\[timeout)|(PRM\|1\|D)|(kpr)|(kdp)|(train st.+moving)|(\|lc)|(penalty))"</v>
      </c>
      <c r="AG186" s="1" t="str">
        <f t="shared" si="76"/>
        <v>Other</v>
      </c>
      <c r="AH186" s="81" t="str">
        <f t="shared" si="77"/>
        <v>"%USERPROFILE%\Documents\GitHub\eaglep3\Utilities\RefineRTDCRunTimes.py" --tripid 309-11 --locoid 4028 --swversion DE.1.0.9.0 --startMP 204:455 --initTime 2017-05-12T01:16:10 --startdatetime 2017-05-12T01:18:35 --delay 1 --endMP 300:23302 --enddatetime 2017-05-12T01:27:05 --enforcementcount 0 &gt;&gt;C:\Users\stu\Documents\GitHub\eaglep3-reporting\EC\2017-05-11-refined-times.txt</v>
      </c>
      <c r="AI186" s="99" t="str">
        <f t="shared" si="78"/>
        <v>echo {"issue":{"subject":"","project_id":79,"tracker_id":40,"status_id":1,"priority_id":2,"assigned_to_id":23,"start_date":"2017-05-12","description":"","custom_fields":[{"id":1,"name":"Subdivision","value":"Other"},{"id":4,"name":"Milepost","value":"2.3302"},{"id":17,"name":"Train ID","value":"309-11"},{"id":16,"name":"Locomotive ID","value":"4028"},{"id":130,"name":"Impact","value":""},{"id":150,"name":"Time of Event (Mountain Time)","value":"01:27:05"},{"id":151,"name":"Denver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79"/>
        <v>start /low /b %USERPROFILE%\Documents\GitHub\eaglep3\Utilities\DownloadLogsFromS3.py --loco 4028 --day 2017-05-12</v>
      </c>
      <c r="AN186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07:27:05"},{"id":29,"name":"Sharepoint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617</v>
      </c>
      <c r="B187" s="7">
        <v>4053</v>
      </c>
      <c r="C187" s="21" t="s">
        <v>206</v>
      </c>
      <c r="D187" s="21" t="s">
        <v>909</v>
      </c>
      <c r="E187" s="13">
        <v>42866.18241898148</v>
      </c>
      <c r="F187" s="13">
        <v>42866.186400462961</v>
      </c>
      <c r="G187" s="7">
        <v>5</v>
      </c>
      <c r="H187" s="21" t="s">
        <v>197</v>
      </c>
      <c r="I187" s="13">
        <v>42866.191724537035</v>
      </c>
      <c r="J187" s="7">
        <v>0</v>
      </c>
      <c r="K187" s="92" t="str">
        <f t="shared" si="66"/>
        <v>4053/4054</v>
      </c>
      <c r="L187" s="21" t="str">
        <f>VLOOKUP(A187,'Trips&amp;Operators'!$C$1:$G$99999,5,FALSE)</f>
        <v>ROCHA YAOTL</v>
      </c>
      <c r="M187" s="6">
        <f t="shared" si="67"/>
        <v>5.324074074451346E-3</v>
      </c>
      <c r="N187" s="7">
        <f t="shared" si="82"/>
        <v>7.6666666672099382</v>
      </c>
      <c r="O187" s="7"/>
      <c r="P187" s="7"/>
      <c r="Q187" s="22"/>
      <c r="R187" s="190"/>
      <c r="S187" s="196">
        <f t="shared" si="83"/>
        <v>1</v>
      </c>
      <c r="T187" s="190" t="str">
        <f t="shared" si="68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69"/>
        <v>https://d0f6bd738d7f1b3e5a7ca70fe4ff75f0.us-east-1.aws.found.io/app/kibana#/discover/Steve-Slow-Train-Analysis-(2080s-and-2083s)?_g=(refreshInterval:(display:Off,pause:!f,section:0,value:0),time:(from:'2017-05-11T03:22:41-0600',mode:absolute,to:'2017-05-11T05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7" s="192" t="str">
        <f t="shared" si="70"/>
        <v>Y</v>
      </c>
      <c r="X187" s="192">
        <f t="shared" si="84"/>
        <v>1</v>
      </c>
      <c r="Y187" s="192">
        <f t="shared" si="71"/>
        <v>2.3357000000000001</v>
      </c>
      <c r="Z187" s="192">
        <f t="shared" si="81"/>
        <v>1.52E-2</v>
      </c>
      <c r="AA187" s="192">
        <f t="shared" si="72"/>
        <v>2.3205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73"/>
        <v>0310-11</v>
      </c>
      <c r="AE187" s="80" t="str">
        <f t="shared" si="74"/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AF187" s="77" t="str">
        <f t="shared" si="75"/>
        <v>"C:\Program Files (x86)\AstroGrep\AstroGrep.exe" /e /r /s /spath="%USERPROFILE%\AppData\Local\Temp\OnboardLogs" /stypes="app*4053*20170511*" /stext=" 10:.+((SYSTEM_STATE.+slice.+state.+changed )|(ment ac)|(multiple cpu faults)|(system.+state.+changed )|(\[timeout)|(PRM\|1\|D)|(kpr)|(kdp)|(train st.+moving)|(\|lc)|(penalty))"</v>
      </c>
      <c r="AG187" s="1" t="str">
        <f t="shared" si="76"/>
        <v>Other</v>
      </c>
      <c r="AH187" s="81" t="str">
        <f t="shared" si="77"/>
        <v>"%USERPROFILE%\Documents\GitHub\eaglep3\Utilities\RefineRTDCRunTimes.py" --tripid 310-11 --locoid 4053 --swversion DE.1.0.9.0 --startMP 300:23357 --initTime 2017-05-11T04:22:41 --startdatetime 2017-05-11T04:28:25 --delay 5 --endMP 204:152 --enddatetime 2017-05-11T04:36:05 --enforcementcount 0 &gt;&gt;C:\Users\stu\Documents\GitHub\eaglep3-reporting\EC\2017-05-11-refined-times.txt</v>
      </c>
      <c r="AI187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{"issue":{"subject":"","project_id":79,"tracker_id":40,"status_id":1,"priority_id":2,"assigned_to_id":23,"start_date":"2017-05-11","description":"","custom_fields":[{"id":1,"name":"Subdivision","value":"Other"},{"id":4,"name":"Milepost","value":"0.0152"},{"id":17,"name":"Train ID","value":"310-11"},{"id":16,"name":"Locomotive ID","value":"4053"},{"id":130,"name":"Impact","value":""},{"id":150,"name":"Time of Event (Mountain Time)","value":"04:36:05"},{"id":151,"name":"Denver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79"/>
        <v>start /low /b %USERPROFILE%\Documents\GitHub\eaglep3\Utilities\DownloadLogsFromS3.py --loco 4053 --day 2017-05-11</v>
      </c>
      <c r="AN187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800</v>
      </c>
      <c r="B188" s="7">
        <v>4002</v>
      </c>
      <c r="C188" s="21" t="s">
        <v>206</v>
      </c>
      <c r="D188" s="21" t="s">
        <v>372</v>
      </c>
      <c r="E188" s="13">
        <v>42867.070937500001</v>
      </c>
      <c r="F188" s="13">
        <v>42867.073194444441</v>
      </c>
      <c r="G188" s="7">
        <v>1</v>
      </c>
      <c r="H188" s="21" t="s">
        <v>542</v>
      </c>
      <c r="I188" s="13">
        <v>42867.082627314812</v>
      </c>
      <c r="J188" s="7">
        <v>0</v>
      </c>
      <c r="K188" s="92" t="str">
        <f t="shared" si="66"/>
        <v>4001/4002</v>
      </c>
      <c r="L188" s="21" t="str">
        <f>VLOOKUP(A188,'Trips&amp;Operators'!$C$1:$G$99999,5,FALSE)</f>
        <v>BROWN JACOB</v>
      </c>
      <c r="M188" s="6">
        <f t="shared" si="67"/>
        <v>9.4328703708015382E-3</v>
      </c>
      <c r="N188" s="7">
        <f t="shared" si="82"/>
        <v>13.583333333954215</v>
      </c>
      <c r="O188" s="7"/>
      <c r="P188" s="7"/>
      <c r="Q188" s="22"/>
      <c r="R188" s="190"/>
      <c r="S188" s="196">
        <f t="shared" si="83"/>
        <v>1</v>
      </c>
      <c r="T188" s="190" t="str">
        <f t="shared" si="68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69"/>
        <v>https://d0f6bd738d7f1b3e5a7ca70fe4ff75f0.us-east-1.aws.found.io/app/kibana#/discover/Steve-Slow-Train-Analysis-(2080s-and-2083s)?_g=(refreshInterval:(display:Off,pause:!f,section:0,value:0),time:(from:'2017-05-12T00:42:09-0600',mode:absolute,to:'2017-05-12T02:58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8" s="192" t="str">
        <f t="shared" si="70"/>
        <v>Y</v>
      </c>
      <c r="X188" s="192">
        <f t="shared" si="84"/>
        <v>1</v>
      </c>
      <c r="Y188" s="192">
        <f t="shared" si="71"/>
        <v>4.4699999999999997E-2</v>
      </c>
      <c r="Z188" s="192">
        <f t="shared" si="81"/>
        <v>2.3304</v>
      </c>
      <c r="AA188" s="192">
        <f t="shared" si="72"/>
        <v>2.2856999999999998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73"/>
        <v>0311-11</v>
      </c>
      <c r="AE188" s="80" t="str">
        <f t="shared" si="74"/>
        <v>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 &amp; aws s3 cp s3://rtdc.mdm.uploadarchive.raw/RTDC4002/ "%USERPROFILE%\AppData\Local\Temp\OnboardLogs"\RTDC4002\2017-05-13 --exclude "*" --recursive --include "*20170513*" &amp; "%USERPROFILE%\Documents\GitHub\mrs-test-scripts\Headless Mode &amp; Sideloading\WalkAndUnGZ.bat" "%USERPROFILE%\AppData\Local\Temp\OnboardLogs"\RTDC4002\2017-05-13</v>
      </c>
      <c r="AF188" s="77" t="str">
        <f t="shared" si="75"/>
        <v>"C:\Program Files (x86)\AstroGrep\AstroGrep.exe" /e /r /s /spath="%USERPROFILE%\AppData\Local\Temp\OnboardLogs" /stypes="app*4002*20170512*" /stext=" 07:.+((SYSTEM_STATE.+slice.+state.+changed )|(ment ac)|(multiple cpu faults)|(system.+state.+changed )|(\[timeout)|(PRM\|1\|D)|(kpr)|(kdp)|(train st.+moving)|(\|lc)|(penalty))"</v>
      </c>
      <c r="AG188" s="1" t="str">
        <f t="shared" si="76"/>
        <v>Other</v>
      </c>
      <c r="AH188" s="81" t="str">
        <f t="shared" si="77"/>
        <v>"%USERPROFILE%\Documents\GitHub\eaglep3\Utilities\RefineRTDCRunTimes.py" --tripid 311-11 --locoid 4002 --swversion DE.1.0.9.0 --startMP 204:447 --initTime 2017-05-12T01:42:09 --startdatetime 2017-05-12T01:45:24 --delay 1 --endMP 300:23304 --enddatetime 2017-05-12T01:58:59 --enforcementcount 0 &gt;&gt;C:\Users\stu\Documents\GitHub\eaglep3-reporting\EC\2017-05-11-refined-times.txt</v>
      </c>
      <c r="AI188" s="99" t="str">
        <f t="shared" si="78"/>
        <v>echo {"issue":{"subject":"","project_id":79,"tracker_id":40,"status_id":1,"priority_id":2,"assigned_to_id":23,"start_date":"2017-05-12","description":"","custom_fields":[{"id":1,"name":"Subdivision","value":"Other"},{"id":4,"name":"Milepost","value":"2.3304"},{"id":17,"name":"Train ID","value":"311-11"},{"id":16,"name":"Locomotive ID","value":"4002"},{"id":130,"name":"Impact","value":""},{"id":150,"name":"Time of Event (Mountain Time)","value":"01:58:59"},{"id":151,"name":"Denver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9"/>
        <v>start /low /b %USERPROFILE%\Documents\GitHub\eaglep3\Utilities\DownloadLogsFromS3.py --loco 4002 --day 2017-05-12</v>
      </c>
      <c r="AN188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07:58:59"},{"id":29,"name":"Sharepoint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s="20" customFormat="1" x14ac:dyDescent="0.25">
      <c r="A189" s="32" t="s">
        <v>521</v>
      </c>
      <c r="B189" s="7">
        <v>4018</v>
      </c>
      <c r="C189" s="21" t="s">
        <v>206</v>
      </c>
      <c r="D189" s="21" t="s">
        <v>203</v>
      </c>
      <c r="E189" s="13">
        <v>42866.089398148149</v>
      </c>
      <c r="F189" s="13">
        <v>42866.090879629628</v>
      </c>
      <c r="G189" s="7">
        <v>1</v>
      </c>
      <c r="H189" s="21" t="s">
        <v>543</v>
      </c>
      <c r="I189" s="13">
        <v>42866.09820601852</v>
      </c>
      <c r="J189" s="7">
        <v>0</v>
      </c>
      <c r="K189" s="92" t="str">
        <f t="shared" si="66"/>
        <v>4017/4018</v>
      </c>
      <c r="L189" s="21" t="str">
        <f>VLOOKUP(A189,'Trips&amp;Operators'!$C$1:$G$99999,5,FALSE)</f>
        <v>NEWELL JAMES</v>
      </c>
      <c r="M189" s="6">
        <f t="shared" si="67"/>
        <v>7.3263888916699216E-3</v>
      </c>
      <c r="N189" s="7">
        <f t="shared" si="82"/>
        <v>10.550000004004687</v>
      </c>
      <c r="O189" s="7"/>
      <c r="P189" s="7"/>
      <c r="Q189" s="22"/>
      <c r="R189" s="190"/>
      <c r="S189" s="196">
        <f t="shared" si="83"/>
        <v>1</v>
      </c>
      <c r="T189" s="190" t="str">
        <f t="shared" si="68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69"/>
        <v>https://d0f6bd738d7f1b3e5a7ca70fe4ff75f0.us-east-1.aws.found.io/app/kibana#/discover/Steve-Slow-Train-Analysis-(2080s-and-2083s)?_g=(refreshInterval:(display:Off,pause:!f,section:0,value:0),time:(from:'2017-05-11T01:08:44-0600',mode:absolute,to:'2017-05-11T03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192" t="str">
        <f t="shared" si="70"/>
        <v>Y</v>
      </c>
      <c r="X189" s="192">
        <f t="shared" si="84"/>
        <v>2</v>
      </c>
      <c r="Y189" s="192">
        <f t="shared" si="71"/>
        <v>4.5999999999999999E-2</v>
      </c>
      <c r="Z189" s="192">
        <f t="shared" ref="Z189:Z222" si="85">RIGHT(H189,LEN(H189)-4)/10000</f>
        <v>2.3308</v>
      </c>
      <c r="AA189" s="192">
        <f t="shared" si="72"/>
        <v>2.2848000000000002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73"/>
        <v>0313-10</v>
      </c>
      <c r="AE189" s="80" t="str">
        <f t="shared" si="74"/>
        <v>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 &amp; aws s3 cp s3://rtdc.mdm.uploadarchive.raw/RTDC4018/ "%USERPROFILE%\AppData\Local\Temp\OnboardLogs"\RTDC4018\2017-05-12 --exclude "*" --recursive --include "*20170512*" &amp; "%USERPROFILE%\Documents\GitHub\mrs-test-scripts\Headless Mode &amp; Sideloading\WalkAndUnGZ.bat" "%USERPROFILE%\AppData\Local\Temp\OnboardLogs"\RTDC4018\2017-05-12</v>
      </c>
      <c r="AF189" s="77" t="str">
        <f t="shared" si="75"/>
        <v>"C:\Program Files (x86)\AstroGrep\AstroGrep.exe" /e /r /s /spath="%USERPROFILE%\AppData\Local\Temp\OnboardLogs" /stypes="app*4018*20170511*" /stext=" 08:.+((SYSTEM_STATE.+slice.+state.+changed )|(ment ac)|(multiple cpu faults)|(system.+state.+changed )|(\[timeout)|(PRM\|1\|D)|(kpr)|(kdp)|(train st.+moving)|(\|lc)|(penalty))"</v>
      </c>
      <c r="AG189" s="1" t="str">
        <f t="shared" si="76"/>
        <v>Other</v>
      </c>
      <c r="AH189" s="81" t="str">
        <f t="shared" si="77"/>
        <v>"%USERPROFILE%\Documents\GitHub\eaglep3\Utilities\RefineRTDCRunTimes.py" --tripid 313-10 --locoid 4018 --swversion DE.1.0.9.0 --startMP 204:460 --initTime 2017-05-11T02:08:44 --startdatetime 2017-05-11T02:10:52 --delay 1 --endMP 300:23308 --enddatetime 2017-05-11T02:21:25 --enforcementcount 0 &gt;&gt;C:\Users\stu\Documents\GitHub\eaglep3-reporting\EC\2017-05-11-refined-times.txt</v>
      </c>
      <c r="AI189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{"issue":{"subject":"","project_id":79,"tracker_id":40,"status_id":1,"priority_id":2,"assigned_to_id":23,"start_date":"2017-05-11","description":"","custom_fields":[{"id":1,"name":"Subdivision","value":"Other"},{"id":4,"name":"Milepost","value":"2.3308"},{"id":17,"name":"Train ID","value":"313-10"},{"id":16,"name":"Locomotive ID","value":"4018"},{"id":130,"name":"Impact","value":""},{"id":150,"name":"Time of Event (Mountain Time)","value":"02:21:25"},{"id":151,"name":"Denver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5" t="str">
        <f t="shared" si="79"/>
        <v>start /low /b %USERPROFILE%\Documents\GitHub\eaglep3\Utilities\DownloadLogsFromS3.py --loco 4018 --day 2017-05-11</v>
      </c>
      <c r="AN189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08:21:25"},{"id":29,"name":"Sharepoint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801</v>
      </c>
      <c r="B190" s="7">
        <v>4004</v>
      </c>
      <c r="C190" s="21" t="s">
        <v>206</v>
      </c>
      <c r="D190" s="21" t="s">
        <v>471</v>
      </c>
      <c r="E190" s="13">
        <v>42867.089918981481</v>
      </c>
      <c r="F190" s="13">
        <v>42867.091331018521</v>
      </c>
      <c r="G190" s="7">
        <v>1</v>
      </c>
      <c r="H190" s="21" t="s">
        <v>364</v>
      </c>
      <c r="I190" s="13">
        <v>42867.099074074074</v>
      </c>
      <c r="J190" s="7">
        <v>0</v>
      </c>
      <c r="K190" s="92" t="str">
        <f t="shared" si="66"/>
        <v>4003/4004</v>
      </c>
      <c r="L190" s="21" t="str">
        <f>VLOOKUP(A190,'Trips&amp;Operators'!$C$1:$G$99999,5,FALSE)</f>
        <v>FORTUNATO FRANK</v>
      </c>
      <c r="M190" s="6">
        <f t="shared" si="67"/>
        <v>7.7430555538740009E-3</v>
      </c>
      <c r="N190" s="7">
        <f t="shared" si="82"/>
        <v>11.149999997578561</v>
      </c>
      <c r="O190" s="7"/>
      <c r="P190" s="7"/>
      <c r="Q190" s="22"/>
      <c r="R190" s="190"/>
      <c r="S190" s="196">
        <f t="shared" si="83"/>
        <v>1</v>
      </c>
      <c r="T190" s="190" t="str">
        <f t="shared" si="68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69"/>
        <v>https://d0f6bd738d7f1b3e5a7ca70fe4ff75f0.us-east-1.aws.found.io/app/kibana#/discover/Steve-Slow-Train-Analysis-(2080s-and-2083s)?_g=(refreshInterval:(display:Off,pause:!f,section:0,value:0),time:(from:'2017-05-12T01:09:29-0600',mode:absolute,to:'2017-05-12T03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0" s="192" t="str">
        <f t="shared" si="70"/>
        <v>Y</v>
      </c>
      <c r="X190" s="192">
        <f t="shared" si="84"/>
        <v>0</v>
      </c>
      <c r="Y190" s="192">
        <f t="shared" si="71"/>
        <v>4.3799999999999999E-2</v>
      </c>
      <c r="Z190" s="192">
        <f t="shared" si="85"/>
        <v>2.3346</v>
      </c>
      <c r="AA190" s="192">
        <f t="shared" si="72"/>
        <v>2.2907999999999999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73"/>
        <v>0313-11</v>
      </c>
      <c r="AE190" s="80" t="str">
        <f t="shared" si="74"/>
        <v>aws s3 cp s3://rtdc.mdm.uploadarchive.raw/RTDC4004/ "%USERPROFILE%\AppData\Local\Temp\OnboardLogs"\RTDC4004\2017-05-12 --exclude "*" --recursive --include "*20170512*" &amp; "%USERPROFILE%\Documents\GitHub\mrs-test-scripts\Headless Mode &amp; Sideloading\WalkAndUnGZ.bat" "%USERPROFILE%\AppData\Local\Temp\OnboardLogs"\RTDC4004\2017-05-12 &amp; aws s3 cp s3://rtdc.mdm.uploadarchive.raw/RTDC4004/ "%USERPROFILE%\AppData\Local\Temp\OnboardLogs"\RTDC4004\2017-05-13 --exclude "*" --recursive --include "*20170513*" &amp; "%USERPROFILE%\Documents\GitHub\mrs-test-scripts\Headless Mode &amp; Sideloading\WalkAndUnGZ.bat" "%USERPROFILE%\AppData\Local\Temp\OnboardLogs"\RTDC4004\2017-05-13</v>
      </c>
      <c r="AF190" s="77" t="str">
        <f t="shared" si="75"/>
        <v>"C:\Program Files (x86)\AstroGrep\AstroGrep.exe" /e /r /s /spath="%USERPROFILE%\AppData\Local\Temp\OnboardLogs" /stypes="app*4004*20170512*" /stext=" 08:.+((SYSTEM_STATE.+slice.+state.+changed )|(ment ac)|(multiple cpu faults)|(system.+state.+changed )|(\[timeout)|(PRM\|1\|D)|(kpr)|(kdp)|(train st.+moving)|(\|lc)|(penalty))"</v>
      </c>
      <c r="AG190" s="1" t="str">
        <f t="shared" si="76"/>
        <v>Other</v>
      </c>
      <c r="AH190" s="81" t="str">
        <f t="shared" si="77"/>
        <v>"%USERPROFILE%\Documents\GitHub\eaglep3\Utilities\RefineRTDCRunTimes.py" --tripid 313-11 --locoid 4004 --swversion DE.1.0.9.0 --startMP 204:438 --initTime 2017-05-12T02:09:29 --startdatetime 2017-05-12T02:11:31 --delay 1 --endMP 300:23346 --enddatetime 2017-05-12T02:22:40 --enforcementcount 0 &gt;&gt;C:\Users\stu\Documents\GitHub\eaglep3-reporting\EC\2017-05-11-refined-times.txt</v>
      </c>
      <c r="AI190" s="99" t="str">
        <f t="shared" si="78"/>
        <v>echo {"issue":{"subject":"","project_id":79,"tracker_id":40,"status_id":1,"priority_id":2,"assigned_to_id":23,"start_date":"2017-05-12","description":"","custom_fields":[{"id":1,"name":"Subdivision","value":"Other"},{"id":4,"name":"Milepost","value":"2.3346"},{"id":17,"name":"Train ID","value":"313-11"},{"id":16,"name":"Locomotive ID","value":"4004"},{"id":130,"name":"Impact","value":""},{"id":150,"name":"Time of Event (Mountain Time)","value":"02:22:40"},{"id":151,"name":"Denver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79"/>
        <v>start /low /b %USERPROFILE%\Documents\GitHub\eaglep3\Utilities\DownloadLogsFromS3.py --loco 4004 --day 2017-05-12</v>
      </c>
      <c r="AN190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08:22:40"},{"id":29,"name":"Sharepoint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796</v>
      </c>
      <c r="B191" s="7">
        <v>4042</v>
      </c>
      <c r="C191" s="21" t="s">
        <v>206</v>
      </c>
      <c r="D191" s="21" t="s">
        <v>347</v>
      </c>
      <c r="E191" s="13">
        <v>42867.028263888889</v>
      </c>
      <c r="F191" s="13">
        <v>42867.033703703702</v>
      </c>
      <c r="G191" s="7">
        <v>1</v>
      </c>
      <c r="H191" s="21" t="s">
        <v>903</v>
      </c>
      <c r="I191" s="13">
        <v>42867.040717592594</v>
      </c>
      <c r="J191" s="7">
        <v>0</v>
      </c>
      <c r="K191" s="92" t="str">
        <f t="shared" si="66"/>
        <v>4041/4042</v>
      </c>
      <c r="L191" s="21" t="str">
        <f>VLOOKUP(A191,'Trips&amp;Operators'!$C$1:$G$99999,5,FALSE)</f>
        <v>CHANDLER KELVIN</v>
      </c>
      <c r="M191" s="6">
        <f t="shared" si="67"/>
        <v>7.0138888913788833E-3</v>
      </c>
      <c r="N191" s="7">
        <f t="shared" si="82"/>
        <v>10.100000003585592</v>
      </c>
      <c r="O191" s="7"/>
      <c r="P191" s="7"/>
      <c r="Q191" s="22"/>
      <c r="R191" s="190"/>
      <c r="S191" s="196">
        <f t="shared" si="83"/>
        <v>1</v>
      </c>
      <c r="T191" s="190" t="str">
        <f t="shared" si="68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69"/>
        <v>https://d0f6bd738d7f1b3e5a7ca70fe4ff75f0.us-east-1.aws.found.io/app/kibana#/discover/Steve-Slow-Train-Analysis-(2080s-and-2083s)?_g=(refreshInterval:(display:Off,pause:!f,section:0,value:0),time:(from:'2017-05-11T23:40:42-0600',mode:absolute,to:'2017-05-12T01:58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1" s="192" t="str">
        <f t="shared" si="70"/>
        <v>Y</v>
      </c>
      <c r="X191" s="192">
        <f t="shared" si="84"/>
        <v>2</v>
      </c>
      <c r="Y191" s="192">
        <f t="shared" si="71"/>
        <v>4.4900000000000002E-2</v>
      </c>
      <c r="Z191" s="192">
        <f t="shared" si="85"/>
        <v>2.3300999999999998</v>
      </c>
      <c r="AA191" s="192">
        <f t="shared" si="72"/>
        <v>2.2851999999999997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73"/>
        <v>0315-11</v>
      </c>
      <c r="AE191" s="80" t="str">
        <f t="shared" si="74"/>
        <v>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 &amp; aws s3 cp s3://rtdc.mdm.uploadarchive.raw/RTDC4042/ "%USERPROFILE%\AppData\Local\Temp\OnboardLogs"\RTDC4042\2017-05-13 --exclude "*" --recursive --include "*20170513*" &amp; "%USERPROFILE%\Documents\GitHub\mrs-test-scripts\Headless Mode &amp; Sideloading\WalkAndUnGZ.bat" "%USERPROFILE%\AppData\Local\Temp\OnboardLogs"\RTDC4042\2017-05-13</v>
      </c>
      <c r="AF191" s="77" t="str">
        <f t="shared" si="75"/>
        <v>"C:\Program Files (x86)\AstroGrep\AstroGrep.exe" /e /r /s /spath="%USERPROFILE%\AppData\Local\Temp\OnboardLogs" /stypes="app*4042*20170512*" /stext=" 06:.+((SYSTEM_STATE.+slice.+state.+changed )|(ment ac)|(multiple cpu faults)|(system.+state.+changed )|(\[timeout)|(PRM\|1\|D)|(kpr)|(kdp)|(train st.+moving)|(\|lc)|(penalty))"</v>
      </c>
      <c r="AG191" s="1" t="str">
        <f t="shared" si="76"/>
        <v>Other</v>
      </c>
      <c r="AH191" s="81" t="str">
        <f t="shared" si="77"/>
        <v>"%USERPROFILE%\Documents\GitHub\eaglep3\Utilities\RefineRTDCRunTimes.py" --tripid 315-11 --locoid 4042 --swversion DE.1.0.9.0 --startMP 204:449 --initTime 2017-05-12T00:40:42 --startdatetime 2017-05-12T00:48:32 --delay 1 --endMP 300:23301 --enddatetime 2017-05-12T00:58:38 --enforcementcount 0 &gt;&gt;C:\Users\stu\Documents\GitHub\eaglep3-reporting\EC\2017-05-11-refined-times.txt</v>
      </c>
      <c r="AI191" s="99" t="str">
        <f t="shared" si="78"/>
        <v>echo {"issue":{"subject":"","project_id":79,"tracker_id":40,"status_id":1,"priority_id":2,"assigned_to_id":23,"start_date":"2017-05-12","description":"","custom_fields":[{"id":1,"name":"Subdivision","value":"Other"},{"id":4,"name":"Milepost","value":"2.3301"},{"id":17,"name":"Train ID","value":"315-11"},{"id":16,"name":"Locomotive ID","value":"4042"},{"id":130,"name":"Impact","value":""},{"id":150,"name":"Time of Event (Mountain Time)","value":"00:58:38"},{"id":151,"name":"Denver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79"/>
        <v>start /low /b %USERPROFILE%\Documents\GitHub\eaglep3\Utilities\DownloadLogsFromS3.py --loco 4042 --day 2017-05-12</v>
      </c>
      <c r="AN191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06:58:38"},{"id":29,"name":"Sharepoint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623</v>
      </c>
      <c r="B192" s="7">
        <v>4008</v>
      </c>
      <c r="C192" s="21" t="s">
        <v>206</v>
      </c>
      <c r="D192" s="21" t="s">
        <v>1014</v>
      </c>
      <c r="E192" s="13">
        <v>42866.197650462964</v>
      </c>
      <c r="F192" s="13">
        <v>42866.201423611114</v>
      </c>
      <c r="G192" s="7">
        <v>5</v>
      </c>
      <c r="H192" s="21" t="s">
        <v>1015</v>
      </c>
      <c r="I192" s="13">
        <v>42866.207002314812</v>
      </c>
      <c r="J192" s="7">
        <v>0</v>
      </c>
      <c r="K192" s="92" t="str">
        <f t="shared" si="66"/>
        <v>4007/4008</v>
      </c>
      <c r="L192" s="21" t="str">
        <f>VLOOKUP(A192,'Trips&amp;Operators'!$C$1:$G$99999,5,FALSE)</f>
        <v>MACDONALD THOMAS</v>
      </c>
      <c r="M192" s="6">
        <f t="shared" si="67"/>
        <v>5.5787036981200799E-3</v>
      </c>
      <c r="N192" s="7">
        <f t="shared" si="82"/>
        <v>8.0333333252929151</v>
      </c>
      <c r="O192" s="7"/>
      <c r="P192" s="7"/>
      <c r="Q192" s="22"/>
      <c r="R192" s="190"/>
      <c r="S192" s="196">
        <f t="shared" si="83"/>
        <v>0</v>
      </c>
      <c r="T192" s="190" t="str">
        <f t="shared" si="68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191" t="str">
        <f t="shared" si="69"/>
        <v>https://d0f6bd738d7f1b3e5a7ca70fe4ff75f0.us-east-1.aws.found.io/app/kibana#/discover/Steve-Slow-Train-Analysis-(2080s-and-2083s)?_g=(refreshInterval:(display:Off,pause:!f,section:0,value:0),time:(from:'2017-05-11T03:44:37-0600',mode:absolute,to:'2017-05-11T05:58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92" t="str">
        <f t="shared" si="70"/>
        <v>Y</v>
      </c>
      <c r="X192" s="192">
        <f t="shared" si="84"/>
        <v>586</v>
      </c>
      <c r="Y192" s="192">
        <f t="shared" si="71"/>
        <v>3.0432000000000001</v>
      </c>
      <c r="Z192" s="192">
        <f t="shared" si="85"/>
        <v>5.8905000000000003</v>
      </c>
      <c r="AA192" s="192">
        <f t="shared" si="72"/>
        <v>2.8473000000000002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73"/>
        <v>0901-11</v>
      </c>
      <c r="AE192" s="80" t="str">
        <f t="shared" si="74"/>
        <v>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 &amp; aws s3 cp s3://rtdc.mdm.uploadarchive.raw/RTDC4008/ "%USERPROFILE%\AppData\Local\Temp\OnboardLogs"\RTDC4008\2017-05-12 --exclude "*" --recursive --include "*20170512*" &amp; "%USERPROFILE%\Documents\GitHub\mrs-test-scripts\Headless Mode &amp; Sideloading\WalkAndUnGZ.bat" "%USERPROFILE%\AppData\Local\Temp\OnboardLogs"\RTDC4008\2017-05-12</v>
      </c>
      <c r="AF192" s="77" t="str">
        <f t="shared" si="75"/>
        <v>"C:\Program Files (x86)\AstroGrep\AstroGrep.exe" /e /r /s /spath="%USERPROFILE%\AppData\Local\Temp\OnboardLogs" /stypes="app*4008*20170511*" /stext=" 10:.+((SYSTEM_STATE.+slice.+state.+changed )|(ment ac)|(multiple cpu faults)|(system.+state.+changed )|(\[timeout)|(PRM\|1\|D)|(kpr)|(kdp)|(train st.+moving)|(\|lc)|(penalty))"</v>
      </c>
      <c r="AG192" s="1" t="str">
        <f t="shared" si="76"/>
        <v>Other</v>
      </c>
      <c r="AH192" s="81" t="str">
        <f t="shared" si="77"/>
        <v>"%USERPROFILE%\Documents\GitHub\eaglep3\Utilities\RefineRTDCRunTimes.py" --tripid 901-11 --locoid 4008 --swversion DE.1.0.9.0 --startMP 300:30432 --initTime 2017-05-11T04:44:37 --startdatetime 2017-05-11T04:50:03 --delay 5 --endMP 300:58905 --enddatetime 2017-05-11T04:58:05 --enforcementcount 0 &gt;&gt;C:\Users\stu\Documents\GitHub\eaglep3-reporting\EC\2017-05-11-refined-times.txt</v>
      </c>
      <c r="AI192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{"issue":{"subject":"","project_id":79,"tracker_id":40,"status_id":1,"priority_id":2,"assigned_to_id":23,"start_date":"2017-05-11","description":"","custom_fields":[{"id":1,"name":"Subdivision","value":"Other"},{"id":4,"name":"Milepost","value":"5.8905"},{"id":17,"name":"Train ID","value":"901-11"},{"id":16,"name":"Locomotive ID","value":"4008"},{"id":130,"name":"Impact","value":""},{"id":150,"name":"Time of Event (Mountain Time)","value":"04:58:05"},{"id":151,"name":"Denver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79"/>
        <v>start /low /b %USERPROFILE%\Documents\GitHub\eaglep3\Utilities\DownloadLogsFromS3.py --loco 4008 --day 2017-05-11</v>
      </c>
      <c r="AN192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10:58:05"},{"id":29,"name":"Sharepoint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635</v>
      </c>
      <c r="B193" s="7">
        <v>4021</v>
      </c>
      <c r="C193" s="21" t="s">
        <v>206</v>
      </c>
      <c r="D193" s="21" t="s">
        <v>1014</v>
      </c>
      <c r="E193" s="13">
        <v>42866.197650462964</v>
      </c>
      <c r="F193" s="13">
        <v>42866.252083333333</v>
      </c>
      <c r="G193" s="7">
        <v>5</v>
      </c>
      <c r="H193" s="21" t="s">
        <v>1015</v>
      </c>
      <c r="I193" s="13">
        <v>42866.252083333333</v>
      </c>
      <c r="J193" s="7">
        <v>0</v>
      </c>
      <c r="K193" s="92" t="str">
        <f t="shared" ref="K193" si="86">IF(ISEVEN(B193),(B193-1)&amp;"/"&amp;B193,B193&amp;"/"&amp;(B193+1))</f>
        <v>4021/4022</v>
      </c>
      <c r="L193" s="21" t="str">
        <f>VLOOKUP(A193,'Trips&amp;Operators'!$C$1:$G$99999,5,FALSE)</f>
        <v>LOZA FIDEL</v>
      </c>
      <c r="M193" s="6">
        <f t="shared" ref="M193" si="87">I193-F193</f>
        <v>0</v>
      </c>
      <c r="N193" s="7"/>
      <c r="O193" s="7"/>
      <c r="P193" s="7">
        <v>1</v>
      </c>
      <c r="Q193" s="22"/>
      <c r="R193" s="190" t="s">
        <v>1054</v>
      </c>
      <c r="S193" s="196">
        <f t="shared" ref="S193" si="88">SUM(U193:U193)/IF(AG193="EC",12,1)</f>
        <v>0</v>
      </c>
      <c r="T193" s="190" t="str">
        <f t="shared" ref="T193" si="89">IF(ISEVEN(LEFT(AD193,4)),"Southbound","NorthBound")</f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191" t="str">
        <f t="shared" ref="V193" si="90"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-05-11T03:44:37-0600',mode:absolute,to:'2017-05-11T07:03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3" s="192" t="str">
        <f t="shared" ref="W193" si="91">IF(AA193&lt;IF(AG193="EC",23,5.65),"Y","N")</f>
        <v>Y</v>
      </c>
      <c r="X193" s="192">
        <f t="shared" ref="X193:X194" si="92">VALUE(LEFT(AD193,4))-VALUE(LEFT(AD192,4))</f>
        <v>1</v>
      </c>
      <c r="Y193" s="192">
        <f t="shared" ref="Y193" si="93">RIGHT(D193,LEN(D193)-4)/10000</f>
        <v>3.0432000000000001</v>
      </c>
      <c r="Z193" s="192">
        <f t="shared" ref="Z193" si="94">RIGHT(H193,LEN(H193)-4)/10000</f>
        <v>5.8905000000000003</v>
      </c>
      <c r="AA193" s="192">
        <f t="shared" ref="AA193" si="95">ABS(Z193-Y193)</f>
        <v>2.8473000000000002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ref="AD193" si="96">IF(LEN(A193)=6,"0"&amp;A193,A193)</f>
        <v>0902-11</v>
      </c>
      <c r="AE193" s="80" t="str">
        <f t="shared" ref="AE193" si="97"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AF193" s="77" t="str">
        <f t="shared" ref="AF193" si="98"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/stypes="app*4021*20170511*" /stext=" 12:.+((SYSTEM_STATE.+slice.+state.+changed )|(ment ac)|(multiple cpu faults)|(system.+state.+changed )|(\[timeout)|(PRM\|1\|D)|(kpr)|(kdp)|(train st.+moving)|(\|lc)|(penalty))"</v>
      </c>
      <c r="AG193" s="1" t="str">
        <f t="shared" ref="AG193" si="99">IFERROR(IF(VALUE(LEFT(AD193,2))&lt;=2,"EC",IF(OR(VALUE(LEFT(AD193,2))=8,VALUE(LEFT(AD193,2))=18),"NW","Other")),"Other")</f>
        <v>Other</v>
      </c>
      <c r="AH193" s="81" t="str">
        <f t="shared" ref="AH193" si="100"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902-11 --locoid 4021 --swversion DE.1.0.9.0 --startMP 300:30432 --initTime 2017-05-11T04:44:37 --startdatetime 2017-05-11T06:03:00 --delay 5 --endMP 300:58905 --enddatetime 2017-05-11T06:03:00 --enforcementcount 0 &gt;&gt;C:\Users\stu\Documents\GitHub\eaglep3-reporting\EC\2017-05-11-refined-times.txt</v>
      </c>
      <c r="AI193" s="99" t="str">
        <f t="shared" ref="AI193" si="101"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Z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-X POST -H ""Content-Type: application/json"" -H ""X-Redmine-API-Key: "&amp;redm_api_key&amp;""" "&amp;redm_url&amp;" --data @-"</f>
        <v>echo {"issue":{"subject":"Wi-MAX data drop prevented init","project_id":79,"tracker_id":40,"status_id":1,"priority_id":2,"assigned_to_id":23,"start_date":"2017-05-11","description":"","custom_fields":[{"id":1,"name":"Subdivision","value":"Other"},{"id":4,"name":"Milepost","value":"5.8905"},{"id":17,"name":"Train ID","value":"902-11"},{"id":16,"name":"Locomotive ID","value":"4021"},{"id":130,"name":"Impact","value":""},{"id":150,"name":"Time of Event (Mountain Time)","value":"06:03:00"},{"id":151,"name":"Denver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ref="AM193" si="102">"start /low /b "&amp;dls3logs&amp;" --loco "&amp;B193&amp;" --day "&amp;TEXT(F193,"YYYY-MM-DD")</f>
        <v>start /low /b %USERPROFILE%\Documents\GitHub\eaglep3\Utilities\DownloadLogsFromS3.py --loco 4021 --day 2017-05-11</v>
      </c>
      <c r="AN193" s="154" t="str">
        <f t="shared" ref="AN193" si="103">"echo {""issue"":{""subject"":"""&amp;R193&amp;""",""project_id"":30,""tracker_id"":4,""status_id"":"&amp;redmine_status_wcr&amp;",""priority_id"":"&amp;redmine_priority_wcr&amp;",""assigned_to_id"":"&amp;redmine_assignee_wcr&amp;",""start_date"":"""&amp;TEXT(I193-utc_offset/24,"YYYY-mm-dd")&amp;""",""description"":"""&amp;AJ193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 prevented init","project_id":30,"tracker_id":4,"status_id":1,"priority_id":1,"assigned_to_id":10,"start_date":"2017-05-11","description":"","custom_fields":[{"id":30,"name":"Category","value":"Issue"},{"id":3,"name":"Functional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12:03:00"},{"id":29,"name":"Sharepoint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662</v>
      </c>
      <c r="B194" s="7">
        <v>4008</v>
      </c>
      <c r="C194" s="21" t="s">
        <v>206</v>
      </c>
      <c r="D194" s="21" t="s">
        <v>388</v>
      </c>
      <c r="E194" s="13">
        <v>42866.352754629632</v>
      </c>
      <c r="F194" s="13">
        <v>42866.354664351849</v>
      </c>
      <c r="G194" s="7">
        <v>1</v>
      </c>
      <c r="H194" s="21" t="s">
        <v>1016</v>
      </c>
      <c r="I194" s="13">
        <v>42866.361238425925</v>
      </c>
      <c r="J194" s="7">
        <v>0</v>
      </c>
      <c r="K194" s="92" t="str">
        <f t="shared" si="66"/>
        <v>4007/4008</v>
      </c>
      <c r="L194" s="21" t="str">
        <f>VLOOKUP(A194,'Trips&amp;Operators'!$C$1:$G$99999,5,FALSE)</f>
        <v>MACDONALD THOMAS</v>
      </c>
      <c r="M194" s="6">
        <f t="shared" si="67"/>
        <v>6.5740740756154992E-3</v>
      </c>
      <c r="N194" s="7">
        <f t="shared" ref="N194:P226" si="104">24*60*SUM($M194:$M194)</f>
        <v>9.4666666688863188</v>
      </c>
      <c r="O194" s="7"/>
      <c r="P194" s="7"/>
      <c r="Q194" s="22"/>
      <c r="R194" s="190"/>
      <c r="S194" s="196">
        <f t="shared" si="83"/>
        <v>1</v>
      </c>
      <c r="T194" s="190" t="str">
        <f t="shared" si="68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69"/>
        <v>https://d0f6bd738d7f1b3e5a7ca70fe4ff75f0.us-east-1.aws.found.io/app/kibana#/discover/Steve-Slow-Train-Analysis-(2080s-and-2083s)?_g=(refreshInterval:(display:Off,pause:!f,section:0,value:0),time:(from:'2017-05-11T07:27:58-0600',mode:absolute,to:'2017-05-11T09:40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4" s="192" t="str">
        <f t="shared" si="70"/>
        <v>Y</v>
      </c>
      <c r="X194" s="192">
        <f t="shared" si="92"/>
        <v>1</v>
      </c>
      <c r="Y194" s="192">
        <f t="shared" si="71"/>
        <v>4.5499999999999999E-2</v>
      </c>
      <c r="Z194" s="192">
        <f t="shared" si="85"/>
        <v>2.4232999999999998</v>
      </c>
      <c r="AA194" s="192">
        <f t="shared" si="72"/>
        <v>2.3777999999999997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73"/>
        <v>0903-11</v>
      </c>
      <c r="AE194" s="80" t="str">
        <f t="shared" si="74"/>
        <v>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 &amp; aws s3 cp s3://rtdc.mdm.uploadarchive.raw/RTDC4008/ "%USERPROFILE%\AppData\Local\Temp\OnboardLogs"\RTDC4008\2017-05-12 --exclude "*" --recursive --include "*20170512*" &amp; "%USERPROFILE%\Documents\GitHub\mrs-test-scripts\Headless Mode &amp; Sideloading\WalkAndUnGZ.bat" "%USERPROFILE%\AppData\Local\Temp\OnboardLogs"\RTDC4008\2017-05-12</v>
      </c>
      <c r="AF194" s="77" t="str">
        <f t="shared" si="75"/>
        <v>"C:\Program Files (x86)\AstroGrep\AstroGrep.exe" /e /r /s /spath="%USERPROFILE%\AppData\Local\Temp\OnboardLogs" /stypes="app*4008*20170511*" /stext=" 14:.+((SYSTEM_STATE.+slice.+state.+changed )|(ment ac)|(multiple cpu faults)|(system.+state.+changed )|(\[timeout)|(PRM\|1\|D)|(kpr)|(kdp)|(train st.+moving)|(\|lc)|(penalty))"</v>
      </c>
      <c r="AG194" s="1" t="str">
        <f t="shared" si="76"/>
        <v>Other</v>
      </c>
      <c r="AH194" s="81" t="str">
        <f t="shared" si="77"/>
        <v>"%USERPROFILE%\Documents\GitHub\eaglep3\Utilities\RefineRTDCRunTimes.py" --tripid 903-11 --locoid 4008 --swversion DE.1.0.9.0 --startMP 204:455 --initTime 2017-05-11T08:27:58 --startdatetime 2017-05-11T08:30:43 --delay 1 --endMP 300:24233 --enddatetime 2017-05-11T08:40:11 --enforcementcount 0 &gt;&gt;C:\Users\stu\Documents\GitHub\eaglep3-reporting\EC\2017-05-11-refined-times.txt</v>
      </c>
      <c r="AI194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{"issue":{"subject":"","project_id":79,"tracker_id":40,"status_id":1,"priority_id":2,"assigned_to_id":23,"start_date":"2017-05-11","description":"","custom_fields":[{"id":1,"name":"Subdivision","value":"Other"},{"id":4,"name":"Milepost","value":"2.4233"},{"id":17,"name":"Train ID","value":"903-11"},{"id":16,"name":"Locomotive ID","value":"4008"},{"id":130,"name":"Impact","value":""},{"id":150,"name":"Time of Event (Mountain Time)","value":"08:40:11"},{"id":151,"name":"Denver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79"/>
        <v>start /low /b %USERPROFILE%\Documents\GitHub\eaglep3\Utilities\DownloadLogsFromS3.py --loco 4008 --day 2017-05-11</v>
      </c>
      <c r="AN194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14:40:11"},{"id":29,"name":"Sharepoint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589</v>
      </c>
      <c r="B195" s="7">
        <v>4007</v>
      </c>
      <c r="C195" s="21" t="s">
        <v>206</v>
      </c>
      <c r="D195" s="21" t="s">
        <v>1017</v>
      </c>
      <c r="E195" s="13">
        <v>42866.647685185184</v>
      </c>
      <c r="F195" s="13">
        <v>42866.648449074077</v>
      </c>
      <c r="G195" s="7">
        <v>0</v>
      </c>
      <c r="H195" s="21" t="s">
        <v>1018</v>
      </c>
      <c r="I195" s="13">
        <v>42866.653541666667</v>
      </c>
      <c r="J195" s="7">
        <v>0</v>
      </c>
      <c r="K195" s="92" t="str">
        <f t="shared" si="66"/>
        <v>4007/4008</v>
      </c>
      <c r="L195" s="21" t="str">
        <f>VLOOKUP(A195,'Trips&amp;Operators'!$C$1:$G$99999,5,FALSE)</f>
        <v>LAMAR NEKESHA</v>
      </c>
      <c r="M195" s="6">
        <f t="shared" si="67"/>
        <v>5.0925925897900015E-3</v>
      </c>
      <c r="N195" s="7">
        <v>7</v>
      </c>
      <c r="O195" s="7"/>
      <c r="P195" s="7"/>
      <c r="Q195" s="22"/>
      <c r="R195" s="190"/>
      <c r="S195" s="196">
        <f t="shared" si="83"/>
        <v>1</v>
      </c>
      <c r="T195" s="190" t="str">
        <f t="shared" si="68"/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69"/>
        <v>https://d0f6bd738d7f1b3e5a7ca70fe4ff75f0.us-east-1.aws.found.io/app/kibana#/discover/Steve-Slow-Train-Analysis-(2080s-and-2083s)?_g=(refreshInterval:(display:Off,pause:!f,section:0,value:0),time:(from:'2017-05-11T14:32:40-0600',mode:absolute,to:'2017-05-11T16:41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192" t="str">
        <f t="shared" si="70"/>
        <v>Y</v>
      </c>
      <c r="X195" s="192">
        <f t="shared" si="84"/>
        <v>1</v>
      </c>
      <c r="Y195" s="192">
        <f t="shared" si="71"/>
        <v>2.1882000000000001</v>
      </c>
      <c r="Z195" s="192">
        <f t="shared" si="85"/>
        <v>6.4000000000000001E-2</v>
      </c>
      <c r="AA195" s="192">
        <f t="shared" si="72"/>
        <v>2.1242000000000001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73"/>
        <v>0904-11</v>
      </c>
      <c r="AE195" s="80" t="str">
        <f t="shared" si="74"/>
        <v>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 &amp; aws s3 cp s3://rtdc.mdm.uploadarchive.raw/RTDC4007/ "%USERPROFILE%\AppData\Local\Temp\OnboardLogs"\RTDC4007\2017-05-12 --exclude "*" --recursive --include "*20170512*" &amp; "%USERPROFILE%\Documents\GitHub\mrs-test-scripts\Headless Mode &amp; Sideloading\WalkAndUnGZ.bat" "%USERPROFILE%\AppData\Local\Temp\OnboardLogs"\RTDC4007\2017-05-12</v>
      </c>
      <c r="AF195" s="77" t="str">
        <f t="shared" si="75"/>
        <v>"C:\Program Files (x86)\AstroGrep\AstroGrep.exe" /e /r /s /spath="%USERPROFILE%\AppData\Local\Temp\OnboardLogs" /stypes="app*4007*20170511*" /stext=" 21:.+((SYSTEM_STATE.+slice.+state.+changed )|(ment ac)|(multiple cpu faults)|(system.+state.+changed )|(\[timeout)|(PRM\|1\|D)|(kpr)|(kdp)|(train st.+moving)|(\|lc)|(penalty))"</v>
      </c>
      <c r="AG195" s="1" t="str">
        <f t="shared" si="76"/>
        <v>Other</v>
      </c>
      <c r="AH195" s="81" t="str">
        <f t="shared" si="77"/>
        <v>"%USERPROFILE%\Documents\GitHub\eaglep3\Utilities\RefineRTDCRunTimes.py" --tripid 904-11 --locoid 4007 --swversion DE.1.0.9.0 --startMP 300:21882 --initTime 2017-05-11T15:32:40 --startdatetime 2017-05-11T15:33:46 --delay 0 --endMP 204:640 --enddatetime 2017-05-11T15:41:06 --enforcementcount 0 &gt;&gt;C:\Users\stu\Documents\GitHub\eaglep3-reporting\EC\2017-05-11-refined-times.txt</v>
      </c>
      <c r="AI195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{"issue":{"subject":"","project_id":79,"tracker_id":40,"status_id":1,"priority_id":2,"assigned_to_id":23,"start_date":"2017-05-11","description":"","custom_fields":[{"id":1,"name":"Subdivision","value":"Other"},{"id":4,"name":"Milepost","value":"0.064"},{"id":17,"name":"Train ID","value":"904-11"},{"id":16,"name":"Locomotive ID","value":"4007"},{"id":130,"name":"Impact","value":""},{"id":150,"name":"Time of Event (Mountain Time)","value":"15:41:06"},{"id":151,"name":"Denver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79"/>
        <v>start /low /b %USERPROFILE%\Documents\GitHub\eaglep3\Utilities\DownloadLogsFromS3.py --loco 4007 --day 2017-05-11</v>
      </c>
      <c r="AN195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21:41:06"},{"id":29,"name":"Sharepoint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589</v>
      </c>
      <c r="B196" s="7">
        <v>4007</v>
      </c>
      <c r="C196" s="21" t="s">
        <v>206</v>
      </c>
      <c r="D196" s="21" t="s">
        <v>1019</v>
      </c>
      <c r="E196" s="13">
        <v>42866.64334490741</v>
      </c>
      <c r="F196" s="13">
        <v>42866.648449074077</v>
      </c>
      <c r="G196" s="7">
        <v>3</v>
      </c>
      <c r="H196" s="21" t="s">
        <v>1020</v>
      </c>
      <c r="I196" s="13">
        <v>42866.653541666667</v>
      </c>
      <c r="J196" s="7">
        <v>0</v>
      </c>
      <c r="K196" s="92" t="str">
        <f t="shared" si="66"/>
        <v>4007/4008</v>
      </c>
      <c r="L196" s="21" t="str">
        <f>VLOOKUP(A196,'Trips&amp;Operators'!$C$1:$G$99999,5,FALSE)</f>
        <v>LAMAR NEKESHA</v>
      </c>
      <c r="M196" s="6">
        <f t="shared" si="67"/>
        <v>5.0925925897900015E-3</v>
      </c>
      <c r="N196" s="7"/>
      <c r="O196" s="7"/>
      <c r="P196" s="7">
        <f t="shared" si="104"/>
        <v>7.3333333292976022</v>
      </c>
      <c r="Q196" s="22"/>
      <c r="R196" s="190" t="s">
        <v>1055</v>
      </c>
      <c r="S196" s="196">
        <f t="shared" ref="S196" si="105">SUM(U196:U196)/IF(AG196="EC",12,1)</f>
        <v>0</v>
      </c>
      <c r="T196" s="190" t="str">
        <f t="shared" si="68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191" t="str">
        <f t="shared" si="69"/>
        <v>https://d0f6bd738d7f1b3e5a7ca70fe4ff75f0.us-east-1.aws.found.io/app/kibana#/discover/Steve-Slow-Train-Analysis-(2080s-and-2083s)?_g=(refreshInterval:(display:Off,pause:!f,section:0,value:0),time:(from:'2017-05-11T14:26:25-0600',mode:absolute,to:'2017-05-11T16:41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6" s="192" t="str">
        <f t="shared" si="70"/>
        <v>Y</v>
      </c>
      <c r="X196" s="192">
        <f t="shared" si="84"/>
        <v>0</v>
      </c>
      <c r="Y196" s="192">
        <f t="shared" si="71"/>
        <v>2.3342999999999998</v>
      </c>
      <c r="Z196" s="192">
        <f t="shared" si="85"/>
        <v>2.2717999999999998</v>
      </c>
      <c r="AA196" s="192">
        <f t="shared" si="72"/>
        <v>6.25E-2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73"/>
        <v>0904-11</v>
      </c>
      <c r="AE196" s="80" t="str">
        <f t="shared" si="74"/>
        <v>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 &amp; aws s3 cp s3://rtdc.mdm.uploadarchive.raw/RTDC4007/ "%USERPROFILE%\AppData\Local\Temp\OnboardLogs"\RTDC4007\2017-05-12 --exclude "*" --recursive --include "*20170512*" &amp; "%USERPROFILE%\Documents\GitHub\mrs-test-scripts\Headless Mode &amp; Sideloading\WalkAndUnGZ.bat" "%USERPROFILE%\AppData\Local\Temp\OnboardLogs"\RTDC4007\2017-05-12</v>
      </c>
      <c r="AF196" s="77" t="str">
        <f t="shared" si="75"/>
        <v>"C:\Program Files (x86)\AstroGrep\AstroGrep.exe" /e /r /s /spath="%USERPROFILE%\AppData\Local\Temp\OnboardLogs" /stypes="app*4007*20170511*" /stext=" 21:.+((SYSTEM_STATE.+slice.+state.+changed )|(ment ac)|(multiple cpu faults)|(system.+state.+changed )|(\[timeout)|(PRM\|1\|D)|(kpr)|(kdp)|(train st.+moving)|(\|lc)|(penalty))"</v>
      </c>
      <c r="AG196" s="1" t="str">
        <f t="shared" si="76"/>
        <v>Other</v>
      </c>
      <c r="AH196" s="81" t="str">
        <f t="shared" si="77"/>
        <v>"%USERPROFILE%\Documents\GitHub\eaglep3\Utilities\RefineRTDCRunTimes.py" --tripid 904-11 --locoid 4007 --swversion DE.1.0.9.0 --startMP 300:23343 --initTime 2017-05-11T15:26:25 --startdatetime 2017-05-11T15:33:46 --delay 3 --endMP 300:22718 --enddatetime 2017-05-11T15:41:06 --enforcementcount 0 &gt;&gt;C:\Users\stu\Documents\GitHub\eaglep3-reporting\EC\2017-05-11-refined-times.txt</v>
      </c>
      <c r="AI196" s="99" t="str">
        <f t="shared" si="78"/>
        <v>echo {"issue":{"subject":"Selected wrong track","project_id":79,"tracker_id":40,"status_id":1,"priority_id":2,"assigned_to_id":23,"start_date":"2017-05-11","description":"","custom_fields":[{"id":1,"name":"Subdivision","value":"Other"},{"id":4,"name":"Milepost","value":"2.2718"},{"id":17,"name":"Train ID","value":"904-11"},{"id":16,"name":"Locomotive ID","value":"4007"},{"id":130,"name":"Impact","value":""},{"id":150,"name":"Time of Event (Mountain Time)","value":"15:41:06"},{"id":151,"name":"Denver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79"/>
        <v>start /low /b %USERPROFILE%\Documents\GitHub\eaglep3\Utilities\DownloadLogsFromS3.py --loco 4007 --day 2017-05-11</v>
      </c>
      <c r="AN196" s="154" t="str">
        <f t="shared" si="80"/>
        <v>echo {"issue":{"subject":"Selected wrong track","project_id":30,"tracker_id":4,"status_id":1,"priority_id":1,"assigned_to_id":10,"start_date":"2017-05-11","description":"","custom_fields":[{"id":30,"name":"Category","value":"Issue"},{"id":3,"name":"Functional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21:41:06"},{"id":29,"name":"Sharepoint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s="20" customFormat="1" x14ac:dyDescent="0.25">
      <c r="A197" s="32" t="s">
        <v>763</v>
      </c>
      <c r="B197" s="7">
        <v>4007</v>
      </c>
      <c r="C197" s="21" t="s">
        <v>206</v>
      </c>
      <c r="D197" s="21" t="s">
        <v>452</v>
      </c>
      <c r="E197" s="13">
        <v>42866.796516203707</v>
      </c>
      <c r="F197" s="13">
        <v>42866.797650462962</v>
      </c>
      <c r="G197" s="7">
        <v>1</v>
      </c>
      <c r="H197" s="21" t="s">
        <v>1021</v>
      </c>
      <c r="I197" s="13">
        <v>42866.802997685183</v>
      </c>
      <c r="J197" s="7">
        <v>0</v>
      </c>
      <c r="K197" s="92" t="str">
        <f t="shared" si="66"/>
        <v>4007/4008</v>
      </c>
      <c r="L197" s="21" t="str">
        <f>VLOOKUP(A197,'Trips&amp;Operators'!$C$1:$G$99999,5,FALSE)</f>
        <v>LAMAR NEKESHA</v>
      </c>
      <c r="M197" s="6">
        <f t="shared" si="67"/>
        <v>5.3472222207346931E-3</v>
      </c>
      <c r="N197" s="7">
        <f t="shared" si="104"/>
        <v>7.6999999978579581</v>
      </c>
      <c r="O197" s="7"/>
      <c r="P197" s="7"/>
      <c r="Q197" s="22"/>
      <c r="R197" s="190"/>
      <c r="S197" s="196">
        <f t="shared" ref="S196:S228" si="106">SUM(U197:U197)/IF(AG197="EC",12,1)</f>
        <v>0</v>
      </c>
      <c r="T197" s="190" t="str">
        <f t="shared" si="68"/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191" t="str">
        <f t="shared" si="69"/>
        <v>https://d0f6bd738d7f1b3e5a7ca70fe4ff75f0.us-east-1.aws.found.io/app/kibana#/discover/Steve-Slow-Train-Analysis-(2080s-and-2083s)?_g=(refreshInterval:(display:Off,pause:!f,section:0,value:0),time:(from:'2017-05-11T18:06:59-0600',mode:absolute,to:'2017-05-11T20:16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7" s="192" t="str">
        <f t="shared" si="70"/>
        <v>Y</v>
      </c>
      <c r="X197" s="192">
        <f t="shared" si="84"/>
        <v>2</v>
      </c>
      <c r="Y197" s="192">
        <f t="shared" si="71"/>
        <v>5.8616999999999999</v>
      </c>
      <c r="Z197" s="192">
        <f t="shared" si="85"/>
        <v>3.0097</v>
      </c>
      <c r="AA197" s="192">
        <f t="shared" si="72"/>
        <v>2.8519999999999999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73"/>
        <v>0906-11</v>
      </c>
      <c r="AE197" s="80" t="str">
        <f t="shared" si="74"/>
        <v>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 &amp; aws s3 cp s3://rtdc.mdm.uploadarchive.raw/RTDC4007/ "%USERPROFILE%\AppData\Local\Temp\OnboardLogs"\RTDC4007\2017-05-12 --exclude "*" --recursive --include "*20170512*" &amp; "%USERPROFILE%\Documents\GitHub\mrs-test-scripts\Headless Mode &amp; Sideloading\WalkAndUnGZ.bat" "%USERPROFILE%\AppData\Local\Temp\OnboardLogs"\RTDC4007\2017-05-12</v>
      </c>
      <c r="AF197" s="77" t="str">
        <f t="shared" si="75"/>
        <v>"C:\Program Files (x86)\AstroGrep\AstroGrep.exe" /e /r /s /spath="%USERPROFILE%\AppData\Local\Temp\OnboardLogs" /stypes="app*4007*20170512*" /stext=" 01:.+((SYSTEM_STATE.+slice.+state.+changed )|(ment ac)|(multiple cpu faults)|(system.+state.+changed )|(\[timeout)|(PRM\|1\|D)|(kpr)|(kdp)|(train st.+moving)|(\|lc)|(penalty))"</v>
      </c>
      <c r="AG197" s="1" t="str">
        <f t="shared" si="76"/>
        <v>Other</v>
      </c>
      <c r="AH197" s="81" t="str">
        <f t="shared" si="77"/>
        <v>"%USERPROFILE%\Documents\GitHub\eaglep3\Utilities\RefineRTDCRunTimes.py" --tripid 906-11 --locoid 4007 --swversion DE.1.0.9.0 --startMP 300:58617 --initTime 2017-05-11T19:06:59 --startdatetime 2017-05-11T19:08:37 --delay 1 --endMP 300:30097 --enddatetime 2017-05-11T19:16:19 --enforcementcount 0 &gt;&gt;C:\Users\stu\Documents\GitHub\eaglep3-reporting\EC\2017-05-11-refined-times.txt</v>
      </c>
      <c r="AI197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{"issue":{"subject":"","project_id":79,"tracker_id":40,"status_id":1,"priority_id":2,"assigned_to_id":23,"start_date":"2017-05-11","description":"","custom_fields":[{"id":1,"name":"Subdivision","value":"Other"},{"id":4,"name":"Milepost","value":"3.0097"},{"id":17,"name":"Train ID","value":"906-11"},{"id":16,"name":"Locomotive ID","value":"4007"},{"id":130,"name":"Impact","value":""},{"id":150,"name":"Time of Event (Mountain Time)","value":"19:16:19"},{"id":151,"name":"Denver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5" t="str">
        <f t="shared" si="79"/>
        <v>start /low /b %USERPROFILE%\Documents\GitHub\eaglep3\Utilities\DownloadLogsFromS3.py --loco 4007 --day 2017-05-11</v>
      </c>
      <c r="AN197" s="154" t="str">
        <f t="shared" si="80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01:16:19"},{"id":29,"name":"Sharepoint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787</v>
      </c>
      <c r="B198" s="7">
        <v>4021</v>
      </c>
      <c r="C198" s="21" t="s">
        <v>206</v>
      </c>
      <c r="D198" s="21" t="s">
        <v>559</v>
      </c>
      <c r="E198" s="13">
        <v>42866.943113425928</v>
      </c>
      <c r="F198" s="13">
        <v>25568.708333333332</v>
      </c>
      <c r="G198" s="7">
        <v>1</v>
      </c>
      <c r="H198" s="21" t="s">
        <v>1022</v>
      </c>
      <c r="I198" s="13">
        <v>25568.708333333332</v>
      </c>
      <c r="J198" s="7">
        <v>0</v>
      </c>
      <c r="K198" s="92" t="str">
        <f t="shared" si="66"/>
        <v>4021/4022</v>
      </c>
      <c r="L198" s="21" t="str">
        <f>VLOOKUP(A198,'Trips&amp;Operators'!$C$1:$G$99999,5,FALSE)</f>
        <v>LAMAR NEKESHA</v>
      </c>
      <c r="M198" s="6">
        <f t="shared" si="67"/>
        <v>0</v>
      </c>
      <c r="N198" s="7">
        <f t="shared" si="104"/>
        <v>0</v>
      </c>
      <c r="O198" s="7"/>
      <c r="P198" s="7"/>
      <c r="Q198" s="22"/>
      <c r="R198" s="190"/>
      <c r="S198" s="196">
        <f t="shared" si="106"/>
        <v>0</v>
      </c>
      <c r="T198" s="190" t="str">
        <f t="shared" si="68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91" t="str">
        <f t="shared" si="69"/>
        <v>https://d0f6bd738d7f1b3e5a7ca70fe4ff75f0.us-east-1.aws.found.io/app/kibana#/discover/Steve-Slow-Train-Analysis-(2080s-and-2083s)?_g=(refreshInterval:(display:Off,pause:!f,section:0,value:0),time:(from:'2017-05-11T21:38:05-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8" s="192" t="str">
        <f t="shared" si="70"/>
        <v>Y</v>
      </c>
      <c r="X198" s="192">
        <f t="shared" si="84"/>
        <v>2</v>
      </c>
      <c r="Y198" s="192">
        <f t="shared" si="71"/>
        <v>5.8619000000000003</v>
      </c>
      <c r="Z198" s="192">
        <f t="shared" si="85"/>
        <v>2.1602000000000001</v>
      </c>
      <c r="AA198" s="192">
        <f t="shared" si="72"/>
        <v>3.7017000000000002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73"/>
        <v>0908-11</v>
      </c>
      <c r="AE198" s="80" t="str">
        <f t="shared" si="74"/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AF198" s="77" t="str">
        <f t="shared" si="75"/>
        <v>"C:\Program Files (x86)\AstroGrep\AstroGrep.exe" /e /r /s /spath="%USERPROFILE%\AppData\Local\Temp\OnboardLogs" /stypes="app*4021*19691231*" /stext=" 23:.+((SYSTEM_STATE.+slice.+state.+changed )|(ment ac)|(multiple cpu faults)|(system.+state.+changed )|(\[timeout)|(PRM\|1\|D)|(kpr)|(kdp)|(train st.+moving)|(\|lc)|(penalty))"</v>
      </c>
      <c r="AG198" s="1" t="str">
        <f t="shared" si="76"/>
        <v>Other</v>
      </c>
      <c r="AH198" s="81" t="str">
        <f t="shared" si="77"/>
        <v>"%USERPROFILE%\Documents\GitHub\eaglep3\Utilities\RefineRTDCRunTimes.py" --tripid 908-11 --locoid 4021 --swversion DE.1.0.9.0 --startMP 300:58619 --initTime 2017-05-11T22:38:05 --startdatetime 1969-12-31T17:00:00 --delay 1 --endMP 300:21602 --enddatetime 1969-12-31T17:00:00 --enforcementcount 0 &gt;&gt;C:\Users\stu\Documents\GitHub\eaglep3-reporting\EC\2017-05-11-refined-times.txt</v>
      </c>
      <c r="AI198" s="99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{"issue":{"subject":"","project_id":79,"tracker_id":40,"status_id":1,"priority_id":2,"assigned_to_id":23,"start_date":"1969-12-31","description":"","custom_fields":[{"id":1,"name":"Subdivision","value":"Other"},{"id":4,"name":"Milepost","value":"2.1602"},{"id":17,"name":"Train ID","value":"908-11"},{"id":16,"name":"Locomotive ID","value":"4021"},{"id":130,"name":"Impact","value":""},{"id":150,"name":"Time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79"/>
        <v>start /low /b %USERPROFILE%\Documents\GitHub\eaglep3\Utilities\DownloadLogsFromS3.py --loco 4021 --day 1969-12-31</v>
      </c>
      <c r="AN198" s="154" t="str">
        <f t="shared" si="8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716</v>
      </c>
      <c r="B199" s="7">
        <v>4017</v>
      </c>
      <c r="C199" s="21" t="s">
        <v>206</v>
      </c>
      <c r="D199" s="21" t="s">
        <v>910</v>
      </c>
      <c r="E199" s="13">
        <v>42866.619108796294</v>
      </c>
      <c r="F199" s="13">
        <v>42866.622916666667</v>
      </c>
      <c r="G199" s="7">
        <v>5</v>
      </c>
      <c r="H199" s="21" t="s">
        <v>535</v>
      </c>
      <c r="I199" s="13">
        <v>42866.632465277777</v>
      </c>
      <c r="J199" s="7">
        <v>0</v>
      </c>
      <c r="K199" s="92" t="str">
        <f t="shared" si="66"/>
        <v>4017/4018</v>
      </c>
      <c r="L199" s="21" t="str">
        <f>VLOOKUP(A199,'Trips&amp;Operators'!$C$1:$G$99999,5,FALSE)</f>
        <v>WHITED DUSTIN</v>
      </c>
      <c r="M199" s="6">
        <f t="shared" si="67"/>
        <v>9.5486111094942316E-3</v>
      </c>
      <c r="N199" s="7">
        <f t="shared" si="104"/>
        <v>13.749999997671694</v>
      </c>
      <c r="O199" s="7"/>
      <c r="P199" s="7"/>
      <c r="Q199" s="22"/>
      <c r="R199" s="190"/>
      <c r="S199" s="196">
        <f t="shared" si="106"/>
        <v>0</v>
      </c>
      <c r="T199" s="190" t="e">
        <f t="shared" si="68"/>
        <v>#VALUE!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91" t="str">
        <f t="shared" si="69"/>
        <v>https://d0f6bd738d7f1b3e5a7ca70fe4ff75f0.us-east-1.aws.found.io/app/kibana#/discover/Steve-Slow-Train-Analysis-(2080s-and-2083s)?_g=(refreshInterval:(display:Off,pause:!f,section:0,value:0),time:(from:'2017-05-11T13:51:31-0600',mode:absolute,to:'2017-05-11T16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9" s="192" t="str">
        <f t="shared" si="70"/>
        <v>Y</v>
      </c>
      <c r="X199" s="192" t="e">
        <f t="shared" si="84"/>
        <v>#VALUE!</v>
      </c>
      <c r="Y199" s="192">
        <f t="shared" si="71"/>
        <v>2.3033000000000001</v>
      </c>
      <c r="Z199" s="192">
        <f t="shared" si="85"/>
        <v>1.21E-2</v>
      </c>
      <c r="AA199" s="192">
        <f t="shared" si="72"/>
        <v>2.2911999999999999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73"/>
        <v>50-11</v>
      </c>
      <c r="AE199" s="80" t="str">
        <f t="shared" si="74"/>
        <v>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 &amp; aws s3 cp s3://rtdc.mdm.uploadarchive.raw/RTDC4017/ "%USERPROFILE%\AppData\Local\Temp\OnboardLogs"\RTDC4017\2017-05-12 --exclude "*" --recursive --include "*20170512*" &amp; "%USERPROFILE%\Documents\GitHub\mrs-test-scripts\Headless Mode &amp; Sideloading\WalkAndUnGZ.bat" "%USERPROFILE%\AppData\Local\Temp\OnboardLogs"\RTDC4017\2017-05-12</v>
      </c>
      <c r="AF199" s="77" t="str">
        <f t="shared" si="75"/>
        <v>"C:\Program Files (x86)\AstroGrep\AstroGrep.exe" /e /r /s /spath="%USERPROFILE%\AppData\Local\Temp\OnboardLogs" /stypes="app*4017*20170511*" /stext=" 21:.+((SYSTEM_STATE.+slice.+state.+changed )|(ment ac)|(multiple cpu faults)|(system.+state.+changed )|(\[timeout)|(PRM\|1\|D)|(kpr)|(kdp)|(train st.+moving)|(\|lc)|(penalty))"</v>
      </c>
      <c r="AG199" s="1" t="str">
        <f t="shared" si="76"/>
        <v>Other</v>
      </c>
      <c r="AH199" s="81" t="str">
        <f t="shared" si="77"/>
        <v>"%USERPROFILE%\Documents\GitHub\eaglep3\Utilities\RefineRTDCRunTimes.py" --tripid 50-11 --locoid 4017 --swversion DE.1.0.9.0 --startMP 300:23033 --initTime 2017-05-11T14:51:31 --startdatetime 2017-05-11T14:57:00 --delay 5 --endMP 204:121 --enddatetime 2017-05-11T15:10:45 --enforcementcount 0 &gt;&gt;C:\Users\stu\Documents\GitHub\eaglep3-reporting\EC\2017-05-11-refined-times.txt</v>
      </c>
      <c r="AI199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{"issue":{"subject":"","project_id":79,"tracker_id":40,"status_id":1,"priority_id":2,"assigned_to_id":23,"start_date":"2017-05-11","description":"","custom_fields":[{"id":1,"name":"Subdivision","value":"Other"},{"id":4,"name":"Milepost","value":"0.0121"},{"id":17,"name":"Train ID","value":"50-11"},{"id":16,"name":"Locomotive ID","value":"4017"},{"id":130,"name":"Impact","value":""},{"id":150,"name":"Time of Event (Mountain Time)","value":"15:10:45"},{"id":151,"name":"Denver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79"/>
        <v>start /low /b %USERPROFILE%\Documents\GitHub\eaglep3\Utilities\DownloadLogsFromS3.py --loco 4017 --day 2017-05-11</v>
      </c>
      <c r="AN199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21:10:45"},{"id":29,"name":"Sharepoint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s="20" customFormat="1" x14ac:dyDescent="0.25">
      <c r="A200" s="32" t="s">
        <v>637</v>
      </c>
      <c r="B200" s="7">
        <v>4004</v>
      </c>
      <c r="C200" s="21" t="s">
        <v>206</v>
      </c>
      <c r="D200" s="21" t="s">
        <v>910</v>
      </c>
      <c r="E200" s="13">
        <v>42866.619108796294</v>
      </c>
      <c r="F200" s="13">
        <v>42866.255555555559</v>
      </c>
      <c r="G200" s="7">
        <v>5</v>
      </c>
      <c r="H200" s="21" t="s">
        <v>535</v>
      </c>
      <c r="I200" s="13">
        <v>42866.255555555559</v>
      </c>
      <c r="J200" s="7">
        <v>0</v>
      </c>
      <c r="K200" s="92" t="str">
        <f t="shared" ref="K200" si="107">IF(ISEVEN(B200),(B200-1)&amp;"/"&amp;B200,B200&amp;"/"&amp;(B200+1))</f>
        <v>4003/4004</v>
      </c>
      <c r="L200" s="21" t="str">
        <f>VLOOKUP(A200,'Trips&amp;Operators'!$C$1:$G$99999,5,FALSE)</f>
        <v>SPECTOR MICHAEL</v>
      </c>
      <c r="M200" s="6">
        <f t="shared" ref="M200" si="108">I200-F200</f>
        <v>0</v>
      </c>
      <c r="N200" s="7"/>
      <c r="O200" s="7"/>
      <c r="P200" s="7">
        <v>1</v>
      </c>
      <c r="Q200" s="22"/>
      <c r="R200" s="190" t="s">
        <v>1054</v>
      </c>
      <c r="S200" s="196">
        <f t="shared" ref="S200" si="109">SUM(U200:U200)/IF(AG200="EC",12,1)</f>
        <v>0</v>
      </c>
      <c r="T200" s="190" t="e">
        <f t="shared" ref="T200" si="110">IF(ISEVEN(LEFT(AD200,4)),"Southbound","NorthBound")</f>
        <v>#VALUE!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91" t="str">
        <f t="shared" ref="V200" si="111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-05-11T13:51:31-0600',mode:absolute,to:'2017-05-11T07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0" s="192" t="str">
        <f t="shared" ref="W200" si="112">IF(AA200&lt;IF(AG200="EC",23,5.65),"Y","N")</f>
        <v>Y</v>
      </c>
      <c r="X200" s="192" t="e">
        <f t="shared" ref="X200" si="113">VALUE(LEFT(AD200,4))-VALUE(LEFT(AD199,4))</f>
        <v>#VALUE!</v>
      </c>
      <c r="Y200" s="192">
        <f t="shared" ref="Y200" si="114">RIGHT(D200,LEN(D200)-4)/10000</f>
        <v>2.3033000000000001</v>
      </c>
      <c r="Z200" s="192">
        <f t="shared" ref="Z200" si="115">RIGHT(H200,LEN(H200)-4)/10000</f>
        <v>1.21E-2</v>
      </c>
      <c r="AA200" s="192">
        <f t="shared" ref="AA200" si="116">ABS(Z200-Y200)</f>
        <v>2.2911999999999999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ref="AD200" si="117">IF(LEN(A200)=6,"0"&amp;A200,A200)</f>
        <v>51-11</v>
      </c>
      <c r="AE200" s="80" t="str">
        <f t="shared" ref="AE200" si="118"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s3://rtdc.mdm.uploadarchive.raw/RTDC4004/ "%USERPROFILE%\AppData\Local\Temp\OnboardLogs"\RTDC4004\2017-05-11 --exclude "*" --recursive --include "*20170511*" &amp; "%USERPROFILE%\Documents\GitHub\mrs-test-scripts\Headless Mode &amp; Sideloading\WalkAndUnGZ.bat" "%USERPROFILE%\AppData\Local\Temp\OnboardLogs"\RTDC4004\2017-05-11 &amp; aws s3 cp s3://rtdc.mdm.uploadarchive.raw/RTDC4004/ "%USERPROFILE%\AppData\Local\Temp\OnboardLogs"\RTDC4004\2017-05-12 --exclude "*" --recursive --include "*20170512*" &amp; "%USERPROFILE%\Documents\GitHub\mrs-test-scripts\Headless Mode &amp; Sideloading\WalkAndUnGZ.bat" "%USERPROFILE%\AppData\Local\Temp\OnboardLogs"\RTDC4004\2017-05-12</v>
      </c>
      <c r="AF200" s="77" t="str">
        <f t="shared" ref="AF200" si="119"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/stypes="app*4004*20170511*" /stext=" 12:.+((SYSTEM_STATE.+slice.+state.+changed )|(ment ac)|(multiple cpu faults)|(system.+state.+changed )|(\[timeout)|(PRM\|1\|D)|(kpr)|(kdp)|(train st.+moving)|(\|lc)|(penalty))"</v>
      </c>
      <c r="AG200" s="1" t="str">
        <f t="shared" ref="AG200" si="120">IFERROR(IF(VALUE(LEFT(AD200,2))&lt;=2,"EC",IF(OR(VALUE(LEFT(AD200,2))=8,VALUE(LEFT(AD200,2))=18),"NW","Other")),"Other")</f>
        <v>Other</v>
      </c>
      <c r="AH200" s="81" t="str">
        <f t="shared" ref="AH200" si="121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51-11 --locoid 4004 --swversion DE.1.0.9.0 --startMP 300:23033 --initTime 2017-05-11T14:51:31 --startdatetime 2017-05-11T06:08:00 --delay 5 --endMP 204:121 --enddatetime 2017-05-11T06:08:00 --enforcementcount 0 &gt;&gt;C:\Users\stu\Documents\GitHub\eaglep3-reporting\EC\2017-05-11-refined-times.txt</v>
      </c>
      <c r="AI200" s="99" t="str">
        <f t="shared" ref="AI200" si="122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-X POST -H ""Content-Type: application/json"" -H ""X-Redmine-API-Key: "&amp;redm_api_key&amp;""" "&amp;redm_url&amp;" --data @-"</f>
        <v>echo {"issue":{"subject":"Wi-MAX data drop prevented init","project_id":79,"tracker_id":40,"status_id":1,"priority_id":2,"assigned_to_id":23,"start_date":"2017-05-11","description":"","custom_fields":[{"id":1,"name":"Subdivision","value":"Other"},{"id":4,"name":"Milepost","value":"0.0121"},{"id":17,"name":"Train ID","value":"51-11"},{"id":16,"name":"Locomotive ID","value":"4004"},{"id":130,"name":"Impact","value":""},{"id":150,"name":"Time of Event (Mountain Time)","value":"06:08:00"},{"id":151,"name":"Denver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5" t="str">
        <f t="shared" ref="AM200" si="123">"start /low /b "&amp;dls3logs&amp;" --loco "&amp;B200&amp;" --day "&amp;TEXT(F200,"YYYY-MM-DD")</f>
        <v>start /low /b %USERPROFILE%\Documents\GitHub\eaglep3\Utilities\DownloadLogsFromS3.py --loco 4004 --day 2017-05-11</v>
      </c>
      <c r="AN200" s="154" t="str">
        <f t="shared" ref="AN200" si="124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 prevented init","project_id":30,"tracker_id":4,"status_id":1,"priority_id":1,"assigned_to_id":10,"start_date":"2017-05-11","description":"","custom_fields":[{"id":30,"name":"Category","value":"Issue"},{"id":3,"name":"Functional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584</v>
      </c>
      <c r="B201" s="7">
        <v>4017</v>
      </c>
      <c r="C201" s="21" t="s">
        <v>206</v>
      </c>
      <c r="D201" s="21" t="s">
        <v>911</v>
      </c>
      <c r="E201" s="13">
        <v>42866.441053240742</v>
      </c>
      <c r="F201" s="13">
        <v>42866.444050925929</v>
      </c>
      <c r="G201" s="7">
        <v>4</v>
      </c>
      <c r="H201" s="21">
        <v>8.5222222222222221</v>
      </c>
      <c r="I201" s="13">
        <v>42866.449062500003</v>
      </c>
      <c r="J201" s="7">
        <v>0</v>
      </c>
      <c r="K201" s="92" t="str">
        <f t="shared" si="66"/>
        <v>4017/4018</v>
      </c>
      <c r="L201" s="21" t="str">
        <f>VLOOKUP(A201,'Trips&amp;Operators'!$C$1:$G$99999,5,FALSE)</f>
        <v>DELGADO DIANAH</v>
      </c>
      <c r="M201" s="6">
        <f t="shared" si="67"/>
        <v>5.0115740741603076E-3</v>
      </c>
      <c r="N201" s="7">
        <f t="shared" si="104"/>
        <v>7.216666666790843</v>
      </c>
      <c r="O201" s="7"/>
      <c r="P201" s="7"/>
      <c r="Q201" s="22"/>
      <c r="R201" s="190"/>
      <c r="S201" s="196">
        <f t="shared" si="106"/>
        <v>0</v>
      </c>
      <c r="T201" s="190" t="e">
        <f t="shared" si="68"/>
        <v>#VALUE!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91" t="str">
        <f t="shared" si="69"/>
        <v>https://d0f6bd738d7f1b3e5a7ca70fe4ff75f0.us-east-1.aws.found.io/app/kibana#/discover/Steve-Slow-Train-Analysis-(2080s-and-2083s)?_g=(refreshInterval:(display:Off,pause:!f,section:0,value:0),time:(from:'2017-05-11T09:35:07-0600',mode:absolute,to:'2017-05-11T11:46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1" s="192" t="str">
        <f t="shared" si="70"/>
        <v>N</v>
      </c>
      <c r="X201" s="192" t="e">
        <f>VALUE(LEFT(AD201,4))-VALUE(LEFT(AD199,4))</f>
        <v>#VALUE!</v>
      </c>
      <c r="Y201" s="192">
        <f t="shared" si="71"/>
        <v>2.1947000000000001</v>
      </c>
      <c r="Z201" s="192">
        <f t="shared" si="85"/>
        <v>22222222.222199999</v>
      </c>
      <c r="AA201" s="192">
        <f t="shared" si="72"/>
        <v>22222220.0275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73"/>
        <v>52-11</v>
      </c>
      <c r="AE201" s="80" t="str">
        <f t="shared" si="74"/>
        <v>aws s3 cp s3://rtdc.mdm.uploadarchive.raw/RTDC4017/ "%USERPROFILE%\AppData\Local\Temp\OnboardLogs"\RTDC4017\2017-05-11 --exclude "*" --recursive --include "*20170511*" &amp; "%USERPROFILE%\Documents\GitHub\mrs-test-scripts\Headless Mode &amp; Sideloading\WalkAndUnGZ.bat" "%USERPROFILE%\AppData\Local\Temp\OnboardLogs"\RTDC4017\2017-05-11 &amp; aws s3 cp s3://rtdc.mdm.uploadarchive.raw/RTDC4017/ "%USERPROFILE%\AppData\Local\Temp\OnboardLogs"\RTDC4017\2017-05-12 --exclude "*" --recursive --include "*20170512*" &amp; "%USERPROFILE%\Documents\GitHub\mrs-test-scripts\Headless Mode &amp; Sideloading\WalkAndUnGZ.bat" "%USERPROFILE%\AppData\Local\Temp\OnboardLogs"\RTDC4017\2017-05-12</v>
      </c>
      <c r="AF201" s="77" t="str">
        <f t="shared" si="75"/>
        <v>"C:\Program Files (x86)\AstroGrep\AstroGrep.exe" /e /r /s /spath="%USERPROFILE%\AppData\Local\Temp\OnboardLogs" /stypes="app*4017*20170511*" /stext=" 16:.+((SYSTEM_STATE.+slice.+state.+changed )|(ment ac)|(multiple cpu faults)|(system.+state.+changed )|(\[timeout)|(PRM\|1\|D)|(kpr)|(kdp)|(train st.+moving)|(\|lc)|(penalty))"</v>
      </c>
      <c r="AG201" s="1" t="str">
        <f t="shared" si="76"/>
        <v>Other</v>
      </c>
      <c r="AH201" s="81" t="str">
        <f t="shared" si="77"/>
        <v>"%USERPROFILE%\Documents\GitHub\eaglep3\Utilities\RefineRTDCRunTimes.py" --tripid 52-11 --locoid 4017 --swversion DE.1.0.9.0 --startMP 300:21947 --initTime 2017-05-11T10:35:07 --startdatetime 2017-05-11T10:39:26 --delay 4 --endMP 8.52222222222222 --enddatetime 2017-05-11T10:46:39 --enforcementcount 0 &gt;&gt;C:\Users\stu\Documents\GitHub\eaglep3-reporting\EC\2017-05-11-refined-times.txt</v>
      </c>
      <c r="AI201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22222222.2222"},{"id":17,"name":"Train ID","value":"52-11"},{"id":16,"name":"Locomotive ID","value":"4017"},{"id":130,"name":"Impact","value":""},{"id":150,"name":"Time of Event (Mountain Time)","value":"10:46:39"},{"id":151,"name":"Denver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79"/>
        <v>start /low /b %USERPROFILE%\Documents\GitHub\eaglep3\Utilities\DownloadLogsFromS3.py --loco 4017 --day 2017-05-11</v>
      </c>
      <c r="AN201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16:46:39"},{"id":29,"name":"Sharepoint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584</v>
      </c>
      <c r="B202" s="7">
        <v>4018</v>
      </c>
      <c r="C202" s="21" t="s">
        <v>206</v>
      </c>
      <c r="D202" s="21" t="s">
        <v>912</v>
      </c>
      <c r="E202" s="13">
        <v>42866.480543981481</v>
      </c>
      <c r="F202" s="13">
        <v>42866.493541666663</v>
      </c>
      <c r="G202" s="7">
        <v>17</v>
      </c>
      <c r="H202" s="21" t="s">
        <v>913</v>
      </c>
      <c r="I202" s="13">
        <v>42866.502893518518</v>
      </c>
      <c r="J202" s="7">
        <v>0</v>
      </c>
      <c r="K202" s="92" t="str">
        <f t="shared" si="66"/>
        <v>4017/4018</v>
      </c>
      <c r="L202" s="21" t="str">
        <f>VLOOKUP(A202,'Trips&amp;Operators'!$C$1:$G$99999,5,FALSE)</f>
        <v>DELGADO DIANAH</v>
      </c>
      <c r="M202" s="6">
        <f t="shared" si="67"/>
        <v>9.3518518551718444E-3</v>
      </c>
      <c r="N202" s="7">
        <f t="shared" si="104"/>
        <v>13.466666671447456</v>
      </c>
      <c r="O202" s="7"/>
      <c r="P202" s="7"/>
      <c r="Q202" s="22"/>
      <c r="R202" s="190"/>
      <c r="S202" s="196">
        <f t="shared" si="106"/>
        <v>0</v>
      </c>
      <c r="T202" s="190" t="e">
        <f t="shared" si="68"/>
        <v>#VALUE!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91" t="str">
        <f t="shared" si="69"/>
        <v>https://d0f6bd738d7f1b3e5a7ca70fe4ff75f0.us-east-1.aws.found.io/app/kibana#/discover/Steve-Slow-Train-Analysis-(2080s-and-2083s)?_g=(refreshInterval:(display:Off,pause:!f,section:0,value:0),time:(from:'2017-05-11T10:31:59-0600',mode:absolute,to:'2017-05-11T13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192" t="str">
        <f t="shared" si="70"/>
        <v>Y</v>
      </c>
      <c r="X202" s="192" t="e">
        <f t="shared" si="84"/>
        <v>#VALUE!</v>
      </c>
      <c r="Y202" s="192">
        <f t="shared" si="71"/>
        <v>3.4299999999999997E-2</v>
      </c>
      <c r="Z202" s="192">
        <f t="shared" si="85"/>
        <v>2.4199000000000002</v>
      </c>
      <c r="AA202" s="192">
        <f t="shared" si="72"/>
        <v>2.3856000000000002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73"/>
        <v>52-11</v>
      </c>
      <c r="AE202" s="80" t="str">
        <f t="shared" si="74"/>
        <v>aws s3 cp s3://rtdc.mdm.uploadarchive.raw/RTDC4018/ "%USERPROFILE%\AppData\Local\Temp\OnboardLogs"\RTDC4018\2017-05-11 --exclude "*" --recursive --include "*20170511*" &amp; "%USERPROFILE%\Documents\GitHub\mrs-test-scripts\Headless Mode &amp; Sideloading\WalkAndUnGZ.bat" "%USERPROFILE%\AppData\Local\Temp\OnboardLogs"\RTDC4018\2017-05-11 &amp; aws s3 cp s3://rtdc.mdm.uploadarchive.raw/RTDC4018/ "%USERPROFILE%\AppData\Local\Temp\OnboardLogs"\RTDC4018\2017-05-12 --exclude "*" --recursive --include "*20170512*" &amp; "%USERPROFILE%\Documents\GitHub\mrs-test-scripts\Headless Mode &amp; Sideloading\WalkAndUnGZ.bat" "%USERPROFILE%\AppData\Local\Temp\OnboardLogs"\RTDC4018\2017-05-12</v>
      </c>
      <c r="AF202" s="77" t="str">
        <f t="shared" si="75"/>
        <v>"C:\Program Files (x86)\AstroGrep\AstroGrep.exe" /e /r /s /spath="%USERPROFILE%\AppData\Local\Temp\OnboardLogs" /stypes="app*4018*20170511*" /stext=" 18:.+((SYSTEM_STATE.+slice.+state.+changed )|(ment ac)|(multiple cpu faults)|(system.+state.+changed )|(\[timeout)|(PRM\|1\|D)|(kpr)|(kdp)|(train st.+moving)|(\|lc)|(penalty))"</v>
      </c>
      <c r="AG202" s="1" t="str">
        <f t="shared" si="76"/>
        <v>Other</v>
      </c>
      <c r="AH202" s="81" t="str">
        <f t="shared" si="77"/>
        <v>"%USERPROFILE%\Documents\GitHub\eaglep3\Utilities\RefineRTDCRunTimes.py" --tripid 52-11 --locoid 4018 --swversion DE.1.0.9.0 --startMP 204:343 --initTime 2017-05-11T11:31:59 --startdatetime 2017-05-11T11:50:42 --delay 17 --endMP 300:24199 --enddatetime 2017-05-11T12:04:10 --enforcementcount 0 &gt;&gt;C:\Users\stu\Documents\GitHub\eaglep3-reporting\EC\2017-05-11-refined-times.txt</v>
      </c>
      <c r="AI202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{"issue":{"subject":"","project_id":79,"tracker_id":40,"status_id":1,"priority_id":2,"assigned_to_id":23,"start_date":"2017-05-11","description":"","custom_fields":[{"id":1,"name":"Subdivision","value":"Other"},{"id":4,"name":"Milepost","value":"2.4199"},{"id":17,"name":"Train ID","value":"52-11"},{"id":16,"name":"Locomotive ID","value":"4018"},{"id":130,"name":"Impact","value":""},{"id":150,"name":"Time of Event (Mountain Time)","value":"12:04:10"},{"id":151,"name":"Denver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9"/>
        <v>start /low /b %USERPROFILE%\Documents\GitHub\eaglep3\Utilities\DownloadLogsFromS3.py --loco 4018 --day 2017-05-11</v>
      </c>
      <c r="AN202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674</v>
      </c>
      <c r="B203" s="7">
        <v>4016</v>
      </c>
      <c r="C203" s="21" t="s">
        <v>206</v>
      </c>
      <c r="D203" s="21" t="s">
        <v>914</v>
      </c>
      <c r="E203" s="13">
        <v>42866.428472222222</v>
      </c>
      <c r="F203" s="13">
        <v>42866.429583333331</v>
      </c>
      <c r="G203" s="7">
        <v>1</v>
      </c>
      <c r="H203" s="21" t="s">
        <v>915</v>
      </c>
      <c r="I203" s="13">
        <v>42866.441192129627</v>
      </c>
      <c r="J203" s="7">
        <v>0</v>
      </c>
      <c r="K203" s="92" t="str">
        <f t="shared" si="66"/>
        <v>4015/4016</v>
      </c>
      <c r="L203" s="21" t="str">
        <f>VLOOKUP(A203,'Trips&amp;Operators'!$C$1:$G$99999,5,FALSE)</f>
        <v>MACDONALD THOMAS</v>
      </c>
      <c r="M203" s="6">
        <f t="shared" si="67"/>
        <v>1.1608796296059154E-2</v>
      </c>
      <c r="N203" s="7">
        <f t="shared" si="104"/>
        <v>16.716666666325182</v>
      </c>
      <c r="O203" s="7"/>
      <c r="P203" s="7"/>
      <c r="Q203" s="22"/>
      <c r="R203" s="190"/>
      <c r="S203" s="196">
        <f t="shared" si="106"/>
        <v>0</v>
      </c>
      <c r="T203" s="190" t="e">
        <f t="shared" si="68"/>
        <v>#VALUE!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91" t="str">
        <f t="shared" si="69"/>
        <v>https://d0f6bd738d7f1b3e5a7ca70fe4ff75f0.us-east-1.aws.found.io/app/kibana#/discover/Steve-Slow-Train-Analysis-(2080s-and-2083s)?_g=(refreshInterval:(display:Off,pause:!f,section:0,value:0),time:(from:'2017-05-11T09:17:00-0600',mode:absolute,to:'2017-05-11T11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3" s="192" t="str">
        <f t="shared" si="70"/>
        <v>N</v>
      </c>
      <c r="X203" s="192" t="e">
        <f t="shared" si="84"/>
        <v>#VALUE!</v>
      </c>
      <c r="Y203" s="192">
        <f t="shared" si="71"/>
        <v>9.2299999999999993E-2</v>
      </c>
      <c r="Z203" s="192">
        <f t="shared" si="85"/>
        <v>6.9875999999999996</v>
      </c>
      <c r="AA203" s="192">
        <f t="shared" si="72"/>
        <v>6.8952999999999998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73"/>
        <v>53-11</v>
      </c>
      <c r="AE203" s="80" t="str">
        <f t="shared" si="74"/>
        <v>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 &amp; 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</v>
      </c>
      <c r="AF203" s="77" t="str">
        <f t="shared" si="75"/>
        <v>"C:\Program Files (x86)\AstroGrep\AstroGrep.exe" /e /r /s /spath="%USERPROFILE%\AppData\Local\Temp\OnboardLogs" /stypes="app*4016*20170511*" /stext=" 16:.+((SYSTEM_STATE.+slice.+state.+changed )|(ment ac)|(multiple cpu faults)|(system.+state.+changed )|(\[timeout)|(PRM\|1\|D)|(kpr)|(kdp)|(train st.+moving)|(\|lc)|(penalty))"</v>
      </c>
      <c r="AG203" s="1" t="str">
        <f t="shared" si="76"/>
        <v>Other</v>
      </c>
      <c r="AH203" s="81" t="str">
        <f t="shared" si="77"/>
        <v>"%USERPROFILE%\Documents\GitHub\eaglep3\Utilities\RefineRTDCRunTimes.py" --tripid 53-11 --locoid 4016 --swversion DE.1.0.9.0 --startMP 204:923 --initTime 2017-05-11T10:17:00 --startdatetime 2017-05-11T10:18:36 --delay 1 --endMP 204:69876 --enddatetime 2017-05-11T10:35:19 --enforcementcount 0 &gt;&gt;C:\Users\stu\Documents\GitHub\eaglep3-reporting\EC\2017-05-11-refined-times.txt</v>
      </c>
      <c r="AI203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{"issue":{"subject":"","project_id":79,"tracker_id":40,"status_id":1,"priority_id":2,"assigned_to_id":23,"start_date":"2017-05-11","description":"","custom_fields":[{"id":1,"name":"Subdivision","value":"Other"},{"id":4,"name":"Milepost","value":"6.9876"},{"id":17,"name":"Train ID","value":"53-11"},{"id":16,"name":"Locomotive ID","value":"4016"},{"id":130,"name":"Impact","value":""},{"id":150,"name":"Time of Event (Mountain Time)","value":"10:35:19"},{"id":151,"name":"Denver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79"/>
        <v>start /low /b %USERPROFILE%\Documents\GitHub\eaglep3\Utilities\DownloadLogsFromS3.py --loco 4016 --day 2017-05-11</v>
      </c>
      <c r="AN203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16:35:19"},{"id":29,"name":"Sharepoint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572</v>
      </c>
      <c r="B204" s="7">
        <v>4013</v>
      </c>
      <c r="C204" s="21" t="s">
        <v>206</v>
      </c>
      <c r="D204" s="21" t="s">
        <v>916</v>
      </c>
      <c r="E204" s="13">
        <v>42866.272280092591</v>
      </c>
      <c r="F204" s="13">
        <v>42866.297407407408</v>
      </c>
      <c r="G204" s="7">
        <v>1</v>
      </c>
      <c r="H204" s="21" t="s">
        <v>537</v>
      </c>
      <c r="I204" s="13">
        <v>42866.302974537037</v>
      </c>
      <c r="J204" s="7">
        <v>0</v>
      </c>
      <c r="K204" s="92" t="str">
        <f t="shared" si="66"/>
        <v>4013/4014</v>
      </c>
      <c r="L204" s="21" t="str">
        <f>VLOOKUP(A204,'Trips&amp;Operators'!$C$1:$G$99999,5,FALSE)</f>
        <v>ACKERMAN JARED</v>
      </c>
      <c r="M204" s="6">
        <f t="shared" si="67"/>
        <v>5.5671296286163852E-3</v>
      </c>
      <c r="N204" s="7">
        <f t="shared" si="104"/>
        <v>8.0166666652075946</v>
      </c>
      <c r="O204" s="7"/>
      <c r="P204" s="7"/>
      <c r="Q204" s="22"/>
      <c r="R204" s="190"/>
      <c r="S204" s="196">
        <f t="shared" si="106"/>
        <v>0</v>
      </c>
      <c r="T204" s="190" t="e">
        <f t="shared" si="68"/>
        <v>#VALUE!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1" t="str">
        <f t="shared" si="69"/>
        <v>https://d0f6bd738d7f1b3e5a7ca70fe4ff75f0.us-east-1.aws.found.io/app/kibana#/discover/Steve-Slow-Train-Analysis-(2080s-and-2083s)?_g=(refreshInterval:(display:Off,pause:!f,section:0,value:0),time:(from:'2017-05-11T05:32:05-0600',mode:absolute,to:'2017-05-11T08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192" t="str">
        <f t="shared" si="70"/>
        <v>Y</v>
      </c>
      <c r="X204" s="192" t="e">
        <f t="shared" si="84"/>
        <v>#VALUE!</v>
      </c>
      <c r="Y204" s="192">
        <f t="shared" si="71"/>
        <v>1.4211</v>
      </c>
      <c r="Z204" s="192">
        <f t="shared" si="85"/>
        <v>1.29E-2</v>
      </c>
      <c r="AA204" s="192">
        <f t="shared" si="72"/>
        <v>1.4082000000000001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73"/>
        <v>54-11</v>
      </c>
      <c r="AE204" s="80" t="str">
        <f t="shared" si="74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04" s="77" t="str">
        <f t="shared" si="75"/>
        <v>"C:\Program Files (x86)\AstroGrep\AstroGrep.exe" /e /r /s /spath="%USERPROFILE%\AppData\Local\Temp\OnboardLogs" /stypes="app*4013*20170511*" /stext=" 13:.+((SYSTEM_STATE.+slice.+state.+changed )|(ment ac)|(multiple cpu faults)|(system.+state.+changed )|(\[timeout)|(PRM\|1\|D)|(kpr)|(kdp)|(train st.+moving)|(\|lc)|(penalty))"</v>
      </c>
      <c r="AG204" s="1" t="str">
        <f t="shared" si="76"/>
        <v>Other</v>
      </c>
      <c r="AH204" s="81" t="str">
        <f t="shared" si="77"/>
        <v>"%USERPROFILE%\Documents\GitHub\eaglep3\Utilities\RefineRTDCRunTimes.py" --tripid 54-11 --locoid 4013 --swversion DE.1.0.9.0 --startMP 300:14211 --initTime 2017-05-11T06:32:05 --startdatetime 2017-05-11T07:08:16 --delay 1 --endMP 204:129 --enddatetime 2017-05-11T07:16:17 --enforcementcount 0 &gt;&gt;C:\Users\stu\Documents\GitHub\eaglep3-reporting\EC\2017-05-11-refined-times.txt</v>
      </c>
      <c r="AI204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{"issue":{"subject":"","project_id":79,"tracker_id":40,"status_id":1,"priority_id":2,"assigned_to_id":23,"start_date":"2017-05-11","description":"","custom_fields":[{"id":1,"name":"Subdivision","value":"Other"},{"id":4,"name":"Milepost","value":"0.0129"},{"id":17,"name":"Train ID","value":"54-11"},{"id":16,"name":"Locomotive ID","value":"4013"},{"id":130,"name":"Impact","value":""},{"id":150,"name":"Time of Event (Mountain Time)","value":"07:16:17"},{"id":151,"name":"Denver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9"/>
        <v>start /low /b %USERPROFILE%\Documents\GitHub\eaglep3\Utilities\DownloadLogsFromS3.py --loco 4013 --day 2017-05-11</v>
      </c>
      <c r="AN204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13:16:17"},{"id":29,"name":"Sharepoint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572</v>
      </c>
      <c r="B205" s="7">
        <v>4013</v>
      </c>
      <c r="C205" s="21" t="s">
        <v>206</v>
      </c>
      <c r="D205" s="21" t="s">
        <v>917</v>
      </c>
      <c r="E205" s="13">
        <v>42866.226875</v>
      </c>
      <c r="F205" s="13">
        <v>42866.24800925926</v>
      </c>
      <c r="G205" s="7">
        <v>1</v>
      </c>
      <c r="H205" s="21" t="s">
        <v>918</v>
      </c>
      <c r="I205" s="13">
        <v>42866.253761574073</v>
      </c>
      <c r="J205" s="7">
        <v>0</v>
      </c>
      <c r="K205" s="92" t="str">
        <f t="shared" si="66"/>
        <v>4013/4014</v>
      </c>
      <c r="L205" s="21" t="str">
        <f>VLOOKUP(A205,'Trips&amp;Operators'!$C$1:$G$99999,5,FALSE)</f>
        <v>ACKERMAN JARED</v>
      </c>
      <c r="M205" s="6">
        <f t="shared" si="67"/>
        <v>5.7523148134350777E-3</v>
      </c>
      <c r="N205" s="7">
        <f t="shared" si="104"/>
        <v>8.2833333313465118</v>
      </c>
      <c r="O205" s="7"/>
      <c r="P205" s="7"/>
      <c r="Q205" s="22"/>
      <c r="R205" s="190"/>
      <c r="S205" s="196">
        <f t="shared" si="106"/>
        <v>0</v>
      </c>
      <c r="T205" s="190" t="e">
        <f t="shared" si="68"/>
        <v>#VALUE!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1" t="str">
        <f t="shared" si="69"/>
        <v>https://d0f6bd738d7f1b3e5a7ca70fe4ff75f0.us-east-1.aws.found.io/app/kibana#/discover/Steve-Slow-Train-Analysis-(2080s-and-2083s)?_g=(refreshInterval:(display:Off,pause:!f,section:0,value:0),time:(from:'2017-05-11T04:26:42-0600',mode:absolute,to:'2017-05-11T07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5" s="192" t="str">
        <f t="shared" si="70"/>
        <v>Y</v>
      </c>
      <c r="X205" s="192" t="e">
        <f t="shared" si="84"/>
        <v>#VALUE!</v>
      </c>
      <c r="Y205" s="192">
        <f t="shared" si="71"/>
        <v>3.0939000000000001</v>
      </c>
      <c r="Z205" s="192">
        <f t="shared" si="85"/>
        <v>1.44E-2</v>
      </c>
      <c r="AA205" s="192">
        <f t="shared" si="72"/>
        <v>3.0794999999999999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si="73"/>
        <v>54-11</v>
      </c>
      <c r="AE205" s="80" t="str">
        <f t="shared" si="74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05" s="77" t="str">
        <f t="shared" si="75"/>
        <v>"C:\Program Files (x86)\AstroGrep\AstroGrep.exe" /e /r /s /spath="%USERPROFILE%\AppData\Local\Temp\OnboardLogs" /stypes="app*4013*20170511*" /stext=" 12:.+((SYSTEM_STATE.+slice.+state.+changed )|(ment ac)|(multiple cpu faults)|(system.+state.+changed )|(\[timeout)|(PRM\|1\|D)|(kpr)|(kdp)|(train st.+moving)|(\|lc)|(penalty))"</v>
      </c>
      <c r="AG205" s="1" t="str">
        <f t="shared" si="76"/>
        <v>Other</v>
      </c>
      <c r="AH205" s="81" t="str">
        <f t="shared" si="77"/>
        <v>"%USERPROFILE%\Documents\GitHub\eaglep3\Utilities\RefineRTDCRunTimes.py" --tripid 54-11 --locoid 4013 --swversion DE.1.0.9.0 --startMP 300:30939 --initTime 2017-05-11T05:26:42 --startdatetime 2017-05-11T05:57:08 --delay 1 --endMP 204:144 --enddatetime 2017-05-11T06:05:25 --enforcementcount 0 &gt;&gt;C:\Users\stu\Documents\GitHub\eaglep3-reporting\EC\2017-05-11-refined-times.txt</v>
      </c>
      <c r="AI205" s="99" t="str">
        <f t="shared" si="78"/>
        <v>echo {"issue":{"subject":"","project_id":79,"tracker_id":40,"status_id":1,"priority_id":2,"assigned_to_id":23,"start_date":"2017-05-11","description":"","custom_fields":[{"id":1,"name":"Subdivision","value":"Other"},{"id":4,"name":"Milepost","value":"0.0144"},{"id":17,"name":"Train ID","value":"54-11"},{"id":16,"name":"Locomotive ID","value":"4013"},{"id":130,"name":"Impact","value":""},{"id":150,"name":"Time of Event (Mountain Time)","value":"06:05:25"},{"id":151,"name":"Denver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79"/>
        <v>start /low /b %USERPROFILE%\Documents\GitHub\eaglep3\Utilities\DownloadLogsFromS3.py --loco 4013 --day 2017-05-11</v>
      </c>
      <c r="AN205" s="154" t="str">
        <f t="shared" si="80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572</v>
      </c>
      <c r="B206" s="7">
        <v>4013</v>
      </c>
      <c r="C206" s="21" t="s">
        <v>206</v>
      </c>
      <c r="D206" s="21" t="s">
        <v>919</v>
      </c>
      <c r="E206" s="13">
        <v>42866.20752314815</v>
      </c>
      <c r="F206" s="13">
        <v>42866.228252314817</v>
      </c>
      <c r="G206" s="7">
        <v>1</v>
      </c>
      <c r="H206" s="21" t="s">
        <v>920</v>
      </c>
      <c r="I206" s="13">
        <v>42866.233993055554</v>
      </c>
      <c r="J206" s="7">
        <v>0</v>
      </c>
      <c r="K206" s="92" t="str">
        <f t="shared" ref="K206:K249" si="125">IF(ISEVEN(B206),(B206-1)&amp;"/"&amp;B206,B206&amp;"/"&amp;(B206+1))</f>
        <v>4013/4014</v>
      </c>
      <c r="L206" s="21" t="str">
        <f>VLOOKUP(A206,'Trips&amp;Operators'!$C$1:$G$99999,5,FALSE)</f>
        <v>ACKERMAN JARED</v>
      </c>
      <c r="M206" s="6">
        <f t="shared" ref="M206:M249" si="126">I206-F206</f>
        <v>5.7407407366554253E-3</v>
      </c>
      <c r="N206" s="7">
        <f t="shared" si="104"/>
        <v>8.2666666607838124</v>
      </c>
      <c r="O206" s="7"/>
      <c r="P206" s="7"/>
      <c r="Q206" s="22"/>
      <c r="R206" s="190"/>
      <c r="S206" s="196">
        <f t="shared" si="106"/>
        <v>0</v>
      </c>
      <c r="T206" s="190" t="e">
        <f t="shared" ref="T206:T249" si="127">IF(ISEVEN(LEFT(AD206,4)),"Southbound","NorthBound")</f>
        <v>#VALUE!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1" t="str">
        <f t="shared" ref="V206:V249" si="128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-05-11T03:58:50-0600',mode:absolute,to:'2017-05-11T06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6" s="192" t="str">
        <f t="shared" ref="W206:W249" si="129">IF(AA206&lt;IF(AG206="EC",23,5.65),"Y","N")</f>
        <v>Y</v>
      </c>
      <c r="X206" s="192" t="e">
        <f t="shared" si="84"/>
        <v>#VALUE!</v>
      </c>
      <c r="Y206" s="192">
        <f t="shared" ref="Y206:Y249" si="130">RIGHT(D206,LEN(D206)-4)/10000</f>
        <v>3.0966</v>
      </c>
      <c r="Z206" s="192">
        <f t="shared" si="85"/>
        <v>1.4E-2</v>
      </c>
      <c r="AA206" s="192">
        <f t="shared" ref="AA206:AA269" si="131">ABS(Z206-Y206)</f>
        <v>3.0826000000000002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ref="AD206:AD249" si="132">IF(LEN(A206)=6,"0"&amp;A206,A206)</f>
        <v>54-11</v>
      </c>
      <c r="AE206" s="80" t="str">
        <f t="shared" ref="AE206:AE249" si="133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06" s="77" t="str">
        <f t="shared" ref="AF206:AF249" si="134"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/stypes="app*4013*20170511*" /stext=" 11:.+((SYSTEM_STATE.+slice.+state.+changed )|(ment ac)|(multiple cpu faults)|(system.+state.+changed )|(\[timeout)|(PRM\|1\|D)|(kpr)|(kdp)|(train st.+moving)|(\|lc)|(penalty))"</v>
      </c>
      <c r="AG206" s="1" t="str">
        <f t="shared" ref="AG206:AG249" si="135">IFERROR(IF(VALUE(LEFT(AD206,2))&lt;=2,"EC",IF(OR(VALUE(LEFT(AD206,2))=8,VALUE(LEFT(AD206,2))=18),"NW","Other")),"Other")</f>
        <v>Other</v>
      </c>
      <c r="AH206" s="81" t="str">
        <f t="shared" ref="AH206:AH249" si="136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54-11 --locoid 4013 --swversion DE.1.0.9.0 --startMP 300:30966 --initTime 2017-05-11T04:58:50 --startdatetime 2017-05-11T05:28:41 --delay 1 --endMP 204:140 --enddatetime 2017-05-11T05:36:57 --enforcementcount 0 &gt;&gt;C:\Users\stu\Documents\GitHub\eaglep3-reporting\EC\2017-05-11-refined-times.txt</v>
      </c>
      <c r="AI206" s="99" t="str">
        <f t="shared" ref="AI206:AI249" si="137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{"issue":{"subject":"","project_id":79,"tracker_id":40,"status_id":1,"priority_id":2,"assigned_to_id":23,"start_date":"2017-05-11","description":"","custom_fields":[{"id":1,"name":"Subdivision","value":"Other"},{"id":4,"name":"Milepost","value":"0.014"},{"id":17,"name":"Train ID","value":"54-11"},{"id":16,"name":"Locomotive ID","value":"4013"},{"id":130,"name":"Impact","value":""},{"id":150,"name":"Time of Event (Mountain Time)","value":"05:36:57"},{"id":151,"name":"Denver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ref="AM206:AM249" si="138">"start /low /b "&amp;dls3logs&amp;" --loco "&amp;B206&amp;" --day "&amp;TEXT(F206,"YYYY-MM-DD")</f>
        <v>start /low /b %USERPROFILE%\Documents\GitHub\eaglep3\Utilities\DownloadLogsFromS3.py --loco 4013 --day 2017-05-11</v>
      </c>
      <c r="AN206" s="154" t="str">
        <f t="shared" ref="AN206:AN249" si="139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11:36:57"},{"id":29,"name":"Sharepoint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572</v>
      </c>
      <c r="B207" s="7">
        <v>4013</v>
      </c>
      <c r="C207" s="21" t="s">
        <v>206</v>
      </c>
      <c r="D207" s="21" t="s">
        <v>921</v>
      </c>
      <c r="E207" s="13">
        <v>42866.190451388888</v>
      </c>
      <c r="F207" s="13">
        <v>42866.20921296296</v>
      </c>
      <c r="G207" s="7">
        <v>1</v>
      </c>
      <c r="H207" s="21" t="s">
        <v>922</v>
      </c>
      <c r="I207" s="13">
        <v>42866.217083333337</v>
      </c>
      <c r="J207" s="7">
        <v>0</v>
      </c>
      <c r="K207" s="92" t="str">
        <f t="shared" si="125"/>
        <v>4013/4014</v>
      </c>
      <c r="L207" s="21" t="str">
        <f>VLOOKUP(A207,'Trips&amp;Operators'!$C$1:$G$99999,5,FALSE)</f>
        <v>ACKERMAN JARED</v>
      </c>
      <c r="M207" s="6">
        <f t="shared" si="126"/>
        <v>7.8703703766223043E-3</v>
      </c>
      <c r="N207" s="7">
        <f t="shared" si="104"/>
        <v>11.333333342336118</v>
      </c>
      <c r="O207" s="7"/>
      <c r="P207" s="7"/>
      <c r="Q207" s="22"/>
      <c r="R207" s="190"/>
      <c r="S207" s="196">
        <f t="shared" si="106"/>
        <v>0</v>
      </c>
      <c r="T207" s="190" t="e">
        <f t="shared" si="127"/>
        <v>#VALUE!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1" t="str">
        <f t="shared" si="128"/>
        <v>https://d0f6bd738d7f1b3e5a7ca70fe4ff75f0.us-east-1.aws.found.io/app/kibana#/discover/Steve-Slow-Train-Analysis-(2080s-and-2083s)?_g=(refreshInterval:(display:Off,pause:!f,section:0,value:0),time:(from:'2017-05-11T03:34:15-0600',mode:absolute,to:'2017-05-11T06:12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7" s="192" t="str">
        <f t="shared" si="129"/>
        <v>Y</v>
      </c>
      <c r="X207" s="192" t="e">
        <f t="shared" si="84"/>
        <v>#VALUE!</v>
      </c>
      <c r="Y207" s="192">
        <f t="shared" si="130"/>
        <v>3.0968</v>
      </c>
      <c r="Z207" s="192">
        <f t="shared" si="85"/>
        <v>1.4158999999999999</v>
      </c>
      <c r="AA207" s="192">
        <f t="shared" si="131"/>
        <v>1.6809000000000001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32"/>
        <v>54-11</v>
      </c>
      <c r="AE207" s="80" t="str">
        <f t="shared" si="133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07" s="77" t="str">
        <f t="shared" si="134"/>
        <v>"C:\Program Files (x86)\AstroGrep\AstroGrep.exe" /e /r /s /spath="%USERPROFILE%\AppData\Local\Temp\OnboardLogs" /stypes="app*4013*20170511*" /stext=" 11:.+((SYSTEM_STATE.+slice.+state.+changed )|(ment ac)|(multiple cpu faults)|(system.+state.+changed )|(\[timeout)|(PRM\|1\|D)|(kpr)|(kdp)|(train st.+moving)|(\|lc)|(penalty))"</v>
      </c>
      <c r="AG207" s="1" t="str">
        <f t="shared" si="135"/>
        <v>Other</v>
      </c>
      <c r="AH207" s="81" t="str">
        <f t="shared" si="136"/>
        <v>"%USERPROFILE%\Documents\GitHub\eaglep3\Utilities\RefineRTDCRunTimes.py" --tripid 54-11 --locoid 4013 --swversion DE.1.0.9.0 --startMP 300:30968 --initTime 2017-05-11T04:34:15 --startdatetime 2017-05-11T05:01:16 --delay 1 --endMP 300:14159 --enddatetime 2017-05-11T05:12:36 --enforcementcount 0 &gt;&gt;C:\Users\stu\Documents\GitHub\eaglep3-reporting\EC\2017-05-11-refined-times.txt</v>
      </c>
      <c r="AI207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{"issue":{"subject":"","project_id":79,"tracker_id":40,"status_id":1,"priority_id":2,"assigned_to_id":23,"start_date":"2017-05-11","description":"","custom_fields":[{"id":1,"name":"Subdivision","value":"Other"},{"id":4,"name":"Milepost","value":"1.4159"},{"id":17,"name":"Train ID","value":"54-11"},{"id":16,"name":"Locomotive ID","value":"4013"},{"id":130,"name":"Impact","value":""},{"id":150,"name":"Time of Event (Mountain Time)","value":"05:12:36"},{"id":151,"name":"Denver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38"/>
        <v>start /low /b %USERPROFILE%\Documents\GitHub\eaglep3\Utilities\DownloadLogsFromS3.py --loco 4013 --day 2017-05-11</v>
      </c>
      <c r="AN207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11:12:36"},{"id":29,"name":"Sharepoint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572</v>
      </c>
      <c r="B208" s="7">
        <v>4013</v>
      </c>
      <c r="C208" s="21" t="s">
        <v>206</v>
      </c>
      <c r="D208" s="21" t="s">
        <v>923</v>
      </c>
      <c r="E208" s="13">
        <v>42866.296215277776</v>
      </c>
      <c r="F208" s="13">
        <v>42866.318703703706</v>
      </c>
      <c r="G208" s="7">
        <v>1</v>
      </c>
      <c r="H208" s="21" t="s">
        <v>478</v>
      </c>
      <c r="I208" s="13">
        <v>42866.324386574073</v>
      </c>
      <c r="J208" s="7">
        <v>0</v>
      </c>
      <c r="K208" s="92" t="str">
        <f t="shared" si="125"/>
        <v>4013/4014</v>
      </c>
      <c r="L208" s="21" t="str">
        <f>VLOOKUP(A208,'Trips&amp;Operators'!$C$1:$G$99999,5,FALSE)</f>
        <v>ACKERMAN JARED</v>
      </c>
      <c r="M208" s="6">
        <f t="shared" si="126"/>
        <v>5.6828703673090786E-3</v>
      </c>
      <c r="N208" s="7">
        <f t="shared" si="104"/>
        <v>8.1833333289250731</v>
      </c>
      <c r="O208" s="7"/>
      <c r="P208" s="7"/>
      <c r="Q208" s="22"/>
      <c r="R208" s="190"/>
      <c r="S208" s="196">
        <f t="shared" si="106"/>
        <v>0</v>
      </c>
      <c r="T208" s="190" t="e">
        <f t="shared" si="127"/>
        <v>#VALUE!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1" t="str">
        <f t="shared" si="128"/>
        <v>https://d0f6bd738d7f1b3e5a7ca70fe4ff75f0.us-east-1.aws.found.io/app/kibana#/discover/Steve-Slow-Train-Analysis-(2080s-and-2083s)?_g=(refreshInterval:(display:Off,pause:!f,section:0,value:0),time:(from:'2017-05-11T06:06:33-0600',mode:absolute,to:'2017-05-11T08:47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8" s="192" t="str">
        <f t="shared" si="129"/>
        <v>Y</v>
      </c>
      <c r="X208" s="192" t="e">
        <f t="shared" si="84"/>
        <v>#VALUE!</v>
      </c>
      <c r="Y208" s="192">
        <f t="shared" si="130"/>
        <v>3.0972</v>
      </c>
      <c r="Z208" s="192">
        <f t="shared" si="85"/>
        <v>1.7600000000000001E-2</v>
      </c>
      <c r="AA208" s="192">
        <f t="shared" si="131"/>
        <v>3.0796000000000001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32"/>
        <v>54-11</v>
      </c>
      <c r="AE208" s="80" t="str">
        <f t="shared" si="133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08" s="77" t="str">
        <f t="shared" si="134"/>
        <v>"C:\Program Files (x86)\AstroGrep\AstroGrep.exe" /e /r /s /spath="%USERPROFILE%\AppData\Local\Temp\OnboardLogs" /stypes="app*4013*20170511*" /stext=" 13:.+((SYSTEM_STATE.+slice.+state.+changed )|(ment ac)|(multiple cpu faults)|(system.+state.+changed )|(\[timeout)|(PRM\|1\|D)|(kpr)|(kdp)|(train st.+moving)|(\|lc)|(penalty))"</v>
      </c>
      <c r="AG208" s="1" t="str">
        <f t="shared" si="135"/>
        <v>Other</v>
      </c>
      <c r="AH208" s="81" t="str">
        <f t="shared" si="136"/>
        <v>"%USERPROFILE%\Documents\GitHub\eaglep3\Utilities\RefineRTDCRunTimes.py" --tripid 54-11 --locoid 4013 --swversion DE.1.0.9.0 --startMP 300:30972 --initTime 2017-05-11T07:06:33 --startdatetime 2017-05-11T07:38:56 --delay 1 --endMP 204:176 --enddatetime 2017-05-11T07:47:07 --enforcementcount 0 &gt;&gt;C:\Users\stu\Documents\GitHub\eaglep3-reporting\EC\2017-05-11-refined-times.txt</v>
      </c>
      <c r="AI208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{"issue":{"subject":"","project_id":79,"tracker_id":40,"status_id":1,"priority_id":2,"assigned_to_id":23,"start_date":"2017-05-11","description":"","custom_fields":[{"id":1,"name":"Subdivision","value":"Other"},{"id":4,"name":"Milepost","value":"0.0176"},{"id":17,"name":"Train ID","value":"54-11"},{"id":16,"name":"Locomotive ID","value":"4013"},{"id":130,"name":"Impact","value":""},{"id":150,"name":"Time of Event (Mountain Time)","value":"07:47:07"},{"id":151,"name":"Denver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38"/>
        <v>start /low /b %USERPROFILE%\Documents\GitHub\eaglep3\Utilities\DownloadLogsFromS3.py --loco 4013 --day 2017-05-11</v>
      </c>
      <c r="AN208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13:47:07"},{"id":29,"name":"Sharepoint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572</v>
      </c>
      <c r="B209" s="7">
        <v>4013</v>
      </c>
      <c r="C209" s="21" t="s">
        <v>206</v>
      </c>
      <c r="D209" s="21" t="s">
        <v>924</v>
      </c>
      <c r="E209" s="13">
        <v>42866.246666666666</v>
      </c>
      <c r="F209" s="13">
        <v>42866.273553240739</v>
      </c>
      <c r="G209" s="7">
        <v>1</v>
      </c>
      <c r="H209" s="21" t="s">
        <v>348</v>
      </c>
      <c r="I209" s="13">
        <v>42866.27721064815</v>
      </c>
      <c r="J209" s="7">
        <v>0</v>
      </c>
      <c r="K209" s="92" t="str">
        <f t="shared" si="125"/>
        <v>4013/4014</v>
      </c>
      <c r="L209" s="21" t="str">
        <f>VLOOKUP(A209,'Trips&amp;Operators'!$C$1:$G$99999,5,FALSE)</f>
        <v>ACKERMAN JARED</v>
      </c>
      <c r="M209" s="6">
        <f t="shared" si="126"/>
        <v>3.6574074110831134E-3</v>
      </c>
      <c r="N209" s="7">
        <f t="shared" si="104"/>
        <v>5.2666666719596833</v>
      </c>
      <c r="O209" s="7"/>
      <c r="P209" s="7"/>
      <c r="Q209" s="22"/>
      <c r="R209" s="190"/>
      <c r="S209" s="196">
        <f t="shared" si="106"/>
        <v>0</v>
      </c>
      <c r="T209" s="190" t="e">
        <f t="shared" si="127"/>
        <v>#VALUE!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1" t="str">
        <f t="shared" si="128"/>
        <v>https://d0f6bd738d7f1b3e5a7ca70fe4ff75f0.us-east-1.aws.found.io/app/kibana#/discover/Steve-Slow-Train-Analysis-(2080s-and-2083s)?_g=(refreshInterval:(display:Off,pause:!f,section:0,value:0),time:(from:'2017-05-11T04:55:12-0600',mode:absolute,to:'2017-05-11T07:39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9" s="192" t="str">
        <f t="shared" si="129"/>
        <v>Y</v>
      </c>
      <c r="X209" s="192" t="e">
        <f t="shared" si="84"/>
        <v>#VALUE!</v>
      </c>
      <c r="Y209" s="192">
        <f t="shared" si="130"/>
        <v>3.0973999999999999</v>
      </c>
      <c r="Z209" s="192">
        <f t="shared" si="85"/>
        <v>1.38E-2</v>
      </c>
      <c r="AA209" s="192">
        <f t="shared" si="131"/>
        <v>3.0836000000000001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32"/>
        <v>54-11</v>
      </c>
      <c r="AE209" s="80" t="str">
        <f t="shared" si="133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09" s="77" t="str">
        <f t="shared" si="134"/>
        <v>"C:\Program Files (x86)\AstroGrep\AstroGrep.exe" /e /r /s /spath="%USERPROFILE%\AppData\Local\Temp\OnboardLogs" /stypes="app*4013*20170511*" /stext=" 12:.+((SYSTEM_STATE.+slice.+state.+changed )|(ment ac)|(multiple cpu faults)|(system.+state.+changed )|(\[timeout)|(PRM\|1\|D)|(kpr)|(kdp)|(train st.+moving)|(\|lc)|(penalty))"</v>
      </c>
      <c r="AG209" s="1" t="str">
        <f t="shared" si="135"/>
        <v>Other</v>
      </c>
      <c r="AH209" s="81" t="str">
        <f t="shared" si="136"/>
        <v>"%USERPROFILE%\Documents\GitHub\eaglep3\Utilities\RefineRTDCRunTimes.py" --tripid 54-11 --locoid 4013 --swversion DE.1.0.9.0 --startMP 300:30974 --initTime 2017-05-11T05:55:12 --startdatetime 2017-05-11T06:33:55 --delay 1 --endMP 204:138 --enddatetime 2017-05-11T06:39:11 --enforcementcount 0 &gt;&gt;C:\Users\stu\Documents\GitHub\eaglep3-reporting\EC\2017-05-11-refined-times.txt</v>
      </c>
      <c r="AI209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{"issue":{"subject":"","project_id":79,"tracker_id":40,"status_id":1,"priority_id":2,"assigned_to_id":23,"start_date":"2017-05-11","description":"","custom_fields":[{"id":1,"name":"Subdivision","value":"Other"},{"id":4,"name":"Milepost","value":"0.0138"},{"id":17,"name":"Train ID","value":"54-11"},{"id":16,"name":"Locomotive ID","value":"4013"},{"id":130,"name":"Impact","value":""},{"id":150,"name":"Time of Event (Mountain Time)","value":"06:39:11"},{"id":151,"name":"Denver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38"/>
        <v>start /low /b %USERPROFILE%\Documents\GitHub\eaglep3\Utilities\DownloadLogsFromS3.py --loco 4013 --day 2017-05-11</v>
      </c>
      <c r="AN209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12:39:11"},{"id":29,"name":"Sharepoint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572</v>
      </c>
      <c r="B210" s="7">
        <v>4013</v>
      </c>
      <c r="C210" s="21" t="s">
        <v>206</v>
      </c>
      <c r="D210" s="21" t="s">
        <v>925</v>
      </c>
      <c r="E210" s="13">
        <v>42866.31659722222</v>
      </c>
      <c r="F210" s="13">
        <v>42866.318703703706</v>
      </c>
      <c r="G210" s="7">
        <v>2</v>
      </c>
      <c r="H210" s="21" t="s">
        <v>481</v>
      </c>
      <c r="I210" s="13">
        <v>42866.324386574073</v>
      </c>
      <c r="J210" s="7">
        <v>0</v>
      </c>
      <c r="K210" s="92" t="str">
        <f t="shared" si="125"/>
        <v>4013/4014</v>
      </c>
      <c r="L210" s="21" t="str">
        <f>VLOOKUP(A210,'Trips&amp;Operators'!$C$1:$G$99999,5,FALSE)</f>
        <v>ACKERMAN JARED</v>
      </c>
      <c r="M210" s="6">
        <f t="shared" si="126"/>
        <v>5.6828703673090786E-3</v>
      </c>
      <c r="N210" s="7">
        <f t="shared" si="104"/>
        <v>8.1833333289250731</v>
      </c>
      <c r="O210" s="7"/>
      <c r="P210" s="7"/>
      <c r="Q210" s="22"/>
      <c r="R210" s="190"/>
      <c r="S210" s="196">
        <f t="shared" si="106"/>
        <v>0</v>
      </c>
      <c r="T210" s="190" t="e">
        <f t="shared" si="127"/>
        <v>#VALUE!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1" t="str">
        <f t="shared" si="128"/>
        <v>https://d0f6bd738d7f1b3e5a7ca70fe4ff75f0.us-east-1.aws.found.io/app/kibana#/discover/Steve-Slow-Train-Analysis-(2080s-and-2083s)?_g=(refreshInterval:(display:Off,pause:!f,section:0,value:0),time:(from:'2017-05-11T06:35:54-0600',mode:absolute,to:'2017-05-11T08:47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0" s="192" t="str">
        <f t="shared" si="129"/>
        <v>Y</v>
      </c>
      <c r="X210" s="192" t="e">
        <f t="shared" si="84"/>
        <v>#VALUE!</v>
      </c>
      <c r="Y210" s="192">
        <f t="shared" si="130"/>
        <v>3.1030000000000002</v>
      </c>
      <c r="Z210" s="192">
        <f t="shared" si="85"/>
        <v>1.4200000000000001E-2</v>
      </c>
      <c r="AA210" s="192">
        <f t="shared" si="131"/>
        <v>3.0888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32"/>
        <v>54-11</v>
      </c>
      <c r="AE210" s="80" t="str">
        <f t="shared" si="133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10" s="77" t="str">
        <f t="shared" si="134"/>
        <v>"C:\Program Files (x86)\AstroGrep\AstroGrep.exe" /e /r /s /spath="%USERPROFILE%\AppData\Local\Temp\OnboardLogs" /stypes="app*4013*20170511*" /stext=" 13:.+((SYSTEM_STATE.+slice.+state.+changed )|(ment ac)|(multiple cpu faults)|(system.+state.+changed )|(\[timeout)|(PRM\|1\|D)|(kpr)|(kdp)|(train st.+moving)|(\|lc)|(penalty))"</v>
      </c>
      <c r="AG210" s="1" t="str">
        <f t="shared" si="135"/>
        <v>Other</v>
      </c>
      <c r="AH210" s="81" t="str">
        <f t="shared" si="136"/>
        <v>"%USERPROFILE%\Documents\GitHub\eaglep3\Utilities\RefineRTDCRunTimes.py" --tripid 54-11 --locoid 4013 --swversion DE.1.0.9.0 --startMP 300:31030 --initTime 2017-05-11T07:35:54 --startdatetime 2017-05-11T07:38:56 --delay 2 --endMP 204:142 --enddatetime 2017-05-11T07:47:07 --enforcementcount 0 &gt;&gt;C:\Users\stu\Documents\GitHub\eaglep3-reporting\EC\2017-05-11-refined-times.txt</v>
      </c>
      <c r="AI210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{"issue":{"subject":"","project_id":79,"tracker_id":40,"status_id":1,"priority_id":2,"assigned_to_id":23,"start_date":"2017-05-11","description":"","custom_fields":[{"id":1,"name":"Subdivision","value":"Other"},{"id":4,"name":"Milepost","value":"0.0142"},{"id":17,"name":"Train ID","value":"54-11"},{"id":16,"name":"Locomotive ID","value":"4013"},{"id":130,"name":"Impact","value":""},{"id":150,"name":"Time of Event (Mountain Time)","value":"07:47:07"},{"id":151,"name":"Denver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38"/>
        <v>start /low /b %USERPROFILE%\Documents\GitHub\eaglep3\Utilities\DownloadLogsFromS3.py --loco 4013 --day 2017-05-11</v>
      </c>
      <c r="AN210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13:47:07"},{"id":29,"name":"Sharepoint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614</v>
      </c>
      <c r="B211" s="7">
        <v>4014</v>
      </c>
      <c r="C211" s="21" t="s">
        <v>206</v>
      </c>
      <c r="D211" s="21" t="s">
        <v>524</v>
      </c>
      <c r="E211" s="13">
        <v>42866.256527777776</v>
      </c>
      <c r="F211" s="13">
        <v>42866.290416666663</v>
      </c>
      <c r="G211" s="7">
        <v>1</v>
      </c>
      <c r="H211" s="21" t="s">
        <v>926</v>
      </c>
      <c r="I211" s="13">
        <v>42866.295439814814</v>
      </c>
      <c r="J211" s="7">
        <v>0</v>
      </c>
      <c r="K211" s="92" t="str">
        <f t="shared" si="125"/>
        <v>4013/4014</v>
      </c>
      <c r="L211" s="21" t="str">
        <f>VLOOKUP(A211,'Trips&amp;Operators'!$C$1:$G$99999,5,FALSE)</f>
        <v>ACKERMAN JARED</v>
      </c>
      <c r="M211" s="6">
        <f t="shared" si="126"/>
        <v>5.02314815093996E-3</v>
      </c>
      <c r="N211" s="7">
        <f t="shared" si="104"/>
        <v>7.2333333373535424</v>
      </c>
      <c r="O211" s="7"/>
      <c r="P211" s="7"/>
      <c r="Q211" s="22"/>
      <c r="R211" s="190"/>
      <c r="S211" s="196">
        <f t="shared" si="106"/>
        <v>0</v>
      </c>
      <c r="T211" s="190" t="e">
        <f t="shared" si="127"/>
        <v>#VALUE!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1" t="str">
        <f t="shared" si="128"/>
        <v>https://d0f6bd738d7f1b3e5a7ca70fe4ff75f0.us-east-1.aws.found.io/app/kibana#/discover/Steve-Slow-Train-Analysis-(2080s-and-2083s)?_g=(refreshInterval:(display:Off,pause:!f,section:0,value:0),time:(from:'2017-05-11T05:09:24-0600',mode:absolute,to:'2017-05-11T08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1" s="192" t="str">
        <f t="shared" si="129"/>
        <v>Y</v>
      </c>
      <c r="X211" s="192" t="e">
        <f t="shared" si="84"/>
        <v>#VALUE!</v>
      </c>
      <c r="Y211" s="192">
        <f t="shared" si="130"/>
        <v>4.24E-2</v>
      </c>
      <c r="Z211" s="192">
        <f t="shared" si="85"/>
        <v>1.4511000000000001</v>
      </c>
      <c r="AA211" s="192">
        <f t="shared" si="131"/>
        <v>1.4087000000000001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132"/>
        <v>55-11</v>
      </c>
      <c r="AE211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11" s="77" t="str">
        <f t="shared" si="134"/>
        <v>"C:\Program Files (x86)\AstroGrep\AstroGrep.exe" /e /r /s /spath="%USERPROFILE%\AppData\Local\Temp\OnboardLogs" /stypes="app*4014*20170511*" /stext=" 13:.+((SYSTEM_STATE.+slice.+state.+changed )|(ment ac)|(multiple cpu faults)|(system.+state.+changed )|(\[timeout)|(PRM\|1\|D)|(kpr)|(kdp)|(train st.+moving)|(\|lc)|(penalty))"</v>
      </c>
      <c r="AG211" s="1" t="str">
        <f t="shared" si="135"/>
        <v>Other</v>
      </c>
      <c r="AH211" s="81" t="str">
        <f t="shared" si="136"/>
        <v>"%USERPROFILE%\Documents\GitHub\eaglep3\Utilities\RefineRTDCRunTimes.py" --tripid 55-11 --locoid 4014 --swversion DE.1.0.9.0 --startMP 204:424 --initTime 2017-05-11T06:09:24 --startdatetime 2017-05-11T06:58:12 --delay 1 --endMP 300:14511 --enddatetime 2017-05-11T07:05:26 --enforcementcount 0 &gt;&gt;C:\Users\stu\Documents\GitHub\eaglep3-reporting\EC\2017-05-11-refined-times.txt</v>
      </c>
      <c r="AI211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{"issue":{"subject":"","project_id":79,"tracker_id":40,"status_id":1,"priority_id":2,"assigned_to_id":23,"start_date":"2017-05-11","description":"","custom_fields":[{"id":1,"name":"Subdivision","value":"Other"},{"id":4,"name":"Milepost","value":"1.4511"},{"id":17,"name":"Train ID","value":"55-11"},{"id":16,"name":"Locomotive ID","value":"4014"},{"id":130,"name":"Impact","value":""},{"id":150,"name":"Time of Event (Mountain Time)","value":"07:05:26"},{"id":151,"name":"Denver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38"/>
        <v>start /low /b %USERPROFILE%\Documents\GitHub\eaglep3\Utilities\DownloadLogsFromS3.py --loco 4014 --day 2017-05-11</v>
      </c>
      <c r="AN211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614</v>
      </c>
      <c r="B212" s="7">
        <v>4014</v>
      </c>
      <c r="C212" s="21" t="s">
        <v>206</v>
      </c>
      <c r="D212" s="21" t="s">
        <v>524</v>
      </c>
      <c r="E212" s="13">
        <v>42866.278321759259</v>
      </c>
      <c r="F212" s="13">
        <v>42866.310740740744</v>
      </c>
      <c r="G212" s="7">
        <v>1</v>
      </c>
      <c r="H212" s="21" t="s">
        <v>927</v>
      </c>
      <c r="I212" s="13">
        <v>42866.315879629627</v>
      </c>
      <c r="J212" s="7">
        <v>0</v>
      </c>
      <c r="K212" s="92" t="str">
        <f t="shared" si="125"/>
        <v>4013/4014</v>
      </c>
      <c r="L212" s="21" t="str">
        <f>VLOOKUP(A212,'Trips&amp;Operators'!$C$1:$G$99999,5,FALSE)</f>
        <v>ACKERMAN JARED</v>
      </c>
      <c r="M212" s="6">
        <f t="shared" si="126"/>
        <v>5.1388888823566958E-3</v>
      </c>
      <c r="N212" s="7">
        <f t="shared" si="104"/>
        <v>7.399999990593642</v>
      </c>
      <c r="O212" s="7"/>
      <c r="P212" s="7"/>
      <c r="Q212" s="22"/>
      <c r="R212" s="190"/>
      <c r="S212" s="196">
        <f t="shared" si="106"/>
        <v>0</v>
      </c>
      <c r="T212" s="190" t="e">
        <f t="shared" si="127"/>
        <v>#VALUE!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1" t="str">
        <f t="shared" si="128"/>
        <v>https://d0f6bd738d7f1b3e5a7ca70fe4ff75f0.us-east-1.aws.found.io/app/kibana#/discover/Steve-Slow-Train-Analysis-(2080s-and-2083s)?_g=(refreshInterval:(display:Off,pause:!f,section:0,value:0),time:(from:'2017-05-11T05:40:47-0600',mode:absolute,to:'2017-05-11T08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2" s="192" t="str">
        <f t="shared" si="129"/>
        <v>Y</v>
      </c>
      <c r="X212" s="192" t="e">
        <f t="shared" si="84"/>
        <v>#VALUE!</v>
      </c>
      <c r="Y212" s="192">
        <f t="shared" si="130"/>
        <v>4.24E-2</v>
      </c>
      <c r="Z212" s="192">
        <f t="shared" si="85"/>
        <v>3.129</v>
      </c>
      <c r="AA212" s="192">
        <f t="shared" si="131"/>
        <v>3.0865999999999998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32"/>
        <v>55-11</v>
      </c>
      <c r="AE212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12" s="77" t="str">
        <f t="shared" si="134"/>
        <v>"C:\Program Files (x86)\AstroGrep\AstroGrep.exe" /e /r /s /spath="%USERPROFILE%\AppData\Local\Temp\OnboardLogs" /stypes="app*4014*20170511*" /stext=" 13:.+((SYSTEM_STATE.+slice.+state.+changed )|(ment ac)|(multiple cpu faults)|(system.+state.+changed )|(\[timeout)|(PRM\|1\|D)|(kpr)|(kdp)|(train st.+moving)|(\|lc)|(penalty))"</v>
      </c>
      <c r="AG212" s="1" t="str">
        <f t="shared" si="135"/>
        <v>Other</v>
      </c>
      <c r="AH212" s="81" t="str">
        <f t="shared" si="136"/>
        <v>"%USERPROFILE%\Documents\GitHub\eaglep3\Utilities\RefineRTDCRunTimes.py" --tripid 55-11 --locoid 4014 --swversion DE.1.0.9.0 --startMP 204:424 --initTime 2017-05-11T06:40:47 --startdatetime 2017-05-11T07:27:28 --delay 1 --endMP 300:31290 --enddatetime 2017-05-11T07:34:52 --enforcementcount 0 &gt;&gt;C:\Users\stu\Documents\GitHub\eaglep3-reporting\EC\2017-05-11-refined-times.txt</v>
      </c>
      <c r="AI212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{"issue":{"subject":"","project_id":79,"tracker_id":40,"status_id":1,"priority_id":2,"assigned_to_id":23,"start_date":"2017-05-11","description":"","custom_fields":[{"id":1,"name":"Subdivision","value":"Other"},{"id":4,"name":"Milepost","value":"3.129"},{"id":17,"name":"Train ID","value":"55-11"},{"id":16,"name":"Locomotive ID","value":"4014"},{"id":130,"name":"Impact","value":""},{"id":150,"name":"Time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38"/>
        <v>start /low /b %USERPROFILE%\Documents\GitHub\eaglep3\Utilities\DownloadLogsFromS3.py --loco 4014 --day 2017-05-11</v>
      </c>
      <c r="AN212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614</v>
      </c>
      <c r="B213" s="7">
        <v>4014</v>
      </c>
      <c r="C213" s="21" t="s">
        <v>206</v>
      </c>
      <c r="D213" s="21" t="s">
        <v>928</v>
      </c>
      <c r="E213" s="13">
        <v>42866.254884259259</v>
      </c>
      <c r="F213" s="13">
        <v>42866.290416666663</v>
      </c>
      <c r="G213" s="7">
        <v>1</v>
      </c>
      <c r="H213" s="21" t="s">
        <v>926</v>
      </c>
      <c r="I213" s="13">
        <v>42866.295439814814</v>
      </c>
      <c r="J213" s="7">
        <v>0</v>
      </c>
      <c r="K213" s="92" t="str">
        <f t="shared" si="125"/>
        <v>4013/4014</v>
      </c>
      <c r="L213" s="21" t="str">
        <f>VLOOKUP(A213,'Trips&amp;Operators'!$C$1:$G$99999,5,FALSE)</f>
        <v>ACKERMAN JARED</v>
      </c>
      <c r="M213" s="6">
        <f t="shared" si="126"/>
        <v>5.02314815093996E-3</v>
      </c>
      <c r="N213" s="7">
        <f t="shared" si="104"/>
        <v>7.2333333373535424</v>
      </c>
      <c r="O213" s="7"/>
      <c r="P213" s="7"/>
      <c r="Q213" s="22"/>
      <c r="R213" s="190"/>
      <c r="S213" s="196">
        <f t="shared" si="106"/>
        <v>0</v>
      </c>
      <c r="T213" s="190" t="e">
        <f t="shared" si="127"/>
        <v>#VALUE!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1" t="str">
        <f t="shared" si="128"/>
        <v>https://d0f6bd738d7f1b3e5a7ca70fe4ff75f0.us-east-1.aws.found.io/app/kibana#/discover/Steve-Slow-Train-Analysis-(2080s-and-2083s)?_g=(refreshInterval:(display:Off,pause:!f,section:0,value:0),time:(from:'2017-05-11T05:07:02-0600',mode:absolute,to:'2017-05-11T08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192" t="str">
        <f t="shared" si="129"/>
        <v>Y</v>
      </c>
      <c r="X213" s="192" t="e">
        <f t="shared" si="84"/>
        <v>#VALUE!</v>
      </c>
      <c r="Y213" s="192">
        <f t="shared" si="130"/>
        <v>4.3200000000000002E-2</v>
      </c>
      <c r="Z213" s="192">
        <f t="shared" si="85"/>
        <v>1.4511000000000001</v>
      </c>
      <c r="AA213" s="192">
        <f t="shared" si="131"/>
        <v>1.4079000000000002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32"/>
        <v>55-11</v>
      </c>
      <c r="AE213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13" s="77" t="str">
        <f t="shared" si="134"/>
        <v>"C:\Program Files (x86)\AstroGrep\AstroGrep.exe" /e /r /s /spath="%USERPROFILE%\AppData\Local\Temp\OnboardLogs" /stypes="app*4014*20170511*" /stext=" 13:.+((SYSTEM_STATE.+slice.+state.+changed )|(ment ac)|(multiple cpu faults)|(system.+state.+changed )|(\[timeout)|(PRM\|1\|D)|(kpr)|(kdp)|(train st.+moving)|(\|lc)|(penalty))"</v>
      </c>
      <c r="AG213" s="1" t="str">
        <f t="shared" si="135"/>
        <v>Other</v>
      </c>
      <c r="AH213" s="81" t="str">
        <f t="shared" si="136"/>
        <v>"%USERPROFILE%\Documents\GitHub\eaglep3\Utilities\RefineRTDCRunTimes.py" --tripid 55-11 --locoid 4014 --swversion DE.1.0.9.0 --startMP 204:432 --initTime 2017-05-11T06:07:02 --startdatetime 2017-05-11T06:58:12 --delay 1 --endMP 300:14511 --enddatetime 2017-05-11T07:05:26 --enforcementcount 0 &gt;&gt;C:\Users\stu\Documents\GitHub\eaglep3-reporting\EC\2017-05-11-refined-times.txt</v>
      </c>
      <c r="AI213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{"issue":{"subject":"","project_id":79,"tracker_id":40,"status_id":1,"priority_id":2,"assigned_to_id":23,"start_date":"2017-05-11","description":"","custom_fields":[{"id":1,"name":"Subdivision","value":"Other"},{"id":4,"name":"Milepost","value":"1.4511"},{"id":17,"name":"Train ID","value":"55-11"},{"id":16,"name":"Locomotive ID","value":"4014"},{"id":130,"name":"Impact","value":""},{"id":150,"name":"Time of Event (Mountain Time)","value":"07:05:26"},{"id":151,"name":"Denver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38"/>
        <v>start /low /b %USERPROFILE%\Documents\GitHub\eaglep3\Utilities\DownloadLogsFromS3.py --loco 4014 --day 2017-05-11</v>
      </c>
      <c r="AN213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13:05:26"},{"id":29,"name":"Sharepoint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614</v>
      </c>
      <c r="B214" s="7">
        <v>4014</v>
      </c>
      <c r="C214" s="21" t="s">
        <v>206</v>
      </c>
      <c r="D214" s="21" t="s">
        <v>474</v>
      </c>
      <c r="E214" s="13">
        <v>42866.218032407407</v>
      </c>
      <c r="F214" s="13">
        <v>42866.240798611114</v>
      </c>
      <c r="G214" s="7">
        <v>1</v>
      </c>
      <c r="H214" s="21" t="s">
        <v>929</v>
      </c>
      <c r="I214" s="13">
        <v>42866.245810185188</v>
      </c>
      <c r="J214" s="7">
        <v>0</v>
      </c>
      <c r="K214" s="92" t="str">
        <f t="shared" si="125"/>
        <v>4013/4014</v>
      </c>
      <c r="L214" s="21" t="str">
        <f>VLOOKUP(A214,'Trips&amp;Operators'!$C$1:$G$99999,5,FALSE)</f>
        <v>ACKERMAN JARED</v>
      </c>
      <c r="M214" s="6">
        <f t="shared" si="126"/>
        <v>5.0115740741603076E-3</v>
      </c>
      <c r="N214" s="7">
        <f t="shared" si="104"/>
        <v>7.216666666790843</v>
      </c>
      <c r="O214" s="7"/>
      <c r="P214" s="7"/>
      <c r="Q214" s="22"/>
      <c r="R214" s="190"/>
      <c r="S214" s="196">
        <f t="shared" si="106"/>
        <v>0</v>
      </c>
      <c r="T214" s="190" t="e">
        <f t="shared" si="127"/>
        <v>#VALUE!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128"/>
        <v>https://d0f6bd738d7f1b3e5a7ca70fe4ff75f0.us-east-1.aws.found.io/app/kibana#/discover/Steve-Slow-Train-Analysis-(2080s-and-2083s)?_g=(refreshInterval:(display:Off,pause:!f,section:0,value:0),time:(from:'2017-05-11T04:13:58-0600',mode:absolute,to:'2017-05-11T06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4" s="192" t="str">
        <f t="shared" si="129"/>
        <v>Y</v>
      </c>
      <c r="X214" s="192" t="e">
        <f t="shared" si="84"/>
        <v>#VALUE!</v>
      </c>
      <c r="Y214" s="192">
        <f t="shared" si="130"/>
        <v>4.3499999999999997E-2</v>
      </c>
      <c r="Z214" s="192">
        <f t="shared" si="85"/>
        <v>3.1252</v>
      </c>
      <c r="AA214" s="192">
        <f t="shared" si="131"/>
        <v>3.0817000000000001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32"/>
        <v>55-11</v>
      </c>
      <c r="AE214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14" s="77" t="str">
        <f t="shared" si="134"/>
        <v>"C:\Program Files (x86)\AstroGrep\AstroGrep.exe" /e /r /s /spath="%USERPROFILE%\AppData\Local\Temp\OnboardLogs" /stypes="app*4014*20170511*" /stext=" 11:.+((SYSTEM_STATE.+slice.+state.+changed )|(ment ac)|(multiple cpu faults)|(system.+state.+changed )|(\[timeout)|(PRM\|1\|D)|(kpr)|(kdp)|(train st.+moving)|(\|lc)|(penalty))"</v>
      </c>
      <c r="AG214" s="1" t="str">
        <f t="shared" si="135"/>
        <v>Other</v>
      </c>
      <c r="AH214" s="81" t="str">
        <f t="shared" si="136"/>
        <v>"%USERPROFILE%\Documents\GitHub\eaglep3\Utilities\RefineRTDCRunTimes.py" --tripid 55-11 --locoid 4014 --swversion DE.1.0.9.0 --startMP 204:435 --initTime 2017-05-11T05:13:58 --startdatetime 2017-05-11T05:46:45 --delay 1 --endMP 300:31252 --enddatetime 2017-05-11T05:53:58 --enforcementcount 0 &gt;&gt;C:\Users\stu\Documents\GitHub\eaglep3-reporting\EC\2017-05-11-refined-times.txt</v>
      </c>
      <c r="AI214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{"issue":{"subject":"","project_id":79,"tracker_id":40,"status_id":1,"priority_id":2,"assigned_to_id":23,"start_date":"2017-05-11","description":"","custom_fields":[{"id":1,"name":"Subdivision","value":"Other"},{"id":4,"name":"Milepost","value":"3.1252"},{"id":17,"name":"Train ID","value":"55-11"},{"id":16,"name":"Locomotive ID","value":"4014"},{"id":130,"name":"Impact","value":""},{"id":150,"name":"Time of Event (Mountain Time)","value":"05:53:58"},{"id":151,"name":"Denver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38"/>
        <v>start /low /b %USERPROFILE%\Documents\GitHub\eaglep3\Utilities\DownloadLogsFromS3.py --loco 4014 --day 2017-05-11</v>
      </c>
      <c r="AN214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11:53:58"},{"id":29,"name":"Sharepoint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614</v>
      </c>
      <c r="B215" s="7">
        <v>4014</v>
      </c>
      <c r="C215" s="21" t="s">
        <v>206</v>
      </c>
      <c r="D215" s="21" t="s">
        <v>379</v>
      </c>
      <c r="E215" s="13">
        <v>42866.200208333335</v>
      </c>
      <c r="F215" s="13">
        <v>42866.219942129632</v>
      </c>
      <c r="G215" s="7">
        <v>1</v>
      </c>
      <c r="H215" s="21" t="s">
        <v>927</v>
      </c>
      <c r="I215" s="13">
        <v>42866.22515046296</v>
      </c>
      <c r="J215" s="7">
        <v>0</v>
      </c>
      <c r="K215" s="92" t="str">
        <f t="shared" si="125"/>
        <v>4013/4014</v>
      </c>
      <c r="L215" s="21" t="str">
        <f>VLOOKUP(A215,'Trips&amp;Operators'!$C$1:$G$99999,5,FALSE)</f>
        <v>ACKERMAN JARED</v>
      </c>
      <c r="M215" s="6">
        <f t="shared" si="126"/>
        <v>5.2083333284826949E-3</v>
      </c>
      <c r="N215" s="7">
        <f t="shared" si="104"/>
        <v>7.4999999930150807</v>
      </c>
      <c r="O215" s="7"/>
      <c r="P215" s="7"/>
      <c r="Q215" s="22"/>
      <c r="R215" s="190"/>
      <c r="S215" s="196">
        <f t="shared" si="106"/>
        <v>0</v>
      </c>
      <c r="T215" s="190" t="e">
        <f t="shared" si="127"/>
        <v>#VALUE!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 t="shared" si="128"/>
        <v>https://d0f6bd738d7f1b3e5a7ca70fe4ff75f0.us-east-1.aws.found.io/app/kibana#/discover/Steve-Slow-Train-Analysis-(2080s-and-2083s)?_g=(refreshInterval:(display:Off,pause:!f,section:0,value:0),time:(from:'2017-05-11T03:48:18-0600',mode:absolute,to:'2017-05-11T06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5" s="192" t="str">
        <f t="shared" si="129"/>
        <v>Y</v>
      </c>
      <c r="X215" s="192" t="e">
        <f t="shared" si="84"/>
        <v>#VALUE!</v>
      </c>
      <c r="Y215" s="192">
        <f t="shared" si="130"/>
        <v>4.3700000000000003E-2</v>
      </c>
      <c r="Z215" s="192">
        <f t="shared" si="85"/>
        <v>3.129</v>
      </c>
      <c r="AA215" s="192">
        <f t="shared" si="131"/>
        <v>3.0853000000000002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32"/>
        <v>55-11</v>
      </c>
      <c r="AE215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15" s="77" t="str">
        <f t="shared" si="134"/>
        <v>"C:\Program Files (x86)\AstroGrep\AstroGrep.exe" /e /r /s /spath="%USERPROFILE%\AppData\Local\Temp\OnboardLogs" /stypes="app*4014*20170511*" /stext=" 11:.+((SYSTEM_STATE.+slice.+state.+changed )|(ment ac)|(multiple cpu faults)|(system.+state.+changed )|(\[timeout)|(PRM\|1\|D)|(kpr)|(kdp)|(train st.+moving)|(\|lc)|(penalty))"</v>
      </c>
      <c r="AG215" s="1" t="str">
        <f t="shared" si="135"/>
        <v>Other</v>
      </c>
      <c r="AH215" s="81" t="str">
        <f t="shared" si="136"/>
        <v>"%USERPROFILE%\Documents\GitHub\eaglep3\Utilities\RefineRTDCRunTimes.py" --tripid 55-11 --locoid 4014 --swversion DE.1.0.9.0 --startMP 204:437 --initTime 2017-05-11T04:48:18 --startdatetime 2017-05-11T05:16:43 --delay 1 --endMP 300:31290 --enddatetime 2017-05-11T05:24:13 --enforcementcount 0 &gt;&gt;C:\Users\stu\Documents\GitHub\eaglep3-reporting\EC\2017-05-11-refined-times.txt</v>
      </c>
      <c r="AI215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{"issue":{"subject":"","project_id":79,"tracker_id":40,"status_id":1,"priority_id":2,"assigned_to_id":23,"start_date":"2017-05-11","description":"","custom_fields":[{"id":1,"name":"Subdivision","value":"Other"},{"id":4,"name":"Milepost","value":"3.129"},{"id":17,"name":"Train ID","value":"55-11"},{"id":16,"name":"Locomotive ID","value":"4014"},{"id":130,"name":"Impact","value":""},{"id":150,"name":"Time of Event (Mountain Time)","value":"05:24:13"},{"id":151,"name":"Denver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38"/>
        <v>start /low /b %USERPROFILE%\Documents\GitHub\eaglep3\Utilities\DownloadLogsFromS3.py --loco 4014 --day 2017-05-11</v>
      </c>
      <c r="AN215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11:24:13"},{"id":29,"name":"Sharepoint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614</v>
      </c>
      <c r="B216" s="7">
        <v>4014</v>
      </c>
      <c r="C216" s="21" t="s">
        <v>206</v>
      </c>
      <c r="D216" s="21" t="s">
        <v>388</v>
      </c>
      <c r="E216" s="13">
        <v>42866.181458333333</v>
      </c>
      <c r="F216" s="13">
        <v>42866.201736111114</v>
      </c>
      <c r="G216" s="7">
        <v>1</v>
      </c>
      <c r="H216" s="21" t="s">
        <v>927</v>
      </c>
      <c r="I216" s="13">
        <v>42866.206620370373</v>
      </c>
      <c r="J216" s="7">
        <v>0</v>
      </c>
      <c r="K216" s="92" t="str">
        <f t="shared" si="125"/>
        <v>4013/4014</v>
      </c>
      <c r="L216" s="21" t="str">
        <f>VLOOKUP(A216,'Trips&amp;Operators'!$C$1:$G$99999,5,FALSE)</f>
        <v>ACKERMAN JARED</v>
      </c>
      <c r="M216" s="6">
        <f t="shared" si="126"/>
        <v>4.8842592586879618E-3</v>
      </c>
      <c r="N216" s="7">
        <f t="shared" si="104"/>
        <v>7.0333333325106651</v>
      </c>
      <c r="O216" s="7"/>
      <c r="P216" s="7"/>
      <c r="Q216" s="22"/>
      <c r="R216" s="190"/>
      <c r="S216" s="196">
        <f t="shared" si="106"/>
        <v>0</v>
      </c>
      <c r="T216" s="190" t="e">
        <f t="shared" si="127"/>
        <v>#VALUE!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 t="shared" si="128"/>
        <v>https://d0f6bd738d7f1b3e5a7ca70fe4ff75f0.us-east-1.aws.found.io/app/kibana#/discover/Steve-Slow-Train-Analysis-(2080s-and-2083s)?_g=(refreshInterval:(display:Off,pause:!f,section:0,value:0),time:(from:'2017-05-11T03:21:18-0600',mode:absolute,to:'2017-05-11T05:57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6" s="192" t="str">
        <f t="shared" si="129"/>
        <v>Y</v>
      </c>
      <c r="X216" s="192" t="e">
        <f t="shared" si="84"/>
        <v>#VALUE!</v>
      </c>
      <c r="Y216" s="192">
        <f t="shared" si="130"/>
        <v>4.5499999999999999E-2</v>
      </c>
      <c r="Z216" s="192">
        <f t="shared" si="85"/>
        <v>3.129</v>
      </c>
      <c r="AA216" s="192">
        <f t="shared" si="131"/>
        <v>3.0834999999999999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32"/>
        <v>55-11</v>
      </c>
      <c r="AE216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16" s="77" t="str">
        <f t="shared" si="134"/>
        <v>"C:\Program Files (x86)\AstroGrep\AstroGrep.exe" /e /r /s /spath="%USERPROFILE%\AppData\Local\Temp\OnboardLogs" /stypes="app*4014*20170511*" /stext=" 10:.+((SYSTEM_STATE.+slice.+state.+changed )|(ment ac)|(multiple cpu faults)|(system.+state.+changed )|(\[timeout)|(PRM\|1\|D)|(kpr)|(kdp)|(train st.+moving)|(\|lc)|(penalty))"</v>
      </c>
      <c r="AG216" s="1" t="str">
        <f t="shared" si="135"/>
        <v>Other</v>
      </c>
      <c r="AH216" s="81" t="str">
        <f t="shared" si="136"/>
        <v>"%USERPROFILE%\Documents\GitHub\eaglep3\Utilities\RefineRTDCRunTimes.py" --tripid 55-11 --locoid 4014 --swversion DE.1.0.9.0 --startMP 204:455 --initTime 2017-05-11T04:21:18 --startdatetime 2017-05-11T04:50:30 --delay 1 --endMP 300:31290 --enddatetime 2017-05-11T04:57:32 --enforcementcount 0 &gt;&gt;C:\Users\stu\Documents\GitHub\eaglep3-reporting\EC\2017-05-11-refined-times.txt</v>
      </c>
      <c r="AI216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{"issue":{"subject":"","project_id":79,"tracker_id":40,"status_id":1,"priority_id":2,"assigned_to_id":23,"start_date":"2017-05-11","description":"","custom_fields":[{"id":1,"name":"Subdivision","value":"Other"},{"id":4,"name":"Milepost","value":"3.129"},{"id":17,"name":"Train ID","value":"55-11"},{"id":16,"name":"Locomotive ID","value":"4014"},{"id":130,"name":"Impact","value":""},{"id":150,"name":"Time of Event (Mountain Time)","value":"04:57:32"},{"id":151,"name":"Denver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38"/>
        <v>start /low /b %USERPROFILE%\Documents\GitHub\eaglep3\Utilities\DownloadLogsFromS3.py --loco 4014 --day 2017-05-11</v>
      </c>
      <c r="AN216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10:57:32"},{"id":29,"name":"Sharepoint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614</v>
      </c>
      <c r="B217" s="7">
        <v>4014</v>
      </c>
      <c r="C217" s="21" t="s">
        <v>206</v>
      </c>
      <c r="D217" s="21" t="s">
        <v>202</v>
      </c>
      <c r="E217" s="13">
        <v>42866.23883101852</v>
      </c>
      <c r="F217" s="13">
        <v>42866.258113425924</v>
      </c>
      <c r="G217" s="7">
        <v>1</v>
      </c>
      <c r="H217" s="21" t="s">
        <v>930</v>
      </c>
      <c r="I217" s="13">
        <v>42866.262928240743</v>
      </c>
      <c r="J217" s="7">
        <v>0</v>
      </c>
      <c r="K217" s="92" t="str">
        <f t="shared" si="125"/>
        <v>4013/4014</v>
      </c>
      <c r="L217" s="21" t="str">
        <f>VLOOKUP(A217,'Trips&amp;Operators'!$C$1:$G$99999,5,FALSE)</f>
        <v>ACKERMAN JARED</v>
      </c>
      <c r="M217" s="6">
        <f t="shared" si="126"/>
        <v>4.8148148198379204E-3</v>
      </c>
      <c r="N217" s="7">
        <f t="shared" si="104"/>
        <v>6.9333333405666053</v>
      </c>
      <c r="O217" s="7"/>
      <c r="P217" s="7"/>
      <c r="Q217" s="22"/>
      <c r="R217" s="190"/>
      <c r="S217" s="196">
        <f t="shared" si="106"/>
        <v>0</v>
      </c>
      <c r="T217" s="190" t="e">
        <f t="shared" si="127"/>
        <v>#VALUE!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 t="shared" si="128"/>
        <v>https://d0f6bd738d7f1b3e5a7ca70fe4ff75f0.us-east-1.aws.found.io/app/kibana#/discover/Steve-Slow-Train-Analysis-(2080s-and-2083s)?_g=(refreshInterval:(display:Off,pause:!f,section:0,value:0),time:(from:'2017-05-11T04:43:55-0600',mode:absolute,to:'2017-05-11T07:18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7" s="192" t="str">
        <f t="shared" si="129"/>
        <v>Y</v>
      </c>
      <c r="X217" s="192" t="e">
        <f t="shared" si="84"/>
        <v>#VALUE!</v>
      </c>
      <c r="Y217" s="192">
        <f t="shared" si="130"/>
        <v>4.5699999999999998E-2</v>
      </c>
      <c r="Z217" s="192">
        <f t="shared" si="85"/>
        <v>3.1295999999999999</v>
      </c>
      <c r="AA217" s="192">
        <f t="shared" si="131"/>
        <v>3.0838999999999999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32"/>
        <v>55-11</v>
      </c>
      <c r="AE217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17" s="77" t="str">
        <f t="shared" si="134"/>
        <v>"C:\Program Files (x86)\AstroGrep\AstroGrep.exe" /e /r /s /spath="%USERPROFILE%\AppData\Local\Temp\OnboardLogs" /stypes="app*4014*20170511*" /stext=" 12:.+((SYSTEM_STATE.+slice.+state.+changed )|(ment ac)|(multiple cpu faults)|(system.+state.+changed )|(\[timeout)|(PRM\|1\|D)|(kpr)|(kdp)|(train st.+moving)|(\|lc)|(penalty))"</v>
      </c>
      <c r="AG217" s="1" t="str">
        <f t="shared" si="135"/>
        <v>Other</v>
      </c>
      <c r="AH217" s="81" t="str">
        <f t="shared" si="136"/>
        <v>"%USERPROFILE%\Documents\GitHub\eaglep3\Utilities\RefineRTDCRunTimes.py" --tripid 55-11 --locoid 4014 --swversion DE.1.0.9.0 --startMP 204:457 --initTime 2017-05-11T05:43:55 --startdatetime 2017-05-11T06:11:41 --delay 1 --endMP 300:31296 --enddatetime 2017-05-11T06:18:37 --enforcementcount 0 &gt;&gt;C:\Users\stu\Documents\GitHub\eaglep3-reporting\EC\2017-05-11-refined-times.txt</v>
      </c>
      <c r="AI217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{"issue":{"subject":"","project_id":79,"tracker_id":40,"status_id":1,"priority_id":2,"assigned_to_id":23,"start_date":"2017-05-11","description":"","custom_fields":[{"id":1,"name":"Subdivision","value":"Other"},{"id":4,"name":"Milepost","value":"3.1296"},{"id":17,"name":"Train ID","value":"55-11"},{"id":16,"name":"Locomotive ID","value":"4014"},{"id":130,"name":"Impact","value":""},{"id":150,"name":"Time of Event (Mountain Time)","value":"06:18:37"},{"id":151,"name":"Denver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38"/>
        <v>start /low /b %USERPROFILE%\Documents\GitHub\eaglep3\Utilities\DownloadLogsFromS3.py --loco 4014 --day 2017-05-11</v>
      </c>
      <c r="AN217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12:18:37"},{"id":29,"name":"Sharepoint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614</v>
      </c>
      <c r="B218" s="7">
        <v>4014</v>
      </c>
      <c r="C218" s="21" t="s">
        <v>206</v>
      </c>
      <c r="D218" s="21" t="s">
        <v>367</v>
      </c>
      <c r="E218" s="13">
        <v>42866.308611111112</v>
      </c>
      <c r="F218" s="13">
        <v>42866.330462962964</v>
      </c>
      <c r="G218" s="7">
        <v>1</v>
      </c>
      <c r="H218" s="21" t="s">
        <v>931</v>
      </c>
      <c r="I218" s="13">
        <v>25568.708333333332</v>
      </c>
      <c r="J218" s="7">
        <v>0</v>
      </c>
      <c r="K218" s="92" t="str">
        <f t="shared" si="125"/>
        <v>4013/4014</v>
      </c>
      <c r="L218" s="21" t="str">
        <f>VLOOKUP(A218,'Trips&amp;Operators'!$C$1:$G$99999,5,FALSE)</f>
        <v>ACKERMAN JARED</v>
      </c>
      <c r="M218" s="6">
        <f t="shared" si="126"/>
        <v>-17297.622129629632</v>
      </c>
      <c r="N218" s="7">
        <f t="shared" si="104"/>
        <v>-24908575.866666671</v>
      </c>
      <c r="O218" s="7"/>
      <c r="P218" s="7"/>
      <c r="Q218" s="22"/>
      <c r="R218" s="190"/>
      <c r="S218" s="196">
        <f t="shared" si="106"/>
        <v>0</v>
      </c>
      <c r="T218" s="190" t="e">
        <f t="shared" si="127"/>
        <v>#VALUE!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 t="shared" si="128"/>
        <v>https://d0f6bd738d7f1b3e5a7ca70fe4ff75f0.us-east-1.aws.found.io/app/kibana#/discover/Steve-Slow-Train-Analysis-(2080s-and-2083s)?_g=(refreshInterval:(display:Off,pause:!f,section:0,value:0),time:(from:'2017-05-11T06:24:24-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8" s="192" t="str">
        <f t="shared" si="129"/>
        <v>Y</v>
      </c>
      <c r="X218" s="192" t="e">
        <f t="shared" si="84"/>
        <v>#VALUE!</v>
      </c>
      <c r="Y218" s="192">
        <f t="shared" si="130"/>
        <v>4.6399999999999997E-2</v>
      </c>
      <c r="Z218" s="192">
        <f t="shared" si="85"/>
        <v>3.1351</v>
      </c>
      <c r="AA218" s="192">
        <f t="shared" si="131"/>
        <v>3.0887000000000002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132"/>
        <v>55-11</v>
      </c>
      <c r="AE218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18" s="77" t="str">
        <f t="shared" si="134"/>
        <v>"C:\Program Files (x86)\AstroGrep\AstroGrep.exe" /e /r /s /spath="%USERPROFILE%\AppData\Local\Temp\OnboardLogs" /stypes="app*4014*19691231*" /stext=" 23:.+((SYSTEM_STATE.+slice.+state.+changed )|(ment ac)|(multiple cpu faults)|(system.+state.+changed )|(\[timeout)|(PRM\|1\|D)|(kpr)|(kdp)|(train st.+moving)|(\|lc)|(penalty))"</v>
      </c>
      <c r="AG218" s="1" t="str">
        <f t="shared" si="135"/>
        <v>Other</v>
      </c>
      <c r="AH218" s="81" t="str">
        <f t="shared" si="136"/>
        <v>"%USERPROFILE%\Documents\GitHub\eaglep3\Utilities\RefineRTDCRunTimes.py" --tripid 55-11 --locoid 4014 --swversion DE.1.0.9.0 --startMP 204:464 --initTime 2017-05-11T07:24:24 --startdatetime 2017-05-11T07:55:52 --delay 1 --endMP 300:31351 --enddatetime 1969-12-31T17:00:00 --enforcementcount 0 &gt;&gt;C:\Users\stu\Documents\GitHub\eaglep3-reporting\EC\2017-05-11-refined-times.txt</v>
      </c>
      <c r="AI218" s="99" t="str">
        <f t="shared" si="137"/>
        <v>echo {"issue":{"subject":"","project_id":79,"tracker_id":40,"status_id":1,"priority_id":2,"assigned_to_id":23,"start_date":"1969-12-31","description":"","custom_fields":[{"id":1,"name":"Subdivision","value":"Other"},{"id":4,"name":"Milepost","value":"3.1351"},{"id":17,"name":"Train ID","value":"55-11"},{"id":16,"name":"Locomotive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38"/>
        <v>start /low /b %USERPROFILE%\Documents\GitHub\eaglep3\Utilities\DownloadLogsFromS3.py --loco 4014 --day 2017-05-11</v>
      </c>
      <c r="AN218" s="154" t="str">
        <f t="shared" si="13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s="20" customFormat="1" x14ac:dyDescent="0.25">
      <c r="A219" s="32" t="s">
        <v>673</v>
      </c>
      <c r="B219" s="7">
        <v>4041</v>
      </c>
      <c r="C219" s="21" t="s">
        <v>206</v>
      </c>
      <c r="D219" s="21" t="s">
        <v>932</v>
      </c>
      <c r="E219" s="13">
        <v>42866.425983796296</v>
      </c>
      <c r="F219" s="13">
        <v>42866.427569444444</v>
      </c>
      <c r="G219" s="7">
        <v>1</v>
      </c>
      <c r="H219" s="21" t="s">
        <v>198</v>
      </c>
      <c r="I219" s="13">
        <v>42866.43959490741</v>
      </c>
      <c r="J219" s="7">
        <v>0</v>
      </c>
      <c r="K219" s="92" t="str">
        <f t="shared" si="125"/>
        <v>4041/4042</v>
      </c>
      <c r="L219" s="21" t="str">
        <f>VLOOKUP(A219,'Trips&amp;Operators'!$C$1:$G$99999,5,FALSE)</f>
        <v>YORK EDGAR</v>
      </c>
      <c r="M219" s="6">
        <f t="shared" si="126"/>
        <v>1.2025462965539191E-2</v>
      </c>
      <c r="N219" s="7">
        <f t="shared" si="104"/>
        <v>17.316666670376435</v>
      </c>
      <c r="O219" s="7"/>
      <c r="P219" s="7"/>
      <c r="Q219" s="22"/>
      <c r="R219" s="190"/>
      <c r="S219" s="196">
        <f t="shared" si="106"/>
        <v>0</v>
      </c>
      <c r="T219" s="190" t="e">
        <f t="shared" si="127"/>
        <v>#VALUE!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128"/>
        <v>https://d0f6bd738d7f1b3e5a7ca70fe4ff75f0.us-east-1.aws.found.io/app/kibana#/discover/Steve-Slow-Train-Analysis-(2080s-and-2083s)?_g=(refreshInterval:(display:Off,pause:!f,section:0,value:0),time:(from:'2017-05-11T09:13:25-0600',mode:absolute,to:'2017-05-11T11:33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9" s="192" t="str">
        <f t="shared" si="129"/>
        <v>N</v>
      </c>
      <c r="X219" s="192" t="e">
        <f t="shared" si="84"/>
        <v>#VALUE!</v>
      </c>
      <c r="Y219" s="192">
        <f t="shared" si="130"/>
        <v>7.0134999999999996</v>
      </c>
      <c r="Z219" s="192">
        <f t="shared" si="85"/>
        <v>1.5800000000000002E-2</v>
      </c>
      <c r="AA219" s="192">
        <f t="shared" si="131"/>
        <v>6.9977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132"/>
        <v>56-11</v>
      </c>
      <c r="AE219" s="80" t="str">
        <f t="shared" si="133"/>
        <v>aws s3 cp s3://rtdc.mdm.uploadarchive.raw/RTDC4041/ "%USERPROFILE%\AppData\Local\Temp\OnboardLogs"\RTDC4041\2017-05-11 --exclude "*" --recursive --include "*20170511*" &amp; "%USERPROFILE%\Documents\GitHub\mrs-test-scripts\Headless Mode &amp; Sideloading\WalkAndUnGZ.bat" "%USERPROFILE%\AppData\Local\Temp\OnboardLogs"\RTDC4041\2017-05-11 &amp; aws s3 cp s3://rtdc.mdm.uploadarchive.raw/RTDC4041/ "%USERPROFILE%\AppData\Local\Temp\OnboardLogs"\RTDC4041\2017-05-12 --exclude "*" --recursive --include "*20170512*" &amp; "%USERPROFILE%\Documents\GitHub\mrs-test-scripts\Headless Mode &amp; Sideloading\WalkAndUnGZ.bat" "%USERPROFILE%\AppData\Local\Temp\OnboardLogs"\RTDC4041\2017-05-12</v>
      </c>
      <c r="AF219" s="77" t="str">
        <f t="shared" si="134"/>
        <v>"C:\Program Files (x86)\AstroGrep\AstroGrep.exe" /e /r /s /spath="%USERPROFILE%\AppData\Local\Temp\OnboardLogs" /stypes="app*4041*20170511*" /stext=" 16:.+((SYSTEM_STATE.+slice.+state.+changed )|(ment ac)|(multiple cpu faults)|(system.+state.+changed )|(\[timeout)|(PRM\|1\|D)|(kpr)|(kdp)|(train st.+moving)|(\|lc)|(penalty))"</v>
      </c>
      <c r="AG219" s="1" t="str">
        <f t="shared" si="135"/>
        <v>Other</v>
      </c>
      <c r="AH219" s="81" t="str">
        <f t="shared" si="136"/>
        <v>"%USERPROFILE%\Documents\GitHub\eaglep3\Utilities\RefineRTDCRunTimes.py" --tripid 56-11 --locoid 4041 --swversion DE.1.0.9.0 --startMP 204:70135 --initTime 2017-05-11T10:13:25 --startdatetime 2017-05-11T10:15:42 --delay 1 --endMP 204:158 --enddatetime 2017-05-11T10:33:01 --enforcementcount 0 &gt;&gt;C:\Users\stu\Documents\GitHub\eaglep3-reporting\EC\2017-05-11-refined-times.txt</v>
      </c>
      <c r="AI219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{"issue":{"subject":"","project_id":79,"tracker_id":40,"status_id":1,"priority_id":2,"assigned_to_id":23,"start_date":"2017-05-11","description":"","custom_fields":[{"id":1,"name":"Subdivision","value":"Other"},{"id":4,"name":"Milepost","value":"0.0158"},{"id":17,"name":"Train ID","value":"56-11"},{"id":16,"name":"Locomotive ID","value":"4041"},{"id":130,"name":"Impact","value":""},{"id":150,"name":"Time of Event (Mountain Time)","value":"10:33:01"},{"id":151,"name":"Denver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5" t="str">
        <f t="shared" si="138"/>
        <v>start /low /b %USERPROFILE%\Documents\GitHub\eaglep3\Utilities\DownloadLogsFromS3.py --loco 4041 --day 2017-05-11</v>
      </c>
      <c r="AN219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16:33:01"},{"id":29,"name":"Sharepoint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676</v>
      </c>
      <c r="B220" s="7">
        <v>4054</v>
      </c>
      <c r="C220" s="21" t="s">
        <v>206</v>
      </c>
      <c r="D220" s="21" t="s">
        <v>441</v>
      </c>
      <c r="E220" s="13">
        <v>42866.436249999999</v>
      </c>
      <c r="F220" s="13">
        <v>42866.438217592593</v>
      </c>
      <c r="G220" s="7">
        <v>1</v>
      </c>
      <c r="H220" s="21" t="s">
        <v>933</v>
      </c>
      <c r="I220" s="13">
        <v>42866.449548611112</v>
      </c>
      <c r="J220" s="7">
        <v>0</v>
      </c>
      <c r="K220" s="92" t="str">
        <f t="shared" si="125"/>
        <v>4053/4054</v>
      </c>
      <c r="L220" s="21" t="str">
        <f>VLOOKUP(A220,'Trips&amp;Operators'!$C$1:$G$99999,5,FALSE)</f>
        <v>ROCHA YAOTL</v>
      </c>
      <c r="M220" s="6">
        <f t="shared" si="126"/>
        <v>1.1331018518831115E-2</v>
      </c>
      <c r="N220" s="7">
        <f t="shared" si="104"/>
        <v>16.316666667116806</v>
      </c>
      <c r="O220" s="7"/>
      <c r="P220" s="7"/>
      <c r="Q220" s="22"/>
      <c r="R220" s="190"/>
      <c r="S220" s="196">
        <f t="shared" si="106"/>
        <v>0</v>
      </c>
      <c r="T220" s="190" t="e">
        <f t="shared" si="127"/>
        <v>#VALUE!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128"/>
        <v>https://d0f6bd738d7f1b3e5a7ca70fe4ff75f0.us-east-1.aws.found.io/app/kibana#/discover/Steve-Slow-Train-Analysis-(2080s-and-2083s)?_g=(refreshInterval:(display:Off,pause:!f,section:0,value:0),time:(from:'2017-05-11T09:28:12-0600',mode:absolute,to:'2017-05-11T11:47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0" s="192" t="str">
        <f t="shared" si="129"/>
        <v>N</v>
      </c>
      <c r="X220" s="192" t="e">
        <f t="shared" si="84"/>
        <v>#VALUE!</v>
      </c>
      <c r="Y220" s="192">
        <f t="shared" si="130"/>
        <v>4.6199999999999998E-2</v>
      </c>
      <c r="Z220" s="192">
        <f t="shared" si="85"/>
        <v>6.9847999999999999</v>
      </c>
      <c r="AA220" s="192">
        <f t="shared" si="131"/>
        <v>6.9386000000000001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32"/>
        <v>59-11</v>
      </c>
      <c r="AE220" s="80" t="str">
        <f t="shared" si="133"/>
        <v>aws s3 cp s3://rtdc.mdm.uploadarchive.raw/RTDC4054/ "%USERPROFILE%\AppData\Local\Temp\OnboardLogs"\RTDC4054\2017-05-11 --exclude "*" --recursive --include "*20170511*" &amp; "%USERPROFILE%\Documents\GitHub\mrs-test-scripts\Headless Mode &amp; Sideloading\WalkAndUnGZ.bat" "%USERPROFILE%\AppData\Local\Temp\OnboardLogs"\RTDC4054\2017-05-11 &amp; aws s3 cp s3://rtdc.mdm.uploadarchive.raw/RTDC4054/ "%USERPROFILE%\AppData\Local\Temp\OnboardLogs"\RTDC4054\2017-05-12 --exclude "*" --recursive --include "*20170512*" &amp; "%USERPROFILE%\Documents\GitHub\mrs-test-scripts\Headless Mode &amp; Sideloading\WalkAndUnGZ.bat" "%USERPROFILE%\AppData\Local\Temp\OnboardLogs"\RTDC4054\2017-05-12</v>
      </c>
      <c r="AF220" s="77" t="str">
        <f t="shared" si="134"/>
        <v>"C:\Program Files (x86)\AstroGrep\AstroGrep.exe" /e /r /s /spath="%USERPROFILE%\AppData\Local\Temp\OnboardLogs" /stypes="app*4054*20170511*" /stext=" 16:.+((SYSTEM_STATE.+slice.+state.+changed )|(ment ac)|(multiple cpu faults)|(system.+state.+changed )|(\[timeout)|(PRM\|1\|D)|(kpr)|(kdp)|(train st.+moving)|(\|lc)|(penalty))"</v>
      </c>
      <c r="AG220" s="1" t="str">
        <f t="shared" si="135"/>
        <v>Other</v>
      </c>
      <c r="AH220" s="81" t="str">
        <f t="shared" si="136"/>
        <v>"%USERPROFILE%\Documents\GitHub\eaglep3\Utilities\RefineRTDCRunTimes.py" --tripid 59-11 --locoid 4054 --swversion DE.1.0.9.0 --startMP 204:462 --initTime 2017-05-11T10:28:12 --startdatetime 2017-05-11T10:31:02 --delay 1 --endMP 204:69848 --enddatetime 2017-05-11T10:47:21 --enforcementcount 0 &gt;&gt;C:\Users\stu\Documents\GitHub\eaglep3-reporting\EC\2017-05-11-refined-times.txt</v>
      </c>
      <c r="AI220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{"issue":{"subject":"","project_id":79,"tracker_id":40,"status_id":1,"priority_id":2,"assigned_to_id":23,"start_date":"2017-05-11","description":"","custom_fields":[{"id":1,"name":"Subdivision","value":"Other"},{"id":4,"name":"Milepost","value":"6.9848"},{"id":17,"name":"Train ID","value":"59-11"},{"id":16,"name":"Locomotive ID","value":"4054"},{"id":130,"name":"Impact","value":""},{"id":150,"name":"Time of Event (Mountain Time)","value":"10:47:21"},{"id":151,"name":"Denver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38"/>
        <v>start /low /b %USERPROFILE%\Documents\GitHub\eaglep3\Utilities\DownloadLogsFromS3.py --loco 4054 --day 2017-05-11</v>
      </c>
      <c r="AN220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16:47:21"},{"id":29,"name":"Sharepoint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522</v>
      </c>
      <c r="B221" s="7">
        <v>4013</v>
      </c>
      <c r="C221" s="21" t="s">
        <v>206</v>
      </c>
      <c r="D221" s="21" t="s">
        <v>934</v>
      </c>
      <c r="E221" s="13">
        <v>42866.148923611108</v>
      </c>
      <c r="F221" s="13">
        <v>42866.168668981481</v>
      </c>
      <c r="G221" s="7">
        <v>1</v>
      </c>
      <c r="H221" s="21" t="s">
        <v>352</v>
      </c>
      <c r="I221" s="13">
        <v>42866.176296296297</v>
      </c>
      <c r="J221" s="7">
        <v>0</v>
      </c>
      <c r="K221" s="92" t="str">
        <f t="shared" si="125"/>
        <v>4013/4014</v>
      </c>
      <c r="L221" s="21" t="str">
        <f>VLOOKUP(A221,'Trips&amp;Operators'!$C$1:$G$99999,5,FALSE)</f>
        <v>GUZMAN DANNY</v>
      </c>
      <c r="M221" s="6">
        <f t="shared" si="126"/>
        <v>7.6273148151813075E-3</v>
      </c>
      <c r="N221" s="7">
        <f t="shared" si="104"/>
        <v>10.983333333861083</v>
      </c>
      <c r="O221" s="7"/>
      <c r="P221" s="7"/>
      <c r="Q221" s="22"/>
      <c r="R221" s="190"/>
      <c r="S221" s="196">
        <f t="shared" si="106"/>
        <v>0</v>
      </c>
      <c r="T221" s="190" t="e">
        <f t="shared" si="127"/>
        <v>#VALUE!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128"/>
        <v>https://d0f6bd738d7f1b3e5a7ca70fe4ff75f0.us-east-1.aws.found.io/app/kibana#/discover/Steve-Slow-Train-Analysis-(2080s-and-2083s)?_g=(refreshInterval:(display:Off,pause:!f,section:0,value:0),time:(from:'2017-05-11T02:34:27-0600',mode:absolute,to:'2017-05-11T05:13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1" s="192" t="str">
        <f t="shared" si="129"/>
        <v>Y</v>
      </c>
      <c r="X221" s="192" t="e">
        <f t="shared" si="84"/>
        <v>#VALUE!</v>
      </c>
      <c r="Y221" s="192">
        <f t="shared" si="130"/>
        <v>3.0807000000000002</v>
      </c>
      <c r="Z221" s="192">
        <f t="shared" si="85"/>
        <v>4.4600000000000001E-2</v>
      </c>
      <c r="AA221" s="192">
        <f t="shared" si="131"/>
        <v>3.0361000000000002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32"/>
        <v>60-11</v>
      </c>
      <c r="AE221" s="80" t="str">
        <f t="shared" si="133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21" s="77" t="str">
        <f t="shared" si="134"/>
        <v>"C:\Program Files (x86)\AstroGrep\AstroGrep.exe" /e /r /s /spath="%USERPROFILE%\AppData\Local\Temp\OnboardLogs" /stypes="app*4013*20170511*" /stext=" 10:.+((SYSTEM_STATE.+slice.+state.+changed )|(ment ac)|(multiple cpu faults)|(system.+state.+changed )|(\[timeout)|(PRM\|1\|D)|(kpr)|(kdp)|(train st.+moving)|(\|lc)|(penalty))"</v>
      </c>
      <c r="AG221" s="1" t="str">
        <f t="shared" si="135"/>
        <v>Other</v>
      </c>
      <c r="AH221" s="81" t="str">
        <f t="shared" si="136"/>
        <v>"%USERPROFILE%\Documents\GitHub\eaglep3\Utilities\RefineRTDCRunTimes.py" --tripid 60-11 --locoid 4013 --swversion DE.1.0.9.0 --startMP 300:30807 --initTime 2017-05-11T03:34:27 --startdatetime 2017-05-11T04:02:53 --delay 1 --endMP 204:446 --enddatetime 2017-05-11T04:13:52 --enforcementcount 0 &gt;&gt;C:\Users\stu\Documents\GitHub\eaglep3-reporting\EC\2017-05-11-refined-times.txt</v>
      </c>
      <c r="AI221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{"issue":{"subject":"","project_id":79,"tracker_id":40,"status_id":1,"priority_id":2,"assigned_to_id":23,"start_date":"2017-05-11","description":"","custom_fields":[{"id":1,"name":"Subdivision","value":"Other"},{"id":4,"name":"Milepost","value":"0.0446"},{"id":17,"name":"Train ID","value":"60-11"},{"id":16,"name":"Locomotive ID","value":"4013"},{"id":130,"name":"Impact","value":""},{"id":150,"name":"Time of Event (Mountain Time)","value":"04:13:52"},{"id":151,"name":"Denver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38"/>
        <v>start /low /b %USERPROFILE%\Documents\GitHub\eaglep3\Utilities\DownloadLogsFromS3.py --loco 4013 --day 2017-05-11</v>
      </c>
      <c r="AN221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10:13:52"},{"id":29,"name":"Sharepoint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522</v>
      </c>
      <c r="B222" s="7">
        <v>4013</v>
      </c>
      <c r="C222" s="21" t="s">
        <v>206</v>
      </c>
      <c r="D222" s="21" t="s">
        <v>935</v>
      </c>
      <c r="E222" s="13">
        <v>42866.167094907411</v>
      </c>
      <c r="F222" s="13">
        <v>42866.168668981481</v>
      </c>
      <c r="G222" s="7">
        <v>1</v>
      </c>
      <c r="H222" s="21" t="s">
        <v>936</v>
      </c>
      <c r="I222" s="13">
        <v>42866.176296296297</v>
      </c>
      <c r="J222" s="7">
        <v>0</v>
      </c>
      <c r="K222" s="92" t="str">
        <f t="shared" si="125"/>
        <v>4013/4014</v>
      </c>
      <c r="L222" s="21" t="str">
        <f>VLOOKUP(A222,'Trips&amp;Operators'!$C$1:$G$99999,5,FALSE)</f>
        <v>GUZMAN DANNY</v>
      </c>
      <c r="M222" s="6">
        <f t="shared" si="126"/>
        <v>7.6273148151813075E-3</v>
      </c>
      <c r="N222" s="7">
        <f t="shared" si="104"/>
        <v>10.983333333861083</v>
      </c>
      <c r="O222" s="7"/>
      <c r="P222" s="7"/>
      <c r="Q222" s="22"/>
      <c r="R222" s="190"/>
      <c r="S222" s="196">
        <f t="shared" si="106"/>
        <v>0</v>
      </c>
      <c r="T222" s="190" t="e">
        <f t="shared" si="127"/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128"/>
        <v>https://d0f6bd738d7f1b3e5a7ca70fe4ff75f0.us-east-1.aws.found.io/app/kibana#/discover/Steve-Slow-Train-Analysis-(2080s-and-2083s)?_g=(refreshInterval:(display:Off,pause:!f,section:0,value:0),time:(from:'2017-05-11T03:00:37-0600',mode:absolute,to:'2017-05-11T05:13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2" s="192" t="str">
        <f t="shared" si="129"/>
        <v>Y</v>
      </c>
      <c r="X222" s="192" t="e">
        <f t="shared" si="84"/>
        <v>#VALUE!</v>
      </c>
      <c r="Y222" s="192">
        <f t="shared" si="130"/>
        <v>3.0815999999999999</v>
      </c>
      <c r="Z222" s="192">
        <f t="shared" si="85"/>
        <v>1.46E-2</v>
      </c>
      <c r="AA222" s="192">
        <f t="shared" si="131"/>
        <v>3.0669999999999997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32"/>
        <v>60-11</v>
      </c>
      <c r="AE222" s="80" t="str">
        <f t="shared" si="133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22" s="77" t="str">
        <f t="shared" si="134"/>
        <v>"C:\Program Files (x86)\AstroGrep\AstroGrep.exe" /e /r /s /spath="%USERPROFILE%\AppData\Local\Temp\OnboardLogs" /stypes="app*4013*20170511*" /stext=" 10:.+((SYSTEM_STATE.+slice.+state.+changed )|(ment ac)|(multiple cpu faults)|(system.+state.+changed )|(\[timeout)|(PRM\|1\|D)|(kpr)|(kdp)|(train st.+moving)|(\|lc)|(penalty))"</v>
      </c>
      <c r="AG222" s="1" t="str">
        <f t="shared" si="135"/>
        <v>Other</v>
      </c>
      <c r="AH222" s="81" t="str">
        <f t="shared" si="136"/>
        <v>"%USERPROFILE%\Documents\GitHub\eaglep3\Utilities\RefineRTDCRunTimes.py" --tripid 60-11 --locoid 4013 --swversion DE.1.0.9.0 --startMP 300:30816 --initTime 2017-05-11T04:00:37 --startdatetime 2017-05-11T04:02:53 --delay 1 --endMP 204:146 --enddatetime 2017-05-11T04:13:52 --enforcementcount 0 &gt;&gt;C:\Users\stu\Documents\GitHub\eaglep3-reporting\EC\2017-05-11-refined-times.txt</v>
      </c>
      <c r="AI222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{"issue":{"subject":"","project_id":79,"tracker_id":40,"status_id":1,"priority_id":2,"assigned_to_id":23,"start_date":"2017-05-11","description":"","custom_fields":[{"id":1,"name":"Subdivision","value":"Other"},{"id":4,"name":"Milepost","value":"0.0146"},{"id":17,"name":"Train ID","value":"60-11"},{"id":16,"name":"Locomotive ID","value":"4013"},{"id":130,"name":"Impact","value":""},{"id":150,"name":"Time of Event (Mountain Time)","value":"04:13:52"},{"id":151,"name":"Denver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38"/>
        <v>start /low /b %USERPROFILE%\Documents\GitHub\eaglep3\Utilities\DownloadLogsFromS3.py --loco 4013 --day 2017-05-11</v>
      </c>
      <c r="AN222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10:13:52"},{"id":29,"name":"Sharepoint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522</v>
      </c>
      <c r="B223" s="7">
        <v>4013</v>
      </c>
      <c r="C223" s="21" t="s">
        <v>206</v>
      </c>
      <c r="D223" s="21" t="s">
        <v>545</v>
      </c>
      <c r="E223" s="13">
        <v>42866.111944444441</v>
      </c>
      <c r="F223" s="13">
        <v>42866.132511574076</v>
      </c>
      <c r="G223" s="7">
        <v>0</v>
      </c>
      <c r="H223" s="21" t="s">
        <v>546</v>
      </c>
      <c r="I223" s="13">
        <v>42866.139733796299</v>
      </c>
      <c r="J223" s="7">
        <v>0</v>
      </c>
      <c r="K223" s="92" t="str">
        <f t="shared" si="125"/>
        <v>4013/4014</v>
      </c>
      <c r="L223" s="21" t="str">
        <f>VLOOKUP(A223,'Trips&amp;Operators'!$C$1:$G$99999,5,FALSE)</f>
        <v>GUZMAN DANNY</v>
      </c>
      <c r="M223" s="6">
        <f t="shared" si="126"/>
        <v>7.2222222224809229E-3</v>
      </c>
      <c r="N223" s="7">
        <f t="shared" si="104"/>
        <v>10.400000000372529</v>
      </c>
      <c r="O223" s="7"/>
      <c r="P223" s="7"/>
      <c r="Q223" s="22"/>
      <c r="R223" s="190"/>
      <c r="S223" s="196">
        <f t="shared" si="106"/>
        <v>0</v>
      </c>
      <c r="T223" s="190" t="e">
        <f t="shared" si="127"/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128"/>
        <v>https://d0f6bd738d7f1b3e5a7ca70fe4ff75f0.us-east-1.aws.found.io/app/kibana#/discover/Steve-Slow-Train-Analysis-(2080s-and-2083s)?_g=(refreshInterval:(display:Off,pause:!f,section:0,value:0),time:(from:'2017-05-11T01:41:12-0600',mode:absolute,to:'2017-05-11T04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3" s="192" t="str">
        <f t="shared" si="129"/>
        <v>Y</v>
      </c>
      <c r="X223" s="192" t="e">
        <f t="shared" si="84"/>
        <v>#VALUE!</v>
      </c>
      <c r="Y223" s="192">
        <f t="shared" si="130"/>
        <v>3.0895999999999999</v>
      </c>
      <c r="Z223" s="192">
        <f t="shared" ref="Z223:Z249" si="140">RIGHT(H223,LEN(H223)-4)/10000</f>
        <v>3.6600000000000001E-2</v>
      </c>
      <c r="AA223" s="192">
        <f t="shared" si="131"/>
        <v>3.0529999999999999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32"/>
        <v>60-11</v>
      </c>
      <c r="AE223" s="80" t="str">
        <f t="shared" si="133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23" s="77" t="str">
        <f t="shared" si="134"/>
        <v>"C:\Program Files (x86)\AstroGrep\AstroGrep.exe" /e /r /s /spath="%USERPROFILE%\AppData\Local\Temp\OnboardLogs" /stypes="app*4013*20170511*" /stext=" 09:.+((SYSTEM_STATE.+slice.+state.+changed )|(ment ac)|(multiple cpu faults)|(system.+state.+changed )|(\[timeout)|(PRM\|1\|D)|(kpr)|(kdp)|(train st.+moving)|(\|lc)|(penalty))"</v>
      </c>
      <c r="AG223" s="1" t="str">
        <f t="shared" si="135"/>
        <v>Other</v>
      </c>
      <c r="AH223" s="81" t="str">
        <f t="shared" si="136"/>
        <v>"%USERPROFILE%\Documents\GitHub\eaglep3\Utilities\RefineRTDCRunTimes.py" --tripid 60-11 --locoid 4013 --swversion DE.1.0.9.0 --startMP 300:30896 --initTime 2017-05-11T02:41:12 --startdatetime 2017-05-11T03:10:49 --delay 0 --endMP 204:366 --enddatetime 2017-05-11T03:21:13 --enforcementcount 0 &gt;&gt;C:\Users\stu\Documents\GitHub\eaglep3-reporting\EC\2017-05-11-refined-times.txt</v>
      </c>
      <c r="AI223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{"issue":{"subject":"","project_id":79,"tracker_id":40,"status_id":1,"priority_id":2,"assigned_to_id":23,"start_date":"2017-05-11","description":"","custom_fields":[{"id":1,"name":"Subdivision","value":"Other"},{"id":4,"name":"Milepost","value":"0.0366"},{"id":17,"name":"Train ID","value":"60-11"},{"id":16,"name":"Locomotive ID","value":"4013"},{"id":130,"name":"Impact","value":""},{"id":150,"name":"Time of Event (Mountain Time)","value":"03:21:13"},{"id":151,"name":"Denver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38"/>
        <v>start /low /b %USERPROFILE%\Documents\GitHub\eaglep3\Utilities\DownloadLogsFromS3.py --loco 4013 --day 2017-05-11</v>
      </c>
      <c r="AN223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09:21:13"},{"id":29,"name":"Sharepoint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522</v>
      </c>
      <c r="B224" s="7">
        <v>4013</v>
      </c>
      <c r="C224" s="21" t="s">
        <v>206</v>
      </c>
      <c r="D224" s="21" t="s">
        <v>937</v>
      </c>
      <c r="E224" s="13">
        <v>42866.130208333336</v>
      </c>
      <c r="F224" s="13">
        <v>42866.150590277779</v>
      </c>
      <c r="G224" s="7">
        <v>1</v>
      </c>
      <c r="H224" s="21" t="s">
        <v>552</v>
      </c>
      <c r="I224" s="13">
        <v>42866.158020833333</v>
      </c>
      <c r="J224" s="7">
        <v>0</v>
      </c>
      <c r="K224" s="92" t="str">
        <f t="shared" si="125"/>
        <v>4013/4014</v>
      </c>
      <c r="L224" s="21" t="str">
        <f>VLOOKUP(A224,'Trips&amp;Operators'!$C$1:$G$99999,5,FALSE)</f>
        <v>GUZMAN DANNY</v>
      </c>
      <c r="M224" s="6">
        <f t="shared" si="126"/>
        <v>7.4305555535829626E-3</v>
      </c>
      <c r="N224" s="7">
        <f t="shared" si="104"/>
        <v>10.699999997159466</v>
      </c>
      <c r="O224" s="7"/>
      <c r="P224" s="7"/>
      <c r="Q224" s="22"/>
      <c r="R224" s="190"/>
      <c r="S224" s="196">
        <f t="shared" si="106"/>
        <v>0</v>
      </c>
      <c r="T224" s="190" t="e">
        <f t="shared" si="127"/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128"/>
        <v>https://d0f6bd738d7f1b3e5a7ca70fe4ff75f0.us-east-1.aws.found.io/app/kibana#/discover/Steve-Slow-Train-Analysis-(2080s-and-2083s)?_g=(refreshInterval:(display:Off,pause:!f,section:0,value:0),time:(from:'2017-05-11T02:07:30-0600',mode:absolute,to:'2017-05-11T04:47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4" s="192" t="str">
        <f t="shared" si="129"/>
        <v>Y</v>
      </c>
      <c r="X224" s="192" t="e">
        <f t="shared" si="84"/>
        <v>#VALUE!</v>
      </c>
      <c r="Y224" s="192">
        <f t="shared" si="130"/>
        <v>3.0937000000000001</v>
      </c>
      <c r="Z224" s="192">
        <f t="shared" si="140"/>
        <v>4.19E-2</v>
      </c>
      <c r="AA224" s="192">
        <f t="shared" si="131"/>
        <v>3.0518000000000001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132"/>
        <v>60-11</v>
      </c>
      <c r="AE224" s="80" t="str">
        <f t="shared" si="133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24" s="77" t="str">
        <f t="shared" si="134"/>
        <v>"C:\Program Files (x86)\AstroGrep\AstroGrep.exe" /e /r /s /spath="%USERPROFILE%\AppData\Local\Temp\OnboardLogs" /stypes="app*4013*20170511*" /stext=" 09:.+((SYSTEM_STATE.+slice.+state.+changed )|(ment ac)|(multiple cpu faults)|(system.+state.+changed )|(\[timeout)|(PRM\|1\|D)|(kpr)|(kdp)|(train st.+moving)|(\|lc)|(penalty))"</v>
      </c>
      <c r="AG224" s="1" t="str">
        <f t="shared" si="135"/>
        <v>Other</v>
      </c>
      <c r="AH224" s="81" t="str">
        <f t="shared" si="136"/>
        <v>"%USERPROFILE%\Documents\GitHub\eaglep3\Utilities\RefineRTDCRunTimes.py" --tripid 60-11 --locoid 4013 --swversion DE.1.0.9.0 --startMP 300:30937 --initTime 2017-05-11T03:07:30 --startdatetime 2017-05-11T03:36:51 --delay 1 --endMP 204:419 --enddatetime 2017-05-11T03:47:33 --enforcementcount 0 &gt;&gt;C:\Users\stu\Documents\GitHub\eaglep3-reporting\EC\2017-05-11-refined-times.txt</v>
      </c>
      <c r="AI224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{"issue":{"subject":"","project_id":79,"tracker_id":40,"status_id":1,"priority_id":2,"assigned_to_id":23,"start_date":"2017-05-11","description":"","custom_fields":[{"id":1,"name":"Subdivision","value":"Other"},{"id":4,"name":"Milepost","value":"0.0419"},{"id":17,"name":"Train ID","value":"60-11"},{"id":16,"name":"Locomotive ID","value":"4013"},{"id":130,"name":"Impact","value":""},{"id":150,"name":"Time of Event (Mountain Time)","value":"03:47:33"},{"id":151,"name":"Denver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38"/>
        <v>start /low /b %USERPROFILE%\Documents\GitHub\eaglep3\Utilities\DownloadLogsFromS3.py --loco 4013 --day 2017-05-11</v>
      </c>
      <c r="AN224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09:47:33"},{"id":29,"name":"Sharepoint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522</v>
      </c>
      <c r="B225" s="7">
        <v>4013</v>
      </c>
      <c r="C225" s="21" t="s">
        <v>206</v>
      </c>
      <c r="D225" s="21" t="s">
        <v>547</v>
      </c>
      <c r="E225" s="13">
        <v>42866.093692129631</v>
      </c>
      <c r="F225" s="13">
        <v>42866.113344907404</v>
      </c>
      <c r="G225" s="7">
        <v>1</v>
      </c>
      <c r="H225" s="21" t="s">
        <v>548</v>
      </c>
      <c r="I225" s="13">
        <v>42866.120833333334</v>
      </c>
      <c r="J225" s="7">
        <v>0</v>
      </c>
      <c r="K225" s="92" t="str">
        <f t="shared" si="125"/>
        <v>4013/4014</v>
      </c>
      <c r="L225" s="21" t="str">
        <f>VLOOKUP(A225,'Trips&amp;Operators'!$C$1:$G$99999,5,FALSE)</f>
        <v>GUZMAN DANNY</v>
      </c>
      <c r="M225" s="6">
        <f t="shared" si="126"/>
        <v>7.4884259302052669E-3</v>
      </c>
      <c r="N225" s="7">
        <f t="shared" si="104"/>
        <v>10.783333339495584</v>
      </c>
      <c r="O225" s="7"/>
      <c r="P225" s="7"/>
      <c r="Q225" s="22"/>
      <c r="R225" s="190"/>
      <c r="S225" s="196">
        <f t="shared" si="106"/>
        <v>0</v>
      </c>
      <c r="T225" s="190" t="e">
        <f t="shared" si="127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128"/>
        <v>https://d0f6bd738d7f1b3e5a7ca70fe4ff75f0.us-east-1.aws.found.io/app/kibana#/discover/Steve-Slow-Train-Analysis-(2080s-and-2083s)?_g=(refreshInterval:(display:Off,pause:!f,section:0,value:0),time:(from:'2017-05-11T01:14:55-0600',mode:absolute,to:'2017-05-11T03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5" s="192" t="str">
        <f t="shared" si="129"/>
        <v>Y</v>
      </c>
      <c r="X225" s="192" t="e">
        <f t="shared" si="84"/>
        <v>#VALUE!</v>
      </c>
      <c r="Y225" s="192">
        <f t="shared" si="130"/>
        <v>3.1067999999999998</v>
      </c>
      <c r="Z225" s="192">
        <f t="shared" si="140"/>
        <v>2.5600000000000001E-2</v>
      </c>
      <c r="AA225" s="192">
        <f t="shared" si="131"/>
        <v>3.0811999999999999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132"/>
        <v>60-11</v>
      </c>
      <c r="AE225" s="80" t="str">
        <f t="shared" si="133"/>
        <v>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 &amp; aws s3 cp s3://rtdc.mdm.uploadarchive.raw/RTDC4013/ "%USERPROFILE%\AppData\Local\Temp\OnboardLogs"\RTDC4013\2017-05-12 --exclude "*" --recursive --include "*20170512*" &amp; "%USERPROFILE%\Documents\GitHub\mrs-test-scripts\Headless Mode &amp; Sideloading\WalkAndUnGZ.bat" "%USERPROFILE%\AppData\Local\Temp\OnboardLogs"\RTDC4013\2017-05-12</v>
      </c>
      <c r="AF225" s="77" t="str">
        <f t="shared" si="134"/>
        <v>"C:\Program Files (x86)\AstroGrep\AstroGrep.exe" /e /r /s /spath="%USERPROFILE%\AppData\Local\Temp\OnboardLogs" /stypes="app*4013*20170511*" /stext=" 08:.+((SYSTEM_STATE.+slice.+state.+changed )|(ment ac)|(multiple cpu faults)|(system.+state.+changed )|(\[timeout)|(PRM\|1\|D)|(kpr)|(kdp)|(train st.+moving)|(\|lc)|(penalty))"</v>
      </c>
      <c r="AG225" s="1" t="str">
        <f t="shared" si="135"/>
        <v>Other</v>
      </c>
      <c r="AH225" s="81" t="str">
        <f t="shared" si="136"/>
        <v>"%USERPROFILE%\Documents\GitHub\eaglep3\Utilities\RefineRTDCRunTimes.py" --tripid 60-11 --locoid 4013 --swversion DE.1.0.9.0 --startMP 300:31068 --initTime 2017-05-11T02:14:55 --startdatetime 2017-05-11T02:43:13 --delay 1 --endMP 204:256 --enddatetime 2017-05-11T02:54:00 --enforcementcount 0 &gt;&gt;C:\Users\stu\Documents\GitHub\eaglep3-reporting\EC\2017-05-11-refined-times.txt</v>
      </c>
      <c r="AI225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{"issue":{"subject":"","project_id":79,"tracker_id":40,"status_id":1,"priority_id":2,"assigned_to_id":23,"start_date":"2017-05-11","description":"","custom_fields":[{"id":1,"name":"Subdivision","value":"Other"},{"id":4,"name":"Milepost","value":"0.0256"},{"id":17,"name":"Train ID","value":"60-11"},{"id":16,"name":"Locomotive ID","value":"4013"},{"id":130,"name":"Impact","value":""},{"id":150,"name":"Time of Event (Mountain Time)","value":"02:54:00"},{"id":151,"name":"Denver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38"/>
        <v>start /low /b %USERPROFILE%\Documents\GitHub\eaglep3\Utilities\DownloadLogsFromS3.py --loco 4013 --day 2017-05-11</v>
      </c>
      <c r="AN225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08:54:00"},{"id":29,"name":"Sharepoint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520</v>
      </c>
      <c r="B226" s="7">
        <v>4014</v>
      </c>
      <c r="C226" s="21" t="s">
        <v>206</v>
      </c>
      <c r="D226" s="21" t="s">
        <v>379</v>
      </c>
      <c r="E226" s="13">
        <v>42866.084166666667</v>
      </c>
      <c r="F226" s="13">
        <v>42866.105150462965</v>
      </c>
      <c r="G226" s="7">
        <v>3</v>
      </c>
      <c r="H226" s="21" t="s">
        <v>549</v>
      </c>
      <c r="I226" s="13">
        <v>42866.110856481479</v>
      </c>
      <c r="J226" s="7">
        <v>0</v>
      </c>
      <c r="K226" s="92" t="str">
        <f t="shared" si="125"/>
        <v>4013/4014</v>
      </c>
      <c r="L226" s="21" t="str">
        <f>VLOOKUP(A226,'Trips&amp;Operators'!$C$1:$G$99999,5,FALSE)</f>
        <v>GUZMAN DANNY</v>
      </c>
      <c r="M226" s="6">
        <f t="shared" si="126"/>
        <v>5.7060185135924257E-3</v>
      </c>
      <c r="N226" s="7">
        <f t="shared" si="104"/>
        <v>8.2166666595730931</v>
      </c>
      <c r="O226" s="7"/>
      <c r="P226" s="7"/>
      <c r="Q226" s="22"/>
      <c r="R226" s="190"/>
      <c r="S226" s="196">
        <f t="shared" si="106"/>
        <v>0</v>
      </c>
      <c r="T226" s="190" t="e">
        <f t="shared" si="127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128"/>
        <v>https://d0f6bd738d7f1b3e5a7ca70fe4ff75f0.us-east-1.aws.found.io/app/kibana#/discover/Steve-Slow-Train-Analysis-(2080s-and-2083s)?_g=(refreshInterval:(display:Off,pause:!f,section:0,value:0),time:(from:'2017-05-11T01:01:12-0600',mode:absolute,to:'2017-05-11T03:39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6" s="192" t="str">
        <f t="shared" si="129"/>
        <v>Y</v>
      </c>
      <c r="X226" s="192" t="e">
        <f t="shared" si="84"/>
        <v>#VALUE!</v>
      </c>
      <c r="Y226" s="192">
        <f t="shared" si="130"/>
        <v>4.3700000000000003E-2</v>
      </c>
      <c r="Z226" s="192">
        <f t="shared" si="140"/>
        <v>3.1381999999999999</v>
      </c>
      <c r="AA226" s="192">
        <f t="shared" si="131"/>
        <v>3.0945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132"/>
        <v>61-11</v>
      </c>
      <c r="AE226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26" s="77" t="str">
        <f t="shared" si="134"/>
        <v>"C:\Program Files (x86)\AstroGrep\AstroGrep.exe" /e /r /s /spath="%USERPROFILE%\AppData\Local\Temp\OnboardLogs" /stypes="app*4014*20170511*" /stext=" 08:.+((SYSTEM_STATE.+slice.+state.+changed )|(ment ac)|(multiple cpu faults)|(system.+state.+changed )|(\[timeout)|(PRM\|1\|D)|(kpr)|(kdp)|(train st.+moving)|(\|lc)|(penalty))"</v>
      </c>
      <c r="AG226" s="1" t="str">
        <f t="shared" si="135"/>
        <v>Other</v>
      </c>
      <c r="AH226" s="81" t="str">
        <f t="shared" si="136"/>
        <v>"%USERPROFILE%\Documents\GitHub\eaglep3\Utilities\RefineRTDCRunTimes.py" --tripid 61-11 --locoid 4014 --swversion DE.1.0.9.0 --startMP 204:437 --initTime 2017-05-11T02:01:12 --startdatetime 2017-05-11T02:31:25 --delay 3 --endMP 300:31382 --enddatetime 2017-05-11T02:39:38 --enforcementcount 0 &gt;&gt;C:\Users\stu\Documents\GitHub\eaglep3-reporting\EC\2017-05-11-refined-times.txt</v>
      </c>
      <c r="AI226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{"issue":{"subject":"","project_id":79,"tracker_id":40,"status_id":1,"priority_id":2,"assigned_to_id":23,"start_date":"2017-05-11","description":"","custom_fields":[{"id":1,"name":"Subdivision","value":"Other"},{"id":4,"name":"Milepost","value":"3.1382"},{"id":17,"name":"Train ID","value":"61-11"},{"id":16,"name":"Locomotive ID","value":"4014"},{"id":130,"name":"Impact","value":""},{"id":150,"name":"Time of Event (Mountain Time)","value":"02:39:38"},{"id":151,"name":"Denver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38"/>
        <v>start /low /b %USERPROFILE%\Documents\GitHub\eaglep3\Utilities\DownloadLogsFromS3.py --loco 4014 --day 2017-05-11</v>
      </c>
      <c r="AN226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08:39:38"},{"id":29,"name":"Sharepoint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520</v>
      </c>
      <c r="B227" s="7">
        <v>4014</v>
      </c>
      <c r="C227" s="21" t="s">
        <v>206</v>
      </c>
      <c r="D227" s="21" t="s">
        <v>550</v>
      </c>
      <c r="E227" s="13">
        <v>42866.103819444441</v>
      </c>
      <c r="F227" s="13">
        <v>42866.124247685184</v>
      </c>
      <c r="G227" s="7">
        <v>0</v>
      </c>
      <c r="H227" s="21" t="s">
        <v>551</v>
      </c>
      <c r="I227" s="13">
        <v>42866.129189814812</v>
      </c>
      <c r="J227" s="7">
        <v>0</v>
      </c>
      <c r="K227" s="92" t="str">
        <f t="shared" si="125"/>
        <v>4013/4014</v>
      </c>
      <c r="L227" s="21" t="str">
        <f>VLOOKUP(A227,'Trips&amp;Operators'!$C$1:$G$99999,5,FALSE)</f>
        <v>GUZMAN DANNY</v>
      </c>
      <c r="M227" s="6">
        <f t="shared" si="126"/>
        <v>4.9421296280343086E-3</v>
      </c>
      <c r="N227" s="7">
        <f t="shared" ref="N227:N249" si="141">24*60*SUM($M227:$M227)</f>
        <v>7.1166666643694043</v>
      </c>
      <c r="O227" s="7"/>
      <c r="P227" s="7"/>
      <c r="Q227" s="22"/>
      <c r="R227" s="190"/>
      <c r="S227" s="196">
        <f t="shared" si="106"/>
        <v>0</v>
      </c>
      <c r="T227" s="190" t="e">
        <f t="shared" si="127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128"/>
        <v>https://d0f6bd738d7f1b3e5a7ca70fe4ff75f0.us-east-1.aws.found.io/app/kibana#/discover/Steve-Slow-Train-Analysis-(2080s-and-2083s)?_g=(refreshInterval:(display:Off,pause:!f,section:0,value:0),time:(from:'2017-05-11T01:29:30-0600',mode:absolute,to:'2017-05-11T04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7" s="192" t="str">
        <f t="shared" si="129"/>
        <v>Y</v>
      </c>
      <c r="X227" s="192" t="e">
        <f t="shared" si="84"/>
        <v>#VALUE!</v>
      </c>
      <c r="Y227" s="192">
        <f t="shared" si="130"/>
        <v>5.6500000000000002E-2</v>
      </c>
      <c r="Z227" s="192">
        <f t="shared" si="140"/>
        <v>3.121</v>
      </c>
      <c r="AA227" s="192">
        <f t="shared" si="131"/>
        <v>3.0644999999999998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132"/>
        <v>61-11</v>
      </c>
      <c r="AE227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27" s="77" t="str">
        <f t="shared" si="134"/>
        <v>"C:\Program Files (x86)\AstroGrep\AstroGrep.exe" /e /r /s /spath="%USERPROFILE%\AppData\Local\Temp\OnboardLogs" /stypes="app*4014*20170511*" /stext=" 09:.+((SYSTEM_STATE.+slice.+state.+changed )|(ment ac)|(multiple cpu faults)|(system.+state.+changed )|(\[timeout)|(PRM\|1\|D)|(kpr)|(kdp)|(train st.+moving)|(\|lc)|(penalty))"</v>
      </c>
      <c r="AG227" s="1" t="str">
        <f t="shared" si="135"/>
        <v>Other</v>
      </c>
      <c r="AH227" s="81" t="str">
        <f t="shared" si="136"/>
        <v>"%USERPROFILE%\Documents\GitHub\eaglep3\Utilities\RefineRTDCRunTimes.py" --tripid 61-11 --locoid 4014 --swversion DE.1.0.9.0 --startMP 204:565 --initTime 2017-05-11T02:29:30 --startdatetime 2017-05-11T02:58:55 --delay 0 --endMP 300:31210 --enddatetime 2017-05-11T03:06:02 --enforcementcount 0 &gt;&gt;C:\Users\stu\Documents\GitHub\eaglep3-reporting\EC\2017-05-11-refined-times.txt</v>
      </c>
      <c r="AI227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{"issue":{"subject":"","project_id":79,"tracker_id":40,"status_id":1,"priority_id":2,"assigned_to_id":23,"start_date":"2017-05-11","description":"","custom_fields":[{"id":1,"name":"Subdivision","value":"Other"},{"id":4,"name":"Milepost","value":"3.121"},{"id":17,"name":"Train ID","value":"61-11"},{"id":16,"name":"Locomotive ID","value":"4014"},{"id":130,"name":"Impact","value":""},{"id":150,"name":"Time of Event (Mountain Time)","value":"03:06:02"},{"id":151,"name":"Denver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38"/>
        <v>start /low /b %USERPROFILE%\Documents\GitHub\eaglep3\Utilities\DownloadLogsFromS3.py --loco 4014 --day 2017-05-11</v>
      </c>
      <c r="AN227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09:06:02"},{"id":29,"name":"Sharepoint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520</v>
      </c>
      <c r="B228" s="7">
        <v>4014</v>
      </c>
      <c r="C228" s="21" t="s">
        <v>206</v>
      </c>
      <c r="D228" s="21" t="s">
        <v>490</v>
      </c>
      <c r="E228" s="13">
        <v>42866.122696759259</v>
      </c>
      <c r="F228" s="13">
        <v>42866.142418981479</v>
      </c>
      <c r="G228" s="7">
        <v>1</v>
      </c>
      <c r="H228" s="21" t="s">
        <v>938</v>
      </c>
      <c r="I228" s="13">
        <v>42866.147847222222</v>
      </c>
      <c r="J228" s="7">
        <v>0</v>
      </c>
      <c r="K228" s="92" t="str">
        <f t="shared" si="125"/>
        <v>4013/4014</v>
      </c>
      <c r="L228" s="21" t="str">
        <f>VLOOKUP(A228,'Trips&amp;Operators'!$C$1:$G$99999,5,FALSE)</f>
        <v>GUZMAN DANNY</v>
      </c>
      <c r="M228" s="6">
        <f t="shared" si="126"/>
        <v>5.4282407436403446E-3</v>
      </c>
      <c r="N228" s="7">
        <f t="shared" si="141"/>
        <v>7.8166666708420962</v>
      </c>
      <c r="O228" s="7"/>
      <c r="P228" s="7"/>
      <c r="Q228" s="22"/>
      <c r="R228" s="190"/>
      <c r="S228" s="196">
        <f t="shared" si="106"/>
        <v>0</v>
      </c>
      <c r="T228" s="190" t="e">
        <f t="shared" si="127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128"/>
        <v>https://d0f6bd738d7f1b3e5a7ca70fe4ff75f0.us-east-1.aws.found.io/app/kibana#/discover/Steve-Slow-Train-Analysis-(2080s-and-2083s)?_g=(refreshInterval:(display:Off,pause:!f,section:0,value:0),time:(from:'2017-05-11T01:56:41-0600',mode:absolute,to:'2017-05-11T04:32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8" s="192" t="str">
        <f t="shared" si="129"/>
        <v>Y</v>
      </c>
      <c r="X228" s="192" t="e">
        <f t="shared" si="84"/>
        <v>#VALUE!</v>
      </c>
      <c r="Y228" s="192">
        <f t="shared" si="130"/>
        <v>6.6100000000000006E-2</v>
      </c>
      <c r="Z228" s="192">
        <f t="shared" si="140"/>
        <v>3.1254</v>
      </c>
      <c r="AA228" s="192">
        <f t="shared" si="131"/>
        <v>3.0592999999999999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132"/>
        <v>61-11</v>
      </c>
      <c r="AE228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28" s="77" t="str">
        <f t="shared" si="134"/>
        <v>"C:\Program Files (x86)\AstroGrep\AstroGrep.exe" /e /r /s /spath="%USERPROFILE%\AppData\Local\Temp\OnboardLogs" /stypes="app*4014*20170511*" /stext=" 09:.+((SYSTEM_STATE.+slice.+state.+changed )|(ment ac)|(multiple cpu faults)|(system.+state.+changed )|(\[timeout)|(PRM\|1\|D)|(kpr)|(kdp)|(train st.+moving)|(\|lc)|(penalty))"</v>
      </c>
      <c r="AG228" s="1" t="str">
        <f t="shared" si="135"/>
        <v>Other</v>
      </c>
      <c r="AH228" s="81" t="str">
        <f t="shared" si="136"/>
        <v>"%USERPROFILE%\Documents\GitHub\eaglep3\Utilities\RefineRTDCRunTimes.py" --tripid 61-11 --locoid 4014 --swversion DE.1.0.9.0 --startMP 204:661 --initTime 2017-05-11T02:56:41 --startdatetime 2017-05-11T03:25:05 --delay 1 --endMP 300:31254 --enddatetime 2017-05-11T03:32:54 --enforcementcount 0 &gt;&gt;C:\Users\stu\Documents\GitHub\eaglep3-reporting\EC\2017-05-11-refined-times.txt</v>
      </c>
      <c r="AI228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{"issue":{"subject":"","project_id":79,"tracker_id":40,"status_id":1,"priority_id":2,"assigned_to_id":23,"start_date":"2017-05-11","description":"","custom_fields":[{"id":1,"name":"Subdivision","value":"Other"},{"id":4,"name":"Milepost","value":"3.1254"},{"id":17,"name":"Train ID","value":"61-11"},{"id":16,"name":"Locomotive ID","value":"4014"},{"id":130,"name":"Impact","value":""},{"id":150,"name":"Time of Event (Mountain Time)","value":"03:32:54"},{"id":151,"name":"Denver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38"/>
        <v>start /low /b %USERPROFILE%\Documents\GitHub\eaglep3\Utilities\DownloadLogsFromS3.py --loco 4014 --day 2017-05-11</v>
      </c>
      <c r="AN228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09:32:54"},{"id":29,"name":"Sharepoint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520</v>
      </c>
      <c r="B229" s="7">
        <v>4014</v>
      </c>
      <c r="C229" s="21" t="s">
        <v>206</v>
      </c>
      <c r="D229" s="21" t="s">
        <v>939</v>
      </c>
      <c r="E229" s="13">
        <v>42866.140706018516</v>
      </c>
      <c r="F229" s="13">
        <v>42866.160636574074</v>
      </c>
      <c r="G229" s="7">
        <v>1</v>
      </c>
      <c r="H229" s="21" t="s">
        <v>940</v>
      </c>
      <c r="I229" s="13">
        <v>42866.166168981479</v>
      </c>
      <c r="J229" s="7">
        <v>0</v>
      </c>
      <c r="K229" s="92" t="str">
        <f t="shared" si="125"/>
        <v>4013/4014</v>
      </c>
      <c r="L229" s="21" t="str">
        <f>VLOOKUP(A229,'Trips&amp;Operators'!$C$1:$G$99999,5,FALSE)</f>
        <v>GUZMAN DANNY</v>
      </c>
      <c r="M229" s="6">
        <f t="shared" si="126"/>
        <v>5.5324074055533856E-3</v>
      </c>
      <c r="N229" s="7">
        <f t="shared" si="141"/>
        <v>7.9666666639968753</v>
      </c>
      <c r="O229" s="7"/>
      <c r="P229" s="7"/>
      <c r="Q229" s="22"/>
      <c r="R229" s="190"/>
      <c r="S229" s="196">
        <f t="shared" ref="S229:S249" si="142">SUM(U229:U229)/IF(AG229="EC",12,1)</f>
        <v>0</v>
      </c>
      <c r="T229" s="190" t="e">
        <f t="shared" si="127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128"/>
        <v>https://d0f6bd738d7f1b3e5a7ca70fe4ff75f0.us-east-1.aws.found.io/app/kibana#/discover/Steve-Slow-Train-Analysis-(2080s-and-2083s)?_g=(refreshInterval:(display:Off,pause:!f,section:0,value:0),time:(from:'2017-05-11T02:22:37-0600',mode:absolute,to:'2017-05-11T04:59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9" s="192" t="str">
        <f t="shared" si="129"/>
        <v>Y</v>
      </c>
      <c r="X229" s="192" t="e">
        <f t="shared" si="84"/>
        <v>#VALUE!</v>
      </c>
      <c r="Y229" s="192">
        <f t="shared" si="130"/>
        <v>7.2099999999999997E-2</v>
      </c>
      <c r="Z229" s="192">
        <f t="shared" si="140"/>
        <v>3.1122999999999998</v>
      </c>
      <c r="AA229" s="192">
        <f t="shared" si="131"/>
        <v>3.0402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132"/>
        <v>61-11</v>
      </c>
      <c r="AE229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29" s="77" t="str">
        <f t="shared" si="134"/>
        <v>"C:\Program Files (x86)\AstroGrep\AstroGrep.exe" /e /r /s /spath="%USERPROFILE%\AppData\Local\Temp\OnboardLogs" /stypes="app*4014*20170511*" /stext=" 09:.+((SYSTEM_STATE.+slice.+state.+changed )|(ment ac)|(multiple cpu faults)|(system.+state.+changed )|(\[timeout)|(PRM\|1\|D)|(kpr)|(kdp)|(train st.+moving)|(\|lc)|(penalty))"</v>
      </c>
      <c r="AG229" s="1" t="str">
        <f t="shared" si="135"/>
        <v>Other</v>
      </c>
      <c r="AH229" s="81" t="str">
        <f t="shared" si="136"/>
        <v>"%USERPROFILE%\Documents\GitHub\eaglep3\Utilities\RefineRTDCRunTimes.py" --tripid 61-11 --locoid 4014 --swversion DE.1.0.9.0 --startMP 204:721 --initTime 2017-05-11T03:22:37 --startdatetime 2017-05-11T03:51:19 --delay 1 --endMP 300:31123 --enddatetime 2017-05-11T03:59:17 --enforcementcount 0 &gt;&gt;C:\Users\stu\Documents\GitHub\eaglep3-reporting\EC\2017-05-11-refined-times.txt</v>
      </c>
      <c r="AI229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{"issue":{"subject":"","project_id":79,"tracker_id":40,"status_id":1,"priority_id":2,"assigned_to_id":23,"start_date":"2017-05-11","description":"","custom_fields":[{"id":1,"name":"Subdivision","value":"Other"},{"id":4,"name":"Milepost","value":"3.1123"},{"id":17,"name":"Train ID","value":"61-11"},{"id":16,"name":"Locomotive ID","value":"4014"},{"id":130,"name":"Impact","value":""},{"id":150,"name":"Time of Event (Mountain Time)","value":"03:59:17"},{"id":151,"name":"Denver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38"/>
        <v>start /low /b %USERPROFILE%\Documents\GitHub\eaglep3\Utilities\DownloadLogsFromS3.py --loco 4014 --day 2017-05-11</v>
      </c>
      <c r="AN229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09:59:17"},{"id":29,"name":"Sharepoint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520</v>
      </c>
      <c r="B230" s="7">
        <v>4014</v>
      </c>
      <c r="C230" s="21" t="s">
        <v>206</v>
      </c>
      <c r="D230" s="21" t="s">
        <v>941</v>
      </c>
      <c r="E230" s="13">
        <v>42866.159039351849</v>
      </c>
      <c r="F230" s="13">
        <v>42866.160636574074</v>
      </c>
      <c r="G230" s="7">
        <v>1</v>
      </c>
      <c r="H230" s="21" t="s">
        <v>942</v>
      </c>
      <c r="I230" s="13">
        <v>42866.166168981479</v>
      </c>
      <c r="J230" s="7">
        <v>0</v>
      </c>
      <c r="K230" s="92" t="str">
        <f t="shared" si="125"/>
        <v>4013/4014</v>
      </c>
      <c r="L230" s="21" t="str">
        <f>VLOOKUP(A230,'Trips&amp;Operators'!$C$1:$G$99999,5,FALSE)</f>
        <v>GUZMAN DANNY</v>
      </c>
      <c r="M230" s="6">
        <f t="shared" si="126"/>
        <v>5.5324074055533856E-3</v>
      </c>
      <c r="N230" s="7">
        <f t="shared" si="141"/>
        <v>7.9666666639968753</v>
      </c>
      <c r="O230" s="7"/>
      <c r="P230" s="7"/>
      <c r="Q230" s="22"/>
      <c r="R230" s="190"/>
      <c r="S230" s="196">
        <f t="shared" si="142"/>
        <v>0</v>
      </c>
      <c r="T230" s="190" t="e">
        <f t="shared" si="127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128"/>
        <v>https://d0f6bd738d7f1b3e5a7ca70fe4ff75f0.us-east-1.aws.found.io/app/kibana#/discover/Steve-Slow-Train-Analysis-(2080s-and-2083s)?_g=(refreshInterval:(display:Off,pause:!f,section:0,value:0),time:(from:'2017-05-11T02:49:01-0600',mode:absolute,to:'2017-05-11T04:59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0" s="192" t="str">
        <f t="shared" si="129"/>
        <v>Y</v>
      </c>
      <c r="X230" s="192" t="e">
        <f t="shared" si="84"/>
        <v>#VALUE!</v>
      </c>
      <c r="Y230" s="192">
        <f t="shared" si="130"/>
        <v>7.2599999999999998E-2</v>
      </c>
      <c r="Z230" s="192">
        <f t="shared" si="140"/>
        <v>3.1133999999999999</v>
      </c>
      <c r="AA230" s="192">
        <f t="shared" si="131"/>
        <v>3.0407999999999999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132"/>
        <v>61-11</v>
      </c>
      <c r="AE230" s="80" t="str">
        <f t="shared" si="133"/>
        <v>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 &amp; aws s3 cp s3://rtdc.mdm.uploadarchive.raw/RTDC4014/ "%USERPROFILE%\AppData\Local\Temp\OnboardLogs"\RTDC4014\2017-05-12 --exclude "*" --recursive --include "*20170512*" &amp; "%USERPROFILE%\Documents\GitHub\mrs-test-scripts\Headless Mode &amp; Sideloading\WalkAndUnGZ.bat" "%USERPROFILE%\AppData\Local\Temp\OnboardLogs"\RTDC4014\2017-05-12</v>
      </c>
      <c r="AF230" s="77" t="str">
        <f t="shared" si="134"/>
        <v>"C:\Program Files (x86)\AstroGrep\AstroGrep.exe" /e /r /s /spath="%USERPROFILE%\AppData\Local\Temp\OnboardLogs" /stypes="app*4014*20170511*" /stext=" 09:.+((SYSTEM_STATE.+slice.+state.+changed )|(ment ac)|(multiple cpu faults)|(system.+state.+changed )|(\[timeout)|(PRM\|1\|D)|(kpr)|(kdp)|(train st.+moving)|(\|lc)|(penalty))"</v>
      </c>
      <c r="AG230" s="1" t="str">
        <f t="shared" si="135"/>
        <v>Other</v>
      </c>
      <c r="AH230" s="81" t="str">
        <f t="shared" si="136"/>
        <v>"%USERPROFILE%\Documents\GitHub\eaglep3\Utilities\RefineRTDCRunTimes.py" --tripid 61-11 --locoid 4014 --swversion DE.1.0.9.0 --startMP 204:726 --initTime 2017-05-11T03:49:01 --startdatetime 2017-05-11T03:51:19 --delay 1 --endMP 300:31134 --enddatetime 2017-05-11T03:59:17 --enforcementcount 0 &gt;&gt;C:\Users\stu\Documents\GitHub\eaglep3-reporting\EC\2017-05-11-refined-times.txt</v>
      </c>
      <c r="AI230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{"issue":{"subject":"","project_id":79,"tracker_id":40,"status_id":1,"priority_id":2,"assigned_to_id":23,"start_date":"2017-05-11","description":"","custom_fields":[{"id":1,"name":"Subdivision","value":"Other"},{"id":4,"name":"Milepost","value":"3.1134"},{"id":17,"name":"Train ID","value":"61-11"},{"id":16,"name":"Locomotive ID","value":"4014"},{"id":130,"name":"Impact","value":""},{"id":150,"name":"Time of Event (Mountain Time)","value":"03:59:17"},{"id":151,"name":"Denver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38"/>
        <v>start /low /b %USERPROFILE%\Documents\GitHub\eaglep3\Utilities\DownloadLogsFromS3.py --loco 4014 --day 2017-05-11</v>
      </c>
      <c r="AN230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09:59:17"},{"id":29,"name":"Sharepoint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679</v>
      </c>
      <c r="B231" s="7">
        <v>4042</v>
      </c>
      <c r="C231" s="21" t="s">
        <v>206</v>
      </c>
      <c r="D231" s="21" t="s">
        <v>355</v>
      </c>
      <c r="E231" s="13">
        <v>42866.445150462961</v>
      </c>
      <c r="F231" s="13">
        <v>42866.44866898148</v>
      </c>
      <c r="G231" s="7">
        <v>1</v>
      </c>
      <c r="H231" s="21" t="s">
        <v>943</v>
      </c>
      <c r="I231" s="13">
        <v>42866.458981481483</v>
      </c>
      <c r="J231" s="7">
        <v>0</v>
      </c>
      <c r="K231" s="92" t="str">
        <f t="shared" si="125"/>
        <v>4041/4042</v>
      </c>
      <c r="L231" s="21" t="str">
        <f>VLOOKUP(A231,'Trips&amp;Operators'!$C$1:$G$99999,5,FALSE)</f>
        <v>YORK EDGAR</v>
      </c>
      <c r="M231" s="6">
        <f t="shared" si="126"/>
        <v>1.0312500002328306E-2</v>
      </c>
      <c r="N231" s="7">
        <f t="shared" si="141"/>
        <v>14.850000003352761</v>
      </c>
      <c r="O231" s="7"/>
      <c r="P231" s="7"/>
      <c r="Q231" s="22"/>
      <c r="R231" s="190"/>
      <c r="S231" s="196">
        <f t="shared" si="142"/>
        <v>0</v>
      </c>
      <c r="T231" s="190" t="e">
        <f t="shared" si="127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128"/>
        <v>https://d0f6bd738d7f1b3e5a7ca70fe4ff75f0.us-east-1.aws.found.io/app/kibana#/discover/Steve-Slow-Train-Analysis-(2080s-and-2083s)?_g=(refreshInterval:(display:Off,pause:!f,section:0,value:0),time:(from:'2017-05-11T09:41:01-0600',mode:absolute,to:'2017-05-11T12:00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1" s="192" t="str">
        <f t="shared" si="129"/>
        <v>N</v>
      </c>
      <c r="X231" s="192" t="e">
        <f t="shared" si="84"/>
        <v>#VALUE!</v>
      </c>
      <c r="Y231" s="192">
        <f t="shared" si="130"/>
        <v>4.58E-2</v>
      </c>
      <c r="Z231" s="192">
        <f t="shared" si="140"/>
        <v>7.0484</v>
      </c>
      <c r="AA231" s="192">
        <f t="shared" si="131"/>
        <v>7.0026000000000002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132"/>
        <v>63-11</v>
      </c>
      <c r="AE231" s="80" t="str">
        <f t="shared" si="133"/>
        <v>aws s3 cp s3://rtdc.mdm.uploadarchive.raw/RTDC4042/ "%USERPROFILE%\AppData\Local\Temp\OnboardLogs"\RTDC4042\2017-05-11 --exclude "*" --recursive --include "*20170511*" &amp; "%USERPROFILE%\Documents\GitHub\mrs-test-scripts\Headless Mode &amp; Sideloading\WalkAndUnGZ.bat" "%USERPROFILE%\AppData\Local\Temp\OnboardLogs"\RTDC4042\2017-05-11 &amp; 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</v>
      </c>
      <c r="AF231" s="77" t="str">
        <f t="shared" si="134"/>
        <v>"C:\Program Files (x86)\AstroGrep\AstroGrep.exe" /e /r /s /spath="%USERPROFILE%\AppData\Local\Temp\OnboardLogs" /stypes="app*4042*20170511*" /stext=" 17:.+((SYSTEM_STATE.+slice.+state.+changed )|(ment ac)|(multiple cpu faults)|(system.+state.+changed )|(\[timeout)|(PRM\|1\|D)|(kpr)|(kdp)|(train st.+moving)|(\|lc)|(penalty))"</v>
      </c>
      <c r="AG231" s="1" t="str">
        <f t="shared" si="135"/>
        <v>Other</v>
      </c>
      <c r="AH231" s="81" t="str">
        <f t="shared" si="136"/>
        <v>"%USERPROFILE%\Documents\GitHub\eaglep3\Utilities\RefineRTDCRunTimes.py" --tripid 63-11 --locoid 4042 --swversion DE.1.0.9.0 --startMP 204:458 --initTime 2017-05-11T10:41:01 --startdatetime 2017-05-11T10:46:05 --delay 1 --endMP 204:70484 --enddatetime 2017-05-11T11:00:56 --enforcementcount 0 &gt;&gt;C:\Users\stu\Documents\GitHub\eaglep3-reporting\EC\2017-05-11-refined-times.txt</v>
      </c>
      <c r="AI231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{"issue":{"subject":"","project_id":79,"tracker_id":40,"status_id":1,"priority_id":2,"assigned_to_id":23,"start_date":"2017-05-11","description":"","custom_fields":[{"id":1,"name":"Subdivision","value":"Other"},{"id":4,"name":"Milepost","value":"7.0484"},{"id":17,"name":"Train ID","value":"63-11"},{"id":16,"name":"Locomotive ID","value":"4042"},{"id":130,"name":"Impact","value":""},{"id":150,"name":"Time of Event (Mountain Time)","value":"11:00:56"},{"id":151,"name":"Denver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38"/>
        <v>start /low /b %USERPROFILE%\Documents\GitHub\eaglep3\Utilities\DownloadLogsFromS3.py --loco 4042 --day 2017-05-11</v>
      </c>
      <c r="AN231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17:00:56"},{"id":29,"name":"Sharepoint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687</v>
      </c>
      <c r="B232" s="7">
        <v>4004</v>
      </c>
      <c r="C232" s="21" t="s">
        <v>206</v>
      </c>
      <c r="D232" s="21" t="s">
        <v>944</v>
      </c>
      <c r="E232" s="13">
        <v>42866.482118055559</v>
      </c>
      <c r="F232" s="13">
        <v>42866.483958333331</v>
      </c>
      <c r="G232" s="7">
        <v>1</v>
      </c>
      <c r="H232" s="21" t="s">
        <v>945</v>
      </c>
      <c r="I232" s="13">
        <v>42866.505949074075</v>
      </c>
      <c r="J232" s="7">
        <v>0</v>
      </c>
      <c r="K232" s="92" t="str">
        <f t="shared" si="125"/>
        <v>4003/4004</v>
      </c>
      <c r="L232" s="21" t="str">
        <f>VLOOKUP(A232,'Trips&amp;Operators'!$C$1:$G$99999,5,FALSE)</f>
        <v>ARVIDSON DANIEL</v>
      </c>
      <c r="M232" s="6">
        <f t="shared" si="126"/>
        <v>2.199074074451346E-2</v>
      </c>
      <c r="N232" s="7">
        <f t="shared" si="141"/>
        <v>31.666666672099382</v>
      </c>
      <c r="O232" s="7"/>
      <c r="P232" s="7"/>
      <c r="Q232" s="22"/>
      <c r="R232" s="190" t="s">
        <v>1053</v>
      </c>
      <c r="S232" s="196">
        <f t="shared" si="142"/>
        <v>0</v>
      </c>
      <c r="T232" s="190" t="e">
        <f t="shared" si="127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128"/>
        <v>https://d0f6bd738d7f1b3e5a7ca70fe4ff75f0.us-east-1.aws.found.io/app/kibana#/discover/Steve-Slow-Train-Analysis-(2080s-and-2083s)?_g=(refreshInterval:(display:Off,pause:!f,section:0,value:0),time:(from:'2017-05-11T10:34:15-0600',mode:absolute,to:'2017-05-11T13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2" s="192" t="str">
        <f t="shared" si="129"/>
        <v>N</v>
      </c>
      <c r="X232" s="192" t="e">
        <f t="shared" si="84"/>
        <v>#VALUE!</v>
      </c>
      <c r="Y232" s="192">
        <f t="shared" si="130"/>
        <v>0.14860000000000001</v>
      </c>
      <c r="Z232" s="192">
        <f t="shared" si="140"/>
        <v>6.46</v>
      </c>
      <c r="AA232" s="192">
        <f t="shared" si="131"/>
        <v>6.3113999999999999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132"/>
        <v>65-11</v>
      </c>
      <c r="AE232" s="80" t="str">
        <f t="shared" si="133"/>
        <v>aws s3 cp s3://rtdc.mdm.uploadarchive.raw/RTDC4004/ "%USERPROFILE%\AppData\Local\Temp\OnboardLogs"\RTDC4004\2017-05-11 --exclude "*" --recursive --include "*20170511*" &amp; "%USERPROFILE%\Documents\GitHub\mrs-test-scripts\Headless Mode &amp; Sideloading\WalkAndUnGZ.bat" "%USERPROFILE%\AppData\Local\Temp\OnboardLogs"\RTDC4004\2017-05-11 &amp; aws s3 cp s3://rtdc.mdm.uploadarchive.raw/RTDC4004/ "%USERPROFILE%\AppData\Local\Temp\OnboardLogs"\RTDC4004\2017-05-12 --exclude "*" --recursive --include "*20170512*" &amp; "%USERPROFILE%\Documents\GitHub\mrs-test-scripts\Headless Mode &amp; Sideloading\WalkAndUnGZ.bat" "%USERPROFILE%\AppData\Local\Temp\OnboardLogs"\RTDC4004\2017-05-12</v>
      </c>
      <c r="AF232" s="77" t="str">
        <f t="shared" si="134"/>
        <v>"C:\Program Files (x86)\AstroGrep\AstroGrep.exe" /e /r /s /spath="%USERPROFILE%\AppData\Local\Temp\OnboardLogs" /stypes="app*4004*20170511*" /stext=" 18:.+((SYSTEM_STATE.+slice.+state.+changed )|(ment ac)|(multiple cpu faults)|(system.+state.+changed )|(\[timeout)|(PRM\|1\|D)|(kpr)|(kdp)|(train st.+moving)|(\|lc)|(penalty))"</v>
      </c>
      <c r="AG232" s="1" t="str">
        <f t="shared" si="135"/>
        <v>Other</v>
      </c>
      <c r="AH232" s="81" t="str">
        <f t="shared" si="136"/>
        <v>"%USERPROFILE%\Documents\GitHub\eaglep3\Utilities\RefineRTDCRunTimes.py" --tripid 65-11 --locoid 4004 --swversion DE.1.0.9.0 --startMP 204:1486 --initTime 2017-05-11T11:34:15 --startdatetime 2017-05-11T11:36:54 --delay 1 --endMP 204:64600 --enddatetime 2017-05-11T12:08:34 --enforcementcount 0 &gt;&gt;C:\Users\stu\Documents\GitHub\eaglep3-reporting\EC\2017-05-11-refined-times.txt</v>
      </c>
      <c r="AI232" s="99" t="str">
        <f t="shared" si="137"/>
        <v>echo {"issue":{"subject":"Brief Wi-MAX data drop led to unhealthy crossing","project_id":79,"tracker_id":40,"status_id":1,"priority_id":2,"assigned_to_id":23,"start_date":"2017-05-11","description":"","custom_fields":[{"id":1,"name":"Subdivision","value":"Other"},{"id":4,"name":"Milepost","value":"6.46"},{"id":17,"name":"Train ID","value":"65-11"},{"id":16,"name":"Locomotive ID","value":"4004"},{"id":130,"name":"Impact","value":""},{"id":150,"name":"Time of Event (Mountain Time)","value":"12:08:34"},{"id":151,"name":"Denver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38"/>
        <v>start /low /b %USERPROFILE%\Documents\GitHub\eaglep3\Utilities\DownloadLogsFromS3.py --loco 4004 --day 2017-05-11</v>
      </c>
      <c r="AN232" s="154" t="str">
        <f t="shared" si="139"/>
        <v>echo {"issue":{"subject":"Brief Wi-MAX data drop led to unhealthy crossing","project_id":30,"tracker_id":4,"status_id":1,"priority_id":1,"assigned_to_id":10,"start_date":"2017-05-11","description":"","custom_fields":[{"id":30,"name":"Category","value":"Issue"},{"id":3,"name":"Functional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777</v>
      </c>
      <c r="B233" s="7">
        <v>4027</v>
      </c>
      <c r="C233" s="21" t="s">
        <v>206</v>
      </c>
      <c r="D233" s="21" t="s">
        <v>946</v>
      </c>
      <c r="E233" s="13">
        <v>42866.883715277778</v>
      </c>
      <c r="F233" s="13">
        <v>42866.884884259256</v>
      </c>
      <c r="G233" s="7">
        <v>0</v>
      </c>
      <c r="H233" s="21" t="s">
        <v>947</v>
      </c>
      <c r="I233" s="13">
        <v>42866.886087962965</v>
      </c>
      <c r="J233" s="7">
        <v>0</v>
      </c>
      <c r="K233" s="92" t="str">
        <f t="shared" si="125"/>
        <v>4027/4028</v>
      </c>
      <c r="L233" s="21" t="str">
        <f>VLOOKUP(A233,'Trips&amp;Operators'!$C$1:$G$99999,5,FALSE)</f>
        <v>NEWELL JAMES</v>
      </c>
      <c r="M233" s="6">
        <f t="shared" si="126"/>
        <v>1.2037037085974589E-3</v>
      </c>
      <c r="N233" s="7">
        <f t="shared" si="141"/>
        <v>1.7333333403803408</v>
      </c>
      <c r="O233" s="7"/>
      <c r="P233" s="7"/>
      <c r="Q233" s="22"/>
      <c r="R233" s="190"/>
      <c r="S233" s="196">
        <f t="shared" si="142"/>
        <v>0</v>
      </c>
      <c r="T233" s="190" t="e">
        <f t="shared" si="127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128"/>
        <v>https://d0f6bd738d7f1b3e5a7ca70fe4ff75f0.us-east-1.aws.found.io/app/kibana#/discover/Steve-Slow-Train-Analysis-(2080s-and-2083s)?_g=(refreshInterval:(display:Off,pause:!f,section:0,value:0),time:(from:'2017-05-11T20:12:33-0600',mode:absolute,to:'2017-05-11T22:15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3" s="192" t="str">
        <f t="shared" si="129"/>
        <v>Y</v>
      </c>
      <c r="X233" s="192" t="e">
        <f t="shared" si="84"/>
        <v>#VALUE!</v>
      </c>
      <c r="Y233" s="192">
        <f t="shared" si="130"/>
        <v>0.3014</v>
      </c>
      <c r="Z233" s="192">
        <f t="shared" si="140"/>
        <v>1.61E-2</v>
      </c>
      <c r="AA233" s="192">
        <f t="shared" si="131"/>
        <v>0.2853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132"/>
        <v>66-11</v>
      </c>
      <c r="AE233" s="80" t="str">
        <f t="shared" si="133"/>
        <v>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 &amp; aws s3 cp s3://rtdc.mdm.uploadarchive.raw/RTDC4027/ "%USERPROFILE%\AppData\Local\Temp\OnboardLogs"\RTDC4027\2017-05-12 --exclude "*" --recursive --include "*20170512*" &amp; "%USERPROFILE%\Documents\GitHub\mrs-test-scripts\Headless Mode &amp; Sideloading\WalkAndUnGZ.bat" "%USERPROFILE%\AppData\Local\Temp\OnboardLogs"\RTDC4027\2017-05-12</v>
      </c>
      <c r="AF233" s="77" t="str">
        <f t="shared" si="134"/>
        <v>"C:\Program Files (x86)\AstroGrep\AstroGrep.exe" /e /r /s /spath="%USERPROFILE%\AppData\Local\Temp\OnboardLogs" /stypes="app*4027*20170512*" /stext=" 03:.+((SYSTEM_STATE.+slice.+state.+changed )|(ment ac)|(multiple cpu faults)|(system.+state.+changed )|(\[timeout)|(PRM\|1\|D)|(kpr)|(kdp)|(train st.+moving)|(\|lc)|(penalty))"</v>
      </c>
      <c r="AG233" s="1" t="str">
        <f t="shared" si="135"/>
        <v>Other</v>
      </c>
      <c r="AH233" s="81" t="str">
        <f t="shared" si="136"/>
        <v>"%USERPROFILE%\Documents\GitHub\eaglep3\Utilities\RefineRTDCRunTimes.py" --tripid 66-11 --locoid 4027 --swversion DE.1.0.9.0 --startMP 204:3014 --initTime 2017-05-11T21:12:33 --startdatetime 2017-05-11T21:14:14 --delay 0 --endMP 204:161 --enddatetime 2017-05-11T21:15:58 --enforcementcount 0 &gt;&gt;C:\Users\stu\Documents\GitHub\eaglep3-reporting\EC\2017-05-11-refined-times.txt</v>
      </c>
      <c r="AI233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{"issue":{"subject":"","project_id":79,"tracker_id":40,"status_id":1,"priority_id":2,"assigned_to_id":23,"start_date":"2017-05-11","description":"","custom_fields":[{"id":1,"name":"Subdivision","value":"Other"},{"id":4,"name":"Milepost","value":"0.0161"},{"id":17,"name":"Train ID","value":"66-11"},{"id":16,"name":"Locomotive ID","value":"4027"},{"id":130,"name":"Impact","value":""},{"id":150,"name":"Time of Event (Mountain Time)","value":"21:15:58"},{"id":151,"name":"Denver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38"/>
        <v>start /low /b %USERPROFILE%\Documents\GitHub\eaglep3\Utilities\DownloadLogsFromS3.py --loco 4027 --day 2017-05-11</v>
      </c>
      <c r="AN233" s="154" t="str">
        <f t="shared" si="139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03:15:58"},{"id":29,"name":"Sharepoint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777</v>
      </c>
      <c r="B234" s="7">
        <v>4028</v>
      </c>
      <c r="C234" s="21" t="s">
        <v>206</v>
      </c>
      <c r="D234" s="21" t="s">
        <v>948</v>
      </c>
      <c r="E234" s="13">
        <v>42866.880173611113</v>
      </c>
      <c r="F234" s="13">
        <v>42866.884884259256</v>
      </c>
      <c r="G234" s="7">
        <v>2</v>
      </c>
      <c r="H234" s="21" t="s">
        <v>949</v>
      </c>
      <c r="I234" s="13">
        <v>42866.886087962965</v>
      </c>
      <c r="J234" s="7">
        <v>0</v>
      </c>
      <c r="K234" s="92" t="str">
        <f t="shared" si="125"/>
        <v>4027/4028</v>
      </c>
      <c r="L234" s="21" t="str">
        <f>VLOOKUP(A234,'Trips&amp;Operators'!$C$1:$G$99999,5,FALSE)</f>
        <v>NEWELL JAMES</v>
      </c>
      <c r="M234" s="6">
        <f t="shared" si="126"/>
        <v>1.2037037085974589E-3</v>
      </c>
      <c r="N234" s="7">
        <f t="shared" si="141"/>
        <v>1.7333333403803408</v>
      </c>
      <c r="O234" s="7"/>
      <c r="P234" s="7"/>
      <c r="Q234" s="22"/>
      <c r="R234" s="190"/>
      <c r="S234" s="196">
        <f t="shared" si="142"/>
        <v>0</v>
      </c>
      <c r="T234" s="190" t="e">
        <f t="shared" si="127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128"/>
        <v>https://d0f6bd738d7f1b3e5a7ca70fe4ff75f0.us-east-1.aws.found.io/app/kibana#/discover/Steve-Slow-Train-Analysis-(2080s-and-2083s)?_g=(refreshInterval:(display:Off,pause:!f,section:0,value:0),time:(from:'2017-05-11T20:07:27-0600',mode:absolute,to:'2017-05-11T22:15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4" s="192" t="str">
        <f t="shared" si="129"/>
        <v>Y</v>
      </c>
      <c r="X234" s="192" t="e">
        <f t="shared" si="84"/>
        <v>#VALUE!</v>
      </c>
      <c r="Y234" s="192">
        <f t="shared" si="130"/>
        <v>0.14879999999999999</v>
      </c>
      <c r="Z234" s="192">
        <f t="shared" si="140"/>
        <v>0.33439999999999998</v>
      </c>
      <c r="AA234" s="192">
        <f t="shared" si="131"/>
        <v>0.18559999999999999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132"/>
        <v>66-11</v>
      </c>
      <c r="AE234" s="80" t="str">
        <f t="shared" si="133"/>
        <v>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 &amp; aws s3 cp s3://rtdc.mdm.uploadarchive.raw/RTDC4028/ "%USERPROFILE%\AppData\Local\Temp\OnboardLogs"\RTDC4028\2017-05-12 --exclude "*" --recursive --include "*20170512*" &amp; "%USERPROFILE%\Documents\GitHub\mrs-test-scripts\Headless Mode &amp; Sideloading\WalkAndUnGZ.bat" "%USERPROFILE%\AppData\Local\Temp\OnboardLogs"\RTDC4028\2017-05-12</v>
      </c>
      <c r="AF234" s="77" t="str">
        <f t="shared" si="134"/>
        <v>"C:\Program Files (x86)\AstroGrep\AstroGrep.exe" /e /r /s /spath="%USERPROFILE%\AppData\Local\Temp\OnboardLogs" /stypes="app*4028*20170512*" /stext=" 03:.+((SYSTEM_STATE.+slice.+state.+changed )|(ment ac)|(multiple cpu faults)|(system.+state.+changed )|(\[timeout)|(PRM\|1\|D)|(kpr)|(kdp)|(train st.+moving)|(\|lc)|(penalty))"</v>
      </c>
      <c r="AG234" s="1" t="str">
        <f t="shared" si="135"/>
        <v>Other</v>
      </c>
      <c r="AH234" s="81" t="str">
        <f t="shared" si="136"/>
        <v>"%USERPROFILE%\Documents\GitHub\eaglep3\Utilities\RefineRTDCRunTimes.py" --tripid 66-11 --locoid 4028 --swversion DE.1.0.9.0 --startMP 204:1488 --initTime 2017-05-11T21:07:27 --startdatetime 2017-05-11T21:14:14 --delay 2 --endMP 204:3344 --enddatetime 2017-05-11T21:15:58 --enforcementcount 0 &gt;&gt;C:\Users\stu\Documents\GitHub\eaglep3-reporting\EC\2017-05-11-refined-times.txt</v>
      </c>
      <c r="AI234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{"issue":{"subject":"","project_id":79,"tracker_id":40,"status_id":1,"priority_id":2,"assigned_to_id":23,"start_date":"2017-05-11","description":"","custom_fields":[{"id":1,"name":"Subdivision","value":"Other"},{"id":4,"name":"Milepost","value":"0.3344"},{"id":17,"name":"Train ID","value":"66-11"},{"id":16,"name":"Locomotive ID","value":"4028"},{"id":130,"name":"Impact","value":""},{"id":150,"name":"Time of Event (Mountain Time)","value":"21:15:58"},{"id":151,"name":"Denver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138"/>
        <v>start /low /b %USERPROFILE%\Documents\GitHub\eaglep3\Utilities\DownloadLogsFromS3.py --loco 4028 --day 2017-05-11</v>
      </c>
      <c r="AN234" s="154" t="str">
        <f t="shared" si="139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03:15:58"},{"id":29,"name":"Sharepoint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692</v>
      </c>
      <c r="B235" s="7">
        <v>4028</v>
      </c>
      <c r="C235" s="21" t="s">
        <v>206</v>
      </c>
      <c r="D235" s="21" t="s">
        <v>950</v>
      </c>
      <c r="E235" s="13">
        <v>42866.487060185187</v>
      </c>
      <c r="F235" s="13">
        <v>42866.491284722222</v>
      </c>
      <c r="G235" s="7">
        <v>4</v>
      </c>
      <c r="H235" s="21" t="s">
        <v>951</v>
      </c>
      <c r="I235" s="13">
        <v>42866.510081018518</v>
      </c>
      <c r="J235" s="7">
        <v>0</v>
      </c>
      <c r="K235" s="92" t="str">
        <f t="shared" si="125"/>
        <v>4027/4028</v>
      </c>
      <c r="L235" s="21" t="str">
        <f>VLOOKUP(A235,'Trips&amp;Operators'!$C$1:$G$99999,5,FALSE)</f>
        <v>YANAI IAN</v>
      </c>
      <c r="M235" s="6">
        <f t="shared" si="126"/>
        <v>1.8796296295477077E-2</v>
      </c>
      <c r="N235" s="7">
        <f t="shared" si="141"/>
        <v>27.066666665486991</v>
      </c>
      <c r="O235" s="7"/>
      <c r="P235" s="7"/>
      <c r="Q235" s="22"/>
      <c r="R235" s="190"/>
      <c r="S235" s="196">
        <f t="shared" si="142"/>
        <v>0</v>
      </c>
      <c r="T235" s="190" t="e">
        <f t="shared" si="127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128"/>
        <v>https://d0f6bd738d7f1b3e5a7ca70fe4ff75f0.us-east-1.aws.found.io/app/kibana#/discover/Steve-Slow-Train-Analysis-(2080s-and-2083s)?_g=(refreshInterval:(display:Off,pause:!f,section:0,value:0),time:(from:'2017-05-11T10:41:22-0600',mode:absolute,to:'2017-05-11T13:14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5" s="192" t="str">
        <f t="shared" si="129"/>
        <v>N</v>
      </c>
      <c r="X235" s="192" t="e">
        <f t="shared" si="84"/>
        <v>#VALUE!</v>
      </c>
      <c r="Y235" s="192">
        <f t="shared" si="130"/>
        <v>12.810700000000001</v>
      </c>
      <c r="Z235" s="192">
        <f t="shared" si="140"/>
        <v>23.291899999999998</v>
      </c>
      <c r="AA235" s="192">
        <f t="shared" si="131"/>
        <v>10.481199999999998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132"/>
        <v>67-11</v>
      </c>
      <c r="AE235" s="80" t="str">
        <f t="shared" si="133"/>
        <v>aws s3 cp s3://rtdc.mdm.uploadarchive.raw/RTDC4028/ "%USERPROFILE%\AppData\Local\Temp\OnboardLogs"\RTDC4028\2017-05-11 --exclude "*" --recursive --include "*20170511*" &amp; "%USERPROFILE%\Documents\GitHub\mrs-test-scripts\Headless Mode &amp; Sideloading\WalkAndUnGZ.bat" "%USERPROFILE%\AppData\Local\Temp\OnboardLogs"\RTDC4028\2017-05-11 &amp; aws s3 cp s3://rtdc.mdm.uploadarchive.raw/RTDC4028/ "%USERPROFILE%\AppData\Local\Temp\OnboardLogs"\RTDC4028\2017-05-12 --exclude "*" --recursive --include "*20170512*" &amp; "%USERPROFILE%\Documents\GitHub\mrs-test-scripts\Headless Mode &amp; Sideloading\WalkAndUnGZ.bat" "%USERPROFILE%\AppData\Local\Temp\OnboardLogs"\RTDC4028\2017-05-12</v>
      </c>
      <c r="AF235" s="77" t="str">
        <f t="shared" si="134"/>
        <v>"C:\Program Files (x86)\AstroGrep\AstroGrep.exe" /e /r /s /spath="%USERPROFILE%\AppData\Local\Temp\OnboardLogs" /stypes="app*4028*20170511*" /stext=" 18:.+((SYSTEM_STATE.+slice.+state.+changed )|(ment ac)|(multiple cpu faults)|(system.+state.+changed )|(\[timeout)|(PRM\|1\|D)|(kpr)|(kdp)|(train st.+moving)|(\|lc)|(penalty))"</v>
      </c>
      <c r="AG235" s="1" t="str">
        <f t="shared" si="135"/>
        <v>Other</v>
      </c>
      <c r="AH235" s="81" t="str">
        <f t="shared" si="136"/>
        <v>"%USERPROFILE%\Documents\GitHub\eaglep3\Utilities\RefineRTDCRunTimes.py" --tripid 67-11 --locoid 4028 --swversion DE.1.0.9.0 --startMP 204:128107 --initTime 2017-05-11T11:41:22 --startdatetime 2017-05-11T11:47:27 --delay 4 --endMP 204:232919 --enddatetime 2017-05-11T12:14:31 --enforcementcount 0 &gt;&gt;C:\Users\stu\Documents\GitHub\eaglep3-reporting\EC\2017-05-11-refined-times.txt</v>
      </c>
      <c r="AI235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{"issue":{"subject":"","project_id":79,"tracker_id":40,"status_id":1,"priority_id":2,"assigned_to_id":23,"start_date":"2017-05-11","description":"","custom_fields":[{"id":1,"name":"Subdivision","value":"Other"},{"id":4,"name":"Milepost","value":"23.2919"},{"id":17,"name":"Train ID","value":"67-11"},{"id":16,"name":"Locomotive ID","value":"4028"},{"id":130,"name":"Impact","value":""},{"id":150,"name":"Time of Event (Mountain Time)","value":"12:14:31"},{"id":151,"name":"Denver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38"/>
        <v>start /low /b %USERPROFILE%\Documents\GitHub\eaglep3\Utilities\DownloadLogsFromS3.py --loco 4028 --day 2017-05-11</v>
      </c>
      <c r="AN235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18:14:31"},{"id":29,"name":"Sharepoint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737</v>
      </c>
      <c r="B236" s="7">
        <v>4029</v>
      </c>
      <c r="C236" s="21" t="s">
        <v>206</v>
      </c>
      <c r="D236" s="21" t="s">
        <v>952</v>
      </c>
      <c r="E236" s="13">
        <v>42866.709710648145</v>
      </c>
      <c r="F236" s="13">
        <v>42866.711226851854</v>
      </c>
      <c r="G236" s="7">
        <v>1</v>
      </c>
      <c r="H236" s="21" t="s">
        <v>528</v>
      </c>
      <c r="I236" s="13">
        <v>42866.712534722225</v>
      </c>
      <c r="J236" s="7">
        <v>0</v>
      </c>
      <c r="K236" s="92" t="str">
        <f t="shared" si="125"/>
        <v>4029/4030</v>
      </c>
      <c r="L236" s="21" t="str">
        <f>VLOOKUP(A236,'Trips&amp;Operators'!$C$1:$G$99999,5,FALSE)</f>
        <v>DELGADO DIANAH</v>
      </c>
      <c r="M236" s="6">
        <f t="shared" si="126"/>
        <v>1.3078703705104999E-3</v>
      </c>
      <c r="N236" s="7">
        <f t="shared" si="141"/>
        <v>1.8833333335351199</v>
      </c>
      <c r="O236" s="7"/>
      <c r="P236" s="7"/>
      <c r="Q236" s="22"/>
      <c r="R236" s="190"/>
      <c r="S236" s="196">
        <f t="shared" si="142"/>
        <v>0</v>
      </c>
      <c r="T236" s="190" t="e">
        <f t="shared" si="127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128"/>
        <v>https://d0f6bd738d7f1b3e5a7ca70fe4ff75f0.us-east-1.aws.found.io/app/kibana#/discover/Steve-Slow-Train-Analysis-(2080s-and-2083s)?_g=(refreshInterval:(display:Off,pause:!f,section:0,value:0),time:(from:'2017-05-11T16:01:59-0600',mode:absolute,to:'2017-05-11T18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6" s="192" t="str">
        <f t="shared" si="129"/>
        <v>Y</v>
      </c>
      <c r="X236" s="192" t="e">
        <f t="shared" si="84"/>
        <v>#VALUE!</v>
      </c>
      <c r="Y236" s="192">
        <f t="shared" si="130"/>
        <v>0.33479999999999999</v>
      </c>
      <c r="Z236" s="192">
        <f t="shared" si="140"/>
        <v>1.34E-2</v>
      </c>
      <c r="AA236" s="192">
        <f t="shared" si="131"/>
        <v>0.32139999999999996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132"/>
        <v>68-11</v>
      </c>
      <c r="AE236" s="80" t="str">
        <f t="shared" si="133"/>
        <v>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 &amp; aws s3 cp s3://rtdc.mdm.uploadarchive.raw/RTDC4029/ "%USERPROFILE%\AppData\Local\Temp\OnboardLogs"\RTDC4029\2017-05-12 --exclude "*" --recursive --include "*20170512*" &amp; "%USERPROFILE%\Documents\GitHub\mrs-test-scripts\Headless Mode &amp; Sideloading\WalkAndUnGZ.bat" "%USERPROFILE%\AppData\Local\Temp\OnboardLogs"\RTDC4029\2017-05-12</v>
      </c>
      <c r="AF236" s="77" t="str">
        <f t="shared" si="134"/>
        <v>"C:\Program Files (x86)\AstroGrep\AstroGrep.exe" /e /r /s /spath="%USERPROFILE%\AppData\Local\Temp\OnboardLogs" /stypes="app*4029*20170511*" /stext=" 23:.+((SYSTEM_STATE.+slice.+state.+changed )|(ment ac)|(multiple cpu faults)|(system.+state.+changed )|(\[timeout)|(PRM\|1\|D)|(kpr)|(kdp)|(train st.+moving)|(\|lc)|(penalty))"</v>
      </c>
      <c r="AG236" s="1" t="str">
        <f t="shared" si="135"/>
        <v>Other</v>
      </c>
      <c r="AH236" s="81" t="str">
        <f t="shared" si="136"/>
        <v>"%USERPROFILE%\Documents\GitHub\eaglep3\Utilities\RefineRTDCRunTimes.py" --tripid 68-11 --locoid 4029 --swversion DE.1.0.9.0 --startMP 204:3348 --initTime 2017-05-11T17:01:59 --startdatetime 2017-05-11T17:04:10 --delay 1 --endMP 204:134 --enddatetime 2017-05-11T17:06:03 --enforcementcount 0 &gt;&gt;C:\Users\stu\Documents\GitHub\eaglep3-reporting\EC\2017-05-11-refined-times.txt</v>
      </c>
      <c r="AI236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{"issue":{"subject":"","project_id":79,"tracker_id":40,"status_id":1,"priority_id":2,"assigned_to_id":23,"start_date":"2017-05-11","description":"","custom_fields":[{"id":1,"name":"Subdivision","value":"Other"},{"id":4,"name":"Milepost","value":"0.0134"},{"id":17,"name":"Train ID","value":"68-11"},{"id":16,"name":"Locomotive ID","value":"4029"},{"id":130,"name":"Impact","value":""},{"id":150,"name":"Time of Event (Mountain Time)","value":"17:06:03"},{"id":151,"name":"Denver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138"/>
        <v>start /low /b %USERPROFILE%\Documents\GitHub\eaglep3\Utilities\DownloadLogsFromS3.py --loco 4029 --day 2017-05-11</v>
      </c>
      <c r="AN236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737</v>
      </c>
      <c r="B237" s="7">
        <v>4030</v>
      </c>
      <c r="C237" s="21" t="s">
        <v>206</v>
      </c>
      <c r="D237" s="21" t="s">
        <v>953</v>
      </c>
      <c r="E237" s="13">
        <v>42866.70548611111</v>
      </c>
      <c r="F237" s="13">
        <v>42866.711226851854</v>
      </c>
      <c r="G237" s="7">
        <v>1</v>
      </c>
      <c r="H237" s="21" t="s">
        <v>954</v>
      </c>
      <c r="I237" s="13">
        <v>42866.712534722225</v>
      </c>
      <c r="J237" s="7">
        <v>0</v>
      </c>
      <c r="K237" s="92" t="str">
        <f t="shared" si="125"/>
        <v>4029/4030</v>
      </c>
      <c r="L237" s="21" t="str">
        <f>VLOOKUP(A237,'Trips&amp;Operators'!$C$1:$G$99999,5,FALSE)</f>
        <v>DELGADO DIANAH</v>
      </c>
      <c r="M237" s="6">
        <f t="shared" si="126"/>
        <v>1.3078703705104999E-3</v>
      </c>
      <c r="N237" s="7">
        <f t="shared" si="141"/>
        <v>1.8833333335351199</v>
      </c>
      <c r="O237" s="7"/>
      <c r="P237" s="7"/>
      <c r="Q237" s="22"/>
      <c r="R237" s="190"/>
      <c r="S237" s="196">
        <f t="shared" si="142"/>
        <v>0</v>
      </c>
      <c r="T237" s="190" t="e">
        <f t="shared" si="127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128"/>
        <v>https://d0f6bd738d7f1b3e5a7ca70fe4ff75f0.us-east-1.aws.found.io/app/kibana#/discover/Steve-Slow-Train-Analysis-(2080s-and-2083s)?_g=(refreshInterval:(display:Off,pause:!f,section:0,value:0),time:(from:'2017-05-11T15:55:54-0600',mode:absolute,to:'2017-05-11T18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7" s="192" t="str">
        <f t="shared" si="129"/>
        <v>Y</v>
      </c>
      <c r="X237" s="192" t="e">
        <f t="shared" si="84"/>
        <v>#VALUE!</v>
      </c>
      <c r="Y237" s="192">
        <f t="shared" si="130"/>
        <v>0.1139</v>
      </c>
      <c r="Z237" s="192">
        <f t="shared" si="140"/>
        <v>0.36609999999999998</v>
      </c>
      <c r="AA237" s="192">
        <f t="shared" si="131"/>
        <v>0.25219999999999998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132"/>
        <v>68-11</v>
      </c>
      <c r="AE237" s="80" t="str">
        <f t="shared" si="133"/>
        <v>aws s3 cp s3://rtdc.mdm.uploadarchive.raw/RTDC4030/ "%USERPROFILE%\AppData\Local\Temp\OnboardLogs"\RTDC4030\2017-05-11 --exclude "*" --recursive --include "*20170511*" &amp; "%USERPROFILE%\Documents\GitHub\mrs-test-scripts\Headless Mode &amp; Sideloading\WalkAndUnGZ.bat" "%USERPROFILE%\AppData\Local\Temp\OnboardLogs"\RTDC4030\2017-05-11 &amp; aws s3 cp s3://rtdc.mdm.uploadarchive.raw/RTDC4030/ "%USERPROFILE%\AppData\Local\Temp\OnboardLogs"\RTDC4030\2017-05-12 --exclude "*" --recursive --include "*20170512*" &amp; "%USERPROFILE%\Documents\GitHub\mrs-test-scripts\Headless Mode &amp; Sideloading\WalkAndUnGZ.bat" "%USERPROFILE%\AppData\Local\Temp\OnboardLogs"\RTDC4030\2017-05-12</v>
      </c>
      <c r="AF237" s="77" t="str">
        <f t="shared" si="134"/>
        <v>"C:\Program Files (x86)\AstroGrep\AstroGrep.exe" /e /r /s /spath="%USERPROFILE%\AppData\Local\Temp\OnboardLogs" /stypes="app*4030*20170511*" /stext=" 23:.+((SYSTEM_STATE.+slice.+state.+changed )|(ment ac)|(multiple cpu faults)|(system.+state.+changed )|(\[timeout)|(PRM\|1\|D)|(kpr)|(kdp)|(train st.+moving)|(\|lc)|(penalty))"</v>
      </c>
      <c r="AG237" s="1" t="str">
        <f t="shared" si="135"/>
        <v>Other</v>
      </c>
      <c r="AH237" s="81" t="str">
        <f t="shared" si="136"/>
        <v>"%USERPROFILE%\Documents\GitHub\eaglep3\Utilities\RefineRTDCRunTimes.py" --tripid 68-11 --locoid 4030 --swversion DE.1.0.9.0 --startMP 204:1139 --initTime 2017-05-11T16:55:54 --startdatetime 2017-05-11T17:04:10 --delay 1 --endMP 204:3661 --enddatetime 2017-05-11T17:06:03 --enforcementcount 0 &gt;&gt;C:\Users\stu\Documents\GitHub\eaglep3-reporting\EC\2017-05-11-refined-times.txt</v>
      </c>
      <c r="AI237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{"issue":{"subject":"","project_id":79,"tracker_id":40,"status_id":1,"priority_id":2,"assigned_to_id":23,"start_date":"2017-05-11","description":"","custom_fields":[{"id":1,"name":"Subdivision","value":"Other"},{"id":4,"name":"Milepost","value":"0.3661"},{"id":17,"name":"Train ID","value":"68-11"},{"id":16,"name":"Locomotive ID","value":"4030"},{"id":130,"name":"Impact","value":""},{"id":150,"name":"Time of Event (Mountain Time)","value":"17:06:03"},{"id":151,"name":"Denver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38"/>
        <v>start /low /b %USERPROFILE%\Documents\GitHub\eaglep3\Utilities\DownloadLogsFromS3.py --loco 4030 --day 2017-05-11</v>
      </c>
      <c r="AN237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699</v>
      </c>
      <c r="B238" s="7">
        <v>4041</v>
      </c>
      <c r="C238" s="21" t="s">
        <v>206</v>
      </c>
      <c r="D238" s="21" t="s">
        <v>955</v>
      </c>
      <c r="E238" s="13">
        <v>42866.529918981483</v>
      </c>
      <c r="F238" s="13">
        <v>42866.540185185186</v>
      </c>
      <c r="G238" s="7">
        <v>1</v>
      </c>
      <c r="H238" s="21" t="s">
        <v>956</v>
      </c>
      <c r="I238" s="13">
        <v>42866.559710648151</v>
      </c>
      <c r="J238" s="7">
        <v>0</v>
      </c>
      <c r="K238" s="92" t="str">
        <f t="shared" si="125"/>
        <v>4041/4042</v>
      </c>
      <c r="L238" s="21" t="str">
        <f>VLOOKUP(A238,'Trips&amp;Operators'!$C$1:$G$99999,5,FALSE)</f>
        <v>LOPES KIMBERLY</v>
      </c>
      <c r="M238" s="6">
        <f t="shared" si="126"/>
        <v>1.9525462965248153E-2</v>
      </c>
      <c r="N238" s="7">
        <f t="shared" si="141"/>
        <v>28.11666666995734</v>
      </c>
      <c r="O238" s="7"/>
      <c r="P238" s="7"/>
      <c r="Q238" s="22"/>
      <c r="R238" s="190"/>
      <c r="S238" s="196">
        <f t="shared" si="142"/>
        <v>0</v>
      </c>
      <c r="T238" s="190" t="e">
        <f t="shared" si="127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128"/>
        <v>https://d0f6bd738d7f1b3e5a7ca70fe4ff75f0.us-east-1.aws.found.io/app/kibana#/discover/Steve-Slow-Train-Analysis-(2080s-and-2083s)?_g=(refreshInterval:(display:Off,pause:!f,section:0,value:0),time:(from:'2017-05-11T11:43:05-0600',mode:absolute,to:'2017-05-11T14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8" s="192" t="str">
        <f t="shared" si="129"/>
        <v>N</v>
      </c>
      <c r="X238" s="192" t="e">
        <f t="shared" si="84"/>
        <v>#VALUE!</v>
      </c>
      <c r="Y238" s="192">
        <f t="shared" si="130"/>
        <v>11.490600000000001</v>
      </c>
      <c r="Z238" s="192">
        <f t="shared" si="140"/>
        <v>2.2499999999999999E-2</v>
      </c>
      <c r="AA238" s="192">
        <f t="shared" si="131"/>
        <v>11.4681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132"/>
        <v>69-11</v>
      </c>
      <c r="AE238" s="80" t="str">
        <f t="shared" si="133"/>
        <v>aws s3 cp s3://rtdc.mdm.uploadarchive.raw/RTDC4041/ "%USERPROFILE%\AppData\Local\Temp\OnboardLogs"\RTDC4041\2017-05-11 --exclude "*" --recursive --include "*20170511*" &amp; "%USERPROFILE%\Documents\GitHub\mrs-test-scripts\Headless Mode &amp; Sideloading\WalkAndUnGZ.bat" "%USERPROFILE%\AppData\Local\Temp\OnboardLogs"\RTDC4041\2017-05-11 &amp; aws s3 cp s3://rtdc.mdm.uploadarchive.raw/RTDC4041/ "%USERPROFILE%\AppData\Local\Temp\OnboardLogs"\RTDC4041\2017-05-12 --exclude "*" --recursive --include "*20170512*" &amp; "%USERPROFILE%\Documents\GitHub\mrs-test-scripts\Headless Mode &amp; Sideloading\WalkAndUnGZ.bat" "%USERPROFILE%\AppData\Local\Temp\OnboardLogs"\RTDC4041\2017-05-12</v>
      </c>
      <c r="AF238" s="77" t="str">
        <f t="shared" si="134"/>
        <v>"C:\Program Files (x86)\AstroGrep\AstroGrep.exe" /e /r /s /spath="%USERPROFILE%\AppData\Local\Temp\OnboardLogs" /stypes="app*4041*20170511*" /stext=" 19:.+((SYSTEM_STATE.+slice.+state.+changed )|(ment ac)|(multiple cpu faults)|(system.+state.+changed )|(\[timeout)|(PRM\|1\|D)|(kpr)|(kdp)|(train st.+moving)|(\|lc)|(penalty))"</v>
      </c>
      <c r="AG238" s="1" t="str">
        <f t="shared" si="135"/>
        <v>Other</v>
      </c>
      <c r="AH238" s="81" t="str">
        <f t="shared" si="136"/>
        <v>"%USERPROFILE%\Documents\GitHub\eaglep3\Utilities\RefineRTDCRunTimes.py" --tripid 69-11 --locoid 4041 --swversion DE.1.0.9.0 --startMP 204:114906 --initTime 2017-05-11T12:43:05 --startdatetime 2017-05-11T12:57:52 --delay 1 --endMP 204:225 --enddatetime 2017-05-11T13:25:59 --enforcementcount 0 &gt;&gt;C:\Users\stu\Documents\GitHub\eaglep3-reporting\EC\2017-05-11-refined-times.txt</v>
      </c>
      <c r="AI238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{"issue":{"subject":"","project_id":79,"tracker_id":40,"status_id":1,"priority_id":2,"assigned_to_id":23,"start_date":"2017-05-11","description":"","custom_fields":[{"id":1,"name":"Subdivision","value":"Other"},{"id":4,"name":"Milepost","value":"0.0225"},{"id":17,"name":"Train ID","value":"69-11"},{"id":16,"name":"Locomotive ID","value":"4041"},{"id":130,"name":"Impact","value":""},{"id":150,"name":"Time of Event (Mountain Time)","value":"13:25:59"},{"id":151,"name":"Denver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38"/>
        <v>start /low /b %USERPROFILE%\Documents\GitHub\eaglep3\Utilities\DownloadLogsFromS3.py --loco 4041 --day 2017-05-11</v>
      </c>
      <c r="AN238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19:25:59"},{"id":29,"name":"Sharepoint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699</v>
      </c>
      <c r="B239" s="7">
        <v>4042</v>
      </c>
      <c r="C239" s="21" t="s">
        <v>206</v>
      </c>
      <c r="D239" s="21" t="s">
        <v>852</v>
      </c>
      <c r="E239" s="13">
        <v>42866.510567129626</v>
      </c>
      <c r="F239" s="13">
        <v>42866.540185185186</v>
      </c>
      <c r="G239" s="7">
        <v>1</v>
      </c>
      <c r="H239" s="21" t="s">
        <v>957</v>
      </c>
      <c r="I239" s="13">
        <v>42866.559710648151</v>
      </c>
      <c r="J239" s="7">
        <v>0</v>
      </c>
      <c r="K239" s="92" t="str">
        <f t="shared" si="125"/>
        <v>4041/4042</v>
      </c>
      <c r="L239" s="21" t="str">
        <f>VLOOKUP(A239,'Trips&amp;Operators'!$C$1:$G$99999,5,FALSE)</f>
        <v>LOPES KIMBERLY</v>
      </c>
      <c r="M239" s="6">
        <f t="shared" si="126"/>
        <v>1.9525462965248153E-2</v>
      </c>
      <c r="N239" s="7">
        <f t="shared" si="141"/>
        <v>28.11666666995734</v>
      </c>
      <c r="O239" s="7"/>
      <c r="P239" s="7"/>
      <c r="Q239" s="22"/>
      <c r="R239" s="190"/>
      <c r="S239" s="196">
        <f t="shared" si="142"/>
        <v>0</v>
      </c>
      <c r="T239" s="190" t="e">
        <f t="shared" si="127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128"/>
        <v>https://d0f6bd738d7f1b3e5a7ca70fe4ff75f0.us-east-1.aws.found.io/app/kibana#/discover/Steve-Slow-Train-Analysis-(2080s-and-2083s)?_g=(refreshInterval:(display:Off,pause:!f,section:0,value:0),time:(from:'2017-05-11T11:15:13-0600',mode:absolute,to:'2017-05-11T14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9" s="192" t="str">
        <f t="shared" si="129"/>
        <v>Y</v>
      </c>
      <c r="X239" s="192" t="e">
        <f t="shared" si="84"/>
        <v>#VALUE!</v>
      </c>
      <c r="Y239" s="192">
        <f t="shared" si="130"/>
        <v>8.6374999999999993</v>
      </c>
      <c r="Z239" s="192">
        <f t="shared" si="140"/>
        <v>11.5242</v>
      </c>
      <c r="AA239" s="192">
        <f t="shared" si="131"/>
        <v>2.8867000000000012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132"/>
        <v>69-11</v>
      </c>
      <c r="AE239" s="80" t="str">
        <f t="shared" si="133"/>
        <v>aws s3 cp s3://rtdc.mdm.uploadarchive.raw/RTDC4042/ "%USERPROFILE%\AppData\Local\Temp\OnboardLogs"\RTDC4042\2017-05-11 --exclude "*" --recursive --include "*20170511*" &amp; "%USERPROFILE%\Documents\GitHub\mrs-test-scripts\Headless Mode &amp; Sideloading\WalkAndUnGZ.bat" "%USERPROFILE%\AppData\Local\Temp\OnboardLogs"\RTDC4042\2017-05-11 &amp; 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</v>
      </c>
      <c r="AF239" s="77" t="str">
        <f t="shared" si="134"/>
        <v>"C:\Program Files (x86)\AstroGrep\AstroGrep.exe" /e /r /s /spath="%USERPROFILE%\AppData\Local\Temp\OnboardLogs" /stypes="app*4042*20170511*" /stext=" 19:.+((SYSTEM_STATE.+slice.+state.+changed )|(ment ac)|(multiple cpu faults)|(system.+state.+changed )|(\[timeout)|(PRM\|1\|D)|(kpr)|(kdp)|(train st.+moving)|(\|lc)|(penalty))"</v>
      </c>
      <c r="AG239" s="1" t="str">
        <f t="shared" si="135"/>
        <v>Other</v>
      </c>
      <c r="AH239" s="81" t="str">
        <f t="shared" si="136"/>
        <v>"%USERPROFILE%\Documents\GitHub\eaglep3\Utilities\RefineRTDCRunTimes.py" --tripid 69-11 --locoid 4042 --swversion DE.1.0.9.0 --startMP 204:86375 --initTime 2017-05-11T12:15:13 --startdatetime 2017-05-11T12:57:52 --delay 1 --endMP 204:115242 --enddatetime 2017-05-11T13:25:59 --enforcementcount 0 &gt;&gt;C:\Users\stu\Documents\GitHub\eaglep3-reporting\EC\2017-05-11-refined-times.txt</v>
      </c>
      <c r="AI239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{"issue":{"subject":"","project_id":79,"tracker_id":40,"status_id":1,"priority_id":2,"assigned_to_id":23,"start_date":"2017-05-11","description":"","custom_fields":[{"id":1,"name":"Subdivision","value":"Other"},{"id":4,"name":"Milepost","value":"11.5242"},{"id":17,"name":"Train ID","value":"69-11"},{"id":16,"name":"Locomotive ID","value":"4042"},{"id":130,"name":"Impact","value":""},{"id":150,"name":"Time of Event (Mountain Time)","value":"13:25:59"},{"id":151,"name":"Denver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38"/>
        <v>start /low /b %USERPROFILE%\Documents\GitHub\eaglep3\Utilities\DownloadLogsFromS3.py --loco 4042 --day 2017-05-11</v>
      </c>
      <c r="AN239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19:25:59"},{"id":29,"name":"Sharepoint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591</v>
      </c>
      <c r="B240" s="7">
        <v>4041</v>
      </c>
      <c r="C240" s="21" t="s">
        <v>206</v>
      </c>
      <c r="D240" s="21" t="s">
        <v>958</v>
      </c>
      <c r="E240" s="13">
        <v>42866.670127314814</v>
      </c>
      <c r="F240" s="13">
        <v>42866.672962962963</v>
      </c>
      <c r="G240" s="7">
        <v>3</v>
      </c>
      <c r="H240" s="21" t="s">
        <v>959</v>
      </c>
      <c r="I240" s="13">
        <v>42866.681111111109</v>
      </c>
      <c r="J240" s="7">
        <v>0</v>
      </c>
      <c r="K240" s="92" t="str">
        <f t="shared" si="125"/>
        <v>4041/4042</v>
      </c>
      <c r="L240" s="21" t="str">
        <f>VLOOKUP(A240,'Trips&amp;Operators'!$C$1:$G$99999,5,FALSE)</f>
        <v>LOPES KIMBERLY</v>
      </c>
      <c r="M240" s="6">
        <f t="shared" si="126"/>
        <v>8.1481481465743855E-3</v>
      </c>
      <c r="N240" s="7">
        <f t="shared" si="141"/>
        <v>11.733333331067115</v>
      </c>
      <c r="O240" s="7"/>
      <c r="P240" s="7"/>
      <c r="Q240" s="22"/>
      <c r="R240" s="190"/>
      <c r="S240" s="196">
        <f t="shared" si="142"/>
        <v>0</v>
      </c>
      <c r="T240" s="190" t="e">
        <f t="shared" si="127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128"/>
        <v>https://d0f6bd738d7f1b3e5a7ca70fe4ff75f0.us-east-1.aws.found.io/app/kibana#/discover/Steve-Slow-Train-Analysis-(2080s-and-2083s)?_g=(refreshInterval:(display:Off,pause:!f,section:0,value:0),time:(from:'2017-05-11T15:04:59-0600',mode:absolute,to:'2017-05-11T17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0" s="192" t="str">
        <f t="shared" si="129"/>
        <v>Y</v>
      </c>
      <c r="X240" s="192" t="e">
        <f t="shared" si="84"/>
        <v>#VALUE!</v>
      </c>
      <c r="Y240" s="192">
        <f t="shared" si="130"/>
        <v>2.2065999999999999</v>
      </c>
      <c r="Z240" s="192">
        <f t="shared" si="140"/>
        <v>8.6499999999999994E-2</v>
      </c>
      <c r="AA240" s="192">
        <f t="shared" si="131"/>
        <v>2.1200999999999999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132"/>
        <v>70-11</v>
      </c>
      <c r="AE240" s="80" t="str">
        <f t="shared" si="133"/>
        <v>aws s3 cp s3://rtdc.mdm.uploadarchive.raw/RTDC4041/ "%USERPROFILE%\AppData\Local\Temp\OnboardLogs"\RTDC4041\2017-05-11 --exclude "*" --recursive --include "*20170511*" &amp; "%USERPROFILE%\Documents\GitHub\mrs-test-scripts\Headless Mode &amp; Sideloading\WalkAndUnGZ.bat" "%USERPROFILE%\AppData\Local\Temp\OnboardLogs"\RTDC4041\2017-05-11 &amp; aws s3 cp s3://rtdc.mdm.uploadarchive.raw/RTDC4041/ "%USERPROFILE%\AppData\Local\Temp\OnboardLogs"\RTDC4041\2017-05-12 --exclude "*" --recursive --include "*20170512*" &amp; "%USERPROFILE%\Documents\GitHub\mrs-test-scripts\Headless Mode &amp; Sideloading\WalkAndUnGZ.bat" "%USERPROFILE%\AppData\Local\Temp\OnboardLogs"\RTDC4041\2017-05-12</v>
      </c>
      <c r="AF240" s="77" t="str">
        <f t="shared" si="134"/>
        <v>"C:\Program Files (x86)\AstroGrep\AstroGrep.exe" /e /r /s /spath="%USERPROFILE%\AppData\Local\Temp\OnboardLogs" /stypes="app*4041*20170511*" /stext=" 22:.+((SYSTEM_STATE.+slice.+state.+changed )|(ment ac)|(multiple cpu faults)|(system.+state.+changed )|(\[timeout)|(PRM\|1\|D)|(kpr)|(kdp)|(train st.+moving)|(\|lc)|(penalty))"</v>
      </c>
      <c r="AG240" s="1" t="str">
        <f t="shared" si="135"/>
        <v>Other</v>
      </c>
      <c r="AH240" s="81" t="str">
        <f t="shared" si="136"/>
        <v>"%USERPROFILE%\Documents\GitHub\eaglep3\Utilities\RefineRTDCRunTimes.py" --tripid 70-11 --locoid 4041 --swversion DE.1.0.9.0 --startMP 300:22066 --initTime 2017-05-11T16:04:59 --startdatetime 2017-05-11T16:09:04 --delay 3 --endMP 204:865 --enddatetime 2017-05-11T16:20:48 --enforcementcount 0 &gt;&gt;C:\Users\stu\Documents\GitHub\eaglep3-reporting\EC\2017-05-11-refined-times.txt</v>
      </c>
      <c r="AI240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{"issue":{"subject":"","project_id":79,"tracker_id":40,"status_id":1,"priority_id":2,"assigned_to_id":23,"start_date":"2017-05-11","description":"","custom_fields":[{"id":1,"name":"Subdivision","value":"Other"},{"id":4,"name":"Milepost","value":"0.0865"},{"id":17,"name":"Train ID","value":"70-11"},{"id":16,"name":"Locomotive ID","value":"4041"},{"id":130,"name":"Impact","value":""},{"id":150,"name":"Time of Event (Mountain Time)","value":"16:20:48"},{"id":151,"name":"Denver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38"/>
        <v>start /low /b %USERPROFILE%\Documents\GitHub\eaglep3\Utilities\DownloadLogsFromS3.py --loco 4041 --day 2017-05-11</v>
      </c>
      <c r="AN240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22:20:48"},{"id":29,"name":"Sharepoint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706</v>
      </c>
      <c r="B241" s="7">
        <v>4024</v>
      </c>
      <c r="C241" s="21" t="s">
        <v>206</v>
      </c>
      <c r="D241" s="21" t="s">
        <v>960</v>
      </c>
      <c r="E241" s="13">
        <v>42866.572916666664</v>
      </c>
      <c r="F241" s="13">
        <v>42866.580081018517</v>
      </c>
      <c r="G241" s="7">
        <v>1</v>
      </c>
      <c r="H241" s="21" t="s">
        <v>448</v>
      </c>
      <c r="I241" s="13">
        <v>42866.588935185187</v>
      </c>
      <c r="J241" s="7">
        <v>0</v>
      </c>
      <c r="K241" s="92" t="str">
        <f t="shared" si="125"/>
        <v>4023/4024</v>
      </c>
      <c r="L241" s="21" t="str">
        <f>VLOOKUP(A241,'Trips&amp;Operators'!$C$1:$G$99999,5,FALSE)</f>
        <v>LOPES KIMBERLY</v>
      </c>
      <c r="M241" s="6">
        <f t="shared" si="126"/>
        <v>8.8541666700621136E-3</v>
      </c>
      <c r="N241" s="7">
        <f t="shared" si="141"/>
        <v>12.750000004889444</v>
      </c>
      <c r="O241" s="7"/>
      <c r="P241" s="7"/>
      <c r="Q241" s="22"/>
      <c r="R241" s="190"/>
      <c r="S241" s="196">
        <f t="shared" si="142"/>
        <v>0</v>
      </c>
      <c r="T241" s="190" t="e">
        <f t="shared" si="127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128"/>
        <v>https://d0f6bd738d7f1b3e5a7ca70fe4ff75f0.us-east-1.aws.found.io/app/kibana#/discover/Steve-Slow-Train-Analysis-(2080s-and-2083s)?_g=(refreshInterval:(display:Off,pause:!f,section:0,value:0),time:(from:'2017-05-11T12:45:00-0600',mode:absolute,to:'2017-05-11T15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1" s="192" t="str">
        <f t="shared" si="129"/>
        <v>Y</v>
      </c>
      <c r="X241" s="192" t="e">
        <f t="shared" ref="X241:X249" si="143">VALUE(LEFT(AD241,4))-VALUE(LEFT(AD240,4))</f>
        <v>#VALUE!</v>
      </c>
      <c r="Y241" s="192">
        <f t="shared" si="130"/>
        <v>8.6599999999999996E-2</v>
      </c>
      <c r="Z241" s="192">
        <f t="shared" si="140"/>
        <v>2.331</v>
      </c>
      <c r="AA241" s="192">
        <f t="shared" si="131"/>
        <v>2.2444000000000002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132"/>
        <v>71-11</v>
      </c>
      <c r="AE241" s="80" t="str">
        <f t="shared" si="133"/>
        <v>aws s3 cp s3://rtdc.mdm.uploadarchive.raw/RTDC4024/ "%USERPROFILE%\AppData\Local\Temp\OnboardLogs"\RTDC4024\2017-05-11 --exclude "*" --recursive --include "*20170511*" &amp; "%USERPROFILE%\Documents\GitHub\mrs-test-scripts\Headless Mode &amp; Sideloading\WalkAndUnGZ.bat" "%USERPROFILE%\AppData\Local\Temp\OnboardLogs"\RTDC4024\2017-05-11 &amp; aws s3 cp s3://rtdc.mdm.uploadarchive.raw/RTDC4024/ "%USERPROFILE%\AppData\Local\Temp\OnboardLogs"\RTDC4024\2017-05-12 --exclude "*" --recursive --include "*20170512*" &amp; "%USERPROFILE%\Documents\GitHub\mrs-test-scripts\Headless Mode &amp; Sideloading\WalkAndUnGZ.bat" "%USERPROFILE%\AppData\Local\Temp\OnboardLogs"\RTDC4024\2017-05-12</v>
      </c>
      <c r="AF241" s="77" t="str">
        <f t="shared" si="134"/>
        <v>"C:\Program Files (x86)\AstroGrep\AstroGrep.exe" /e /r /s /spath="%USERPROFILE%\AppData\Local\Temp\OnboardLogs" /stypes="app*4024*20170511*" /stext=" 20:.+((SYSTEM_STATE.+slice.+state.+changed )|(ment ac)|(multiple cpu faults)|(system.+state.+changed )|(\[timeout)|(PRM\|1\|D)|(kpr)|(kdp)|(train st.+moving)|(\|lc)|(penalty))"</v>
      </c>
      <c r="AG241" s="1" t="str">
        <f t="shared" si="135"/>
        <v>Other</v>
      </c>
      <c r="AH241" s="81" t="str">
        <f t="shared" si="136"/>
        <v>"%USERPROFILE%\Documents\GitHub\eaglep3\Utilities\RefineRTDCRunTimes.py" --tripid 71-11 --locoid 4024 --swversion DE.1.0.9.0 --startMP 204:866 --initTime 2017-05-11T13:45:00 --startdatetime 2017-05-11T13:55:19 --delay 1 --endMP 300:23310 --enddatetime 2017-05-11T14:08:04 --enforcementcount 0 &gt;&gt;C:\Users\stu\Documents\GitHub\eaglep3-reporting\EC\2017-05-11-refined-times.txt</v>
      </c>
      <c r="AI241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{"issue":{"subject":"","project_id":79,"tracker_id":40,"status_id":1,"priority_id":2,"assigned_to_id":23,"start_date":"2017-05-11","description":"","custom_fields":[{"id":1,"name":"Subdivision","value":"Other"},{"id":4,"name":"Milepost","value":"2.331"},{"id":17,"name":"Train ID","value":"71-11"},{"id":16,"name":"Locomotive ID","value":"4024"},{"id":130,"name":"Impact","value":""},{"id":150,"name":"Time of Event (Mountain Time)","value":"14:08:04"},{"id":151,"name":"Denver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38"/>
        <v>start /low /b %USERPROFILE%\Documents\GitHub\eaglep3\Utilities\DownloadLogsFromS3.py --loco 4024 --day 2017-05-11</v>
      </c>
      <c r="AN241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20:08:04"},{"id":29,"name":"Sharepoint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710</v>
      </c>
      <c r="B242" s="7">
        <v>4001</v>
      </c>
      <c r="C242" s="21" t="s">
        <v>206</v>
      </c>
      <c r="D242" s="21" t="s">
        <v>961</v>
      </c>
      <c r="E242" s="13">
        <v>42866.653854166667</v>
      </c>
      <c r="F242" s="13">
        <v>42866.656064814815</v>
      </c>
      <c r="G242" s="7">
        <v>1</v>
      </c>
      <c r="H242" s="21" t="s">
        <v>533</v>
      </c>
      <c r="I242" s="13">
        <v>42866.673854166664</v>
      </c>
      <c r="J242" s="7">
        <v>0</v>
      </c>
      <c r="K242" s="92" t="str">
        <f t="shared" si="125"/>
        <v>4001/4002</v>
      </c>
      <c r="L242" s="21" t="str">
        <f>VLOOKUP(A242,'Trips&amp;Operators'!$C$1:$G$99999,5,FALSE)</f>
        <v>ARVIDSON DANIEL</v>
      </c>
      <c r="M242" s="6">
        <f t="shared" si="126"/>
        <v>1.7789351848477963E-2</v>
      </c>
      <c r="N242" s="7">
        <f t="shared" si="141"/>
        <v>25.616666661808267</v>
      </c>
      <c r="O242" s="7"/>
      <c r="P242" s="7"/>
      <c r="Q242" s="22"/>
      <c r="R242" s="190"/>
      <c r="S242" s="196">
        <f t="shared" si="142"/>
        <v>0</v>
      </c>
      <c r="T242" s="190" t="e">
        <f t="shared" si="127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128"/>
        <v>https://d0f6bd738d7f1b3e5a7ca70fe4ff75f0.us-east-1.aws.found.io/app/kibana#/discover/Steve-Slow-Train-Analysis-(2080s-and-2083s)?_g=(refreshInterval:(display:Off,pause:!f,section:0,value:0),time:(from:'2017-05-11T14:41:33-0600',mode:absolute,to:'2017-05-11T17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2" s="192" t="str">
        <f t="shared" si="129"/>
        <v>N</v>
      </c>
      <c r="X242" s="192" t="e">
        <f t="shared" si="143"/>
        <v>#VALUE!</v>
      </c>
      <c r="Y242" s="192">
        <f t="shared" si="130"/>
        <v>11.149100000000001</v>
      </c>
      <c r="Z242" s="192">
        <f t="shared" si="140"/>
        <v>1.2999999999999999E-2</v>
      </c>
      <c r="AA242" s="192">
        <f t="shared" si="131"/>
        <v>11.136100000000001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132"/>
        <v>73-11</v>
      </c>
      <c r="AE242" s="80" t="str">
        <f t="shared" si="133"/>
        <v>aws s3 cp s3://rtdc.mdm.uploadarchive.raw/RTDC4001/ "%USERPROFILE%\AppData\Local\Temp\OnboardLogs"\RTDC4001\2017-05-11 --exclude "*" --recursive --include "*20170511*" &amp; "%USERPROFILE%\Documents\GitHub\mrs-test-scripts\Headless Mode &amp; Sideloading\WalkAndUnGZ.bat" "%USERPROFILE%\AppData\Local\Temp\OnboardLogs"\RTDC4001\2017-05-11 &amp; 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</v>
      </c>
      <c r="AF242" s="77" t="str">
        <f t="shared" si="134"/>
        <v>"C:\Program Files (x86)\AstroGrep\AstroGrep.exe" /e /r /s /spath="%USERPROFILE%\AppData\Local\Temp\OnboardLogs" /stypes="app*4001*20170511*" /stext=" 22:.+((SYSTEM_STATE.+slice.+state.+changed )|(ment ac)|(multiple cpu faults)|(system.+state.+changed )|(\[timeout)|(PRM\|1\|D)|(kpr)|(kdp)|(train st.+moving)|(\|lc)|(penalty))"</v>
      </c>
      <c r="AG242" s="1" t="str">
        <f t="shared" si="135"/>
        <v>Other</v>
      </c>
      <c r="AH242" s="81" t="str">
        <f t="shared" si="136"/>
        <v>"%USERPROFILE%\Documents\GitHub\eaglep3\Utilities\RefineRTDCRunTimes.py" --tripid 73-11 --locoid 4001 --swversion DE.1.0.9.0 --startMP 204:111491 --initTime 2017-05-11T15:41:33 --startdatetime 2017-05-11T15:44:44 --delay 1 --endMP 204:130 --enddatetime 2017-05-11T16:10:21 --enforcementcount 0 &gt;&gt;C:\Users\stu\Documents\GitHub\eaglep3-reporting\EC\2017-05-11-refined-times.txt</v>
      </c>
      <c r="AI242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{"issue":{"subject":"","project_id":79,"tracker_id":40,"status_id":1,"priority_id":2,"assigned_to_id":23,"start_date":"2017-05-11","description":"","custom_fields":[{"id":1,"name":"Subdivision","value":"Other"},{"id":4,"name":"Milepost","value":"0.013"},{"id":17,"name":"Train ID","value":"73-11"},{"id":16,"name":"Locomotive ID","value":"4001"},{"id":130,"name":"Impact","value":""},{"id":150,"name":"Time of Event (Mountain Time)","value":"16:10:21"},{"id":151,"name":"Denver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38"/>
        <v>start /low /b %USERPROFILE%\Documents\GitHub\eaglep3\Utilities\DownloadLogsFromS3.py --loco 4001 --day 2017-05-11</v>
      </c>
      <c r="AN242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22:10:21"},{"id":29,"name":"Sharepoint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710</v>
      </c>
      <c r="B243" s="7">
        <v>4001</v>
      </c>
      <c r="C243" s="21" t="s">
        <v>206</v>
      </c>
      <c r="D243" s="21" t="s">
        <v>962</v>
      </c>
      <c r="E243" s="13">
        <v>42866.58829861111</v>
      </c>
      <c r="F243" s="13">
        <v>42866.590081018519</v>
      </c>
      <c r="G243" s="7">
        <v>1</v>
      </c>
      <c r="H243" s="21" t="s">
        <v>963</v>
      </c>
      <c r="I243" s="13">
        <v>42866.591678240744</v>
      </c>
      <c r="J243" s="7">
        <v>0</v>
      </c>
      <c r="K243" s="92" t="str">
        <f t="shared" si="125"/>
        <v>4001/4002</v>
      </c>
      <c r="L243" s="21" t="str">
        <f>VLOOKUP(A243,'Trips&amp;Operators'!$C$1:$G$99999,5,FALSE)</f>
        <v>ARVIDSON DANIEL</v>
      </c>
      <c r="M243" s="6">
        <f t="shared" si="126"/>
        <v>1.5972222245181911E-3</v>
      </c>
      <c r="N243" s="7">
        <f t="shared" si="141"/>
        <v>2.3000000033061951</v>
      </c>
      <c r="O243" s="7"/>
      <c r="P243" s="7"/>
      <c r="Q243" s="22"/>
      <c r="R243" s="190"/>
      <c r="S243" s="196">
        <f t="shared" si="142"/>
        <v>0</v>
      </c>
      <c r="T243" s="190" t="e">
        <f t="shared" si="127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128"/>
        <v>https://d0f6bd738d7f1b3e5a7ca70fe4ff75f0.us-east-1.aws.found.io/app/kibana#/discover/Steve-Slow-Train-Analysis-(2080s-and-2083s)?_g=(refreshInterval:(display:Off,pause:!f,section:0,value:0),time:(from:'2017-05-11T13:07:09-0600',mode:absolute,to:'2017-05-11T15:12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3" s="192" t="str">
        <f t="shared" si="129"/>
        <v>Y</v>
      </c>
      <c r="X243" s="192" t="e">
        <f t="shared" si="143"/>
        <v>#VALUE!</v>
      </c>
      <c r="Y243" s="192">
        <f t="shared" si="130"/>
        <v>0.33929999999999999</v>
      </c>
      <c r="Z243" s="192">
        <f t="shared" si="140"/>
        <v>1.0500000000000001E-2</v>
      </c>
      <c r="AA243" s="192">
        <f t="shared" si="131"/>
        <v>0.32879999999999998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132"/>
        <v>73-11</v>
      </c>
      <c r="AE243" s="80" t="str">
        <f t="shared" si="133"/>
        <v>aws s3 cp s3://rtdc.mdm.uploadarchive.raw/RTDC4001/ "%USERPROFILE%\AppData\Local\Temp\OnboardLogs"\RTDC4001\2017-05-11 --exclude "*" --recursive --include "*20170511*" &amp; "%USERPROFILE%\Documents\GitHub\mrs-test-scripts\Headless Mode &amp; Sideloading\WalkAndUnGZ.bat" "%USERPROFILE%\AppData\Local\Temp\OnboardLogs"\RTDC4001\2017-05-11 &amp; aws s3 cp s3://rtdc.mdm.uploadarchive.raw/RTDC4001/ "%USERPROFILE%\AppData\Local\Temp\OnboardLogs"\RTDC4001\2017-05-12 --exclude "*" --recursive --include "*20170512*" &amp; "%USERPROFILE%\Documents\GitHub\mrs-test-scripts\Headless Mode &amp; Sideloading\WalkAndUnGZ.bat" "%USERPROFILE%\AppData\Local\Temp\OnboardLogs"\RTDC4001\2017-05-12</v>
      </c>
      <c r="AF243" s="77" t="str">
        <f t="shared" si="134"/>
        <v>"C:\Program Files (x86)\AstroGrep\AstroGrep.exe" /e /r /s /spath="%USERPROFILE%\AppData\Local\Temp\OnboardLogs" /stypes="app*4001*20170511*" /stext=" 20:.+((SYSTEM_STATE.+slice.+state.+changed )|(ment ac)|(multiple cpu faults)|(system.+state.+changed )|(\[timeout)|(PRM\|1\|D)|(kpr)|(kdp)|(train st.+moving)|(\|lc)|(penalty))"</v>
      </c>
      <c r="AG243" s="1" t="str">
        <f t="shared" si="135"/>
        <v>Other</v>
      </c>
      <c r="AH243" s="81" t="str">
        <f t="shared" si="136"/>
        <v>"%USERPROFILE%\Documents\GitHub\eaglep3\Utilities\RefineRTDCRunTimes.py" --tripid 73-11 --locoid 4001 --swversion DE.1.0.9.0 --startMP 204:3393 --initTime 2017-05-11T14:07:09 --startdatetime 2017-05-11T14:09:43 --delay 1 --endMP 204:105 --enddatetime 2017-05-11T14:12:01 --enforcementcount 0 &gt;&gt;C:\Users\stu\Documents\GitHub\eaglep3-reporting\EC\2017-05-11-refined-times.txt</v>
      </c>
      <c r="AI243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{"issue":{"subject":"","project_id":79,"tracker_id":40,"status_id":1,"priority_id":2,"assigned_to_id":23,"start_date":"2017-05-11","description":"","custom_fields":[{"id":1,"name":"Subdivision","value":"Other"},{"id":4,"name":"Milepost","value":"0.0105"},{"id":17,"name":"Train ID","value":"73-11"},{"id":16,"name":"Locomotive ID","value":"4001"},{"id":130,"name":"Impact","value":""},{"id":150,"name":"Time of Event (Mountain Time)","value":"14:12:01"},{"id":151,"name":"Denver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138"/>
        <v>start /low /b %USERPROFILE%\Documents\GitHub\eaglep3\Utilities\DownloadLogsFromS3.py --loco 4001 --day 2017-05-11</v>
      </c>
      <c r="AN243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20:12:01"},{"id":29,"name":"Sharepoint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710</v>
      </c>
      <c r="B244" s="7">
        <v>4002</v>
      </c>
      <c r="C244" s="21" t="s">
        <v>206</v>
      </c>
      <c r="D244" s="21" t="s">
        <v>964</v>
      </c>
      <c r="E244" s="13">
        <v>42866.580601851849</v>
      </c>
      <c r="F244" s="13">
        <v>42866.590081018519</v>
      </c>
      <c r="G244" s="7">
        <v>1</v>
      </c>
      <c r="H244" s="21" t="s">
        <v>965</v>
      </c>
      <c r="I244" s="13">
        <v>42866.591678240744</v>
      </c>
      <c r="J244" s="7">
        <v>0</v>
      </c>
      <c r="K244" s="92" t="str">
        <f t="shared" si="125"/>
        <v>4001/4002</v>
      </c>
      <c r="L244" s="21" t="str">
        <f>VLOOKUP(A244,'Trips&amp;Operators'!$C$1:$G$99999,5,FALSE)</f>
        <v>ARVIDSON DANIEL</v>
      </c>
      <c r="M244" s="6">
        <f t="shared" si="126"/>
        <v>1.5972222245181911E-3</v>
      </c>
      <c r="N244" s="7">
        <f t="shared" si="141"/>
        <v>2.3000000033061951</v>
      </c>
      <c r="O244" s="7"/>
      <c r="P244" s="7"/>
      <c r="Q244" s="22"/>
      <c r="R244" s="190"/>
      <c r="S244" s="196">
        <f t="shared" si="142"/>
        <v>0</v>
      </c>
      <c r="T244" s="190" t="e">
        <f t="shared" si="127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128"/>
        <v>https://d0f6bd738d7f1b3e5a7ca70fe4ff75f0.us-east-1.aws.found.io/app/kibana#/discover/Steve-Slow-Train-Analysis-(2080s-and-2083s)?_g=(refreshInterval:(display:Off,pause:!f,section:0,value:0),time:(from:'2017-05-11T12:56:04-0600',mode:absolute,to:'2017-05-11T15:12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4" s="192" t="str">
        <f t="shared" si="129"/>
        <v>Y</v>
      </c>
      <c r="X244" s="192" t="e">
        <f t="shared" si="143"/>
        <v>#VALUE!</v>
      </c>
      <c r="Y244" s="192">
        <f t="shared" si="130"/>
        <v>0.1154</v>
      </c>
      <c r="Z244" s="192">
        <f t="shared" si="140"/>
        <v>0.37019999999999997</v>
      </c>
      <c r="AA244" s="192">
        <f t="shared" si="131"/>
        <v>0.25479999999999997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132"/>
        <v>73-11</v>
      </c>
      <c r="AE244" s="80" t="str">
        <f t="shared" si="133"/>
        <v>aws s3 cp s3://rtdc.mdm.uploadarchive.raw/RTDC4002/ "%USERPROFILE%\AppData\Local\Temp\OnboardLogs"\RTDC4002\2017-05-11 --exclude "*" --recursive --include "*20170511*" &amp; "%USERPROFILE%\Documents\GitHub\mrs-test-scripts\Headless Mode &amp; Sideloading\WalkAndUnGZ.bat" "%USERPROFILE%\AppData\Local\Temp\OnboardLogs"\RTDC4002\2017-05-11 &amp; 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</v>
      </c>
      <c r="AF244" s="77" t="str">
        <f t="shared" si="134"/>
        <v>"C:\Program Files (x86)\AstroGrep\AstroGrep.exe" /e /r /s /spath="%USERPROFILE%\AppData\Local\Temp\OnboardLogs" /stypes="app*4002*20170511*" /stext=" 20:.+((SYSTEM_STATE.+slice.+state.+changed )|(ment ac)|(multiple cpu faults)|(system.+state.+changed )|(\[timeout)|(PRM\|1\|D)|(kpr)|(kdp)|(train st.+moving)|(\|lc)|(penalty))"</v>
      </c>
      <c r="AG244" s="1" t="str">
        <f t="shared" si="135"/>
        <v>Other</v>
      </c>
      <c r="AH244" s="81" t="str">
        <f t="shared" si="136"/>
        <v>"%USERPROFILE%\Documents\GitHub\eaglep3\Utilities\RefineRTDCRunTimes.py" --tripid 73-11 --locoid 4002 --swversion DE.1.0.9.0 --startMP 204:1154 --initTime 2017-05-11T13:56:04 --startdatetime 2017-05-11T14:09:43 --delay 1 --endMP 204:3702 --enddatetime 2017-05-11T14:12:01 --enforcementcount 0 &gt;&gt;C:\Users\stu\Documents\GitHub\eaglep3-reporting\EC\2017-05-11-refined-times.txt</v>
      </c>
      <c r="AI244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{"issue":{"subject":"","project_id":79,"tracker_id":40,"status_id":1,"priority_id":2,"assigned_to_id":23,"start_date":"2017-05-11","description":"","custom_fields":[{"id":1,"name":"Subdivision","value":"Other"},{"id":4,"name":"Milepost","value":"0.3702"},{"id":17,"name":"Train ID","value":"73-11"},{"id":16,"name":"Locomotive ID","value":"4002"},{"id":130,"name":"Impact","value":""},{"id":150,"name":"Time of Event (Mountain Time)","value":"14:12:01"},{"id":151,"name":"Denver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138"/>
        <v>start /low /b %USERPROFILE%\Documents\GitHub\eaglep3\Utilities\DownloadLogsFromS3.py --loco 4002 --day 2017-05-11</v>
      </c>
      <c r="AN244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20:12:01"},{"id":29,"name":"Sharepoint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710</v>
      </c>
      <c r="B245" s="7">
        <v>4002</v>
      </c>
      <c r="C245" s="21" t="s">
        <v>206</v>
      </c>
      <c r="D245" s="21" t="s">
        <v>850</v>
      </c>
      <c r="E245" s="13">
        <v>42866.633414351854</v>
      </c>
      <c r="F245" s="13">
        <v>42866.656064814815</v>
      </c>
      <c r="G245" s="7">
        <v>1</v>
      </c>
      <c r="H245" s="21" t="s">
        <v>966</v>
      </c>
      <c r="I245" s="13">
        <v>42866.673854166664</v>
      </c>
      <c r="J245" s="7">
        <v>0</v>
      </c>
      <c r="K245" s="92" t="str">
        <f t="shared" si="125"/>
        <v>4001/4002</v>
      </c>
      <c r="L245" s="21" t="str">
        <f>VLOOKUP(A245,'Trips&amp;Operators'!$C$1:$G$99999,5,FALSE)</f>
        <v>ARVIDSON DANIEL</v>
      </c>
      <c r="M245" s="6">
        <f t="shared" si="126"/>
        <v>1.7789351848477963E-2</v>
      </c>
      <c r="N245" s="7">
        <f t="shared" si="141"/>
        <v>25.616666661808267</v>
      </c>
      <c r="O245" s="7"/>
      <c r="P245" s="7"/>
      <c r="Q245" s="22"/>
      <c r="R245" s="190"/>
      <c r="S245" s="196">
        <f t="shared" si="142"/>
        <v>0</v>
      </c>
      <c r="T245" s="190" t="e">
        <f t="shared" si="127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128"/>
        <v>https://d0f6bd738d7f1b3e5a7ca70fe4ff75f0.us-east-1.aws.found.io/app/kibana#/discover/Steve-Slow-Train-Analysis-(2080s-and-2083s)?_g=(refreshInterval:(display:Off,pause:!f,section:0,value:0),time:(from:'2017-05-11T14:12:07-0600',mode:absolute,to:'2017-05-11T17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5" s="192" t="str">
        <f t="shared" si="129"/>
        <v>N</v>
      </c>
      <c r="X245" s="192" t="e">
        <f t="shared" si="143"/>
        <v>#VALUE!</v>
      </c>
      <c r="Y245" s="192">
        <f t="shared" si="130"/>
        <v>4.3099999999999999E-2</v>
      </c>
      <c r="Z245" s="192">
        <f t="shared" si="140"/>
        <v>11.180099999999999</v>
      </c>
      <c r="AA245" s="192">
        <f t="shared" si="131"/>
        <v>11.136999999999999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132"/>
        <v>73-11</v>
      </c>
      <c r="AE245" s="80" t="str">
        <f t="shared" si="133"/>
        <v>aws s3 cp s3://rtdc.mdm.uploadarchive.raw/RTDC4002/ "%USERPROFILE%\AppData\Local\Temp\OnboardLogs"\RTDC4002\2017-05-11 --exclude "*" --recursive --include "*20170511*" &amp; "%USERPROFILE%\Documents\GitHub\mrs-test-scripts\Headless Mode &amp; Sideloading\WalkAndUnGZ.bat" "%USERPROFILE%\AppData\Local\Temp\OnboardLogs"\RTDC4002\2017-05-11 &amp; aws s3 cp s3://rtdc.mdm.uploadarchive.raw/RTDC4002/ "%USERPROFILE%\AppData\Local\Temp\OnboardLogs"\RTDC4002\2017-05-12 --exclude "*" --recursive --include "*20170512*" &amp; "%USERPROFILE%\Documents\GitHub\mrs-test-scripts\Headless Mode &amp; Sideloading\WalkAndUnGZ.bat" "%USERPROFILE%\AppData\Local\Temp\OnboardLogs"\RTDC4002\2017-05-12</v>
      </c>
      <c r="AF245" s="77" t="str">
        <f t="shared" si="134"/>
        <v>"C:\Program Files (x86)\AstroGrep\AstroGrep.exe" /e /r /s /spath="%USERPROFILE%\AppData\Local\Temp\OnboardLogs" /stypes="app*4002*20170511*" /stext=" 22:.+((SYSTEM_STATE.+slice.+state.+changed )|(ment ac)|(multiple cpu faults)|(system.+state.+changed )|(\[timeout)|(PRM\|1\|D)|(kpr)|(kdp)|(train st.+moving)|(\|lc)|(penalty))"</v>
      </c>
      <c r="AG245" s="1" t="str">
        <f t="shared" si="135"/>
        <v>Other</v>
      </c>
      <c r="AH245" s="81" t="str">
        <f t="shared" si="136"/>
        <v>"%USERPROFILE%\Documents\GitHub\eaglep3\Utilities\RefineRTDCRunTimes.py" --tripid 73-11 --locoid 4002 --swversion DE.1.0.9.0 --startMP 204:431 --initTime 2017-05-11T15:12:07 --startdatetime 2017-05-11T15:44:44 --delay 1 --endMP 204:111801 --enddatetime 2017-05-11T16:10:21 --enforcementcount 0 &gt;&gt;C:\Users\stu\Documents\GitHub\eaglep3-reporting\EC\2017-05-11-refined-times.txt</v>
      </c>
      <c r="AI245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{"issue":{"subject":"","project_id":79,"tracker_id":40,"status_id":1,"priority_id":2,"assigned_to_id":23,"start_date":"2017-05-11","description":"","custom_fields":[{"id":1,"name":"Subdivision","value":"Other"},{"id":4,"name":"Milepost","value":"11.1801"},{"id":17,"name":"Train ID","value":"73-11"},{"id":16,"name":"Locomotive ID","value":"4002"},{"id":130,"name":"Impact","value":""},{"id":150,"name":"Time of Event (Mountain Time)","value":"16:10:21"},{"id":151,"name":"Denver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138"/>
        <v>start /low /b %USERPROFILE%\Documents\GitHub\eaglep3\Utilities\DownloadLogsFromS3.py --loco 4002 --day 2017-05-11</v>
      </c>
      <c r="AN245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22:10:21"},{"id":29,"name":"Sharepoint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758</v>
      </c>
      <c r="B246" s="7">
        <v>4042</v>
      </c>
      <c r="C246" s="21" t="s">
        <v>206</v>
      </c>
      <c r="D246" s="21" t="s">
        <v>967</v>
      </c>
      <c r="E246" s="13">
        <v>42866.778252314813</v>
      </c>
      <c r="F246" s="13">
        <v>42866.795011574075</v>
      </c>
      <c r="G246" s="7">
        <v>3</v>
      </c>
      <c r="H246" s="21" t="s">
        <v>445</v>
      </c>
      <c r="I246" s="13">
        <v>42866.823831018519</v>
      </c>
      <c r="J246" s="7">
        <v>0</v>
      </c>
      <c r="K246" s="92" t="str">
        <f t="shared" si="125"/>
        <v>4041/4042</v>
      </c>
      <c r="L246" s="21" t="str">
        <f>VLOOKUP(A246,'Trips&amp;Operators'!$C$1:$G$99999,5,FALSE)</f>
        <v>GUZMAN DANNY</v>
      </c>
      <c r="M246" s="6">
        <f t="shared" si="126"/>
        <v>2.8819444443797693E-2</v>
      </c>
      <c r="N246" s="7">
        <f t="shared" si="141"/>
        <v>41.499999999068677</v>
      </c>
      <c r="O246" s="7"/>
      <c r="P246" s="7"/>
      <c r="Q246" s="22"/>
      <c r="R246" s="190"/>
      <c r="S246" s="196">
        <f t="shared" si="142"/>
        <v>0</v>
      </c>
      <c r="T246" s="190" t="e">
        <f t="shared" si="127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128"/>
        <v>https://d0f6bd738d7f1b3e5a7ca70fe4ff75f0.us-east-1.aws.found.io/app/kibana#/discover/Steve-Slow-Train-Analysis-(2080s-and-2083s)?_g=(refreshInterval:(display:Off,pause:!f,section:0,value:0),time:(from:'2017-05-11T17:40:41-0600',mode:absolute,to:'2017-05-11T20:46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6" s="192" t="str">
        <f t="shared" si="129"/>
        <v>N</v>
      </c>
      <c r="X246" s="192" t="e">
        <f t="shared" si="143"/>
        <v>#VALUE!</v>
      </c>
      <c r="Y246" s="192">
        <f t="shared" si="130"/>
        <v>0.1173</v>
      </c>
      <c r="Z246" s="192">
        <f t="shared" si="140"/>
        <v>23.3293</v>
      </c>
      <c r="AA246" s="192">
        <f t="shared" si="131"/>
        <v>23.212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132"/>
        <v>77-11</v>
      </c>
      <c r="AE246" s="80" t="str">
        <f t="shared" si="133"/>
        <v>aws s3 cp s3://rtdc.mdm.uploadarchive.raw/RTDC4042/ "%USERPROFILE%\AppData\Local\Temp\OnboardLogs"\RTDC4042\2017-05-11 --exclude "*" --recursive --include "*20170511*" &amp; "%USERPROFILE%\Documents\GitHub\mrs-test-scripts\Headless Mode &amp; Sideloading\WalkAndUnGZ.bat" "%USERPROFILE%\AppData\Local\Temp\OnboardLogs"\RTDC4042\2017-05-11 &amp; aws s3 cp s3://rtdc.mdm.uploadarchive.raw/RTDC4042/ "%USERPROFILE%\AppData\Local\Temp\OnboardLogs"\RTDC4042\2017-05-12 --exclude "*" --recursive --include "*20170512*" &amp; "%USERPROFILE%\Documents\GitHub\mrs-test-scripts\Headless Mode &amp; Sideloading\WalkAndUnGZ.bat" "%USERPROFILE%\AppData\Local\Temp\OnboardLogs"\RTDC4042\2017-05-12</v>
      </c>
      <c r="AF246" s="77" t="str">
        <f t="shared" si="134"/>
        <v>"C:\Program Files (x86)\AstroGrep\AstroGrep.exe" /e /r /s /spath="%USERPROFILE%\AppData\Local\Temp\OnboardLogs" /stypes="app*4042*20170512*" /stext=" 01:.+((SYSTEM_STATE.+slice.+state.+changed )|(ment ac)|(multiple cpu faults)|(system.+state.+changed )|(\[timeout)|(PRM\|1\|D)|(kpr)|(kdp)|(train st.+moving)|(\|lc)|(penalty))"</v>
      </c>
      <c r="AG246" s="1" t="str">
        <f t="shared" si="135"/>
        <v>Other</v>
      </c>
      <c r="AH246" s="81" t="str">
        <f t="shared" si="136"/>
        <v>"%USERPROFILE%\Documents\GitHub\eaglep3\Utilities\RefineRTDCRunTimes.py" --tripid 77-11 --locoid 4042 --swversion DE.1.0.9.0 --startMP 204:1173 --initTime 2017-05-11T18:40:41 --startdatetime 2017-05-11T19:04:49 --delay 3 --endMP 204:233293 --enddatetime 2017-05-11T19:46:19 --enforcementcount 0 &gt;&gt;C:\Users\stu\Documents\GitHub\eaglep3-reporting\EC\2017-05-11-refined-times.txt</v>
      </c>
      <c r="AI246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{"issue":{"subject":"","project_id":79,"tracker_id":40,"status_id":1,"priority_id":2,"assigned_to_id":23,"start_date":"2017-05-11","description":"","custom_fields":[{"id":1,"name":"Subdivision","value":"Other"},{"id":4,"name":"Milepost","value":"23.3293"},{"id":17,"name":"Train ID","value":"77-11"},{"id":16,"name":"Locomotive ID","value":"4042"},{"id":130,"name":"Impact","value":""},{"id":150,"name":"Time of Event (Mountain Time)","value":"19:46:19"},{"id":151,"name":"Denver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138"/>
        <v>start /low /b %USERPROFILE%\Documents\GitHub\eaglep3\Utilities\DownloadLogsFromS3.py --loco 4042 --day 2017-05-11</v>
      </c>
      <c r="AN246" s="154" t="str">
        <f t="shared" si="139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01:46:19"},{"id":29,"name":"Sharepoint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588</v>
      </c>
      <c r="B247" s="7">
        <v>4029</v>
      </c>
      <c r="C247" s="21" t="s">
        <v>206</v>
      </c>
      <c r="D247" s="21" t="s">
        <v>968</v>
      </c>
      <c r="E247" s="13">
        <v>42866.616932870369</v>
      </c>
      <c r="F247" s="13">
        <v>42866.619895833333</v>
      </c>
      <c r="G247" s="7">
        <v>4</v>
      </c>
      <c r="H247" s="21" t="s">
        <v>969</v>
      </c>
      <c r="I247" s="13">
        <v>42866.625497685185</v>
      </c>
      <c r="J247" s="7">
        <v>0</v>
      </c>
      <c r="K247" s="92" t="str">
        <f t="shared" si="125"/>
        <v>4029/4030</v>
      </c>
      <c r="L247" s="21" t="str">
        <f>VLOOKUP(A247,'Trips&amp;Operators'!$C$1:$G$99999,5,FALSE)</f>
        <v>DELGADO DIANAH</v>
      </c>
      <c r="M247" s="6">
        <f t="shared" si="126"/>
        <v>5.6018518516793847E-3</v>
      </c>
      <c r="N247" s="7">
        <f t="shared" si="141"/>
        <v>8.066666666418314</v>
      </c>
      <c r="O247" s="7"/>
      <c r="P247" s="7"/>
      <c r="Q247" s="22"/>
      <c r="R247" s="190"/>
      <c r="S247" s="196">
        <f t="shared" si="142"/>
        <v>0</v>
      </c>
      <c r="T247" s="190" t="e">
        <f t="shared" si="127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128"/>
        <v>https://d0f6bd738d7f1b3e5a7ca70fe4ff75f0.us-east-1.aws.found.io/app/kibana#/discover/Steve-Slow-Train-Analysis-(2080s-and-2083s)?_g=(refreshInterval:(display:Off,pause:!f,section:0,value:0),time:(from:'2017-05-11T13:48:23-0600',mode:absolute,to:'2017-05-11T16:00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7" s="192" t="str">
        <f t="shared" si="129"/>
        <v>Y</v>
      </c>
      <c r="X247" s="192" t="e">
        <f t="shared" si="143"/>
        <v>#VALUE!</v>
      </c>
      <c r="Y247" s="192">
        <f t="shared" si="130"/>
        <v>2.2048999999999999</v>
      </c>
      <c r="Z247" s="192">
        <f t="shared" si="140"/>
        <v>0.13689999999999999</v>
      </c>
      <c r="AA247" s="192">
        <f t="shared" si="131"/>
        <v>2.0680000000000001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132"/>
        <v>80-11</v>
      </c>
      <c r="AE247" s="80" t="str">
        <f t="shared" si="133"/>
        <v>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 &amp; aws s3 cp s3://rtdc.mdm.uploadarchive.raw/RTDC4029/ "%USERPROFILE%\AppData\Local\Temp\OnboardLogs"\RTDC4029\2017-05-12 --exclude "*" --recursive --include "*20170512*" &amp; "%USERPROFILE%\Documents\GitHub\mrs-test-scripts\Headless Mode &amp; Sideloading\WalkAndUnGZ.bat" "%USERPROFILE%\AppData\Local\Temp\OnboardLogs"\RTDC4029\2017-05-12</v>
      </c>
      <c r="AF247" s="77" t="str">
        <f t="shared" si="134"/>
        <v>"C:\Program Files (x86)\AstroGrep\AstroGrep.exe" /e /r /s /spath="%USERPROFILE%\AppData\Local\Temp\OnboardLogs" /stypes="app*4029*20170511*" /stext=" 21:.+((SYSTEM_STATE.+slice.+state.+changed )|(ment ac)|(multiple cpu faults)|(system.+state.+changed )|(\[timeout)|(PRM\|1\|D)|(kpr)|(kdp)|(train st.+moving)|(\|lc)|(penalty))"</v>
      </c>
      <c r="AG247" s="1" t="str">
        <f t="shared" si="135"/>
        <v>Other</v>
      </c>
      <c r="AH247" s="81" t="str">
        <f t="shared" si="136"/>
        <v>"%USERPROFILE%\Documents\GitHub\eaglep3\Utilities\RefineRTDCRunTimes.py" --tripid 80-11 --locoid 4029 --swversion DE.1.0.9.0 --startMP 300:22049 --initTime 2017-05-11T14:48:23 --startdatetime 2017-05-11T14:52:39 --delay 4 --endMP 204:1369 --enddatetime 2017-05-11T15:00:43 --enforcementcount 0 &gt;&gt;C:\Users\stu\Documents\GitHub\eaglep3-reporting\EC\2017-05-11-refined-times.txt</v>
      </c>
      <c r="AI247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{"issue":{"subject":"","project_id":79,"tracker_id":40,"status_id":1,"priority_id":2,"assigned_to_id":23,"start_date":"2017-05-11","description":"","custom_fields":[{"id":1,"name":"Subdivision","value":"Other"},{"id":4,"name":"Milepost","value":"0.1369"},{"id":17,"name":"Train ID","value":"80-11"},{"id":16,"name":"Locomotive ID","value":"4029"},{"id":130,"name":"Impact","value":""},{"id":150,"name":"Time of Event (Mountain Time)","value":"15:00:43"},{"id":151,"name":"Denver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138"/>
        <v>start /low /b %USERPROFILE%\Documents\GitHub\eaglep3\Utilities\DownloadLogsFromS3.py --loco 4029 --day 2017-05-11</v>
      </c>
      <c r="AN247" s="154" t="str">
        <f t="shared" si="139"/>
        <v>echo {"issue":{"subject":"","project_id":30,"tracker_id":4,"status_id":1,"priority_id":1,"assigned_to_id":10,"start_date":"2017-05-11","description":"","custom_fields":[{"id":30,"name":"Category","value":"Issue"},{"id":3,"name":"Functional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UTC","value":"2017-05-11 21:00:43"},{"id":29,"name":"Sharepoint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760</v>
      </c>
      <c r="B248" s="7">
        <v>4051</v>
      </c>
      <c r="C248" s="21" t="s">
        <v>206</v>
      </c>
      <c r="D248" s="21" t="s">
        <v>1011</v>
      </c>
      <c r="E248" s="13">
        <v>42866.791296296295</v>
      </c>
      <c r="F248" s="13">
        <v>42866.793113425927</v>
      </c>
      <c r="G248" s="7">
        <v>1</v>
      </c>
      <c r="H248" s="21" t="s">
        <v>871</v>
      </c>
      <c r="I248" s="13">
        <v>42866.806273148148</v>
      </c>
      <c r="J248" s="7">
        <v>0</v>
      </c>
      <c r="K248" s="92" t="str">
        <f t="shared" si="125"/>
        <v>4051/4052</v>
      </c>
      <c r="L248" s="21" t="str">
        <f>VLOOKUP(A248,'Trips&amp;Operators'!$C$1:$G$99999,5,FALSE)</f>
        <v>YANG JAN</v>
      </c>
      <c r="M248" s="6">
        <f t="shared" si="126"/>
        <v>1.3159722220734693E-2</v>
      </c>
      <c r="N248" s="7">
        <f t="shared" si="141"/>
        <v>18.949999997857958</v>
      </c>
      <c r="O248" s="7"/>
      <c r="P248" s="7"/>
      <c r="Q248" s="22"/>
      <c r="R248" s="190"/>
      <c r="S248" s="196">
        <f t="shared" si="142"/>
        <v>0</v>
      </c>
      <c r="T248" s="190" t="e">
        <f t="shared" si="127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128"/>
        <v>https://d0f6bd738d7f1b3e5a7ca70fe4ff75f0.us-east-1.aws.found.io/app/kibana#/discover/Steve-Slow-Train-Analysis-(2080s-and-2083s)?_g=(refreshInterval:(display:Off,pause:!f,section:0,value:0),time:(from:'2017-05-11T17:59:28-0600',mode:absolute,to:'2017-05-11T20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48" s="192" t="str">
        <f t="shared" si="129"/>
        <v>Y</v>
      </c>
      <c r="X248" s="192" t="e">
        <f t="shared" si="143"/>
        <v>#VALUE!</v>
      </c>
      <c r="Y248" s="192">
        <f t="shared" si="130"/>
        <v>3.0710000000000002</v>
      </c>
      <c r="Z248" s="192">
        <f t="shared" si="140"/>
        <v>1.54E-2</v>
      </c>
      <c r="AA248" s="192">
        <f t="shared" si="131"/>
        <v>3.0556000000000001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132"/>
        <v>87-11</v>
      </c>
      <c r="AE248" s="80" t="str">
        <f t="shared" si="133"/>
        <v>aws s3 cp s3://rtdc.mdm.uploadarchive.raw/RTDC4051/ "%USERPROFILE%\AppData\Local\Temp\OnboardLogs"\RTDC4051\2017-05-11 --exclude "*" --recursive --include "*20170511*" &amp; "%USERPROFILE%\Documents\GitHub\mrs-test-scripts\Headless Mode &amp; Sideloading\WalkAndUnGZ.bat" "%USERPROFILE%\AppData\Local\Temp\OnboardLogs"\RTDC4051\2017-05-11 &amp; aws s3 cp s3://rtdc.mdm.uploadarchive.raw/RTDC4051/ "%USERPROFILE%\AppData\Local\Temp\OnboardLogs"\RTDC4051\2017-05-12 --exclude "*" --recursive --include "*20170512*" &amp; "%USERPROFILE%\Documents\GitHub\mrs-test-scripts\Headless Mode &amp; Sideloading\WalkAndUnGZ.bat" "%USERPROFILE%\AppData\Local\Temp\OnboardLogs"\RTDC4051\2017-05-12</v>
      </c>
      <c r="AF248" s="77" t="str">
        <f t="shared" si="134"/>
        <v>"C:\Program Files (x86)\AstroGrep\AstroGrep.exe" /e /r /s /spath="%USERPROFILE%\AppData\Local\Temp\OnboardLogs" /stypes="app*4051*20170512*" /stext=" 01:.+((SYSTEM_STATE.+slice.+state.+changed )|(ment ac)|(multiple cpu faults)|(system.+state.+changed )|(\[timeout)|(PRM\|1\|D)|(kpr)|(kdp)|(train st.+moving)|(\|lc)|(penalty))"</v>
      </c>
      <c r="AG248" s="1" t="str">
        <f t="shared" si="135"/>
        <v>Other</v>
      </c>
      <c r="AH248" s="81" t="str">
        <f t="shared" si="136"/>
        <v>"%USERPROFILE%\Documents\GitHub\eaglep3\Utilities\RefineRTDCRunTimes.py" --tripid 87-11 --locoid 4051 --swversion DE.1.0.9.0 --startMP 300:30710 --initTime 2017-05-11T18:59:28 --startdatetime 2017-05-11T19:02:05 --delay 1 --endMP 204:154 --enddatetime 2017-05-11T19:21:02 --enforcementcount 0 &gt;&gt;C:\Users\stu\Documents\GitHub\eaglep3-reporting\EC\2017-05-11-refined-times.txt</v>
      </c>
      <c r="AI248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{"issue":{"subject":"","project_id":79,"tracker_id":40,"status_id":1,"priority_id":2,"assigned_to_id":23,"start_date":"2017-05-11","description":"","custom_fields":[{"id":1,"name":"Subdivision","value":"Other"},{"id":4,"name":"Milepost","value":"0.0154"},{"id":17,"name":"Train ID","value":"87-11"},{"id":16,"name":"Locomotive ID","value":"4051"},{"id":130,"name":"Impact","value":""},{"id":150,"name":"Time of Event (Mountain Time)","value":"19:21:02"},{"id":151,"name":"Denver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138"/>
        <v>start /low /b %USERPROFILE%\Documents\GitHub\eaglep3\Utilities\DownloadLogsFromS3.py --loco 4051 --day 2017-05-11</v>
      </c>
      <c r="AN248" s="154" t="str">
        <f t="shared" si="139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01:21:02"},{"id":29,"name":"Sharepoint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778</v>
      </c>
      <c r="B249" s="7">
        <v>4052</v>
      </c>
      <c r="C249" s="21" t="s">
        <v>206</v>
      </c>
      <c r="D249" s="21" t="s">
        <v>1012</v>
      </c>
      <c r="E249" s="13">
        <v>42866.883981481478</v>
      </c>
      <c r="F249" s="13">
        <v>42866.885474537034</v>
      </c>
      <c r="G249" s="7">
        <v>1</v>
      </c>
      <c r="H249" s="21" t="s">
        <v>1013</v>
      </c>
      <c r="I249" s="13">
        <v>42866.892997685187</v>
      </c>
      <c r="J249" s="7">
        <v>0</v>
      </c>
      <c r="K249" s="92" t="str">
        <f t="shared" si="125"/>
        <v>4051/4052</v>
      </c>
      <c r="L249" s="21" t="str">
        <f>VLOOKUP(A249,'Trips&amp;Operators'!$C$1:$G$99999,5,FALSE)</f>
        <v>YANG JAN</v>
      </c>
      <c r="M249" s="6">
        <f t="shared" si="126"/>
        <v>7.5231481532682665E-3</v>
      </c>
      <c r="N249" s="7">
        <f t="shared" si="141"/>
        <v>10.833333340706304</v>
      </c>
      <c r="O249" s="7"/>
      <c r="P249" s="7"/>
      <c r="Q249" s="22"/>
      <c r="R249" s="190"/>
      <c r="S249" s="196">
        <f t="shared" si="142"/>
        <v>0</v>
      </c>
      <c r="T249" s="190" t="e">
        <f t="shared" si="127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128"/>
        <v>https://d0f6bd738d7f1b3e5a7ca70fe4ff75f0.us-east-1.aws.found.io/app/kibana#/discover/Steve-Slow-Train-Analysis-(2080s-and-2083s)?_g=(refreshInterval:(display:Off,pause:!f,section:0,value:0),time:(from:'2017-05-11T20:12:56-0600',mode:absolute,to:'2017-05-11T22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9" s="192" t="str">
        <f t="shared" si="129"/>
        <v>Y</v>
      </c>
      <c r="X249" s="192" t="e">
        <f t="shared" si="143"/>
        <v>#VALUE!</v>
      </c>
      <c r="Y249" s="192">
        <f t="shared" si="130"/>
        <v>4.41E-2</v>
      </c>
      <c r="Z249" s="192">
        <f t="shared" si="140"/>
        <v>2.3083</v>
      </c>
      <c r="AA249" s="192">
        <f t="shared" si="131"/>
        <v>2.2642000000000002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132"/>
        <v>88-11</v>
      </c>
      <c r="AE249" s="80" t="str">
        <f t="shared" si="133"/>
        <v>aws s3 cp s3://rtdc.mdm.uploadarchive.raw/RTDC4052/ "%USERPROFILE%\AppData\Local\Temp\OnboardLogs"\RTDC4052\2017-05-11 --exclude "*" --recursive --include "*20170511*" &amp; "%USERPROFILE%\Documents\GitHub\mrs-test-scripts\Headless Mode &amp; Sideloading\WalkAndUnGZ.bat" "%USERPROFILE%\AppData\Local\Temp\OnboardLogs"\RTDC4052\2017-05-11 &amp; aws s3 cp s3://rtdc.mdm.uploadarchive.raw/RTDC4052/ "%USERPROFILE%\AppData\Local\Temp\OnboardLogs"\RTDC4052\2017-05-12 --exclude "*" --recursive --include "*20170512*" &amp; "%USERPROFILE%\Documents\GitHub\mrs-test-scripts\Headless Mode &amp; Sideloading\WalkAndUnGZ.bat" "%USERPROFILE%\AppData\Local\Temp\OnboardLogs"\RTDC4052\2017-05-12</v>
      </c>
      <c r="AF249" s="77" t="str">
        <f t="shared" si="134"/>
        <v>"C:\Program Files (x86)\AstroGrep\AstroGrep.exe" /e /r /s /spath="%USERPROFILE%\AppData\Local\Temp\OnboardLogs" /stypes="app*4052*20170512*" /stext=" 03:.+((SYSTEM_STATE.+slice.+state.+changed )|(ment ac)|(multiple cpu faults)|(system.+state.+changed )|(\[timeout)|(PRM\|1\|D)|(kpr)|(kdp)|(train st.+moving)|(\|lc)|(penalty))"</v>
      </c>
      <c r="AG249" s="1" t="str">
        <f t="shared" si="135"/>
        <v>Other</v>
      </c>
      <c r="AH249" s="81" t="str">
        <f t="shared" si="136"/>
        <v>"%USERPROFILE%\Documents\GitHub\eaglep3\Utilities\RefineRTDCRunTimes.py" --tripid 88-11 --locoid 4052 --swversion DE.1.0.9.0 --startMP 204:441 --initTime 2017-05-11T21:12:56 --startdatetime 2017-05-11T21:15:05 --delay 1 --endMP 300:23083 --enddatetime 2017-05-11T21:25:55 --enforcementcount 0 &gt;&gt;C:\Users\stu\Documents\GitHub\eaglep3-reporting\EC\2017-05-11-refined-times.txt</v>
      </c>
      <c r="AI249" s="99" t="str">
        <f t="shared" si="137"/>
        <v>echo {"issue":{"subject":"","project_id":79,"tracker_id":40,"status_id":1,"priority_id":2,"assigned_to_id":23,"start_date":"2017-05-11","description":"","custom_fields":[{"id":1,"name":"Subdivision","value":"Other"},{"id":4,"name":"Milepost","value":"2.3083"},{"id":17,"name":"Train ID","value":"88-11"},{"id":16,"name":"Locomotive ID","value":"4052"},{"id":130,"name":"Impact","value":""},{"id":150,"name":"Time of Event (Mountain Time)","value":"21:25:55"},{"id":151,"name":"Denver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138"/>
        <v>start /low /b %USERPROFILE%\Documents\GitHub\eaglep3\Utilities\DownloadLogsFromS3.py --loco 4052 --day 2017-05-11</v>
      </c>
      <c r="AN249" s="154" t="str">
        <f t="shared" si="139"/>
        <v>echo {"issue":{"subject":"","project_id":30,"tracker_id":4,"status_id":1,"priority_id":1,"assigned_to_id":10,"start_date":"2017-05-12","description":"","custom_fields":[{"id":30,"name":"Category","value":"Issue"},{"id":3,"name":"Functional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UTC","value":"2017-05-12 03:25:55"},{"id":29,"name":"Sharepoint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</sheetData>
  <autoFilter ref="A12:AG271">
    <sortState ref="A13:AG271">
      <sortCondition ref="AG13:AG249"/>
      <sortCondition ref="AD13:AD249"/>
    </sortState>
  </autoFilter>
  <sortState ref="A13:AH200">
    <sortCondition ref="AG13:AG200"/>
    <sortCondition ref="AD13:AD200"/>
  </sortState>
  <mergeCells count="1">
    <mergeCell ref="A11:P11"/>
  </mergeCells>
  <conditionalFormatting sqref="W11:W12 W272:X1048576 W13:X249">
    <cfRule type="cellIs" dxfId="10" priority="401" operator="equal">
      <formula>"Y"</formula>
    </cfRule>
  </conditionalFormatting>
  <conditionalFormatting sqref="X272:X1048576 X13:X249">
    <cfRule type="cellIs" dxfId="9" priority="384" operator="greaterThan">
      <formula>1</formula>
    </cfRule>
  </conditionalFormatting>
  <conditionalFormatting sqref="X272:X1048576 X12:X249">
    <cfRule type="cellIs" dxfId="8" priority="381" operator="equal">
      <formula>0</formula>
    </cfRule>
  </conditionalFormatting>
  <conditionalFormatting sqref="A13:S249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A13:S249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AK13:AK249</xm:sqref>
        </x14:dataValidation>
        <x14:dataValidation type="list" allowBlank="1" showInputMessage="1" showErrorMessage="1">
          <x14:formula1>
            <xm:f>'Redmine List Values'!$C$2:$C$15</xm:f>
          </x14:formula1>
          <xm:sqref>AL13:AL249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zoomScaleNormal="100" workbookViewId="0">
      <selection activeCell="P13" sqref="P13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COUNTIF($O$7:$O$290,"=Y")</f>
        <v>4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COUNTA($O$7:$O$290)-O2</f>
        <v>29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- 2017-05-11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42866.290659722225</v>
      </c>
      <c r="B7" s="30" t="s">
        <v>344</v>
      </c>
      <c r="C7" s="30" t="s">
        <v>577</v>
      </c>
      <c r="D7" s="30" t="s">
        <v>98</v>
      </c>
      <c r="E7" s="30" t="s">
        <v>191</v>
      </c>
      <c r="F7" s="42">
        <v>0</v>
      </c>
      <c r="G7" s="42">
        <v>108</v>
      </c>
      <c r="H7" s="42">
        <v>27331</v>
      </c>
      <c r="I7" s="42">
        <v>27227</v>
      </c>
      <c r="J7" s="30" t="s">
        <v>192</v>
      </c>
      <c r="K7" s="42">
        <v>27350</v>
      </c>
      <c r="L7" s="134" t="s">
        <v>51</v>
      </c>
      <c r="M7" s="135">
        <f t="shared" ref="M7:M39" si="0">CONVERT((I7-K7)/10000,"mi","ft")*IF(L7="Increasing Mileposts (1)",-1,1)</f>
        <v>-64.944000000000003</v>
      </c>
      <c r="N7" s="136" t="str">
        <f>VLOOKUP(C7,'Trips&amp;Operators'!$C$1:$G$99999,5,FALSE)</f>
        <v>STARKS ANGELINA</v>
      </c>
      <c r="O7" s="207" t="s">
        <v>184</v>
      </c>
      <c r="P7" s="137" t="s">
        <v>1050</v>
      </c>
      <c r="Q7" s="30"/>
      <c r="R7" s="84" t="str">
        <f>IF(VLOOKUP(C7,'Train Runs'!$A$13:$AE$9930,1,1)=C7,VLOOKUP(C7,'Train Runs'!$A$13:$AE$9930,31,1),NA())</f>
        <v>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 &amp; aws s3 cp s3://rtdc.mdm.uploadarchive.raw/RTDC4027/ "%USERPROFILE%\AppData\Local\Temp\OnboardLogs"\RTDC4027\2017-05-12 --exclude "*" --recursive --include "*20170512*" &amp; "%USERPROFILE%\Documents\GitHub\mrs-test-scripts\Headless Mode &amp; Sideloading\WalkAndUnGZ.bat" "%USERPROFILE%\AppData\Local\Temp\OnboardLogs"\RTDC4027\2017-05-12</v>
      </c>
      <c r="S7" s="87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-05-11T05:15:33-0600',mode:absolute,to:'2017-05-11T08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" s="89" t="str">
        <f t="shared" ref="T7:T3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/stypes="*4027*201705111*" /stext=" 12:.+((SYSTEM_STATE.+slice.+state.+changed )|(ment ac)|(multiple cpu faults)|(system.+state.+changed )|(\[timeout)|(PRM\|1\|D)|(kpr)|(kdp)|(train st.+moving)|(\|lc)|(penalty))"</v>
      </c>
      <c r="U7" s="9" t="str">
        <f t="shared" ref="U7:U39" si="2">MID(B7,13,4)</f>
        <v>4027</v>
      </c>
      <c r="V7" s="31">
        <f t="shared" ref="V7:V39" si="3">A7-utc_offset/24</f>
        <v>42866.540659722225</v>
      </c>
      <c r="W7" s="45" t="str">
        <f t="shared" ref="W7:W39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9" si="5">IF(AND(E7="TRACK WARRANT AUTHORITY",G7&lt;10),"OMIT","KEEP")</f>
        <v>KEEP</v>
      </c>
      <c r="Y7" s="99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arrival","project_id":79,"tracker_id":40,"status_id":1,"priority_id":2,"assigned_to_id":23,"start_date":"2017-05-11","description":"","custom_fields":[{"id":1,"name":"Subdivision","value":"EC"},{"id":4,"name":"Milepost","value":"2.735"},{"id":17,"name":"Train ID","value":"116-11"},{"id":16,"name":"Locomotive ID","value":"4027"},{"id":130,"name":"Impact","value":""},{"id":150,"name":"Time of Event (Mountain Time)","value":"06:58:33"},{"id":151,"name":"Denver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9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/cygdrive/c/Users/stu/AppData/Local/Temp/OnboardLogs/RTDC4027 --include="*4027*201705111*"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"%USERPROFILE%\AppData\Local\Temp\OnboardLogs"\RTDC4027\*4027*201705111* &gt;&gt; 2017-05-11-SliceDisagreementCheck.txt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4027 --day 2017-05-11</v>
      </c>
    </row>
    <row r="8" spans="1:32" s="1" customFormat="1" x14ac:dyDescent="0.25">
      <c r="A8" s="31">
        <v>42866.615601851852</v>
      </c>
      <c r="B8" s="30" t="s">
        <v>494</v>
      </c>
      <c r="C8" s="30" t="s">
        <v>587</v>
      </c>
      <c r="D8" s="30" t="s">
        <v>49</v>
      </c>
      <c r="E8" s="30" t="s">
        <v>191</v>
      </c>
      <c r="F8" s="42">
        <v>0</v>
      </c>
      <c r="G8" s="42">
        <v>153</v>
      </c>
      <c r="H8" s="42">
        <v>27407</v>
      </c>
      <c r="I8" s="42">
        <v>27310</v>
      </c>
      <c r="J8" s="30" t="s">
        <v>192</v>
      </c>
      <c r="K8" s="42">
        <v>27350</v>
      </c>
      <c r="L8" s="134" t="s">
        <v>51</v>
      </c>
      <c r="M8" s="135">
        <f t="shared" si="0"/>
        <v>-21.12</v>
      </c>
      <c r="N8" s="136" t="str">
        <f>VLOOKUP(C8,'Trips&amp;Operators'!$C$1:$G$99999,5,FALSE)</f>
        <v>BRANDNER MELINDA</v>
      </c>
      <c r="O8" s="207" t="s">
        <v>184</v>
      </c>
      <c r="P8" s="137" t="s">
        <v>1050</v>
      </c>
      <c r="Q8" s="30"/>
      <c r="R8" s="84" t="str">
        <f>IF(VLOOKUP(C8,'Train Runs'!$A$13:$AE$9930,1,1)=C8,VLOOKUP(C8,'Train Runs'!$A$13:$AE$9930,31,1),NA())</f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S8" s="87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-05-11T13:02:36-0600',mode:absolute,to:'2017-05-11T15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8" s="89" t="str">
        <f t="shared" si="1"/>
        <v>"C:\Program Files (x86)\AstroGrep\AstroGrep.exe" /e /r /s /spath="%USERPROFILE%\AppData\Local\Temp\OnboardLogs" /stypes="*4015*201705112*" /stext=" 20:.+((SYSTEM_STATE.+slice.+state.+changed )|(ment ac)|(multiple cpu faults)|(system.+state.+changed )|(\[timeout)|(PRM\|1\|D)|(kpr)|(kdp)|(train st.+moving)|(\|lc)|(penalty))"</v>
      </c>
      <c r="U8" s="9" t="str">
        <f t="shared" si="2"/>
        <v>4015</v>
      </c>
      <c r="V8" s="31">
        <f t="shared" si="3"/>
        <v>42866.865601851852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arrival","project_id":79,"tracker_id":40,"status_id":1,"priority_id":2,"assigned_to_id":23,"start_date":"2017-05-11","description":"","custom_fields":[{"id":1,"name":"Subdivision","value":"EC"},{"id":4,"name":"Milepost","value":"2.735"},{"id":17,"name":"Train ID","value":"178-11"},{"id":16,"name":"Locomotive ID","value":"4015"},{"id":130,"name":"Impact","value":""},{"id":150,"name":"Time of Event (Mountain Time)","value":"14:46:28"},{"id":151,"name":"Denver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/cygdrive/c/Users/stu/AppData/Local/Temp/OnboardLogs/RTDC4015 --include="*4015*201705112*"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"%USERPROFILE%\AppData\Local\Temp\OnboardLogs"\RTDC4015\*4015*201705112* &gt;&gt; 2017-05-11-SliceDisagreementCheck.txt</v>
      </c>
      <c r="AE8" s="148" t="str">
        <f t="shared" ref="AE8:AE39" si="9">"start /low /b "&amp;dls3logs&amp;" --loco "&amp;U8&amp;" --day "&amp;TEXT(V8,"YYYY-MM-DD")</f>
        <v>start /low /b %USERPROFILE%\Documents\GitHub\eaglep3\Utilities\DownloadLogsFromS3.py --loco 4015 --day 2017-05-11</v>
      </c>
    </row>
    <row r="9" spans="1:32" s="1" customFormat="1" x14ac:dyDescent="0.25">
      <c r="A9" s="31">
        <v>42866.327037037037</v>
      </c>
      <c r="B9" s="30" t="s">
        <v>579</v>
      </c>
      <c r="C9" s="30" t="s">
        <v>580</v>
      </c>
      <c r="D9" s="30" t="s">
        <v>49</v>
      </c>
      <c r="E9" s="30" t="s">
        <v>191</v>
      </c>
      <c r="F9" s="42">
        <v>0</v>
      </c>
      <c r="G9" s="42">
        <v>389</v>
      </c>
      <c r="H9" s="42">
        <v>58766</v>
      </c>
      <c r="I9" s="42">
        <v>57603</v>
      </c>
      <c r="J9" s="30" t="s">
        <v>192</v>
      </c>
      <c r="K9" s="42">
        <v>58301</v>
      </c>
      <c r="L9" s="134" t="s">
        <v>51</v>
      </c>
      <c r="M9" s="135">
        <f t="shared" si="0"/>
        <v>-368.54399999999998</v>
      </c>
      <c r="N9" s="136" t="str">
        <f>VLOOKUP(C9,'Trips&amp;Operators'!$C$1:$G$99999,5,FALSE)</f>
        <v>ROCHA YAOTL</v>
      </c>
      <c r="O9" s="207" t="s">
        <v>184</v>
      </c>
      <c r="P9" s="137" t="s">
        <v>1050</v>
      </c>
      <c r="Q9" s="30"/>
      <c r="R9" s="84" t="str">
        <f>IF(VLOOKUP(C9,'Train Runs'!$A$13:$AE$9930,1,1)=C9,VLOOKUP(C9,'Train Runs'!$A$13:$AE$9930,31,1),NA())</f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S9" s="87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-05-11T06:22:10-0600',mode:absolute,to:'2017-05-11T09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89" t="str">
        <f t="shared" si="1"/>
        <v>"C:\Program Files (x86)\AstroGrep\AstroGrep.exe" /e /r /s /spath="%USERPROFILE%\AppData\Local\Temp\OnboardLogs" /stypes="*4053*201705111*" /stext=" 13:.+((SYSTEM_STATE.+slice.+state.+changed )|(ment ac)|(multiple cpu faults)|(system.+state.+changed )|(\[timeout)|(PRM\|1\|D)|(kpr)|(kdp)|(train st.+moving)|(\|lc)|(penalty))"</v>
      </c>
      <c r="U9" s="9" t="str">
        <f t="shared" si="2"/>
        <v>4053</v>
      </c>
      <c r="V9" s="31">
        <f t="shared" si="3"/>
        <v>42866.577037037037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arrival","project_id":79,"tracker_id":40,"status_id":1,"priority_id":2,"assigned_to_id":23,"start_date":"2017-05-11","description":"","custom_fields":[{"id":1,"name":"Subdivision","value":"EC"},{"id":4,"name":"Milepost","value":"5.8301"},{"id":17,"name":"Train ID","value":"124-11"},{"id":16,"name":"Locomotive ID","value":"4053"},{"id":130,"name":"Impact","value":""},{"id":150,"name":"Time of Event (Mountain Time)","value":"07:50:56"},{"id":151,"name":"Denver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/cygdrive/c/Users/stu/AppData/Local/Temp/OnboardLogs/RTDC4053 --include="*4053*201705111*"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"%USERPROFILE%\AppData\Local\Temp\OnboardLogs"\RTDC4053\*4053*201705111* &gt;&gt; 2017-05-11-SliceDisagreementCheck.txt</v>
      </c>
      <c r="AE9" s="148" t="str">
        <f t="shared" si="9"/>
        <v>start /low /b %USERPROFILE%\Documents\GitHub\eaglep3\Utilities\DownloadLogsFromS3.py --loco 4053 --day 2017-05-11</v>
      </c>
    </row>
    <row r="10" spans="1:32" s="1" customFormat="1" x14ac:dyDescent="0.25">
      <c r="A10" s="31">
        <v>42866.259120370371</v>
      </c>
      <c r="B10" s="30" t="s">
        <v>456</v>
      </c>
      <c r="C10" s="30" t="s">
        <v>575</v>
      </c>
      <c r="D10" s="30" t="s">
        <v>49</v>
      </c>
      <c r="E10" s="30" t="s">
        <v>191</v>
      </c>
      <c r="F10" s="42">
        <v>0</v>
      </c>
      <c r="G10" s="42">
        <v>460</v>
      </c>
      <c r="H10" s="42">
        <v>58396</v>
      </c>
      <c r="I10" s="42">
        <v>59308</v>
      </c>
      <c r="J10" s="30" t="s">
        <v>192</v>
      </c>
      <c r="K10" s="42">
        <v>58783</v>
      </c>
      <c r="L10" s="134" t="s">
        <v>50</v>
      </c>
      <c r="M10" s="135">
        <f t="shared" si="0"/>
        <v>-277.2</v>
      </c>
      <c r="N10" s="136" t="str">
        <f>VLOOKUP(C10,'Trips&amp;Operators'!$C$1:$G$99999,5,FALSE)</f>
        <v>ROBINSON KADDIBA</v>
      </c>
      <c r="O10" s="207" t="s">
        <v>184</v>
      </c>
      <c r="P10" s="137" t="s">
        <v>1050</v>
      </c>
      <c r="Q10" s="30"/>
      <c r="R10" s="84" t="str">
        <f>IF(VLOOKUP(C10,'Train Runs'!$A$13:$AE$9930,1,1)=C10,VLOOKUP(C10,'Train Runs'!$A$13:$AE$9930,31,1),NA())</f>
        <v>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 &amp; aws s3 cp s3://rtdc.mdm.uploadarchive.raw/RTDC4006/ "%USERPROFILE%\AppData\Local\Temp\OnboardLogs"\RTDC4006\2017-05-12 --exclude "*" --recursive --include "*20170512*" &amp; "%USERPROFILE%\Documents\GitHub\mrs-test-scripts\Headless Mode &amp; Sideloading\WalkAndUnGZ.bat" "%USERPROFILE%\AppData\Local\Temp\OnboardLogs"\RTDC4006\2017-05-12</v>
      </c>
      <c r="S10" s="87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-05-11T04:56:21-0600',mode:absolute,to:'2017-05-11T07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0" s="89" t="str">
        <f t="shared" si="1"/>
        <v>"C:\Program Files (x86)\AstroGrep\AstroGrep.exe" /e /r /s /spath="%USERPROFILE%\AppData\Local\Temp\OnboardLogs" /stypes="*4006*201705111*" /stext=" 12:.+((SYSTEM_STATE.+slice.+state.+changed )|(ment ac)|(multiple cpu faults)|(system.+state.+changed )|(\[timeout)|(PRM\|1\|D)|(kpr)|(kdp)|(train st.+moving)|(\|lc)|(penalty))"</v>
      </c>
      <c r="U10" s="9" t="str">
        <f t="shared" si="2"/>
        <v>4006</v>
      </c>
      <c r="V10" s="31">
        <f t="shared" si="3"/>
        <v>42866.509120370371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arrival","project_id":79,"tracker_id":40,"status_id":1,"priority_id":2,"assigned_to_id":23,"start_date":"2017-05-11","description":"","custom_fields":[{"id":1,"name":"Subdivision","value":"EC"},{"id":4,"name":"Milepost","value":"5.8783"},{"id":17,"name":"Train ID","value":"119-11"},{"id":16,"name":"Locomotive ID","value":"4006"},{"id":130,"name":"Impact","value":""},{"id":150,"name":"Time of Event (Mountain Time)","value":"06:13:08"},{"id":151,"name":"Denver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/cygdrive/c/Users/stu/AppData/Local/Temp/OnboardLogs/RTDC4006 --include="*4006*201705111*"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"%USERPROFILE%\AppData\Local\Temp\OnboardLogs"\RTDC4006\*4006*201705111* &gt;&gt; 2017-05-11-SliceDisagreementCheck.txt</v>
      </c>
      <c r="AE10" s="148" t="str">
        <f t="shared" si="9"/>
        <v>start /low /b %USERPROFILE%\Documents\GitHub\eaglep3\Utilities\DownloadLogsFromS3.py --loco 4006 --day 2017-05-11</v>
      </c>
    </row>
    <row r="11" spans="1:32" s="1" customFormat="1" x14ac:dyDescent="0.25">
      <c r="A11" s="31">
        <v>42866.868472222224</v>
      </c>
      <c r="B11" s="30" t="s">
        <v>382</v>
      </c>
      <c r="C11" s="30" t="s">
        <v>601</v>
      </c>
      <c r="D11" s="30" t="s">
        <v>98</v>
      </c>
      <c r="E11" s="30" t="s">
        <v>191</v>
      </c>
      <c r="F11" s="42">
        <v>190</v>
      </c>
      <c r="G11" s="42">
        <v>243</v>
      </c>
      <c r="H11" s="42">
        <v>63279</v>
      </c>
      <c r="I11" s="42">
        <v>62901</v>
      </c>
      <c r="J11" s="30" t="s">
        <v>192</v>
      </c>
      <c r="K11" s="42">
        <v>63309</v>
      </c>
      <c r="L11" s="134" t="s">
        <v>51</v>
      </c>
      <c r="M11" s="135">
        <f t="shared" si="0"/>
        <v>-215.42400000000001</v>
      </c>
      <c r="N11" s="136" t="str">
        <f>VLOOKUP(C11,'Trips&amp;Operators'!$C$1:$G$99999,5,FALSE)</f>
        <v>YANG JAN</v>
      </c>
      <c r="O11" s="207" t="s">
        <v>184</v>
      </c>
      <c r="P11" s="137" t="s">
        <v>1050</v>
      </c>
      <c r="Q11" s="30"/>
      <c r="R11" s="84" t="str">
        <f>IF(VLOOKUP(C11,'Train Runs'!$A$13:$AE$9930,1,1)=C11,VLOOKUP(C11,'Train Runs'!$A$13:$AE$9930,31,1),NA())</f>
        <v>aws s3 cp s3://rtdc.mdm.uploadarchive.raw/RTDC4051/ "%USERPROFILE%\AppData\Local\Temp\OnboardLogs"\RTDC4051\2017-05-11 --exclude "*" --recursive --include "*20170511*" &amp; "%USERPROFILE%\Documents\GitHub\mrs-test-scripts\Headless Mode &amp; Sideloading\WalkAndUnGZ.bat" "%USERPROFILE%\AppData\Local\Temp\OnboardLogs"\RTDC4051\2017-05-11 &amp; aws s3 cp s3://rtdc.mdm.uploadarchive.raw/RTDC4051/ "%USERPROFILE%\AppData\Local\Temp\OnboardLogs"\RTDC4051\2017-05-12 --exclude "*" --recursive --include "*20170512*" &amp; "%USERPROFILE%\Documents\GitHub\mrs-test-scripts\Headless Mode &amp; Sideloading\WalkAndUnGZ.bat" "%USERPROFILE%\AppData\Local\Temp\OnboardLogs"\RTDC4051\2017-05-12</v>
      </c>
      <c r="S11" s="87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-05-11T19:20:32-0600',mode:absolute,to:'2017-05-11T22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1" s="89" t="str">
        <f t="shared" si="1"/>
        <v>"C:\Program Files (x86)\AstroGrep\AstroGrep.exe" /e /r /s /spath="%USERPROFILE%\AppData\Local\Temp\OnboardLogs" /stypes="*4051*201705120*" /stext=" 02:.+((SYSTEM_STATE.+slice.+state.+changed )|(ment ac)|(multiple cpu faults)|(system.+state.+changed )|(\[timeout)|(PRM\|1\|D)|(kpr)|(kdp)|(train st.+moving)|(\|lc)|(penalty))"</v>
      </c>
      <c r="U11" s="9" t="str">
        <f t="shared" si="2"/>
        <v>4051</v>
      </c>
      <c r="V11" s="31">
        <f t="shared" si="3"/>
        <v>42867.118472222224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arrival","project_id":79,"tracker_id":40,"status_id":1,"priority_id":2,"assigned_to_id":23,"start_date":"2017-05-11","description":"","custom_fields":[{"id":1,"name":"Subdivision","value":"EC"},{"id":4,"name":"Milepost","value":"6.3309"},{"id":17,"name":"Train ID","value":"224-11"},{"id":16,"name":"Locomotive ID","value":"4051"},{"id":130,"name":"Impact","value":""},{"id":150,"name":"Time of Event (Mountain Time)","value":"20:50:36"},{"id":151,"name":"Denver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/cygdrive/c/Users/stu/AppData/Local/Temp/OnboardLogs/RTDC4051 --include="*4051*201705120*"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"%USERPROFILE%\AppData\Local\Temp\OnboardLogs"\RTDC4051\*4051*201705120* &gt;&gt; 2017-05-11-SliceDisagreementCheck.txt</v>
      </c>
      <c r="AE11" s="148" t="str">
        <f t="shared" si="9"/>
        <v>start /low /b %USERPROFILE%\Documents\GitHub\eaglep3\Utilities\DownloadLogsFromS3.py --loco 4051 --day 2017-05-12</v>
      </c>
    </row>
    <row r="12" spans="1:32" s="1" customFormat="1" x14ac:dyDescent="0.25">
      <c r="A12" s="31">
        <v>42866.178923611114</v>
      </c>
      <c r="B12" s="30" t="s">
        <v>456</v>
      </c>
      <c r="C12" s="30" t="s">
        <v>570</v>
      </c>
      <c r="D12" s="30" t="s">
        <v>98</v>
      </c>
      <c r="E12" s="30" t="s">
        <v>204</v>
      </c>
      <c r="F12" s="42">
        <v>400</v>
      </c>
      <c r="G12" s="42">
        <v>452</v>
      </c>
      <c r="H12" s="42">
        <v>7332</v>
      </c>
      <c r="I12" s="42">
        <v>8826</v>
      </c>
      <c r="J12" s="30" t="s">
        <v>205</v>
      </c>
      <c r="K12" s="42">
        <v>5439</v>
      </c>
      <c r="L12" s="134" t="s">
        <v>50</v>
      </c>
      <c r="M12" s="135">
        <f t="shared" si="0"/>
        <v>-1788.336</v>
      </c>
      <c r="N12" s="136" t="str">
        <f>VLOOKUP(C12,'Trips&amp;Operators'!$C$1:$G$99999,5,FALSE)</f>
        <v>ROBINSON KADDIBA</v>
      </c>
      <c r="O12" s="207" t="s">
        <v>184</v>
      </c>
      <c r="P12" s="137"/>
      <c r="Q12" s="30"/>
      <c r="R12" s="84" t="str">
        <f>IF(VLOOKUP(C12,'Train Runs'!$A$13:$AE$9930,1,1)=C12,VLOOKUP(C12,'Train Runs'!$A$13:$AE$9930,31,1),NA())</f>
        <v>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 &amp; aws s3 cp s3://rtdc.mdm.uploadarchive.raw/RTDC4006/ "%USERPROFILE%\AppData\Local\Temp\OnboardLogs"\RTDC4006\2017-05-12 --exclude "*" --recursive --include "*20170512*" &amp; "%USERPROFILE%\Documents\GitHub\mrs-test-scripts\Headless Mode &amp; Sideloading\WalkAndUnGZ.bat" "%USERPROFILE%\AppData\Local\Temp\OnboardLogs"\RTDC4006\2017-05-12</v>
      </c>
      <c r="S12" s="87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-05-11T03:08:17-0600',mode:absolute,to:'2017-05-11T05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2" s="89" t="str">
        <f t="shared" si="1"/>
        <v>"C:\Program Files (x86)\AstroGrep\AstroGrep.exe" /e /r /s /spath="%USERPROFILE%\AppData\Local\Temp\OnboardLogs" /stypes="*4006*201705111*" /stext=" 10:.+((SYSTEM_STATE.+slice.+state.+changed )|(ment ac)|(multiple cpu faults)|(system.+state.+changed )|(\[timeout)|(PRM\|1\|D)|(kpr)|(kdp)|(train st.+moving)|(\|lc)|(penalty))"</v>
      </c>
      <c r="U12" s="9" t="str">
        <f t="shared" si="2"/>
        <v>4006</v>
      </c>
      <c r="V12" s="31">
        <f t="shared" si="3"/>
        <v>42866.428923611114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{"issue":{"subject":"","project_id":79,"tracker_id":40,"status_id":1,"priority_id":2,"assigned_to_id":23,"start_date":"2017-05-11","description":"","custom_fields":[{"id":1,"name":"Subdivision","value":"EC"},{"id":4,"name":"Milepost","value":"0.5439"},{"id":17,"name":"Train ID","value":"105-11"},{"id":16,"name":"Locomotive ID","value":"4006"},{"id":130,"name":"Impact","value":""},{"id":150,"name":"Time of Event (Mountain Time)","value":"04:17:39"},{"id":151,"name":"Denver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/cygdrive/c/Users/stu/AppData/Local/Temp/OnboardLogs/RTDC4006 --include="*4006*201705111*"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"%USERPROFILE%\AppData\Local\Temp\OnboardLogs"\RTDC4006\*4006*201705111* &gt;&gt; 2017-05-11-SliceDisagreementCheck.txt</v>
      </c>
      <c r="AE12" s="148" t="str">
        <f t="shared" si="9"/>
        <v>start /low /b %USERPROFILE%\Documents\GitHub\eaglep3\Utilities\DownloadLogsFromS3.py --loco 4006 --day 2017-05-11</v>
      </c>
    </row>
    <row r="13" spans="1:32" s="1" customFormat="1" x14ac:dyDescent="0.25">
      <c r="A13" s="31">
        <v>42866.547812500001</v>
      </c>
      <c r="B13" s="30" t="s">
        <v>503</v>
      </c>
      <c r="C13" s="30" t="s">
        <v>586</v>
      </c>
      <c r="D13" s="30" t="s">
        <v>98</v>
      </c>
      <c r="E13" s="30" t="s">
        <v>204</v>
      </c>
      <c r="F13" s="42">
        <v>300</v>
      </c>
      <c r="G13" s="42">
        <v>350</v>
      </c>
      <c r="H13" s="42">
        <v>20758</v>
      </c>
      <c r="I13" s="42">
        <v>21729</v>
      </c>
      <c r="J13" s="30" t="s">
        <v>205</v>
      </c>
      <c r="K13" s="42">
        <v>20338</v>
      </c>
      <c r="L13" s="134" t="s">
        <v>50</v>
      </c>
      <c r="M13" s="135">
        <f t="shared" si="0"/>
        <v>-734.44799999999998</v>
      </c>
      <c r="N13" s="136" t="str">
        <f>VLOOKUP(C13,'Trips&amp;Operators'!$C$1:$G$99999,5,FALSE)</f>
        <v>BRANDNER MELINDA</v>
      </c>
      <c r="O13" s="207" t="s">
        <v>184</v>
      </c>
      <c r="P13" s="137"/>
      <c r="Q13" s="30"/>
      <c r="R13" s="84" t="str">
        <f>IF(VLOOKUP(C13,'Train Runs'!$A$13:$AE$9930,1,1)=C13,VLOOKUP(C13,'Train Runs'!$A$13:$AE$9930,31,1),NA())</f>
        <v>aws s3 cp s3://rtdc.mdm.uploadarchive.raw/RTDC4016/ "%USERPROFILE%\AppData\Local\Temp\OnboardLogs"\RTDC4016\2017-05-11 --exclude "*" --recursive --include "*20170511*" &amp; "%USERPROFILE%\Documents\GitHub\mrs-test-scripts\Headless Mode &amp; Sideloading\WalkAndUnGZ.bat" "%USERPROFILE%\AppData\Local\Temp\OnboardLogs"\RTDC4016\2017-05-11 &amp; aws s3 cp s3://rtdc.mdm.uploadarchive.raw/RTDC4016/ "%USERPROFILE%\AppData\Local\Temp\OnboardLogs"\RTDC4016\2017-05-12 --exclude "*" --recursive --include "*20170512*" &amp; "%USERPROFILE%\Documents\GitHub\mrs-test-scripts\Headless Mode &amp; Sideloading\WalkAndUnGZ.bat" "%USERPROFILE%\AppData\Local\Temp\OnboardLogs"\RTDC4016\2017-05-12</v>
      </c>
      <c r="S13" s="87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-05-11T12:00:53-0600',mode:absolute,to:'2017-05-11T14:47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89" t="str">
        <f t="shared" si="1"/>
        <v>"C:\Program Files (x86)\AstroGrep\AstroGrep.exe" /e /r /s /spath="%USERPROFILE%\AppData\Local\Temp\OnboardLogs" /stypes="*4016*201705111*"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4016</v>
      </c>
      <c r="V13" s="31">
        <f t="shared" si="3"/>
        <v>42866.797812500001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{"issue":{"subject":"","project_id":79,"tracker_id":40,"status_id":1,"priority_id":2,"assigned_to_id":23,"start_date":"2017-05-11","description":"","custom_fields":[{"id":1,"name":"Subdivision","value":"EC"},{"id":4,"name":"Milepost","value":"2.0338"},{"id":17,"name":"Train ID","value":"175-11"},{"id":16,"name":"Locomotive ID","value":"4016"},{"id":130,"name":"Impact","value":""},{"id":150,"name":"Time of Event (Mountain Time)","value":"13:08:51"},{"id":151,"name":"Denver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/cygdrive/c/Users/stu/AppData/Local/Temp/OnboardLogs/RTDC4016 --include="*4016*201705111*"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"%USERPROFILE%\AppData\Local\Temp\OnboardLogs"\RTDC4016\*4016*201705111* &gt;&gt; 2017-05-11-SliceDisagreementCheck.txt</v>
      </c>
      <c r="AE13" s="148" t="str">
        <f t="shared" si="9"/>
        <v>start /low /b %USERPROFILE%\Documents\GitHub\eaglep3\Utilities\DownloadLogsFromS3.py --loco 4016 --day 2017-05-11</v>
      </c>
    </row>
    <row r="14" spans="1:32" x14ac:dyDescent="0.25">
      <c r="A14" s="31">
        <v>42866.685219907406</v>
      </c>
      <c r="B14" s="30" t="s">
        <v>494</v>
      </c>
      <c r="C14" s="30" t="s">
        <v>592</v>
      </c>
      <c r="D14" s="30" t="s">
        <v>49</v>
      </c>
      <c r="E14" s="30" t="s">
        <v>204</v>
      </c>
      <c r="F14" s="42">
        <v>400</v>
      </c>
      <c r="G14" s="42">
        <v>569</v>
      </c>
      <c r="H14" s="42">
        <v>122519</v>
      </c>
      <c r="I14" s="42">
        <v>120541</v>
      </c>
      <c r="J14" s="30" t="s">
        <v>205</v>
      </c>
      <c r="K14" s="42">
        <v>119716</v>
      </c>
      <c r="L14" s="134" t="s">
        <v>51</v>
      </c>
      <c r="M14" s="135">
        <f t="shared" si="0"/>
        <v>435.6</v>
      </c>
      <c r="N14" s="136" t="str">
        <f>VLOOKUP(C14,'Trips&amp;Operators'!$C$1:$G$99999,5,FALSE)</f>
        <v>BRANDNER MELINDA</v>
      </c>
      <c r="O14" s="207" t="s">
        <v>184</v>
      </c>
      <c r="P14" s="137"/>
      <c r="Q14" s="30"/>
      <c r="R14" s="84" t="str">
        <f>IF(VLOOKUP(C14,'Train Runs'!$A$13:$AE$9930,1,1)=C14,VLOOKUP(C14,'Train Runs'!$A$13:$AE$9930,31,1),NA())</f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S14" s="87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-05-11T15:01:34-0600',mode:absolute,to:'2017-05-11T17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89" t="str">
        <f t="shared" si="1"/>
        <v>"C:\Program Files (x86)\AstroGrep\AstroGrep.exe" /e /r /s /spath="%USERPROFILE%\AppData\Local\Temp\OnboardLogs" /stypes="*4015*201705112*" /stext=" 22:.+((SYSTEM_STATE.+slice.+state.+changed )|(ment ac)|(multiple cpu faults)|(system.+state.+changed )|(\[timeout)|(PRM\|1\|D)|(kpr)|(kdp)|(train st.+moving)|(\|lc)|(penalty))"</v>
      </c>
      <c r="U14" s="9" t="str">
        <f t="shared" si="2"/>
        <v>4015</v>
      </c>
      <c r="V14" s="31">
        <f t="shared" si="3"/>
        <v>42866.935219907406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{"issue":{"subject":"","project_id":79,"tracker_id":40,"status_id":1,"priority_id":2,"assigned_to_id":23,"start_date":"2017-05-11","description":"","custom_fields":[{"id":1,"name":"Subdivision","value":"EC"},{"id":4,"name":"Milepost","value":"11.9716"},{"id":17,"name":"Train ID","value":"194-11"},{"id":16,"name":"Locomotive ID","value":"4015"},{"id":130,"name":"Impact","value":""},{"id":150,"name":"Time of Event (Mountain Time)","value":"16:26:43"},{"id":151,"name":"Denver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/cygdrive/c/Users/stu/AppData/Local/Temp/OnboardLogs/RTDC4015 --include="*4015*201705112*"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"%USERPROFILE%\AppData\Local\Temp\OnboardLogs"\RTDC4015\*4015*201705112* &gt;&gt; 2017-05-11-SliceDisagreementCheck.txt</v>
      </c>
      <c r="AE14" s="148" t="str">
        <f t="shared" si="9"/>
        <v>start /low /b %USERPROFILE%\Documents\GitHub\eaglep3\Utilities\DownloadLogsFromS3.py --loco 4015 --day 2017-05-11</v>
      </c>
      <c r="AF14" s="1"/>
    </row>
    <row r="15" spans="1:32" x14ac:dyDescent="0.25">
      <c r="A15" s="31">
        <v>42866.198240740741</v>
      </c>
      <c r="B15" s="30" t="s">
        <v>456</v>
      </c>
      <c r="C15" s="30" t="s">
        <v>570</v>
      </c>
      <c r="D15" s="30" t="s">
        <v>98</v>
      </c>
      <c r="E15" s="30" t="s">
        <v>204</v>
      </c>
      <c r="F15" s="42">
        <v>700</v>
      </c>
      <c r="G15" s="42">
        <v>750</v>
      </c>
      <c r="H15" s="42">
        <v>166646</v>
      </c>
      <c r="I15" s="42">
        <v>169843</v>
      </c>
      <c r="J15" s="30" t="s">
        <v>205</v>
      </c>
      <c r="K15" s="42">
        <v>161962</v>
      </c>
      <c r="L15" s="134" t="s">
        <v>50</v>
      </c>
      <c r="M15" s="135">
        <f t="shared" si="0"/>
        <v>-4161.1679999999997</v>
      </c>
      <c r="N15" s="136" t="str">
        <f>VLOOKUP(C15,'Trips&amp;Operators'!$C$1:$G$99999,5,FALSE)</f>
        <v>ROBINSON KADDIBA</v>
      </c>
      <c r="O15" s="207" t="s">
        <v>184</v>
      </c>
      <c r="P15" s="137"/>
      <c r="Q15" s="30"/>
      <c r="R15" s="84" t="str">
        <f>IF(VLOOKUP(C15,'Train Runs'!$A$13:$AE$9930,1,1)=C15,VLOOKUP(C15,'Train Runs'!$A$13:$AE$9930,31,1),NA())</f>
        <v>aws s3 cp s3://rtdc.mdm.uploadarchive.raw/RTDC4006/ "%USERPROFILE%\AppData\Local\Temp\OnboardLogs"\RTDC4006\2017-05-11 --exclude "*" --recursive --include "*20170511*" &amp; "%USERPROFILE%\Documents\GitHub\mrs-test-scripts\Headless Mode &amp; Sideloading\WalkAndUnGZ.bat" "%USERPROFILE%\AppData\Local\Temp\OnboardLogs"\RTDC4006\2017-05-11 &amp; aws s3 cp s3://rtdc.mdm.uploadarchive.raw/RTDC4006/ "%USERPROFILE%\AppData\Local\Temp\OnboardLogs"\RTDC4006\2017-05-12 --exclude "*" --recursive --include "*20170512*" &amp; "%USERPROFILE%\Documents\GitHub\mrs-test-scripts\Headless Mode &amp; Sideloading\WalkAndUnGZ.bat" "%USERPROFILE%\AppData\Local\Temp\OnboardLogs"\RTDC4006\2017-05-12</v>
      </c>
      <c r="S15" s="87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-05-11T03:08:17-0600',mode:absolute,to:'2017-05-11T05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5" s="89" t="str">
        <f t="shared" si="1"/>
        <v>"C:\Program Files (x86)\AstroGrep\AstroGrep.exe" /e /r /s /spath="%USERPROFILE%\AppData\Local\Temp\OnboardLogs" /stypes="*4006*201705111*" /stext=" 10:.+((SYSTEM_STATE.+slice.+state.+changed )|(ment ac)|(multiple cpu faults)|(system.+state.+changed )|(\[timeout)|(PRM\|1\|D)|(kpr)|(kdp)|(train st.+moving)|(\|lc)|(penalty))"</v>
      </c>
      <c r="U15" s="9" t="str">
        <f t="shared" si="2"/>
        <v>4006</v>
      </c>
      <c r="V15" s="31">
        <f t="shared" si="3"/>
        <v>42866.448240740741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{"issue":{"subject":"","project_id":79,"tracker_id":40,"status_id":1,"priority_id":2,"assigned_to_id":23,"start_date":"2017-05-11","description":"","custom_fields":[{"id":1,"name":"Subdivision","value":"EC"},{"id":4,"name":"Milepost","value":"16.1962"},{"id":17,"name":"Train ID","value":"105-11"},{"id":16,"name":"Locomotive ID","value":"4006"},{"id":130,"name":"Impact","value":""},{"id":150,"name":"Time of Event (Mountain Time)","value":"04:45:28"},{"id":151,"name":"Denver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/cygdrive/c/Users/stu/AppData/Local/Temp/OnboardLogs/RTDC4006 --include="*4006*201705111*"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"%USERPROFILE%\AppData\Local\Temp\OnboardLogs"\RTDC4006\*4006*201705111* &gt;&gt; 2017-05-11-SliceDisagreementCheck.txt</v>
      </c>
      <c r="AE15" s="148" t="str">
        <f t="shared" si="9"/>
        <v>start /low /b %USERPROFILE%\Documents\GitHub\eaglep3\Utilities\DownloadLogsFromS3.py --loco 4006 --day 2017-05-11</v>
      </c>
      <c r="AF15" s="1"/>
    </row>
    <row r="16" spans="1:32" x14ac:dyDescent="0.25">
      <c r="A16" s="31">
        <v>42866.654895833337</v>
      </c>
      <c r="B16" s="30" t="s">
        <v>344</v>
      </c>
      <c r="C16" s="30" t="s">
        <v>590</v>
      </c>
      <c r="D16" s="30" t="s">
        <v>49</v>
      </c>
      <c r="E16" s="30" t="s">
        <v>380</v>
      </c>
      <c r="F16" s="42">
        <v>0</v>
      </c>
      <c r="G16" s="42">
        <v>188</v>
      </c>
      <c r="H16" s="42">
        <v>28712</v>
      </c>
      <c r="I16" s="42">
        <v>28295</v>
      </c>
      <c r="J16" s="30" t="s">
        <v>381</v>
      </c>
      <c r="K16" s="42">
        <v>28061</v>
      </c>
      <c r="L16" s="134" t="s">
        <v>51</v>
      </c>
      <c r="M16" s="135">
        <f t="shared" si="0"/>
        <v>123.55200000000001</v>
      </c>
      <c r="N16" s="136" t="str">
        <f>VLOOKUP(C16,'Trips&amp;Operators'!$C$1:$G$99999,5,FALSE)</f>
        <v>HELVIE ADAM</v>
      </c>
      <c r="O16" s="207" t="s">
        <v>383</v>
      </c>
      <c r="P16" s="137" t="s">
        <v>1049</v>
      </c>
      <c r="Q16" s="30"/>
      <c r="R16" s="84" t="str">
        <f>IF(VLOOKUP(C16,'Train Runs'!$A$13:$AE$9930,1,1)=C16,VLOOKUP(C16,'Train Runs'!$A$13:$AE$9930,31,1),NA())</f>
        <v>aws s3 cp s3://rtdc.mdm.uploadarchive.raw/RTDC4027/ "%USERPROFILE%\AppData\Local\Temp\OnboardLogs"\RTDC4027\2017-05-11 --exclude "*" --recursive --include "*20170511*" &amp; "%USERPROFILE%\Documents\GitHub\mrs-test-scripts\Headless Mode &amp; Sideloading\WalkAndUnGZ.bat" "%USERPROFILE%\AppData\Local\Temp\OnboardLogs"\RTDC4027\2017-05-11 &amp; aws s3 cp s3://rtdc.mdm.uploadarchive.raw/RTDC4027/ "%USERPROFILE%\AppData\Local\Temp\OnboardLogs"\RTDC4027\2017-05-12 --exclude "*" --recursive --include "*20170512*" &amp; "%USERPROFILE%\Documents\GitHub\mrs-test-scripts\Headless Mode &amp; Sideloading\WalkAndUnGZ.bat" "%USERPROFILE%\AppData\Local\Temp\OnboardLogs"\RTDC4027\2017-05-12</v>
      </c>
      <c r="S16" s="87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-05-11T14:07:30-0600',mode:absolute,to:'2017-05-11T16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6" s="89" t="str">
        <f t="shared" si="1"/>
        <v>"C:\Program Files (x86)\AstroGrep\AstroGrep.exe" /e /r /s /spath="%USERPROFILE%\AppData\Local\Temp\OnboardLogs" /stypes="*4027*201705112*"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4027</v>
      </c>
      <c r="V16" s="31">
        <f t="shared" si="3"/>
        <v>42866.904895833337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{"issue":{"subject":"Wi-MAX data drop","project_id":79,"tracker_id":40,"status_id":1,"priority_id":2,"assigned_to_id":23,"start_date":"2017-05-11","description":"","custom_fields":[{"id":1,"name":"Subdivision","value":"EC"},{"id":4,"name":"Milepost","value":"2.8061"},{"id":17,"name":"Train ID","value":"186-11"},{"id":16,"name":"Locomotive ID","value":"4027"},{"id":130,"name":"Impact","value":""},{"id":150,"name":"Time of Event (Mountain Time)","value":"15:43:03"},{"id":151,"name":"Denver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/cygdrive/c/Users/stu/AppData/Local/Temp/OnboardLogs/RTDC4027 --include="*4027*201705112*"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"%USERPROFILE%\AppData\Local\Temp\OnboardLogs"\RTDC4027\*4027*201705112* &gt;&gt; 2017-05-11-SliceDisagreementCheck.txt</v>
      </c>
      <c r="AE16" s="148" t="str">
        <f t="shared" si="9"/>
        <v>start /low /b %USERPROFILE%\Documents\GitHub\eaglep3\Utilities\DownloadLogsFromS3.py --loco 4027 --day 2017-05-11</v>
      </c>
      <c r="AF16" s="1"/>
    </row>
    <row r="17" spans="1:32" x14ac:dyDescent="0.25">
      <c r="A17" s="31">
        <v>42866.370150462964</v>
      </c>
      <c r="B17" s="30" t="s">
        <v>579</v>
      </c>
      <c r="C17" s="30" t="s">
        <v>583</v>
      </c>
      <c r="D17" s="30" t="s">
        <v>49</v>
      </c>
      <c r="E17" s="30" t="s">
        <v>380</v>
      </c>
      <c r="F17" s="42">
        <v>0</v>
      </c>
      <c r="G17" s="42">
        <v>141</v>
      </c>
      <c r="H17" s="42">
        <v>64035</v>
      </c>
      <c r="I17" s="42">
        <v>63921</v>
      </c>
      <c r="J17" s="30" t="s">
        <v>381</v>
      </c>
      <c r="K17" s="42">
        <v>64008</v>
      </c>
      <c r="L17" s="134" t="s">
        <v>51</v>
      </c>
      <c r="M17" s="135">
        <f t="shared" si="0"/>
        <v>-45.936</v>
      </c>
      <c r="N17" s="136" t="str">
        <f>VLOOKUP(C17,'Trips&amp;Operators'!$C$1:$G$99999,5,FALSE)</f>
        <v>ROCHA YAOTL</v>
      </c>
      <c r="O17" s="207" t="s">
        <v>184</v>
      </c>
      <c r="P17" s="137" t="s">
        <v>1045</v>
      </c>
      <c r="Q17" s="30"/>
      <c r="R17" s="84" t="str">
        <f>IF(VLOOKUP(C17,'Train Runs'!$A$13:$AE$9930,1,1)=C17,VLOOKUP(C17,'Train Runs'!$A$13:$AE$9930,31,1),NA())</f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S17" s="87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-05-11T08:03:13-0600',mode:absolute,to:'2017-05-11T10:14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7" s="89" t="str">
        <f t="shared" si="1"/>
        <v>"C:\Program Files (x86)\AstroGrep\AstroGrep.exe" /e /r /s /spath="%USERPROFILE%\AppData\Local\Temp\OnboardLogs" /stypes="*4053*201705111*"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4053</v>
      </c>
      <c r="V17" s="31">
        <f t="shared" si="3"/>
        <v>42866.620150462964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{"issue":{"subject":"Traffic directionality was already set north, signal system does not allow mid-block turns","project_id":79,"tracker_id":40,"status_id":1,"priority_id":2,"assigned_to_id":23,"start_date":"2017-05-11","description":"","custom_fields":[{"id":1,"name":"Subdivision","value":"EC"},{"id":4,"name":"Milepost","value":"6.4008"},{"id":17,"name":"Train ID","value":"138-11"},{"id":16,"name":"Locomotive ID","value":"4053"},{"id":130,"name":"Impact","value":""},{"id":150,"name":"Time of Event (Mountain Time)","value":"08:53:01"},{"id":151,"name":"Denver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/cygdrive/c/Users/stu/AppData/Local/Temp/OnboardLogs/RTDC4053 --include="*4053*201705111*"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"%USERPROFILE%\AppData\Local\Temp\OnboardLogs"\RTDC4053\*4053*201705111* &gt;&gt; 2017-05-11-SliceDisagreementCheck.txt</v>
      </c>
      <c r="AE17" s="148" t="str">
        <f t="shared" si="9"/>
        <v>start /low /b %USERPROFILE%\Documents\GitHub\eaglep3\Utilities\DownloadLogsFromS3.py --loco 4053 --day 2017-05-11</v>
      </c>
      <c r="AF17" s="1"/>
    </row>
    <row r="18" spans="1:32" x14ac:dyDescent="0.25">
      <c r="A18" s="31">
        <v>42866.525173611109</v>
      </c>
      <c r="B18" s="30" t="s">
        <v>494</v>
      </c>
      <c r="C18" s="30" t="s">
        <v>585</v>
      </c>
      <c r="D18" s="30" t="s">
        <v>49</v>
      </c>
      <c r="E18" s="30" t="s">
        <v>380</v>
      </c>
      <c r="F18" s="42">
        <v>0</v>
      </c>
      <c r="G18" s="42">
        <v>55</v>
      </c>
      <c r="H18" s="42">
        <v>64092</v>
      </c>
      <c r="I18" s="42">
        <v>64050</v>
      </c>
      <c r="J18" s="30" t="s">
        <v>381</v>
      </c>
      <c r="K18" s="42">
        <v>64008</v>
      </c>
      <c r="L18" s="134" t="s">
        <v>51</v>
      </c>
      <c r="M18" s="135">
        <f t="shared" si="0"/>
        <v>22.175999999999998</v>
      </c>
      <c r="N18" s="136" t="str">
        <f>VLOOKUP(C18,'Trips&amp;Operators'!$C$1:$G$99999,5,FALSE)</f>
        <v>BRANDNER MELINDA</v>
      </c>
      <c r="O18" s="207" t="s">
        <v>184</v>
      </c>
      <c r="P18" s="137" t="s">
        <v>1045</v>
      </c>
      <c r="Q18" s="30"/>
      <c r="R18" s="84" t="str">
        <f>IF(VLOOKUP(C18,'Train Runs'!$A$13:$AE$9930,1,1)=C18,VLOOKUP(C18,'Train Runs'!$A$13:$AE$9930,31,1),NA())</f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S18" s="87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-05-11T11:44:39-0600',mode:absolute,to:'2017-05-11T13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8" s="89" t="str">
        <f t="shared" si="1"/>
        <v>"C:\Program Files (x86)\AstroGrep\AstroGrep.exe" /e /r /s /spath="%USERPROFILE%\AppData\Local\Temp\OnboardLogs" /stypes="*4015*201705111*" /stext=" 18:.+((SYSTEM_STATE.+slice.+state.+changed )|(ment ac)|(multiple cpu faults)|(system.+state.+changed )|(\[timeout)|(PRM\|1\|D)|(kpr)|(kdp)|(train st.+moving)|(\|lc)|(penalty))"</v>
      </c>
      <c r="U18" s="9" t="str">
        <f t="shared" si="2"/>
        <v>4015</v>
      </c>
      <c r="V18" s="31">
        <f t="shared" si="3"/>
        <v>42866.775173611109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{"issue":{"subject":"Traffic directionality was already set north, signal system does not allow mid-block turns","project_id":79,"tracker_id":40,"status_id":1,"priority_id":2,"assigned_to_id":23,"start_date":"2017-05-11","description":"","custom_fields":[{"id":1,"name":"Subdivision","value":"EC"},{"id":4,"name":"Milepost","value":"6.4008"},{"id":17,"name":"Train ID","value":"160-11"},{"id":16,"name":"Locomotive ID","value":"4015"},{"id":130,"name":"Impact","value":""},{"id":150,"name":"Time of Event (Mountain Time)","value":"12:36:15"},{"id":151,"name":"Denver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/cygdrive/c/Users/stu/AppData/Local/Temp/OnboardLogs/RTDC4015 --include="*4015*201705111*"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"%USERPROFILE%\AppData\Local\Temp\OnboardLogs"\RTDC4015\*4015*201705111* &gt;&gt; 2017-05-11-SliceDisagreementCheck.txt</v>
      </c>
      <c r="AE18" s="148" t="str">
        <f t="shared" si="9"/>
        <v>start /low /b %USERPROFILE%\Documents\GitHub\eaglep3\Utilities\DownloadLogsFromS3.py --loco 4015 --day 2017-05-11</v>
      </c>
      <c r="AF18" s="1"/>
    </row>
    <row r="19" spans="1:32" x14ac:dyDescent="0.25">
      <c r="A19" s="31">
        <v>42866.184270833335</v>
      </c>
      <c r="B19" s="30" t="s">
        <v>494</v>
      </c>
      <c r="C19" s="30" t="s">
        <v>571</v>
      </c>
      <c r="D19" s="30" t="s">
        <v>49</v>
      </c>
      <c r="E19" s="30" t="s">
        <v>380</v>
      </c>
      <c r="F19" s="42">
        <v>0</v>
      </c>
      <c r="G19" s="42">
        <v>572</v>
      </c>
      <c r="H19" s="42">
        <v>133905</v>
      </c>
      <c r="I19" s="42">
        <v>132164</v>
      </c>
      <c r="J19" s="30" t="s">
        <v>381</v>
      </c>
      <c r="K19" s="42">
        <v>133166</v>
      </c>
      <c r="L19" s="134" t="s">
        <v>51</v>
      </c>
      <c r="M19" s="135">
        <f t="shared" si="0"/>
        <v>-529.05600000000004</v>
      </c>
      <c r="N19" s="136" t="str">
        <f>VLOOKUP(C19,'Trips&amp;Operators'!$C$1:$G$99999,5,FALSE)</f>
        <v>BADERTSCHER DIANE</v>
      </c>
      <c r="O19" s="207" t="s">
        <v>383</v>
      </c>
      <c r="P19" s="137" t="s">
        <v>1049</v>
      </c>
      <c r="Q19" s="30"/>
      <c r="R19" s="84" t="str">
        <f>IF(VLOOKUP(C19,'Train Runs'!$A$13:$AE$9930,1,1)=C19,VLOOKUP(C19,'Train Runs'!$A$13:$AE$9930,31,1),NA())</f>
        <v>aws s3 cp s3://rtdc.mdm.uploadarchive.raw/RTDC4015/ "%USERPROFILE%\AppData\Local\Temp\OnboardLogs"\RTDC4015\2017-05-11 --exclude "*" --recursive --include "*20170511*" &amp; "%USERPROFILE%\Documents\GitHub\mrs-test-scripts\Headless Mode &amp; Sideloading\WalkAndUnGZ.bat" "%USERPROFILE%\AppData\Local\Temp\OnboardLogs"\RTDC4015\2017-05-11 &amp; aws s3 cp s3://rtdc.mdm.uploadarchive.raw/RTDC4015/ "%USERPROFILE%\AppData\Local\Temp\OnboardLogs"\RTDC4015\2017-05-12 --exclude "*" --recursive --include "*20170512*" &amp; "%USERPROFILE%\Documents\GitHub\mrs-test-scripts\Headless Mode &amp; Sideloading\WalkAndUnGZ.bat" "%USERPROFILE%\AppData\Local\Temp\OnboardLogs"\RTDC4015\2017-05-12</v>
      </c>
      <c r="S19" s="87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-05-11T03:05:09-0600',mode:absolute,to:'2017-05-11T05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9" s="89" t="str">
        <f t="shared" si="1"/>
        <v>"C:\Program Files (x86)\AstroGrep\AstroGrep.exe" /e /r /s /spath="%USERPROFILE%\AppData\Local\Temp\OnboardLogs" /stypes="*4015*201705111*" /stext=" 10:.+((SYSTEM_STATE.+slice.+state.+changed )|(ment ac)|(multiple cpu faults)|(system.+state.+changed )|(\[timeout)|(PRM\|1\|D)|(kpr)|(kdp)|(train st.+moving)|(\|lc)|(penalty))"</v>
      </c>
      <c r="U19" s="9" t="str">
        <f t="shared" si="2"/>
        <v>4015</v>
      </c>
      <c r="V19" s="31">
        <f t="shared" si="3"/>
        <v>42866.434270833335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{"issue":{"subject":"Wi-MAX data drop","project_id":79,"tracker_id":40,"status_id":1,"priority_id":2,"assigned_to_id":23,"start_date":"2017-05-11","description":"","custom_fields":[{"id":1,"name":"Subdivision","value":"EC"},{"id":4,"name":"Milepost","value":"13.3166"},{"id":17,"name":"Train ID","value":"102-11"},{"id":16,"name":"Locomotive ID","value":"4015"},{"id":130,"name":"Impact","value":""},{"id":150,"name":"Time of Event (Mountain Time)","value":"04:25:21"},{"id":151,"name":"Denver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/cygdrive/c/Users/stu/AppData/Local/Temp/OnboardLogs/RTDC4015 --include="*4015*201705111*"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"%USERPROFILE%\AppData\Local\Temp\OnboardLogs"\RTDC4015\*4015*201705111* &gt;&gt; 2017-05-11-SliceDisagreementCheck.txt</v>
      </c>
      <c r="AE19" s="148" t="str">
        <f t="shared" si="9"/>
        <v>start /low /b %USERPROFILE%\Documents\GitHub\eaglep3\Utilities\DownloadLogsFromS3.py --loco 4015 --day 2017-05-11</v>
      </c>
      <c r="AF19" s="1"/>
    </row>
    <row r="20" spans="1:32" x14ac:dyDescent="0.25">
      <c r="A20" s="31">
        <v>42866.745023148149</v>
      </c>
      <c r="B20" s="30" t="s">
        <v>594</v>
      </c>
      <c r="C20" s="30" t="s">
        <v>595</v>
      </c>
      <c r="D20" s="30" t="s">
        <v>49</v>
      </c>
      <c r="E20" s="30" t="s">
        <v>573</v>
      </c>
      <c r="F20" s="42">
        <v>0</v>
      </c>
      <c r="G20" s="42">
        <v>580</v>
      </c>
      <c r="H20" s="42">
        <v>122468</v>
      </c>
      <c r="I20" s="42">
        <v>125025</v>
      </c>
      <c r="J20" s="30" t="s">
        <v>574</v>
      </c>
      <c r="K20" s="42">
        <v>126678</v>
      </c>
      <c r="L20" s="134" t="s">
        <v>50</v>
      </c>
      <c r="M20" s="135">
        <f t="shared" si="0"/>
        <v>872.78399999999999</v>
      </c>
      <c r="N20" s="136" t="str">
        <f>VLOOKUP(C20,'Trips&amp;Operators'!$C$1:$G$99999,5,FALSE)</f>
        <v>DELGADO DIANAH</v>
      </c>
      <c r="O20" s="207" t="s">
        <v>383</v>
      </c>
      <c r="P20" s="137" t="s">
        <v>1049</v>
      </c>
      <c r="Q20" s="30"/>
      <c r="R20" s="84" t="str">
        <f>IF(VLOOKUP(C20,'Train Runs'!$A$13:$AE$9930,1,1)=C20,VLOOKUP(C20,'Train Runs'!$A$13:$AE$9930,31,1),NA())</f>
        <v>aws s3 cp s3://rtdc.mdm.uploadarchive.raw/RTDC4054/ "%USERPROFILE%\AppData\Local\Temp\OnboardLogs"\RTDC4054\2017-05-11 --exclude "*" --recursive --include "*20170511*" &amp; "%USERPROFILE%\Documents\GitHub\mrs-test-scripts\Headless Mode &amp; Sideloading\WalkAndUnGZ.bat" "%USERPROFILE%\AppData\Local\Temp\OnboardLogs"\RTDC4054\2017-05-11 &amp; aws s3 cp s3://rtdc.mdm.uploadarchive.raw/RTDC4054/ "%USERPROFILE%\AppData\Local\Temp\OnboardLogs"\RTDC4054\2017-05-12 --exclude "*" --recursive --include "*20170512*" &amp; "%USERPROFILE%\Documents\GitHub\mrs-test-scripts\Headless Mode &amp; Sideloading\WalkAndUnGZ.bat" "%USERPROFILE%\AppData\Local\Temp\OnboardLogs"\RTDC4054\2017-05-12</v>
      </c>
      <c r="S20" s="87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-05-11T16:24:39-0600',mode:absolute,to:'2017-05-11T19:10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0" s="89" t="str">
        <f t="shared" si="1"/>
        <v>"C:\Program Files (x86)\AstroGrep\AstroGrep.exe" /e /r /s /spath="%USERPROFILE%\AppData\Local\Temp\OnboardLogs" /stypes="*4054*201705112*" /stext=" 23:.+((SYSTEM_STATE.+slice.+state.+changed )|(ment ac)|(multiple cpu faults)|(system.+state.+changed )|(\[timeout)|(PRM\|1\|D)|(kpr)|(kdp)|(train st.+moving)|(\|lc)|(penalty))"</v>
      </c>
      <c r="U20" s="9" t="str">
        <f t="shared" si="2"/>
        <v>4054</v>
      </c>
      <c r="V20" s="31">
        <f t="shared" si="3"/>
        <v>42866.995023148149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{"issue":{"subject":"Wi-MAX data drop","project_id":79,"tracker_id":40,"status_id":1,"priority_id":2,"assigned_to_id":23,"start_date":"2017-05-11","description":"","custom_fields":[{"id":1,"name":"Subdivision","value":"EC"},{"id":4,"name":"Milepost","value":"12.6678"},{"id":17,"name":"Train ID","value":"211-11"},{"id":16,"name":"Locomotive ID","value":"4054"},{"id":130,"name":"Impact","value":""},{"id":150,"name":"Time of Event (Mountain Time)","value":"17:52:50"},{"id":151,"name":"Denver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/cygdrive/c/Users/stu/AppData/Local/Temp/OnboardLogs/RTDC4054 --include="*4054*201705112*"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"%USERPROFILE%\AppData\Local\Temp\OnboardLogs"\RTDC4054\*4054*201705112* &gt;&gt; 2017-05-11-SliceDisagreementCheck.txt</v>
      </c>
      <c r="AE20" s="148" t="str">
        <f t="shared" si="9"/>
        <v>start /low /b %USERPROFILE%\Documents\GitHub\eaglep3\Utilities\DownloadLogsFromS3.py --loco 4054 --day 2017-05-11</v>
      </c>
      <c r="AF20" s="1"/>
    </row>
    <row r="21" spans="1:32" x14ac:dyDescent="0.25">
      <c r="A21" s="31">
        <v>42866.808900462966</v>
      </c>
      <c r="B21" s="30" t="s">
        <v>579</v>
      </c>
      <c r="C21" s="30" t="s">
        <v>597</v>
      </c>
      <c r="D21" s="30" t="s">
        <v>49</v>
      </c>
      <c r="E21" s="30" t="s">
        <v>185</v>
      </c>
      <c r="F21" s="42">
        <v>0</v>
      </c>
      <c r="G21" s="42">
        <v>32</v>
      </c>
      <c r="H21" s="42">
        <v>100</v>
      </c>
      <c r="I21" s="42">
        <v>75</v>
      </c>
      <c r="J21" s="30" t="s">
        <v>186</v>
      </c>
      <c r="K21" s="42">
        <v>1</v>
      </c>
      <c r="L21" s="134" t="s">
        <v>51</v>
      </c>
      <c r="M21" s="135">
        <f t="shared" si="0"/>
        <v>39.072000000000003</v>
      </c>
      <c r="N21" s="136" t="str">
        <f>VLOOKUP(C21,'Trips&amp;Operators'!$C$1:$G$99999,5,FALSE)</f>
        <v>DELGADO DIANAH</v>
      </c>
      <c r="O21" s="207" t="s">
        <v>184</v>
      </c>
      <c r="P21" s="137"/>
      <c r="Q21" s="30"/>
      <c r="R21" s="84" t="str">
        <f>IF(VLOOKUP(C21,'Train Runs'!$A$13:$AE$9930,1,1)=C21,VLOOKUP(C21,'Train Runs'!$A$13:$AE$9930,31,1),NA())</f>
        <v>aws s3 cp s3://rtdc.mdm.uploadarchive.raw/RTDC4053/ "%USERPROFILE%\AppData\Local\Temp\OnboardLogs"\RTDC4053\2017-05-11 --exclude "*" --recursive --include "*20170511*" &amp; "%USERPROFILE%\Documents\GitHub\mrs-test-scripts\Headless Mode &amp; Sideloading\WalkAndUnGZ.bat" "%USERPROFILE%\AppData\Local\Temp\OnboardLogs"\RTDC4053\2017-05-11 &amp; aws s3 cp s3://rtdc.mdm.uploadarchive.raw/RTDC4053/ "%USERPROFILE%\AppData\Local\Temp\OnboardLogs"\RTDC4053\2017-05-12 --exclude "*" --recursive --include "*20170512*" &amp; "%USERPROFILE%\Documents\GitHub\mrs-test-scripts\Headless Mode &amp; Sideloading\WalkAndUnGZ.bat" "%USERPROFILE%\AppData\Local\Temp\OnboardLogs"\RTDC4053\2017-05-12</v>
      </c>
      <c r="S21" s="87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-05-11T17:13:35-0600',mode:absolute,to:'2017-05-11T20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1" s="89" t="str">
        <f t="shared" si="1"/>
        <v>"C:\Program Files (x86)\AstroGrep\AstroGrep.exe" /e /r /s /spath="%USERPROFILE%\AppData\Local\Temp\OnboardLogs" /stypes="*4053*201705120*" /stext=" 01:.+((SYSTEM_STATE.+slice.+state.+changed )|(ment ac)|(multiple cpu faults)|(system.+state.+changed )|(\[timeout)|(PRM\|1\|D)|(kpr)|(kdp)|(train st.+moving)|(\|lc)|(penalty))"</v>
      </c>
      <c r="U21" s="9" t="str">
        <f t="shared" si="2"/>
        <v>4053</v>
      </c>
      <c r="V21" s="31">
        <f t="shared" si="3"/>
        <v>42867.058900462966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{"issue":{"subject":"","project_id":79,"tracker_id":40,"status_id":1,"priority_id":2,"assigned_to_id":23,"start_date":"2017-05-11","description":"","custom_fields":[{"id":1,"name":"Subdivision","value":"EC"},{"id":4,"name":"Milepost","value":"0.0001"},{"id":17,"name":"Train ID","value":"212-11"},{"id":16,"name":"Locomotive ID","value":"4053"},{"id":130,"name":"Impact","value":""},{"id":150,"name":"Time of Event (Mountain Time)","value":"19:24:49"},{"id":151,"name":"Denver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/cygdrive/c/Users/stu/AppData/Local/Temp/OnboardLogs/RTDC4053 --include="*4053*201705120*"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"%USERPROFILE%\AppData\Local\Temp\OnboardLogs"\RTDC4053\*4053*201705120* &gt;&gt; 2017-05-11-SliceDisagreementCheck.txt</v>
      </c>
      <c r="AE21" s="148" t="str">
        <f t="shared" si="9"/>
        <v>start /low /b %USERPROFILE%\Documents\GitHub\eaglep3\Utilities\DownloadLogsFromS3.py --loco 4053 --day 2017-05-12</v>
      </c>
      <c r="AF21" s="1"/>
    </row>
    <row r="22" spans="1:32" x14ac:dyDescent="0.25">
      <c r="A22" s="31">
        <v>42866.785717592589</v>
      </c>
      <c r="B22" s="30" t="s">
        <v>406</v>
      </c>
      <c r="C22" s="30" t="s">
        <v>596</v>
      </c>
      <c r="D22" s="30" t="s">
        <v>49</v>
      </c>
      <c r="E22" s="30" t="s">
        <v>185</v>
      </c>
      <c r="F22" s="42">
        <v>0</v>
      </c>
      <c r="G22" s="42">
        <v>55</v>
      </c>
      <c r="H22" s="42">
        <v>1005</v>
      </c>
      <c r="I22" s="42">
        <v>965</v>
      </c>
      <c r="J22" s="30" t="s">
        <v>186</v>
      </c>
      <c r="K22" s="42">
        <v>839</v>
      </c>
      <c r="L22" s="134" t="s">
        <v>51</v>
      </c>
      <c r="M22" s="135">
        <f t="shared" si="0"/>
        <v>66.528000000000006</v>
      </c>
      <c r="N22" s="136" t="str">
        <f>VLOOKUP(C22,'Trips&amp;Operators'!$C$1:$G$99999,5,FALSE)</f>
        <v>CHANDLER KELVIN</v>
      </c>
      <c r="O22" s="207" t="s">
        <v>184</v>
      </c>
      <c r="P22" s="137"/>
      <c r="Q22" s="30"/>
      <c r="R22" s="84" t="str">
        <f>IF(VLOOKUP(C22,'Train Runs'!$A$13:$AE$9930,1,1)=C22,VLOOKUP(C22,'Train Runs'!$A$13:$AE$9930,31,1),NA())</f>
        <v>aws s3 cp s3://rtdc.mdm.uploadarchive.raw/RTDC4029/ "%USERPROFILE%\AppData\Local\Temp\OnboardLogs"\RTDC4029\2017-05-11 --exclude "*" --recursive --include "*20170511*" &amp; "%USERPROFILE%\Documents\GitHub\mrs-test-scripts\Headless Mode &amp; Sideloading\WalkAndUnGZ.bat" "%USERPROFILE%\AppData\Local\Temp\OnboardLogs"\RTDC4029\2017-05-11 &amp; aws s3 cp s3://rtdc.mdm.uploadarchive.raw/RTDC4029/ "%USERPROFILE%\AppData\Local\Temp\OnboardLogs"\RTDC4029\2017-05-12 --exclude "*" --recursive --include "*20170512*" &amp; "%USERPROFILE%\Documents\GitHub\mrs-test-scripts\Headless Mode &amp; Sideloading\WalkAndUnGZ.bat" "%USERPROFILE%\AppData\Local\Temp\OnboardLogs"\RTDC4029\2017-05-12</v>
      </c>
      <c r="S22" s="87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-05-11T17:07:42-0600',mode:absolute,to:'2017-05-11T19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89" t="str">
        <f t="shared" si="1"/>
        <v>"C:\Program Files (x86)\AstroGrep\AstroGrep.exe" /e /r /s /spath="%USERPROFILE%\AppData\Local\Temp\OnboardLogs" /stypes="*4029*201705120*" /stext=" 00:.+((SYSTEM_STATE.+slice.+state.+changed )|(ment ac)|(multiple cpu faults)|(system.+state.+changed )|(\[timeout)|(PRM\|1\|D)|(kpr)|(kdp)|(train st.+moving)|(\|lc)|(penalty))"</v>
      </c>
      <c r="U22" s="9" t="str">
        <f t="shared" si="2"/>
        <v>4029</v>
      </c>
      <c r="V22" s="31">
        <f t="shared" si="3"/>
        <v>42867.035717592589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{"issue":{"subject":"","project_id":79,"tracker_id":40,"status_id":1,"priority_id":2,"assigned_to_id":23,"start_date":"2017-05-11","description":"","custom_fields":[{"id":1,"name":"Subdivision","value":"EC"},{"id":4,"name":"Milepost","value":"0.0839"},{"id":17,"name":"Train ID","value":"210-11"},{"id":16,"name":"Locomotive ID","value":"4029"},{"id":130,"name":"Impact","value":""},{"id":150,"name":"Time of Event (Mountain Time)","value":"18:51:26"},{"id":151,"name":"Denver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/cygdrive/c/Users/stu/AppData/Local/Temp/OnboardLogs/RTDC4029 --include="*4029*201705120*"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"%USERPROFILE%\AppData\Local\Temp\OnboardLogs"\RTDC4029\*4029*201705120* &gt;&gt; 2017-05-11-SliceDisagreementCheck.txt</v>
      </c>
      <c r="AE22" s="148" t="str">
        <f t="shared" si="9"/>
        <v>start /low /b %USERPROFILE%\Documents\GitHub\eaglep3\Utilities\DownloadLogsFromS3.py --loco 4029 --day 2017-05-12</v>
      </c>
      <c r="AF22" s="1"/>
    </row>
    <row r="23" spans="1:32" x14ac:dyDescent="0.25">
      <c r="A23" s="31">
        <v>42866.346296296295</v>
      </c>
      <c r="B23" s="30" t="s">
        <v>457</v>
      </c>
      <c r="C23" s="30" t="s">
        <v>582</v>
      </c>
      <c r="D23" s="30" t="s">
        <v>49</v>
      </c>
      <c r="E23" s="30" t="s">
        <v>204</v>
      </c>
      <c r="F23" s="42">
        <v>300</v>
      </c>
      <c r="G23" s="42">
        <v>603</v>
      </c>
      <c r="H23" s="42">
        <v>26756</v>
      </c>
      <c r="I23" s="42">
        <v>24697</v>
      </c>
      <c r="J23" s="30" t="s">
        <v>205</v>
      </c>
      <c r="K23" s="42">
        <v>23561</v>
      </c>
      <c r="L23" s="134" t="s">
        <v>51</v>
      </c>
      <c r="M23" s="135">
        <f t="shared" si="0"/>
        <v>599.80799999999999</v>
      </c>
      <c r="N23" s="136" t="str">
        <f>VLOOKUP(C23,'Trips&amp;Operators'!$C$1:$G$99999,5,FALSE)</f>
        <v>MACDONALD THOMAS</v>
      </c>
      <c r="O23" s="207" t="s">
        <v>184</v>
      </c>
      <c r="P23" s="137"/>
      <c r="Q23" s="30"/>
      <c r="R23" s="84" t="str">
        <f>IF(VLOOKUP(C23,'Train Runs'!$A$13:$AE$9930,1,1)=C23,VLOOKUP(C23,'Train Runs'!$A$13:$AE$9930,31,1),NA())</f>
        <v>aws s3 cp s3://rtdc.mdm.uploadarchive.raw/RTDC4007/ "%USERPROFILE%\AppData\Local\Temp\OnboardLogs"\RTDC4007\2017-05-11 --exclude "*" --recursive --include "*20170511*" &amp; "%USERPROFILE%\Documents\GitHub\mrs-test-scripts\Headless Mode &amp; Sideloading\WalkAndUnGZ.bat" "%USERPROFILE%\AppData\Local\Temp\OnboardLogs"\RTDC4007\2017-05-11 &amp; aws s3 cp s3://rtdc.mdm.uploadarchive.raw/RTDC4007/ "%USERPROFILE%\AppData\Local\Temp\OnboardLogs"\RTDC4007\2017-05-12 --exclude "*" --recursive --include "*20170512*" &amp; "%USERPROFILE%\Documents\GitHub\mrs-test-scripts\Headless Mode &amp; Sideloading\WalkAndUnGZ.bat" "%USERPROFILE%\AppData\Local\Temp\OnboardLogs"\RTDC4007\2017-05-12</v>
      </c>
      <c r="S23" s="87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-05-11T07:06:00-0600',mode:absolute,to:'2017-05-11T09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3" s="89" t="str">
        <f t="shared" si="1"/>
        <v>"C:\Program Files (x86)\AstroGrep\AstroGrep.exe" /e /r /s /spath="%USERPROFILE%\AppData\Local\Temp\OnboardLogs" /stypes="*4007*201705111*" /stext=" 14:.+((SYSTEM_STATE.+slice.+state.+changed )|(ment ac)|(multiple cpu faults)|(system.+state.+changed )|(\[timeout)|(PRM\|1\|D)|(kpr)|(kdp)|(train st.+moving)|(\|lc)|(penalty))"</v>
      </c>
      <c r="U23" s="9" t="str">
        <f t="shared" si="2"/>
        <v>4007</v>
      </c>
      <c r="V23" s="31">
        <f t="shared" si="3"/>
        <v>42866.596296296295</v>
      </c>
      <c r="W23" s="45" t="str">
        <f t="shared" si="4"/>
        <v>NW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{"issue":{"subject":"","project_id":79,"tracker_id":40,"status_id":1,"priority_id":2,"assigned_to_id":23,"start_date":"2017-05-11","description":"","custom_fields":[{"id":1,"name":"Subdivision","value":"NW"},{"id":4,"name":"Milepost","value":"2.3561"},{"id":17,"name":"Train ID","value":"810-11"},{"id":16,"name":"Locomotive ID","value":"4007"},{"id":130,"name":"Impact","value":""},{"id":150,"name":"Time of Event (Mountain Time)","value":"08:18:40"},{"id":151,"name":"Denver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/cygdrive/c/Users/stu/AppData/Local/Temp/OnboardLogs/RTDC4007 --include="*4007*201705111*"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"%USERPROFILE%\AppData\Local\Temp\OnboardLogs"\RTDC4007\*4007*201705111* &gt;&gt; 2017-05-11-SliceDisagreementCheck.txt</v>
      </c>
      <c r="AE23" s="148" t="str">
        <f t="shared" si="9"/>
        <v>start /low /b %USERPROFILE%\Documents\GitHub\eaglep3\Utilities\DownloadLogsFromS3.py --loco 4007 --day 2017-05-11</v>
      </c>
      <c r="AF23" s="1"/>
    </row>
    <row r="24" spans="1:32" x14ac:dyDescent="0.25">
      <c r="A24" s="31">
        <v>42866.322685185187</v>
      </c>
      <c r="B24" s="30" t="s">
        <v>398</v>
      </c>
      <c r="C24" s="30" t="s">
        <v>578</v>
      </c>
      <c r="D24" s="30" t="s">
        <v>49</v>
      </c>
      <c r="E24" s="30" t="s">
        <v>204</v>
      </c>
      <c r="F24" s="42">
        <v>400</v>
      </c>
      <c r="G24" s="42">
        <v>450</v>
      </c>
      <c r="H24" s="42">
        <v>50846</v>
      </c>
      <c r="I24" s="42">
        <v>49483</v>
      </c>
      <c r="J24" s="30" t="s">
        <v>205</v>
      </c>
      <c r="K24" s="42">
        <v>49775</v>
      </c>
      <c r="L24" s="134" t="s">
        <v>51</v>
      </c>
      <c r="M24" s="135">
        <f t="shared" si="0"/>
        <v>-154.17599999999999</v>
      </c>
      <c r="N24" s="136" t="str">
        <f>VLOOKUP(C24,'Trips&amp;Operators'!$C$1:$G$99999,5,FALSE)</f>
        <v>LOZA FIDEL</v>
      </c>
      <c r="O24" s="207" t="s">
        <v>184</v>
      </c>
      <c r="P24" s="137"/>
      <c r="Q24" s="30"/>
      <c r="R24" s="84" t="str">
        <f>IF(VLOOKUP(C24,'Train Runs'!$A$13:$AE$9930,1,1)=C24,VLOOKUP(C24,'Train Runs'!$A$13:$AE$9930,31,1),NA())</f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S24" s="87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-05-11T06:35:54-0600',mode:absolute,to:'2017-05-11T08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4" s="89" t="str">
        <f t="shared" si="1"/>
        <v>"C:\Program Files (x86)\AstroGrep\AstroGrep.exe" /e /r /s /spath="%USERPROFILE%\AppData\Local\Temp\OnboardLogs" /stypes="*4021*201705111*"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4021</v>
      </c>
      <c r="V24" s="31">
        <f t="shared" si="3"/>
        <v>42866.572685185187</v>
      </c>
      <c r="W24" s="45" t="str">
        <f t="shared" si="4"/>
        <v>NW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{"issue":{"subject":"","project_id":79,"tracker_id":40,"status_id":1,"priority_id":2,"assigned_to_id":23,"start_date":"2017-05-11","description":"","custom_fields":[{"id":1,"name":"Subdivision","value":"NW"},{"id":4,"name":"Milepost","value":"4.9775"},{"id":17,"name":"Train ID","value":"808-11"},{"id":16,"name":"Locomotive ID","value":"4021"},{"id":130,"name":"Impact","value":""},{"id":150,"name":"Time of Event (Mountain Time)","value":"07:44:40"},{"id":151,"name":"Denver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/cygdrive/c/Users/stu/AppData/Local/Temp/OnboardLogs/RTDC4021 --include="*4021*201705111*"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"%USERPROFILE%\AppData\Local\Temp\OnboardLogs"\RTDC4021\*4021*201705111* &gt;&gt; 2017-05-11-SliceDisagreementCheck.txt</v>
      </c>
      <c r="AE24" s="148" t="str">
        <f t="shared" si="9"/>
        <v>start /low /b %USERPROFILE%\Documents\GitHub\eaglep3\Utilities\DownloadLogsFromS3.py --loco 4021 --day 2017-05-11</v>
      </c>
      <c r="AF24" s="1"/>
    </row>
    <row r="25" spans="1:32" x14ac:dyDescent="0.25">
      <c r="A25" s="31">
        <v>42866.330810185187</v>
      </c>
      <c r="B25" s="30" t="s">
        <v>459</v>
      </c>
      <c r="C25" s="30" t="s">
        <v>581</v>
      </c>
      <c r="D25" s="30" t="s">
        <v>49</v>
      </c>
      <c r="E25" s="30" t="s">
        <v>573</v>
      </c>
      <c r="F25" s="42">
        <v>0</v>
      </c>
      <c r="G25" s="42">
        <v>304</v>
      </c>
      <c r="H25" s="42">
        <v>22433</v>
      </c>
      <c r="I25" s="42">
        <v>23175</v>
      </c>
      <c r="J25" s="30" t="s">
        <v>574</v>
      </c>
      <c r="K25" s="42">
        <v>23574</v>
      </c>
      <c r="L25" s="134" t="s">
        <v>50</v>
      </c>
      <c r="M25" s="135">
        <f t="shared" si="0"/>
        <v>210.672</v>
      </c>
      <c r="N25" s="136" t="str">
        <f>VLOOKUP(C25,'Trips&amp;Operators'!$C$1:$G$99999,5,FALSE)</f>
        <v>MACDONALD THOMAS</v>
      </c>
      <c r="O25" s="207" t="s">
        <v>383</v>
      </c>
      <c r="P25" s="137" t="s">
        <v>1049</v>
      </c>
      <c r="Q25" s="30"/>
      <c r="R25" s="84" t="str">
        <f>IF(VLOOKUP(C25,'Train Runs'!$A$13:$AE$9930,1,1)=C25,VLOOKUP(C25,'Train Runs'!$A$13:$AE$9930,31,1),NA())</f>
        <v>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 &amp; aws s3 cp s3://rtdc.mdm.uploadarchive.raw/RTDC4008/ "%USERPROFILE%\AppData\Local\Temp\OnboardLogs"\RTDC4008\2017-05-12 --exclude "*" --recursive --include "*20170512*" &amp; "%USERPROFILE%\Documents\GitHub\mrs-test-scripts\Headless Mode &amp; Sideloading\WalkAndUnGZ.bat" "%USERPROFILE%\AppData\Local\Temp\OnboardLogs"\RTDC4008\2017-05-12</v>
      </c>
      <c r="S25" s="87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-05-11T06:27:53-0600',mode:absolute,to:'2017-05-11T09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5" s="89" t="str">
        <f t="shared" si="1"/>
        <v>"C:\Program Files (x86)\AstroGrep\AstroGrep.exe" /e /r /s /spath="%USERPROFILE%\AppData\Local\Temp\OnboardLogs" /stypes="*4008*201705111*" /stext=" 13:.+((SYSTEM_STATE.+slice.+state.+changed )|(ment ac)|(multiple cpu faults)|(system.+state.+changed )|(\[timeout)|(PRM\|1\|D)|(kpr)|(kdp)|(train st.+moving)|(\|lc)|(penalty))"</v>
      </c>
      <c r="U25" s="9" t="str">
        <f t="shared" si="2"/>
        <v>4008</v>
      </c>
      <c r="V25" s="31">
        <f t="shared" si="3"/>
        <v>42866.580810185187</v>
      </c>
      <c r="W25" s="45" t="str">
        <f t="shared" si="4"/>
        <v>NW</v>
      </c>
      <c r="X25" s="45" t="str">
        <f t="shared" si="5"/>
        <v>KEEP</v>
      </c>
      <c r="Y25" s="99" t="str">
        <f t="shared" si="6"/>
        <v>echo {"issue":{"subject":"Wi-MAX data drop","project_id":79,"tracker_id":40,"status_id":1,"priority_id":2,"assigned_to_id":23,"start_date":"2017-05-11","description":"","custom_fields":[{"id":1,"name":"Subdivision","value":"NW"},{"id":4,"name":"Milepost","value":"2.3574"},{"id":17,"name":"Train ID","value":"809-11"},{"id":16,"name":"Locomotive ID","value":"4008"},{"id":130,"name":"Impact","value":""},{"id":150,"name":"Time of Event (Mountain Time)","value":"07:56:22"},{"id":151,"name":"Denver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/cygdrive/c/Users/stu/AppData/Local/Temp/OnboardLogs/RTDC4008 --include="*4008*201705111*"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"%USERPROFILE%\AppData\Local\Temp\OnboardLogs"\RTDC4008\*4008*201705111* &gt;&gt; 2017-05-11-SliceDisagreementCheck.txt</v>
      </c>
      <c r="AE25" s="148" t="str">
        <f t="shared" si="9"/>
        <v>start /low /b %USERPROFILE%\Documents\GitHub\eaglep3\Utilities\DownloadLogsFromS3.py --loco 4008 --day 2017-05-11</v>
      </c>
      <c r="AF25" s="1"/>
    </row>
    <row r="26" spans="1:32" x14ac:dyDescent="0.25">
      <c r="A26" s="31">
        <v>42866.288078703707</v>
      </c>
      <c r="B26" s="30" t="s">
        <v>398</v>
      </c>
      <c r="C26" s="30" t="s">
        <v>576</v>
      </c>
      <c r="D26" s="30" t="s">
        <v>49</v>
      </c>
      <c r="E26" s="30" t="s">
        <v>185</v>
      </c>
      <c r="F26" s="42">
        <v>0</v>
      </c>
      <c r="G26" s="42">
        <v>36</v>
      </c>
      <c r="H26" s="42">
        <v>698</v>
      </c>
      <c r="I26" s="42">
        <v>664</v>
      </c>
      <c r="J26" s="30" t="s">
        <v>186</v>
      </c>
      <c r="K26" s="42">
        <v>575</v>
      </c>
      <c r="L26" s="134" t="s">
        <v>51</v>
      </c>
      <c r="M26" s="135">
        <f t="shared" si="0"/>
        <v>46.991999999999997</v>
      </c>
      <c r="N26" s="136" t="str">
        <f>VLOOKUP(C26,'Trips&amp;Operators'!$C$1:$G$99999,5,FALSE)</f>
        <v>LOZA FIDEL</v>
      </c>
      <c r="O26" s="207" t="s">
        <v>184</v>
      </c>
      <c r="P26" s="137"/>
      <c r="Q26" s="30"/>
      <c r="R26" s="84" t="str">
        <f>IF(VLOOKUP(C26,'Train Runs'!$A$13:$AE$9930,1,1)=C26,VLOOKUP(C26,'Train Runs'!$A$13:$AE$9930,31,1),NA())</f>
        <v>aws s3 cp s3://rtdc.mdm.uploadarchive.raw/RTDC4021/ "%USERPROFILE%\AppData\Local\Temp\OnboardLogs"\RTDC4021\2017-05-11 --exclude "*" --recursive --include "*20170511*" &amp; "%USERPROFILE%\Documents\GitHub\mrs-test-scripts\Headless Mode &amp; Sideloading\WalkAndUnGZ.bat" "%USERPROFILE%\AppData\Local\Temp\OnboardLogs"\RTDC4021\2017-05-11 &amp; aws s3 cp s3://rtdc.mdm.uploadarchive.raw/RTDC4021/ "%USERPROFILE%\AppData\Local\Temp\OnboardLogs"\RTDC4021\2017-05-12 --exclude "*" --recursive --include "*20170512*" &amp; "%USERPROFILE%\Documents\GitHub\mrs-test-scripts\Headless Mode &amp; Sideloading\WalkAndUnGZ.bat" "%USERPROFILE%\AppData\Local\Temp\OnboardLogs"\RTDC4021\2017-05-12</v>
      </c>
      <c r="S26" s="87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-05-11T05:36:28-0600',mode:absolute,to:'2017-05-11T07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6" s="89" t="str">
        <f t="shared" si="1"/>
        <v>"C:\Program Files (x86)\AstroGrep\AstroGrep.exe" /e /r /s /spath="%USERPROFILE%\AppData\Local\Temp\OnboardLogs" /stypes="*4021*201705111*" /stext=" 12:.+((SYSTEM_STATE.+slice.+state.+changed )|(ment ac)|(multiple cpu faults)|(system.+state.+changed )|(\[timeout)|(PRM\|1\|D)|(kpr)|(kdp)|(train st.+moving)|(\|lc)|(penalty))"</v>
      </c>
      <c r="U26" s="9" t="str">
        <f t="shared" si="2"/>
        <v>4021</v>
      </c>
      <c r="V26" s="31">
        <f t="shared" si="3"/>
        <v>42866.538078703707</v>
      </c>
      <c r="W26" s="45" t="str">
        <f t="shared" si="4"/>
        <v>NW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{"issue":{"subject":"","project_id":79,"tracker_id":40,"status_id":1,"priority_id":2,"assigned_to_id":23,"start_date":"2017-05-11","description":"","custom_fields":[{"id":1,"name":"Subdivision","value":"NW"},{"id":4,"name":"Milepost","value":"0.0575"},{"id":17,"name":"Train ID","value":"804-11"},{"id":16,"name":"Locomotive ID","value":"4021"},{"id":130,"name":"Impact","value":""},{"id":150,"name":"Time of Event (Mountain Time)","value":"06:54:50"},{"id":151,"name":"Denver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/cygdrive/c/Users/stu/AppData/Local/Temp/OnboardLogs/RTDC4021 --include="*4021*201705111*"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"%USERPROFILE%\AppData\Local\Temp\OnboardLogs"\RTDC4021\*4021*201705111* &gt;&gt; 2017-05-11-SliceDisagreementCheck.txt</v>
      </c>
      <c r="AE26" s="148" t="str">
        <f t="shared" si="9"/>
        <v>start /low /b %USERPROFILE%\Documents\GitHub\eaglep3\Utilities\DownloadLogsFromS3.py --loco 4021 --day 2017-05-11</v>
      </c>
      <c r="AF26" s="1"/>
    </row>
    <row r="27" spans="1:32" x14ac:dyDescent="0.25">
      <c r="A27" s="31">
        <v>42866.915208333332</v>
      </c>
      <c r="B27" s="30" t="s">
        <v>398</v>
      </c>
      <c r="C27" s="30" t="s">
        <v>602</v>
      </c>
      <c r="D27" s="30" t="s">
        <v>49</v>
      </c>
      <c r="E27" s="30" t="s">
        <v>185</v>
      </c>
      <c r="F27" s="42">
        <v>0</v>
      </c>
      <c r="G27" s="42">
        <v>37</v>
      </c>
      <c r="H27" s="42">
        <v>668</v>
      </c>
      <c r="I27" s="42">
        <v>647</v>
      </c>
      <c r="J27" s="30" t="s">
        <v>186</v>
      </c>
      <c r="K27" s="42">
        <v>575</v>
      </c>
      <c r="L27" s="134" t="s">
        <v>51</v>
      </c>
      <c r="M27" s="135">
        <f t="shared" si="0"/>
        <v>38.015999999999998</v>
      </c>
      <c r="N27" s="136" t="str">
        <f>VLOOKUP(C27,'Trips&amp;Operators'!$C$1:$G$99999,5,FALSE)</f>
        <v>LAMAR NEKESHA</v>
      </c>
      <c r="O27" s="207" t="s">
        <v>184</v>
      </c>
      <c r="P27" s="137"/>
      <c r="Q27" s="30"/>
      <c r="R27" s="84" t="e">
        <f>IF(VLOOKUP(C27,'Train Runs'!$A$13:$AE$9930,1,1)=C27,VLOOKUP(C27,'Train Runs'!$A$13:$AE$9930,31,1),NA())</f>
        <v>#N/A</v>
      </c>
      <c r="S27" s="87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-05-11T20:37:44-0600',mode:absolute,to:'2017-05-11T22:57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7" s="89" t="str">
        <f t="shared" si="1"/>
        <v>"C:\Program Files (x86)\AstroGrep\AstroGrep.exe" /e /r /s /spath="%USERPROFILE%\AppData\Local\Temp\OnboardLogs" /stypes="*4021*201705120*" /stext=" 03:.+((SYSTEM_STATE.+slice.+state.+changed )|(ment ac)|(multiple cpu faults)|(system.+state.+changed )|(\[timeout)|(PRM\|1\|D)|(kpr)|(kdp)|(train st.+moving)|(\|lc)|(penalty))"</v>
      </c>
      <c r="U27" s="9" t="str">
        <f t="shared" si="2"/>
        <v>4021</v>
      </c>
      <c r="V27" s="31">
        <f t="shared" si="3"/>
        <v>42867.165208333332</v>
      </c>
      <c r="W27" s="45" t="str">
        <f t="shared" si="4"/>
        <v>NW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{"issue":{"subject":"","project_id":79,"tracker_id":40,"status_id":1,"priority_id":2,"assigned_to_id":23,"start_date":"2017-05-11","description":"","custom_fields":[{"id":1,"name":"Subdivision","value":"NW"},{"id":4,"name":"Milepost","value":"0.0575"},{"id":17,"name":"Train ID","value":"844-11"},{"id":16,"name":"Locomotive ID","value":"4021"},{"id":130,"name":"Impact","value":""},{"id":150,"name":"Time of Event (Mountain Time)","value":"21:57:54"},{"id":151,"name":"Denver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/cygdrive/c/Users/stu/AppData/Local/Temp/OnboardLogs/RTDC4021 --include="*4021*201705120*"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"%USERPROFILE%\AppData\Local\Temp\OnboardLogs"\RTDC4021\*4021*201705120* &gt;&gt; 2017-05-11-SliceDisagreementCheck.txt</v>
      </c>
      <c r="AE27" s="148" t="str">
        <f t="shared" si="9"/>
        <v>start /low /b %USERPROFILE%\Documents\GitHub\eaglep3\Utilities\DownloadLogsFromS3.py --loco 4021 --day 2017-05-12</v>
      </c>
      <c r="AF27" s="1"/>
    </row>
    <row r="28" spans="1:32" x14ac:dyDescent="0.25">
      <c r="A28" s="31">
        <v>42866.731817129628</v>
      </c>
      <c r="B28" s="30" t="s">
        <v>345</v>
      </c>
      <c r="C28" s="30" t="s">
        <v>593</v>
      </c>
      <c r="D28" s="30" t="s">
        <v>49</v>
      </c>
      <c r="E28" s="30" t="s">
        <v>185</v>
      </c>
      <c r="F28" s="42">
        <v>0</v>
      </c>
      <c r="G28" s="42">
        <v>161</v>
      </c>
      <c r="H28" s="42">
        <v>57889</v>
      </c>
      <c r="I28" s="42">
        <v>58154</v>
      </c>
      <c r="J28" s="30" t="s">
        <v>186</v>
      </c>
      <c r="K28" s="42">
        <v>59058</v>
      </c>
      <c r="L28" s="134" t="s">
        <v>50</v>
      </c>
      <c r="M28" s="135">
        <f t="shared" si="0"/>
        <v>477.31200000000001</v>
      </c>
      <c r="N28" s="136" t="str">
        <f>VLOOKUP(C28,'Trips&amp;Operators'!$C$1:$G$99999,5,FALSE)</f>
        <v>ZEWDU DEREJE</v>
      </c>
      <c r="O28" s="207" t="s">
        <v>184</v>
      </c>
      <c r="P28" s="137"/>
      <c r="Q28" s="30"/>
      <c r="R28" s="84" t="str">
        <f>IF(VLOOKUP(C28,'Train Runs'!$A$13:$AE$9930,1,1)=C28,VLOOKUP(C28,'Train Runs'!$A$13:$AE$9930,31,1),NA())</f>
        <v>aws s3 cp s3://rtdc.mdm.uploadarchive.raw/RTDC4022/ "%USERPROFILE%\AppData\Local\Temp\OnboardLogs"\RTDC4022\2017-05-11 --exclude "*" --recursive --include "*20170511*" &amp; "%USERPROFILE%\Documents\GitHub\mrs-test-scripts\Headless Mode &amp; Sideloading\WalkAndUnGZ.bat" "%USERPROFILE%\AppData\Local\Temp\OnboardLogs"\RTDC4022\2017-05-11 &amp; aws s3 cp s3://rtdc.mdm.uploadarchive.raw/RTDC4022/ "%USERPROFILE%\AppData\Local\Temp\OnboardLogs"\RTDC4022\2017-05-12 --exclude "*" --recursive --include "*20170512*" &amp; "%USERPROFILE%\Documents\GitHub\mrs-test-scripts\Headless Mode &amp; Sideloading\WalkAndUnGZ.bat" "%USERPROFILE%\AppData\Local\Temp\OnboardLogs"\RTDC4022\2017-05-12</v>
      </c>
      <c r="S28" s="87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-05-11T15:59:22-0600',mode:absolute,to:'2017-05-11T18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8" s="89" t="str">
        <f t="shared" si="1"/>
        <v>"C:\Program Files (x86)\AstroGrep\AstroGrep.exe" /e /r /s /spath="%USERPROFILE%\AppData\Local\Temp\OnboardLogs" /stypes="*4022*201705112*" /stext=" 23:.+((SYSTEM_STATE.+slice.+state.+changed )|(ment ac)|(multiple cpu faults)|(system.+state.+changed )|(\[timeout)|(PRM\|1\|D)|(kpr)|(kdp)|(train st.+moving)|(\|lc)|(penalty))"</v>
      </c>
      <c r="U28" s="9" t="str">
        <f t="shared" si="2"/>
        <v>4022</v>
      </c>
      <c r="V28" s="31">
        <f t="shared" si="3"/>
        <v>42866.981817129628</v>
      </c>
      <c r="W28" s="45" t="str">
        <f t="shared" si="4"/>
        <v>NW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{"issue":{"subject":"","project_id":79,"tracker_id":40,"status_id":1,"priority_id":2,"assigned_to_id":23,"start_date":"2017-05-11","description":"","custom_fields":[{"id":1,"name":"Subdivision","value":"NW"},{"id":4,"name":"Milepost","value":"5.9058"},{"id":17,"name":"Train ID","value":"833-11"},{"id":16,"name":"Locomotive ID","value":"4022"},{"id":130,"name":"Impact","value":""},{"id":150,"name":"Time of Event (Mountain Time)","value":"17:33:49"},{"id":151,"name":"Denver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/cygdrive/c/Users/stu/AppData/Local/Temp/OnboardLogs/RTDC4022 --include="*4022*201705112*"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"%USERPROFILE%\AppData\Local\Temp\OnboardLogs"\RTDC4022\*4022*201705112* &gt;&gt; 2017-05-11-SliceDisagreementCheck.txt</v>
      </c>
      <c r="AE28" s="148" t="str">
        <f t="shared" si="9"/>
        <v>start /low /b %USERPROFILE%\Documents\GitHub\eaglep3\Utilities\DownloadLogsFromS3.py --loco 4022 --day 2017-05-11</v>
      </c>
      <c r="AF28" s="1"/>
    </row>
    <row r="29" spans="1:32" x14ac:dyDescent="0.25">
      <c r="A29" s="31">
        <v>42866.213171296295</v>
      </c>
      <c r="B29" s="30" t="s">
        <v>404</v>
      </c>
      <c r="C29" s="30" t="s">
        <v>572</v>
      </c>
      <c r="D29" s="30" t="s">
        <v>49</v>
      </c>
      <c r="E29" s="30" t="s">
        <v>191</v>
      </c>
      <c r="F29" s="42">
        <v>230</v>
      </c>
      <c r="G29" s="42">
        <v>284</v>
      </c>
      <c r="H29" s="42">
        <v>12517</v>
      </c>
      <c r="I29" s="42">
        <v>11815</v>
      </c>
      <c r="J29" s="30" t="s">
        <v>192</v>
      </c>
      <c r="K29" s="42">
        <v>10988</v>
      </c>
      <c r="L29" s="134" t="s">
        <v>51</v>
      </c>
      <c r="M29" s="135">
        <f t="shared" si="0"/>
        <v>436.65600000000001</v>
      </c>
      <c r="N29" s="136" t="str">
        <f>VLOOKUP(C29,'Trips&amp;Operators'!$C$1:$G$99999,5,FALSE)</f>
        <v>ACKERMAN JARED</v>
      </c>
      <c r="O29" s="207" t="s">
        <v>184</v>
      </c>
      <c r="P29" s="137"/>
      <c r="Q29" s="30"/>
      <c r="R29" s="84" t="e">
        <f>IF(VLOOKUP(C29,'Train Runs'!$A$13:$AE$9930,1,1)=C29,VLOOKUP(C29,'Train Runs'!$A$13:$AE$9930,31,1),NA())</f>
        <v>#N/A</v>
      </c>
      <c r="S29" s="87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-05-11T05:32:05-0600',mode:absolute,to:'2017-05-11T08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9" s="89" t="str">
        <f t="shared" si="1"/>
        <v>"C:\Program Files (x86)\AstroGrep\AstroGrep.exe" /e /r /s /spath="%USERPROFILE%\AppData\Local\Temp\OnboardLogs" /stypes="*4013*201705111*" /stext=" 11:.+((SYSTEM_STATE.+slice.+state.+changed )|(ment ac)|(multiple cpu faults)|(system.+state.+changed )|(\[timeout)|(PRM\|1\|D)|(kpr)|(kdp)|(train st.+moving)|(\|lc)|(penalty))"</v>
      </c>
      <c r="U29" s="9" t="str">
        <f t="shared" si="2"/>
        <v>4013</v>
      </c>
      <c r="V29" s="31">
        <f t="shared" si="3"/>
        <v>42866.463171296295</v>
      </c>
      <c r="W29" s="45" t="str">
        <f t="shared" si="4"/>
        <v>Other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{"issue":{"subject":"","project_id":79,"tracker_id":40,"status_id":1,"priority_id":2,"assigned_to_id":23,"start_date":"2017-05-11","description":"","custom_fields":[{"id":1,"name":"Subdivision","value":"Other"},{"id":4,"name":"Milepost","value":"1.0988"},{"id":17,"name":"Train ID","value":"54-11"},{"id":16,"name":"Locomotive ID","value":"4013"},{"id":130,"name":"Impact","value":""},{"id":150,"name":"Time of Event (Mountain Time)","value":"05:06:58"},{"id":151,"name":"Denver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/cygdrive/c/Users/stu/AppData/Local/Temp/OnboardLogs/RTDC4013 --include="*4013*201705111*"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"%USERPROFILE%\AppData\Local\Temp\OnboardLogs"\RTDC4013\*4013*201705111* &gt;&gt; 2017-05-11-SliceDisagreementCheck.txt</v>
      </c>
      <c r="AE29" s="148" t="str">
        <f t="shared" si="9"/>
        <v>start /low /b %USERPROFILE%\Documents\GitHub\eaglep3\Utilities\DownloadLogsFromS3.py --loco 4013 --day 2017-05-11</v>
      </c>
      <c r="AF29" s="1"/>
    </row>
    <row r="30" spans="1:32" x14ac:dyDescent="0.25">
      <c r="A30" s="31">
        <v>42866.622037037036</v>
      </c>
      <c r="B30" s="30" t="s">
        <v>406</v>
      </c>
      <c r="C30" s="30" t="s">
        <v>588</v>
      </c>
      <c r="D30" s="30" t="s">
        <v>49</v>
      </c>
      <c r="E30" s="30" t="s">
        <v>380</v>
      </c>
      <c r="F30" s="42">
        <v>0</v>
      </c>
      <c r="G30" s="42">
        <v>352</v>
      </c>
      <c r="H30" s="42">
        <v>8862</v>
      </c>
      <c r="I30" s="42">
        <v>8270</v>
      </c>
      <c r="J30" s="30" t="s">
        <v>381</v>
      </c>
      <c r="K30" s="42">
        <v>6799</v>
      </c>
      <c r="L30" s="134" t="s">
        <v>51</v>
      </c>
      <c r="M30" s="135">
        <f t="shared" si="0"/>
        <v>776.68799999999999</v>
      </c>
      <c r="N30" s="136" t="str">
        <f>VLOOKUP(C30,'Trips&amp;Operators'!$C$1:$G$99999,5,FALSE)</f>
        <v>DELGADO DIANAH</v>
      </c>
      <c r="O30" s="207" t="s">
        <v>184</v>
      </c>
      <c r="P30" s="137"/>
      <c r="Q30" s="30"/>
      <c r="R30" s="84" t="e">
        <f>IF(VLOOKUP(C30,'Train Runs'!$A$13:$AE$9930,1,1)=C30,VLOOKUP(C30,'Train Runs'!$A$13:$AE$9930,31,1),NA())</f>
        <v>#N/A</v>
      </c>
      <c r="S30" s="87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-05-11T13:48:23-0600',mode:absolute,to:'2017-05-11T16:00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0" s="89" t="str">
        <f t="shared" si="1"/>
        <v>"C:\Program Files (x86)\AstroGrep\AstroGrep.exe" /e /r /s /spath="%USERPROFILE%\AppData\Local\Temp\OnboardLogs" /stypes="*4029*201705112*" /stext=" 20:.+((SYSTEM_STATE.+slice.+state.+changed )|(ment ac)|(multiple cpu faults)|(system.+state.+changed )|(\[timeout)|(PRM\|1\|D)|(kpr)|(kdp)|(train st.+moving)|(\|lc)|(penalty))"</v>
      </c>
      <c r="U30" s="9" t="str">
        <f t="shared" si="2"/>
        <v>4029</v>
      </c>
      <c r="V30" s="31">
        <f t="shared" si="3"/>
        <v>42866.872037037036</v>
      </c>
      <c r="W30" s="45" t="str">
        <f t="shared" si="4"/>
        <v>Other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{"issue":{"subject":"","project_id":79,"tracker_id":40,"status_id":1,"priority_id":2,"assigned_to_id":23,"start_date":"2017-05-11","description":"","custom_fields":[{"id":1,"name":"Subdivision","value":"Other"},{"id":4,"name":"Milepost","value":"0.6799"},{"id":17,"name":"Train ID","value":"80-11"},{"id":16,"name":"Locomotive ID","value":"4029"},{"id":130,"name":"Impact","value":""},{"id":150,"name":"Time of Event (Mountain Time)","value":"14:55:44"},{"id":151,"name":"Denver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/cygdrive/c/Users/stu/AppData/Local/Temp/OnboardLogs/RTDC4029 --include="*4029*201705112*"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"%USERPROFILE%\AppData\Local\Temp\OnboardLogs"\RTDC4029\*4029*201705112* &gt;&gt; 2017-05-11-SliceDisagreementCheck.txt</v>
      </c>
      <c r="AE30" s="148" t="str">
        <f t="shared" si="9"/>
        <v>start /low /b %USERPROFILE%\Documents\GitHub\eaglep3\Utilities\DownloadLogsFromS3.py --loco 4029 --day 2017-05-11</v>
      </c>
      <c r="AF30" s="1"/>
    </row>
    <row r="31" spans="1:32" x14ac:dyDescent="0.25">
      <c r="A31" s="31">
        <v>42866.851284722223</v>
      </c>
      <c r="B31" s="30" t="s">
        <v>493</v>
      </c>
      <c r="C31" s="30" t="s">
        <v>598</v>
      </c>
      <c r="D31" s="30" t="s">
        <v>98</v>
      </c>
      <c r="E31" s="30" t="s">
        <v>380</v>
      </c>
      <c r="F31" s="42">
        <v>0</v>
      </c>
      <c r="G31" s="42">
        <v>134</v>
      </c>
      <c r="H31" s="42">
        <v>22459</v>
      </c>
      <c r="I31" s="42">
        <v>22701</v>
      </c>
      <c r="J31" s="30" t="s">
        <v>381</v>
      </c>
      <c r="K31" s="42">
        <v>22314</v>
      </c>
      <c r="L31" s="134" t="s">
        <v>50</v>
      </c>
      <c r="M31" s="135">
        <f t="shared" si="0"/>
        <v>-204.33600000000001</v>
      </c>
      <c r="N31" s="136" t="str">
        <f>VLOOKUP(C31,'Trips&amp;Operators'!$C$1:$G$99999,5,FALSE)</f>
        <v>PERKINS DARREN</v>
      </c>
      <c r="O31" s="207" t="s">
        <v>184</v>
      </c>
      <c r="P31" s="137"/>
      <c r="Q31" s="30"/>
      <c r="R31" s="84" t="e">
        <f>IF(VLOOKUP(C31,'Train Runs'!$A$13:$AE$9930,1,1)=C31,VLOOKUP(C31,'Train Runs'!$A$13:$AE$9930,31,1),NA())</f>
        <v>#N/A</v>
      </c>
      <c r="S31" s="87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-05-11T18:52:27-0600',mode:absolute,to:'2017-05-11T21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1" s="89" t="str">
        <f t="shared" si="1"/>
        <v>"C:\Program Files (x86)\AstroGrep\AstroGrep.exe" /e /r /s /spath="%USERPROFILE%\AppData\Local\Temp\OnboardLogs" /stypes="*4026*201705120*" /stext=" 02:.+((SYSTEM_STATE.+slice.+state.+changed )|(ment ac)|(multiple cpu faults)|(system.+state.+changed )|(\[timeout)|(PRM\|1\|D)|(kpr)|(kdp)|(train st.+moving)|(\|lc)|(penalty))"</v>
      </c>
      <c r="U31" s="9" t="str">
        <f t="shared" si="2"/>
        <v>4026</v>
      </c>
      <c r="V31" s="31">
        <f t="shared" si="3"/>
        <v>42867.101284722223</v>
      </c>
      <c r="W31" s="45" t="str">
        <f t="shared" si="4"/>
        <v>Other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{"issue":{"subject":"","project_id":79,"tracker_id":40,"status_id":1,"priority_id":2,"assigned_to_id":23,"start_date":"2017-05-11","description":"","custom_fields":[{"id":1,"name":"Subdivision","value":"Other"},{"id":4,"name":"Milepost","value":"2.2314"},{"id":17,"name":"Train ID","value":"307-11"},{"id":16,"name":"Locomotive ID","value":"4026"},{"id":130,"name":"Impact","value":""},{"id":150,"name":"Time of Event (Mountain Time)","value":"20:25:51"},{"id":151,"name":"Denver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/cygdrive/c/Users/stu/AppData/Local/Temp/OnboardLogs/RTDC4026 --include="*4026*201705120*"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"%USERPROFILE%\AppData\Local\Temp\OnboardLogs"\RTDC4026\*4026*201705120* &gt;&gt; 2017-05-11-SliceDisagreementCheck.txt</v>
      </c>
      <c r="AE31" s="148" t="str">
        <f t="shared" si="9"/>
        <v>start /low /b %USERPROFILE%\Documents\GitHub\eaglep3\Utilities\DownloadLogsFromS3.py --loco 4026 --day 2017-05-12</v>
      </c>
      <c r="AF31" s="1"/>
    </row>
    <row r="32" spans="1:32" x14ac:dyDescent="0.25">
      <c r="A32" s="31">
        <v>42866.646261574075</v>
      </c>
      <c r="B32" s="30" t="s">
        <v>457</v>
      </c>
      <c r="C32" s="30" t="s">
        <v>589</v>
      </c>
      <c r="D32" s="30" t="s">
        <v>98</v>
      </c>
      <c r="E32" s="30" t="s">
        <v>380</v>
      </c>
      <c r="F32" s="42">
        <v>0</v>
      </c>
      <c r="G32" s="42">
        <v>136</v>
      </c>
      <c r="H32" s="42">
        <v>22942</v>
      </c>
      <c r="I32" s="42">
        <v>22686</v>
      </c>
      <c r="J32" s="30" t="s">
        <v>381</v>
      </c>
      <c r="K32" s="42">
        <v>24161</v>
      </c>
      <c r="L32" s="134" t="s">
        <v>51</v>
      </c>
      <c r="M32" s="135">
        <f t="shared" si="0"/>
        <v>-778.8</v>
      </c>
      <c r="N32" s="136" t="str">
        <f>VLOOKUP(C32,'Trips&amp;Operators'!$C$1:$G$99999,5,FALSE)</f>
        <v>LAMAR NEKESHA</v>
      </c>
      <c r="O32" s="207" t="s">
        <v>184</v>
      </c>
      <c r="P32" s="137"/>
      <c r="Q32" s="30"/>
      <c r="R32" s="84" t="e">
        <f>IF(VLOOKUP(C32,'Train Runs'!$A$13:$AE$9930,1,1)=C32,VLOOKUP(C32,'Train Runs'!$A$13:$AE$9930,31,1),NA())</f>
        <v>#N/A</v>
      </c>
      <c r="S32" s="87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-05-11T14:32:40-0600',mode:absolute,to:'2017-05-11T16:41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2" s="89" t="str">
        <f t="shared" si="1"/>
        <v>"C:\Program Files (x86)\AstroGrep\AstroGrep.exe" /e /r /s /spath="%USERPROFILE%\AppData\Local\Temp\OnboardLogs" /stypes="*4007*201705112*" /stext=" 21:.+((SYSTEM_STATE.+slice.+state.+changed )|(ment ac)|(multiple cpu faults)|(system.+state.+changed )|(\[timeout)|(PRM\|1\|D)|(kpr)|(kdp)|(train st.+moving)|(\|lc)|(penalty))"</v>
      </c>
      <c r="U32" s="9" t="str">
        <f t="shared" si="2"/>
        <v>4007</v>
      </c>
      <c r="V32" s="31">
        <f t="shared" si="3"/>
        <v>42866.896261574075</v>
      </c>
      <c r="W32" s="45" t="str">
        <f t="shared" si="4"/>
        <v>Other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{"issue":{"subject":"","project_id":79,"tracker_id":40,"status_id":1,"priority_id":2,"assigned_to_id":23,"start_date":"2017-05-11","description":"","custom_fields":[{"id":1,"name":"Subdivision","value":"Other"},{"id":4,"name":"Milepost","value":"2.4161"},{"id":17,"name":"Train ID","value":"904-11"},{"id":16,"name":"Locomotive ID","value":"4007"},{"id":130,"name":"Impact","value":""},{"id":150,"name":"Time of Event (Mountain Time)","value":"15:30:37"},{"id":151,"name":"Denver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/cygdrive/c/Users/stu/AppData/Local/Temp/OnboardLogs/RTDC4007 --include="*4007*201705112*"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"%USERPROFILE%\AppData\Local\Temp\OnboardLogs"\RTDC4007\*4007*201705112* &gt;&gt; 2017-05-11-SliceDisagreementCheck.txt</v>
      </c>
      <c r="AE32" s="148" t="str">
        <f t="shared" si="9"/>
        <v>start /low /b %USERPROFILE%\Documents\GitHub\eaglep3\Utilities\DownloadLogsFromS3.py --loco 4007 --day 2017-05-11</v>
      </c>
      <c r="AF32" s="1"/>
    </row>
    <row r="33" spans="1:32" x14ac:dyDescent="0.25">
      <c r="A33" s="31">
        <v>42866.194849537038</v>
      </c>
      <c r="B33" s="30" t="s">
        <v>404</v>
      </c>
      <c r="C33" s="30" t="s">
        <v>572</v>
      </c>
      <c r="D33" s="30" t="s">
        <v>49</v>
      </c>
      <c r="E33" s="30" t="s">
        <v>573</v>
      </c>
      <c r="F33" s="42">
        <v>0</v>
      </c>
      <c r="G33" s="42">
        <v>312</v>
      </c>
      <c r="H33" s="42">
        <v>14906</v>
      </c>
      <c r="I33" s="42">
        <v>14142</v>
      </c>
      <c r="J33" s="30" t="s">
        <v>574</v>
      </c>
      <c r="K33" s="42">
        <v>14177</v>
      </c>
      <c r="L33" s="134" t="s">
        <v>51</v>
      </c>
      <c r="M33" s="135">
        <f t="shared" si="0"/>
        <v>-18.48</v>
      </c>
      <c r="N33" s="136" t="str">
        <f>VLOOKUP(C33,'Trips&amp;Operators'!$C$1:$G$99999,5,FALSE)</f>
        <v>ACKERMAN JARED</v>
      </c>
      <c r="O33" s="207" t="s">
        <v>184</v>
      </c>
      <c r="P33" s="137"/>
      <c r="Q33" s="30"/>
      <c r="R33" s="84" t="e">
        <f>IF(VLOOKUP(C33,'Train Runs'!$A$13:$AE$9930,1,1)=C33,VLOOKUP(C33,'Train Runs'!$A$13:$AE$9930,31,1),NA())</f>
        <v>#N/A</v>
      </c>
      <c r="S33" s="87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-05-11T05:32:05-0600',mode:absolute,to:'2017-05-11T08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3" s="89" t="str">
        <f t="shared" si="1"/>
        <v>"C:\Program Files (x86)\AstroGrep\AstroGrep.exe" /e /r /s /spath="%USERPROFILE%\AppData\Local\Temp\OnboardLogs" /stypes="*4013*201705111*" /stext=" 10:.+((SYSTEM_STATE.+slice.+state.+changed )|(ment ac)|(multiple cpu faults)|(system.+state.+changed )|(\[timeout)|(PRM\|1\|D)|(kpr)|(kdp)|(train st.+moving)|(\|lc)|(penalty))"</v>
      </c>
      <c r="U33" s="9" t="str">
        <f t="shared" si="2"/>
        <v>4013</v>
      </c>
      <c r="V33" s="31">
        <f t="shared" si="3"/>
        <v>42866.444849537038</v>
      </c>
      <c r="W33" s="45" t="str">
        <f t="shared" si="4"/>
        <v>Other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{"issue":{"subject":"","project_id":79,"tracker_id":40,"status_id":1,"priority_id":2,"assigned_to_id":23,"start_date":"2017-05-11","description":"","custom_fields":[{"id":1,"name":"Subdivision","value":"Other"},{"id":4,"name":"Milepost","value":"1.4177"},{"id":17,"name":"Train ID","value":"54-11"},{"id":16,"name":"Locomotive ID","value":"4013"},{"id":130,"name":"Impact","value":""},{"id":150,"name":"Time of Event (Mountain Time)","value":"04:40:35"},{"id":151,"name":"Denver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/cygdrive/c/Users/stu/AppData/Local/Temp/OnboardLogs/RTDC4013 --include="*4013*201705111*"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"%USERPROFILE%\AppData\Local\Temp\OnboardLogs"\RTDC4013\*4013*201705111* &gt;&gt; 2017-05-11-SliceDisagreementCheck.txt</v>
      </c>
      <c r="AE33" s="148" t="str">
        <f t="shared" si="9"/>
        <v>start /low /b %USERPROFILE%\Documents\GitHub\eaglep3\Utilities\DownloadLogsFromS3.py --loco 4013 --day 2017-05-11</v>
      </c>
      <c r="AF33" s="1"/>
    </row>
    <row r="34" spans="1:32" x14ac:dyDescent="0.25">
      <c r="A34" s="31">
        <v>42866.302974537037</v>
      </c>
      <c r="B34" s="30" t="s">
        <v>404</v>
      </c>
      <c r="C34" s="30" t="s">
        <v>572</v>
      </c>
      <c r="D34" s="30" t="s">
        <v>49</v>
      </c>
      <c r="E34" s="30" t="s">
        <v>185</v>
      </c>
      <c r="F34" s="42">
        <v>0</v>
      </c>
      <c r="G34" s="42">
        <v>51</v>
      </c>
      <c r="H34" s="42">
        <v>176</v>
      </c>
      <c r="I34" s="42">
        <v>137</v>
      </c>
      <c r="J34" s="30" t="s">
        <v>186</v>
      </c>
      <c r="K34" s="42">
        <v>1</v>
      </c>
      <c r="L34" s="134" t="s">
        <v>51</v>
      </c>
      <c r="M34" s="135">
        <f t="shared" si="0"/>
        <v>71.808000000000007</v>
      </c>
      <c r="N34" s="136" t="str">
        <f>VLOOKUP(C34,'Trips&amp;Operators'!$C$1:$G$99999,5,FALSE)</f>
        <v>ACKERMAN JARED</v>
      </c>
      <c r="O34" s="207" t="s">
        <v>184</v>
      </c>
      <c r="P34" s="137"/>
      <c r="Q34" s="30"/>
      <c r="R34" s="84" t="e">
        <f>IF(VLOOKUP(C34,'Train Runs'!$A$13:$AE$9930,1,1)=C34,VLOOKUP(C34,'Train Runs'!$A$13:$AE$9930,31,1),NA())</f>
        <v>#N/A</v>
      </c>
      <c r="S34" s="87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-05-11T05:32:05-0600',mode:absolute,to:'2017-05-11T08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4" s="89" t="str">
        <f t="shared" si="1"/>
        <v>"C:\Program Files (x86)\AstroGrep\AstroGrep.exe" /e /r /s /spath="%USERPROFILE%\AppData\Local\Temp\OnboardLogs" /stypes="*4013*201705111*" /stext=" 13:.+((SYSTEM_STATE.+slice.+state.+changed )|(ment ac)|(multiple cpu faults)|(system.+state.+changed )|(\[timeout)|(PRM\|1\|D)|(kpr)|(kdp)|(train st.+moving)|(\|lc)|(penalty))"</v>
      </c>
      <c r="U34" s="9" t="str">
        <f t="shared" si="2"/>
        <v>4013</v>
      </c>
      <c r="V34" s="31">
        <f t="shared" si="3"/>
        <v>42866.552974537037</v>
      </c>
      <c r="W34" s="45" t="str">
        <f t="shared" si="4"/>
        <v>Other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{"issue":{"subject":"","project_id":79,"tracker_id":40,"status_id":1,"priority_id":2,"assigned_to_id":23,"start_date":"2017-05-11","description":"","custom_fields":[{"id":1,"name":"Subdivision","value":"Other"},{"id":4,"name":"Milepost","value":"0.0001"},{"id":17,"name":"Train ID","value":"54-11"},{"id":16,"name":"Locomotive ID","value":"4013"},{"id":130,"name":"Impact","value":""},{"id":150,"name":"Time of Event (Mountain Time)","value":"07:16:17"},{"id":151,"name":"Denver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/cygdrive/c/Users/stu/AppData/Local/Temp/OnboardLogs/RTDC4013 --include="*4013*201705111*"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"%USERPROFILE%\AppData\Local\Temp\OnboardLogs"\RTDC4013\*4013*201705111* &gt;&gt; 2017-05-11-SliceDisagreementCheck.txt</v>
      </c>
      <c r="AE34" s="148" t="str">
        <f t="shared" si="9"/>
        <v>start /low /b %USERPROFILE%\Documents\GitHub\eaglep3\Utilities\DownloadLogsFromS3.py --loco 4013 --day 2017-05-11</v>
      </c>
      <c r="AF34" s="1"/>
    </row>
    <row r="35" spans="1:32" x14ac:dyDescent="0.25">
      <c r="A35" s="31">
        <v>42866.449062500003</v>
      </c>
      <c r="B35" s="30" t="s">
        <v>369</v>
      </c>
      <c r="C35" s="30" t="s">
        <v>584</v>
      </c>
      <c r="D35" s="30" t="s">
        <v>98</v>
      </c>
      <c r="E35" s="30" t="s">
        <v>185</v>
      </c>
      <c r="F35" s="42">
        <v>0</v>
      </c>
      <c r="G35" s="42">
        <v>8</v>
      </c>
      <c r="H35" s="42">
        <v>1</v>
      </c>
      <c r="I35" s="42">
        <v>0</v>
      </c>
      <c r="J35" s="30" t="s">
        <v>186</v>
      </c>
      <c r="K35" s="42">
        <v>1</v>
      </c>
      <c r="L35" s="134" t="s">
        <v>51</v>
      </c>
      <c r="M35" s="135">
        <f t="shared" si="0"/>
        <v>-0.52800000000000002</v>
      </c>
      <c r="N35" s="136" t="str">
        <f>VLOOKUP(C35,'Trips&amp;Operators'!$C$1:$G$99999,5,FALSE)</f>
        <v>DELGADO DIANAH</v>
      </c>
      <c r="O35" s="207" t="s">
        <v>184</v>
      </c>
      <c r="P35" s="137"/>
      <c r="Q35" s="30"/>
      <c r="R35" s="84" t="e">
        <f>IF(VLOOKUP(C35,'Train Runs'!$A$13:$AE$9930,1,1)=C35,VLOOKUP(C35,'Train Runs'!$A$13:$AE$9930,31,1),NA())</f>
        <v>#N/A</v>
      </c>
      <c r="S35" s="87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-05-11T09:35:07-0600',mode:absolute,to:'2017-05-11T11:46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5" s="89" t="str">
        <f t="shared" si="1"/>
        <v>"C:\Program Files (x86)\AstroGrep\AstroGrep.exe" /e /r /s /spath="%USERPROFILE%\AppData\Local\Temp\OnboardLogs" /stypes="*4017*201705111*" /stext=" 16:.+((SYSTEM_STATE.+slice.+state.+changed )|(ment ac)|(multiple cpu faults)|(system.+state.+changed )|(\[timeout)|(PRM\|1\|D)|(kpr)|(kdp)|(train st.+moving)|(\|lc)|(penalty))"</v>
      </c>
      <c r="U35" s="9" t="str">
        <f t="shared" si="2"/>
        <v>4017</v>
      </c>
      <c r="V35" s="31">
        <f t="shared" si="3"/>
        <v>42866.699062500003</v>
      </c>
      <c r="W35" s="45" t="str">
        <f t="shared" si="4"/>
        <v>Other</v>
      </c>
      <c r="X35" s="45" t="str">
        <f t="shared" si="5"/>
        <v>OMIT</v>
      </c>
      <c r="Y35" s="99" t="str">
        <f t="shared" si="6"/>
        <v>echo {"issue":{"subject":"","project_id":79,"tracker_id":40,"status_id":1,"priority_id":2,"assigned_to_id":23,"start_date":"2017-05-11","description":"","custom_fields":[{"id":1,"name":"Subdivision","value":"Other"},{"id":4,"name":"Milepost","value":"0.0001"},{"id":17,"name":"Train ID","value":"52-11"},{"id":16,"name":"Locomotive ID","value":"4017"},{"id":130,"name":"Impact","value":""},{"id":150,"name":"Time of Event (Mountain Time)","value":"10:46:39"},{"id":151,"name":"Denver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/cygdrive/c/Users/stu/AppData/Local/Temp/OnboardLogs/RTDC4017 --include="*4017*201705111*"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"%USERPROFILE%\AppData\Local\Temp\OnboardLogs"\RTDC4017\*4017*201705111* &gt;&gt; 2017-05-11-SliceDisagreementCheck.txt</v>
      </c>
      <c r="AE35" s="148" t="str">
        <f t="shared" si="9"/>
        <v>start /low /b %USERPROFILE%\Documents\GitHub\eaglep3\Utilities\DownloadLogsFromS3.py --loco 4017 --day 2017-05-11</v>
      </c>
      <c r="AF35" s="1"/>
    </row>
    <row r="36" spans="1:32" x14ac:dyDescent="0.25">
      <c r="A36" s="31">
        <v>42866.681111111109</v>
      </c>
      <c r="B36" s="30" t="s">
        <v>386</v>
      </c>
      <c r="C36" s="30" t="s">
        <v>591</v>
      </c>
      <c r="D36" s="30" t="s">
        <v>49</v>
      </c>
      <c r="E36" s="30" t="s">
        <v>185</v>
      </c>
      <c r="F36" s="42">
        <v>0</v>
      </c>
      <c r="G36" s="42">
        <v>30</v>
      </c>
      <c r="H36" s="42">
        <v>911</v>
      </c>
      <c r="I36" s="42">
        <v>889</v>
      </c>
      <c r="J36" s="30" t="s">
        <v>186</v>
      </c>
      <c r="K36" s="42">
        <v>826</v>
      </c>
      <c r="L36" s="134" t="s">
        <v>51</v>
      </c>
      <c r="M36" s="135">
        <f t="shared" si="0"/>
        <v>33.264000000000003</v>
      </c>
      <c r="N36" s="136" t="str">
        <f>VLOOKUP(C36,'Trips&amp;Operators'!$C$1:$G$99999,5,FALSE)</f>
        <v>LOPES KIMBERLY</v>
      </c>
      <c r="O36" s="207" t="s">
        <v>184</v>
      </c>
      <c r="P36" s="137"/>
      <c r="Q36" s="30"/>
      <c r="R36" s="84" t="e">
        <f>IF(VLOOKUP(C36,'Train Runs'!$A$13:$AE$9930,1,1)=C36,VLOOKUP(C36,'Train Runs'!$A$13:$AE$9930,31,1),NA())</f>
        <v>#N/A</v>
      </c>
      <c r="S36" s="87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-05-11T15:04:59-0600',mode:absolute,to:'2017-05-11T17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6" s="89" t="str">
        <f t="shared" si="1"/>
        <v>"C:\Program Files (x86)\AstroGrep\AstroGrep.exe" /e /r /s /spath="%USERPROFILE%\AppData\Local\Temp\OnboardLogs" /stypes="*4041*201705112*"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4041</v>
      </c>
      <c r="V36" s="31">
        <f t="shared" si="3"/>
        <v>42866.931111111109</v>
      </c>
      <c r="W36" s="45" t="str">
        <f t="shared" si="4"/>
        <v>Other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{"issue":{"subject":"","project_id":79,"tracker_id":40,"status_id":1,"priority_id":2,"assigned_to_id":23,"start_date":"2017-05-11","description":"","custom_fields":[{"id":1,"name":"Subdivision","value":"Other"},{"id":4,"name":"Milepost","value":"0.0826"},{"id":17,"name":"Train ID","value":"70-11"},{"id":16,"name":"Locomotive ID","value":"4041"},{"id":130,"name":"Impact","value":""},{"id":150,"name":"Time of Event (Mountain Time)","value":"16:20:48"},{"id":151,"name":"Denver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/cygdrive/c/Users/stu/AppData/Local/Temp/OnboardLogs/RTDC4041 --include="*4041*201705112*"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"%USERPROFILE%\AppData\Local\Temp\OnboardLogs"\RTDC4041\*4041*201705112* &gt;&gt; 2017-05-11-SliceDisagreementCheck.txt</v>
      </c>
      <c r="AE36" s="148" t="str">
        <f t="shared" si="9"/>
        <v>start /low /b %USERPROFILE%\Documents\GitHub\eaglep3\Utilities\DownloadLogsFromS3.py --loco 4041 --day 2017-05-11</v>
      </c>
      <c r="AF36" s="1"/>
    </row>
    <row r="37" spans="1:32" x14ac:dyDescent="0.25">
      <c r="A37" s="31">
        <v>42866.681516203702</v>
      </c>
      <c r="B37" s="30" t="s">
        <v>386</v>
      </c>
      <c r="C37" s="30" t="s">
        <v>591</v>
      </c>
      <c r="D37" s="30" t="s">
        <v>49</v>
      </c>
      <c r="E37" s="30" t="s">
        <v>185</v>
      </c>
      <c r="F37" s="42">
        <v>0</v>
      </c>
      <c r="G37" s="42">
        <v>17</v>
      </c>
      <c r="H37" s="42">
        <v>848</v>
      </c>
      <c r="I37" s="42">
        <v>839</v>
      </c>
      <c r="J37" s="30" t="s">
        <v>186</v>
      </c>
      <c r="K37" s="42">
        <v>826</v>
      </c>
      <c r="L37" s="134" t="s">
        <v>51</v>
      </c>
      <c r="M37" s="135">
        <f t="shared" si="0"/>
        <v>6.8639999999999999</v>
      </c>
      <c r="N37" s="136" t="str">
        <f>VLOOKUP(C37,'Trips&amp;Operators'!$C$1:$G$99999,5,FALSE)</f>
        <v>LOPES KIMBERLY</v>
      </c>
      <c r="O37" s="207" t="s">
        <v>184</v>
      </c>
      <c r="P37" s="137"/>
      <c r="Q37" s="30"/>
      <c r="R37" s="84" t="e">
        <f>IF(VLOOKUP(C37,'Train Runs'!$A$13:$AE$9930,1,1)=C37,VLOOKUP(C37,'Train Runs'!$A$13:$AE$9930,31,1),NA())</f>
        <v>#N/A</v>
      </c>
      <c r="S37" s="87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-05-11T15:04:59-0600',mode:absolute,to:'2017-05-11T17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7" s="89" t="str">
        <f t="shared" si="1"/>
        <v>"C:\Program Files (x86)\AstroGrep\AstroGrep.exe" /e /r /s /spath="%USERPROFILE%\AppData\Local\Temp\OnboardLogs" /stypes="*4041*201705112*" /stext=" 22:.+((SYSTEM_STATE.+slice.+state.+changed )|(ment ac)|(multiple cpu faults)|(system.+state.+changed )|(\[timeout)|(PRM\|1\|D)|(kpr)|(kdp)|(train st.+moving)|(\|lc)|(penalty))"</v>
      </c>
      <c r="U37" s="9" t="str">
        <f t="shared" si="2"/>
        <v>4041</v>
      </c>
      <c r="V37" s="31">
        <f t="shared" si="3"/>
        <v>42866.931516203702</v>
      </c>
      <c r="W37" s="45" t="str">
        <f t="shared" si="4"/>
        <v>Other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{"issue":{"subject":"","project_id":79,"tracker_id":40,"status_id":1,"priority_id":2,"assigned_to_id":23,"start_date":"2017-05-11","description":"","custom_fields":[{"id":1,"name":"Subdivision","value":"Other"},{"id":4,"name":"Milepost","value":"0.0826"},{"id":17,"name":"Train ID","value":"70-11"},{"id":16,"name":"Locomotive ID","value":"4041"},{"id":130,"name":"Impact","value":""},{"id":150,"name":"Time of Event (Mountain Time)","value":"16:21:23"},{"id":151,"name":"Denver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/cygdrive/c/Users/stu/AppData/Local/Temp/OnboardLogs/RTDC4041 --include="*4041*201705112*"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"%USERPROFILE%\AppData\Local\Temp\OnboardLogs"\RTDC4041\*4041*201705112* &gt;&gt; 2017-05-11-SliceDisagreementCheck.txt</v>
      </c>
      <c r="AE37" s="148" t="str">
        <f t="shared" si="9"/>
        <v>start /low /b %USERPROFILE%\Documents\GitHub\eaglep3\Utilities\DownloadLogsFromS3.py --loco 4041 --day 2017-05-11</v>
      </c>
      <c r="AF37" s="1"/>
    </row>
    <row r="38" spans="1:32" x14ac:dyDescent="0.25">
      <c r="A38" s="31">
        <v>42866.682060185187</v>
      </c>
      <c r="B38" s="30" t="s">
        <v>386</v>
      </c>
      <c r="C38" s="30" t="s">
        <v>591</v>
      </c>
      <c r="D38" s="30" t="s">
        <v>98</v>
      </c>
      <c r="E38" s="30" t="s">
        <v>185</v>
      </c>
      <c r="F38" s="42">
        <v>0</v>
      </c>
      <c r="G38" s="42">
        <v>4</v>
      </c>
      <c r="H38" s="42">
        <v>826</v>
      </c>
      <c r="I38" s="42">
        <v>0</v>
      </c>
      <c r="J38" s="30" t="s">
        <v>186</v>
      </c>
      <c r="K38" s="42">
        <v>826</v>
      </c>
      <c r="L38" s="134" t="s">
        <v>51</v>
      </c>
      <c r="M38" s="135">
        <f t="shared" si="0"/>
        <v>-436.12799999999999</v>
      </c>
      <c r="N38" s="136" t="str">
        <f>VLOOKUP(C38,'Trips&amp;Operators'!$C$1:$G$99999,5,FALSE)</f>
        <v>LOPES KIMBERLY</v>
      </c>
      <c r="O38" s="207" t="s">
        <v>184</v>
      </c>
      <c r="P38" s="137"/>
      <c r="Q38" s="30"/>
      <c r="R38" s="84" t="e">
        <f>IF(VLOOKUP(C38,'Train Runs'!$A$13:$AE$9930,1,1)=C38,VLOOKUP(C38,'Train Runs'!$A$13:$AE$9930,31,1),NA())</f>
        <v>#N/A</v>
      </c>
      <c r="S38" s="87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-05-11T15:04:59-0600',mode:absolute,to:'2017-05-11T17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8" s="89" t="str">
        <f t="shared" si="1"/>
        <v>"C:\Program Files (x86)\AstroGrep\AstroGrep.exe" /e /r /s /spath="%USERPROFILE%\AppData\Local\Temp\OnboardLogs" /stypes="*4041*201705112*" /stext=" 22:.+((SYSTEM_STATE.+slice.+state.+changed )|(ment ac)|(multiple cpu faults)|(system.+state.+changed )|(\[timeout)|(PRM\|1\|D)|(kpr)|(kdp)|(train st.+moving)|(\|lc)|(penalty))"</v>
      </c>
      <c r="U38" s="9" t="str">
        <f t="shared" si="2"/>
        <v>4041</v>
      </c>
      <c r="V38" s="31">
        <f t="shared" si="3"/>
        <v>42866.932060185187</v>
      </c>
      <c r="W38" s="45" t="str">
        <f t="shared" si="4"/>
        <v>Other</v>
      </c>
      <c r="X38" s="45" t="str">
        <f t="shared" si="5"/>
        <v>OMIT</v>
      </c>
      <c r="Y38" s="99" t="str">
        <f t="shared" si="6"/>
        <v>echo {"issue":{"subject":"","project_id":79,"tracker_id":40,"status_id":1,"priority_id":2,"assigned_to_id":23,"start_date":"2017-05-11","description":"","custom_fields":[{"id":1,"name":"Subdivision","value":"Other"},{"id":4,"name":"Milepost","value":"0.0826"},{"id":17,"name":"Train ID","value":"70-11"},{"id":16,"name":"Locomotive ID","value":"4041"},{"id":130,"name":"Impact","value":""},{"id":150,"name":"Time of Event (Mountain Time)","value":"16:22:10"},{"id":151,"name":"Denver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/cygdrive/c/Users/stu/AppData/Local/Temp/OnboardLogs/RTDC4041 --include="*4041*201705112*"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"%USERPROFILE%\AppData\Local\Temp\OnboardLogs"\RTDC4041\*4041*201705112* &gt;&gt; 2017-05-11-SliceDisagreementCheck.txt</v>
      </c>
      <c r="AE38" s="148" t="str">
        <f t="shared" si="9"/>
        <v>start /low /b %USERPROFILE%\Documents\GitHub\eaglep3\Utilities\DownloadLogsFromS3.py --loco 4041 --day 2017-05-11</v>
      </c>
      <c r="AF38" s="1"/>
    </row>
    <row r="39" spans="1:32" x14ac:dyDescent="0.25">
      <c r="A39" s="31">
        <v>42866.850115740737</v>
      </c>
      <c r="B39" s="30" t="s">
        <v>493</v>
      </c>
      <c r="C39" s="30" t="s">
        <v>598</v>
      </c>
      <c r="D39" s="30" t="s">
        <v>98</v>
      </c>
      <c r="E39" s="30" t="s">
        <v>599</v>
      </c>
      <c r="F39" s="42">
        <v>0</v>
      </c>
      <c r="G39" s="42">
        <v>20</v>
      </c>
      <c r="H39" s="42">
        <v>21191</v>
      </c>
      <c r="I39" s="42">
        <v>21254</v>
      </c>
      <c r="J39" s="30" t="s">
        <v>600</v>
      </c>
      <c r="K39" s="42">
        <v>0</v>
      </c>
      <c r="L39" s="134" t="s">
        <v>50</v>
      </c>
      <c r="M39" s="135">
        <f t="shared" si="0"/>
        <v>-11222.111999999999</v>
      </c>
      <c r="N39" s="136" t="str">
        <f>VLOOKUP(C39,'Trips&amp;Operators'!$C$1:$G$99999,5,FALSE)</f>
        <v>PERKINS DARREN</v>
      </c>
      <c r="O39" s="207" t="s">
        <v>184</v>
      </c>
      <c r="P39" s="137"/>
      <c r="Q39" s="30"/>
      <c r="R39" s="84" t="e">
        <f>IF(VLOOKUP(C39,'Train Runs'!$A$13:$AE$9930,1,1)=C39,VLOOKUP(C39,'Train Runs'!$A$13:$AE$9930,31,1),NA())</f>
        <v>#N/A</v>
      </c>
      <c r="S39" s="87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-05-11T18:52:27-0600',mode:absolute,to:'2017-05-11T21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9" s="89" t="str">
        <f t="shared" si="1"/>
        <v>"C:\Program Files (x86)\AstroGrep\AstroGrep.exe" /e /r /s /spath="%USERPROFILE%\AppData\Local\Temp\OnboardLogs" /stypes="*4026*201705120*" /stext=" 02:.+((SYSTEM_STATE.+slice.+state.+changed )|(ment ac)|(multiple cpu faults)|(system.+state.+changed )|(\[timeout)|(PRM\|1\|D)|(kpr)|(kdp)|(train st.+moving)|(\|lc)|(penalty))"</v>
      </c>
      <c r="U39" s="9" t="str">
        <f t="shared" si="2"/>
        <v>4026</v>
      </c>
      <c r="V39" s="31">
        <f t="shared" si="3"/>
        <v>42867.100115740737</v>
      </c>
      <c r="W39" s="45" t="str">
        <f t="shared" si="4"/>
        <v>Other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{"issue":{"subject":"","project_id":79,"tracker_id":40,"status_id":1,"priority_id":2,"assigned_to_id":23,"start_date":"2017-05-11","description":"","custom_fields":[{"id":1,"name":"Subdivision","value":"Other"},{"id":4,"name":"Milepost","value":"0"},{"id":17,"name":"Train ID","value":"307-11"},{"id":16,"name":"Locomotive ID","value":"4026"},{"id":130,"name":"Impact","value":""},{"id":150,"name":"Time of Event (Mountain Time)","value":"20:24:10"},{"id":151,"name":"Denver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/cygdrive/c/Users/stu/AppData/Local/Temp/OnboardLogs/RTDC4026 --include="*4026*201705120*"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"%USERPROFILE%\AppData\Local\Temp\OnboardLogs"\RTDC4026\*4026*201705120* &gt;&gt; 2017-05-11-SliceDisagreementCheck.txt</v>
      </c>
      <c r="AE39" s="148" t="str">
        <f t="shared" si="9"/>
        <v>start /low /b %USERPROFILE%\Documents\GitHub\eaglep3\Utilities\DownloadLogsFromS3.py --loco 4026 --day 2017-05-12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62">
    <sortState ref="A7:AC64">
      <sortCondition ref="W7:W41"/>
      <sortCondition ref="E7:E41"/>
      <sortCondition ref="K7:K41"/>
      <sortCondition ref="F7:F41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A3" sqref="A3:A31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2017-05-11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132</v>
      </c>
      <c r="B3" s="42" t="str">
        <f>A3&amp;"-"&amp;IF(DAY(Variables!$A$2)&lt;10,0,"")&amp;DAY(Variables!$A$2)</f>
        <v>132-11</v>
      </c>
      <c r="C3" s="138"/>
      <c r="D3" s="156"/>
      <c r="E3" s="30" t="s">
        <v>1044</v>
      </c>
      <c r="F3" s="21" t="str">
        <f>VLOOKUP(B3,'Trips&amp;Operators'!$C$2:$E$10000,3,FALSE)</f>
        <v>BONDS</v>
      </c>
      <c r="G3" s="21" t="str">
        <f>VLOOKUP(B3,'Trips&amp;Operators'!$C$1:$F$10000,4,FALSE)</f>
        <v>REYNALDO</v>
      </c>
      <c r="H3" s="29" t="str">
        <f>VLOOKUP(B3,'Trips&amp;Operators'!$C$1:$H$10000,5,FALSE)</f>
        <v>BONDS REYNALDO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22132-11%22)),sort:!(Time.ISO8601,asc))</v>
      </c>
      <c r="J3" s="30" t="e">
        <f>VLOOKUP(B3,'Train Runs'!$A$13:$A$99927,1,FALSE)</f>
        <v>#N/A</v>
      </c>
    </row>
    <row r="4" spans="1:10" x14ac:dyDescent="0.25">
      <c r="A4" s="190">
        <v>134</v>
      </c>
      <c r="B4" s="42" t="str">
        <f>A4&amp;"-"&amp;IF(DAY(Variables!$A$2)&lt;10,0,"")&amp;DAY(Variables!$A$2)</f>
        <v>134-11</v>
      </c>
      <c r="C4" s="138"/>
      <c r="D4" s="156"/>
      <c r="E4" s="30" t="s">
        <v>1044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22134-11%22)),sort:!(Time.ISO8601,asc))</v>
      </c>
      <c r="J4" s="30" t="e">
        <f>VLOOKUP(B4,'Train Runs'!$A$13:$A$99927,1,FALSE)</f>
        <v>#N/A</v>
      </c>
    </row>
    <row r="5" spans="1:10" x14ac:dyDescent="0.25">
      <c r="A5" s="190">
        <v>136</v>
      </c>
      <c r="B5" s="42" t="str">
        <f>A5&amp;"-"&amp;IF(DAY(Variables!$A$2)&lt;10,0,"")&amp;DAY(Variables!$A$2)</f>
        <v>136-11</v>
      </c>
      <c r="C5" s="138"/>
      <c r="D5" s="156"/>
      <c r="E5" s="30" t="s">
        <v>1044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22136-11%22)),sort:!(Time.ISO8601,asc))</v>
      </c>
      <c r="J5" s="30" t="e">
        <f>VLOOKUP(B5,'Train Runs'!$A$13:$A$99927,1,FALSE)</f>
        <v>#N/A</v>
      </c>
    </row>
    <row r="6" spans="1:10" x14ac:dyDescent="0.25">
      <c r="A6" s="190">
        <v>143</v>
      </c>
      <c r="B6" s="42" t="str">
        <f>A6&amp;"-"&amp;IF(DAY(Variables!$A$2)&lt;10,0,"")&amp;DAY(Variables!$A$2)</f>
        <v>143-11</v>
      </c>
      <c r="C6" s="138"/>
      <c r="D6" s="156"/>
      <c r="E6" s="30" t="s">
        <v>1044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22143-11%22)),sort:!(Time.ISO8601,asc))</v>
      </c>
      <c r="J6" s="30" t="e">
        <f>VLOOKUP(B6,'Train Runs'!$A$13:$A$99927,1,FALSE)</f>
        <v>#N/A</v>
      </c>
    </row>
    <row r="7" spans="1:10" x14ac:dyDescent="0.25">
      <c r="A7" s="190">
        <v>145</v>
      </c>
      <c r="B7" s="42" t="str">
        <f>A7&amp;"-"&amp;IF(DAY(Variables!$A$2)&lt;10,0,"")&amp;DAY(Variables!$A$2)</f>
        <v>145-11</v>
      </c>
      <c r="C7" s="138"/>
      <c r="D7" s="156"/>
      <c r="E7" s="30" t="s">
        <v>1044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22145-11%22)),sort:!(Time.ISO8601,asc))</v>
      </c>
      <c r="J7" s="30" t="e">
        <f>VLOOKUP(B7,'Train Runs'!$A$13:$A$99927,1,FALSE)</f>
        <v>#N/A</v>
      </c>
    </row>
    <row r="8" spans="1:10" x14ac:dyDescent="0.25">
      <c r="A8" s="190">
        <v>147</v>
      </c>
      <c r="B8" s="42" t="str">
        <f>A8&amp;"-"&amp;IF(DAY(Variables!$A$2)&lt;10,0,"")&amp;DAY(Variables!$A$2)</f>
        <v>147-11</v>
      </c>
      <c r="C8" s="138"/>
      <c r="D8" s="156"/>
      <c r="E8" s="30" t="s">
        <v>1044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49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22147-11%22)),sort:!(Time.ISO8601,asc))</v>
      </c>
      <c r="J8" s="30" t="e">
        <f>VLOOKUP(B8,'Train Runs'!$A$13:$A$99927,1,FALSE)</f>
        <v>#N/A</v>
      </c>
    </row>
    <row r="9" spans="1:10" x14ac:dyDescent="0.25">
      <c r="A9" s="190">
        <v>149</v>
      </c>
      <c r="B9" s="42" t="str">
        <f>A9&amp;"-"&amp;IF(DAY(Variables!$A$2)&lt;10,0,"")&amp;DAY(Variables!$A$2)</f>
        <v>149-11</v>
      </c>
      <c r="C9" s="138"/>
      <c r="D9" s="156"/>
      <c r="E9" s="30" t="s">
        <v>1044</v>
      </c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22149-11%22)),sort:!(Time.ISO8601,asc))</v>
      </c>
      <c r="J9" s="30" t="e">
        <f>VLOOKUP(B9,'Train Runs'!$A$13:$A$99927,1,FALSE)</f>
        <v>#N/A</v>
      </c>
    </row>
    <row r="10" spans="1:10" x14ac:dyDescent="0.25">
      <c r="A10" s="190">
        <v>156</v>
      </c>
      <c r="B10" s="42" t="str">
        <f>A10&amp;"-"&amp;IF(DAY(Variables!$A$2)&lt;10,0,"")&amp;DAY(Variables!$A$2)</f>
        <v>156-11</v>
      </c>
      <c r="C10" s="138"/>
      <c r="D10" s="156"/>
      <c r="E10" s="30" t="s">
        <v>1044</v>
      </c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22156-11%22)),sort:!(Time.ISO8601,asc))</v>
      </c>
      <c r="J10" s="30" t="e">
        <f>VLOOKUP(B10,'Train Runs'!$A$13:$A$99927,1,FALSE)</f>
        <v>#N/A</v>
      </c>
    </row>
    <row r="11" spans="1:10" x14ac:dyDescent="0.25">
      <c r="A11" s="190">
        <v>157</v>
      </c>
      <c r="B11" s="42" t="str">
        <f>A11&amp;"-"&amp;IF(DAY(Variables!$A$2)&lt;10,0,"")&amp;DAY(Variables!$A$2)</f>
        <v>157-11</v>
      </c>
      <c r="C11" s="138"/>
      <c r="D11" s="156"/>
      <c r="E11" s="30" t="s">
        <v>1044</v>
      </c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22157-11%22)),sort:!(Time.ISO8601,asc))</v>
      </c>
      <c r="J11" s="30" t="e">
        <f>VLOOKUP(B11,'Train Runs'!$A$13:$A$99927,1,FALSE)</f>
        <v>#N/A</v>
      </c>
    </row>
    <row r="12" spans="1:10" x14ac:dyDescent="0.25">
      <c r="A12" s="190">
        <v>162</v>
      </c>
      <c r="B12" s="42" t="str">
        <f>A12&amp;"-"&amp;IF(DAY(Variables!$A$2)&lt;10,0,"")&amp;DAY(Variables!$A$2)</f>
        <v>162-11</v>
      </c>
      <c r="C12" s="138"/>
      <c r="D12" s="156"/>
      <c r="E12" s="30" t="s">
        <v>1044</v>
      </c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22162-11%22)),sort:!(Time.ISO8601,asc))</v>
      </c>
      <c r="J12" s="30" t="e">
        <f>VLOOKUP(B12,'Train Runs'!$A$13:$A$99927,1,FALSE)</f>
        <v>#N/A</v>
      </c>
    </row>
    <row r="13" spans="1:10" x14ac:dyDescent="0.25">
      <c r="A13" s="190">
        <v>164</v>
      </c>
      <c r="B13" s="42" t="str">
        <f>A13&amp;"-"&amp;IF(DAY(Variables!$A$2)&lt;10,0,"")&amp;DAY(Variables!$A$2)</f>
        <v>164-11</v>
      </c>
      <c r="C13" s="138"/>
      <c r="D13" s="156"/>
      <c r="E13" s="30" t="s">
        <v>1044</v>
      </c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22164-11%22)),sort:!(Time.ISO8601,asc))</v>
      </c>
      <c r="J13" s="30" t="e">
        <f>VLOOKUP(B13,'Train Runs'!$A$13:$A$99927,1,FALSE)</f>
        <v>#N/A</v>
      </c>
    </row>
    <row r="14" spans="1:10" x14ac:dyDescent="0.25">
      <c r="A14" s="190">
        <v>166</v>
      </c>
      <c r="B14" s="42" t="str">
        <f>A14&amp;"-"&amp;IF(DAY(Variables!$A$2)&lt;10,0,"")&amp;DAY(Variables!$A$2)</f>
        <v>166-11</v>
      </c>
      <c r="C14" s="138"/>
      <c r="D14" s="156"/>
      <c r="E14" s="30" t="s">
        <v>1044</v>
      </c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22166-11%22)),sort:!(Time.ISO8601,asc))</v>
      </c>
      <c r="J14" s="30" t="e">
        <f>VLOOKUP(B14,'Train Runs'!$A$13:$A$99927,1,FALSE)</f>
        <v>#N/A</v>
      </c>
    </row>
    <row r="15" spans="1:10" x14ac:dyDescent="0.25">
      <c r="A15" s="190">
        <v>167</v>
      </c>
      <c r="B15" s="42" t="str">
        <f>A15&amp;"-"&amp;IF(DAY(Variables!$A$2)&lt;10,0,"")&amp;DAY(Variables!$A$2)</f>
        <v>167-11</v>
      </c>
      <c r="C15" s="138"/>
      <c r="D15" s="156"/>
      <c r="E15" s="30" t="s">
        <v>1044</v>
      </c>
      <c r="F15" s="21" t="str">
        <f>VLOOKUP(B15,'Trips&amp;Operators'!$C$2:$E$10000,3,FALSE)</f>
        <v>THOMPSON</v>
      </c>
      <c r="G15" s="21" t="str">
        <f>VLOOKUP(B15,'Trips&amp;Operators'!$C$1:$F$10000,4,FALSE)</f>
        <v>LESTER</v>
      </c>
      <c r="H15" s="29" t="str">
        <f>VLOOKUP(B15,'Trips&amp;Operators'!$C$1:$H$10000,5,FALSE)</f>
        <v>THOMPSON LESTER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22167-11%22)),sort:!(Time.ISO8601,asc))</v>
      </c>
      <c r="J15" s="30" t="e">
        <f>VLOOKUP(B15,'Train Runs'!$A$13:$A$99927,1,FALSE)</f>
        <v>#N/A</v>
      </c>
    </row>
    <row r="16" spans="1:10" x14ac:dyDescent="0.25">
      <c r="A16" s="190">
        <v>168</v>
      </c>
      <c r="B16" s="42" t="str">
        <f>A16&amp;"-"&amp;IF(DAY(Variables!$A$2)&lt;10,0,"")&amp;DAY(Variables!$A$2)</f>
        <v>168-11</v>
      </c>
      <c r="C16" s="138"/>
      <c r="D16" s="156"/>
      <c r="E16" s="30" t="s">
        <v>1044</v>
      </c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22168-11%22)),sort:!(Time.ISO8601,asc))</v>
      </c>
      <c r="J16" s="30" t="e">
        <f>VLOOKUP(B16,'Train Runs'!$A$13:$A$99927,1,FALSE)</f>
        <v>#N/A</v>
      </c>
    </row>
    <row r="17" spans="1:10" x14ac:dyDescent="0.25">
      <c r="A17" s="190">
        <v>171</v>
      </c>
      <c r="B17" s="42" t="str">
        <f>A17&amp;"-"&amp;IF(DAY(Variables!$A$2)&lt;10,0,"")&amp;DAY(Variables!$A$2)</f>
        <v>171-11</v>
      </c>
      <c r="C17" s="138"/>
      <c r="D17" s="156"/>
      <c r="E17" s="30" t="s">
        <v>1044</v>
      </c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22171-11%22)),sort:!(Time.ISO8601,asc))</v>
      </c>
      <c r="J17" s="30" t="e">
        <f>VLOOKUP(B17,'Train Runs'!$A$13:$A$99927,1,FALSE)</f>
        <v>#N/A</v>
      </c>
    </row>
    <row r="18" spans="1:10" x14ac:dyDescent="0.25">
      <c r="A18" s="190">
        <v>172</v>
      </c>
      <c r="B18" s="42" t="str">
        <f>A18&amp;"-"&amp;IF(DAY(Variables!$A$2)&lt;10,0,"")&amp;DAY(Variables!$A$2)</f>
        <v>172-11</v>
      </c>
      <c r="C18" s="138"/>
      <c r="D18" s="156"/>
      <c r="E18" s="30" t="s">
        <v>1044</v>
      </c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22172-11%22)),sort:!(Time.ISO8601,asc))</v>
      </c>
      <c r="J18" s="30" t="e">
        <f>VLOOKUP(B18,'Train Runs'!$A$13:$A$99927,1,FALSE)</f>
        <v>#N/A</v>
      </c>
    </row>
    <row r="19" spans="1:10" x14ac:dyDescent="0.25">
      <c r="A19" s="190">
        <v>176</v>
      </c>
      <c r="B19" s="42" t="str">
        <f>A19&amp;"-"&amp;IF(DAY(Variables!$A$2)&lt;10,0,"")&amp;DAY(Variables!$A$2)</f>
        <v>176-11</v>
      </c>
      <c r="C19" s="138"/>
      <c r="D19" s="156"/>
      <c r="E19" s="30" t="s">
        <v>1044</v>
      </c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22176-11%22)),sort:!(Time.ISO8601,asc))</v>
      </c>
      <c r="J19" s="30" t="e">
        <f>VLOOKUP(B19,'Train Runs'!$A$13:$A$99927,1,FALSE)</f>
        <v>#N/A</v>
      </c>
    </row>
    <row r="20" spans="1:10" x14ac:dyDescent="0.25">
      <c r="A20" s="190">
        <v>177</v>
      </c>
      <c r="B20" s="42" t="str">
        <f>A20&amp;"-"&amp;IF(DAY(Variables!$A$2)&lt;10,0,"")&amp;DAY(Variables!$A$2)</f>
        <v>177-11</v>
      </c>
      <c r="C20" s="138"/>
      <c r="D20" s="156"/>
      <c r="E20" s="30" t="s">
        <v>1044</v>
      </c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22177-11%22)),sort:!(Time.ISO8601,asc))</v>
      </c>
      <c r="J20" s="30" t="e">
        <f>VLOOKUP(B20,'Train Runs'!$A$13:$A$99927,1,FALSE)</f>
        <v>#N/A</v>
      </c>
    </row>
    <row r="21" spans="1:10" x14ac:dyDescent="0.25">
      <c r="A21" s="190">
        <v>180</v>
      </c>
      <c r="B21" s="42" t="str">
        <f>A21&amp;"-"&amp;IF(DAY(Variables!$A$2)&lt;10,0,"")&amp;DAY(Variables!$A$2)</f>
        <v>180-11</v>
      </c>
      <c r="C21" s="138"/>
      <c r="D21" s="156"/>
      <c r="E21" s="30" t="s">
        <v>1044</v>
      </c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22180-11%22)),sort:!(Time.ISO8601,asc))</v>
      </c>
      <c r="J21" s="30" t="e">
        <f>VLOOKUP(B21,'Train Runs'!$A$13:$A$99927,1,FALSE)</f>
        <v>#N/A</v>
      </c>
    </row>
    <row r="22" spans="1:10" x14ac:dyDescent="0.25">
      <c r="A22" s="190">
        <v>181</v>
      </c>
      <c r="B22" s="42" t="str">
        <f>A22&amp;"-"&amp;IF(DAY(Variables!$A$2)&lt;10,0,"")&amp;DAY(Variables!$A$2)</f>
        <v>181-11</v>
      </c>
      <c r="C22" s="138"/>
      <c r="D22" s="156"/>
      <c r="E22" s="30" t="s">
        <v>1044</v>
      </c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22181-11%22)),sort:!(Time.ISO8601,asc))</v>
      </c>
      <c r="J22" s="30" t="e">
        <f>VLOOKUP(B22,'Train Runs'!$A$13:$A$99927,1,FALSE)</f>
        <v>#N/A</v>
      </c>
    </row>
    <row r="23" spans="1:10" x14ac:dyDescent="0.25">
      <c r="A23" s="190">
        <v>184</v>
      </c>
      <c r="B23" s="42" t="str">
        <f>A23&amp;"-"&amp;IF(DAY(Variables!$A$2)&lt;10,0,"")&amp;DAY(Variables!$A$2)</f>
        <v>184-11</v>
      </c>
      <c r="C23" s="138"/>
      <c r="D23" s="156"/>
      <c r="E23" s="30" t="s">
        <v>1044</v>
      </c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22184-11%22)),sort:!(Time.ISO8601,asc))</v>
      </c>
      <c r="J23" s="30" t="e">
        <f>VLOOKUP(B23,'Train Runs'!$A$13:$A$99927,1,FALSE)</f>
        <v>#N/A</v>
      </c>
    </row>
    <row r="24" spans="1:10" x14ac:dyDescent="0.25">
      <c r="A24" s="190">
        <v>185</v>
      </c>
      <c r="B24" s="42" t="str">
        <f>A24&amp;"-"&amp;IF(DAY(Variables!$A$2)&lt;10,0,"")&amp;DAY(Variables!$A$2)</f>
        <v>185-11</v>
      </c>
      <c r="C24" s="138"/>
      <c r="D24" s="156"/>
      <c r="E24" s="30" t="s">
        <v>1044</v>
      </c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22185-11%22)),sort:!(Time.ISO8601,asc))</v>
      </c>
      <c r="J24" s="30" t="e">
        <f>VLOOKUP(B24,'Train Runs'!$A$13:$A$99927,1,FALSE)</f>
        <v>#N/A</v>
      </c>
    </row>
    <row r="25" spans="1:10" x14ac:dyDescent="0.25">
      <c r="A25" s="190">
        <v>188</v>
      </c>
      <c r="B25" s="42" t="str">
        <f>A25&amp;"-"&amp;IF(DAY(Variables!$A$2)&lt;10,0,"")&amp;DAY(Variables!$A$2)</f>
        <v>188-11</v>
      </c>
      <c r="C25" s="138"/>
      <c r="D25" s="156"/>
      <c r="E25" s="30" t="s">
        <v>1044</v>
      </c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22188-11%22)),sort:!(Time.ISO8601,asc))</v>
      </c>
      <c r="J25" s="30" t="e">
        <f>VLOOKUP(B25,'Train Runs'!$A$13:$A$99927,1,FALSE)</f>
        <v>#N/A</v>
      </c>
    </row>
    <row r="26" spans="1:10" x14ac:dyDescent="0.25">
      <c r="A26" s="190">
        <v>189</v>
      </c>
      <c r="B26" s="42" t="str">
        <f>A26&amp;"-"&amp;IF(DAY(Variables!$A$2)&lt;10,0,"")&amp;DAY(Variables!$A$2)</f>
        <v>189-11</v>
      </c>
      <c r="C26" s="138"/>
      <c r="D26" s="156"/>
      <c r="E26" s="30" t="s">
        <v>1044</v>
      </c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22189-11%22)),sort:!(Time.ISO8601,asc))</v>
      </c>
      <c r="J26" s="30" t="e">
        <f>VLOOKUP(B26,'Train Runs'!$A$13:$A$99927,1,FALSE)</f>
        <v>#N/A</v>
      </c>
    </row>
    <row r="27" spans="1:10" x14ac:dyDescent="0.25">
      <c r="A27" s="190">
        <v>192</v>
      </c>
      <c r="B27" s="42" t="str">
        <f>A27&amp;"-"&amp;IF(DAY(Variables!$A$2)&lt;10,0,"")&amp;DAY(Variables!$A$2)</f>
        <v>192-11</v>
      </c>
      <c r="C27" s="138"/>
      <c r="D27" s="156"/>
      <c r="E27" s="30" t="s">
        <v>1044</v>
      </c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22192-11%22)),sort:!(Time.ISO8601,asc))</v>
      </c>
      <c r="J27" s="30" t="e">
        <f>VLOOKUP(B27,'Train Runs'!$A$13:$A$99927,1,FALSE)</f>
        <v>#N/A</v>
      </c>
    </row>
    <row r="28" spans="1:10" x14ac:dyDescent="0.25">
      <c r="A28" s="190">
        <v>193</v>
      </c>
      <c r="B28" s="42" t="str">
        <f>A28&amp;"-"&amp;IF(DAY(Variables!$A$2)&lt;10,0,"")&amp;DAY(Variables!$A$2)</f>
        <v>193-11</v>
      </c>
      <c r="C28" s="138"/>
      <c r="D28" s="156"/>
      <c r="E28" s="30" t="s">
        <v>1044</v>
      </c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22193-11%22)),sort:!(Time.ISO8601,asc))</v>
      </c>
      <c r="J28" s="30" t="e">
        <f>VLOOKUP(B28,'Train Runs'!$A$13:$A$99927,1,FALSE)</f>
        <v>#N/A</v>
      </c>
    </row>
    <row r="29" spans="1:10" x14ac:dyDescent="0.25">
      <c r="A29" s="190">
        <v>196</v>
      </c>
      <c r="B29" s="42" t="str">
        <f>A29&amp;"-"&amp;IF(DAY(Variables!$A$2)&lt;10,0,"")&amp;DAY(Variables!$A$2)</f>
        <v>196-11</v>
      </c>
      <c r="C29" s="138"/>
      <c r="D29" s="156"/>
      <c r="E29" s="30" t="s">
        <v>1044</v>
      </c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22196-11%22)),sort:!(Time.ISO8601,asc))</v>
      </c>
      <c r="J29" s="30" t="e">
        <f>VLOOKUP(B29,'Train Runs'!$A$13:$A$99927,1,FALSE)</f>
        <v>#N/A</v>
      </c>
    </row>
    <row r="30" spans="1:10" x14ac:dyDescent="0.25">
      <c r="A30" s="190">
        <v>197</v>
      </c>
      <c r="B30" s="42" t="str">
        <f>A30&amp;"-"&amp;IF(DAY(Variables!$A$2)&lt;10,0,"")&amp;DAY(Variables!$A$2)</f>
        <v>197-11</v>
      </c>
      <c r="C30" s="138"/>
      <c r="D30" s="156"/>
      <c r="E30" s="30" t="s">
        <v>1044</v>
      </c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22197-11%22)),sort:!(Time.ISO8601,asc))</v>
      </c>
      <c r="J30" s="30" t="e">
        <f>VLOOKUP(B30,'Train Runs'!$A$13:$A$99927,1,FALSE)</f>
        <v>#N/A</v>
      </c>
    </row>
    <row r="31" spans="1:10" x14ac:dyDescent="0.25">
      <c r="A31" s="190"/>
      <c r="B31" s="42" t="str">
        <f>A31&amp;"-"&amp;IF(DAY(Variables!$A$2)&lt;10,0,"")&amp;DAY(Variables!$A$2)</f>
        <v>-11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1" s="30" t="e">
        <f>VLOOKUP(B31,'Train Runs'!$A$13:$A$99927,1,FALSE)</f>
        <v>#N/A</v>
      </c>
    </row>
    <row r="32" spans="1:10" x14ac:dyDescent="0.25">
      <c r="A32" s="190"/>
      <c r="B32" s="42" t="str">
        <f>A32&amp;"-"&amp;IF(DAY(Variables!$A$2)&lt;10,0,"")&amp;DAY(Variables!$A$2)</f>
        <v>-11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2" s="30" t="e">
        <f>VLOOKUP(B32,'Train Runs'!$A$13:$A$99927,1,FALSE)</f>
        <v>#N/A</v>
      </c>
    </row>
    <row r="33" spans="1:10" x14ac:dyDescent="0.25">
      <c r="A33" s="190"/>
      <c r="B33" s="42" t="str">
        <f>A33&amp;"-"&amp;IF(DAY(Variables!$A$2)&lt;10,0,"")&amp;DAY(Variables!$A$2)</f>
        <v>-11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3" s="30" t="e">
        <f>VLOOKUP(B33,'Train Runs'!$A$13:$A$99927,1,FALSE)</f>
        <v>#N/A</v>
      </c>
    </row>
    <row r="34" spans="1:10" x14ac:dyDescent="0.25">
      <c r="A34" s="190"/>
      <c r="B34" s="42" t="str">
        <f>A34&amp;"-"&amp;IF(DAY(Variables!$A$2)&lt;10,0,"")&amp;DAY(Variables!$A$2)</f>
        <v>-11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4" s="30" t="e">
        <f>VLOOKUP(B34,'Train Runs'!$A$13:$A$99927,1,FALSE)</f>
        <v>#N/A</v>
      </c>
    </row>
    <row r="35" spans="1:10" x14ac:dyDescent="0.25">
      <c r="A35" s="190"/>
      <c r="B35" s="42" t="str">
        <f>A35&amp;"-"&amp;IF(DAY(Variables!$A$2)&lt;10,0,"")&amp;DAY(Variables!$A$2)</f>
        <v>-11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5" s="30" t="e">
        <f>VLOOKUP(B35,'Train Runs'!$A$13:$A$99927,1,FALSE)</f>
        <v>#N/A</v>
      </c>
    </row>
    <row r="36" spans="1:10" x14ac:dyDescent="0.25">
      <c r="A36" s="190"/>
      <c r="B36" s="42" t="str">
        <f>A36&amp;"-"&amp;IF(DAY(Variables!$A$2)&lt;10,0,"")&amp;DAY(Variables!$A$2)</f>
        <v>-11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6" s="30" t="e">
        <f>VLOOKUP(B36,'Train Runs'!$A$13:$A$99927,1,FALSE)</f>
        <v>#N/A</v>
      </c>
    </row>
    <row r="37" spans="1:10" x14ac:dyDescent="0.25">
      <c r="A37" s="190"/>
      <c r="B37" s="42" t="str">
        <f>A37&amp;"-"&amp;IF(DAY(Variables!$A$2)&lt;10,0,"")&amp;DAY(Variables!$A$2)</f>
        <v>-11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7" s="30" t="e">
        <f>VLOOKUP(B37,'Train Runs'!$A$13:$A$99927,1,FALSE)</f>
        <v>#N/A</v>
      </c>
    </row>
    <row r="38" spans="1:10" x14ac:dyDescent="0.25">
      <c r="A38" s="190"/>
      <c r="B38" s="42" t="str">
        <f>A38&amp;"-"&amp;IF(DAY(Variables!$A$2)&lt;10,0,"")&amp;DAY(Variables!$A$2)</f>
        <v>-11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8" s="30" t="e">
        <f>VLOOKUP(B38,'Train Runs'!$A$13:$A$99927,1,FALSE)</f>
        <v>#N/A</v>
      </c>
    </row>
    <row r="39" spans="1:10" x14ac:dyDescent="0.25">
      <c r="A39" s="190"/>
      <c r="B39" s="42" t="str">
        <f>A39&amp;"-"&amp;IF(DAY(Variables!$A$2)&lt;10,0,"")&amp;DAY(Variables!$A$2)</f>
        <v>-11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9" s="30" t="e">
        <f>VLOOKUP(B39,'Train Runs'!$A$13:$A$99927,1,FALSE)</f>
        <v>#N/A</v>
      </c>
    </row>
    <row r="40" spans="1:10" x14ac:dyDescent="0.25">
      <c r="A40" s="190"/>
      <c r="B40" s="42" t="str">
        <f>A40&amp;"-"&amp;IF(DAY(Variables!$A$2)&lt;10,0,"")&amp;DAY(Variables!$A$2)</f>
        <v>-11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0" s="30" t="e">
        <f>VLOOKUP(B40,'Train Runs'!$A$13:$A$99927,1,FALSE)</f>
        <v>#N/A</v>
      </c>
    </row>
    <row r="41" spans="1:10" x14ac:dyDescent="0.25">
      <c r="A41" s="190"/>
      <c r="B41" s="42" t="str">
        <f>A41&amp;"-"&amp;IF(DAY(Variables!$A$2)&lt;10,0,"")&amp;DAY(Variables!$A$2)</f>
        <v>-11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1" s="30" t="e">
        <f>VLOOKUP(B41,'Train Runs'!$A$13:$A$99927,1,FALSE)</f>
        <v>#N/A</v>
      </c>
    </row>
    <row r="42" spans="1:10" x14ac:dyDescent="0.25">
      <c r="A42" s="190"/>
      <c r="B42" s="42" t="str">
        <f>A42&amp;"-"&amp;IF(DAY(Variables!$A$2)&lt;10,0,"")&amp;DAY(Variables!$A$2)</f>
        <v>-11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2" s="30" t="e">
        <f>VLOOKUP(B42,'Train Runs'!$A$13:$A$99927,1,FALSE)</f>
        <v>#N/A</v>
      </c>
    </row>
    <row r="43" spans="1:10" x14ac:dyDescent="0.25">
      <c r="A43" s="190"/>
      <c r="B43" s="42" t="str">
        <f>A43&amp;"-"&amp;IF(DAY(Variables!$A$2)&lt;10,0,"")&amp;DAY(Variables!$A$2)</f>
        <v>-11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3" s="30" t="e">
        <f>VLOOKUP(B43,'Train Runs'!$A$13:$A$99927,1,FALSE)</f>
        <v>#N/A</v>
      </c>
    </row>
    <row r="44" spans="1:10" x14ac:dyDescent="0.25">
      <c r="A44" s="190"/>
      <c r="B44" s="42" t="str">
        <f>A44&amp;"-"&amp;IF(DAY(Variables!$A$2)&lt;10,0,"")&amp;DAY(Variables!$A$2)</f>
        <v>-11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4" s="30" t="e">
        <f>VLOOKUP(B44,'Train Runs'!$A$13:$A$99927,1,FALSE)</f>
        <v>#N/A</v>
      </c>
    </row>
    <row r="45" spans="1:10" x14ac:dyDescent="0.25">
      <c r="A45" s="190"/>
      <c r="B45" s="42" t="str">
        <f>A45&amp;"-"&amp;IF(DAY(Variables!$A$2)&lt;10,0,"")&amp;DAY(Variables!$A$2)</f>
        <v>-11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5" s="30" t="e">
        <f>VLOOKUP(B45,'Train Runs'!$A$13:$A$99927,1,FALSE)</f>
        <v>#N/A</v>
      </c>
    </row>
    <row r="46" spans="1:10" x14ac:dyDescent="0.25">
      <c r="A46" s="190"/>
      <c r="B46" s="42" t="str">
        <f>A46&amp;"-"&amp;IF(DAY(Variables!$A$2)&lt;10,0,"")&amp;DAY(Variables!$A$2)</f>
        <v>-11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6" s="30" t="e">
        <f>VLOOKUP(B46,'Train Runs'!$A$13:$A$99927,1,FALSE)</f>
        <v>#N/A</v>
      </c>
    </row>
    <row r="47" spans="1:10" x14ac:dyDescent="0.25">
      <c r="A47" s="190"/>
      <c r="B47" s="42" t="str">
        <f>A47&amp;"-"&amp;IF(DAY(Variables!$A$2)&lt;10,0,"")&amp;DAY(Variables!$A$2)</f>
        <v>-11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7" s="30" t="e">
        <f>VLOOKUP(B47,'Train Runs'!$A$13:$A$99927,1,FALSE)</f>
        <v>#N/A</v>
      </c>
    </row>
    <row r="48" spans="1:10" x14ac:dyDescent="0.25">
      <c r="A48" s="190"/>
      <c r="B48" s="42" t="str">
        <f>A48&amp;"-"&amp;IF(DAY(Variables!$A$2)&lt;10,0,"")&amp;DAY(Variables!$A$2)</f>
        <v>-11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8" s="30" t="e">
        <f>VLOOKUP(B48,'Train Runs'!$A$13:$A$99927,1,FALSE)</f>
        <v>#N/A</v>
      </c>
    </row>
    <row r="49" spans="1:10" x14ac:dyDescent="0.25">
      <c r="A49" s="190"/>
      <c r="B49" s="42" t="str">
        <f>A49&amp;"-"&amp;IF(DAY(Variables!$A$2)&lt;10,0,"")&amp;DAY(Variables!$A$2)</f>
        <v>-11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9" s="30" t="e">
        <f>VLOOKUP(B49,'Train Runs'!$A$13:$A$99927,1,FALSE)</f>
        <v>#N/A</v>
      </c>
    </row>
    <row r="50" spans="1:10" x14ac:dyDescent="0.25">
      <c r="A50" s="190"/>
      <c r="B50" s="42" t="str">
        <f>A50&amp;"-"&amp;IF(DAY(Variables!$A$2)&lt;10,0,"")&amp;DAY(Variables!$A$2)</f>
        <v>-11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ref="I50:I7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0" s="30" t="e">
        <f>VLOOKUP(B50,'Train Runs'!$A$13:$A$99927,1,FALSE)</f>
        <v>#N/A</v>
      </c>
    </row>
    <row r="51" spans="1:10" x14ac:dyDescent="0.25">
      <c r="A51" s="190"/>
      <c r="B51" s="42" t="str">
        <f>A51&amp;"-"&amp;IF(DAY(Variables!$A$2)&lt;10,0,"")&amp;DAY(Variables!$A$2)</f>
        <v>-11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1" s="30" t="e">
        <f>VLOOKUP(B51,'Train Runs'!$A$13:$A$99927,1,FALSE)</f>
        <v>#N/A</v>
      </c>
    </row>
    <row r="52" spans="1:10" x14ac:dyDescent="0.25">
      <c r="A52" s="190"/>
      <c r="B52" s="42" t="str">
        <f>A52&amp;"-"&amp;IF(DAY(Variables!$A$2)&lt;10,0,"")&amp;DAY(Variables!$A$2)</f>
        <v>-11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2" s="30" t="e">
        <f>VLOOKUP(B52,'Train Runs'!$A$13:$A$99927,1,FALSE)</f>
        <v>#N/A</v>
      </c>
    </row>
    <row r="53" spans="1:10" x14ac:dyDescent="0.25">
      <c r="A53" s="190"/>
      <c r="B53" s="42" t="str">
        <f>A53&amp;"-"&amp;IF(DAY(Variables!$A$2)&lt;10,0,"")&amp;DAY(Variables!$A$2)</f>
        <v>-11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3" s="30" t="e">
        <f>VLOOKUP(B53,'Train Runs'!$A$13:$A$99927,1,FALSE)</f>
        <v>#N/A</v>
      </c>
    </row>
    <row r="54" spans="1:10" x14ac:dyDescent="0.25">
      <c r="A54" s="190"/>
      <c r="B54" s="42" t="str">
        <f>A54&amp;"-"&amp;IF(DAY(Variables!$A$2)&lt;10,0,"")&amp;DAY(Variables!$A$2)</f>
        <v>-11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4" s="30" t="e">
        <f>VLOOKUP(B54,'Train Runs'!$A$13:$A$99927,1,FALSE)</f>
        <v>#N/A</v>
      </c>
    </row>
    <row r="55" spans="1:10" x14ac:dyDescent="0.25">
      <c r="A55" s="190"/>
      <c r="B55" s="42" t="str">
        <f>A55&amp;"-"&amp;IF(DAY(Variables!$A$2)&lt;10,0,"")&amp;DAY(Variables!$A$2)</f>
        <v>-11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5" s="30" t="e">
        <f>VLOOKUP(B55,'Train Runs'!$A$13:$A$99927,1,FALSE)</f>
        <v>#N/A</v>
      </c>
    </row>
    <row r="56" spans="1:10" x14ac:dyDescent="0.25">
      <c r="A56" s="190"/>
      <c r="B56" s="42" t="str">
        <f>A56&amp;"-"&amp;IF(DAY(Variables!$A$2)&lt;10,0,"")&amp;DAY(Variables!$A$2)</f>
        <v>-11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6" s="30" t="e">
        <f>VLOOKUP(B56,'Train Runs'!$A$13:$A$99927,1,FALSE)</f>
        <v>#N/A</v>
      </c>
    </row>
    <row r="57" spans="1:10" x14ac:dyDescent="0.25">
      <c r="A57" s="190"/>
      <c r="B57" s="42" t="str">
        <f>A57&amp;"-"&amp;IF(DAY(Variables!$A$2)&lt;10,0,"")&amp;DAY(Variables!$A$2)</f>
        <v>-11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7" s="30" t="e">
        <f>VLOOKUP(B57,'Train Runs'!$A$13:$A$99927,1,FALSE)</f>
        <v>#N/A</v>
      </c>
    </row>
    <row r="58" spans="1:10" x14ac:dyDescent="0.25">
      <c r="A58" s="190"/>
      <c r="B58" s="42" t="str">
        <f>A58&amp;"-"&amp;IF(DAY(Variables!$A$2)&lt;10,0,"")&amp;DAY(Variables!$A$2)</f>
        <v>-11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8" s="30" t="e">
        <f>VLOOKUP(B58,'Train Runs'!$A$13:$A$99927,1,FALSE)</f>
        <v>#N/A</v>
      </c>
    </row>
    <row r="59" spans="1:10" x14ac:dyDescent="0.25">
      <c r="A59" s="190"/>
      <c r="B59" s="42" t="str">
        <f>A59&amp;"-"&amp;IF(DAY(Variables!$A$2)&lt;10,0,"")&amp;DAY(Variables!$A$2)</f>
        <v>-11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9" s="30" t="e">
        <f>VLOOKUP(B59,'Train Runs'!$A$13:$A$99927,1,FALSE)</f>
        <v>#N/A</v>
      </c>
    </row>
    <row r="60" spans="1:10" x14ac:dyDescent="0.25">
      <c r="A60" s="190"/>
      <c r="B60" s="42" t="str">
        <f>A60&amp;"-"&amp;IF(DAY(Variables!$A$2)&lt;10,0,"")&amp;DAY(Variables!$A$2)</f>
        <v>-11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0" s="30" t="e">
        <f>VLOOKUP(B60,'Train Runs'!$A$13:$A$99927,1,FALSE)</f>
        <v>#N/A</v>
      </c>
    </row>
    <row r="61" spans="1:10" x14ac:dyDescent="0.25">
      <c r="A61" s="190"/>
      <c r="B61" s="42" t="str">
        <f>A61&amp;"-"&amp;IF(DAY(Variables!$A$2)&lt;10,0,"")&amp;DAY(Variables!$A$2)</f>
        <v>-11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1" s="30" t="e">
        <f>VLOOKUP(B61,'Train Runs'!$A$13:$A$99927,1,FALSE)</f>
        <v>#N/A</v>
      </c>
    </row>
    <row r="62" spans="1:10" x14ac:dyDescent="0.25">
      <c r="A62" s="190"/>
      <c r="B62" s="42" t="str">
        <f>A62&amp;"-"&amp;IF(DAY(Variables!$A$2)&lt;10,0,"")&amp;DAY(Variables!$A$2)</f>
        <v>-11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2" s="30" t="e">
        <f>VLOOKUP(B62,'Train Runs'!$A$13:$A$99927,1,FALSE)</f>
        <v>#N/A</v>
      </c>
    </row>
    <row r="63" spans="1:10" x14ac:dyDescent="0.25">
      <c r="A63" s="190"/>
      <c r="B63" s="42" t="str">
        <f>A63&amp;"-"&amp;IF(DAY(Variables!$A$2)&lt;10,0,"")&amp;DAY(Variables!$A$2)</f>
        <v>-11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3" s="30" t="e">
        <f>VLOOKUP(B63,'Train Runs'!$A$13:$A$99927,1,FALSE)</f>
        <v>#N/A</v>
      </c>
    </row>
    <row r="64" spans="1:10" x14ac:dyDescent="0.25">
      <c r="A64" s="190"/>
      <c r="B64" s="42" t="str">
        <f>A64&amp;"-"&amp;IF(DAY(Variables!$A$2)&lt;10,0,"")&amp;DAY(Variables!$A$2)</f>
        <v>-11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4" s="30" t="e">
        <f>VLOOKUP(B64,'Train Runs'!$A$13:$A$99927,1,FALSE)</f>
        <v>#N/A</v>
      </c>
    </row>
    <row r="65" spans="1:10" x14ac:dyDescent="0.25">
      <c r="A65" s="190"/>
      <c r="B65" s="42" t="str">
        <f>A65&amp;"-"&amp;IF(DAY(Variables!$A$2)&lt;10,0,"")&amp;DAY(Variables!$A$2)</f>
        <v>-11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5" s="30" t="e">
        <f>VLOOKUP(B65,'Train Runs'!$A$13:$A$99927,1,FALSE)</f>
        <v>#N/A</v>
      </c>
    </row>
    <row r="66" spans="1:10" x14ac:dyDescent="0.25">
      <c r="A66" s="190"/>
      <c r="B66" s="42" t="str">
        <f>A66&amp;"-"&amp;IF(DAY(Variables!$A$2)&lt;10,0,"")&amp;DAY(Variables!$A$2)</f>
        <v>-11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6" s="30" t="e">
        <f>VLOOKUP(B66,'Train Runs'!$A$13:$A$99927,1,FALSE)</f>
        <v>#N/A</v>
      </c>
    </row>
    <row r="67" spans="1:10" x14ac:dyDescent="0.25">
      <c r="A67" s="190"/>
      <c r="B67" s="42" t="str">
        <f>A67&amp;"-"&amp;IF(DAY(Variables!$A$2)&lt;10,0,"")&amp;DAY(Variables!$A$2)</f>
        <v>-11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7" s="30" t="e">
        <f>VLOOKUP(B67,'Train Runs'!$A$13:$A$99927,1,FALSE)</f>
        <v>#N/A</v>
      </c>
    </row>
    <row r="68" spans="1:10" x14ac:dyDescent="0.25">
      <c r="A68" s="190"/>
      <c r="B68" s="42" t="str">
        <f>A68&amp;"-"&amp;IF(DAY(Variables!$A$2)&lt;10,0,"")&amp;DAY(Variables!$A$2)</f>
        <v>-11</v>
      </c>
      <c r="C68" s="138"/>
      <c r="D68" s="156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8" s="30" t="e">
        <f>VLOOKUP(B68,'Train Runs'!$A$13:$A$99927,1,FALSE)</f>
        <v>#N/A</v>
      </c>
    </row>
    <row r="69" spans="1:10" x14ac:dyDescent="0.25">
      <c r="A69" s="190"/>
      <c r="B69" s="42" t="str">
        <f>A69&amp;"-"&amp;IF(DAY(Variables!$A$2)&lt;10,0,"")&amp;DAY(Variables!$A$2)</f>
        <v>-11</v>
      </c>
      <c r="C69" s="138"/>
      <c r="D69" s="156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9" s="30" t="e">
        <f>VLOOKUP(B69,'Train Runs'!$A$13:$A$99927,1,FALSE)</f>
        <v>#N/A</v>
      </c>
    </row>
    <row r="70" spans="1:10" x14ac:dyDescent="0.25">
      <c r="A70" s="190"/>
      <c r="B70" s="42" t="str">
        <f>A70&amp;"-"&amp;IF(DAY(Variables!$A$2)&lt;10,0,"")&amp;DAY(Variables!$A$2)</f>
        <v>-11</v>
      </c>
      <c r="C70" s="138"/>
      <c r="D70" s="156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0" s="30" t="e">
        <f>VLOOKUP(B70,'Train Runs'!$A$13:$A$99927,1,FALSE)</f>
        <v>#N/A</v>
      </c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90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90"/>
      <c r="B123" s="42"/>
      <c r="C123" s="138"/>
      <c r="D123" s="156"/>
      <c r="E123" s="30"/>
      <c r="F123" s="21"/>
      <c r="G123" s="21"/>
      <c r="H123" s="29"/>
      <c r="I123" s="45"/>
      <c r="J123" s="30"/>
    </row>
    <row r="124" spans="1:10" x14ac:dyDescent="0.25">
      <c r="A124" s="190"/>
      <c r="B124" s="42"/>
      <c r="C124" s="138"/>
      <c r="D124" s="156"/>
      <c r="E124" s="30"/>
      <c r="F124" s="21"/>
      <c r="G124" s="21"/>
      <c r="H124" s="29"/>
      <c r="I124" s="45"/>
      <c r="J124" s="30"/>
    </row>
    <row r="125" spans="1:10" x14ac:dyDescent="0.25">
      <c r="A125" s="190"/>
      <c r="B125" s="42"/>
      <c r="C125" s="138"/>
      <c r="D125" s="156"/>
      <c r="E125" s="30"/>
      <c r="F125" s="21"/>
      <c r="G125" s="21"/>
      <c r="H125" s="29"/>
      <c r="I125" s="45"/>
      <c r="J125" s="30"/>
    </row>
    <row r="126" spans="1:10" x14ac:dyDescent="0.25">
      <c r="A126" s="190"/>
      <c r="B126" s="42"/>
      <c r="C126" s="138"/>
      <c r="D126" s="156"/>
      <c r="E126" s="30"/>
      <c r="F126" s="21"/>
      <c r="G126" s="21"/>
      <c r="H126" s="29"/>
      <c r="I126" s="45"/>
      <c r="J126" s="30"/>
    </row>
  </sheetData>
  <autoFilter ref="A2:J7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8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42866.032870370371</v>
      </c>
      <c r="B2" s="20" t="s">
        <v>397</v>
      </c>
      <c r="C2" s="20" t="s">
        <v>516</v>
      </c>
      <c r="D2" s="141">
        <v>2270000</v>
      </c>
      <c r="E2" s="20" t="s">
        <v>510</v>
      </c>
      <c r="F2" s="20" t="s">
        <v>511</v>
      </c>
      <c r="G2" s="8" t="str">
        <f>E2&amp;" "&amp;F2</f>
        <v>BROWN JACOB</v>
      </c>
    </row>
    <row r="3" spans="1:7" x14ac:dyDescent="0.25">
      <c r="A3" s="8">
        <v>42866.03974537037</v>
      </c>
      <c r="B3" s="20" t="s">
        <v>417</v>
      </c>
      <c r="C3" s="20" t="s">
        <v>496</v>
      </c>
      <c r="D3" s="141">
        <v>3010000</v>
      </c>
      <c r="E3" s="20" t="s">
        <v>512</v>
      </c>
      <c r="F3" s="20" t="s">
        <v>513</v>
      </c>
      <c r="G3" s="8" t="str">
        <f t="shared" ref="G3:G66" si="0">E3&amp;" "&amp;F3</f>
        <v>SULLIVAN BRANDON</v>
      </c>
    </row>
    <row r="4" spans="1:7" x14ac:dyDescent="0.25">
      <c r="A4" s="8">
        <v>42866.047314814816</v>
      </c>
      <c r="B4" s="20" t="s">
        <v>458</v>
      </c>
      <c r="C4" s="20" t="s">
        <v>517</v>
      </c>
      <c r="D4" s="141">
        <v>3130000</v>
      </c>
      <c r="E4" s="20" t="s">
        <v>430</v>
      </c>
      <c r="F4" s="20" t="s">
        <v>431</v>
      </c>
      <c r="G4" s="8" t="str">
        <f t="shared" si="0"/>
        <v>ZEWDU DEREJE</v>
      </c>
    </row>
    <row r="5" spans="1:7" x14ac:dyDescent="0.25">
      <c r="A5" s="8">
        <v>42866.04824074074</v>
      </c>
      <c r="B5" s="20" t="s">
        <v>404</v>
      </c>
      <c r="C5" s="20" t="s">
        <v>496</v>
      </c>
      <c r="D5" s="141">
        <v>3010000</v>
      </c>
      <c r="E5" s="20" t="s">
        <v>512</v>
      </c>
      <c r="F5" s="20" t="s">
        <v>513</v>
      </c>
      <c r="G5" s="8" t="str">
        <f t="shared" si="0"/>
        <v>SULLIVAN BRANDON</v>
      </c>
    </row>
    <row r="6" spans="1:7" x14ac:dyDescent="0.25">
      <c r="A6" s="8">
        <v>42866.049907407411</v>
      </c>
      <c r="B6" s="20" t="s">
        <v>458</v>
      </c>
      <c r="C6" s="20" t="s">
        <v>517</v>
      </c>
      <c r="D6" s="141">
        <v>3130000</v>
      </c>
      <c r="E6" s="20" t="s">
        <v>430</v>
      </c>
      <c r="F6" s="20" t="s">
        <v>431</v>
      </c>
      <c r="G6" s="8" t="str">
        <f t="shared" si="0"/>
        <v>ZEWDU DEREJE</v>
      </c>
    </row>
    <row r="7" spans="1:7" x14ac:dyDescent="0.25">
      <c r="A7" s="8">
        <v>42866.05673611111</v>
      </c>
      <c r="B7" s="20" t="s">
        <v>369</v>
      </c>
      <c r="C7" s="20" t="s">
        <v>518</v>
      </c>
      <c r="D7" s="141">
        <v>1810000</v>
      </c>
      <c r="E7" s="20" t="s">
        <v>401</v>
      </c>
      <c r="F7" s="20" t="s">
        <v>193</v>
      </c>
      <c r="G7" s="8" t="str">
        <f t="shared" si="0"/>
        <v>NEWELL JAMES</v>
      </c>
    </row>
    <row r="8" spans="1:7" x14ac:dyDescent="0.25">
      <c r="A8" s="8">
        <v>42866.061620370368</v>
      </c>
      <c r="B8" s="20" t="s">
        <v>417</v>
      </c>
      <c r="C8" s="20" t="s">
        <v>496</v>
      </c>
      <c r="D8" s="141">
        <v>3010000</v>
      </c>
      <c r="E8" s="20" t="s">
        <v>512</v>
      </c>
      <c r="F8" s="20" t="s">
        <v>513</v>
      </c>
      <c r="G8" s="8" t="str">
        <f t="shared" si="0"/>
        <v>SULLIVAN BRANDON</v>
      </c>
    </row>
    <row r="9" spans="1:7" ht="15.75" thickBot="1" x14ac:dyDescent="0.3">
      <c r="A9" s="24">
        <v>42866.062314814815</v>
      </c>
      <c r="B9" s="20" t="s">
        <v>417</v>
      </c>
      <c r="C9" s="20" t="s">
        <v>496</v>
      </c>
      <c r="D9" s="141">
        <v>3010000</v>
      </c>
      <c r="E9" s="20" t="s">
        <v>512</v>
      </c>
      <c r="F9" s="20" t="s">
        <v>513</v>
      </c>
      <c r="G9" s="8" t="str">
        <f t="shared" si="0"/>
        <v>SULLIVAN BRANDON</v>
      </c>
    </row>
    <row r="10" spans="1:7" x14ac:dyDescent="0.25">
      <c r="A10" s="8">
        <v>42866.063356481478</v>
      </c>
      <c r="B10" s="20" t="s">
        <v>417</v>
      </c>
      <c r="C10" s="20" t="s">
        <v>496</v>
      </c>
      <c r="D10" s="141">
        <v>3010000</v>
      </c>
      <c r="E10" s="20" t="s">
        <v>512</v>
      </c>
      <c r="F10" s="20" t="s">
        <v>513</v>
      </c>
      <c r="G10" s="8" t="str">
        <f t="shared" si="0"/>
        <v>SULLIVAN BRANDON</v>
      </c>
    </row>
    <row r="11" spans="1:7" x14ac:dyDescent="0.25">
      <c r="A11" s="8">
        <v>42866.069861111115</v>
      </c>
      <c r="B11" s="20" t="s">
        <v>399</v>
      </c>
      <c r="C11" s="20" t="s">
        <v>519</v>
      </c>
      <c r="D11" s="141">
        <v>2270000</v>
      </c>
      <c r="E11" s="20" t="s">
        <v>510</v>
      </c>
      <c r="F11" s="20" t="s">
        <v>511</v>
      </c>
      <c r="G11" s="8" t="str">
        <f t="shared" si="0"/>
        <v>BROWN JACOB</v>
      </c>
    </row>
    <row r="12" spans="1:7" x14ac:dyDescent="0.25">
      <c r="A12" s="8">
        <v>42866.071180555555</v>
      </c>
      <c r="B12" s="20" t="s">
        <v>404</v>
      </c>
      <c r="C12" s="20" t="s">
        <v>496</v>
      </c>
      <c r="D12" s="141">
        <v>3010000</v>
      </c>
      <c r="E12" s="20" t="s">
        <v>512</v>
      </c>
      <c r="F12" s="20" t="s">
        <v>513</v>
      </c>
      <c r="G12" s="8" t="str">
        <f t="shared" si="0"/>
        <v>SULLIVAN BRANDON</v>
      </c>
    </row>
    <row r="13" spans="1:7" x14ac:dyDescent="0.25">
      <c r="A13" s="8">
        <v>42866.085960648146</v>
      </c>
      <c r="B13" s="20" t="s">
        <v>417</v>
      </c>
      <c r="C13" s="20" t="s">
        <v>520</v>
      </c>
      <c r="D13" s="141">
        <v>2970000</v>
      </c>
      <c r="E13" s="20" t="s">
        <v>425</v>
      </c>
      <c r="F13" s="20" t="s">
        <v>426</v>
      </c>
      <c r="G13" s="8" t="str">
        <f t="shared" si="0"/>
        <v>GUZMAN DANNY</v>
      </c>
    </row>
    <row r="14" spans="1:7" x14ac:dyDescent="0.25">
      <c r="A14" s="8">
        <v>42866.09002314815</v>
      </c>
      <c r="B14" s="20" t="s">
        <v>365</v>
      </c>
      <c r="C14" s="20" t="s">
        <v>521</v>
      </c>
      <c r="D14" s="141">
        <v>1810000</v>
      </c>
      <c r="E14" s="20" t="s">
        <v>401</v>
      </c>
      <c r="F14" s="20" t="s">
        <v>193</v>
      </c>
      <c r="G14" s="8" t="str">
        <f t="shared" si="0"/>
        <v>NEWELL JAMES</v>
      </c>
    </row>
    <row r="15" spans="1:7" x14ac:dyDescent="0.25">
      <c r="A15" s="8">
        <v>42866.094224537039</v>
      </c>
      <c r="B15" s="20" t="s">
        <v>404</v>
      </c>
      <c r="C15" s="20" t="s">
        <v>522</v>
      </c>
      <c r="D15" s="141">
        <v>2970000</v>
      </c>
      <c r="E15" s="20" t="s">
        <v>425</v>
      </c>
      <c r="F15" s="20" t="s">
        <v>426</v>
      </c>
      <c r="G15" s="8" t="str">
        <f t="shared" si="0"/>
        <v>GUZMAN DANNY</v>
      </c>
    </row>
    <row r="16" spans="1:7" x14ac:dyDescent="0.25">
      <c r="A16" s="8">
        <v>42866.104178240741</v>
      </c>
      <c r="B16" s="20" t="s">
        <v>417</v>
      </c>
      <c r="C16" s="20" t="s">
        <v>520</v>
      </c>
      <c r="D16" s="141">
        <v>2970000</v>
      </c>
      <c r="E16" s="20" t="s">
        <v>425</v>
      </c>
      <c r="F16" s="20" t="s">
        <v>426</v>
      </c>
      <c r="G16" s="8" t="str">
        <f t="shared" si="0"/>
        <v>GUZMAN DANNY</v>
      </c>
    </row>
    <row r="17" spans="1:7" x14ac:dyDescent="0.25">
      <c r="A17" s="8">
        <v>42866.112222222226</v>
      </c>
      <c r="B17" s="20" t="s">
        <v>404</v>
      </c>
      <c r="C17" s="20" t="s">
        <v>522</v>
      </c>
      <c r="D17" s="141">
        <v>2970000</v>
      </c>
      <c r="E17" s="20" t="s">
        <v>425</v>
      </c>
      <c r="F17" s="20" t="s">
        <v>426</v>
      </c>
      <c r="G17" s="8" t="str">
        <f t="shared" si="0"/>
        <v>GUZMAN DANNY</v>
      </c>
    </row>
    <row r="18" spans="1:7" x14ac:dyDescent="0.25">
      <c r="A18" s="8">
        <v>42866.116770833331</v>
      </c>
      <c r="B18" s="20" t="s">
        <v>494</v>
      </c>
      <c r="C18" s="20" t="s">
        <v>603</v>
      </c>
      <c r="D18" s="141">
        <v>2550000</v>
      </c>
      <c r="E18" s="20" t="s">
        <v>497</v>
      </c>
      <c r="F18" s="20" t="s">
        <v>498</v>
      </c>
      <c r="G18" s="8" t="str">
        <f t="shared" si="0"/>
        <v>BADERTSCHER DIANE</v>
      </c>
    </row>
    <row r="19" spans="1:7" x14ac:dyDescent="0.25">
      <c r="A19" s="8">
        <v>42866.123113425929</v>
      </c>
      <c r="B19" s="20" t="s">
        <v>417</v>
      </c>
      <c r="C19" s="20" t="s">
        <v>520</v>
      </c>
      <c r="D19" s="141">
        <v>2970000</v>
      </c>
      <c r="E19" s="20" t="s">
        <v>425</v>
      </c>
      <c r="F19" s="20" t="s">
        <v>426</v>
      </c>
      <c r="G19" s="8" t="str">
        <f t="shared" si="0"/>
        <v>GUZMAN DANNY</v>
      </c>
    </row>
    <row r="20" spans="1:7" x14ac:dyDescent="0.25">
      <c r="A20" s="8">
        <v>42866.130833333336</v>
      </c>
      <c r="B20" s="20" t="s">
        <v>404</v>
      </c>
      <c r="C20" s="20" t="s">
        <v>522</v>
      </c>
      <c r="D20" s="141">
        <v>2970000</v>
      </c>
      <c r="E20" s="20" t="s">
        <v>425</v>
      </c>
      <c r="F20" s="20" t="s">
        <v>426</v>
      </c>
      <c r="G20" s="8" t="str">
        <f t="shared" si="0"/>
        <v>GUZMAN DANNY</v>
      </c>
    </row>
    <row r="21" spans="1:7" x14ac:dyDescent="0.25">
      <c r="A21" s="8">
        <v>42866.133067129631</v>
      </c>
      <c r="B21" s="20" t="s">
        <v>374</v>
      </c>
      <c r="C21" s="20" t="s">
        <v>604</v>
      </c>
      <c r="D21" s="141">
        <v>2550000</v>
      </c>
      <c r="E21" s="20" t="s">
        <v>497</v>
      </c>
      <c r="F21" s="20" t="s">
        <v>498</v>
      </c>
      <c r="G21" s="8" t="str">
        <f t="shared" si="0"/>
        <v>BADERTSCHER DIANE</v>
      </c>
    </row>
    <row r="22" spans="1:7" x14ac:dyDescent="0.25">
      <c r="A22" s="26">
        <v>42866.137002314812</v>
      </c>
      <c r="B22" s="20" t="s">
        <v>492</v>
      </c>
      <c r="C22" s="20" t="s">
        <v>605</v>
      </c>
      <c r="D22" s="141">
        <v>940000</v>
      </c>
      <c r="E22" s="20" t="s">
        <v>415</v>
      </c>
      <c r="F22" s="20" t="s">
        <v>416</v>
      </c>
      <c r="G22" s="8" t="str">
        <f t="shared" si="0"/>
        <v>BONDS REYNALDO</v>
      </c>
    </row>
    <row r="23" spans="1:7" x14ac:dyDescent="0.25">
      <c r="A23" s="8">
        <v>42866.138449074075</v>
      </c>
      <c r="B23" s="20" t="s">
        <v>492</v>
      </c>
      <c r="C23" s="20" t="s">
        <v>605</v>
      </c>
      <c r="D23" s="141">
        <v>940000</v>
      </c>
      <c r="E23" s="20" t="s">
        <v>415</v>
      </c>
      <c r="F23" s="20" t="s">
        <v>416</v>
      </c>
      <c r="G23" s="8" t="str">
        <f t="shared" si="0"/>
        <v>BONDS REYNALDO</v>
      </c>
    </row>
    <row r="24" spans="1:7" x14ac:dyDescent="0.25">
      <c r="A24" s="8">
        <v>42866.141122685185</v>
      </c>
      <c r="B24" s="20" t="s">
        <v>417</v>
      </c>
      <c r="C24" s="20" t="s">
        <v>520</v>
      </c>
      <c r="D24" s="141">
        <v>2970000</v>
      </c>
      <c r="E24" s="20" t="s">
        <v>425</v>
      </c>
      <c r="F24" s="20" t="s">
        <v>426</v>
      </c>
      <c r="G24" s="8" t="str">
        <f t="shared" si="0"/>
        <v>GUZMAN DANNY</v>
      </c>
    </row>
    <row r="25" spans="1:7" x14ac:dyDescent="0.25">
      <c r="A25" s="8">
        <v>42866.149270833332</v>
      </c>
      <c r="B25" s="20" t="s">
        <v>404</v>
      </c>
      <c r="C25" s="20" t="s">
        <v>522</v>
      </c>
      <c r="D25" s="141">
        <v>2970000</v>
      </c>
      <c r="E25" s="20" t="s">
        <v>425</v>
      </c>
      <c r="F25" s="20" t="s">
        <v>426</v>
      </c>
      <c r="G25" s="8" t="str">
        <f t="shared" si="0"/>
        <v>GUZMAN DANNY</v>
      </c>
    </row>
    <row r="26" spans="1:7" x14ac:dyDescent="0.25">
      <c r="A26" s="8">
        <v>42866.14943287037</v>
      </c>
      <c r="B26" s="20" t="s">
        <v>343</v>
      </c>
      <c r="C26" s="20" t="s">
        <v>606</v>
      </c>
      <c r="D26" s="141">
        <v>940000</v>
      </c>
      <c r="E26" s="20" t="s">
        <v>415</v>
      </c>
      <c r="F26" s="20" t="s">
        <v>416</v>
      </c>
      <c r="G26" s="8" t="str">
        <f t="shared" si="0"/>
        <v>BONDS REYNALDO</v>
      </c>
    </row>
    <row r="27" spans="1:7" x14ac:dyDescent="0.25">
      <c r="A27" s="8">
        <v>42866.150960648149</v>
      </c>
      <c r="B27" s="20" t="s">
        <v>343</v>
      </c>
      <c r="C27" s="20" t="s">
        <v>606</v>
      </c>
      <c r="D27" s="141">
        <v>940000</v>
      </c>
      <c r="E27" s="20" t="s">
        <v>415</v>
      </c>
      <c r="F27" s="20" t="s">
        <v>416</v>
      </c>
      <c r="G27" s="8" t="str">
        <f t="shared" si="0"/>
        <v>BONDS REYNALDO</v>
      </c>
    </row>
    <row r="28" spans="1:7" x14ac:dyDescent="0.25">
      <c r="A28" s="8">
        <v>42866.159409722219</v>
      </c>
      <c r="B28" s="20" t="s">
        <v>417</v>
      </c>
      <c r="C28" s="20" t="s">
        <v>520</v>
      </c>
      <c r="D28" s="141">
        <v>2970000</v>
      </c>
      <c r="E28" s="20" t="s">
        <v>425</v>
      </c>
      <c r="F28" s="20" t="s">
        <v>426</v>
      </c>
      <c r="G28" s="8" t="str">
        <f t="shared" si="0"/>
        <v>GUZMAN DANNY</v>
      </c>
    </row>
    <row r="29" spans="1:7" x14ac:dyDescent="0.25">
      <c r="A29" s="8">
        <v>42866.161006944443</v>
      </c>
      <c r="B29" s="20" t="s">
        <v>357</v>
      </c>
      <c r="C29" s="20" t="s">
        <v>607</v>
      </c>
      <c r="D29" s="141">
        <v>2140000</v>
      </c>
      <c r="E29" s="20" t="s">
        <v>608</v>
      </c>
      <c r="F29" s="20" t="s">
        <v>609</v>
      </c>
      <c r="G29" s="8" t="str">
        <f t="shared" si="0"/>
        <v>ROBINSON KADDIBA</v>
      </c>
    </row>
    <row r="30" spans="1:7" x14ac:dyDescent="0.25">
      <c r="A30" s="8">
        <v>42866.16741898148</v>
      </c>
      <c r="B30" s="20" t="s">
        <v>404</v>
      </c>
      <c r="C30" s="20" t="s">
        <v>522</v>
      </c>
      <c r="D30" s="141">
        <v>2970000</v>
      </c>
      <c r="E30" s="20" t="s">
        <v>425</v>
      </c>
      <c r="F30" s="20" t="s">
        <v>426</v>
      </c>
      <c r="G30" s="8" t="str">
        <f t="shared" si="0"/>
        <v>GUZMAN DANNY</v>
      </c>
    </row>
    <row r="31" spans="1:7" x14ac:dyDescent="0.25">
      <c r="A31" s="8">
        <v>42866.170624999999</v>
      </c>
      <c r="B31" s="20" t="s">
        <v>494</v>
      </c>
      <c r="C31" s="20" t="s">
        <v>571</v>
      </c>
      <c r="D31" s="141">
        <v>2550000</v>
      </c>
      <c r="E31" s="20" t="s">
        <v>497</v>
      </c>
      <c r="F31" s="20" t="s">
        <v>498</v>
      </c>
      <c r="G31" s="8" t="str">
        <f t="shared" si="0"/>
        <v>BADERTSCHER DIANE</v>
      </c>
    </row>
    <row r="32" spans="1:7" x14ac:dyDescent="0.25">
      <c r="A32" s="8">
        <v>42866.171261574076</v>
      </c>
      <c r="B32" s="20" t="s">
        <v>610</v>
      </c>
      <c r="C32" s="20" t="s">
        <v>611</v>
      </c>
      <c r="D32" s="141">
        <v>1290000</v>
      </c>
      <c r="E32" s="20" t="s">
        <v>612</v>
      </c>
      <c r="F32" s="20" t="s">
        <v>613</v>
      </c>
      <c r="G32" s="8" t="str">
        <f t="shared" si="0"/>
        <v>COOLAHAN JOHN</v>
      </c>
    </row>
    <row r="33" spans="1:7" x14ac:dyDescent="0.25">
      <c r="A33" s="8">
        <v>42866.173020833332</v>
      </c>
      <c r="B33" s="20" t="s">
        <v>456</v>
      </c>
      <c r="C33" s="20" t="s">
        <v>570</v>
      </c>
      <c r="D33" s="141">
        <v>2140000</v>
      </c>
      <c r="E33" s="20" t="s">
        <v>608</v>
      </c>
      <c r="F33" s="20" t="s">
        <v>609</v>
      </c>
      <c r="G33" s="8" t="str">
        <f t="shared" si="0"/>
        <v>ROBINSON KADDIBA</v>
      </c>
    </row>
    <row r="34" spans="1:7" x14ac:dyDescent="0.25">
      <c r="A34" s="8">
        <v>42866.18204861111</v>
      </c>
      <c r="B34" s="20" t="s">
        <v>417</v>
      </c>
      <c r="C34" s="20" t="s">
        <v>614</v>
      </c>
      <c r="D34" s="141">
        <v>1260000</v>
      </c>
      <c r="E34" s="20" t="s">
        <v>615</v>
      </c>
      <c r="F34" s="20" t="s">
        <v>616</v>
      </c>
      <c r="G34" s="8" t="str">
        <f t="shared" si="0"/>
        <v>ACKERMAN JARED</v>
      </c>
    </row>
    <row r="35" spans="1:7" x14ac:dyDescent="0.25">
      <c r="A35" s="8">
        <v>42866.183645833335</v>
      </c>
      <c r="B35" s="20" t="s">
        <v>579</v>
      </c>
      <c r="C35" s="20" t="s">
        <v>617</v>
      </c>
      <c r="D35" s="141">
        <v>900000</v>
      </c>
      <c r="E35" s="20" t="s">
        <v>462</v>
      </c>
      <c r="F35" s="20" t="s">
        <v>463</v>
      </c>
      <c r="G35" s="8" t="str">
        <f t="shared" si="0"/>
        <v>ROCHA YAOTL</v>
      </c>
    </row>
    <row r="36" spans="1:7" x14ac:dyDescent="0.25">
      <c r="A36" s="8">
        <v>42866.185219907406</v>
      </c>
      <c r="B36" s="20" t="s">
        <v>618</v>
      </c>
      <c r="C36" s="20" t="s">
        <v>619</v>
      </c>
      <c r="D36" s="141">
        <v>1290000</v>
      </c>
      <c r="E36" s="20" t="s">
        <v>612</v>
      </c>
      <c r="F36" s="20" t="s">
        <v>613</v>
      </c>
      <c r="G36" s="8" t="str">
        <f t="shared" si="0"/>
        <v>COOLAHAN JOHN</v>
      </c>
    </row>
    <row r="37" spans="1:7" x14ac:dyDescent="0.25">
      <c r="A37" s="8">
        <v>42866.185879629629</v>
      </c>
      <c r="B37" s="20" t="s">
        <v>618</v>
      </c>
      <c r="C37" s="20" t="s">
        <v>620</v>
      </c>
      <c r="D37" s="141">
        <v>1290000</v>
      </c>
      <c r="E37" s="20" t="s">
        <v>612</v>
      </c>
      <c r="F37" s="20" t="s">
        <v>613</v>
      </c>
      <c r="G37" s="8" t="str">
        <f t="shared" si="0"/>
        <v>COOLAHAN JOHN</v>
      </c>
    </row>
    <row r="38" spans="1:7" x14ac:dyDescent="0.25">
      <c r="A38" s="8">
        <v>42866.191041666665</v>
      </c>
      <c r="B38" s="20" t="s">
        <v>404</v>
      </c>
      <c r="C38" s="20" t="s">
        <v>572</v>
      </c>
      <c r="D38" s="141">
        <v>1260000</v>
      </c>
      <c r="E38" s="20" t="s">
        <v>615</v>
      </c>
      <c r="F38" s="20" t="s">
        <v>616</v>
      </c>
      <c r="G38" s="8" t="str">
        <f t="shared" si="0"/>
        <v>ACKERMAN JARED</v>
      </c>
    </row>
    <row r="39" spans="1:7" x14ac:dyDescent="0.25">
      <c r="A39" s="8">
        <v>42866.191493055558</v>
      </c>
      <c r="B39" s="20" t="s">
        <v>492</v>
      </c>
      <c r="C39" s="20" t="s">
        <v>621</v>
      </c>
      <c r="D39" s="141">
        <v>940000</v>
      </c>
      <c r="E39" s="20" t="s">
        <v>415</v>
      </c>
      <c r="F39" s="20" t="s">
        <v>416</v>
      </c>
      <c r="G39" s="8" t="str">
        <f t="shared" si="0"/>
        <v>BONDS REYNALDO</v>
      </c>
    </row>
    <row r="40" spans="1:7" x14ac:dyDescent="0.25">
      <c r="A40" s="8">
        <v>42866.196226851855</v>
      </c>
      <c r="B40" s="25" t="s">
        <v>594</v>
      </c>
      <c r="C40" s="20" t="s">
        <v>622</v>
      </c>
      <c r="D40" s="141">
        <v>900000</v>
      </c>
      <c r="E40" s="20" t="s">
        <v>462</v>
      </c>
      <c r="F40" s="20" t="s">
        <v>463</v>
      </c>
      <c r="G40" s="8" t="str">
        <f t="shared" si="0"/>
        <v>ROCHA YAOTL</v>
      </c>
    </row>
    <row r="41" spans="1:7" x14ac:dyDescent="0.25">
      <c r="A41" s="8">
        <v>42866.198182870372</v>
      </c>
      <c r="B41" s="20" t="s">
        <v>459</v>
      </c>
      <c r="C41" s="20" t="s">
        <v>623</v>
      </c>
      <c r="D41" s="141">
        <v>2560000</v>
      </c>
      <c r="E41" s="20" t="s">
        <v>624</v>
      </c>
      <c r="F41" s="20" t="s">
        <v>400</v>
      </c>
      <c r="G41" s="8" t="str">
        <f t="shared" si="0"/>
        <v>MACDONALD THOMAS</v>
      </c>
    </row>
    <row r="42" spans="1:7" x14ac:dyDescent="0.25">
      <c r="A42" s="8">
        <v>42866.200613425928</v>
      </c>
      <c r="B42" s="20" t="s">
        <v>417</v>
      </c>
      <c r="C42" s="20" t="s">
        <v>614</v>
      </c>
      <c r="D42" s="141">
        <v>1260000</v>
      </c>
      <c r="E42" s="20" t="s">
        <v>615</v>
      </c>
      <c r="F42" s="20" t="s">
        <v>616</v>
      </c>
      <c r="G42" s="8" t="str">
        <f t="shared" si="0"/>
        <v>ACKERMAN JARED</v>
      </c>
    </row>
    <row r="43" spans="1:7" x14ac:dyDescent="0.25">
      <c r="A43" s="8">
        <v>42866.20789351852</v>
      </c>
      <c r="B43" s="20" t="s">
        <v>374</v>
      </c>
      <c r="C43" s="20" t="s">
        <v>625</v>
      </c>
      <c r="D43" s="141">
        <v>1830000</v>
      </c>
      <c r="E43" s="20" t="s">
        <v>499</v>
      </c>
      <c r="F43" s="20" t="s">
        <v>500</v>
      </c>
      <c r="G43" s="8" t="str">
        <f t="shared" si="0"/>
        <v>YORK EDGAR</v>
      </c>
    </row>
    <row r="44" spans="1:7" x14ac:dyDescent="0.25">
      <c r="A44" s="8">
        <v>42866.207905092589</v>
      </c>
      <c r="B44" s="20" t="s">
        <v>404</v>
      </c>
      <c r="C44" s="20" t="s">
        <v>572</v>
      </c>
      <c r="D44" s="141">
        <v>1260000</v>
      </c>
      <c r="E44" s="20" t="s">
        <v>615</v>
      </c>
      <c r="F44" s="20" t="s">
        <v>616</v>
      </c>
      <c r="G44" s="8" t="str">
        <f t="shared" si="0"/>
        <v>ACKERMAN JARED</v>
      </c>
    </row>
    <row r="45" spans="1:7" x14ac:dyDescent="0.25">
      <c r="A45" s="8">
        <v>42866.209664351853</v>
      </c>
      <c r="B45" s="20" t="s">
        <v>457</v>
      </c>
      <c r="C45" s="20" t="s">
        <v>626</v>
      </c>
      <c r="D45" s="141">
        <v>2560000</v>
      </c>
      <c r="E45" s="20" t="s">
        <v>624</v>
      </c>
      <c r="F45" s="20" t="s">
        <v>400</v>
      </c>
      <c r="G45" s="8" t="str">
        <f t="shared" si="0"/>
        <v>MACDONALD THOMAS</v>
      </c>
    </row>
    <row r="46" spans="1:7" x14ac:dyDescent="0.25">
      <c r="A46" s="8">
        <v>42866.210833333331</v>
      </c>
      <c r="B46" s="20" t="s">
        <v>503</v>
      </c>
      <c r="C46" s="20" t="s">
        <v>627</v>
      </c>
      <c r="D46" s="141">
        <v>2550000</v>
      </c>
      <c r="E46" s="20" t="s">
        <v>497</v>
      </c>
      <c r="F46" s="20" t="s">
        <v>498</v>
      </c>
      <c r="G46" s="8" t="str">
        <f t="shared" si="0"/>
        <v>BADERTSCHER DIANE</v>
      </c>
    </row>
    <row r="47" spans="1:7" x14ac:dyDescent="0.25">
      <c r="A47" s="8">
        <v>42866.212025462963</v>
      </c>
      <c r="B47" s="20" t="s">
        <v>457</v>
      </c>
      <c r="C47" s="20" t="s">
        <v>626</v>
      </c>
      <c r="D47" s="141">
        <v>2560000</v>
      </c>
      <c r="E47" s="20" t="s">
        <v>624</v>
      </c>
      <c r="F47" s="20" t="s">
        <v>400</v>
      </c>
      <c r="G47" s="8" t="str">
        <f t="shared" si="0"/>
        <v>MACDONALD THOMAS</v>
      </c>
    </row>
    <row r="48" spans="1:7" x14ac:dyDescent="0.25">
      <c r="A48" s="8">
        <v>42866.213333333333</v>
      </c>
      <c r="B48" s="20" t="s">
        <v>357</v>
      </c>
      <c r="C48" s="20" t="s">
        <v>628</v>
      </c>
      <c r="D48" s="141">
        <v>2140000</v>
      </c>
      <c r="E48" s="20" t="s">
        <v>608</v>
      </c>
      <c r="F48" s="20" t="s">
        <v>609</v>
      </c>
      <c r="G48" s="8" t="str">
        <f t="shared" si="0"/>
        <v>ROBINSON KADDIBA</v>
      </c>
    </row>
    <row r="49" spans="1:7" x14ac:dyDescent="0.25">
      <c r="A49" s="8">
        <v>42866.2184837963</v>
      </c>
      <c r="B49" s="20" t="s">
        <v>417</v>
      </c>
      <c r="C49" s="20" t="s">
        <v>614</v>
      </c>
      <c r="D49" s="141">
        <v>1260000</v>
      </c>
      <c r="E49" s="20" t="s">
        <v>615</v>
      </c>
      <c r="F49" s="20" t="s">
        <v>616</v>
      </c>
      <c r="G49" s="8" t="str">
        <f t="shared" si="0"/>
        <v>ACKERMAN JARED</v>
      </c>
    </row>
    <row r="50" spans="1:7" x14ac:dyDescent="0.25">
      <c r="A50" s="8">
        <v>42866.223923611113</v>
      </c>
      <c r="B50" s="20" t="s">
        <v>610</v>
      </c>
      <c r="C50" s="20" t="s">
        <v>619</v>
      </c>
      <c r="D50" s="141">
        <v>1290000</v>
      </c>
      <c r="E50" s="20" t="s">
        <v>612</v>
      </c>
      <c r="F50" s="20" t="s">
        <v>613</v>
      </c>
      <c r="G50" s="8" t="str">
        <f t="shared" si="0"/>
        <v>COOLAHAN JOHN</v>
      </c>
    </row>
    <row r="51" spans="1:7" x14ac:dyDescent="0.25">
      <c r="A51" s="8">
        <v>42866.227337962962</v>
      </c>
      <c r="B51" s="20" t="s">
        <v>404</v>
      </c>
      <c r="C51" s="20" t="s">
        <v>572</v>
      </c>
      <c r="D51" s="141">
        <v>1260000</v>
      </c>
      <c r="E51" s="20" t="s">
        <v>615</v>
      </c>
      <c r="F51" s="20" t="s">
        <v>616</v>
      </c>
      <c r="G51" s="8" t="str">
        <f t="shared" si="0"/>
        <v>ACKERMAN JARED</v>
      </c>
    </row>
    <row r="52" spans="1:7" x14ac:dyDescent="0.25">
      <c r="A52" s="8">
        <v>42866.228333333333</v>
      </c>
      <c r="B52" s="20" t="s">
        <v>343</v>
      </c>
      <c r="C52" s="20" t="s">
        <v>629</v>
      </c>
      <c r="D52" s="141">
        <v>1110000</v>
      </c>
      <c r="E52" s="20" t="s">
        <v>413</v>
      </c>
      <c r="F52" s="20" t="s">
        <v>414</v>
      </c>
      <c r="G52" s="8" t="str">
        <f t="shared" si="0"/>
        <v>STARKS ANGELINA</v>
      </c>
    </row>
    <row r="53" spans="1:7" x14ac:dyDescent="0.25">
      <c r="A53" s="8">
        <v>42866.22896990741</v>
      </c>
      <c r="B53" s="20" t="s">
        <v>459</v>
      </c>
      <c r="C53" s="20" t="s">
        <v>630</v>
      </c>
      <c r="D53" s="141">
        <v>2560000</v>
      </c>
      <c r="E53" s="20" t="s">
        <v>624</v>
      </c>
      <c r="F53" s="20" t="s">
        <v>400</v>
      </c>
      <c r="G53" s="8" t="str">
        <f t="shared" si="0"/>
        <v>MACDONALD THOMAS</v>
      </c>
    </row>
    <row r="54" spans="1:7" x14ac:dyDescent="0.25">
      <c r="A54" s="8">
        <v>42866.231678240743</v>
      </c>
      <c r="B54" s="20" t="s">
        <v>493</v>
      </c>
      <c r="C54" s="20" t="s">
        <v>631</v>
      </c>
      <c r="D54" s="141">
        <v>940000</v>
      </c>
      <c r="E54" s="20" t="s">
        <v>415</v>
      </c>
      <c r="F54" s="20" t="s">
        <v>416</v>
      </c>
      <c r="G54" s="8" t="str">
        <f t="shared" si="0"/>
        <v>BONDS REYNALDO</v>
      </c>
    </row>
    <row r="55" spans="1:7" x14ac:dyDescent="0.25">
      <c r="A55" s="8">
        <v>42866.234236111108</v>
      </c>
      <c r="B55" s="20" t="s">
        <v>386</v>
      </c>
      <c r="C55" s="20" t="s">
        <v>632</v>
      </c>
      <c r="D55" s="141">
        <v>1830000</v>
      </c>
      <c r="E55" s="20" t="s">
        <v>499</v>
      </c>
      <c r="F55" s="20" t="s">
        <v>500</v>
      </c>
      <c r="G55" s="8" t="str">
        <f t="shared" si="0"/>
        <v>YORK EDGAR</v>
      </c>
    </row>
    <row r="56" spans="1:7" x14ac:dyDescent="0.25">
      <c r="A56" s="8">
        <v>42866.235625000001</v>
      </c>
      <c r="B56" s="20" t="s">
        <v>579</v>
      </c>
      <c r="C56" s="20" t="s">
        <v>633</v>
      </c>
      <c r="D56" s="141">
        <v>900000</v>
      </c>
      <c r="E56" s="20" t="s">
        <v>462</v>
      </c>
      <c r="F56" s="20" t="s">
        <v>463</v>
      </c>
      <c r="G56" s="8" t="str">
        <f t="shared" si="0"/>
        <v>ROCHA YAOTL</v>
      </c>
    </row>
    <row r="57" spans="1:7" x14ac:dyDescent="0.25">
      <c r="A57" s="8">
        <v>42866.239259259259</v>
      </c>
      <c r="B57" s="20" t="s">
        <v>417</v>
      </c>
      <c r="C57" s="20" t="s">
        <v>614</v>
      </c>
      <c r="D57" s="141">
        <v>1260000</v>
      </c>
      <c r="E57" s="20" t="s">
        <v>615</v>
      </c>
      <c r="F57" s="20" t="s">
        <v>616</v>
      </c>
      <c r="G57" s="8" t="str">
        <f t="shared" si="0"/>
        <v>ACKERMAN JARED</v>
      </c>
    </row>
    <row r="58" spans="1:7" x14ac:dyDescent="0.25">
      <c r="A58" s="8">
        <v>42866.247141203705</v>
      </c>
      <c r="B58" s="20" t="s">
        <v>404</v>
      </c>
      <c r="C58" s="20" t="s">
        <v>572</v>
      </c>
      <c r="D58" s="141">
        <v>1260000</v>
      </c>
      <c r="E58" s="20" t="s">
        <v>615</v>
      </c>
      <c r="F58" s="20" t="s">
        <v>616</v>
      </c>
      <c r="G58" s="8" t="str">
        <f t="shared" si="0"/>
        <v>ACKERMAN JARED</v>
      </c>
    </row>
    <row r="59" spans="1:7" x14ac:dyDescent="0.25">
      <c r="A59" s="8">
        <v>42866.247835648152</v>
      </c>
      <c r="B59" s="20" t="s">
        <v>456</v>
      </c>
      <c r="C59" s="20" t="s">
        <v>575</v>
      </c>
      <c r="D59" s="141">
        <v>2140000</v>
      </c>
      <c r="E59" s="20" t="s">
        <v>608</v>
      </c>
      <c r="F59" s="20" t="s">
        <v>609</v>
      </c>
      <c r="G59" s="8" t="str">
        <f t="shared" si="0"/>
        <v>ROBINSON KADDIBA</v>
      </c>
    </row>
    <row r="60" spans="1:7" x14ac:dyDescent="0.25">
      <c r="A60" s="8">
        <v>42866.24800925926</v>
      </c>
      <c r="B60" s="20" t="s">
        <v>494</v>
      </c>
      <c r="C60" s="20" t="s">
        <v>634</v>
      </c>
      <c r="D60" s="141">
        <v>2550000</v>
      </c>
      <c r="E60" s="20" t="s">
        <v>497</v>
      </c>
      <c r="F60" s="20" t="s">
        <v>498</v>
      </c>
      <c r="G60" s="8" t="str">
        <f t="shared" si="0"/>
        <v>BADERTSCHER DIANE</v>
      </c>
    </row>
    <row r="61" spans="1:7" x14ac:dyDescent="0.25">
      <c r="A61" s="8">
        <v>42866.249421296299</v>
      </c>
      <c r="B61" s="20" t="s">
        <v>398</v>
      </c>
      <c r="C61" s="20" t="s">
        <v>635</v>
      </c>
      <c r="D61" s="141">
        <v>890000</v>
      </c>
      <c r="E61" s="20" t="s">
        <v>460</v>
      </c>
      <c r="F61" s="20" t="s">
        <v>461</v>
      </c>
      <c r="G61" s="8" t="str">
        <f t="shared" si="0"/>
        <v>LOZA FIDEL</v>
      </c>
    </row>
    <row r="62" spans="1:7" x14ac:dyDescent="0.25">
      <c r="A62" s="8">
        <v>42866.253738425927</v>
      </c>
      <c r="B62" s="20" t="s">
        <v>457</v>
      </c>
      <c r="C62" s="20" t="s">
        <v>636</v>
      </c>
      <c r="D62" s="141">
        <v>2560000</v>
      </c>
      <c r="E62" s="20" t="s">
        <v>624</v>
      </c>
      <c r="F62" s="20" t="s">
        <v>400</v>
      </c>
      <c r="G62" s="8" t="str">
        <f t="shared" si="0"/>
        <v>MACDONALD THOMAS</v>
      </c>
    </row>
    <row r="63" spans="1:7" x14ac:dyDescent="0.25">
      <c r="A63" s="8">
        <v>42866.254062499997</v>
      </c>
      <c r="B63" s="20" t="s">
        <v>356</v>
      </c>
      <c r="C63" s="20" t="s">
        <v>637</v>
      </c>
      <c r="D63" s="141">
        <v>1090000</v>
      </c>
      <c r="E63" s="20" t="s">
        <v>418</v>
      </c>
      <c r="F63" s="20" t="s">
        <v>196</v>
      </c>
      <c r="G63" s="8" t="str">
        <f t="shared" si="0"/>
        <v>SPECTOR MICHAEL</v>
      </c>
    </row>
    <row r="64" spans="1:7" x14ac:dyDescent="0.25">
      <c r="A64" s="26">
        <v>42866.255416666667</v>
      </c>
      <c r="B64" s="20" t="s">
        <v>417</v>
      </c>
      <c r="C64" s="20" t="s">
        <v>614</v>
      </c>
      <c r="D64" s="141">
        <v>1260000</v>
      </c>
      <c r="E64" s="20" t="s">
        <v>615</v>
      </c>
      <c r="F64" s="20" t="s">
        <v>616</v>
      </c>
      <c r="G64" s="8" t="str">
        <f t="shared" si="0"/>
        <v>ACKERMAN JARED</v>
      </c>
    </row>
    <row r="65" spans="1:7" x14ac:dyDescent="0.25">
      <c r="A65" s="8">
        <v>42866.255578703705</v>
      </c>
      <c r="B65" s="20" t="s">
        <v>618</v>
      </c>
      <c r="C65" s="20" t="s">
        <v>638</v>
      </c>
      <c r="D65" s="141">
        <v>1290000</v>
      </c>
      <c r="E65" s="20" t="s">
        <v>612</v>
      </c>
      <c r="F65" s="20" t="s">
        <v>613</v>
      </c>
      <c r="G65" s="8" t="str">
        <f t="shared" si="0"/>
        <v>COOLAHAN JOHN</v>
      </c>
    </row>
    <row r="66" spans="1:7" x14ac:dyDescent="0.25">
      <c r="A66" s="8">
        <v>42866.256932870368</v>
      </c>
      <c r="B66" s="20" t="s">
        <v>417</v>
      </c>
      <c r="C66" s="20" t="s">
        <v>614</v>
      </c>
      <c r="D66" s="141">
        <v>1260000</v>
      </c>
      <c r="E66" s="20" t="s">
        <v>615</v>
      </c>
      <c r="F66" s="20" t="s">
        <v>616</v>
      </c>
      <c r="G66" s="8" t="str">
        <f t="shared" si="0"/>
        <v>ACKERMAN JARED</v>
      </c>
    </row>
    <row r="67" spans="1:7" x14ac:dyDescent="0.25">
      <c r="A67" s="8">
        <v>42866.260671296295</v>
      </c>
      <c r="B67" s="20" t="s">
        <v>345</v>
      </c>
      <c r="C67" s="20" t="s">
        <v>639</v>
      </c>
      <c r="D67" s="141">
        <v>890000</v>
      </c>
      <c r="E67" s="20" t="s">
        <v>460</v>
      </c>
      <c r="F67" s="20" t="s">
        <v>461</v>
      </c>
      <c r="G67" s="8" t="str">
        <f t="shared" ref="G67:G130" si="1">E67&amp;" "&amp;F67</f>
        <v>LOZA FIDEL</v>
      </c>
    </row>
    <row r="68" spans="1:7" x14ac:dyDescent="0.25">
      <c r="A68" s="8">
        <v>42866.261620370373</v>
      </c>
      <c r="B68" s="20" t="s">
        <v>344</v>
      </c>
      <c r="C68" s="20" t="s">
        <v>577</v>
      </c>
      <c r="D68" s="141">
        <v>1110000</v>
      </c>
      <c r="E68" s="20" t="s">
        <v>413</v>
      </c>
      <c r="F68" s="20" t="s">
        <v>414</v>
      </c>
      <c r="G68" s="8" t="str">
        <f t="shared" si="1"/>
        <v>STARKS ANGELINA</v>
      </c>
    </row>
    <row r="69" spans="1:7" x14ac:dyDescent="0.25">
      <c r="A69" s="8">
        <v>42866.268206018518</v>
      </c>
      <c r="B69" s="20" t="s">
        <v>594</v>
      </c>
      <c r="C69" s="20" t="s">
        <v>640</v>
      </c>
      <c r="D69" s="141">
        <v>900000</v>
      </c>
      <c r="E69" s="20" t="s">
        <v>462</v>
      </c>
      <c r="F69" s="20" t="s">
        <v>463</v>
      </c>
      <c r="G69" s="8" t="str">
        <f t="shared" si="1"/>
        <v>ROCHA YAOTL</v>
      </c>
    </row>
    <row r="70" spans="1:7" x14ac:dyDescent="0.25">
      <c r="A70" s="8">
        <v>42866.269733796296</v>
      </c>
      <c r="B70" s="20" t="s">
        <v>459</v>
      </c>
      <c r="C70" s="20" t="s">
        <v>641</v>
      </c>
      <c r="D70" s="141">
        <v>2560000</v>
      </c>
      <c r="E70" s="20" t="s">
        <v>624</v>
      </c>
      <c r="F70" s="20" t="s">
        <v>400</v>
      </c>
      <c r="G70" s="8" t="str">
        <f t="shared" si="1"/>
        <v>MACDONALD THOMAS</v>
      </c>
    </row>
    <row r="71" spans="1:7" x14ac:dyDescent="0.25">
      <c r="A71" s="8">
        <v>42866.272650462961</v>
      </c>
      <c r="B71" s="20" t="s">
        <v>404</v>
      </c>
      <c r="C71" s="20" t="s">
        <v>572</v>
      </c>
      <c r="D71" s="141">
        <v>1260000</v>
      </c>
      <c r="E71" s="20" t="s">
        <v>615</v>
      </c>
      <c r="F71" s="20" t="s">
        <v>616</v>
      </c>
      <c r="G71" s="8" t="str">
        <f t="shared" si="1"/>
        <v>ACKERMAN JARED</v>
      </c>
    </row>
    <row r="72" spans="1:7" x14ac:dyDescent="0.25">
      <c r="A72" s="8">
        <v>42866.275787037041</v>
      </c>
      <c r="B72" s="20" t="s">
        <v>398</v>
      </c>
      <c r="C72" s="20" t="s">
        <v>576</v>
      </c>
      <c r="D72" s="141">
        <v>890000</v>
      </c>
      <c r="E72" s="20" t="s">
        <v>460</v>
      </c>
      <c r="F72" s="20" t="s">
        <v>461</v>
      </c>
      <c r="G72" s="8" t="str">
        <f t="shared" si="1"/>
        <v>LOZA FIDEL</v>
      </c>
    </row>
    <row r="73" spans="1:7" x14ac:dyDescent="0.25">
      <c r="A73" s="8">
        <v>42866.275833333333</v>
      </c>
      <c r="B73" s="20" t="s">
        <v>374</v>
      </c>
      <c r="C73" s="20" t="s">
        <v>642</v>
      </c>
      <c r="D73" s="141">
        <v>1830000</v>
      </c>
      <c r="E73" s="20" t="s">
        <v>499</v>
      </c>
      <c r="F73" s="20" t="s">
        <v>500</v>
      </c>
      <c r="G73" s="8" t="str">
        <f t="shared" si="1"/>
        <v>YORK EDGAR</v>
      </c>
    </row>
    <row r="74" spans="1:7" x14ac:dyDescent="0.25">
      <c r="A74" s="8">
        <v>42866.276307870372</v>
      </c>
      <c r="B74" s="20" t="s">
        <v>492</v>
      </c>
      <c r="C74" s="20" t="s">
        <v>643</v>
      </c>
      <c r="D74" s="141">
        <v>940000</v>
      </c>
      <c r="E74" s="20" t="s">
        <v>415</v>
      </c>
      <c r="F74" s="20" t="s">
        <v>416</v>
      </c>
      <c r="G74" s="8" t="str">
        <f t="shared" si="1"/>
        <v>BONDS REYNALDO</v>
      </c>
    </row>
    <row r="75" spans="1:7" x14ac:dyDescent="0.25">
      <c r="A75" s="8">
        <v>42866.279050925928</v>
      </c>
      <c r="B75" s="20" t="s">
        <v>417</v>
      </c>
      <c r="C75" s="20" t="s">
        <v>614</v>
      </c>
      <c r="D75" s="141">
        <v>1260000</v>
      </c>
      <c r="E75" s="20" t="s">
        <v>615</v>
      </c>
      <c r="F75" s="20" t="s">
        <v>616</v>
      </c>
      <c r="G75" s="8" t="str">
        <f t="shared" si="1"/>
        <v>ACKERMAN JARED</v>
      </c>
    </row>
    <row r="76" spans="1:7" x14ac:dyDescent="0.25">
      <c r="A76" s="8">
        <v>42866.285868055558</v>
      </c>
      <c r="B76" s="20" t="s">
        <v>455</v>
      </c>
      <c r="C76" s="20" t="s">
        <v>644</v>
      </c>
      <c r="D76" s="141">
        <v>2140000</v>
      </c>
      <c r="E76" s="20" t="s">
        <v>608</v>
      </c>
      <c r="F76" s="20" t="s">
        <v>609</v>
      </c>
      <c r="G76" s="8" t="str">
        <f t="shared" si="1"/>
        <v>ROBINSON KADDIBA</v>
      </c>
    </row>
    <row r="77" spans="1:7" x14ac:dyDescent="0.25">
      <c r="A77" s="8">
        <v>42866.287800925929</v>
      </c>
      <c r="B77" s="20" t="s">
        <v>503</v>
      </c>
      <c r="C77" s="20" t="s">
        <v>645</v>
      </c>
      <c r="D77" s="141">
        <v>2550000</v>
      </c>
      <c r="E77" s="20" t="s">
        <v>497</v>
      </c>
      <c r="F77" s="20" t="s">
        <v>498</v>
      </c>
      <c r="G77" s="8" t="str">
        <f t="shared" si="1"/>
        <v>BADERTSCHER DIANE</v>
      </c>
    </row>
    <row r="78" spans="1:7" x14ac:dyDescent="0.25">
      <c r="A78" s="8">
        <v>42866.293344907404</v>
      </c>
      <c r="B78" s="20" t="s">
        <v>610</v>
      </c>
      <c r="C78" s="20" t="s">
        <v>646</v>
      </c>
      <c r="D78" s="141">
        <v>1290000</v>
      </c>
      <c r="E78" s="20" t="s">
        <v>612</v>
      </c>
      <c r="F78" s="20" t="s">
        <v>613</v>
      </c>
      <c r="G78" s="8" t="str">
        <f t="shared" si="1"/>
        <v>COOLAHAN JOHN</v>
      </c>
    </row>
    <row r="79" spans="1:7" x14ac:dyDescent="0.25">
      <c r="A79" s="8">
        <v>42866.295254629629</v>
      </c>
      <c r="B79" s="20" t="s">
        <v>457</v>
      </c>
      <c r="C79" s="20" t="s">
        <v>647</v>
      </c>
      <c r="D79" s="141">
        <v>2560000</v>
      </c>
      <c r="E79" s="20" t="s">
        <v>624</v>
      </c>
      <c r="F79" s="20" t="s">
        <v>400</v>
      </c>
      <c r="G79" s="8" t="str">
        <f t="shared" si="1"/>
        <v>MACDONALD THOMAS</v>
      </c>
    </row>
    <row r="80" spans="1:7" x14ac:dyDescent="0.25">
      <c r="A80" s="8">
        <v>42866.296550925923</v>
      </c>
      <c r="B80" s="20" t="s">
        <v>404</v>
      </c>
      <c r="C80" s="20" t="s">
        <v>572</v>
      </c>
      <c r="D80" s="141">
        <v>1260000</v>
      </c>
      <c r="E80" s="20" t="s">
        <v>615</v>
      </c>
      <c r="F80" s="20" t="s">
        <v>616</v>
      </c>
      <c r="G80" s="8" t="str">
        <f t="shared" si="1"/>
        <v>ACKERMAN JARED</v>
      </c>
    </row>
    <row r="81" spans="1:7" x14ac:dyDescent="0.25">
      <c r="A81" s="8">
        <v>42866.298379629632</v>
      </c>
      <c r="B81" s="20" t="s">
        <v>343</v>
      </c>
      <c r="C81" s="20" t="s">
        <v>648</v>
      </c>
      <c r="D81" s="141">
        <v>1230000</v>
      </c>
      <c r="E81" s="20" t="s">
        <v>649</v>
      </c>
      <c r="F81" s="20" t="s">
        <v>650</v>
      </c>
      <c r="G81" s="8" t="str">
        <f t="shared" si="1"/>
        <v>YANAI IAN</v>
      </c>
    </row>
    <row r="82" spans="1:7" x14ac:dyDescent="0.25">
      <c r="A82" s="8">
        <v>42866.30133101852</v>
      </c>
      <c r="B82" s="20" t="s">
        <v>345</v>
      </c>
      <c r="C82" s="20" t="s">
        <v>651</v>
      </c>
      <c r="D82" s="141">
        <v>890000</v>
      </c>
      <c r="E82" s="20" t="s">
        <v>460</v>
      </c>
      <c r="F82" s="20" t="s">
        <v>461</v>
      </c>
      <c r="G82" s="8" t="str">
        <f t="shared" si="1"/>
        <v>LOZA FIDEL</v>
      </c>
    </row>
    <row r="83" spans="1:7" x14ac:dyDescent="0.25">
      <c r="A83" s="8">
        <v>42866.307546296295</v>
      </c>
      <c r="B83" s="20" t="s">
        <v>579</v>
      </c>
      <c r="C83" s="20" t="s">
        <v>580</v>
      </c>
      <c r="D83" s="141">
        <v>900000</v>
      </c>
      <c r="E83" s="20" t="s">
        <v>462</v>
      </c>
      <c r="F83" s="20" t="s">
        <v>463</v>
      </c>
      <c r="G83" s="8" t="str">
        <f t="shared" si="1"/>
        <v>ROCHA YAOTL</v>
      </c>
    </row>
    <row r="84" spans="1:7" x14ac:dyDescent="0.25">
      <c r="A84" s="8">
        <v>42866.30940972222</v>
      </c>
      <c r="B84" s="20" t="s">
        <v>417</v>
      </c>
      <c r="C84" s="20" t="s">
        <v>614</v>
      </c>
      <c r="D84" s="141">
        <v>1260000</v>
      </c>
      <c r="E84" s="20" t="s">
        <v>615</v>
      </c>
      <c r="F84" s="20" t="s">
        <v>616</v>
      </c>
      <c r="G84" s="8" t="str">
        <f t="shared" si="1"/>
        <v>ACKERMAN JARED</v>
      </c>
    </row>
    <row r="85" spans="1:7" x14ac:dyDescent="0.25">
      <c r="A85" s="8">
        <v>42866.309745370374</v>
      </c>
      <c r="B85" s="20" t="s">
        <v>493</v>
      </c>
      <c r="C85" s="20" t="s">
        <v>652</v>
      </c>
      <c r="D85" s="141">
        <v>940000</v>
      </c>
      <c r="E85" s="20" t="s">
        <v>415</v>
      </c>
      <c r="F85" s="20" t="s">
        <v>416</v>
      </c>
      <c r="G85" s="8" t="str">
        <f t="shared" si="1"/>
        <v>BONDS REYNALDO</v>
      </c>
    </row>
    <row r="86" spans="1:7" x14ac:dyDescent="0.25">
      <c r="A86" s="8">
        <v>42866.31181712963</v>
      </c>
      <c r="B86" s="20" t="s">
        <v>459</v>
      </c>
      <c r="C86" s="20" t="s">
        <v>581</v>
      </c>
      <c r="D86" s="141">
        <v>2560000</v>
      </c>
      <c r="E86" s="20" t="s">
        <v>624</v>
      </c>
      <c r="F86" s="20" t="s">
        <v>400</v>
      </c>
      <c r="G86" s="8" t="str">
        <f t="shared" si="1"/>
        <v>MACDONALD THOMAS</v>
      </c>
    </row>
    <row r="87" spans="1:7" x14ac:dyDescent="0.25">
      <c r="A87" s="8">
        <v>42866.316967592589</v>
      </c>
      <c r="B87" s="20" t="s">
        <v>398</v>
      </c>
      <c r="C87" s="20" t="s">
        <v>578</v>
      </c>
      <c r="D87" s="141">
        <v>890000</v>
      </c>
      <c r="E87" s="20" t="s">
        <v>460</v>
      </c>
      <c r="F87" s="20" t="s">
        <v>461</v>
      </c>
      <c r="G87" s="8" t="str">
        <f t="shared" si="1"/>
        <v>LOZA FIDEL</v>
      </c>
    </row>
    <row r="88" spans="1:7" x14ac:dyDescent="0.25">
      <c r="A88" s="8">
        <v>42866.317719907405</v>
      </c>
      <c r="B88" s="20" t="s">
        <v>404</v>
      </c>
      <c r="C88" s="20" t="s">
        <v>572</v>
      </c>
      <c r="D88" s="141">
        <v>1260000</v>
      </c>
      <c r="E88" s="20" t="s">
        <v>615</v>
      </c>
      <c r="F88" s="20" t="s">
        <v>616</v>
      </c>
      <c r="G88" s="8" t="str">
        <f t="shared" si="1"/>
        <v>ACKERMAN JARED</v>
      </c>
    </row>
    <row r="89" spans="1:7" x14ac:dyDescent="0.25">
      <c r="A89" s="8">
        <v>42866.318391203706</v>
      </c>
      <c r="B89" s="20" t="s">
        <v>456</v>
      </c>
      <c r="C89" s="20" t="s">
        <v>653</v>
      </c>
      <c r="D89" s="141">
        <v>2140000</v>
      </c>
      <c r="E89" s="20" t="s">
        <v>608</v>
      </c>
      <c r="F89" s="20" t="s">
        <v>609</v>
      </c>
      <c r="G89" s="8" t="str">
        <f t="shared" si="1"/>
        <v>ROBINSON KADDIBA</v>
      </c>
    </row>
    <row r="90" spans="1:7" x14ac:dyDescent="0.25">
      <c r="A90" s="8">
        <v>42866.319236111114</v>
      </c>
      <c r="B90" s="20" t="s">
        <v>386</v>
      </c>
      <c r="C90" s="20" t="s">
        <v>654</v>
      </c>
      <c r="D90" s="141">
        <v>1830000</v>
      </c>
      <c r="E90" s="20" t="s">
        <v>499</v>
      </c>
      <c r="F90" s="20" t="s">
        <v>500</v>
      </c>
      <c r="G90" s="8" t="str">
        <f t="shared" si="1"/>
        <v>YORK EDGAR</v>
      </c>
    </row>
    <row r="91" spans="1:7" x14ac:dyDescent="0.25">
      <c r="A91" s="8">
        <v>42866.324907407405</v>
      </c>
      <c r="B91" s="20" t="s">
        <v>494</v>
      </c>
      <c r="C91" s="20" t="s">
        <v>655</v>
      </c>
      <c r="D91" s="141">
        <v>2550000</v>
      </c>
      <c r="E91" s="20" t="s">
        <v>497</v>
      </c>
      <c r="F91" s="20" t="s">
        <v>498</v>
      </c>
      <c r="G91" s="8" t="str">
        <f t="shared" si="1"/>
        <v>BADERTSCHER DIANE</v>
      </c>
    </row>
    <row r="92" spans="1:7" x14ac:dyDescent="0.25">
      <c r="A92" s="8">
        <v>42866.327337962961</v>
      </c>
      <c r="B92" s="20" t="s">
        <v>417</v>
      </c>
      <c r="C92" s="20" t="s">
        <v>614</v>
      </c>
      <c r="D92" s="141">
        <v>1260000</v>
      </c>
      <c r="E92" s="20" t="s">
        <v>615</v>
      </c>
      <c r="F92" s="20" t="s">
        <v>616</v>
      </c>
      <c r="G92" s="8" t="str">
        <f t="shared" si="1"/>
        <v>ACKERMAN JARED</v>
      </c>
    </row>
    <row r="93" spans="1:7" x14ac:dyDescent="0.25">
      <c r="A93" s="8">
        <v>42866.32984953704</v>
      </c>
      <c r="B93" s="20" t="s">
        <v>618</v>
      </c>
      <c r="C93" s="20" t="s">
        <v>656</v>
      </c>
      <c r="D93" s="141">
        <v>1290000</v>
      </c>
      <c r="E93" s="20" t="s">
        <v>612</v>
      </c>
      <c r="F93" s="20" t="s">
        <v>613</v>
      </c>
      <c r="G93" s="8" t="str">
        <f t="shared" si="1"/>
        <v>COOLAHAN JOHN</v>
      </c>
    </row>
    <row r="94" spans="1:7" x14ac:dyDescent="0.25">
      <c r="A94" s="8">
        <v>42866.329976851855</v>
      </c>
      <c r="B94" s="20" t="s">
        <v>344</v>
      </c>
      <c r="C94" s="20" t="s">
        <v>657</v>
      </c>
      <c r="D94" s="141">
        <v>1230000</v>
      </c>
      <c r="E94" s="20" t="s">
        <v>649</v>
      </c>
      <c r="F94" s="20" t="s">
        <v>650</v>
      </c>
      <c r="G94" s="8" t="str">
        <f t="shared" si="1"/>
        <v>YANAI IAN</v>
      </c>
    </row>
    <row r="95" spans="1:7" x14ac:dyDescent="0.25">
      <c r="A95" s="8">
        <v>42866.337812500002</v>
      </c>
      <c r="B95" s="20" t="s">
        <v>457</v>
      </c>
      <c r="C95" s="20" t="s">
        <v>582</v>
      </c>
      <c r="D95" s="141">
        <v>2560000</v>
      </c>
      <c r="E95" s="20" t="s">
        <v>624</v>
      </c>
      <c r="F95" s="20" t="s">
        <v>400</v>
      </c>
      <c r="G95" s="8" t="str">
        <f t="shared" si="1"/>
        <v>MACDONALD THOMAS</v>
      </c>
    </row>
    <row r="96" spans="1:7" x14ac:dyDescent="0.25">
      <c r="A96" s="8">
        <v>42866.33792824074</v>
      </c>
      <c r="B96" s="20" t="s">
        <v>594</v>
      </c>
      <c r="C96" s="20" t="s">
        <v>658</v>
      </c>
      <c r="D96" s="141">
        <v>900000</v>
      </c>
      <c r="E96" s="20" t="s">
        <v>462</v>
      </c>
      <c r="F96" s="20" t="s">
        <v>463</v>
      </c>
      <c r="G96" s="8" t="str">
        <f t="shared" si="1"/>
        <v>ROCHA YAOTL</v>
      </c>
    </row>
    <row r="97" spans="1:7" x14ac:dyDescent="0.25">
      <c r="A97" s="8">
        <v>42866.345092592594</v>
      </c>
      <c r="B97" s="20" t="s">
        <v>345</v>
      </c>
      <c r="C97" s="20" t="s">
        <v>659</v>
      </c>
      <c r="D97" s="141">
        <v>890000</v>
      </c>
      <c r="E97" s="20" t="s">
        <v>460</v>
      </c>
      <c r="F97" s="20" t="s">
        <v>461</v>
      </c>
      <c r="G97" s="8" t="str">
        <f t="shared" si="1"/>
        <v>LOZA FIDEL</v>
      </c>
    </row>
    <row r="98" spans="1:7" x14ac:dyDescent="0.25">
      <c r="A98" s="8">
        <v>42866.348182870373</v>
      </c>
      <c r="B98" s="20" t="s">
        <v>374</v>
      </c>
      <c r="C98" s="20" t="s">
        <v>660</v>
      </c>
      <c r="D98" s="141">
        <v>1830000</v>
      </c>
      <c r="E98" s="20" t="s">
        <v>499</v>
      </c>
      <c r="F98" s="20" t="s">
        <v>500</v>
      </c>
      <c r="G98" s="8" t="str">
        <f t="shared" si="1"/>
        <v>YORK EDGAR</v>
      </c>
    </row>
    <row r="99" spans="1:7" x14ac:dyDescent="0.25">
      <c r="A99" s="8">
        <v>42866.349074074074</v>
      </c>
      <c r="B99" s="20" t="s">
        <v>492</v>
      </c>
      <c r="C99" s="20" t="s">
        <v>661</v>
      </c>
      <c r="D99" s="141">
        <v>940000</v>
      </c>
      <c r="E99" s="20" t="s">
        <v>415</v>
      </c>
      <c r="F99" s="20" t="s">
        <v>416</v>
      </c>
      <c r="G99" s="8" t="str">
        <f t="shared" si="1"/>
        <v>BONDS REYNALDO</v>
      </c>
    </row>
    <row r="100" spans="1:7" x14ac:dyDescent="0.25">
      <c r="A100" s="8">
        <v>42866.353113425925</v>
      </c>
      <c r="B100" s="20" t="s">
        <v>459</v>
      </c>
      <c r="C100" s="20" t="s">
        <v>662</v>
      </c>
      <c r="D100" s="141">
        <v>2560000</v>
      </c>
      <c r="E100" s="20" t="s">
        <v>624</v>
      </c>
      <c r="F100" s="20" t="s">
        <v>400</v>
      </c>
      <c r="G100" s="8" t="str">
        <f t="shared" si="1"/>
        <v>MACDONALD THOMAS</v>
      </c>
    </row>
    <row r="101" spans="1:7" x14ac:dyDescent="0.25">
      <c r="A101" s="8">
        <v>42866.359120370369</v>
      </c>
      <c r="B101" s="20" t="s">
        <v>398</v>
      </c>
      <c r="C101" s="20" t="s">
        <v>663</v>
      </c>
      <c r="D101" s="141">
        <v>890000</v>
      </c>
      <c r="E101" s="20" t="s">
        <v>460</v>
      </c>
      <c r="F101" s="20" t="s">
        <v>461</v>
      </c>
      <c r="G101" s="8" t="str">
        <f t="shared" si="1"/>
        <v>LOZA FIDEL</v>
      </c>
    </row>
    <row r="102" spans="1:7" x14ac:dyDescent="0.25">
      <c r="A102" s="8">
        <v>42866.364930555559</v>
      </c>
      <c r="B102" s="20" t="s">
        <v>503</v>
      </c>
      <c r="C102" s="20" t="s">
        <v>664</v>
      </c>
      <c r="D102" s="141">
        <v>2550000</v>
      </c>
      <c r="E102" s="20" t="s">
        <v>497</v>
      </c>
      <c r="F102" s="20" t="s">
        <v>498</v>
      </c>
      <c r="G102" s="8" t="str">
        <f t="shared" si="1"/>
        <v>BADERTSCHER DIANE</v>
      </c>
    </row>
    <row r="103" spans="1:7" x14ac:dyDescent="0.25">
      <c r="A103" s="8">
        <v>42866.368148148147</v>
      </c>
      <c r="B103" s="20" t="s">
        <v>579</v>
      </c>
      <c r="C103" s="20" t="s">
        <v>583</v>
      </c>
      <c r="D103" s="141">
        <v>900000</v>
      </c>
      <c r="E103" s="20" t="s">
        <v>462</v>
      </c>
      <c r="F103" s="20" t="s">
        <v>463</v>
      </c>
      <c r="G103" s="8" t="str">
        <f t="shared" si="1"/>
        <v>ROCHA YAOTL</v>
      </c>
    </row>
    <row r="104" spans="1:7" x14ac:dyDescent="0.25">
      <c r="A104" s="8">
        <v>42866.377523148149</v>
      </c>
      <c r="B104" s="20" t="s">
        <v>579</v>
      </c>
      <c r="C104" s="20" t="s">
        <v>583</v>
      </c>
      <c r="D104" s="141">
        <v>900000</v>
      </c>
      <c r="E104" s="20" t="s">
        <v>462</v>
      </c>
      <c r="F104" s="20" t="s">
        <v>463</v>
      </c>
      <c r="G104" s="8" t="str">
        <f t="shared" si="1"/>
        <v>ROCHA YAOTL</v>
      </c>
    </row>
    <row r="105" spans="1:7" x14ac:dyDescent="0.25">
      <c r="A105" s="8">
        <v>42866.38008101852</v>
      </c>
      <c r="B105" s="20" t="s">
        <v>386</v>
      </c>
      <c r="C105" s="20" t="s">
        <v>665</v>
      </c>
      <c r="D105" s="141">
        <v>1830000</v>
      </c>
      <c r="E105" s="20" t="s">
        <v>499</v>
      </c>
      <c r="F105" s="20" t="s">
        <v>500</v>
      </c>
      <c r="G105" s="8" t="str">
        <f t="shared" si="1"/>
        <v>YORK EDGAR</v>
      </c>
    </row>
    <row r="106" spans="1:7" x14ac:dyDescent="0.25">
      <c r="A106" s="8">
        <v>42866.382314814815</v>
      </c>
      <c r="B106" s="20" t="s">
        <v>345</v>
      </c>
      <c r="C106" s="20" t="s">
        <v>666</v>
      </c>
      <c r="D106" s="141">
        <v>890000</v>
      </c>
      <c r="E106" s="20" t="s">
        <v>460</v>
      </c>
      <c r="F106" s="20" t="s">
        <v>461</v>
      </c>
      <c r="G106" s="8" t="str">
        <f t="shared" si="1"/>
        <v>LOZA FIDEL</v>
      </c>
    </row>
    <row r="107" spans="1:7" x14ac:dyDescent="0.25">
      <c r="A107" s="8">
        <v>42866.387291666666</v>
      </c>
      <c r="B107" s="20" t="s">
        <v>594</v>
      </c>
      <c r="C107" s="20" t="s">
        <v>667</v>
      </c>
      <c r="D107" s="141">
        <v>900000</v>
      </c>
      <c r="E107" s="20" t="s">
        <v>462</v>
      </c>
      <c r="F107" s="20" t="s">
        <v>463</v>
      </c>
      <c r="G107" s="8" t="str">
        <f t="shared" si="1"/>
        <v>ROCHA YAOTL</v>
      </c>
    </row>
    <row r="108" spans="1:7" x14ac:dyDescent="0.25">
      <c r="A108" s="8">
        <v>42866.393645833334</v>
      </c>
      <c r="B108" s="20" t="s">
        <v>386</v>
      </c>
      <c r="C108" s="20" t="s">
        <v>665</v>
      </c>
      <c r="D108" s="141">
        <v>1830000</v>
      </c>
      <c r="E108" s="20" t="s">
        <v>499</v>
      </c>
      <c r="F108" s="20" t="s">
        <v>500</v>
      </c>
      <c r="G108" s="8" t="str">
        <f t="shared" si="1"/>
        <v>YORK EDGAR</v>
      </c>
    </row>
    <row r="109" spans="1:7" x14ac:dyDescent="0.25">
      <c r="A109" s="8">
        <v>42866.40016203704</v>
      </c>
      <c r="B109" s="20" t="s">
        <v>374</v>
      </c>
      <c r="C109" s="20" t="s">
        <v>668</v>
      </c>
      <c r="D109" s="141">
        <v>1830000</v>
      </c>
      <c r="E109" s="20" t="s">
        <v>499</v>
      </c>
      <c r="F109" s="20" t="s">
        <v>500</v>
      </c>
      <c r="G109" s="8" t="str">
        <f t="shared" si="1"/>
        <v>YORK EDGAR</v>
      </c>
    </row>
    <row r="110" spans="1:7" x14ac:dyDescent="0.25">
      <c r="A110" s="8">
        <v>42866.400462962964</v>
      </c>
      <c r="B110" s="20" t="s">
        <v>398</v>
      </c>
      <c r="C110" s="20" t="s">
        <v>669</v>
      </c>
      <c r="D110" s="141">
        <v>890000</v>
      </c>
      <c r="E110" s="20" t="s">
        <v>460</v>
      </c>
      <c r="F110" s="20" t="s">
        <v>461</v>
      </c>
      <c r="G110" s="8" t="str">
        <f t="shared" si="1"/>
        <v>LOZA FIDEL</v>
      </c>
    </row>
    <row r="111" spans="1:7" x14ac:dyDescent="0.25">
      <c r="A111" s="8">
        <v>42866.407465277778</v>
      </c>
      <c r="B111" s="20" t="s">
        <v>494</v>
      </c>
      <c r="C111" s="20" t="s">
        <v>670</v>
      </c>
      <c r="D111" s="141">
        <v>2550000</v>
      </c>
      <c r="E111" s="20" t="s">
        <v>497</v>
      </c>
      <c r="F111" s="20" t="s">
        <v>498</v>
      </c>
      <c r="G111" s="8" t="str">
        <f t="shared" si="1"/>
        <v>BADERTSCHER DIANE</v>
      </c>
    </row>
    <row r="112" spans="1:7" x14ac:dyDescent="0.25">
      <c r="A112" s="8">
        <v>42866.421354166669</v>
      </c>
      <c r="B112" s="20" t="s">
        <v>503</v>
      </c>
      <c r="C112" s="20" t="s">
        <v>671</v>
      </c>
      <c r="D112" s="141">
        <v>2560000</v>
      </c>
      <c r="E112" s="20" t="s">
        <v>624</v>
      </c>
      <c r="F112" s="20" t="s">
        <v>400</v>
      </c>
      <c r="G112" s="8" t="str">
        <f t="shared" si="1"/>
        <v>MACDONALD THOMAS</v>
      </c>
    </row>
    <row r="113" spans="1:7" x14ac:dyDescent="0.25">
      <c r="A113" s="8">
        <v>42866.424687500003</v>
      </c>
      <c r="B113" s="20" t="s">
        <v>579</v>
      </c>
      <c r="C113" s="20" t="s">
        <v>672</v>
      </c>
      <c r="D113" s="141">
        <v>900000</v>
      </c>
      <c r="E113" s="20" t="s">
        <v>462</v>
      </c>
      <c r="F113" s="20" t="s">
        <v>463</v>
      </c>
      <c r="G113" s="8" t="str">
        <f t="shared" si="1"/>
        <v>ROCHA YAOTL</v>
      </c>
    </row>
    <row r="114" spans="1:7" x14ac:dyDescent="0.25">
      <c r="A114" s="8">
        <v>42866.425671296296</v>
      </c>
      <c r="B114" s="20" t="s">
        <v>579</v>
      </c>
      <c r="C114" s="20" t="s">
        <v>672</v>
      </c>
      <c r="D114" s="141">
        <v>900000</v>
      </c>
      <c r="E114" s="20" t="s">
        <v>462</v>
      </c>
      <c r="F114" s="20" t="s">
        <v>463</v>
      </c>
      <c r="G114" s="8" t="str">
        <f t="shared" si="1"/>
        <v>ROCHA YAOTL</v>
      </c>
    </row>
    <row r="115" spans="1:7" x14ac:dyDescent="0.25">
      <c r="A115" s="8">
        <v>42866.426759259259</v>
      </c>
      <c r="B115" s="20" t="s">
        <v>386</v>
      </c>
      <c r="C115" s="20" t="s">
        <v>673</v>
      </c>
      <c r="D115" s="141">
        <v>1830000</v>
      </c>
      <c r="E115" s="20" t="s">
        <v>499</v>
      </c>
      <c r="F115" s="20" t="s">
        <v>500</v>
      </c>
      <c r="G115" s="8" t="str">
        <f t="shared" si="1"/>
        <v>YORK EDGAR</v>
      </c>
    </row>
    <row r="116" spans="1:7" x14ac:dyDescent="0.25">
      <c r="A116" s="8">
        <v>42866.428819444445</v>
      </c>
      <c r="B116" s="20" t="s">
        <v>503</v>
      </c>
      <c r="C116" s="20" t="s">
        <v>674</v>
      </c>
      <c r="D116" s="141">
        <v>2560000</v>
      </c>
      <c r="E116" s="20" t="s">
        <v>624</v>
      </c>
      <c r="F116" s="20" t="s">
        <v>400</v>
      </c>
      <c r="G116" s="8" t="str">
        <f t="shared" si="1"/>
        <v>MACDONALD THOMAS</v>
      </c>
    </row>
    <row r="117" spans="1:7" x14ac:dyDescent="0.25">
      <c r="A117" s="8">
        <v>42866.429791666669</v>
      </c>
      <c r="B117" s="20" t="s">
        <v>345</v>
      </c>
      <c r="C117" s="20" t="s">
        <v>675</v>
      </c>
      <c r="D117" s="141">
        <v>890000</v>
      </c>
      <c r="E117" s="20" t="s">
        <v>460</v>
      </c>
      <c r="F117" s="20" t="s">
        <v>461</v>
      </c>
      <c r="G117" s="8" t="str">
        <f t="shared" si="1"/>
        <v>LOZA FIDEL</v>
      </c>
    </row>
    <row r="118" spans="1:7" x14ac:dyDescent="0.25">
      <c r="A118" s="8">
        <v>42866.436574074076</v>
      </c>
      <c r="B118" s="20" t="s">
        <v>594</v>
      </c>
      <c r="C118" s="20" t="s">
        <v>676</v>
      </c>
      <c r="D118" s="141">
        <v>900000</v>
      </c>
      <c r="E118" s="20" t="s">
        <v>462</v>
      </c>
      <c r="F118" s="20" t="s">
        <v>463</v>
      </c>
      <c r="G118" s="8" t="str">
        <f t="shared" si="1"/>
        <v>ROCHA YAOTL</v>
      </c>
    </row>
    <row r="119" spans="1:7" x14ac:dyDescent="0.25">
      <c r="A119" s="8">
        <v>42866.438622685186</v>
      </c>
      <c r="B119" s="20" t="s">
        <v>369</v>
      </c>
      <c r="C119" s="20" t="s">
        <v>584</v>
      </c>
      <c r="D119" s="141">
        <v>2370000</v>
      </c>
      <c r="E119" s="20" t="s">
        <v>501</v>
      </c>
      <c r="F119" s="20" t="s">
        <v>502</v>
      </c>
      <c r="G119" s="8" t="str">
        <f t="shared" si="1"/>
        <v>DELGADO DIANAH</v>
      </c>
    </row>
    <row r="120" spans="1:7" x14ac:dyDescent="0.25">
      <c r="A120" s="8">
        <v>42866.439143518517</v>
      </c>
      <c r="B120" s="20" t="s">
        <v>369</v>
      </c>
      <c r="C120" s="20" t="s">
        <v>584</v>
      </c>
      <c r="D120" s="141">
        <v>2370000</v>
      </c>
      <c r="E120" s="20" t="s">
        <v>501</v>
      </c>
      <c r="F120" s="20" t="s">
        <v>502</v>
      </c>
      <c r="G120" s="8" t="str">
        <f t="shared" si="1"/>
        <v>DELGADO DIANAH</v>
      </c>
    </row>
    <row r="121" spans="1:7" x14ac:dyDescent="0.25">
      <c r="A121" s="8">
        <v>42866.439675925925</v>
      </c>
      <c r="B121" s="20" t="s">
        <v>369</v>
      </c>
      <c r="C121" s="20" t="s">
        <v>584</v>
      </c>
      <c r="D121" s="141">
        <v>2370000</v>
      </c>
      <c r="E121" s="20" t="s">
        <v>501</v>
      </c>
      <c r="F121" s="20" t="s">
        <v>502</v>
      </c>
      <c r="G121" s="8" t="str">
        <f t="shared" si="1"/>
        <v>DELGADO DIANAH</v>
      </c>
    </row>
    <row r="122" spans="1:7" x14ac:dyDescent="0.25">
      <c r="A122" s="8">
        <v>42866.440300925926</v>
      </c>
      <c r="B122" s="25" t="s">
        <v>369</v>
      </c>
      <c r="C122" s="20" t="s">
        <v>584</v>
      </c>
      <c r="D122" s="141">
        <v>2370000</v>
      </c>
      <c r="E122" s="20" t="s">
        <v>501</v>
      </c>
      <c r="F122" s="20" t="s">
        <v>502</v>
      </c>
      <c r="G122" s="8" t="str">
        <f t="shared" si="1"/>
        <v>DELGADO DIANAH</v>
      </c>
    </row>
    <row r="123" spans="1:7" x14ac:dyDescent="0.25">
      <c r="A123" s="8">
        <v>42866.441423611112</v>
      </c>
      <c r="B123" s="20" t="s">
        <v>369</v>
      </c>
      <c r="C123" s="20" t="s">
        <v>584</v>
      </c>
      <c r="D123" s="141">
        <v>2370000</v>
      </c>
      <c r="E123" s="20" t="s">
        <v>501</v>
      </c>
      <c r="F123" s="20" t="s">
        <v>502</v>
      </c>
      <c r="G123" s="8" t="str">
        <f t="shared" si="1"/>
        <v>DELGADO DIANAH</v>
      </c>
    </row>
    <row r="124" spans="1:7" x14ac:dyDescent="0.25">
      <c r="A124" s="8">
        <v>42866.442314814813</v>
      </c>
      <c r="B124" s="20" t="s">
        <v>398</v>
      </c>
      <c r="C124" s="20" t="s">
        <v>677</v>
      </c>
      <c r="D124" s="141">
        <v>890000</v>
      </c>
      <c r="E124" s="20" t="s">
        <v>460</v>
      </c>
      <c r="F124" s="20" t="s">
        <v>461</v>
      </c>
      <c r="G124" s="8" t="str">
        <f t="shared" si="1"/>
        <v>LOZA FIDEL</v>
      </c>
    </row>
    <row r="125" spans="1:7" x14ac:dyDescent="0.25">
      <c r="A125" s="8">
        <v>42866.443831018521</v>
      </c>
      <c r="B125" s="20" t="s">
        <v>494</v>
      </c>
      <c r="C125" s="20" t="s">
        <v>678</v>
      </c>
      <c r="D125" s="141">
        <v>2560000</v>
      </c>
      <c r="E125" s="20" t="s">
        <v>624</v>
      </c>
      <c r="F125" s="20" t="s">
        <v>400</v>
      </c>
      <c r="G125" s="8" t="str">
        <f t="shared" si="1"/>
        <v>MACDONALD THOMAS</v>
      </c>
    </row>
    <row r="126" spans="1:7" x14ac:dyDescent="0.25">
      <c r="A126" s="8">
        <v>42866.445648148147</v>
      </c>
      <c r="B126" s="20" t="s">
        <v>374</v>
      </c>
      <c r="C126" s="20" t="s">
        <v>679</v>
      </c>
      <c r="D126" s="141">
        <v>1830000</v>
      </c>
      <c r="E126" s="20" t="s">
        <v>499</v>
      </c>
      <c r="F126" s="20" t="s">
        <v>500</v>
      </c>
      <c r="G126" s="8" t="str">
        <f t="shared" si="1"/>
        <v>YORK EDGAR</v>
      </c>
    </row>
    <row r="127" spans="1:7" x14ac:dyDescent="0.25">
      <c r="A127" s="8">
        <v>42866.450636574074</v>
      </c>
      <c r="B127" s="20" t="s">
        <v>579</v>
      </c>
      <c r="C127" s="20" t="s">
        <v>680</v>
      </c>
      <c r="D127" s="141">
        <v>900000</v>
      </c>
      <c r="E127" s="20" t="s">
        <v>462</v>
      </c>
      <c r="F127" s="20" t="s">
        <v>463</v>
      </c>
      <c r="G127" s="8" t="str">
        <f t="shared" si="1"/>
        <v>ROCHA YAOTL</v>
      </c>
    </row>
    <row r="128" spans="1:7" x14ac:dyDescent="0.25">
      <c r="A128" s="8">
        <v>42866.458796296298</v>
      </c>
      <c r="B128" s="20" t="s">
        <v>503</v>
      </c>
      <c r="C128" s="20" t="s">
        <v>681</v>
      </c>
      <c r="D128" s="141">
        <v>2560000</v>
      </c>
      <c r="E128" s="20" t="s">
        <v>624</v>
      </c>
      <c r="F128" s="20" t="s">
        <v>400</v>
      </c>
      <c r="G128" s="8" t="str">
        <f t="shared" si="1"/>
        <v>MACDONALD THOMAS</v>
      </c>
    </row>
    <row r="129" spans="1:7" x14ac:dyDescent="0.25">
      <c r="A129" s="8">
        <v>42866.459918981483</v>
      </c>
      <c r="B129" s="20" t="s">
        <v>386</v>
      </c>
      <c r="C129" s="20" t="s">
        <v>682</v>
      </c>
      <c r="D129" s="141">
        <v>1830000</v>
      </c>
      <c r="E129" s="20" t="s">
        <v>499</v>
      </c>
      <c r="F129" s="20" t="s">
        <v>500</v>
      </c>
      <c r="G129" s="8" t="str">
        <f t="shared" si="1"/>
        <v>YORK EDGAR</v>
      </c>
    </row>
    <row r="130" spans="1:7" x14ac:dyDescent="0.25">
      <c r="A130" s="8">
        <v>42866.468009259261</v>
      </c>
      <c r="B130" s="20" t="s">
        <v>594</v>
      </c>
      <c r="C130" s="20" t="s">
        <v>683</v>
      </c>
      <c r="D130" s="141">
        <v>3120000</v>
      </c>
      <c r="E130" s="20" t="s">
        <v>464</v>
      </c>
      <c r="F130" s="20" t="s">
        <v>465</v>
      </c>
      <c r="G130" s="8" t="str">
        <f t="shared" si="1"/>
        <v>THOMPSON LESTER</v>
      </c>
    </row>
    <row r="131" spans="1:7" x14ac:dyDescent="0.25">
      <c r="A131" s="8">
        <v>42866.47148148148</v>
      </c>
      <c r="B131" s="20" t="s">
        <v>345</v>
      </c>
      <c r="C131" s="20" t="s">
        <v>684</v>
      </c>
      <c r="D131" s="141">
        <v>890000</v>
      </c>
      <c r="E131" s="20" t="s">
        <v>460</v>
      </c>
      <c r="F131" s="20" t="s">
        <v>461</v>
      </c>
      <c r="G131" s="8" t="str">
        <f t="shared" ref="G131:G194" si="2">E131&amp;" "&amp;F131</f>
        <v>LOZA FIDEL</v>
      </c>
    </row>
    <row r="132" spans="1:7" x14ac:dyDescent="0.25">
      <c r="A132" s="8">
        <v>42866.472210648149</v>
      </c>
      <c r="B132" s="20" t="s">
        <v>494</v>
      </c>
      <c r="C132" s="20" t="s">
        <v>685</v>
      </c>
      <c r="D132" s="141">
        <v>2560000</v>
      </c>
      <c r="E132" s="20" t="s">
        <v>624</v>
      </c>
      <c r="F132" s="20" t="s">
        <v>400</v>
      </c>
      <c r="G132" s="8" t="str">
        <f t="shared" si="2"/>
        <v>MACDONALD THOMAS</v>
      </c>
    </row>
    <row r="133" spans="1:7" x14ac:dyDescent="0.25">
      <c r="A133" s="8">
        <v>42866.477407407408</v>
      </c>
      <c r="B133" s="20" t="s">
        <v>374</v>
      </c>
      <c r="C133" s="20" t="s">
        <v>686</v>
      </c>
      <c r="D133" s="141">
        <v>2440000</v>
      </c>
      <c r="E133" s="20" t="s">
        <v>506</v>
      </c>
      <c r="F133" s="20" t="s">
        <v>507</v>
      </c>
      <c r="G133" s="8" t="str">
        <f t="shared" si="2"/>
        <v>LOPES KIMBERLY</v>
      </c>
    </row>
    <row r="134" spans="1:7" x14ac:dyDescent="0.25">
      <c r="A134" s="8">
        <v>42866.482638888891</v>
      </c>
      <c r="B134" s="20" t="s">
        <v>356</v>
      </c>
      <c r="C134" s="20" t="s">
        <v>687</v>
      </c>
      <c r="D134" s="141">
        <v>2260000</v>
      </c>
      <c r="E134" s="20" t="s">
        <v>688</v>
      </c>
      <c r="F134" s="20" t="s">
        <v>689</v>
      </c>
      <c r="G134" s="8" t="str">
        <f t="shared" si="2"/>
        <v>ARVIDSON DANIEL</v>
      </c>
    </row>
    <row r="135" spans="1:7" x14ac:dyDescent="0.25">
      <c r="A135" s="8">
        <v>42866.483449074076</v>
      </c>
      <c r="B135" s="20" t="s">
        <v>398</v>
      </c>
      <c r="C135" s="20" t="s">
        <v>690</v>
      </c>
      <c r="D135" s="141">
        <v>890000</v>
      </c>
      <c r="E135" s="20" t="s">
        <v>460</v>
      </c>
      <c r="F135" s="20" t="s">
        <v>461</v>
      </c>
      <c r="G135" s="8" t="str">
        <f t="shared" si="2"/>
        <v>LOZA FIDEL</v>
      </c>
    </row>
    <row r="136" spans="1:7" x14ac:dyDescent="0.25">
      <c r="A136" s="8">
        <v>42866.487349537034</v>
      </c>
      <c r="B136" s="20" t="s">
        <v>579</v>
      </c>
      <c r="C136" s="20" t="s">
        <v>683</v>
      </c>
      <c r="D136" s="141">
        <v>3120000</v>
      </c>
      <c r="E136" s="20" t="s">
        <v>464</v>
      </c>
      <c r="F136" s="20" t="s">
        <v>465</v>
      </c>
      <c r="G136" s="8" t="str">
        <f t="shared" si="2"/>
        <v>THOMPSON LESTER</v>
      </c>
    </row>
    <row r="137" spans="1:7" x14ac:dyDescent="0.25">
      <c r="A137" s="8">
        <v>42866.488252314812</v>
      </c>
      <c r="B137" s="20" t="s">
        <v>579</v>
      </c>
      <c r="C137" s="20" t="s">
        <v>691</v>
      </c>
      <c r="D137" s="141">
        <v>3120000</v>
      </c>
      <c r="E137" s="20" t="s">
        <v>464</v>
      </c>
      <c r="F137" s="20" t="s">
        <v>465</v>
      </c>
      <c r="G137" s="8" t="str">
        <f t="shared" si="2"/>
        <v>THOMPSON LESTER</v>
      </c>
    </row>
    <row r="138" spans="1:7" x14ac:dyDescent="0.25">
      <c r="A138" s="8">
        <v>42866.489907407406</v>
      </c>
      <c r="B138" s="20" t="s">
        <v>343</v>
      </c>
      <c r="C138" s="20" t="s">
        <v>692</v>
      </c>
      <c r="D138" s="141">
        <v>1230000</v>
      </c>
      <c r="E138" s="20" t="s">
        <v>649</v>
      </c>
      <c r="F138" s="20" t="s">
        <v>650</v>
      </c>
      <c r="G138" s="8" t="str">
        <f t="shared" si="2"/>
        <v>YANAI IAN</v>
      </c>
    </row>
    <row r="139" spans="1:7" x14ac:dyDescent="0.25">
      <c r="A139" s="8">
        <v>42866.491273148145</v>
      </c>
      <c r="B139" s="20" t="s">
        <v>503</v>
      </c>
      <c r="C139" s="20" t="s">
        <v>693</v>
      </c>
      <c r="D139" s="141">
        <v>2360000</v>
      </c>
      <c r="E139" s="20" t="s">
        <v>694</v>
      </c>
      <c r="F139" s="20" t="s">
        <v>695</v>
      </c>
      <c r="G139" s="8" t="str">
        <f t="shared" si="2"/>
        <v>BRANDNER MELINDA</v>
      </c>
    </row>
    <row r="140" spans="1:7" x14ac:dyDescent="0.25">
      <c r="A140" s="8">
        <v>42866.49255787037</v>
      </c>
      <c r="B140" s="20" t="s">
        <v>365</v>
      </c>
      <c r="C140" s="20" t="s">
        <v>584</v>
      </c>
      <c r="D140" s="141">
        <v>2560000</v>
      </c>
      <c r="E140" s="20" t="s">
        <v>624</v>
      </c>
      <c r="F140" s="20" t="s">
        <v>400</v>
      </c>
      <c r="G140" s="8" t="str">
        <f t="shared" si="2"/>
        <v>MACDONALD THOMAS</v>
      </c>
    </row>
    <row r="141" spans="1:7" x14ac:dyDescent="0.25">
      <c r="A141" s="8">
        <v>42866.496782407405</v>
      </c>
      <c r="B141" s="20" t="s">
        <v>503</v>
      </c>
      <c r="C141" s="20" t="s">
        <v>693</v>
      </c>
      <c r="D141" s="141">
        <v>2360000</v>
      </c>
      <c r="E141" s="20" t="s">
        <v>694</v>
      </c>
      <c r="F141" s="20" t="s">
        <v>695</v>
      </c>
      <c r="G141" s="8" t="str">
        <f t="shared" si="2"/>
        <v>BRANDNER MELINDA</v>
      </c>
    </row>
    <row r="142" spans="1:7" x14ac:dyDescent="0.25">
      <c r="A142" s="8">
        <v>42866.504004629627</v>
      </c>
      <c r="B142" s="20" t="s">
        <v>594</v>
      </c>
      <c r="C142" s="20" t="s">
        <v>696</v>
      </c>
      <c r="D142" s="141">
        <v>3120000</v>
      </c>
      <c r="E142" s="20" t="s">
        <v>464</v>
      </c>
      <c r="F142" s="20" t="s">
        <v>465</v>
      </c>
      <c r="G142" s="8" t="str">
        <f t="shared" si="2"/>
        <v>THOMPSON LESTER</v>
      </c>
    </row>
    <row r="143" spans="1:7" x14ac:dyDescent="0.25">
      <c r="A143" s="8">
        <v>42866.504884259259</v>
      </c>
      <c r="B143" s="20" t="s">
        <v>594</v>
      </c>
      <c r="C143" s="20" t="s">
        <v>696</v>
      </c>
      <c r="D143" s="141">
        <v>3120000</v>
      </c>
      <c r="E143" s="20" t="s">
        <v>464</v>
      </c>
      <c r="F143" s="20" t="s">
        <v>465</v>
      </c>
      <c r="G143" s="8" t="str">
        <f t="shared" si="2"/>
        <v>THOMPSON LESTER</v>
      </c>
    </row>
    <row r="144" spans="1:7" x14ac:dyDescent="0.25">
      <c r="A144" s="8">
        <v>42866.506655092591</v>
      </c>
      <c r="B144" s="20" t="s">
        <v>594</v>
      </c>
      <c r="C144" s="20" t="s">
        <v>697</v>
      </c>
      <c r="D144" s="141">
        <v>3120000</v>
      </c>
      <c r="E144" s="20" t="s">
        <v>464</v>
      </c>
      <c r="F144" s="20" t="s">
        <v>465</v>
      </c>
      <c r="G144" s="8" t="str">
        <f t="shared" si="2"/>
        <v>THOMPSON LESTER</v>
      </c>
    </row>
    <row r="145" spans="1:7" x14ac:dyDescent="0.25">
      <c r="A145" s="8">
        <v>42866.507696759261</v>
      </c>
      <c r="B145" s="20" t="s">
        <v>345</v>
      </c>
      <c r="C145" s="20" t="s">
        <v>698</v>
      </c>
      <c r="D145" s="141">
        <v>890000</v>
      </c>
      <c r="E145" s="20" t="s">
        <v>460</v>
      </c>
      <c r="F145" s="20" t="s">
        <v>461</v>
      </c>
      <c r="G145" s="8" t="str">
        <f t="shared" si="2"/>
        <v>LOZA FIDEL</v>
      </c>
    </row>
    <row r="146" spans="1:7" x14ac:dyDescent="0.25">
      <c r="A146" s="8">
        <v>42866.510868055557</v>
      </c>
      <c r="B146" s="20" t="s">
        <v>374</v>
      </c>
      <c r="C146" s="20" t="s">
        <v>699</v>
      </c>
      <c r="D146" s="141">
        <v>2440000</v>
      </c>
      <c r="E146" s="20" t="s">
        <v>506</v>
      </c>
      <c r="F146" s="20" t="s">
        <v>507</v>
      </c>
      <c r="G146" s="8" t="str">
        <f t="shared" si="2"/>
        <v>LOPES KIMBERLY</v>
      </c>
    </row>
    <row r="147" spans="1:7" x14ac:dyDescent="0.25">
      <c r="A147" s="8">
        <v>42866.519085648149</v>
      </c>
      <c r="B147" s="20" t="s">
        <v>357</v>
      </c>
      <c r="C147" s="20" t="s">
        <v>700</v>
      </c>
      <c r="D147" s="141">
        <v>2260000</v>
      </c>
      <c r="E147" s="20" t="s">
        <v>688</v>
      </c>
      <c r="F147" s="20" t="s">
        <v>689</v>
      </c>
      <c r="G147" s="8" t="str">
        <f t="shared" si="2"/>
        <v>ARVIDSON DANIEL</v>
      </c>
    </row>
    <row r="148" spans="1:7" x14ac:dyDescent="0.25">
      <c r="A148" s="8">
        <v>42866.522858796299</v>
      </c>
      <c r="B148" s="20" t="s">
        <v>494</v>
      </c>
      <c r="C148" s="20" t="s">
        <v>585</v>
      </c>
      <c r="D148" s="141">
        <v>2360000</v>
      </c>
      <c r="E148" s="20" t="s">
        <v>694</v>
      </c>
      <c r="F148" s="20" t="s">
        <v>695</v>
      </c>
      <c r="G148" s="8" t="str">
        <f t="shared" si="2"/>
        <v>BRANDNER MELINDA</v>
      </c>
    </row>
    <row r="149" spans="1:7" x14ac:dyDescent="0.25">
      <c r="A149" s="8">
        <v>42866.525069444448</v>
      </c>
      <c r="B149" s="20" t="s">
        <v>398</v>
      </c>
      <c r="C149" s="20" t="s">
        <v>701</v>
      </c>
      <c r="D149" s="141">
        <v>890000</v>
      </c>
      <c r="E149" s="20" t="s">
        <v>460</v>
      </c>
      <c r="F149" s="20" t="s">
        <v>461</v>
      </c>
      <c r="G149" s="8" t="str">
        <f t="shared" si="2"/>
        <v>LOZA FIDEL</v>
      </c>
    </row>
    <row r="150" spans="1:7" x14ac:dyDescent="0.25">
      <c r="A150" s="8">
        <v>42866.53056712963</v>
      </c>
      <c r="B150" s="20" t="s">
        <v>386</v>
      </c>
      <c r="C150" s="20" t="s">
        <v>699</v>
      </c>
      <c r="D150" s="141">
        <v>2440000</v>
      </c>
      <c r="E150" s="20" t="s">
        <v>506</v>
      </c>
      <c r="F150" s="20" t="s">
        <v>507</v>
      </c>
      <c r="G150" s="8" t="str">
        <f t="shared" si="2"/>
        <v>LOPES KIMBERLY</v>
      </c>
    </row>
    <row r="151" spans="1:7" x14ac:dyDescent="0.25">
      <c r="A151" s="8">
        <v>42866.530590277776</v>
      </c>
      <c r="B151" s="20" t="s">
        <v>356</v>
      </c>
      <c r="C151" s="20" t="s">
        <v>702</v>
      </c>
      <c r="D151" s="141">
        <v>3030000</v>
      </c>
      <c r="E151" s="20" t="s">
        <v>427</v>
      </c>
      <c r="F151" s="20" t="s">
        <v>400</v>
      </c>
      <c r="G151" s="8" t="str">
        <f t="shared" si="2"/>
        <v>BIRENBAUM THOMAS</v>
      </c>
    </row>
    <row r="152" spans="1:7" x14ac:dyDescent="0.25">
      <c r="A152" s="8">
        <v>42866.531238425923</v>
      </c>
      <c r="B152" s="20" t="s">
        <v>494</v>
      </c>
      <c r="C152" s="20" t="s">
        <v>585</v>
      </c>
      <c r="D152" s="141">
        <v>2360000</v>
      </c>
      <c r="E152" s="20" t="s">
        <v>694</v>
      </c>
      <c r="F152" s="20" t="s">
        <v>695</v>
      </c>
      <c r="G152" s="8" t="str">
        <f t="shared" si="2"/>
        <v>BRANDNER MELINDA</v>
      </c>
    </row>
    <row r="153" spans="1:7" x14ac:dyDescent="0.25">
      <c r="A153" s="8">
        <v>42866.542812500003</v>
      </c>
      <c r="B153" s="20" t="s">
        <v>503</v>
      </c>
      <c r="C153" s="20" t="s">
        <v>586</v>
      </c>
      <c r="D153" s="141">
        <v>2360000</v>
      </c>
      <c r="E153" s="20" t="s">
        <v>694</v>
      </c>
      <c r="F153" s="20" t="s">
        <v>695</v>
      </c>
      <c r="G153" s="8" t="str">
        <f t="shared" si="2"/>
        <v>BRANDNER MELINDA</v>
      </c>
    </row>
    <row r="154" spans="1:7" x14ac:dyDescent="0.25">
      <c r="A154" s="8">
        <v>42866.546064814815</v>
      </c>
      <c r="B154" s="20" t="s">
        <v>344</v>
      </c>
      <c r="C154" s="20" t="s">
        <v>703</v>
      </c>
      <c r="D154" s="141">
        <v>1230000</v>
      </c>
      <c r="E154" s="20" t="s">
        <v>649</v>
      </c>
      <c r="F154" s="20" t="s">
        <v>650</v>
      </c>
      <c r="G154" s="8" t="str">
        <f t="shared" si="2"/>
        <v>YANAI IAN</v>
      </c>
    </row>
    <row r="155" spans="1:7" x14ac:dyDescent="0.25">
      <c r="A155" s="8">
        <v>42866.549884259257</v>
      </c>
      <c r="B155" s="20" t="s">
        <v>345</v>
      </c>
      <c r="C155" s="20" t="s">
        <v>704</v>
      </c>
      <c r="D155" s="141">
        <v>3130000</v>
      </c>
      <c r="E155" s="20" t="s">
        <v>430</v>
      </c>
      <c r="F155" s="20" t="s">
        <v>431</v>
      </c>
      <c r="G155" s="8" t="str">
        <f t="shared" si="2"/>
        <v>ZEWDU DEREJE</v>
      </c>
    </row>
    <row r="156" spans="1:7" x14ac:dyDescent="0.25">
      <c r="A156" s="8">
        <v>42866.556886574072</v>
      </c>
      <c r="B156" s="20" t="s">
        <v>594</v>
      </c>
      <c r="C156" s="20" t="s">
        <v>705</v>
      </c>
      <c r="D156" s="141">
        <v>3120000</v>
      </c>
      <c r="E156" s="20" t="s">
        <v>464</v>
      </c>
      <c r="F156" s="20" t="s">
        <v>465</v>
      </c>
      <c r="G156" s="8" t="str">
        <f t="shared" si="2"/>
        <v>THOMPSON LESTER</v>
      </c>
    </row>
    <row r="157" spans="1:7" x14ac:dyDescent="0.25">
      <c r="A157" s="8">
        <v>42866.56726851852</v>
      </c>
      <c r="B157" s="20" t="s">
        <v>618</v>
      </c>
      <c r="C157" s="20" t="s">
        <v>706</v>
      </c>
      <c r="D157" s="141">
        <v>2440000</v>
      </c>
      <c r="E157" s="20" t="s">
        <v>506</v>
      </c>
      <c r="F157" s="20" t="s">
        <v>507</v>
      </c>
      <c r="G157" s="8" t="str">
        <f t="shared" si="2"/>
        <v>LOPES KIMBERLY</v>
      </c>
    </row>
    <row r="158" spans="1:7" x14ac:dyDescent="0.25">
      <c r="A158" s="8">
        <v>42866.567696759259</v>
      </c>
      <c r="B158" s="20" t="s">
        <v>398</v>
      </c>
      <c r="C158" s="20" t="s">
        <v>707</v>
      </c>
      <c r="D158" s="141">
        <v>3130000</v>
      </c>
      <c r="E158" s="20" t="s">
        <v>430</v>
      </c>
      <c r="F158" s="20" t="s">
        <v>431</v>
      </c>
      <c r="G158" s="8" t="str">
        <f t="shared" si="2"/>
        <v>ZEWDU DEREJE</v>
      </c>
    </row>
    <row r="159" spans="1:7" x14ac:dyDescent="0.25">
      <c r="A159" s="8">
        <v>42866.570821759262</v>
      </c>
      <c r="B159" s="20" t="s">
        <v>357</v>
      </c>
      <c r="C159" s="20" t="s">
        <v>708</v>
      </c>
      <c r="D159" s="141">
        <v>3030000</v>
      </c>
      <c r="E159" s="20" t="s">
        <v>427</v>
      </c>
      <c r="F159" s="20" t="s">
        <v>400</v>
      </c>
      <c r="G159" s="8" t="str">
        <f t="shared" si="2"/>
        <v>BIRENBAUM THOMAS</v>
      </c>
    </row>
    <row r="160" spans="1:7" x14ac:dyDescent="0.25">
      <c r="A160" s="8">
        <v>42866.573298611111</v>
      </c>
      <c r="B160" s="20" t="s">
        <v>618</v>
      </c>
      <c r="C160" s="20" t="s">
        <v>706</v>
      </c>
      <c r="D160" s="141">
        <v>2440000</v>
      </c>
      <c r="E160" s="20" t="s">
        <v>506</v>
      </c>
      <c r="F160" s="20" t="s">
        <v>507</v>
      </c>
      <c r="G160" s="8" t="str">
        <f t="shared" si="2"/>
        <v>LOPES KIMBERLY</v>
      </c>
    </row>
    <row r="161" spans="1:7" x14ac:dyDescent="0.25">
      <c r="A161" s="8">
        <v>42866.581099537034</v>
      </c>
      <c r="B161" s="20" t="s">
        <v>709</v>
      </c>
      <c r="C161" s="20" t="s">
        <v>710</v>
      </c>
      <c r="D161" s="141">
        <v>2260000</v>
      </c>
      <c r="E161" s="20" t="s">
        <v>688</v>
      </c>
      <c r="F161" s="20" t="s">
        <v>689</v>
      </c>
      <c r="G161" s="8" t="str">
        <f t="shared" si="2"/>
        <v>ARVIDSON DANIEL</v>
      </c>
    </row>
    <row r="162" spans="1:7" x14ac:dyDescent="0.25">
      <c r="A162" s="8">
        <v>42866.582557870373</v>
      </c>
      <c r="B162" s="20" t="s">
        <v>345</v>
      </c>
      <c r="C162" s="20" t="s">
        <v>711</v>
      </c>
      <c r="D162" s="141">
        <v>3130000</v>
      </c>
      <c r="E162" s="20" t="s">
        <v>430</v>
      </c>
      <c r="F162" s="20" t="s">
        <v>431</v>
      </c>
      <c r="G162" s="8" t="str">
        <f t="shared" si="2"/>
        <v>ZEWDU DEREJE</v>
      </c>
    </row>
    <row r="163" spans="1:7" x14ac:dyDescent="0.25">
      <c r="A163" s="8">
        <v>42866.583020833335</v>
      </c>
      <c r="B163" s="20" t="s">
        <v>343</v>
      </c>
      <c r="C163" s="20" t="s">
        <v>712</v>
      </c>
      <c r="D163" s="141">
        <v>1540000</v>
      </c>
      <c r="E163" s="20" t="s">
        <v>504</v>
      </c>
      <c r="F163" s="20" t="s">
        <v>505</v>
      </c>
      <c r="G163" s="8" t="str">
        <f t="shared" si="2"/>
        <v>HELVIE ADAM</v>
      </c>
    </row>
    <row r="164" spans="1:7" x14ac:dyDescent="0.25">
      <c r="A164" s="8">
        <v>42866.585740740738</v>
      </c>
      <c r="B164" s="20" t="s">
        <v>494</v>
      </c>
      <c r="C164" s="20" t="s">
        <v>587</v>
      </c>
      <c r="D164" s="141">
        <v>2360000</v>
      </c>
      <c r="E164" s="20" t="s">
        <v>694</v>
      </c>
      <c r="F164" s="20" t="s">
        <v>695</v>
      </c>
      <c r="G164" s="8" t="str">
        <f t="shared" si="2"/>
        <v>BRANDNER MELINDA</v>
      </c>
    </row>
    <row r="165" spans="1:7" x14ac:dyDescent="0.25">
      <c r="A165" s="8">
        <v>42866.588900462964</v>
      </c>
      <c r="B165" s="20" t="s">
        <v>495</v>
      </c>
      <c r="C165" s="20" t="s">
        <v>710</v>
      </c>
      <c r="D165" s="141">
        <v>2260000</v>
      </c>
      <c r="E165" s="20" t="s">
        <v>688</v>
      </c>
      <c r="F165" s="20" t="s">
        <v>689</v>
      </c>
      <c r="G165" s="8" t="str">
        <f t="shared" si="2"/>
        <v>ARVIDSON DANIEL</v>
      </c>
    </row>
    <row r="166" spans="1:7" x14ac:dyDescent="0.25">
      <c r="A166" s="8">
        <v>42866.602303240739</v>
      </c>
      <c r="B166" s="20" t="s">
        <v>356</v>
      </c>
      <c r="C166" s="20" t="s">
        <v>713</v>
      </c>
      <c r="D166" s="141">
        <v>3030000</v>
      </c>
      <c r="E166" s="20" t="s">
        <v>427</v>
      </c>
      <c r="F166" s="20" t="s">
        <v>400</v>
      </c>
      <c r="G166" s="8" t="str">
        <f t="shared" si="2"/>
        <v>BIRENBAUM THOMAS</v>
      </c>
    </row>
    <row r="167" spans="1:7" x14ac:dyDescent="0.25">
      <c r="A167" s="8">
        <v>42866.603020833332</v>
      </c>
      <c r="B167" s="20" t="s">
        <v>356</v>
      </c>
      <c r="C167" s="20" t="s">
        <v>713</v>
      </c>
      <c r="D167" s="141">
        <v>3030000</v>
      </c>
      <c r="E167" s="20" t="s">
        <v>427</v>
      </c>
      <c r="F167" s="20" t="s">
        <v>400</v>
      </c>
      <c r="G167" s="8" t="str">
        <f t="shared" si="2"/>
        <v>BIRENBAUM THOMAS</v>
      </c>
    </row>
    <row r="168" spans="1:7" x14ac:dyDescent="0.25">
      <c r="A168" s="8">
        <v>42866.604386574072</v>
      </c>
      <c r="B168" s="20" t="s">
        <v>356</v>
      </c>
      <c r="C168" s="20" t="s">
        <v>713</v>
      </c>
      <c r="D168" s="141">
        <v>3030000</v>
      </c>
      <c r="E168" s="20" t="s">
        <v>427</v>
      </c>
      <c r="F168" s="20" t="s">
        <v>400</v>
      </c>
      <c r="G168" s="8" t="str">
        <f t="shared" si="2"/>
        <v>BIRENBAUM THOMAS</v>
      </c>
    </row>
    <row r="169" spans="1:7" x14ac:dyDescent="0.25">
      <c r="A169" s="8">
        <v>42866.608587962961</v>
      </c>
      <c r="B169" s="20" t="s">
        <v>398</v>
      </c>
      <c r="C169" s="20" t="s">
        <v>714</v>
      </c>
      <c r="D169" s="141">
        <v>3130000</v>
      </c>
      <c r="E169" s="20" t="s">
        <v>430</v>
      </c>
      <c r="F169" s="20" t="s">
        <v>431</v>
      </c>
      <c r="G169" s="8" t="str">
        <f t="shared" si="2"/>
        <v>ZEWDU DEREJE</v>
      </c>
    </row>
    <row r="170" spans="1:7" x14ac:dyDescent="0.25">
      <c r="A170" s="8">
        <v>42866.61309027778</v>
      </c>
      <c r="B170" s="20" t="s">
        <v>579</v>
      </c>
      <c r="C170" s="20" t="s">
        <v>715</v>
      </c>
      <c r="D170" s="141">
        <v>2230000</v>
      </c>
      <c r="E170" s="20" t="s">
        <v>346</v>
      </c>
      <c r="F170" s="20" t="s">
        <v>196</v>
      </c>
      <c r="G170" s="8" t="str">
        <f t="shared" si="2"/>
        <v>SMITH MICHAEL</v>
      </c>
    </row>
    <row r="171" spans="1:7" x14ac:dyDescent="0.25">
      <c r="A171" s="8">
        <v>42866.617430555554</v>
      </c>
      <c r="B171" s="20" t="s">
        <v>406</v>
      </c>
      <c r="C171" s="20" t="s">
        <v>588</v>
      </c>
      <c r="D171" s="141">
        <v>2370000</v>
      </c>
      <c r="E171" s="20" t="s">
        <v>501</v>
      </c>
      <c r="F171" s="20" t="s">
        <v>502</v>
      </c>
      <c r="G171" s="8" t="str">
        <f t="shared" si="2"/>
        <v>DELGADO DIANAH</v>
      </c>
    </row>
    <row r="172" spans="1:7" x14ac:dyDescent="0.25">
      <c r="A172" s="8">
        <v>42866.619733796295</v>
      </c>
      <c r="B172" s="20" t="s">
        <v>369</v>
      </c>
      <c r="C172" s="20" t="s">
        <v>716</v>
      </c>
      <c r="D172" s="141">
        <v>2480000</v>
      </c>
      <c r="E172" s="20" t="s">
        <v>717</v>
      </c>
      <c r="F172" s="20" t="s">
        <v>718</v>
      </c>
      <c r="G172" s="8" t="str">
        <f t="shared" si="2"/>
        <v>WHITED DUSTIN</v>
      </c>
    </row>
    <row r="173" spans="1:7" x14ac:dyDescent="0.25">
      <c r="A173" s="8">
        <v>42866.624351851853</v>
      </c>
      <c r="B173" s="20" t="s">
        <v>503</v>
      </c>
      <c r="C173" s="20" t="s">
        <v>719</v>
      </c>
      <c r="D173" s="141">
        <v>2360000</v>
      </c>
      <c r="E173" s="20" t="s">
        <v>694</v>
      </c>
      <c r="F173" s="20" t="s">
        <v>695</v>
      </c>
      <c r="G173" s="8" t="str">
        <f t="shared" si="2"/>
        <v>BRANDNER MELINDA</v>
      </c>
    </row>
    <row r="174" spans="1:7" x14ac:dyDescent="0.25">
      <c r="A174" s="8">
        <v>42866.624351851853</v>
      </c>
      <c r="B174" s="20" t="s">
        <v>345</v>
      </c>
      <c r="C174" s="20" t="s">
        <v>720</v>
      </c>
      <c r="D174" s="141">
        <v>3130000</v>
      </c>
      <c r="E174" s="20" t="s">
        <v>430</v>
      </c>
      <c r="F174" s="20" t="s">
        <v>431</v>
      </c>
      <c r="G174" s="8" t="str">
        <f t="shared" si="2"/>
        <v>ZEWDU DEREJE</v>
      </c>
    </row>
    <row r="175" spans="1:7" x14ac:dyDescent="0.25">
      <c r="A175" s="8">
        <v>42866.63077546296</v>
      </c>
      <c r="B175" s="20" t="s">
        <v>344</v>
      </c>
      <c r="C175" s="20" t="s">
        <v>590</v>
      </c>
      <c r="D175" s="141">
        <v>1540000</v>
      </c>
      <c r="E175" s="20" t="s">
        <v>504</v>
      </c>
      <c r="F175" s="20" t="s">
        <v>505</v>
      </c>
      <c r="G175" s="8" t="str">
        <f t="shared" si="2"/>
        <v>HELVIE ADAM</v>
      </c>
    </row>
    <row r="176" spans="1:7" x14ac:dyDescent="0.25">
      <c r="A176" s="8">
        <v>42866.633784722224</v>
      </c>
      <c r="B176" s="20" t="s">
        <v>709</v>
      </c>
      <c r="C176" s="20" t="s">
        <v>710</v>
      </c>
      <c r="D176" s="141">
        <v>2260000</v>
      </c>
      <c r="E176" s="20" t="s">
        <v>688</v>
      </c>
      <c r="F176" s="20" t="s">
        <v>689</v>
      </c>
      <c r="G176" s="8" t="str">
        <f t="shared" si="2"/>
        <v>ARVIDSON DANIEL</v>
      </c>
    </row>
    <row r="177" spans="1:7" x14ac:dyDescent="0.25">
      <c r="A177" s="8">
        <v>42866.642291666663</v>
      </c>
      <c r="B177" s="20" t="s">
        <v>457</v>
      </c>
      <c r="C177" s="20" t="s">
        <v>589</v>
      </c>
      <c r="D177" s="141">
        <v>3090000</v>
      </c>
      <c r="E177" s="20" t="s">
        <v>421</v>
      </c>
      <c r="F177" s="20" t="s">
        <v>422</v>
      </c>
      <c r="G177" s="8" t="str">
        <f t="shared" si="2"/>
        <v>LAMAR NEKESHA</v>
      </c>
    </row>
    <row r="178" spans="1:7" x14ac:dyDescent="0.25">
      <c r="A178" s="8">
        <v>42866.643009259256</v>
      </c>
      <c r="B178" s="20" t="s">
        <v>457</v>
      </c>
      <c r="C178" s="20" t="s">
        <v>589</v>
      </c>
      <c r="D178" s="141">
        <v>3090000</v>
      </c>
      <c r="E178" s="20" t="s">
        <v>421</v>
      </c>
      <c r="F178" s="20" t="s">
        <v>422</v>
      </c>
      <c r="G178" s="8" t="str">
        <f t="shared" si="2"/>
        <v>LAMAR NEKESHA</v>
      </c>
    </row>
    <row r="179" spans="1:7" x14ac:dyDescent="0.25">
      <c r="A179" s="8">
        <v>42866.643842592595</v>
      </c>
      <c r="B179" s="20" t="s">
        <v>457</v>
      </c>
      <c r="C179" s="20" t="s">
        <v>589</v>
      </c>
      <c r="D179" s="141">
        <v>3090000</v>
      </c>
      <c r="E179" s="20" t="s">
        <v>421</v>
      </c>
      <c r="F179" s="20" t="s">
        <v>422</v>
      </c>
      <c r="G179" s="8" t="str">
        <f t="shared" si="2"/>
        <v>LAMAR NEKESHA</v>
      </c>
    </row>
    <row r="180" spans="1:7" x14ac:dyDescent="0.25">
      <c r="A180" s="8">
        <v>42866.644988425927</v>
      </c>
      <c r="B180" s="20" t="s">
        <v>594</v>
      </c>
      <c r="C180" s="20" t="s">
        <v>721</v>
      </c>
      <c r="D180" s="141">
        <v>1230000</v>
      </c>
      <c r="E180" s="20" t="s">
        <v>649</v>
      </c>
      <c r="F180" s="20" t="s">
        <v>650</v>
      </c>
      <c r="G180" s="8" t="str">
        <f t="shared" si="2"/>
        <v>YANAI IAN</v>
      </c>
    </row>
    <row r="181" spans="1:7" x14ac:dyDescent="0.25">
      <c r="A181" s="8">
        <v>42866.647858796299</v>
      </c>
      <c r="B181" s="20" t="s">
        <v>457</v>
      </c>
      <c r="C181" s="20" t="s">
        <v>589</v>
      </c>
      <c r="D181" s="141">
        <v>3090000</v>
      </c>
      <c r="E181" s="20" t="s">
        <v>421</v>
      </c>
      <c r="F181" s="20" t="s">
        <v>422</v>
      </c>
      <c r="G181" s="8" t="str">
        <f t="shared" si="2"/>
        <v>LAMAR NEKESHA</v>
      </c>
    </row>
    <row r="182" spans="1:7" x14ac:dyDescent="0.25">
      <c r="A182" s="8">
        <v>42866.648159722223</v>
      </c>
      <c r="B182" s="20" t="s">
        <v>357</v>
      </c>
      <c r="C182" s="20" t="s">
        <v>722</v>
      </c>
      <c r="D182" s="141">
        <v>3030000</v>
      </c>
      <c r="E182" s="20" t="s">
        <v>427</v>
      </c>
      <c r="F182" s="20" t="s">
        <v>400</v>
      </c>
      <c r="G182" s="8" t="str">
        <f t="shared" si="2"/>
        <v>BIRENBAUM THOMAS</v>
      </c>
    </row>
    <row r="183" spans="1:7" x14ac:dyDescent="0.25">
      <c r="A183" s="8">
        <v>42866.650763888887</v>
      </c>
      <c r="B183" s="20" t="s">
        <v>398</v>
      </c>
      <c r="C183" s="20" t="s">
        <v>723</v>
      </c>
      <c r="D183" s="141">
        <v>3130000</v>
      </c>
      <c r="E183" s="20" t="s">
        <v>430</v>
      </c>
      <c r="F183" s="20" t="s">
        <v>431</v>
      </c>
      <c r="G183" s="8" t="str">
        <f t="shared" si="2"/>
        <v>ZEWDU DEREJE</v>
      </c>
    </row>
    <row r="184" spans="1:7" x14ac:dyDescent="0.25">
      <c r="A184" s="8">
        <v>42866.654421296298</v>
      </c>
      <c r="B184" s="20" t="s">
        <v>495</v>
      </c>
      <c r="C184" s="20" t="s">
        <v>710</v>
      </c>
      <c r="D184" s="141">
        <v>2260000</v>
      </c>
      <c r="E184" s="20" t="s">
        <v>688</v>
      </c>
      <c r="F184" s="20" t="s">
        <v>689</v>
      </c>
      <c r="G184" s="8" t="str">
        <f t="shared" si="2"/>
        <v>ARVIDSON DANIEL</v>
      </c>
    </row>
    <row r="185" spans="1:7" x14ac:dyDescent="0.25">
      <c r="A185" s="8">
        <v>42866.658506944441</v>
      </c>
      <c r="B185" s="20" t="s">
        <v>459</v>
      </c>
      <c r="C185" s="20" t="s">
        <v>724</v>
      </c>
      <c r="D185" s="141">
        <v>1740000</v>
      </c>
      <c r="E185" s="20" t="s">
        <v>508</v>
      </c>
      <c r="F185" s="20" t="s">
        <v>509</v>
      </c>
      <c r="G185" s="8" t="str">
        <f t="shared" si="2"/>
        <v>STORY SAMANTHA</v>
      </c>
    </row>
    <row r="186" spans="1:7" x14ac:dyDescent="0.25">
      <c r="A186" s="8">
        <v>42866.659479166665</v>
      </c>
      <c r="B186" s="20" t="s">
        <v>459</v>
      </c>
      <c r="C186" s="20" t="s">
        <v>724</v>
      </c>
      <c r="D186" s="141">
        <v>1740000</v>
      </c>
      <c r="E186" s="20" t="s">
        <v>508</v>
      </c>
      <c r="F186" s="20" t="s">
        <v>509</v>
      </c>
      <c r="G186" s="8" t="str">
        <f t="shared" si="2"/>
        <v>STORY SAMANTHA</v>
      </c>
    </row>
    <row r="187" spans="1:7" x14ac:dyDescent="0.25">
      <c r="A187" s="8">
        <v>42866.66028935185</v>
      </c>
      <c r="B187" s="20" t="s">
        <v>459</v>
      </c>
      <c r="C187" s="20" t="s">
        <v>725</v>
      </c>
      <c r="D187" s="141">
        <v>1740000</v>
      </c>
      <c r="E187" s="20" t="s">
        <v>508</v>
      </c>
      <c r="F187" s="20" t="s">
        <v>509</v>
      </c>
      <c r="G187" s="8" t="str">
        <f t="shared" si="2"/>
        <v>STORY SAMANTHA</v>
      </c>
    </row>
    <row r="188" spans="1:7" x14ac:dyDescent="0.25">
      <c r="A188" s="8">
        <v>42866.665208333332</v>
      </c>
      <c r="B188" s="20" t="s">
        <v>343</v>
      </c>
      <c r="C188" s="20" t="s">
        <v>726</v>
      </c>
      <c r="D188" s="141">
        <v>1540000</v>
      </c>
      <c r="E188" s="20" t="s">
        <v>504</v>
      </c>
      <c r="F188" s="20" t="s">
        <v>505</v>
      </c>
      <c r="G188" s="8" t="str">
        <f t="shared" si="2"/>
        <v>HELVIE ADAM</v>
      </c>
    </row>
    <row r="189" spans="1:7" x14ac:dyDescent="0.25">
      <c r="A189" s="8">
        <v>42866.667337962965</v>
      </c>
      <c r="B189" s="20" t="s">
        <v>345</v>
      </c>
      <c r="C189" s="20" t="s">
        <v>727</v>
      </c>
      <c r="D189" s="141">
        <v>3130000</v>
      </c>
      <c r="E189" s="20" t="s">
        <v>430</v>
      </c>
      <c r="F189" s="20" t="s">
        <v>431</v>
      </c>
      <c r="G189" s="8" t="str">
        <f t="shared" si="2"/>
        <v>ZEWDU DEREJE</v>
      </c>
    </row>
    <row r="190" spans="1:7" x14ac:dyDescent="0.25">
      <c r="A190" s="8">
        <v>42866.668298611112</v>
      </c>
      <c r="B190" s="20" t="s">
        <v>365</v>
      </c>
      <c r="C190" s="20" t="s">
        <v>728</v>
      </c>
      <c r="D190" s="141">
        <v>930000</v>
      </c>
      <c r="E190" s="20" t="s">
        <v>419</v>
      </c>
      <c r="F190" s="20" t="s">
        <v>420</v>
      </c>
      <c r="G190" s="8" t="str">
        <f t="shared" si="2"/>
        <v>CLARK KATHLEEN</v>
      </c>
    </row>
    <row r="191" spans="1:7" x14ac:dyDescent="0.25">
      <c r="A191" s="8">
        <v>42866.668668981481</v>
      </c>
      <c r="B191" s="20" t="s">
        <v>494</v>
      </c>
      <c r="C191" s="20" t="s">
        <v>592</v>
      </c>
      <c r="D191" s="141">
        <v>2360000</v>
      </c>
      <c r="E191" s="20" t="s">
        <v>694</v>
      </c>
      <c r="F191" s="20" t="s">
        <v>695</v>
      </c>
      <c r="G191" s="8" t="str">
        <f t="shared" si="2"/>
        <v>BRANDNER MELINDA</v>
      </c>
    </row>
    <row r="192" spans="1:7" x14ac:dyDescent="0.25">
      <c r="A192" s="8">
        <v>42866.670636574076</v>
      </c>
      <c r="B192" s="20" t="s">
        <v>386</v>
      </c>
      <c r="C192" s="20" t="s">
        <v>591</v>
      </c>
      <c r="D192" s="141">
        <v>2440000</v>
      </c>
      <c r="E192" s="20" t="s">
        <v>506</v>
      </c>
      <c r="F192" s="20" t="s">
        <v>507</v>
      </c>
      <c r="G192" s="8" t="str">
        <f t="shared" si="2"/>
        <v>LOPES KIMBERLY</v>
      </c>
    </row>
    <row r="193" spans="1:7" x14ac:dyDescent="0.25">
      <c r="A193" s="8">
        <v>42866.672534722224</v>
      </c>
      <c r="B193" s="20" t="s">
        <v>457</v>
      </c>
      <c r="C193" s="20" t="s">
        <v>724</v>
      </c>
      <c r="D193" s="141">
        <v>3090000</v>
      </c>
      <c r="E193" s="20" t="s">
        <v>421</v>
      </c>
      <c r="F193" s="20" t="s">
        <v>422</v>
      </c>
      <c r="G193" s="8" t="str">
        <f t="shared" si="2"/>
        <v>LAMAR NEKESHA</v>
      </c>
    </row>
    <row r="194" spans="1:7" x14ac:dyDescent="0.25">
      <c r="A194" s="8">
        <v>42866.679212962961</v>
      </c>
      <c r="B194" s="20" t="s">
        <v>579</v>
      </c>
      <c r="C194" s="20" t="s">
        <v>729</v>
      </c>
      <c r="D194" s="141">
        <v>2230000</v>
      </c>
      <c r="E194" s="20" t="s">
        <v>346</v>
      </c>
      <c r="F194" s="20" t="s">
        <v>196</v>
      </c>
      <c r="G194" s="8" t="str">
        <f t="shared" si="2"/>
        <v>SMITH MICHAEL</v>
      </c>
    </row>
    <row r="195" spans="1:7" x14ac:dyDescent="0.25">
      <c r="A195" s="8">
        <v>42866.681307870371</v>
      </c>
      <c r="B195" s="20" t="s">
        <v>709</v>
      </c>
      <c r="C195" s="20" t="s">
        <v>730</v>
      </c>
      <c r="D195" s="141">
        <v>2040000</v>
      </c>
      <c r="E195" s="20" t="s">
        <v>731</v>
      </c>
      <c r="F195" s="20" t="s">
        <v>732</v>
      </c>
      <c r="G195" s="8" t="str">
        <f t="shared" ref="G195:G258" si="3">E195&amp;" "&amp;F195</f>
        <v>MOSES BRADLEY</v>
      </c>
    </row>
    <row r="196" spans="1:7" x14ac:dyDescent="0.25">
      <c r="A196" s="8">
        <v>42866.691631944443</v>
      </c>
      <c r="B196" s="20" t="s">
        <v>356</v>
      </c>
      <c r="C196" s="20" t="s">
        <v>733</v>
      </c>
      <c r="D196" s="141">
        <v>3030000</v>
      </c>
      <c r="E196" s="20" t="s">
        <v>427</v>
      </c>
      <c r="F196" s="20" t="s">
        <v>400</v>
      </c>
      <c r="G196" s="8" t="str">
        <f t="shared" si="3"/>
        <v>BIRENBAUM THOMAS</v>
      </c>
    </row>
    <row r="197" spans="1:7" x14ac:dyDescent="0.25">
      <c r="A197" s="8">
        <v>42866.692118055558</v>
      </c>
      <c r="B197" s="20" t="s">
        <v>398</v>
      </c>
      <c r="C197" s="20" t="s">
        <v>734</v>
      </c>
      <c r="D197" s="141">
        <v>3130000</v>
      </c>
      <c r="E197" s="20" t="s">
        <v>430</v>
      </c>
      <c r="F197" s="20" t="s">
        <v>431</v>
      </c>
      <c r="G197" s="8" t="str">
        <f t="shared" si="3"/>
        <v>ZEWDU DEREJE</v>
      </c>
    </row>
    <row r="198" spans="1:7" x14ac:dyDescent="0.25">
      <c r="A198" s="8">
        <v>42866.692303240743</v>
      </c>
      <c r="B198" s="20" t="s">
        <v>356</v>
      </c>
      <c r="C198" s="20" t="s">
        <v>733</v>
      </c>
      <c r="D198" s="141">
        <v>3030000</v>
      </c>
      <c r="E198" s="20" t="s">
        <v>427</v>
      </c>
      <c r="F198" s="20" t="s">
        <v>400</v>
      </c>
      <c r="G198" s="8" t="str">
        <f t="shared" si="3"/>
        <v>BIRENBAUM THOMAS</v>
      </c>
    </row>
    <row r="199" spans="1:7" x14ac:dyDescent="0.25">
      <c r="A199" s="8">
        <v>42866.693333333336</v>
      </c>
      <c r="B199" s="20" t="s">
        <v>356</v>
      </c>
      <c r="C199" s="20" t="s">
        <v>733</v>
      </c>
      <c r="D199" s="141">
        <v>3030000</v>
      </c>
      <c r="E199" s="20" t="s">
        <v>427</v>
      </c>
      <c r="F199" s="20" t="s">
        <v>400</v>
      </c>
      <c r="G199" s="8" t="str">
        <f t="shared" si="3"/>
        <v>BIRENBAUM THOMAS</v>
      </c>
    </row>
    <row r="200" spans="1:7" x14ac:dyDescent="0.25">
      <c r="A200" s="8">
        <v>42866.700740740744</v>
      </c>
      <c r="B200" s="20" t="s">
        <v>459</v>
      </c>
      <c r="C200" s="20" t="s">
        <v>735</v>
      </c>
      <c r="D200" s="141">
        <v>3090000</v>
      </c>
      <c r="E200" s="20" t="s">
        <v>421</v>
      </c>
      <c r="F200" s="20" t="s">
        <v>422</v>
      </c>
      <c r="G200" s="8" t="str">
        <f t="shared" si="3"/>
        <v>LAMAR NEKESHA</v>
      </c>
    </row>
    <row r="201" spans="1:7" x14ac:dyDescent="0.25">
      <c r="A201" s="8">
        <v>42866.704467592594</v>
      </c>
      <c r="B201" s="20" t="s">
        <v>344</v>
      </c>
      <c r="C201" s="20" t="s">
        <v>736</v>
      </c>
      <c r="D201" s="141">
        <v>1540000</v>
      </c>
      <c r="E201" s="20" t="s">
        <v>504</v>
      </c>
      <c r="F201" s="20" t="s">
        <v>505</v>
      </c>
      <c r="G201" s="8" t="str">
        <f t="shared" si="3"/>
        <v>HELVIE ADAM</v>
      </c>
    </row>
    <row r="202" spans="1:7" x14ac:dyDescent="0.25">
      <c r="A202" s="26">
        <v>42866.706006944441</v>
      </c>
      <c r="B202" s="20" t="s">
        <v>405</v>
      </c>
      <c r="C202" s="20" t="s">
        <v>737</v>
      </c>
      <c r="D202" s="141">
        <v>2370000</v>
      </c>
      <c r="E202" s="20" t="s">
        <v>501</v>
      </c>
      <c r="F202" s="20" t="s">
        <v>502</v>
      </c>
      <c r="G202" s="8" t="str">
        <f t="shared" si="3"/>
        <v>DELGADO DIANAH</v>
      </c>
    </row>
    <row r="203" spans="1:7" x14ac:dyDescent="0.25">
      <c r="A203" s="8">
        <v>42866.706712962965</v>
      </c>
      <c r="B203" s="20" t="s">
        <v>503</v>
      </c>
      <c r="C203" s="20" t="s">
        <v>738</v>
      </c>
      <c r="D203" s="141">
        <v>2360000</v>
      </c>
      <c r="E203" s="20" t="s">
        <v>694</v>
      </c>
      <c r="F203" s="20" t="s">
        <v>695</v>
      </c>
      <c r="G203" s="8" t="str">
        <f t="shared" si="3"/>
        <v>BRANDNER MELINDA</v>
      </c>
    </row>
    <row r="204" spans="1:7" x14ac:dyDescent="0.25">
      <c r="A204" s="8">
        <v>42866.708368055559</v>
      </c>
      <c r="B204" s="20" t="s">
        <v>345</v>
      </c>
      <c r="C204" s="20" t="s">
        <v>593</v>
      </c>
      <c r="D204" s="141">
        <v>3130000</v>
      </c>
      <c r="E204" s="20" t="s">
        <v>430</v>
      </c>
      <c r="F204" s="20" t="s">
        <v>431</v>
      </c>
      <c r="G204" s="8" t="str">
        <f t="shared" si="3"/>
        <v>ZEWDU DEREJE</v>
      </c>
    </row>
    <row r="205" spans="1:7" x14ac:dyDescent="0.25">
      <c r="A205" s="8">
        <v>42866.710196759261</v>
      </c>
      <c r="B205" s="20" t="s">
        <v>406</v>
      </c>
      <c r="C205" s="20" t="s">
        <v>737</v>
      </c>
      <c r="D205" s="141">
        <v>2370000</v>
      </c>
      <c r="E205" s="20" t="s">
        <v>501</v>
      </c>
      <c r="F205" s="20" t="s">
        <v>502</v>
      </c>
      <c r="G205" s="8" t="str">
        <f t="shared" si="3"/>
        <v>DELGADO DIANAH</v>
      </c>
    </row>
    <row r="206" spans="1:7" x14ac:dyDescent="0.25">
      <c r="A206" s="8">
        <v>42866.713159722225</v>
      </c>
      <c r="B206" s="20" t="s">
        <v>369</v>
      </c>
      <c r="C206" s="20" t="s">
        <v>739</v>
      </c>
      <c r="D206" s="141">
        <v>930000</v>
      </c>
      <c r="E206" s="20" t="s">
        <v>419</v>
      </c>
      <c r="F206" s="20" t="s">
        <v>420</v>
      </c>
      <c r="G206" s="8" t="str">
        <f t="shared" si="3"/>
        <v>CLARK KATHLEEN</v>
      </c>
    </row>
    <row r="207" spans="1:7" x14ac:dyDescent="0.25">
      <c r="A207" s="8">
        <v>42866.714108796295</v>
      </c>
      <c r="B207" s="20" t="s">
        <v>457</v>
      </c>
      <c r="C207" s="20" t="s">
        <v>740</v>
      </c>
      <c r="D207" s="141">
        <v>3090000</v>
      </c>
      <c r="E207" s="20" t="s">
        <v>421</v>
      </c>
      <c r="F207" s="20" t="s">
        <v>422</v>
      </c>
      <c r="G207" s="8" t="str">
        <f t="shared" si="3"/>
        <v>LAMAR NEKESHA</v>
      </c>
    </row>
    <row r="208" spans="1:7" x14ac:dyDescent="0.25">
      <c r="A208" s="8">
        <v>42866.716435185182</v>
      </c>
      <c r="B208" s="20" t="s">
        <v>405</v>
      </c>
      <c r="C208" s="20" t="s">
        <v>741</v>
      </c>
      <c r="D208" s="141">
        <v>1800000</v>
      </c>
      <c r="E208" s="20" t="s">
        <v>423</v>
      </c>
      <c r="F208" s="20" t="s">
        <v>424</v>
      </c>
      <c r="G208" s="8" t="str">
        <f t="shared" si="3"/>
        <v>CHANDLER KELVIN</v>
      </c>
    </row>
    <row r="209" spans="1:7" x14ac:dyDescent="0.25">
      <c r="A209" s="8">
        <v>42866.717511574076</v>
      </c>
      <c r="B209" s="20" t="s">
        <v>405</v>
      </c>
      <c r="C209" s="20" t="s">
        <v>741</v>
      </c>
      <c r="D209" s="141">
        <v>1800000</v>
      </c>
      <c r="E209" s="20" t="s">
        <v>423</v>
      </c>
      <c r="F209" s="20" t="s">
        <v>424</v>
      </c>
      <c r="G209" s="8" t="str">
        <f t="shared" si="3"/>
        <v>CHANDLER KELVIN</v>
      </c>
    </row>
    <row r="210" spans="1:7" x14ac:dyDescent="0.25">
      <c r="A210" s="8">
        <v>42866.723692129628</v>
      </c>
      <c r="B210" s="20" t="s">
        <v>495</v>
      </c>
      <c r="C210" s="20" t="s">
        <v>742</v>
      </c>
      <c r="D210" s="141">
        <v>2040000</v>
      </c>
      <c r="E210" s="20" t="s">
        <v>731</v>
      </c>
      <c r="F210" s="20" t="s">
        <v>732</v>
      </c>
      <c r="G210" s="8" t="str">
        <f t="shared" si="3"/>
        <v>MOSES BRADLEY</v>
      </c>
    </row>
    <row r="211" spans="1:7" x14ac:dyDescent="0.25">
      <c r="A211" s="8">
        <v>42866.726030092592</v>
      </c>
      <c r="B211" s="20" t="s">
        <v>594</v>
      </c>
      <c r="C211" s="20" t="s">
        <v>595</v>
      </c>
      <c r="D211" s="141">
        <v>2370000</v>
      </c>
      <c r="E211" s="20" t="s">
        <v>501</v>
      </c>
      <c r="F211" s="20" t="s">
        <v>502</v>
      </c>
      <c r="G211" s="8" t="str">
        <f t="shared" si="3"/>
        <v>DELGADO DIANAH</v>
      </c>
    </row>
    <row r="212" spans="1:7" x14ac:dyDescent="0.25">
      <c r="A212" s="8">
        <v>42866.728425925925</v>
      </c>
      <c r="B212" s="20" t="s">
        <v>357</v>
      </c>
      <c r="C212" s="20" t="s">
        <v>743</v>
      </c>
      <c r="D212" s="141">
        <v>3030000</v>
      </c>
      <c r="E212" s="20" t="s">
        <v>427</v>
      </c>
      <c r="F212" s="20" t="s">
        <v>400</v>
      </c>
      <c r="G212" s="8" t="str">
        <f t="shared" si="3"/>
        <v>BIRENBAUM THOMAS</v>
      </c>
    </row>
    <row r="213" spans="1:7" x14ac:dyDescent="0.25">
      <c r="A213" s="8">
        <v>42866.732268518521</v>
      </c>
      <c r="B213" s="20" t="s">
        <v>357</v>
      </c>
      <c r="C213" s="20" t="s">
        <v>743</v>
      </c>
      <c r="D213" s="141">
        <v>3030000</v>
      </c>
      <c r="E213" s="20" t="s">
        <v>427</v>
      </c>
      <c r="F213" s="20" t="s">
        <v>400</v>
      </c>
      <c r="G213" s="8" t="str">
        <f t="shared" si="3"/>
        <v>BIRENBAUM THOMAS</v>
      </c>
    </row>
    <row r="214" spans="1:7" x14ac:dyDescent="0.25">
      <c r="A214" s="8">
        <v>42866.734398148146</v>
      </c>
      <c r="B214" s="20" t="s">
        <v>398</v>
      </c>
      <c r="C214" s="20" t="s">
        <v>744</v>
      </c>
      <c r="D214" s="141">
        <v>3130000</v>
      </c>
      <c r="E214" s="20" t="s">
        <v>430</v>
      </c>
      <c r="F214" s="20" t="s">
        <v>431</v>
      </c>
      <c r="G214" s="8" t="str">
        <f t="shared" si="3"/>
        <v>ZEWDU DEREJE</v>
      </c>
    </row>
    <row r="215" spans="1:7" x14ac:dyDescent="0.25">
      <c r="A215" s="8">
        <v>42866.735543981478</v>
      </c>
      <c r="B215" s="20" t="s">
        <v>343</v>
      </c>
      <c r="C215" s="20" t="s">
        <v>745</v>
      </c>
      <c r="D215" s="141">
        <v>1810000</v>
      </c>
      <c r="E215" s="20" t="s">
        <v>401</v>
      </c>
      <c r="F215" s="20" t="s">
        <v>193</v>
      </c>
      <c r="G215" s="8" t="str">
        <f t="shared" si="3"/>
        <v>NEWELL JAMES</v>
      </c>
    </row>
    <row r="216" spans="1:7" x14ac:dyDescent="0.25">
      <c r="A216" s="8">
        <v>42866.736597222225</v>
      </c>
      <c r="B216" s="20" t="s">
        <v>343</v>
      </c>
      <c r="C216" s="20" t="s">
        <v>745</v>
      </c>
      <c r="D216" s="141">
        <v>1810000</v>
      </c>
      <c r="E216" s="20" t="s">
        <v>401</v>
      </c>
      <c r="F216" s="20" t="s">
        <v>193</v>
      </c>
      <c r="G216" s="8" t="str">
        <f t="shared" si="3"/>
        <v>NEWELL JAMES</v>
      </c>
    </row>
    <row r="217" spans="1:7" x14ac:dyDescent="0.25">
      <c r="A217" s="8">
        <v>42866.738518518519</v>
      </c>
      <c r="B217" s="20" t="s">
        <v>459</v>
      </c>
      <c r="C217" s="20" t="s">
        <v>746</v>
      </c>
      <c r="D217" s="141">
        <v>3090000</v>
      </c>
      <c r="E217" s="20" t="s">
        <v>421</v>
      </c>
      <c r="F217" s="20" t="s">
        <v>422</v>
      </c>
      <c r="G217" s="8" t="str">
        <f t="shared" si="3"/>
        <v>LAMAR NEKESHA</v>
      </c>
    </row>
    <row r="218" spans="1:7" x14ac:dyDescent="0.25">
      <c r="A218" s="8">
        <v>42866.745891203704</v>
      </c>
      <c r="B218" s="20" t="s">
        <v>365</v>
      </c>
      <c r="C218" s="20" t="s">
        <v>747</v>
      </c>
      <c r="D218" s="141">
        <v>2620000</v>
      </c>
      <c r="E218" s="20" t="s">
        <v>748</v>
      </c>
      <c r="F218" s="20" t="s">
        <v>749</v>
      </c>
      <c r="G218" s="8" t="str">
        <f t="shared" si="3"/>
        <v>PERKINS DARREN</v>
      </c>
    </row>
    <row r="219" spans="1:7" x14ac:dyDescent="0.25">
      <c r="A219" s="8">
        <v>42866.746527777781</v>
      </c>
      <c r="B219" s="20" t="s">
        <v>494</v>
      </c>
      <c r="C219" s="20" t="s">
        <v>750</v>
      </c>
      <c r="D219" s="141">
        <v>2360000</v>
      </c>
      <c r="E219" s="20" t="s">
        <v>694</v>
      </c>
      <c r="F219" s="20" t="s">
        <v>695</v>
      </c>
      <c r="G219" s="8" t="str">
        <f t="shared" si="3"/>
        <v>BRANDNER MELINDA</v>
      </c>
    </row>
    <row r="220" spans="1:7" x14ac:dyDescent="0.25">
      <c r="A220" s="8">
        <v>42866.750081018516</v>
      </c>
      <c r="B220" s="20" t="s">
        <v>345</v>
      </c>
      <c r="C220" s="20" t="s">
        <v>751</v>
      </c>
      <c r="D220" s="141">
        <v>3130000</v>
      </c>
      <c r="E220" s="20" t="s">
        <v>430</v>
      </c>
      <c r="F220" s="20" t="s">
        <v>431</v>
      </c>
      <c r="G220" s="8" t="str">
        <f t="shared" si="3"/>
        <v>ZEWDU DEREJE</v>
      </c>
    </row>
    <row r="221" spans="1:7" x14ac:dyDescent="0.25">
      <c r="A221" s="8">
        <v>42866.755648148152</v>
      </c>
      <c r="B221" s="20" t="s">
        <v>457</v>
      </c>
      <c r="C221" s="20" t="s">
        <v>752</v>
      </c>
      <c r="D221" s="141">
        <v>3090000</v>
      </c>
      <c r="E221" s="20" t="s">
        <v>421</v>
      </c>
      <c r="F221" s="20" t="s">
        <v>422</v>
      </c>
      <c r="G221" s="8" t="str">
        <f t="shared" si="3"/>
        <v>LAMAR NEKESHA</v>
      </c>
    </row>
    <row r="222" spans="1:7" x14ac:dyDescent="0.25">
      <c r="A222" s="8">
        <v>42866.755925925929</v>
      </c>
      <c r="B222" s="20" t="s">
        <v>406</v>
      </c>
      <c r="C222" s="20" t="s">
        <v>596</v>
      </c>
      <c r="D222" s="141">
        <v>1800000</v>
      </c>
      <c r="E222" s="20" t="s">
        <v>423</v>
      </c>
      <c r="F222" s="20" t="s">
        <v>424</v>
      </c>
      <c r="G222" s="8" t="str">
        <f t="shared" si="3"/>
        <v>CHANDLER KELVIN</v>
      </c>
    </row>
    <row r="223" spans="1:7" x14ac:dyDescent="0.25">
      <c r="A223" s="8">
        <v>42866.756435185183</v>
      </c>
      <c r="B223" s="20" t="s">
        <v>709</v>
      </c>
      <c r="C223" s="20" t="s">
        <v>753</v>
      </c>
      <c r="D223" s="141">
        <v>2270000</v>
      </c>
      <c r="E223" s="20" t="s">
        <v>510</v>
      </c>
      <c r="F223" s="20" t="s">
        <v>511</v>
      </c>
      <c r="G223" s="8" t="str">
        <f t="shared" si="3"/>
        <v>BROWN JACOB</v>
      </c>
    </row>
    <row r="224" spans="1:7" x14ac:dyDescent="0.25">
      <c r="A224" s="8">
        <v>42866.757361111115</v>
      </c>
      <c r="B224" t="s">
        <v>709</v>
      </c>
      <c r="C224" t="s">
        <v>753</v>
      </c>
      <c r="D224" s="141">
        <v>2270000</v>
      </c>
      <c r="E224" t="s">
        <v>510</v>
      </c>
      <c r="F224" s="20" t="s">
        <v>511</v>
      </c>
      <c r="G224" s="8" t="str">
        <f t="shared" si="3"/>
        <v>BROWN JACOB</v>
      </c>
    </row>
    <row r="225" spans="1:7" x14ac:dyDescent="0.25">
      <c r="A225" s="8">
        <v>42866.758530092593</v>
      </c>
      <c r="B225" t="s">
        <v>709</v>
      </c>
      <c r="C225" t="s">
        <v>753</v>
      </c>
      <c r="D225" s="141">
        <v>2270000</v>
      </c>
      <c r="E225" t="s">
        <v>510</v>
      </c>
      <c r="F225" s="20" t="s">
        <v>511</v>
      </c>
      <c r="G225" s="8" t="str">
        <f t="shared" si="3"/>
        <v>BROWN JACOB</v>
      </c>
    </row>
    <row r="226" spans="1:7" x14ac:dyDescent="0.25">
      <c r="A226" s="8">
        <v>42866.761087962965</v>
      </c>
      <c r="B226" t="s">
        <v>579</v>
      </c>
      <c r="C226" t="s">
        <v>597</v>
      </c>
      <c r="D226" s="141">
        <v>2370000</v>
      </c>
      <c r="E226" t="s">
        <v>501</v>
      </c>
      <c r="F226" s="20" t="s">
        <v>502</v>
      </c>
      <c r="G226" s="8" t="str">
        <f t="shared" si="3"/>
        <v>DELGADO DIANAH</v>
      </c>
    </row>
    <row r="227" spans="1:7" x14ac:dyDescent="0.25">
      <c r="A227" s="8">
        <v>42866.765520833331</v>
      </c>
      <c r="B227" t="s">
        <v>356</v>
      </c>
      <c r="C227" t="s">
        <v>754</v>
      </c>
      <c r="D227" s="141">
        <v>2150000</v>
      </c>
      <c r="E227" t="s">
        <v>466</v>
      </c>
      <c r="F227" s="20" t="s">
        <v>467</v>
      </c>
      <c r="G227" s="8" t="str">
        <f t="shared" si="3"/>
        <v>SWANSON BRYCE</v>
      </c>
    </row>
    <row r="228" spans="1:7" x14ac:dyDescent="0.25">
      <c r="A228" s="8">
        <v>42866.772488425922</v>
      </c>
      <c r="B228" t="s">
        <v>344</v>
      </c>
      <c r="C228" t="s">
        <v>755</v>
      </c>
      <c r="D228" s="141">
        <v>1810000</v>
      </c>
      <c r="E228" t="s">
        <v>401</v>
      </c>
      <c r="F228" s="20" t="s">
        <v>193</v>
      </c>
      <c r="G228" s="8" t="str">
        <f t="shared" si="3"/>
        <v>NEWELL JAMES</v>
      </c>
    </row>
    <row r="229" spans="1:7" x14ac:dyDescent="0.25">
      <c r="A229" s="8">
        <v>42866.77547453704</v>
      </c>
      <c r="B229" t="s">
        <v>398</v>
      </c>
      <c r="C229" t="s">
        <v>756</v>
      </c>
      <c r="D229" s="141">
        <v>3130000</v>
      </c>
      <c r="E229" t="s">
        <v>430</v>
      </c>
      <c r="F229" s="20" t="s">
        <v>431</v>
      </c>
      <c r="G229" s="8" t="str">
        <f t="shared" si="3"/>
        <v>ZEWDU DEREJE</v>
      </c>
    </row>
    <row r="230" spans="1:7" x14ac:dyDescent="0.25">
      <c r="A230" s="8">
        <v>42866.779479166667</v>
      </c>
      <c r="B230" t="s">
        <v>503</v>
      </c>
      <c r="C230" t="s">
        <v>757</v>
      </c>
      <c r="D230" s="141">
        <v>2360000</v>
      </c>
      <c r="E230" t="s">
        <v>694</v>
      </c>
      <c r="F230" s="20" t="s">
        <v>695</v>
      </c>
      <c r="G230" s="8" t="str">
        <f t="shared" si="3"/>
        <v>BRANDNER MELINDA</v>
      </c>
    </row>
    <row r="231" spans="1:7" x14ac:dyDescent="0.25">
      <c r="A231" s="8">
        <v>42866.780277777776</v>
      </c>
      <c r="B231" t="s">
        <v>374</v>
      </c>
      <c r="C231" t="s">
        <v>758</v>
      </c>
      <c r="D231" s="141">
        <v>2970000</v>
      </c>
      <c r="E231" t="s">
        <v>425</v>
      </c>
      <c r="F231" s="20" t="s">
        <v>426</v>
      </c>
      <c r="G231" s="8" t="str">
        <f t="shared" si="3"/>
        <v>GUZMAN DANNY</v>
      </c>
    </row>
    <row r="232" spans="1:7" x14ac:dyDescent="0.25">
      <c r="A232" s="8">
        <v>42866.782523148147</v>
      </c>
      <c r="B232" t="s">
        <v>459</v>
      </c>
      <c r="C232" t="s">
        <v>759</v>
      </c>
      <c r="D232" s="141">
        <v>3090000</v>
      </c>
      <c r="E232" t="s">
        <v>421</v>
      </c>
      <c r="F232" s="20" t="s">
        <v>422</v>
      </c>
      <c r="G232" s="8" t="str">
        <f t="shared" si="3"/>
        <v>LAMAR NEKESHA</v>
      </c>
    </row>
    <row r="233" spans="1:7" x14ac:dyDescent="0.25">
      <c r="A233" s="8">
        <v>42866.786678240744</v>
      </c>
      <c r="B233" t="s">
        <v>384</v>
      </c>
      <c r="C233" t="s">
        <v>760</v>
      </c>
      <c r="D233" s="141">
        <v>2730000</v>
      </c>
      <c r="E233" t="s">
        <v>514</v>
      </c>
      <c r="F233" s="20" t="s">
        <v>515</v>
      </c>
      <c r="G233" s="8" t="str">
        <f t="shared" si="3"/>
        <v>YANG JAN</v>
      </c>
    </row>
    <row r="234" spans="1:7" x14ac:dyDescent="0.25">
      <c r="A234" s="8">
        <v>42866.788483796299</v>
      </c>
      <c r="B234" t="s">
        <v>369</v>
      </c>
      <c r="C234" t="s">
        <v>761</v>
      </c>
      <c r="D234" s="141">
        <v>2620000</v>
      </c>
      <c r="E234" t="s">
        <v>748</v>
      </c>
      <c r="F234" s="20" t="s">
        <v>749</v>
      </c>
      <c r="G234" s="8" t="str">
        <f t="shared" si="3"/>
        <v>PERKINS DARREN</v>
      </c>
    </row>
    <row r="235" spans="1:7" x14ac:dyDescent="0.25">
      <c r="A235" s="8">
        <v>42866.79178240741</v>
      </c>
      <c r="B235" t="s">
        <v>382</v>
      </c>
      <c r="C235" t="s">
        <v>760</v>
      </c>
      <c r="D235" s="141">
        <v>2730000</v>
      </c>
      <c r="E235" t="s">
        <v>514</v>
      </c>
      <c r="F235" s="20" t="s">
        <v>515</v>
      </c>
      <c r="G235" s="8" t="str">
        <f t="shared" si="3"/>
        <v>YANG JAN</v>
      </c>
    </row>
    <row r="236" spans="1:7" x14ac:dyDescent="0.25">
      <c r="A236" s="8">
        <v>42866.793923611112</v>
      </c>
      <c r="B236" t="s">
        <v>374</v>
      </c>
      <c r="C236" t="s">
        <v>762</v>
      </c>
      <c r="D236" s="141">
        <v>1800000</v>
      </c>
      <c r="E236" t="s">
        <v>423</v>
      </c>
      <c r="F236" s="20" t="s">
        <v>424</v>
      </c>
      <c r="G236" s="8" t="str">
        <f t="shared" si="3"/>
        <v>CHANDLER KELVIN</v>
      </c>
    </row>
    <row r="237" spans="1:7" x14ac:dyDescent="0.25">
      <c r="A237" s="8">
        <v>42866.796851851854</v>
      </c>
      <c r="B237" t="s">
        <v>457</v>
      </c>
      <c r="C237" t="s">
        <v>763</v>
      </c>
      <c r="D237" s="141">
        <v>3090000</v>
      </c>
      <c r="E237" t="s">
        <v>421</v>
      </c>
      <c r="F237" s="20" t="s">
        <v>422</v>
      </c>
      <c r="G237" s="8" t="str">
        <f t="shared" si="3"/>
        <v>LAMAR NEKESHA</v>
      </c>
    </row>
    <row r="238" spans="1:7" x14ac:dyDescent="0.25">
      <c r="A238" s="8">
        <v>42866.797013888892</v>
      </c>
      <c r="B238" t="s">
        <v>345</v>
      </c>
      <c r="C238" t="s">
        <v>764</v>
      </c>
      <c r="D238" s="141">
        <v>3130000</v>
      </c>
      <c r="E238" t="s">
        <v>430</v>
      </c>
      <c r="F238" s="20" t="s">
        <v>431</v>
      </c>
      <c r="G238" s="8" t="str">
        <f t="shared" si="3"/>
        <v>ZEWDU DEREJE</v>
      </c>
    </row>
    <row r="239" spans="1:7" x14ac:dyDescent="0.25">
      <c r="A239" s="8">
        <v>42866.797754629632</v>
      </c>
      <c r="B239" t="s">
        <v>495</v>
      </c>
      <c r="C239" t="s">
        <v>765</v>
      </c>
      <c r="D239" s="141">
        <v>2270000</v>
      </c>
      <c r="E239" t="s">
        <v>510</v>
      </c>
      <c r="F239" s="20" t="s">
        <v>511</v>
      </c>
      <c r="G239" s="8" t="str">
        <f t="shared" si="3"/>
        <v>BROWN JACOB</v>
      </c>
    </row>
    <row r="240" spans="1:7" x14ac:dyDescent="0.25">
      <c r="A240" s="8">
        <v>42866.805266203701</v>
      </c>
      <c r="B240" t="s">
        <v>357</v>
      </c>
      <c r="C240" t="s">
        <v>766</v>
      </c>
      <c r="D240" s="141">
        <v>2150000</v>
      </c>
      <c r="E240" t="s">
        <v>466</v>
      </c>
      <c r="F240" s="20" t="s">
        <v>467</v>
      </c>
      <c r="G240" s="8" t="str">
        <f t="shared" si="3"/>
        <v>SWANSON BRYCE</v>
      </c>
    </row>
    <row r="241" spans="1:7" x14ac:dyDescent="0.25">
      <c r="A241" s="8">
        <v>42866.810810185183</v>
      </c>
      <c r="B241" t="s">
        <v>384</v>
      </c>
      <c r="C241" t="s">
        <v>767</v>
      </c>
      <c r="D241" s="141">
        <v>2730000</v>
      </c>
      <c r="E241" t="s">
        <v>514</v>
      </c>
      <c r="F241" s="20" t="s">
        <v>515</v>
      </c>
      <c r="G241" s="8" t="str">
        <f t="shared" si="3"/>
        <v>YANG JAN</v>
      </c>
    </row>
    <row r="242" spans="1:7" x14ac:dyDescent="0.25">
      <c r="A242" s="8">
        <v>42866.813993055555</v>
      </c>
      <c r="B242" t="s">
        <v>456</v>
      </c>
      <c r="C242" t="s">
        <v>768</v>
      </c>
      <c r="D242" s="141">
        <v>2370000</v>
      </c>
      <c r="E242" t="s">
        <v>501</v>
      </c>
      <c r="F242" s="20" t="s">
        <v>502</v>
      </c>
      <c r="G242" s="8" t="str">
        <f t="shared" si="3"/>
        <v>DELGADO DIANAH</v>
      </c>
    </row>
    <row r="243" spans="1:7" x14ac:dyDescent="0.25">
      <c r="A243" s="8">
        <v>42866.817141203705</v>
      </c>
      <c r="B243" t="s">
        <v>398</v>
      </c>
      <c r="C243" t="s">
        <v>769</v>
      </c>
      <c r="D243" s="141">
        <v>3130000</v>
      </c>
      <c r="E243" t="s">
        <v>430</v>
      </c>
      <c r="F243" s="20" t="s">
        <v>431</v>
      </c>
      <c r="G243" s="8" t="str">
        <f t="shared" si="3"/>
        <v>ZEWDU DEREJE</v>
      </c>
    </row>
    <row r="244" spans="1:7" x14ac:dyDescent="0.25">
      <c r="A244" s="8">
        <v>42866.825937499998</v>
      </c>
      <c r="B244" t="s">
        <v>493</v>
      </c>
      <c r="C244" t="s">
        <v>598</v>
      </c>
      <c r="D244" s="141">
        <v>2620000</v>
      </c>
      <c r="E244" t="s">
        <v>748</v>
      </c>
      <c r="F244" s="20" t="s">
        <v>749</v>
      </c>
      <c r="G244" s="8" t="str">
        <f t="shared" si="3"/>
        <v>PERKINS DARREN</v>
      </c>
    </row>
    <row r="245" spans="1:7" x14ac:dyDescent="0.25">
      <c r="A245" s="8">
        <v>42866.826770833337</v>
      </c>
      <c r="B245" t="s">
        <v>493</v>
      </c>
      <c r="C245" t="s">
        <v>598</v>
      </c>
      <c r="D245" s="141">
        <v>2620000</v>
      </c>
      <c r="E245" t="s">
        <v>748</v>
      </c>
      <c r="F245" s="20" t="s">
        <v>749</v>
      </c>
      <c r="G245" s="8" t="str">
        <f t="shared" si="3"/>
        <v>PERKINS DARREN</v>
      </c>
    </row>
    <row r="246" spans="1:7" x14ac:dyDescent="0.25">
      <c r="A246" s="8">
        <v>42866.828472222223</v>
      </c>
      <c r="B246" t="s">
        <v>493</v>
      </c>
      <c r="C246" t="s">
        <v>598</v>
      </c>
      <c r="D246" s="141">
        <v>2620000</v>
      </c>
      <c r="E246" t="s">
        <v>748</v>
      </c>
      <c r="F246" s="20" t="s">
        <v>749</v>
      </c>
      <c r="G246" s="8" t="str">
        <f t="shared" si="3"/>
        <v>PERKINS DARREN</v>
      </c>
    </row>
    <row r="247" spans="1:7" x14ac:dyDescent="0.25">
      <c r="A247" s="8">
        <v>42866.830046296294</v>
      </c>
      <c r="B247" t="s">
        <v>386</v>
      </c>
      <c r="C247" t="s">
        <v>770</v>
      </c>
      <c r="D247" s="141">
        <v>1800000</v>
      </c>
      <c r="E247" t="s">
        <v>423</v>
      </c>
      <c r="F247" s="20" t="s">
        <v>424</v>
      </c>
      <c r="G247" s="8" t="str">
        <f t="shared" si="3"/>
        <v>CHANDLER KELVIN</v>
      </c>
    </row>
    <row r="248" spans="1:7" x14ac:dyDescent="0.25">
      <c r="A248" s="8">
        <v>42866.831828703704</v>
      </c>
      <c r="B248" t="s">
        <v>709</v>
      </c>
      <c r="C248" t="s">
        <v>771</v>
      </c>
      <c r="D248" s="141">
        <v>2270000</v>
      </c>
      <c r="E248" t="s">
        <v>510</v>
      </c>
      <c r="F248" s="20" t="s">
        <v>511</v>
      </c>
      <c r="G248" s="8" t="str">
        <f t="shared" si="3"/>
        <v>BROWN JACOB</v>
      </c>
    </row>
    <row r="249" spans="1:7" x14ac:dyDescent="0.25">
      <c r="A249" s="8">
        <v>42866.833229166667</v>
      </c>
      <c r="B249" t="s">
        <v>345</v>
      </c>
      <c r="C249" t="s">
        <v>772</v>
      </c>
      <c r="D249" s="141">
        <v>3130000</v>
      </c>
      <c r="E249" t="s">
        <v>430</v>
      </c>
      <c r="F249" s="20" t="s">
        <v>431</v>
      </c>
      <c r="G249" s="8" t="str">
        <f t="shared" si="3"/>
        <v>ZEWDU DEREJE</v>
      </c>
    </row>
    <row r="250" spans="1:7" x14ac:dyDescent="0.25">
      <c r="A250" s="8">
        <v>42866.848032407404</v>
      </c>
      <c r="B250" t="s">
        <v>382</v>
      </c>
      <c r="C250" t="s">
        <v>601</v>
      </c>
      <c r="D250" s="141">
        <v>2730000</v>
      </c>
      <c r="E250" t="s">
        <v>514</v>
      </c>
      <c r="F250" s="20" t="s">
        <v>515</v>
      </c>
      <c r="G250" s="8" t="str">
        <f t="shared" si="3"/>
        <v>YANG JAN</v>
      </c>
    </row>
    <row r="251" spans="1:7" x14ac:dyDescent="0.25">
      <c r="A251" s="8">
        <v>42866.851388888892</v>
      </c>
      <c r="B251" t="s">
        <v>356</v>
      </c>
      <c r="C251" t="s">
        <v>773</v>
      </c>
      <c r="D251" s="141">
        <v>2150000</v>
      </c>
      <c r="E251" t="s">
        <v>466</v>
      </c>
      <c r="F251" s="20" t="s">
        <v>467</v>
      </c>
      <c r="G251" s="8" t="str">
        <f t="shared" si="3"/>
        <v>SWANSON BRYCE</v>
      </c>
    </row>
    <row r="252" spans="1:7" x14ac:dyDescent="0.25">
      <c r="A252" s="8">
        <v>42866.859363425923</v>
      </c>
      <c r="B252" t="s">
        <v>398</v>
      </c>
      <c r="C252" t="s">
        <v>774</v>
      </c>
      <c r="D252" s="141">
        <v>3130000</v>
      </c>
      <c r="E252" t="s">
        <v>430</v>
      </c>
      <c r="F252" s="20" t="s">
        <v>431</v>
      </c>
      <c r="G252" s="8" t="str">
        <f t="shared" si="3"/>
        <v>ZEWDU DEREJE</v>
      </c>
    </row>
    <row r="253" spans="1:7" x14ac:dyDescent="0.25">
      <c r="A253" s="8">
        <v>42866.867002314815</v>
      </c>
      <c r="B253" t="s">
        <v>374</v>
      </c>
      <c r="C253" t="s">
        <v>775</v>
      </c>
      <c r="D253" s="141">
        <v>1800000</v>
      </c>
      <c r="E253" t="s">
        <v>423</v>
      </c>
      <c r="F253" s="20" t="s">
        <v>424</v>
      </c>
      <c r="G253" s="8" t="str">
        <f t="shared" si="3"/>
        <v>CHANDLER KELVIN</v>
      </c>
    </row>
    <row r="254" spans="1:7" x14ac:dyDescent="0.25">
      <c r="A254" s="8">
        <v>42866.869791666664</v>
      </c>
      <c r="B254" t="s">
        <v>495</v>
      </c>
      <c r="C254" t="s">
        <v>776</v>
      </c>
      <c r="D254" s="141">
        <v>2270000</v>
      </c>
      <c r="E254" t="s">
        <v>510</v>
      </c>
      <c r="F254" s="20" t="s">
        <v>511</v>
      </c>
      <c r="G254" s="8" t="str">
        <f t="shared" si="3"/>
        <v>BROWN JACOB</v>
      </c>
    </row>
    <row r="255" spans="1:7" x14ac:dyDescent="0.25">
      <c r="A255" s="8">
        <v>42866.881319444445</v>
      </c>
      <c r="B255" t="s">
        <v>343</v>
      </c>
      <c r="C255" t="s">
        <v>777</v>
      </c>
      <c r="D255" s="141">
        <v>1810000</v>
      </c>
      <c r="E255" t="s">
        <v>401</v>
      </c>
      <c r="F255" s="20" t="s">
        <v>193</v>
      </c>
      <c r="G255" s="8" t="str">
        <f t="shared" si="3"/>
        <v>NEWELL JAMES</v>
      </c>
    </row>
    <row r="256" spans="1:7" x14ac:dyDescent="0.25">
      <c r="A256" s="8">
        <v>42866.884004629632</v>
      </c>
      <c r="B256" t="s">
        <v>344</v>
      </c>
      <c r="C256" t="s">
        <v>777</v>
      </c>
      <c r="D256" s="141">
        <v>1810000</v>
      </c>
      <c r="E256" t="s">
        <v>401</v>
      </c>
      <c r="F256" s="20" t="s">
        <v>193</v>
      </c>
      <c r="G256" s="8" t="str">
        <f t="shared" si="3"/>
        <v>NEWELL JAMES</v>
      </c>
    </row>
    <row r="257" spans="1:7" x14ac:dyDescent="0.25">
      <c r="A257" s="8">
        <v>42866.884525462963</v>
      </c>
      <c r="B257" t="s">
        <v>384</v>
      </c>
      <c r="C257" t="s">
        <v>778</v>
      </c>
      <c r="D257" s="141">
        <v>2730000</v>
      </c>
      <c r="E257" t="s">
        <v>514</v>
      </c>
      <c r="F257" s="20" t="s">
        <v>515</v>
      </c>
      <c r="G257" s="8" t="str">
        <f t="shared" si="3"/>
        <v>YANG JAN</v>
      </c>
    </row>
    <row r="258" spans="1:7" x14ac:dyDescent="0.25">
      <c r="A258" s="8">
        <v>42866.88621527778</v>
      </c>
      <c r="B258" t="s">
        <v>345</v>
      </c>
      <c r="C258" t="s">
        <v>779</v>
      </c>
      <c r="D258" s="141">
        <v>3090000</v>
      </c>
      <c r="E258" t="s">
        <v>421</v>
      </c>
      <c r="F258" s="20" t="s">
        <v>422</v>
      </c>
      <c r="G258" s="8" t="str">
        <f t="shared" si="3"/>
        <v>LAMAR NEKESHA</v>
      </c>
    </row>
    <row r="259" spans="1:7" x14ac:dyDescent="0.25">
      <c r="A259" s="8">
        <v>42866.890844907408</v>
      </c>
      <c r="B259" t="s">
        <v>357</v>
      </c>
      <c r="C259" t="s">
        <v>780</v>
      </c>
      <c r="D259" s="141">
        <v>2150000</v>
      </c>
      <c r="E259" t="s">
        <v>466</v>
      </c>
      <c r="F259" s="20" t="s">
        <v>467</v>
      </c>
      <c r="G259" s="8" t="str">
        <f t="shared" ref="G259:G322" si="4">E259&amp;" "&amp;F259</f>
        <v>SWANSON BRYCE</v>
      </c>
    </row>
    <row r="260" spans="1:7" x14ac:dyDescent="0.25">
      <c r="A260" s="8">
        <v>42866.893692129626</v>
      </c>
      <c r="B260" t="s">
        <v>343</v>
      </c>
      <c r="C260" t="s">
        <v>781</v>
      </c>
      <c r="D260" s="141">
        <v>1810000</v>
      </c>
      <c r="E260" t="s">
        <v>401</v>
      </c>
      <c r="F260" s="20" t="s">
        <v>193</v>
      </c>
      <c r="G260" s="8" t="str">
        <f t="shared" si="4"/>
        <v>NEWELL JAMES</v>
      </c>
    </row>
    <row r="261" spans="1:7" x14ac:dyDescent="0.25">
      <c r="A261" s="8">
        <v>42866.901759259257</v>
      </c>
      <c r="B261" t="s">
        <v>398</v>
      </c>
      <c r="C261" t="s">
        <v>602</v>
      </c>
      <c r="D261" s="141">
        <v>3090000</v>
      </c>
      <c r="E261" t="s">
        <v>421</v>
      </c>
      <c r="F261" s="20" t="s">
        <v>422</v>
      </c>
      <c r="G261" s="8" t="str">
        <f t="shared" si="4"/>
        <v>LAMAR NEKESHA</v>
      </c>
    </row>
    <row r="262" spans="1:7" x14ac:dyDescent="0.25">
      <c r="A262" s="8">
        <v>42866.910671296297</v>
      </c>
      <c r="B262" t="s">
        <v>386</v>
      </c>
      <c r="C262" t="s">
        <v>782</v>
      </c>
      <c r="D262" s="141">
        <v>1800000</v>
      </c>
      <c r="E262" t="s">
        <v>423</v>
      </c>
      <c r="F262" s="20" t="s">
        <v>424</v>
      </c>
      <c r="G262" s="8" t="str">
        <f t="shared" si="4"/>
        <v>CHANDLER KELVIN</v>
      </c>
    </row>
    <row r="263" spans="1:7" x14ac:dyDescent="0.25">
      <c r="A263" s="8">
        <v>42866.912986111114</v>
      </c>
      <c r="B263" t="s">
        <v>709</v>
      </c>
      <c r="C263" t="s">
        <v>783</v>
      </c>
      <c r="D263" s="141">
        <v>2270000</v>
      </c>
      <c r="E263" t="s">
        <v>510</v>
      </c>
      <c r="F263" s="20" t="s">
        <v>511</v>
      </c>
      <c r="G263" s="8" t="str">
        <f t="shared" si="4"/>
        <v>BROWN JACOB</v>
      </c>
    </row>
    <row r="264" spans="1:7" x14ac:dyDescent="0.25">
      <c r="A264" s="8">
        <v>42866.927569444444</v>
      </c>
      <c r="B264" t="s">
        <v>345</v>
      </c>
      <c r="C264" t="s">
        <v>784</v>
      </c>
      <c r="D264" s="141">
        <v>3090000</v>
      </c>
      <c r="E264" t="s">
        <v>421</v>
      </c>
      <c r="F264" s="20" t="s">
        <v>422</v>
      </c>
      <c r="G264" s="8" t="str">
        <f t="shared" si="4"/>
        <v>LAMAR NEKESHA</v>
      </c>
    </row>
    <row r="265" spans="1:7" x14ac:dyDescent="0.25">
      <c r="A265" s="8">
        <v>42866.93173611111</v>
      </c>
      <c r="B265" t="s">
        <v>344</v>
      </c>
      <c r="C265" t="s">
        <v>785</v>
      </c>
      <c r="D265" s="141">
        <v>1810000</v>
      </c>
      <c r="E265" t="s">
        <v>401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42866.934965277775</v>
      </c>
      <c r="B266" t="s">
        <v>356</v>
      </c>
      <c r="C266" t="s">
        <v>786</v>
      </c>
      <c r="D266" s="141">
        <v>2150000</v>
      </c>
      <c r="E266" t="s">
        <v>466</v>
      </c>
      <c r="F266" s="20" t="s">
        <v>467</v>
      </c>
      <c r="G266" s="8" t="str">
        <f t="shared" si="4"/>
        <v>SWANSON BRYCE</v>
      </c>
    </row>
    <row r="267" spans="1:7" x14ac:dyDescent="0.25">
      <c r="A267" s="8">
        <v>42866.943495370368</v>
      </c>
      <c r="B267" t="s">
        <v>398</v>
      </c>
      <c r="C267" t="s">
        <v>787</v>
      </c>
      <c r="D267" s="141">
        <v>3090000</v>
      </c>
      <c r="E267" t="s">
        <v>421</v>
      </c>
      <c r="F267" s="20" t="s">
        <v>422</v>
      </c>
      <c r="G267" s="8" t="str">
        <f t="shared" si="4"/>
        <v>LAMAR NEKESHA</v>
      </c>
    </row>
    <row r="268" spans="1:7" x14ac:dyDescent="0.25">
      <c r="A268" s="8">
        <v>42866.950949074075</v>
      </c>
      <c r="B268" t="s">
        <v>345</v>
      </c>
      <c r="C268" t="s">
        <v>787</v>
      </c>
      <c r="D268" s="141">
        <v>1740000</v>
      </c>
      <c r="E268" t="s">
        <v>508</v>
      </c>
      <c r="F268" s="20" t="s">
        <v>509</v>
      </c>
      <c r="G268" s="8" t="str">
        <f t="shared" si="4"/>
        <v>STORY SAMANTHA</v>
      </c>
    </row>
    <row r="269" spans="1:7" x14ac:dyDescent="0.25">
      <c r="A269" s="8">
        <v>42866.953020833331</v>
      </c>
      <c r="B269" t="s">
        <v>495</v>
      </c>
      <c r="C269" t="s">
        <v>788</v>
      </c>
      <c r="D269" s="141">
        <v>2270000</v>
      </c>
      <c r="E269" t="s">
        <v>510</v>
      </c>
      <c r="F269" s="20" t="s">
        <v>511</v>
      </c>
      <c r="G269" s="8" t="str">
        <f t="shared" si="4"/>
        <v>BROWN JACOB</v>
      </c>
    </row>
    <row r="270" spans="1:7" x14ac:dyDescent="0.25">
      <c r="A270" s="8">
        <v>42866.957442129627</v>
      </c>
      <c r="B270" t="s">
        <v>374</v>
      </c>
      <c r="C270" t="s">
        <v>789</v>
      </c>
      <c r="D270" s="141">
        <v>1800000</v>
      </c>
      <c r="E270" t="s">
        <v>423</v>
      </c>
      <c r="F270" s="20" t="s">
        <v>424</v>
      </c>
      <c r="G270" s="8" t="str">
        <f t="shared" si="4"/>
        <v>CHANDLER KELVIN</v>
      </c>
    </row>
    <row r="271" spans="1:7" x14ac:dyDescent="0.25">
      <c r="A271" s="8">
        <v>42866.967581018522</v>
      </c>
      <c r="B271" t="s">
        <v>357</v>
      </c>
      <c r="C271" t="s">
        <v>790</v>
      </c>
      <c r="D271" s="141">
        <v>2150000</v>
      </c>
      <c r="E271" t="s">
        <v>466</v>
      </c>
      <c r="F271" s="20" t="s">
        <v>467</v>
      </c>
      <c r="G271" s="8" t="str">
        <f t="shared" si="4"/>
        <v>SWANSON BRYCE</v>
      </c>
    </row>
    <row r="272" spans="1:7" x14ac:dyDescent="0.25">
      <c r="A272" s="8">
        <v>42866.975532407407</v>
      </c>
      <c r="B272" t="s">
        <v>343</v>
      </c>
      <c r="C272" t="s">
        <v>791</v>
      </c>
      <c r="D272" s="141">
        <v>1810000</v>
      </c>
      <c r="E272" t="s">
        <v>401</v>
      </c>
      <c r="F272" s="20" t="s">
        <v>193</v>
      </c>
      <c r="G272" s="8" t="str">
        <f t="shared" si="4"/>
        <v>NEWELL JAMES</v>
      </c>
    </row>
    <row r="273" spans="1:7" x14ac:dyDescent="0.25">
      <c r="A273" s="8">
        <v>42866.996018518519</v>
      </c>
      <c r="B273" t="s">
        <v>386</v>
      </c>
      <c r="C273" t="s">
        <v>792</v>
      </c>
      <c r="D273" s="141">
        <v>1800000</v>
      </c>
      <c r="E273" t="s">
        <v>423</v>
      </c>
      <c r="F273" s="20" t="s">
        <v>424</v>
      </c>
      <c r="G273" s="8" t="str">
        <f t="shared" si="4"/>
        <v>CHANDLER KELVIN</v>
      </c>
    </row>
    <row r="274" spans="1:7" x14ac:dyDescent="0.25">
      <c r="A274" s="8">
        <v>42866.997511574074</v>
      </c>
      <c r="B274" t="s">
        <v>709</v>
      </c>
      <c r="C274" t="s">
        <v>793</v>
      </c>
      <c r="D274" s="141">
        <v>2270000</v>
      </c>
      <c r="E274" t="s">
        <v>510</v>
      </c>
      <c r="F274" s="20" t="s">
        <v>511</v>
      </c>
      <c r="G274" s="8" t="str">
        <f t="shared" si="4"/>
        <v>BROWN JACOB</v>
      </c>
    </row>
    <row r="275" spans="1:7" x14ac:dyDescent="0.25">
      <c r="A275" s="8">
        <v>42867.007569444446</v>
      </c>
      <c r="B275" t="s">
        <v>356</v>
      </c>
      <c r="C275" t="s">
        <v>794</v>
      </c>
      <c r="D275" s="141">
        <v>3000000</v>
      </c>
      <c r="E275" t="s">
        <v>468</v>
      </c>
      <c r="F275" s="20" t="s">
        <v>469</v>
      </c>
      <c r="G275" s="8" t="str">
        <f t="shared" si="4"/>
        <v>FORTUNATO FRANK</v>
      </c>
    </row>
    <row r="276" spans="1:7" x14ac:dyDescent="0.25">
      <c r="A276" s="8">
        <v>42867.015127314815</v>
      </c>
      <c r="B276" t="s">
        <v>344</v>
      </c>
      <c r="C276" t="s">
        <v>795</v>
      </c>
      <c r="D276" s="141">
        <v>1810000</v>
      </c>
      <c r="E276" t="s">
        <v>401</v>
      </c>
      <c r="F276" s="20" t="s">
        <v>193</v>
      </c>
      <c r="G276" s="8" t="str">
        <f t="shared" si="4"/>
        <v>NEWELL JAMES</v>
      </c>
    </row>
    <row r="277" spans="1:7" x14ac:dyDescent="0.25">
      <c r="A277" s="8">
        <v>42867.028657407405</v>
      </c>
      <c r="B277" t="s">
        <v>374</v>
      </c>
      <c r="C277" t="s">
        <v>796</v>
      </c>
      <c r="D277" s="141">
        <v>1800000</v>
      </c>
      <c r="E277" t="s">
        <v>423</v>
      </c>
      <c r="F277" s="20" t="s">
        <v>424</v>
      </c>
      <c r="G277" s="8" t="str">
        <f t="shared" si="4"/>
        <v>CHANDLER KELVIN</v>
      </c>
    </row>
    <row r="278" spans="1:7" x14ac:dyDescent="0.25">
      <c r="A278" s="8">
        <v>42867.031307870369</v>
      </c>
      <c r="B278" t="s">
        <v>344</v>
      </c>
      <c r="C278" t="s">
        <v>795</v>
      </c>
      <c r="D278" s="141">
        <v>1810000</v>
      </c>
      <c r="E278" t="s">
        <v>401</v>
      </c>
      <c r="F278" s="20" t="s">
        <v>193</v>
      </c>
      <c r="G278" s="8" t="str">
        <f t="shared" si="4"/>
        <v>NEWELL JAMES</v>
      </c>
    </row>
    <row r="279" spans="1:7" x14ac:dyDescent="0.25">
      <c r="A279" s="8">
        <v>42867.03665509259</v>
      </c>
      <c r="B279" t="s">
        <v>495</v>
      </c>
      <c r="C279" t="s">
        <v>797</v>
      </c>
      <c r="D279" s="141">
        <v>2270000</v>
      </c>
      <c r="E279" t="s">
        <v>510</v>
      </c>
      <c r="F279" s="20" t="s">
        <v>511</v>
      </c>
      <c r="G279" s="8" t="str">
        <f t="shared" si="4"/>
        <v>BROWN JACOB</v>
      </c>
    </row>
    <row r="280" spans="1:7" x14ac:dyDescent="0.25">
      <c r="A280" s="8">
        <v>42867.050324074073</v>
      </c>
      <c r="B280" t="s">
        <v>357</v>
      </c>
      <c r="C280" t="s">
        <v>798</v>
      </c>
      <c r="D280" s="141">
        <v>3000000</v>
      </c>
      <c r="E280" t="s">
        <v>468</v>
      </c>
      <c r="F280" s="20" t="s">
        <v>469</v>
      </c>
      <c r="G280" s="8" t="str">
        <f t="shared" si="4"/>
        <v>FORTUNATO FRANK</v>
      </c>
    </row>
    <row r="281" spans="1:7" x14ac:dyDescent="0.25">
      <c r="A281" s="8">
        <v>42867.053252314814</v>
      </c>
      <c r="B281" t="s">
        <v>343</v>
      </c>
      <c r="C281" t="s">
        <v>799</v>
      </c>
      <c r="D281" s="141">
        <v>1810000</v>
      </c>
      <c r="E281" t="s">
        <v>401</v>
      </c>
      <c r="F281" s="20" t="s">
        <v>193</v>
      </c>
      <c r="G281" s="8" t="str">
        <f t="shared" si="4"/>
        <v>NEWELL JAMES</v>
      </c>
    </row>
    <row r="282" spans="1:7" x14ac:dyDescent="0.25">
      <c r="A282" s="8">
        <v>42867.070532407408</v>
      </c>
      <c r="B282" t="s">
        <v>709</v>
      </c>
      <c r="C282" t="s">
        <v>800</v>
      </c>
      <c r="D282" s="141">
        <v>2270000</v>
      </c>
      <c r="E282" t="s">
        <v>510</v>
      </c>
      <c r="F282" s="20" t="s">
        <v>511</v>
      </c>
      <c r="G282" s="8" t="str">
        <f t="shared" si="4"/>
        <v>BROWN JACOB</v>
      </c>
    </row>
    <row r="283" spans="1:7" x14ac:dyDescent="0.25">
      <c r="A283" s="8">
        <v>42867.071527777778</v>
      </c>
      <c r="B283" t="s">
        <v>709</v>
      </c>
      <c r="C283" t="s">
        <v>800</v>
      </c>
      <c r="D283" s="141">
        <v>2270000</v>
      </c>
      <c r="E283" t="s">
        <v>510</v>
      </c>
      <c r="F283" s="20" t="s">
        <v>511</v>
      </c>
      <c r="G283" s="8" t="str">
        <f t="shared" si="4"/>
        <v>BROWN JACOB</v>
      </c>
    </row>
    <row r="284" spans="1:7" x14ac:dyDescent="0.25">
      <c r="A284" s="8">
        <v>42867.090428240743</v>
      </c>
      <c r="B284" t="s">
        <v>356</v>
      </c>
      <c r="C284" t="s">
        <v>801</v>
      </c>
      <c r="D284" s="141">
        <v>3000000</v>
      </c>
      <c r="E284" t="s">
        <v>468</v>
      </c>
      <c r="F284" s="20" t="s">
        <v>469</v>
      </c>
      <c r="G284" s="8" t="str">
        <f t="shared" si="4"/>
        <v>FORTUNATO FRANK</v>
      </c>
    </row>
    <row r="285" spans="1:7" x14ac:dyDescent="0.25">
      <c r="A285" s="8">
        <v>42863.995520833334</v>
      </c>
      <c r="B285" t="s">
        <v>344</v>
      </c>
      <c r="C285" t="s">
        <v>433</v>
      </c>
      <c r="D285" s="141">
        <v>1800000</v>
      </c>
      <c r="E285" t="s">
        <v>423</v>
      </c>
      <c r="F285" s="20" t="s">
        <v>424</v>
      </c>
      <c r="G285" s="8" t="str">
        <f t="shared" si="4"/>
        <v>CHANDLER KELVIN</v>
      </c>
    </row>
    <row r="286" spans="1:7" x14ac:dyDescent="0.25">
      <c r="A286" s="8">
        <v>42864.007430555554</v>
      </c>
      <c r="B286" t="s">
        <v>417</v>
      </c>
      <c r="C286" t="s">
        <v>408</v>
      </c>
      <c r="D286" s="141">
        <v>2970000</v>
      </c>
      <c r="E286" t="s">
        <v>425</v>
      </c>
      <c r="F286" s="20" t="s">
        <v>426</v>
      </c>
      <c r="G286" s="8" t="str">
        <f t="shared" si="4"/>
        <v>GUZMAN DANNY</v>
      </c>
    </row>
    <row r="287" spans="1:7" x14ac:dyDescent="0.25">
      <c r="A287" s="8">
        <v>42864.009456018517</v>
      </c>
      <c r="B287" t="s">
        <v>386</v>
      </c>
      <c r="C287" t="s">
        <v>434</v>
      </c>
      <c r="D287" s="141">
        <v>2230000</v>
      </c>
      <c r="E287" t="s">
        <v>346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42864.018831018519</v>
      </c>
      <c r="B288" t="s">
        <v>410</v>
      </c>
      <c r="C288" t="s">
        <v>432</v>
      </c>
      <c r="D288" s="141">
        <v>3130000</v>
      </c>
      <c r="E288" t="s">
        <v>430</v>
      </c>
      <c r="F288" s="20" t="s">
        <v>431</v>
      </c>
      <c r="G288" s="8" t="str">
        <f t="shared" si="4"/>
        <v>ZEWDU DEREJE</v>
      </c>
    </row>
    <row r="289" spans="1:7" x14ac:dyDescent="0.25">
      <c r="A289" s="8">
        <v>42864.019791666666</v>
      </c>
      <c r="B289" t="s">
        <v>390</v>
      </c>
      <c r="C289" t="s">
        <v>409</v>
      </c>
      <c r="D289" s="141">
        <v>3040000</v>
      </c>
      <c r="E289" t="s">
        <v>428</v>
      </c>
      <c r="F289" s="20" t="s">
        <v>429</v>
      </c>
      <c r="G289" s="8" t="str">
        <f t="shared" si="4"/>
        <v>WILLIAMS DONTE</v>
      </c>
    </row>
    <row r="290" spans="1:7" x14ac:dyDescent="0.25">
      <c r="A290" s="8">
        <v>42864.019803240742</v>
      </c>
      <c r="B290" t="s">
        <v>410</v>
      </c>
      <c r="C290" t="s">
        <v>432</v>
      </c>
      <c r="D290" s="141">
        <v>3130000</v>
      </c>
      <c r="E290" t="s">
        <v>430</v>
      </c>
      <c r="F290" s="20" t="s">
        <v>431</v>
      </c>
      <c r="G290" s="8" t="str">
        <f t="shared" si="4"/>
        <v>ZEWDU DEREJE</v>
      </c>
    </row>
    <row r="291" spans="1:7" x14ac:dyDescent="0.25">
      <c r="A291" s="8">
        <v>42864.020671296297</v>
      </c>
      <c r="B291" t="s">
        <v>390</v>
      </c>
      <c r="C291" t="s">
        <v>409</v>
      </c>
      <c r="D291" s="141">
        <v>3040000</v>
      </c>
      <c r="E291" t="s">
        <v>428</v>
      </c>
      <c r="F291" s="20" t="s">
        <v>429</v>
      </c>
      <c r="G291" s="8" t="str">
        <f t="shared" si="4"/>
        <v>WILLIAMS DONTE</v>
      </c>
    </row>
    <row r="292" spans="1:7" x14ac:dyDescent="0.25">
      <c r="A292" s="8">
        <v>42864.02140046296</v>
      </c>
      <c r="B292" t="s">
        <v>404</v>
      </c>
      <c r="C292" t="s">
        <v>408</v>
      </c>
      <c r="D292" s="141">
        <v>2970000</v>
      </c>
      <c r="E292" t="s">
        <v>425</v>
      </c>
      <c r="F292" s="20" t="s">
        <v>426</v>
      </c>
      <c r="G292" s="8" t="str">
        <f t="shared" si="4"/>
        <v>GUZMAN DANNY</v>
      </c>
    </row>
    <row r="293" spans="1:7" x14ac:dyDescent="0.25">
      <c r="A293" s="8">
        <v>42864.021481481483</v>
      </c>
      <c r="B293" t="s">
        <v>410</v>
      </c>
      <c r="C293" t="s">
        <v>411</v>
      </c>
      <c r="D293" s="141">
        <v>3130000</v>
      </c>
      <c r="E293" t="s">
        <v>430</v>
      </c>
      <c r="F293" s="20" t="s">
        <v>431</v>
      </c>
      <c r="G293" s="8" t="str">
        <f t="shared" si="4"/>
        <v>ZEWDU DEREJE</v>
      </c>
    </row>
    <row r="294" spans="1:7" x14ac:dyDescent="0.25">
      <c r="A294" s="8">
        <v>42864.022488425922</v>
      </c>
      <c r="B294" t="s">
        <v>390</v>
      </c>
      <c r="C294" t="s">
        <v>409</v>
      </c>
      <c r="D294" s="141">
        <v>3040000</v>
      </c>
      <c r="E294" t="s">
        <v>428</v>
      </c>
      <c r="F294" s="20" t="s">
        <v>429</v>
      </c>
      <c r="G294" s="8" t="str">
        <f t="shared" si="4"/>
        <v>WILLIAMS DONTE</v>
      </c>
    </row>
    <row r="295" spans="1:7" x14ac:dyDescent="0.25">
      <c r="A295" s="8">
        <v>42864.030914351853</v>
      </c>
      <c r="B295" t="s">
        <v>343</v>
      </c>
      <c r="C295" t="s">
        <v>435</v>
      </c>
      <c r="D295" s="141">
        <v>1800000</v>
      </c>
      <c r="E295" t="s">
        <v>423</v>
      </c>
      <c r="F295" s="20" t="s">
        <v>424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398</v>
      </c>
      <c r="C296" t="s">
        <v>436</v>
      </c>
      <c r="D296" s="141">
        <v>3030000</v>
      </c>
      <c r="E296" t="s">
        <v>427</v>
      </c>
      <c r="F296" s="20" t="s">
        <v>400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417</v>
      </c>
      <c r="C297" t="s">
        <v>408</v>
      </c>
      <c r="D297" s="141">
        <v>2970000</v>
      </c>
      <c r="E297" t="s">
        <v>425</v>
      </c>
      <c r="F297" s="20" t="s">
        <v>426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374</v>
      </c>
      <c r="C298" t="s">
        <v>437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404</v>
      </c>
      <c r="C299" t="s">
        <v>408</v>
      </c>
      <c r="D299" s="141">
        <v>2970000</v>
      </c>
      <c r="E299" t="s">
        <v>425</v>
      </c>
      <c r="F299" s="20" t="s">
        <v>426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407</v>
      </c>
      <c r="C300" t="s">
        <v>412</v>
      </c>
      <c r="D300" s="141">
        <v>3130000</v>
      </c>
      <c r="E300" t="s">
        <v>430</v>
      </c>
      <c r="F300" s="20" t="s">
        <v>431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404</v>
      </c>
      <c r="C301" t="s">
        <v>408</v>
      </c>
      <c r="D301" s="141">
        <v>2970000</v>
      </c>
      <c r="E301" t="s">
        <v>425</v>
      </c>
      <c r="F301" s="20" t="s">
        <v>426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389</v>
      </c>
      <c r="C302" t="s">
        <v>409</v>
      </c>
      <c r="D302" s="141">
        <v>3040000</v>
      </c>
      <c r="E302" t="s">
        <v>428</v>
      </c>
      <c r="F302" s="20" t="s">
        <v>429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389</v>
      </c>
      <c r="C303" t="s">
        <v>409</v>
      </c>
      <c r="D303" s="141">
        <v>3040000</v>
      </c>
      <c r="E303" t="s">
        <v>428</v>
      </c>
      <c r="F303" s="20" t="s">
        <v>429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438</v>
      </c>
      <c r="D304" s="141">
        <v>3030000</v>
      </c>
      <c r="E304" t="s">
        <v>427</v>
      </c>
      <c r="F304" s="20" t="s">
        <v>400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417</v>
      </c>
      <c r="C305" t="s">
        <v>408</v>
      </c>
      <c r="D305" s="141">
        <v>2970000</v>
      </c>
      <c r="E305" t="s">
        <v>425</v>
      </c>
      <c r="F305" s="20" t="s">
        <v>426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404</v>
      </c>
      <c r="C306" t="s">
        <v>408</v>
      </c>
      <c r="D306" s="141">
        <v>2970000</v>
      </c>
      <c r="E306" t="s">
        <v>425</v>
      </c>
      <c r="F306" s="20" t="s">
        <v>426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390</v>
      </c>
      <c r="C307" t="s">
        <v>409</v>
      </c>
      <c r="D307" s="141">
        <v>3040000</v>
      </c>
      <c r="E307" t="s">
        <v>428</v>
      </c>
      <c r="F307" s="20" t="s">
        <v>429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410</v>
      </c>
      <c r="C308" t="s">
        <v>439</v>
      </c>
      <c r="D308" s="141">
        <v>3130000</v>
      </c>
      <c r="E308" t="s">
        <v>430</v>
      </c>
      <c r="F308" s="20" t="s">
        <v>431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389</v>
      </c>
      <c r="C309" t="s">
        <v>409</v>
      </c>
      <c r="D309" s="141">
        <v>3040000</v>
      </c>
      <c r="E309" t="s">
        <v>428</v>
      </c>
      <c r="F309" s="20" t="s">
        <v>429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417</v>
      </c>
      <c r="C310" t="s">
        <v>408</v>
      </c>
      <c r="D310" s="141">
        <v>2970000</v>
      </c>
      <c r="E310" t="s">
        <v>425</v>
      </c>
      <c r="F310" s="20" t="s">
        <v>426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404</v>
      </c>
      <c r="C311" t="s">
        <v>408</v>
      </c>
      <c r="D311" s="141">
        <v>2970000</v>
      </c>
      <c r="E311" t="s">
        <v>425</v>
      </c>
      <c r="F311" s="20" t="s">
        <v>426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402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46.07</v>
      </c>
      <c r="B2" s="168">
        <v>0.64</v>
      </c>
      <c r="C2" s="168">
        <v>45.41</v>
      </c>
      <c r="D2" s="8">
        <v>42866</v>
      </c>
      <c r="E2" s="168">
        <v>0.9</v>
      </c>
      <c r="F2" s="168" t="s">
        <v>403</v>
      </c>
      <c r="G2" s="168">
        <v>352.66</v>
      </c>
      <c r="H2" s="168">
        <v>7.7000000000000002E-3</v>
      </c>
      <c r="I2" s="168">
        <v>0.39</v>
      </c>
      <c r="J2" s="168" t="s">
        <v>403</v>
      </c>
      <c r="K2" s="168">
        <v>1017.56</v>
      </c>
      <c r="L2" s="168" t="s">
        <v>440</v>
      </c>
      <c r="M2" s="168">
        <v>48.15</v>
      </c>
      <c r="N2" s="168">
        <v>1494482400</v>
      </c>
      <c r="O2" s="168">
        <v>8.83</v>
      </c>
      <c r="P2" s="168">
        <v>25</v>
      </c>
      <c r="Q2" s="168">
        <v>4.96</v>
      </c>
      <c r="R2"/>
    </row>
    <row r="3" spans="1:18" x14ac:dyDescent="0.25">
      <c r="A3" s="168">
        <v>46.1</v>
      </c>
      <c r="B3" s="168">
        <v>0.56000000000000005</v>
      </c>
      <c r="C3" s="168">
        <v>45.42</v>
      </c>
      <c r="D3" s="8">
        <v>42866.041666666664</v>
      </c>
      <c r="E3" s="168">
        <v>0.91</v>
      </c>
      <c r="F3" s="168" t="s">
        <v>403</v>
      </c>
      <c r="G3" s="168">
        <v>351.66</v>
      </c>
      <c r="H3" s="168">
        <v>6.7000000000000002E-3</v>
      </c>
      <c r="I3" s="168">
        <v>0.32</v>
      </c>
      <c r="J3" s="168" t="s">
        <v>403</v>
      </c>
      <c r="K3" s="168">
        <v>1017.62</v>
      </c>
      <c r="L3" s="168" t="s">
        <v>440</v>
      </c>
      <c r="M3" s="168">
        <v>47.95</v>
      </c>
      <c r="N3" s="168">
        <v>1494486000</v>
      </c>
      <c r="O3" s="168">
        <v>9.18</v>
      </c>
      <c r="P3" s="168">
        <v>31</v>
      </c>
      <c r="Q3" s="168">
        <v>4.5599999999999996</v>
      </c>
      <c r="R3"/>
    </row>
    <row r="4" spans="1:18" x14ac:dyDescent="0.25">
      <c r="A4" s="168">
        <v>45.95</v>
      </c>
      <c r="B4" s="168">
        <v>0.45</v>
      </c>
      <c r="C4" s="168">
        <v>45.39</v>
      </c>
      <c r="D4" s="8">
        <v>42866.083333333336</v>
      </c>
      <c r="E4" s="168">
        <v>0.92</v>
      </c>
      <c r="F4" s="168" t="s">
        <v>403</v>
      </c>
      <c r="G4" s="168">
        <v>350.66</v>
      </c>
      <c r="H4" s="168">
        <v>7.0000000000000001E-3</v>
      </c>
      <c r="I4" s="168">
        <v>0.34</v>
      </c>
      <c r="J4" s="168" t="s">
        <v>403</v>
      </c>
      <c r="K4" s="168">
        <v>1017.67</v>
      </c>
      <c r="L4" s="168" t="s">
        <v>440</v>
      </c>
      <c r="M4" s="168">
        <v>47.63</v>
      </c>
      <c r="N4" s="168">
        <v>1494489600</v>
      </c>
      <c r="O4" s="168">
        <v>9.49</v>
      </c>
      <c r="P4" s="168">
        <v>27</v>
      </c>
      <c r="Q4" s="168">
        <v>4.24</v>
      </c>
      <c r="R4"/>
    </row>
    <row r="5" spans="1:18" x14ac:dyDescent="0.25">
      <c r="A5" s="168">
        <v>45.38</v>
      </c>
      <c r="B5" s="168">
        <v>0.37</v>
      </c>
      <c r="C5" s="168">
        <v>44.95</v>
      </c>
      <c r="D5" s="8">
        <v>42866.125</v>
      </c>
      <c r="E5" s="168">
        <v>0.92</v>
      </c>
      <c r="F5" s="168" t="s">
        <v>403</v>
      </c>
      <c r="G5" s="168">
        <v>349.66</v>
      </c>
      <c r="H5" s="168">
        <v>6.1000000000000004E-3</v>
      </c>
      <c r="I5" s="168">
        <v>0.28000000000000003</v>
      </c>
      <c r="J5" s="168" t="s">
        <v>403</v>
      </c>
      <c r="K5" s="168">
        <v>1017.69</v>
      </c>
      <c r="L5" s="168" t="s">
        <v>440</v>
      </c>
      <c r="M5" s="168">
        <v>47.08</v>
      </c>
      <c r="N5" s="168">
        <v>1494493200</v>
      </c>
      <c r="O5" s="168">
        <v>9.8000000000000007</v>
      </c>
      <c r="P5" s="168">
        <v>32</v>
      </c>
      <c r="Q5" s="168">
        <v>4.1500000000000004</v>
      </c>
      <c r="R5"/>
    </row>
    <row r="6" spans="1:18" x14ac:dyDescent="0.25">
      <c r="A6" s="168">
        <v>45.33</v>
      </c>
      <c r="B6" s="168">
        <v>0.43</v>
      </c>
      <c r="C6" s="168">
        <v>44.4</v>
      </c>
      <c r="D6" s="8">
        <v>42866.166666666664</v>
      </c>
      <c r="E6" s="168">
        <v>0.92</v>
      </c>
      <c r="F6" s="168" t="s">
        <v>403</v>
      </c>
      <c r="G6" s="168">
        <v>348.02</v>
      </c>
      <c r="H6" s="168">
        <v>6.0000000000000001E-3</v>
      </c>
      <c r="I6" s="168">
        <v>0.27</v>
      </c>
      <c r="J6" s="168" t="s">
        <v>403</v>
      </c>
      <c r="K6" s="168">
        <v>1018.05</v>
      </c>
      <c r="L6" s="168" t="s">
        <v>440</v>
      </c>
      <c r="M6" s="168">
        <v>46.59</v>
      </c>
      <c r="N6" s="168">
        <v>1494496800</v>
      </c>
      <c r="O6" s="168">
        <v>9.94</v>
      </c>
      <c r="P6" s="168">
        <v>31</v>
      </c>
      <c r="Q6" s="168">
        <v>3.52</v>
      </c>
      <c r="R6"/>
    </row>
    <row r="7" spans="1:18" x14ac:dyDescent="0.25">
      <c r="A7" s="168">
        <v>46.11</v>
      </c>
      <c r="B7" s="168">
        <v>0.59</v>
      </c>
      <c r="C7" s="168">
        <v>44.07</v>
      </c>
      <c r="D7" s="8">
        <v>42866.208333333336</v>
      </c>
      <c r="E7" s="168">
        <v>0.93</v>
      </c>
      <c r="F7" s="168" t="s">
        <v>403</v>
      </c>
      <c r="G7" s="168">
        <v>345.89</v>
      </c>
      <c r="H7" s="168">
        <v>5.8999999999999999E-3</v>
      </c>
      <c r="I7" s="168">
        <v>0.27</v>
      </c>
      <c r="J7" s="168" t="s">
        <v>403</v>
      </c>
      <c r="K7" s="168">
        <v>1018.56</v>
      </c>
      <c r="L7" s="168" t="s">
        <v>440</v>
      </c>
      <c r="M7" s="168">
        <v>46.11</v>
      </c>
      <c r="N7" s="168">
        <v>1494500400</v>
      </c>
      <c r="O7" s="168">
        <v>9.84</v>
      </c>
      <c r="P7" s="168">
        <v>18</v>
      </c>
      <c r="Q7" s="168">
        <v>3</v>
      </c>
      <c r="R7"/>
    </row>
    <row r="8" spans="1:18" x14ac:dyDescent="0.25">
      <c r="A8" s="168">
        <v>45.69</v>
      </c>
      <c r="B8" s="168">
        <v>0.67</v>
      </c>
      <c r="C8" s="168">
        <v>43.59</v>
      </c>
      <c r="D8" s="8">
        <v>42866.25</v>
      </c>
      <c r="E8" s="168">
        <v>0.9</v>
      </c>
      <c r="F8" s="168" t="s">
        <v>403</v>
      </c>
      <c r="G8" s="168">
        <v>342.25</v>
      </c>
      <c r="H8" s="168">
        <v>5.1000000000000004E-3</v>
      </c>
      <c r="I8" s="168">
        <v>0.22</v>
      </c>
      <c r="J8" s="168" t="s">
        <v>403</v>
      </c>
      <c r="K8" s="168">
        <v>1019.03</v>
      </c>
      <c r="L8" s="168" t="s">
        <v>440</v>
      </c>
      <c r="M8" s="168">
        <v>46.48</v>
      </c>
      <c r="N8" s="168">
        <v>1494504000</v>
      </c>
      <c r="O8" s="168">
        <v>9.7100000000000009</v>
      </c>
      <c r="P8" s="168">
        <v>2</v>
      </c>
      <c r="Q8" s="168">
        <v>3.01</v>
      </c>
      <c r="R8"/>
    </row>
    <row r="9" spans="1:18" x14ac:dyDescent="0.25">
      <c r="A9" s="168">
        <v>46.17</v>
      </c>
      <c r="B9" s="168">
        <v>0.56000000000000005</v>
      </c>
      <c r="C9" s="168">
        <v>42.99</v>
      </c>
      <c r="D9" s="8">
        <v>42866.291666666664</v>
      </c>
      <c r="E9" s="168">
        <v>0.85</v>
      </c>
      <c r="F9" s="168" t="s">
        <v>391</v>
      </c>
      <c r="G9" s="168">
        <v>335.53</v>
      </c>
      <c r="H9" s="168">
        <v>3.8999999999999998E-3</v>
      </c>
      <c r="I9" s="168">
        <v>0.14000000000000001</v>
      </c>
      <c r="J9" s="168" t="s">
        <v>403</v>
      </c>
      <c r="K9" s="168">
        <v>1019.42</v>
      </c>
      <c r="L9" s="168" t="s">
        <v>802</v>
      </c>
      <c r="M9" s="168">
        <v>47.3</v>
      </c>
      <c r="N9" s="168">
        <v>1494507600</v>
      </c>
      <c r="O9" s="168">
        <v>9.6300000000000008</v>
      </c>
      <c r="P9" s="168">
        <v>357</v>
      </c>
      <c r="Q9" s="168">
        <v>3.49</v>
      </c>
      <c r="R9"/>
    </row>
    <row r="10" spans="1:18" x14ac:dyDescent="0.25">
      <c r="A10" s="168">
        <v>48.07</v>
      </c>
      <c r="B10" s="168">
        <v>0.36</v>
      </c>
      <c r="C10" s="168">
        <v>43.06</v>
      </c>
      <c r="D10" s="8">
        <v>42866.333333333336</v>
      </c>
      <c r="E10" s="168">
        <v>0.78</v>
      </c>
      <c r="F10" s="168" t="s">
        <v>391</v>
      </c>
      <c r="G10" s="168">
        <v>327.31</v>
      </c>
      <c r="H10" s="168">
        <v>2.3E-3</v>
      </c>
      <c r="I10" s="168">
        <v>0.06</v>
      </c>
      <c r="J10" s="168" t="s">
        <v>403</v>
      </c>
      <c r="K10" s="168">
        <v>1019.7</v>
      </c>
      <c r="L10" s="168" t="s">
        <v>802</v>
      </c>
      <c r="M10" s="168">
        <v>49.47</v>
      </c>
      <c r="N10" s="168">
        <v>1494511200</v>
      </c>
      <c r="O10" s="168">
        <v>9.61</v>
      </c>
      <c r="P10" s="168">
        <v>357</v>
      </c>
      <c r="Q10" s="168">
        <v>4.26</v>
      </c>
      <c r="R10"/>
    </row>
    <row r="11" spans="1:18" x14ac:dyDescent="0.25">
      <c r="A11" s="168">
        <v>51.99</v>
      </c>
      <c r="B11" s="168">
        <v>0.27</v>
      </c>
      <c r="C11" s="168">
        <v>43.06</v>
      </c>
      <c r="D11" s="8">
        <v>42866.375</v>
      </c>
      <c r="E11" s="168">
        <v>0.72</v>
      </c>
      <c r="F11" s="168" t="s">
        <v>391</v>
      </c>
      <c r="G11" s="168">
        <v>321.27999999999997</v>
      </c>
      <c r="H11" s="168">
        <v>1.1000000000000001E-3</v>
      </c>
      <c r="I11" s="168">
        <v>0.01</v>
      </c>
      <c r="J11" s="168" t="s">
        <v>403</v>
      </c>
      <c r="K11" s="168">
        <v>1019.78</v>
      </c>
      <c r="L11" s="168" t="s">
        <v>802</v>
      </c>
      <c r="M11" s="168">
        <v>51.99</v>
      </c>
      <c r="N11" s="168">
        <v>1494514800</v>
      </c>
      <c r="O11" s="168">
        <v>9.61</v>
      </c>
      <c r="P11" s="168">
        <v>9</v>
      </c>
      <c r="Q11" s="168">
        <v>4.62</v>
      </c>
      <c r="R11"/>
    </row>
    <row r="12" spans="1:18" x14ac:dyDescent="0.25">
      <c r="A12" s="168">
        <v>54.82</v>
      </c>
      <c r="B12" s="168">
        <v>0.28999999999999998</v>
      </c>
      <c r="C12" s="168">
        <v>42.76</v>
      </c>
      <c r="D12" s="8">
        <v>42866.416666666664</v>
      </c>
      <c r="E12" s="168">
        <v>0.64</v>
      </c>
      <c r="F12" s="168" t="s">
        <v>391</v>
      </c>
      <c r="G12" s="168">
        <v>319.41000000000003</v>
      </c>
      <c r="H12" s="168">
        <v>0</v>
      </c>
      <c r="I12" s="168">
        <v>0</v>
      </c>
      <c r="J12" s="168"/>
      <c r="K12" s="168">
        <v>1019.69</v>
      </c>
      <c r="L12" s="168" t="s">
        <v>802</v>
      </c>
      <c r="M12" s="168">
        <v>54.82</v>
      </c>
      <c r="N12" s="168">
        <v>1494518400</v>
      </c>
      <c r="O12" s="168">
        <v>9.66</v>
      </c>
      <c r="P12" s="168">
        <v>12</v>
      </c>
      <c r="Q12" s="168">
        <v>4.51</v>
      </c>
      <c r="R12"/>
    </row>
    <row r="13" spans="1:18" x14ac:dyDescent="0.25">
      <c r="A13" s="168">
        <v>58.3</v>
      </c>
      <c r="B13" s="168">
        <v>0.35</v>
      </c>
      <c r="C13" s="168">
        <v>42.71</v>
      </c>
      <c r="D13" s="8">
        <v>42866.458333333336</v>
      </c>
      <c r="E13" s="168">
        <v>0.56000000000000005</v>
      </c>
      <c r="F13" s="168" t="s">
        <v>391</v>
      </c>
      <c r="G13" s="168">
        <v>319.74</v>
      </c>
      <c r="H13" s="168">
        <v>8.0000000000000004E-4</v>
      </c>
      <c r="I13" s="168">
        <v>0.01</v>
      </c>
      <c r="J13" s="168" t="s">
        <v>403</v>
      </c>
      <c r="K13" s="168">
        <v>1019.54</v>
      </c>
      <c r="L13" s="168" t="s">
        <v>802</v>
      </c>
      <c r="M13" s="168">
        <v>58.3</v>
      </c>
      <c r="N13" s="168">
        <v>1494522000</v>
      </c>
      <c r="O13" s="168">
        <v>9.6999999999999993</v>
      </c>
      <c r="P13" s="168">
        <v>19</v>
      </c>
      <c r="Q13" s="168">
        <v>4.9800000000000004</v>
      </c>
      <c r="R13"/>
    </row>
    <row r="14" spans="1:18" x14ac:dyDescent="0.25">
      <c r="A14" s="168">
        <v>61.23</v>
      </c>
      <c r="B14" s="168">
        <v>0.36</v>
      </c>
      <c r="C14" s="168">
        <v>42.39</v>
      </c>
      <c r="D14" s="8">
        <v>42866.5</v>
      </c>
      <c r="E14" s="168">
        <v>0.5</v>
      </c>
      <c r="F14" s="168" t="s">
        <v>391</v>
      </c>
      <c r="G14" s="168">
        <v>320.01</v>
      </c>
      <c r="H14" s="168">
        <v>8.0000000000000004E-4</v>
      </c>
      <c r="I14" s="168">
        <v>0.01</v>
      </c>
      <c r="J14" s="168" t="s">
        <v>403</v>
      </c>
      <c r="K14" s="168">
        <v>1019.23</v>
      </c>
      <c r="L14" s="168" t="s">
        <v>802</v>
      </c>
      <c r="M14" s="168">
        <v>61.23</v>
      </c>
      <c r="N14" s="168">
        <v>1494525600</v>
      </c>
      <c r="O14" s="168">
        <v>9.8800000000000008</v>
      </c>
      <c r="P14" s="168">
        <v>23</v>
      </c>
      <c r="Q14" s="168">
        <v>4.97</v>
      </c>
      <c r="R14"/>
    </row>
    <row r="15" spans="1:18" x14ac:dyDescent="0.25">
      <c r="A15" s="168">
        <v>63.82</v>
      </c>
      <c r="B15" s="168">
        <v>0.35</v>
      </c>
      <c r="C15" s="168">
        <v>42.22</v>
      </c>
      <c r="D15" s="8">
        <v>42866.541666666664</v>
      </c>
      <c r="E15" s="168">
        <v>0.45</v>
      </c>
      <c r="F15" s="168" t="s">
        <v>391</v>
      </c>
      <c r="G15" s="168">
        <v>319.60000000000002</v>
      </c>
      <c r="H15" s="168">
        <v>0</v>
      </c>
      <c r="I15" s="168">
        <v>0</v>
      </c>
      <c r="J15" s="168"/>
      <c r="K15" s="168">
        <v>1018.68</v>
      </c>
      <c r="L15" s="168" t="s">
        <v>802</v>
      </c>
      <c r="M15" s="168">
        <v>63.82</v>
      </c>
      <c r="N15" s="168">
        <v>1494529200</v>
      </c>
      <c r="O15" s="168">
        <v>10</v>
      </c>
      <c r="P15" s="168">
        <v>37</v>
      </c>
      <c r="Q15" s="168">
        <v>5.35</v>
      </c>
      <c r="R15"/>
    </row>
    <row r="16" spans="1:18" x14ac:dyDescent="0.25">
      <c r="A16" s="168">
        <v>65.37</v>
      </c>
      <c r="B16" s="168">
        <v>0.27</v>
      </c>
      <c r="C16" s="168">
        <v>41.28</v>
      </c>
      <c r="D16" s="8">
        <v>42866.583333333336</v>
      </c>
      <c r="E16" s="168">
        <v>0.41</v>
      </c>
      <c r="F16" s="168" t="s">
        <v>391</v>
      </c>
      <c r="G16" s="168">
        <v>319.14</v>
      </c>
      <c r="H16" s="168">
        <v>0</v>
      </c>
      <c r="I16" s="168">
        <v>0</v>
      </c>
      <c r="J16" s="168"/>
      <c r="K16" s="168">
        <v>1018.01</v>
      </c>
      <c r="L16" s="168" t="s">
        <v>802</v>
      </c>
      <c r="M16" s="168">
        <v>65.37</v>
      </c>
      <c r="N16" s="168">
        <v>1494532800</v>
      </c>
      <c r="O16" s="168">
        <v>10</v>
      </c>
      <c r="P16" s="168">
        <v>46</v>
      </c>
      <c r="Q16" s="168">
        <v>5.91</v>
      </c>
      <c r="R16"/>
    </row>
    <row r="17" spans="1:18" x14ac:dyDescent="0.25">
      <c r="A17" s="168">
        <v>66.73</v>
      </c>
      <c r="B17" s="168">
        <v>0.23</v>
      </c>
      <c r="C17" s="168">
        <v>40.93</v>
      </c>
      <c r="D17" s="8">
        <v>42866.625</v>
      </c>
      <c r="E17" s="168">
        <v>0.39</v>
      </c>
      <c r="F17" s="168" t="s">
        <v>803</v>
      </c>
      <c r="G17" s="168">
        <v>318.23</v>
      </c>
      <c r="H17" s="168">
        <v>0</v>
      </c>
      <c r="I17" s="168">
        <v>0</v>
      </c>
      <c r="J17" s="168"/>
      <c r="K17" s="168">
        <v>1017.41</v>
      </c>
      <c r="L17" s="168" t="s">
        <v>804</v>
      </c>
      <c r="M17" s="168">
        <v>66.73</v>
      </c>
      <c r="N17" s="168">
        <v>1494536400</v>
      </c>
      <c r="O17" s="168">
        <v>10</v>
      </c>
      <c r="P17" s="168">
        <v>53</v>
      </c>
      <c r="Q17" s="168">
        <v>5.54</v>
      </c>
      <c r="R17"/>
    </row>
    <row r="18" spans="1:18" x14ac:dyDescent="0.25">
      <c r="A18" s="168">
        <v>67.11</v>
      </c>
      <c r="B18" s="168">
        <v>0.22</v>
      </c>
      <c r="C18" s="168">
        <v>40.229999999999997</v>
      </c>
      <c r="D18" s="8">
        <v>42866.666666666664</v>
      </c>
      <c r="E18" s="168">
        <v>0.37</v>
      </c>
      <c r="F18" s="168" t="s">
        <v>803</v>
      </c>
      <c r="G18" s="168">
        <v>316.33999999999997</v>
      </c>
      <c r="H18" s="168">
        <v>0</v>
      </c>
      <c r="I18" s="168">
        <v>0</v>
      </c>
      <c r="J18" s="168"/>
      <c r="K18" s="168">
        <v>1016.89</v>
      </c>
      <c r="L18" s="168" t="s">
        <v>804</v>
      </c>
      <c r="M18" s="168">
        <v>67.11</v>
      </c>
      <c r="N18" s="168">
        <v>1494540000</v>
      </c>
      <c r="O18" s="168">
        <v>10</v>
      </c>
      <c r="P18" s="168">
        <v>62</v>
      </c>
      <c r="Q18" s="168">
        <v>4.75</v>
      </c>
      <c r="R18"/>
    </row>
    <row r="19" spans="1:18" x14ac:dyDescent="0.25">
      <c r="A19" s="168">
        <v>66.47</v>
      </c>
      <c r="B19" s="168">
        <v>0.22</v>
      </c>
      <c r="C19" s="168">
        <v>39.520000000000003</v>
      </c>
      <c r="D19" s="8">
        <v>42866.708333333336</v>
      </c>
      <c r="E19" s="168">
        <v>0.37</v>
      </c>
      <c r="F19" s="168" t="s">
        <v>803</v>
      </c>
      <c r="G19" s="168">
        <v>314</v>
      </c>
      <c r="H19" s="168">
        <v>0</v>
      </c>
      <c r="I19" s="168">
        <v>0</v>
      </c>
      <c r="J19" s="168"/>
      <c r="K19" s="168">
        <v>1016.48</v>
      </c>
      <c r="L19" s="168" t="s">
        <v>804</v>
      </c>
      <c r="M19" s="168">
        <v>66.47</v>
      </c>
      <c r="N19" s="168">
        <v>1494543600</v>
      </c>
      <c r="O19" s="168">
        <v>10</v>
      </c>
      <c r="P19" s="168">
        <v>80</v>
      </c>
      <c r="Q19" s="168">
        <v>4.3899999999999997</v>
      </c>
      <c r="R19"/>
    </row>
    <row r="20" spans="1:18" x14ac:dyDescent="0.25">
      <c r="A20" s="168">
        <v>65.27</v>
      </c>
      <c r="B20" s="168">
        <v>0.14000000000000001</v>
      </c>
      <c r="C20" s="168">
        <v>41.56</v>
      </c>
      <c r="D20" s="8">
        <v>42866.75</v>
      </c>
      <c r="E20" s="168">
        <v>0.42</v>
      </c>
      <c r="F20" s="168" t="s">
        <v>803</v>
      </c>
      <c r="G20" s="168">
        <v>312.35000000000002</v>
      </c>
      <c r="H20" s="168">
        <v>0</v>
      </c>
      <c r="I20" s="168">
        <v>0</v>
      </c>
      <c r="J20" s="168"/>
      <c r="K20" s="168">
        <v>1016.37</v>
      </c>
      <c r="L20" s="168" t="s">
        <v>804</v>
      </c>
      <c r="M20" s="168">
        <v>65.27</v>
      </c>
      <c r="N20" s="168">
        <v>1494547200</v>
      </c>
      <c r="O20" s="168">
        <v>10</v>
      </c>
      <c r="P20" s="168">
        <v>85</v>
      </c>
      <c r="Q20" s="168">
        <v>4.0199999999999996</v>
      </c>
      <c r="R20"/>
    </row>
    <row r="21" spans="1:18" x14ac:dyDescent="0.25">
      <c r="A21" s="168">
        <v>60.85</v>
      </c>
      <c r="B21" s="168">
        <v>0.09</v>
      </c>
      <c r="C21" s="168">
        <v>42.5</v>
      </c>
      <c r="D21" s="8">
        <v>42866.791666666664</v>
      </c>
      <c r="E21" s="168">
        <v>0.51</v>
      </c>
      <c r="F21" s="168" t="s">
        <v>803</v>
      </c>
      <c r="G21" s="168">
        <v>312.02</v>
      </c>
      <c r="H21" s="168">
        <v>0</v>
      </c>
      <c r="I21" s="168">
        <v>0</v>
      </c>
      <c r="J21" s="168"/>
      <c r="K21" s="168">
        <v>1016.75</v>
      </c>
      <c r="L21" s="168" t="s">
        <v>804</v>
      </c>
      <c r="M21" s="168">
        <v>60.85</v>
      </c>
      <c r="N21" s="168">
        <v>1494550800</v>
      </c>
      <c r="O21" s="168">
        <v>10</v>
      </c>
      <c r="P21" s="168">
        <v>100</v>
      </c>
      <c r="Q21" s="168">
        <v>3.53</v>
      </c>
      <c r="R21"/>
    </row>
    <row r="22" spans="1:18" x14ac:dyDescent="0.25">
      <c r="A22" s="168">
        <v>56.82</v>
      </c>
      <c r="B22" s="168">
        <v>0.1</v>
      </c>
      <c r="C22" s="168">
        <v>42.18</v>
      </c>
      <c r="D22" s="8">
        <v>42866.833333333336</v>
      </c>
      <c r="E22" s="168">
        <v>0.57999999999999996</v>
      </c>
      <c r="F22" s="168" t="s">
        <v>805</v>
      </c>
      <c r="G22" s="168">
        <v>312.39</v>
      </c>
      <c r="H22" s="168">
        <v>0</v>
      </c>
      <c r="I22" s="168">
        <v>0</v>
      </c>
      <c r="J22" s="168"/>
      <c r="K22" s="168">
        <v>1017.43</v>
      </c>
      <c r="L22" s="168" t="s">
        <v>804</v>
      </c>
      <c r="M22" s="168">
        <v>56.82</v>
      </c>
      <c r="N22" s="168">
        <v>1494554400</v>
      </c>
      <c r="O22" s="168">
        <v>10</v>
      </c>
      <c r="P22" s="168">
        <v>116</v>
      </c>
      <c r="Q22" s="168">
        <v>3.08</v>
      </c>
      <c r="R22"/>
    </row>
    <row r="23" spans="1:18" x14ac:dyDescent="0.25">
      <c r="A23" s="168">
        <v>53.82</v>
      </c>
      <c r="B23" s="168">
        <v>0.11</v>
      </c>
      <c r="C23" s="168">
        <v>42.96</v>
      </c>
      <c r="D23" s="8">
        <v>42866.875</v>
      </c>
      <c r="E23" s="168">
        <v>0.67</v>
      </c>
      <c r="F23" s="168" t="s">
        <v>805</v>
      </c>
      <c r="G23" s="168">
        <v>312.74</v>
      </c>
      <c r="H23" s="168">
        <v>0</v>
      </c>
      <c r="I23" s="168">
        <v>0</v>
      </c>
      <c r="J23" s="168"/>
      <c r="K23" s="168">
        <v>1018.08</v>
      </c>
      <c r="L23" s="168" t="s">
        <v>804</v>
      </c>
      <c r="M23" s="168">
        <v>53.82</v>
      </c>
      <c r="N23" s="168">
        <v>1494558000</v>
      </c>
      <c r="O23" s="168">
        <v>9.99</v>
      </c>
      <c r="P23" s="168">
        <v>133</v>
      </c>
      <c r="Q23" s="168">
        <v>2.78</v>
      </c>
      <c r="R23"/>
    </row>
    <row r="24" spans="1:18" x14ac:dyDescent="0.25">
      <c r="A24" s="168">
        <v>52.42</v>
      </c>
      <c r="B24" s="168">
        <v>0.11</v>
      </c>
      <c r="C24" s="168">
        <v>43.57</v>
      </c>
      <c r="D24" s="8">
        <v>42866.916666666664</v>
      </c>
      <c r="E24" s="168">
        <v>0.72</v>
      </c>
      <c r="F24" s="168" t="s">
        <v>805</v>
      </c>
      <c r="G24" s="168">
        <v>312.95</v>
      </c>
      <c r="H24" s="168">
        <v>0</v>
      </c>
      <c r="I24" s="168">
        <v>0</v>
      </c>
      <c r="J24" s="168"/>
      <c r="K24" s="168">
        <v>1018.58</v>
      </c>
      <c r="L24" s="168" t="s">
        <v>804</v>
      </c>
      <c r="M24" s="168">
        <v>52.42</v>
      </c>
      <c r="N24" s="168">
        <v>1494561600</v>
      </c>
      <c r="O24" s="168">
        <v>9.84</v>
      </c>
      <c r="P24" s="168">
        <v>166</v>
      </c>
      <c r="Q24" s="168">
        <v>2.37</v>
      </c>
      <c r="R24"/>
    </row>
    <row r="25" spans="1:18" x14ac:dyDescent="0.25">
      <c r="A25" s="168">
        <v>50.95</v>
      </c>
      <c r="B25" s="168">
        <v>7.0000000000000007E-2</v>
      </c>
      <c r="C25" s="168">
        <v>44.34</v>
      </c>
      <c r="D25" s="8">
        <v>42866.958333333336</v>
      </c>
      <c r="E25" s="168">
        <v>0.78</v>
      </c>
      <c r="F25" s="168" t="s">
        <v>805</v>
      </c>
      <c r="G25" s="168">
        <v>313.14999999999998</v>
      </c>
      <c r="H25" s="168">
        <v>0</v>
      </c>
      <c r="I25" s="168">
        <v>0</v>
      </c>
      <c r="J25" s="168"/>
      <c r="K25" s="168">
        <v>1019.03</v>
      </c>
      <c r="L25" s="168" t="s">
        <v>804</v>
      </c>
      <c r="M25" s="168">
        <v>50.95</v>
      </c>
      <c r="N25" s="168">
        <v>1494565200</v>
      </c>
      <c r="O25" s="168">
        <v>9.6300000000000008</v>
      </c>
      <c r="P25" s="168">
        <v>159</v>
      </c>
      <c r="Q25" s="168">
        <v>2.74</v>
      </c>
      <c r="R25"/>
    </row>
    <row r="26" spans="1:18" x14ac:dyDescent="0.25">
      <c r="A26" s="168">
        <v>47.93</v>
      </c>
      <c r="B26" s="168">
        <v>7.0000000000000007E-2</v>
      </c>
      <c r="C26" s="168">
        <v>42.92</v>
      </c>
      <c r="D26" s="8">
        <v>42867</v>
      </c>
      <c r="E26" s="168">
        <v>0.81</v>
      </c>
      <c r="F26" s="168" t="s">
        <v>805</v>
      </c>
      <c r="G26" s="168">
        <v>312.95</v>
      </c>
      <c r="H26" s="168">
        <v>0</v>
      </c>
      <c r="I26" s="168">
        <v>0</v>
      </c>
      <c r="J26" s="168"/>
      <c r="K26" s="168">
        <v>1019.38</v>
      </c>
      <c r="L26" s="168" t="s">
        <v>804</v>
      </c>
      <c r="M26" s="168">
        <v>48.48</v>
      </c>
      <c r="N26" s="168">
        <v>1494568800</v>
      </c>
      <c r="O26" s="168">
        <v>9.49</v>
      </c>
      <c r="P26" s="168">
        <v>162</v>
      </c>
      <c r="Q26" s="168">
        <v>3.03</v>
      </c>
      <c r="R26"/>
    </row>
    <row r="27" spans="1:18" x14ac:dyDescent="0.25">
      <c r="A27" s="168">
        <v>47.8</v>
      </c>
      <c r="B27" s="168">
        <v>7.0000000000000007E-2</v>
      </c>
      <c r="C27" s="168">
        <v>42.58</v>
      </c>
      <c r="D27" s="8">
        <v>42867.041666666664</v>
      </c>
      <c r="E27" s="168">
        <v>0.82</v>
      </c>
      <c r="F27" s="168" t="s">
        <v>805</v>
      </c>
      <c r="G27" s="168">
        <v>311.83999999999997</v>
      </c>
      <c r="H27" s="168">
        <v>0</v>
      </c>
      <c r="I27" s="168">
        <v>0</v>
      </c>
      <c r="J27" s="168"/>
      <c r="K27" s="168">
        <v>1019.44</v>
      </c>
      <c r="L27" s="168" t="s">
        <v>804</v>
      </c>
      <c r="M27" s="168">
        <v>47.8</v>
      </c>
      <c r="N27" s="168">
        <v>1494572400</v>
      </c>
      <c r="O27" s="168">
        <v>9.3800000000000008</v>
      </c>
      <c r="P27" s="168">
        <v>176</v>
      </c>
      <c r="Q27" s="168">
        <v>2.5099999999999998</v>
      </c>
      <c r="R27"/>
    </row>
    <row r="28" spans="1:18" x14ac:dyDescent="0.25">
      <c r="A28" s="168">
        <v>46.92</v>
      </c>
      <c r="B28" s="168">
        <v>0.08</v>
      </c>
      <c r="C28" s="168">
        <v>42.42</v>
      </c>
      <c r="D28" s="8">
        <v>42867.083333333336</v>
      </c>
      <c r="E28" s="168">
        <v>0.84</v>
      </c>
      <c r="F28" s="168" t="s">
        <v>805</v>
      </c>
      <c r="G28" s="168">
        <v>310.72000000000003</v>
      </c>
      <c r="H28" s="168">
        <v>0</v>
      </c>
      <c r="I28" s="168">
        <v>0</v>
      </c>
      <c r="J28" s="168"/>
      <c r="K28" s="168">
        <v>1019.48</v>
      </c>
      <c r="L28" s="168" t="s">
        <v>804</v>
      </c>
      <c r="M28" s="168">
        <v>46.92</v>
      </c>
      <c r="N28" s="168">
        <v>1494576000</v>
      </c>
      <c r="O28" s="168">
        <v>9.2799999999999994</v>
      </c>
      <c r="P28" s="168">
        <v>189</v>
      </c>
      <c r="Q28" s="168">
        <v>2.31</v>
      </c>
      <c r="R28"/>
    </row>
    <row r="29" spans="1:18" x14ac:dyDescent="0.25">
      <c r="A29" s="168">
        <v>46.43</v>
      </c>
      <c r="B29" s="168">
        <v>0.08</v>
      </c>
      <c r="C29" s="168">
        <v>41.02</v>
      </c>
      <c r="D29" s="8">
        <v>42867.125</v>
      </c>
      <c r="E29" s="168">
        <v>0.81</v>
      </c>
      <c r="F29" s="168" t="s">
        <v>805</v>
      </c>
      <c r="G29" s="168">
        <v>309.61</v>
      </c>
      <c r="H29" s="168">
        <v>0</v>
      </c>
      <c r="I29" s="168">
        <v>0</v>
      </c>
      <c r="J29" s="168"/>
      <c r="K29" s="168">
        <v>1019.52</v>
      </c>
      <c r="L29" s="168" t="s">
        <v>804</v>
      </c>
      <c r="M29" s="168">
        <v>46.43</v>
      </c>
      <c r="N29" s="168">
        <v>1494579600</v>
      </c>
      <c r="O29" s="168">
        <v>9.5399999999999991</v>
      </c>
      <c r="P29" s="168">
        <v>206</v>
      </c>
      <c r="Q29" s="168">
        <v>2.61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42866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1023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1024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1025</v>
      </c>
      <c r="J20" s="143" t="s">
        <v>87</v>
      </c>
      <c r="M20" s="157" t="s">
        <v>377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1026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1027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1028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1029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1030</v>
      </c>
      <c r="J25" s="143" t="s">
        <v>150</v>
      </c>
      <c r="M25" s="157" t="b">
        <v>1</v>
      </c>
    </row>
    <row r="26" spans="3:24" x14ac:dyDescent="0.25">
      <c r="C26" t="s">
        <v>1031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C:\Users\stu\Documents\GitHub\eaglep3-reporting\EC\2017-05-11-refined-times.txt</v>
      </c>
    </row>
    <row r="27" spans="3:24" x14ac:dyDescent="0.25">
      <c r="C27" t="s">
        <v>1032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C:\Users\stu\Documents\GitHub\eaglep3-reporting\EC\2017-05-11-Enforcements.txt</v>
      </c>
    </row>
    <row r="28" spans="3:24" x14ac:dyDescent="0.25">
      <c r="C28" t="s">
        <v>1033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C:\Users\stu\Documents\GitHub\eaglep3-reporting\EC\2017-05-11-Runs-refined.txt</v>
      </c>
    </row>
    <row r="29" spans="3:24" x14ac:dyDescent="0.25">
      <c r="C29" t="s">
        <v>1034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C:\Users\stu\Documents\GitHub\eaglep3-reporting\EC\2017-05-11-Trips.txt</v>
      </c>
    </row>
    <row r="30" spans="3:24" x14ac:dyDescent="0.25">
      <c r="C30" t="s">
        <v>1035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C:\Users\stu\Documents\GitHub\eaglep3-reporting\EC\2017-05-11-Weather.txt</v>
      </c>
    </row>
    <row r="31" spans="3:24" x14ac:dyDescent="0.25">
      <c r="C31" t="s">
        <v>1036</v>
      </c>
      <c r="J31" s="143" t="s">
        <v>200</v>
      </c>
      <c r="M31" s="157" t="s">
        <v>201</v>
      </c>
    </row>
    <row r="32" spans="3:24" x14ac:dyDescent="0.25">
      <c r="C32" t="s">
        <v>1037</v>
      </c>
    </row>
    <row r="33" spans="3:3" x14ac:dyDescent="0.25">
      <c r="C33" t="s">
        <v>1038</v>
      </c>
    </row>
    <row r="34" spans="3:3" x14ac:dyDescent="0.25">
      <c r="C34" t="s">
        <v>1039</v>
      </c>
    </row>
    <row r="35" spans="3:3" x14ac:dyDescent="0.25">
      <c r="C35" t="s">
        <v>1040</v>
      </c>
    </row>
    <row r="36" spans="3:3" x14ac:dyDescent="0.25">
      <c r="C36" t="s">
        <v>1041</v>
      </c>
    </row>
    <row r="37" spans="3:3" x14ac:dyDescent="0.25">
      <c r="C37" t="s">
        <v>1042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2017-05-12T15:38:56Z</dcterms:modified>
</cp:coreProperties>
</file>