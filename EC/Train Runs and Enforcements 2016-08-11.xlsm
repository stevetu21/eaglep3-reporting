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Enforcements!$A$6:$V$67</definedName>
    <definedName name="_xlnm._FilterDatabase" localSheetId="2" hidden="1">'Missing Trips'!$A$2:$H$2</definedName>
    <definedName name="_xlnm._FilterDatabase" localSheetId="0" hidden="1">'Train Runs'!$A$12:$AG$208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Runs'!$A$12:$J$47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4" i="1" l="1"/>
  <c r="AF14" i="1"/>
  <c r="AE14" i="1"/>
  <c r="AD14" i="1"/>
  <c r="AG14" i="1" s="1"/>
  <c r="AC14" i="1"/>
  <c r="AB14" i="1"/>
  <c r="Z14" i="1"/>
  <c r="AA14" i="1" s="1"/>
  <c r="Y14" i="1"/>
  <c r="V14" i="1"/>
  <c r="M14" i="1"/>
  <c r="N14" i="1" s="1"/>
  <c r="L14" i="1"/>
  <c r="K14" i="1"/>
  <c r="AH146" i="1"/>
  <c r="AF146" i="1"/>
  <c r="AE146" i="1"/>
  <c r="AD146" i="1"/>
  <c r="AG146" i="1" s="1"/>
  <c r="AC146" i="1"/>
  <c r="AB146" i="1"/>
  <c r="Z146" i="1"/>
  <c r="Y146" i="1"/>
  <c r="V146" i="1"/>
  <c r="AH144" i="1"/>
  <c r="AF144" i="1"/>
  <c r="AE144" i="1"/>
  <c r="AD144" i="1"/>
  <c r="AG144" i="1" s="1"/>
  <c r="AC144" i="1"/>
  <c r="AB144" i="1"/>
  <c r="Z144" i="1"/>
  <c r="Y144" i="1"/>
  <c r="V144" i="1"/>
  <c r="AH142" i="1"/>
  <c r="AF142" i="1"/>
  <c r="AE142" i="1"/>
  <c r="AD142" i="1"/>
  <c r="AG142" i="1" s="1"/>
  <c r="AC142" i="1"/>
  <c r="AB142" i="1"/>
  <c r="Z142" i="1"/>
  <c r="Y142" i="1"/>
  <c r="V142" i="1"/>
  <c r="K142" i="1"/>
  <c r="L142" i="1"/>
  <c r="M142" i="1"/>
  <c r="K132" i="1"/>
  <c r="L132" i="1"/>
  <c r="M132" i="1"/>
  <c r="V132" i="1"/>
  <c r="Y132" i="1"/>
  <c r="Z132" i="1"/>
  <c r="AB132" i="1"/>
  <c r="AC132" i="1"/>
  <c r="AD132" i="1"/>
  <c r="T132" i="1" s="1"/>
  <c r="AE132" i="1"/>
  <c r="AF132" i="1"/>
  <c r="AH132" i="1"/>
  <c r="Y129" i="1"/>
  <c r="Z129" i="1"/>
  <c r="AB129" i="1"/>
  <c r="AC129" i="1"/>
  <c r="AD129" i="1"/>
  <c r="AG129" i="1" s="1"/>
  <c r="AE129" i="1"/>
  <c r="AF129" i="1"/>
  <c r="K129" i="1"/>
  <c r="K75" i="1"/>
  <c r="L75" i="1"/>
  <c r="M75" i="1"/>
  <c r="K76" i="1"/>
  <c r="L76" i="1"/>
  <c r="M76" i="1"/>
  <c r="N76" i="1" s="1"/>
  <c r="K77" i="1"/>
  <c r="L77" i="1"/>
  <c r="M77" i="1"/>
  <c r="N77" i="1" s="1"/>
  <c r="K78" i="1"/>
  <c r="L78" i="1"/>
  <c r="M78" i="1"/>
  <c r="N78" i="1" s="1"/>
  <c r="K79" i="1"/>
  <c r="L79" i="1"/>
  <c r="M79" i="1"/>
  <c r="N79" i="1" s="1"/>
  <c r="K80" i="1"/>
  <c r="L80" i="1"/>
  <c r="M80" i="1"/>
  <c r="N80" i="1" s="1"/>
  <c r="K82" i="1"/>
  <c r="L82" i="1"/>
  <c r="M82" i="1"/>
  <c r="N82" i="1" s="1"/>
  <c r="K83" i="1"/>
  <c r="L83" i="1"/>
  <c r="M83" i="1"/>
  <c r="N83" i="1" s="1"/>
  <c r="K85" i="1"/>
  <c r="L85" i="1"/>
  <c r="M85" i="1"/>
  <c r="N85" i="1" s="1"/>
  <c r="K86" i="1"/>
  <c r="L86" i="1"/>
  <c r="M86" i="1"/>
  <c r="N86" i="1" s="1"/>
  <c r="K87" i="1"/>
  <c r="L87" i="1"/>
  <c r="M87" i="1"/>
  <c r="N87" i="1" s="1"/>
  <c r="K88" i="1"/>
  <c r="L88" i="1"/>
  <c r="M88" i="1"/>
  <c r="N88" i="1" s="1"/>
  <c r="K89" i="1"/>
  <c r="L89" i="1"/>
  <c r="M89" i="1"/>
  <c r="N89" i="1" s="1"/>
  <c r="K90" i="1"/>
  <c r="L90" i="1"/>
  <c r="M90" i="1"/>
  <c r="N90" i="1" s="1"/>
  <c r="K91" i="1"/>
  <c r="L91" i="1"/>
  <c r="M91" i="1"/>
  <c r="N91" i="1" s="1"/>
  <c r="K92" i="1"/>
  <c r="L92" i="1"/>
  <c r="M92" i="1"/>
  <c r="N92" i="1" s="1"/>
  <c r="K95" i="1"/>
  <c r="L95" i="1"/>
  <c r="M95" i="1"/>
  <c r="N95" i="1" s="1"/>
  <c r="K96" i="1"/>
  <c r="L96" i="1"/>
  <c r="M96" i="1"/>
  <c r="N96" i="1" s="1"/>
  <c r="K98" i="1"/>
  <c r="L98" i="1"/>
  <c r="M98" i="1"/>
  <c r="N98" i="1" s="1"/>
  <c r="K99" i="1"/>
  <c r="L99" i="1"/>
  <c r="M99" i="1"/>
  <c r="N99" i="1" s="1"/>
  <c r="K100" i="1"/>
  <c r="L100" i="1"/>
  <c r="M100" i="1"/>
  <c r="N100" i="1" s="1"/>
  <c r="K101" i="1"/>
  <c r="L101" i="1"/>
  <c r="M101" i="1"/>
  <c r="N101" i="1" s="1"/>
  <c r="K102" i="1"/>
  <c r="L102" i="1"/>
  <c r="M102" i="1"/>
  <c r="N102" i="1" s="1"/>
  <c r="K103" i="1"/>
  <c r="L103" i="1"/>
  <c r="M103" i="1"/>
  <c r="N103" i="1" s="1"/>
  <c r="K104" i="1"/>
  <c r="L104" i="1"/>
  <c r="M104" i="1"/>
  <c r="N104" i="1" s="1"/>
  <c r="K105" i="1"/>
  <c r="L105" i="1"/>
  <c r="M105" i="1"/>
  <c r="N105" i="1" s="1"/>
  <c r="K107" i="1"/>
  <c r="L107" i="1"/>
  <c r="M107" i="1"/>
  <c r="N107" i="1" s="1"/>
  <c r="K108" i="1"/>
  <c r="L108" i="1"/>
  <c r="M108" i="1"/>
  <c r="N108" i="1" s="1"/>
  <c r="K109" i="1"/>
  <c r="L109" i="1"/>
  <c r="M109" i="1"/>
  <c r="N109" i="1" s="1"/>
  <c r="K110" i="1"/>
  <c r="L110" i="1"/>
  <c r="M110" i="1"/>
  <c r="N110" i="1" s="1"/>
  <c r="K111" i="1"/>
  <c r="L111" i="1"/>
  <c r="M111" i="1"/>
  <c r="N111" i="1" s="1"/>
  <c r="K113" i="1"/>
  <c r="L113" i="1"/>
  <c r="M113" i="1"/>
  <c r="N113" i="1" s="1"/>
  <c r="K115" i="1"/>
  <c r="L115" i="1"/>
  <c r="M115" i="1"/>
  <c r="N115" i="1" s="1"/>
  <c r="K116" i="1"/>
  <c r="L116" i="1"/>
  <c r="M116" i="1"/>
  <c r="N116" i="1" s="1"/>
  <c r="K117" i="1"/>
  <c r="L117" i="1"/>
  <c r="M117" i="1"/>
  <c r="N117" i="1" s="1"/>
  <c r="K118" i="1"/>
  <c r="L118" i="1"/>
  <c r="M118" i="1"/>
  <c r="N118" i="1" s="1"/>
  <c r="K119" i="1"/>
  <c r="L119" i="1"/>
  <c r="M119" i="1"/>
  <c r="N119" i="1" s="1"/>
  <c r="K120" i="1"/>
  <c r="L120" i="1"/>
  <c r="M120" i="1"/>
  <c r="K121" i="1"/>
  <c r="L121" i="1"/>
  <c r="M121" i="1"/>
  <c r="N121" i="1" s="1"/>
  <c r="K122" i="1"/>
  <c r="L122" i="1"/>
  <c r="M122" i="1"/>
  <c r="K123" i="1"/>
  <c r="L123" i="1"/>
  <c r="M123" i="1"/>
  <c r="N123" i="1" s="1"/>
  <c r="K124" i="1"/>
  <c r="L124" i="1"/>
  <c r="M124" i="1"/>
  <c r="N124" i="1" s="1"/>
  <c r="K125" i="1"/>
  <c r="L125" i="1"/>
  <c r="M125" i="1"/>
  <c r="N125" i="1" s="1"/>
  <c r="K126" i="1"/>
  <c r="L126" i="1"/>
  <c r="M126" i="1"/>
  <c r="N126" i="1" s="1"/>
  <c r="K127" i="1"/>
  <c r="L127" i="1"/>
  <c r="M127" i="1"/>
  <c r="N127" i="1" s="1"/>
  <c r="K128" i="1"/>
  <c r="L128" i="1"/>
  <c r="M128" i="1"/>
  <c r="N128" i="1" s="1"/>
  <c r="K130" i="1"/>
  <c r="L130" i="1"/>
  <c r="M130" i="1"/>
  <c r="N130" i="1" s="1"/>
  <c r="K131" i="1"/>
  <c r="L131" i="1"/>
  <c r="M131" i="1"/>
  <c r="N131" i="1" s="1"/>
  <c r="K133" i="1"/>
  <c r="L133" i="1"/>
  <c r="M133" i="1"/>
  <c r="N133" i="1" s="1"/>
  <c r="K134" i="1"/>
  <c r="L134" i="1"/>
  <c r="M134" i="1"/>
  <c r="N134" i="1" s="1"/>
  <c r="K135" i="1"/>
  <c r="L135" i="1"/>
  <c r="M135" i="1"/>
  <c r="N135" i="1" s="1"/>
  <c r="K136" i="1"/>
  <c r="L136" i="1"/>
  <c r="M136" i="1"/>
  <c r="N136" i="1" s="1"/>
  <c r="K137" i="1"/>
  <c r="L137" i="1"/>
  <c r="M137" i="1"/>
  <c r="N137" i="1" s="1"/>
  <c r="K138" i="1"/>
  <c r="L138" i="1"/>
  <c r="M138" i="1"/>
  <c r="N138" i="1" s="1"/>
  <c r="K139" i="1"/>
  <c r="L139" i="1"/>
  <c r="M139" i="1"/>
  <c r="N139" i="1" s="1"/>
  <c r="K140" i="1"/>
  <c r="L140" i="1"/>
  <c r="M140" i="1"/>
  <c r="N140" i="1" s="1"/>
  <c r="K141" i="1"/>
  <c r="L141" i="1"/>
  <c r="M141" i="1"/>
  <c r="N141" i="1" s="1"/>
  <c r="K143" i="1"/>
  <c r="L143" i="1"/>
  <c r="M143" i="1"/>
  <c r="N143" i="1" s="1"/>
  <c r="K145" i="1"/>
  <c r="L145" i="1"/>
  <c r="M145" i="1"/>
  <c r="N145" i="1" s="1"/>
  <c r="K147" i="1"/>
  <c r="L147" i="1"/>
  <c r="M147" i="1"/>
  <c r="N147" i="1" s="1"/>
  <c r="K148" i="1"/>
  <c r="L148" i="1"/>
  <c r="M148" i="1"/>
  <c r="N148" i="1" s="1"/>
  <c r="K149" i="1"/>
  <c r="L149" i="1"/>
  <c r="M149" i="1"/>
  <c r="N149" i="1" s="1"/>
  <c r="K150" i="1"/>
  <c r="L150" i="1"/>
  <c r="M150" i="1"/>
  <c r="N150" i="1" s="1"/>
  <c r="K151" i="1"/>
  <c r="L151" i="1"/>
  <c r="M151" i="1"/>
  <c r="N151" i="1" s="1"/>
  <c r="K152" i="1"/>
  <c r="L152" i="1"/>
  <c r="M152" i="1"/>
  <c r="N152" i="1" s="1"/>
  <c r="K153" i="1"/>
  <c r="L153" i="1"/>
  <c r="M153" i="1"/>
  <c r="N153" i="1" s="1"/>
  <c r="K154" i="1"/>
  <c r="L154" i="1"/>
  <c r="M154" i="1"/>
  <c r="N154" i="1" s="1"/>
  <c r="K155" i="1"/>
  <c r="L155" i="1"/>
  <c r="M155" i="1"/>
  <c r="N155" i="1" s="1"/>
  <c r="K156" i="1"/>
  <c r="L156" i="1"/>
  <c r="M156" i="1"/>
  <c r="N156" i="1" s="1"/>
  <c r="K157" i="1"/>
  <c r="L157" i="1"/>
  <c r="M157" i="1"/>
  <c r="N157" i="1" s="1"/>
  <c r="K158" i="1"/>
  <c r="L158" i="1"/>
  <c r="M158" i="1"/>
  <c r="N158" i="1" s="1"/>
  <c r="K159" i="1"/>
  <c r="L159" i="1"/>
  <c r="M159" i="1"/>
  <c r="N159" i="1" s="1"/>
  <c r="K160" i="1"/>
  <c r="L160" i="1"/>
  <c r="M160" i="1"/>
  <c r="N160" i="1" s="1"/>
  <c r="K161" i="1"/>
  <c r="L161" i="1"/>
  <c r="M161" i="1"/>
  <c r="N161" i="1" s="1"/>
  <c r="K162" i="1"/>
  <c r="L162" i="1"/>
  <c r="M162" i="1"/>
  <c r="N162" i="1" s="1"/>
  <c r="K163" i="1"/>
  <c r="L163" i="1"/>
  <c r="M163" i="1"/>
  <c r="N163" i="1" s="1"/>
  <c r="K164" i="1"/>
  <c r="L164" i="1"/>
  <c r="M164" i="1"/>
  <c r="N164" i="1" s="1"/>
  <c r="K165" i="1"/>
  <c r="L165" i="1"/>
  <c r="M165" i="1"/>
  <c r="N165" i="1" s="1"/>
  <c r="K166" i="1"/>
  <c r="L166" i="1"/>
  <c r="M166" i="1"/>
  <c r="N166" i="1" s="1"/>
  <c r="K167" i="1"/>
  <c r="L167" i="1"/>
  <c r="M167" i="1"/>
  <c r="N167" i="1" s="1"/>
  <c r="K168" i="1"/>
  <c r="L168" i="1"/>
  <c r="M168" i="1"/>
  <c r="P168" i="1" s="1"/>
  <c r="K169" i="1"/>
  <c r="L169" i="1"/>
  <c r="M169" i="1"/>
  <c r="N169" i="1" s="1"/>
  <c r="K170" i="1"/>
  <c r="L170" i="1"/>
  <c r="M170" i="1"/>
  <c r="N170" i="1" s="1"/>
  <c r="K171" i="1"/>
  <c r="L171" i="1"/>
  <c r="M171" i="1"/>
  <c r="N171" i="1" s="1"/>
  <c r="K172" i="1"/>
  <c r="L172" i="1"/>
  <c r="M172" i="1"/>
  <c r="N172" i="1" s="1"/>
  <c r="K173" i="1"/>
  <c r="L173" i="1"/>
  <c r="M173" i="1"/>
  <c r="N173" i="1" s="1"/>
  <c r="K174" i="1"/>
  <c r="L174" i="1"/>
  <c r="M174" i="1"/>
  <c r="P174" i="1" s="1"/>
  <c r="K175" i="1"/>
  <c r="L175" i="1"/>
  <c r="M175" i="1"/>
  <c r="N175" i="1" s="1"/>
  <c r="K176" i="1"/>
  <c r="L176" i="1"/>
  <c r="M176" i="1"/>
  <c r="N176" i="1" s="1"/>
  <c r="K177" i="1"/>
  <c r="L177" i="1"/>
  <c r="M177" i="1"/>
  <c r="N177" i="1" s="1"/>
  <c r="K178" i="1"/>
  <c r="L178" i="1"/>
  <c r="M178" i="1"/>
  <c r="P178" i="1" s="1"/>
  <c r="K179" i="1"/>
  <c r="L179" i="1"/>
  <c r="M179" i="1"/>
  <c r="N179" i="1" s="1"/>
  <c r="K180" i="1"/>
  <c r="L180" i="1"/>
  <c r="M180" i="1"/>
  <c r="N180" i="1" s="1"/>
  <c r="K181" i="1"/>
  <c r="L181" i="1"/>
  <c r="M181" i="1"/>
  <c r="N181" i="1" s="1"/>
  <c r="K182" i="1"/>
  <c r="L182" i="1"/>
  <c r="M182" i="1"/>
  <c r="N182" i="1" s="1"/>
  <c r="K183" i="1"/>
  <c r="L183" i="1"/>
  <c r="M183" i="1"/>
  <c r="N183" i="1" s="1"/>
  <c r="K184" i="1"/>
  <c r="L184" i="1"/>
  <c r="M184" i="1"/>
  <c r="N184" i="1" s="1"/>
  <c r="K185" i="1"/>
  <c r="L185" i="1"/>
  <c r="M185" i="1"/>
  <c r="N185" i="1" s="1"/>
  <c r="K186" i="1"/>
  <c r="L186" i="1"/>
  <c r="M186" i="1"/>
  <c r="N186" i="1" s="1"/>
  <c r="K187" i="1"/>
  <c r="L187" i="1"/>
  <c r="M187" i="1"/>
  <c r="N187" i="1" s="1"/>
  <c r="K188" i="1"/>
  <c r="L188" i="1"/>
  <c r="M188" i="1"/>
  <c r="N188" i="1" s="1"/>
  <c r="K189" i="1"/>
  <c r="L189" i="1"/>
  <c r="M189" i="1"/>
  <c r="N189" i="1" s="1"/>
  <c r="K190" i="1"/>
  <c r="L190" i="1"/>
  <c r="M190" i="1"/>
  <c r="N190" i="1" s="1"/>
  <c r="K191" i="1"/>
  <c r="L191" i="1"/>
  <c r="M191" i="1"/>
  <c r="N191" i="1" s="1"/>
  <c r="K192" i="1"/>
  <c r="L192" i="1"/>
  <c r="M192" i="1"/>
  <c r="N192" i="1" s="1"/>
  <c r="K193" i="1"/>
  <c r="L193" i="1"/>
  <c r="M193" i="1"/>
  <c r="N193" i="1" s="1"/>
  <c r="K194" i="1"/>
  <c r="L194" i="1"/>
  <c r="M194" i="1"/>
  <c r="N194" i="1" s="1"/>
  <c r="K195" i="1"/>
  <c r="L195" i="1"/>
  <c r="M195" i="1"/>
  <c r="N195" i="1" s="1"/>
  <c r="K196" i="1"/>
  <c r="L196" i="1"/>
  <c r="M196" i="1"/>
  <c r="N196" i="1" s="1"/>
  <c r="K197" i="1"/>
  <c r="L197" i="1"/>
  <c r="M197" i="1"/>
  <c r="N197" i="1" s="1"/>
  <c r="K198" i="1"/>
  <c r="L198" i="1"/>
  <c r="M198" i="1"/>
  <c r="P198" i="1" s="1"/>
  <c r="K199" i="1"/>
  <c r="L199" i="1"/>
  <c r="M199" i="1"/>
  <c r="N199" i="1" s="1"/>
  <c r="K200" i="1"/>
  <c r="L200" i="1"/>
  <c r="M200" i="1"/>
  <c r="N200" i="1" s="1"/>
  <c r="K201" i="1"/>
  <c r="L201" i="1"/>
  <c r="M201" i="1"/>
  <c r="N201" i="1" s="1"/>
  <c r="K202" i="1"/>
  <c r="L202" i="1"/>
  <c r="M202" i="1"/>
  <c r="N202" i="1" s="1"/>
  <c r="K203" i="1"/>
  <c r="L203" i="1"/>
  <c r="M203" i="1"/>
  <c r="N203" i="1" s="1"/>
  <c r="K204" i="1"/>
  <c r="L204" i="1"/>
  <c r="M204" i="1"/>
  <c r="N204" i="1" s="1"/>
  <c r="K205" i="1"/>
  <c r="L205" i="1"/>
  <c r="M205" i="1"/>
  <c r="N205" i="1" s="1"/>
  <c r="K206" i="1"/>
  <c r="L206" i="1"/>
  <c r="M206" i="1"/>
  <c r="N206" i="1" s="1"/>
  <c r="K207" i="1"/>
  <c r="L207" i="1"/>
  <c r="M207" i="1"/>
  <c r="N207" i="1" s="1"/>
  <c r="K208" i="1"/>
  <c r="L208" i="1"/>
  <c r="M208" i="1"/>
  <c r="N208" i="1" s="1"/>
  <c r="V122" i="1"/>
  <c r="Y122" i="1"/>
  <c r="Z122" i="1"/>
  <c r="AB122" i="1"/>
  <c r="AC122" i="1"/>
  <c r="AD122" i="1"/>
  <c r="T122" i="1" s="1"/>
  <c r="AE122" i="1"/>
  <c r="AF122" i="1"/>
  <c r="AH122" i="1"/>
  <c r="AD118" i="1"/>
  <c r="T118" i="1" s="1"/>
  <c r="AD119" i="1"/>
  <c r="T119" i="1" s="1"/>
  <c r="AD120" i="1"/>
  <c r="AG120" i="1" s="1"/>
  <c r="W120" i="1" s="1"/>
  <c r="AD121" i="1"/>
  <c r="T121" i="1" s="1"/>
  <c r="V120" i="1"/>
  <c r="Y120" i="1"/>
  <c r="AD114" i="1"/>
  <c r="AG114" i="1" s="1"/>
  <c r="AD112" i="1"/>
  <c r="T112" i="1" s="1"/>
  <c r="AD106" i="1"/>
  <c r="T106" i="1" s="1"/>
  <c r="AD97" i="1"/>
  <c r="T97" i="1" s="1"/>
  <c r="AD94" i="1"/>
  <c r="AG94" i="1" s="1"/>
  <c r="AD93" i="1"/>
  <c r="T93" i="1" s="1"/>
  <c r="Y83" i="1"/>
  <c r="Y84" i="1"/>
  <c r="Y85" i="1"/>
  <c r="Y86" i="1"/>
  <c r="Y87" i="1"/>
  <c r="Y88" i="1"/>
  <c r="Y89" i="1"/>
  <c r="AD84" i="1"/>
  <c r="T84" i="1" s="1"/>
  <c r="AD81" i="1"/>
  <c r="T81" i="1" s="1"/>
  <c r="V75" i="1"/>
  <c r="Y75" i="1"/>
  <c r="Z75" i="1"/>
  <c r="AB75" i="1"/>
  <c r="AC75" i="1"/>
  <c r="AD75" i="1"/>
  <c r="T75" i="1" s="1"/>
  <c r="AE75" i="1"/>
  <c r="AF75" i="1"/>
  <c r="AH75" i="1"/>
  <c r="K66" i="1"/>
  <c r="L66" i="1"/>
  <c r="M66" i="1"/>
  <c r="V66" i="1"/>
  <c r="Y66" i="1"/>
  <c r="Z66" i="1"/>
  <c r="AB66" i="1"/>
  <c r="AC66" i="1"/>
  <c r="AD66" i="1"/>
  <c r="AG66" i="1" s="1"/>
  <c r="AE66" i="1"/>
  <c r="AF66" i="1"/>
  <c r="AH66" i="1"/>
  <c r="K62" i="1"/>
  <c r="L62" i="1"/>
  <c r="M62" i="1"/>
  <c r="V62" i="1"/>
  <c r="Y62" i="1"/>
  <c r="Z62" i="1"/>
  <c r="AB62" i="1"/>
  <c r="AC62" i="1"/>
  <c r="AD62" i="1"/>
  <c r="T62" i="1" s="1"/>
  <c r="AE62" i="1"/>
  <c r="AF62" i="1"/>
  <c r="AH62" i="1"/>
  <c r="Y46" i="1"/>
  <c r="Y47" i="1"/>
  <c r="Y48" i="1"/>
  <c r="Y49" i="1"/>
  <c r="Y50" i="1"/>
  <c r="Y51" i="1"/>
  <c r="Y52" i="1"/>
  <c r="K15" i="1"/>
  <c r="L15" i="1"/>
  <c r="M15" i="1"/>
  <c r="P15" i="1" s="1"/>
  <c r="V15" i="1"/>
  <c r="AA15" i="1"/>
  <c r="AB15" i="1"/>
  <c r="AC15" i="1"/>
  <c r="AD15" i="1"/>
  <c r="T15" i="1" s="1"/>
  <c r="AE15" i="1"/>
  <c r="AF15" i="1"/>
  <c r="AH15" i="1"/>
  <c r="L31" i="3"/>
  <c r="S31" i="3"/>
  <c r="R31" i="3" s="1"/>
  <c r="T31" i="3"/>
  <c r="U31" i="3"/>
  <c r="V31" i="3"/>
  <c r="L12" i="3"/>
  <c r="S12" i="3"/>
  <c r="R12" i="3" s="1"/>
  <c r="T12" i="3"/>
  <c r="U12" i="3"/>
  <c r="V12" i="3"/>
  <c r="L33" i="3"/>
  <c r="S33" i="3"/>
  <c r="R33" i="3" s="1"/>
  <c r="T33" i="3"/>
  <c r="U33" i="3"/>
  <c r="V33" i="3"/>
  <c r="L16" i="3"/>
  <c r="S16" i="3"/>
  <c r="R16" i="3" s="1"/>
  <c r="T16" i="3"/>
  <c r="U16" i="3"/>
  <c r="V16" i="3"/>
  <c r="L9" i="3"/>
  <c r="S9" i="3"/>
  <c r="R9" i="3" s="1"/>
  <c r="T9" i="3"/>
  <c r="U9" i="3"/>
  <c r="V9" i="3"/>
  <c r="L34" i="3"/>
  <c r="S34" i="3"/>
  <c r="R34" i="3" s="1"/>
  <c r="T34" i="3"/>
  <c r="U34" i="3"/>
  <c r="V34" i="3"/>
  <c r="L13" i="3"/>
  <c r="S13" i="3"/>
  <c r="R13" i="3" s="1"/>
  <c r="T13" i="3"/>
  <c r="U13" i="3"/>
  <c r="V13" i="3"/>
  <c r="L17" i="3"/>
  <c r="S17" i="3"/>
  <c r="R17" i="3" s="1"/>
  <c r="T17" i="3"/>
  <c r="U17" i="3"/>
  <c r="V17" i="3"/>
  <c r="L35" i="3"/>
  <c r="S35" i="3"/>
  <c r="R35" i="3" s="1"/>
  <c r="T35" i="3"/>
  <c r="U35" i="3"/>
  <c r="V35" i="3"/>
  <c r="L15" i="3"/>
  <c r="S15" i="3"/>
  <c r="R15" i="3" s="1"/>
  <c r="T15" i="3"/>
  <c r="U15" i="3"/>
  <c r="V15" i="3"/>
  <c r="L23" i="3"/>
  <c r="S23" i="3"/>
  <c r="R23" i="3" s="1"/>
  <c r="T23" i="3"/>
  <c r="U23" i="3"/>
  <c r="V23" i="3"/>
  <c r="L27" i="3"/>
  <c r="S27" i="3"/>
  <c r="R27" i="3" s="1"/>
  <c r="T27" i="3"/>
  <c r="U27" i="3"/>
  <c r="V27" i="3"/>
  <c r="L28" i="3"/>
  <c r="S28" i="3"/>
  <c r="R28" i="3" s="1"/>
  <c r="T28" i="3"/>
  <c r="U28" i="3"/>
  <c r="V28" i="3"/>
  <c r="L29" i="3"/>
  <c r="S29" i="3"/>
  <c r="R29" i="3" s="1"/>
  <c r="T29" i="3"/>
  <c r="U29" i="3"/>
  <c r="V29" i="3"/>
  <c r="L7" i="3"/>
  <c r="S7" i="3"/>
  <c r="R7" i="3" s="1"/>
  <c r="T7" i="3"/>
  <c r="U7" i="3"/>
  <c r="V7" i="3"/>
  <c r="L43" i="3"/>
  <c r="S43" i="3"/>
  <c r="R43" i="3" s="1"/>
  <c r="T43" i="3"/>
  <c r="U43" i="3"/>
  <c r="V43" i="3"/>
  <c r="L36" i="3"/>
  <c r="S36" i="3"/>
  <c r="R36" i="3" s="1"/>
  <c r="T36" i="3"/>
  <c r="U36" i="3"/>
  <c r="V36" i="3"/>
  <c r="L14" i="3"/>
  <c r="S14" i="3"/>
  <c r="R14" i="3" s="1"/>
  <c r="T14" i="3"/>
  <c r="U14" i="3"/>
  <c r="V14" i="3"/>
  <c r="L8" i="3"/>
  <c r="S8" i="3"/>
  <c r="R8" i="3" s="1"/>
  <c r="T8" i="3"/>
  <c r="U8" i="3"/>
  <c r="V8" i="3"/>
  <c r="L20" i="3"/>
  <c r="S20" i="3"/>
  <c r="R20" i="3" s="1"/>
  <c r="T20" i="3"/>
  <c r="U20" i="3"/>
  <c r="V20" i="3"/>
  <c r="L42" i="3"/>
  <c r="S42" i="3"/>
  <c r="R42" i="3" s="1"/>
  <c r="T42" i="3"/>
  <c r="U42" i="3"/>
  <c r="V42" i="3"/>
  <c r="L19" i="3"/>
  <c r="S19" i="3"/>
  <c r="R19" i="3" s="1"/>
  <c r="T19" i="3"/>
  <c r="U19" i="3"/>
  <c r="V19" i="3"/>
  <c r="L44" i="3"/>
  <c r="S44" i="3"/>
  <c r="R44" i="3" s="1"/>
  <c r="T44" i="3"/>
  <c r="U44" i="3"/>
  <c r="V44" i="3"/>
  <c r="L10" i="3"/>
  <c r="S10" i="3"/>
  <c r="R10" i="3" s="1"/>
  <c r="T10" i="3"/>
  <c r="U10" i="3"/>
  <c r="V10" i="3"/>
  <c r="L32" i="3"/>
  <c r="S32" i="3"/>
  <c r="R32" i="3" s="1"/>
  <c r="T32" i="3"/>
  <c r="U32" i="3"/>
  <c r="V32" i="3"/>
  <c r="L26" i="3"/>
  <c r="S26" i="3"/>
  <c r="R26" i="3" s="1"/>
  <c r="T26" i="3"/>
  <c r="U26" i="3"/>
  <c r="V26" i="3"/>
  <c r="L11" i="3"/>
  <c r="S11" i="3"/>
  <c r="R11" i="3" s="1"/>
  <c r="T11" i="3"/>
  <c r="U11" i="3"/>
  <c r="V11" i="3"/>
  <c r="L25" i="3"/>
  <c r="S25" i="3"/>
  <c r="R25" i="3" s="1"/>
  <c r="T25" i="3"/>
  <c r="U25" i="3"/>
  <c r="V25" i="3"/>
  <c r="L46" i="3"/>
  <c r="S46" i="3"/>
  <c r="R46" i="3" s="1"/>
  <c r="T46" i="3"/>
  <c r="U46" i="3"/>
  <c r="V46" i="3"/>
  <c r="L22" i="3"/>
  <c r="S22" i="3"/>
  <c r="R22" i="3" s="1"/>
  <c r="T22" i="3"/>
  <c r="U22" i="3"/>
  <c r="V22" i="3"/>
  <c r="L24" i="3"/>
  <c r="S24" i="3"/>
  <c r="R24" i="3" s="1"/>
  <c r="T24" i="3"/>
  <c r="U24" i="3"/>
  <c r="V24" i="3"/>
  <c r="L30" i="3"/>
  <c r="S30" i="3"/>
  <c r="R30" i="3" s="1"/>
  <c r="T30" i="3"/>
  <c r="U30" i="3"/>
  <c r="V30" i="3"/>
  <c r="L37" i="3"/>
  <c r="S37" i="3"/>
  <c r="R37" i="3" s="1"/>
  <c r="T37" i="3"/>
  <c r="U37" i="3"/>
  <c r="V37" i="3"/>
  <c r="L45" i="3"/>
  <c r="S45" i="3"/>
  <c r="R45" i="3" s="1"/>
  <c r="T45" i="3"/>
  <c r="U45" i="3"/>
  <c r="V45" i="3"/>
  <c r="L41" i="3"/>
  <c r="S41" i="3"/>
  <c r="R41" i="3" s="1"/>
  <c r="T41" i="3"/>
  <c r="U41" i="3"/>
  <c r="V41" i="3"/>
  <c r="L38" i="3"/>
  <c r="S38" i="3"/>
  <c r="R38" i="3" s="1"/>
  <c r="T38" i="3"/>
  <c r="U38" i="3"/>
  <c r="V38" i="3"/>
  <c r="L21" i="3"/>
  <c r="S21" i="3"/>
  <c r="R21" i="3" s="1"/>
  <c r="T21" i="3"/>
  <c r="U21" i="3"/>
  <c r="V21" i="3"/>
  <c r="L39" i="3"/>
  <c r="S39" i="3"/>
  <c r="R39" i="3" s="1"/>
  <c r="T39" i="3"/>
  <c r="U39" i="3"/>
  <c r="V39" i="3"/>
  <c r="L47" i="3"/>
  <c r="S47" i="3"/>
  <c r="R47" i="3" s="1"/>
  <c r="T47" i="3"/>
  <c r="U47" i="3"/>
  <c r="V47" i="3"/>
  <c r="L40" i="3"/>
  <c r="S40" i="3"/>
  <c r="R40" i="3" s="1"/>
  <c r="T40" i="3"/>
  <c r="U40" i="3"/>
  <c r="V40" i="3"/>
  <c r="V78" i="1"/>
  <c r="Y78" i="1"/>
  <c r="Z78" i="1"/>
  <c r="AB78" i="1"/>
  <c r="AC78" i="1"/>
  <c r="AD78" i="1"/>
  <c r="T78" i="1" s="1"/>
  <c r="AE78" i="1"/>
  <c r="AF78" i="1"/>
  <c r="AH78" i="1"/>
  <c r="V79" i="1"/>
  <c r="Y79" i="1"/>
  <c r="Z79" i="1"/>
  <c r="AB79" i="1"/>
  <c r="AC79" i="1"/>
  <c r="AD79" i="1"/>
  <c r="T79" i="1" s="1"/>
  <c r="AE79" i="1"/>
  <c r="AF79" i="1"/>
  <c r="AH79" i="1"/>
  <c r="V80" i="1"/>
  <c r="Y80" i="1"/>
  <c r="Z80" i="1"/>
  <c r="AB80" i="1"/>
  <c r="AC80" i="1"/>
  <c r="AD80" i="1"/>
  <c r="AG80" i="1" s="1"/>
  <c r="AE80" i="1"/>
  <c r="AF80" i="1"/>
  <c r="AH80" i="1"/>
  <c r="V82" i="1"/>
  <c r="Y82" i="1"/>
  <c r="Z82" i="1"/>
  <c r="AB82" i="1"/>
  <c r="AC82" i="1"/>
  <c r="AD82" i="1"/>
  <c r="T82" i="1" s="1"/>
  <c r="AE82" i="1"/>
  <c r="AF82" i="1"/>
  <c r="AH82" i="1"/>
  <c r="V83" i="1"/>
  <c r="Z83" i="1"/>
  <c r="AB83" i="1"/>
  <c r="AC83" i="1"/>
  <c r="AD83" i="1"/>
  <c r="T83" i="1" s="1"/>
  <c r="AE83" i="1"/>
  <c r="AF83" i="1"/>
  <c r="AH83" i="1"/>
  <c r="V85" i="1"/>
  <c r="Z85" i="1"/>
  <c r="AB85" i="1"/>
  <c r="AC85" i="1"/>
  <c r="AD85" i="1"/>
  <c r="T85" i="1" s="1"/>
  <c r="AE85" i="1"/>
  <c r="AF85" i="1"/>
  <c r="AH85" i="1"/>
  <c r="V86" i="1"/>
  <c r="Z86" i="1"/>
  <c r="AB86" i="1"/>
  <c r="AC86" i="1"/>
  <c r="AD86" i="1"/>
  <c r="T86" i="1" s="1"/>
  <c r="AE86" i="1"/>
  <c r="AF86" i="1"/>
  <c r="AH86" i="1"/>
  <c r="V87" i="1"/>
  <c r="Q25" i="3" s="1"/>
  <c r="Z87" i="1"/>
  <c r="AB87" i="1"/>
  <c r="AC87" i="1"/>
  <c r="AD87" i="1"/>
  <c r="T87" i="1" s="1"/>
  <c r="AE87" i="1"/>
  <c r="P25" i="3" s="1"/>
  <c r="AF87" i="1"/>
  <c r="AH87" i="1"/>
  <c r="V88" i="1"/>
  <c r="Z88" i="1"/>
  <c r="AB88" i="1"/>
  <c r="AC88" i="1"/>
  <c r="AD88" i="1"/>
  <c r="T88" i="1" s="1"/>
  <c r="AE88" i="1"/>
  <c r="AF88" i="1"/>
  <c r="AH88" i="1"/>
  <c r="V89" i="1"/>
  <c r="Z89" i="1"/>
  <c r="AB89" i="1"/>
  <c r="AC89" i="1"/>
  <c r="AD89" i="1"/>
  <c r="T89" i="1" s="1"/>
  <c r="AE89" i="1"/>
  <c r="AF89" i="1"/>
  <c r="AH89" i="1"/>
  <c r="V90" i="1"/>
  <c r="Y90" i="1"/>
  <c r="Z90" i="1"/>
  <c r="AB90" i="1"/>
  <c r="AC90" i="1"/>
  <c r="AD90" i="1"/>
  <c r="T90" i="1" s="1"/>
  <c r="AE90" i="1"/>
  <c r="AF90" i="1"/>
  <c r="AH90" i="1"/>
  <c r="V91" i="1"/>
  <c r="Y91" i="1"/>
  <c r="Z91" i="1"/>
  <c r="AB91" i="1"/>
  <c r="AC91" i="1"/>
  <c r="AD91" i="1"/>
  <c r="T91" i="1" s="1"/>
  <c r="AE91" i="1"/>
  <c r="AF91" i="1"/>
  <c r="AH91" i="1"/>
  <c r="V92" i="1"/>
  <c r="Y92" i="1"/>
  <c r="Z92" i="1"/>
  <c r="AB92" i="1"/>
  <c r="AC92" i="1"/>
  <c r="AD92" i="1"/>
  <c r="T92" i="1" s="1"/>
  <c r="AE92" i="1"/>
  <c r="AF92" i="1"/>
  <c r="AH92" i="1"/>
  <c r="V95" i="1"/>
  <c r="Y95" i="1"/>
  <c r="Z95" i="1"/>
  <c r="AB95" i="1"/>
  <c r="AC95" i="1"/>
  <c r="AD95" i="1"/>
  <c r="T95" i="1" s="1"/>
  <c r="AE95" i="1"/>
  <c r="AF95" i="1"/>
  <c r="AH95" i="1"/>
  <c r="V96" i="1"/>
  <c r="Y96" i="1"/>
  <c r="Z96" i="1"/>
  <c r="AB96" i="1"/>
  <c r="AC96" i="1"/>
  <c r="AD96" i="1"/>
  <c r="T96" i="1" s="1"/>
  <c r="AE96" i="1"/>
  <c r="AF96" i="1"/>
  <c r="AH96" i="1"/>
  <c r="V98" i="1"/>
  <c r="Q30" i="3" s="1"/>
  <c r="Y98" i="1"/>
  <c r="Z98" i="1"/>
  <c r="AB98" i="1"/>
  <c r="AC98" i="1"/>
  <c r="AD98" i="1"/>
  <c r="T98" i="1" s="1"/>
  <c r="AE98" i="1"/>
  <c r="P30" i="3" s="1"/>
  <c r="AF98" i="1"/>
  <c r="AH98" i="1"/>
  <c r="V99" i="1"/>
  <c r="Y99" i="1"/>
  <c r="Z99" i="1"/>
  <c r="AB99" i="1"/>
  <c r="AC99" i="1"/>
  <c r="AD99" i="1"/>
  <c r="T99" i="1" s="1"/>
  <c r="AE99" i="1"/>
  <c r="AF99" i="1"/>
  <c r="AH99" i="1"/>
  <c r="V100" i="1"/>
  <c r="Y100" i="1"/>
  <c r="Z100" i="1"/>
  <c r="AB100" i="1"/>
  <c r="AC100" i="1"/>
  <c r="AD100" i="1"/>
  <c r="T100" i="1" s="1"/>
  <c r="AE100" i="1"/>
  <c r="AF100" i="1"/>
  <c r="AH100" i="1"/>
  <c r="V101" i="1"/>
  <c r="Q22" i="3" s="1"/>
  <c r="Y101" i="1"/>
  <c r="Z101" i="1"/>
  <c r="AB101" i="1"/>
  <c r="AC101" i="1"/>
  <c r="AD101" i="1"/>
  <c r="T101" i="1" s="1"/>
  <c r="AE101" i="1"/>
  <c r="AF101" i="1"/>
  <c r="AH101" i="1"/>
  <c r="V102" i="1"/>
  <c r="Y102" i="1"/>
  <c r="Z102" i="1"/>
  <c r="AB102" i="1"/>
  <c r="AC102" i="1"/>
  <c r="AD102" i="1"/>
  <c r="T102" i="1" s="1"/>
  <c r="AE102" i="1"/>
  <c r="AF102" i="1"/>
  <c r="AH102" i="1"/>
  <c r="V103" i="1"/>
  <c r="Y103" i="1"/>
  <c r="Z103" i="1"/>
  <c r="AB103" i="1"/>
  <c r="AC103" i="1"/>
  <c r="AD103" i="1"/>
  <c r="T103" i="1" s="1"/>
  <c r="AE103" i="1"/>
  <c r="AF103" i="1"/>
  <c r="AH103" i="1"/>
  <c r="V104" i="1"/>
  <c r="Y104" i="1"/>
  <c r="Z104" i="1"/>
  <c r="AB104" i="1"/>
  <c r="AC104" i="1"/>
  <c r="AD104" i="1"/>
  <c r="T104" i="1" s="1"/>
  <c r="AE104" i="1"/>
  <c r="AF104" i="1"/>
  <c r="AH104" i="1"/>
  <c r="V105" i="1"/>
  <c r="Y105" i="1"/>
  <c r="Z105" i="1"/>
  <c r="AB105" i="1"/>
  <c r="AC105" i="1"/>
  <c r="AD105" i="1"/>
  <c r="T105" i="1" s="1"/>
  <c r="AE105" i="1"/>
  <c r="AF105" i="1"/>
  <c r="AH105" i="1"/>
  <c r="V107" i="1"/>
  <c r="Y107" i="1"/>
  <c r="Z107" i="1"/>
  <c r="AB107" i="1"/>
  <c r="AC107" i="1"/>
  <c r="AD107" i="1"/>
  <c r="T107" i="1" s="1"/>
  <c r="AE107" i="1"/>
  <c r="AF107" i="1"/>
  <c r="AH107" i="1"/>
  <c r="V108" i="1"/>
  <c r="Y108" i="1"/>
  <c r="Z108" i="1"/>
  <c r="AB108" i="1"/>
  <c r="AC108" i="1"/>
  <c r="AD108" i="1"/>
  <c r="T108" i="1" s="1"/>
  <c r="AE108" i="1"/>
  <c r="AF108" i="1"/>
  <c r="AH108" i="1"/>
  <c r="V109" i="1"/>
  <c r="Y109" i="1"/>
  <c r="Z109" i="1"/>
  <c r="AB109" i="1"/>
  <c r="AC109" i="1"/>
  <c r="AD109" i="1"/>
  <c r="T109" i="1" s="1"/>
  <c r="AE109" i="1"/>
  <c r="AF109" i="1"/>
  <c r="AH109" i="1"/>
  <c r="V110" i="1"/>
  <c r="Y110" i="1"/>
  <c r="Z110" i="1"/>
  <c r="AB110" i="1"/>
  <c r="AC110" i="1"/>
  <c r="AD110" i="1"/>
  <c r="T110" i="1" s="1"/>
  <c r="AE110" i="1"/>
  <c r="AF110" i="1"/>
  <c r="AH110" i="1"/>
  <c r="V111" i="1"/>
  <c r="Y111" i="1"/>
  <c r="Z111" i="1"/>
  <c r="AB111" i="1"/>
  <c r="AC111" i="1"/>
  <c r="AD111" i="1"/>
  <c r="AG111" i="1" s="1"/>
  <c r="AE111" i="1"/>
  <c r="AF111" i="1"/>
  <c r="AH111" i="1"/>
  <c r="V113" i="1"/>
  <c r="Y113" i="1"/>
  <c r="Z113" i="1"/>
  <c r="AB113" i="1"/>
  <c r="AC113" i="1"/>
  <c r="AD113" i="1"/>
  <c r="T113" i="1" s="1"/>
  <c r="AE113" i="1"/>
  <c r="AF113" i="1"/>
  <c r="AH113" i="1"/>
  <c r="V115" i="1"/>
  <c r="Y115" i="1"/>
  <c r="Z115" i="1"/>
  <c r="AB115" i="1"/>
  <c r="AC115" i="1"/>
  <c r="AD115" i="1"/>
  <c r="T115" i="1" s="1"/>
  <c r="AE115" i="1"/>
  <c r="AF115" i="1"/>
  <c r="AH115" i="1"/>
  <c r="V116" i="1"/>
  <c r="Q37" i="3" s="1"/>
  <c r="Y116" i="1"/>
  <c r="Z116" i="1"/>
  <c r="AB116" i="1"/>
  <c r="AC116" i="1"/>
  <c r="AD116" i="1"/>
  <c r="T116" i="1" s="1"/>
  <c r="AE116" i="1"/>
  <c r="P37" i="3" s="1"/>
  <c r="AF116" i="1"/>
  <c r="AH116" i="1"/>
  <c r="V117" i="1"/>
  <c r="Y117" i="1"/>
  <c r="Z117" i="1"/>
  <c r="AB117" i="1"/>
  <c r="AC117" i="1"/>
  <c r="AD117" i="1"/>
  <c r="AG117" i="1" s="1"/>
  <c r="AE117" i="1"/>
  <c r="AF117" i="1"/>
  <c r="AH117" i="1"/>
  <c r="V118" i="1"/>
  <c r="Y118" i="1"/>
  <c r="Z118" i="1"/>
  <c r="AB118" i="1"/>
  <c r="AC118" i="1"/>
  <c r="AE118" i="1"/>
  <c r="AF118" i="1"/>
  <c r="AH118" i="1"/>
  <c r="V119" i="1"/>
  <c r="Y119" i="1"/>
  <c r="Z119" i="1"/>
  <c r="AB119" i="1"/>
  <c r="AC119" i="1"/>
  <c r="AE119" i="1"/>
  <c r="AF119" i="1"/>
  <c r="AH119" i="1"/>
  <c r="V121" i="1"/>
  <c r="Y121" i="1"/>
  <c r="Z121" i="1"/>
  <c r="AB121" i="1"/>
  <c r="AC121" i="1"/>
  <c r="AE121" i="1"/>
  <c r="AF121" i="1"/>
  <c r="AH121" i="1"/>
  <c r="V123" i="1"/>
  <c r="Y123" i="1"/>
  <c r="Z123" i="1"/>
  <c r="AB123" i="1"/>
  <c r="AC123" i="1"/>
  <c r="AD123" i="1"/>
  <c r="AG123" i="1" s="1"/>
  <c r="AE123" i="1"/>
  <c r="AF123" i="1"/>
  <c r="AH123" i="1"/>
  <c r="V124" i="1"/>
  <c r="Y124" i="1"/>
  <c r="Z124" i="1"/>
  <c r="AB124" i="1"/>
  <c r="AC124" i="1"/>
  <c r="AD124" i="1"/>
  <c r="T124" i="1" s="1"/>
  <c r="AE124" i="1"/>
  <c r="AF124" i="1"/>
  <c r="AH124" i="1"/>
  <c r="V125" i="1"/>
  <c r="Q41" i="3" s="1"/>
  <c r="Y125" i="1"/>
  <c r="Z125" i="1"/>
  <c r="AB125" i="1"/>
  <c r="AC125" i="1"/>
  <c r="AD125" i="1"/>
  <c r="X125" i="1" s="1"/>
  <c r="AE125" i="1"/>
  <c r="P41" i="3" s="1"/>
  <c r="AF125" i="1"/>
  <c r="AH125" i="1"/>
  <c r="V126" i="1"/>
  <c r="Y126" i="1"/>
  <c r="Z126" i="1"/>
  <c r="AB126" i="1"/>
  <c r="AC126" i="1"/>
  <c r="AD126" i="1"/>
  <c r="AE126" i="1"/>
  <c r="AF126" i="1"/>
  <c r="AH126" i="1"/>
  <c r="V127" i="1"/>
  <c r="Y127" i="1"/>
  <c r="Z127" i="1"/>
  <c r="AB127" i="1"/>
  <c r="AC127" i="1"/>
  <c r="AD127" i="1"/>
  <c r="AE127" i="1"/>
  <c r="AF127" i="1"/>
  <c r="AH127" i="1"/>
  <c r="V128" i="1"/>
  <c r="Y128" i="1"/>
  <c r="Z128" i="1"/>
  <c r="AB128" i="1"/>
  <c r="AC128" i="1"/>
  <c r="AD128" i="1"/>
  <c r="AE128" i="1"/>
  <c r="AF128" i="1"/>
  <c r="AH128" i="1"/>
  <c r="V130" i="1"/>
  <c r="Y130" i="1"/>
  <c r="Z130" i="1"/>
  <c r="AB130" i="1"/>
  <c r="AC130" i="1"/>
  <c r="AD130" i="1"/>
  <c r="AG130" i="1" s="1"/>
  <c r="AE130" i="1"/>
  <c r="AF130" i="1"/>
  <c r="AH130" i="1"/>
  <c r="V131" i="1"/>
  <c r="Q38" i="3" s="1"/>
  <c r="Y131" i="1"/>
  <c r="Z131" i="1"/>
  <c r="AB131" i="1"/>
  <c r="AC131" i="1"/>
  <c r="AD131" i="1"/>
  <c r="AG131" i="1" s="1"/>
  <c r="AE131" i="1"/>
  <c r="P38" i="3" s="1"/>
  <c r="AF131" i="1"/>
  <c r="AH131" i="1"/>
  <c r="V133" i="1"/>
  <c r="Y133" i="1"/>
  <c r="Z133" i="1"/>
  <c r="AB133" i="1"/>
  <c r="AC133" i="1"/>
  <c r="AD133" i="1"/>
  <c r="T133" i="1" s="1"/>
  <c r="AE133" i="1"/>
  <c r="AF133" i="1"/>
  <c r="AH133" i="1"/>
  <c r="V134" i="1"/>
  <c r="Y134" i="1"/>
  <c r="Z134" i="1"/>
  <c r="AB134" i="1"/>
  <c r="AC134" i="1"/>
  <c r="AD134" i="1"/>
  <c r="T134" i="1" s="1"/>
  <c r="AE134" i="1"/>
  <c r="AF134" i="1"/>
  <c r="AH134" i="1"/>
  <c r="V135" i="1"/>
  <c r="Y135" i="1"/>
  <c r="Z135" i="1"/>
  <c r="AB135" i="1"/>
  <c r="AC135" i="1"/>
  <c r="AD135" i="1"/>
  <c r="AG135" i="1" s="1"/>
  <c r="AE135" i="1"/>
  <c r="AF135" i="1"/>
  <c r="AH135" i="1"/>
  <c r="V136" i="1"/>
  <c r="Y136" i="1"/>
  <c r="Z136" i="1"/>
  <c r="AB136" i="1"/>
  <c r="AC136" i="1"/>
  <c r="AD136" i="1"/>
  <c r="T136" i="1" s="1"/>
  <c r="AE136" i="1"/>
  <c r="AF136" i="1"/>
  <c r="AH136" i="1"/>
  <c r="V137" i="1"/>
  <c r="Y137" i="1"/>
  <c r="Z137" i="1"/>
  <c r="AB137" i="1"/>
  <c r="AC137" i="1"/>
  <c r="AD137" i="1"/>
  <c r="AG137" i="1" s="1"/>
  <c r="AE137" i="1"/>
  <c r="AF137" i="1"/>
  <c r="AH137" i="1"/>
  <c r="V138" i="1"/>
  <c r="Y138" i="1"/>
  <c r="Z138" i="1"/>
  <c r="AB138" i="1"/>
  <c r="AC138" i="1"/>
  <c r="AD138" i="1"/>
  <c r="T138" i="1" s="1"/>
  <c r="AE138" i="1"/>
  <c r="AF138" i="1"/>
  <c r="AH138" i="1"/>
  <c r="V139" i="1"/>
  <c r="Q40" i="3" s="1"/>
  <c r="Y139" i="1"/>
  <c r="Z139" i="1"/>
  <c r="AB139" i="1"/>
  <c r="AC139" i="1"/>
  <c r="AD139" i="1"/>
  <c r="AG139" i="1" s="1"/>
  <c r="AE139" i="1"/>
  <c r="P40" i="3" s="1"/>
  <c r="AF139" i="1"/>
  <c r="AH139" i="1"/>
  <c r="V140" i="1"/>
  <c r="Y140" i="1"/>
  <c r="Z140" i="1"/>
  <c r="AB140" i="1"/>
  <c r="AC140" i="1"/>
  <c r="AD140" i="1"/>
  <c r="T140" i="1" s="1"/>
  <c r="AE140" i="1"/>
  <c r="AF140" i="1"/>
  <c r="AH140" i="1"/>
  <c r="V141" i="1"/>
  <c r="Y141" i="1"/>
  <c r="Z141" i="1"/>
  <c r="AB141" i="1"/>
  <c r="AC141" i="1"/>
  <c r="AD141" i="1"/>
  <c r="AG141" i="1" s="1"/>
  <c r="AE141" i="1"/>
  <c r="AF141" i="1"/>
  <c r="AH141" i="1"/>
  <c r="V143" i="1"/>
  <c r="Y143" i="1"/>
  <c r="Z143" i="1"/>
  <c r="AB143" i="1"/>
  <c r="AC143" i="1"/>
  <c r="AD143" i="1"/>
  <c r="T143" i="1" s="1"/>
  <c r="AE143" i="1"/>
  <c r="AF143" i="1"/>
  <c r="AH143" i="1"/>
  <c r="V145" i="1"/>
  <c r="Y145" i="1"/>
  <c r="Z145" i="1"/>
  <c r="AB145" i="1"/>
  <c r="AC145" i="1"/>
  <c r="AD145" i="1"/>
  <c r="AG145" i="1" s="1"/>
  <c r="AE145" i="1"/>
  <c r="AF145" i="1"/>
  <c r="AH145" i="1"/>
  <c r="V147" i="1"/>
  <c r="Y147" i="1"/>
  <c r="Z147" i="1"/>
  <c r="AB147" i="1"/>
  <c r="AC147" i="1"/>
  <c r="AD147" i="1"/>
  <c r="T147" i="1" s="1"/>
  <c r="AE147" i="1"/>
  <c r="AF147" i="1"/>
  <c r="AH147" i="1"/>
  <c r="V148" i="1"/>
  <c r="Y148" i="1"/>
  <c r="Z148" i="1"/>
  <c r="AB148" i="1"/>
  <c r="AC148" i="1"/>
  <c r="AD148" i="1"/>
  <c r="AG148" i="1" s="1"/>
  <c r="AE148" i="1"/>
  <c r="AF148" i="1"/>
  <c r="AH148" i="1"/>
  <c r="V149" i="1"/>
  <c r="Y149" i="1"/>
  <c r="Z149" i="1"/>
  <c r="AB149" i="1"/>
  <c r="AC149" i="1"/>
  <c r="AD149" i="1"/>
  <c r="T149" i="1" s="1"/>
  <c r="AE149" i="1"/>
  <c r="AF149" i="1"/>
  <c r="AH149" i="1"/>
  <c r="V150" i="1"/>
  <c r="Y150" i="1"/>
  <c r="Z150" i="1"/>
  <c r="AB150" i="1"/>
  <c r="AC150" i="1"/>
  <c r="AD150" i="1"/>
  <c r="AG150" i="1" s="1"/>
  <c r="AE150" i="1"/>
  <c r="AF150" i="1"/>
  <c r="AH150" i="1"/>
  <c r="V151" i="1"/>
  <c r="Y151" i="1"/>
  <c r="Z151" i="1"/>
  <c r="AB151" i="1"/>
  <c r="AC151" i="1"/>
  <c r="AD151" i="1"/>
  <c r="T151" i="1" s="1"/>
  <c r="AE151" i="1"/>
  <c r="AF151" i="1"/>
  <c r="AH151" i="1"/>
  <c r="V152" i="1"/>
  <c r="Y152" i="1"/>
  <c r="Z152" i="1"/>
  <c r="AB152" i="1"/>
  <c r="AC152" i="1"/>
  <c r="AD152" i="1"/>
  <c r="AG152" i="1" s="1"/>
  <c r="AE152" i="1"/>
  <c r="AF152" i="1"/>
  <c r="AH152" i="1"/>
  <c r="V153" i="1"/>
  <c r="Y153" i="1"/>
  <c r="Z153" i="1"/>
  <c r="AB153" i="1"/>
  <c r="AC153" i="1"/>
  <c r="AD153" i="1"/>
  <c r="T153" i="1" s="1"/>
  <c r="AE153" i="1"/>
  <c r="AF153" i="1"/>
  <c r="AH153" i="1"/>
  <c r="V154" i="1"/>
  <c r="Y154" i="1"/>
  <c r="Z154" i="1"/>
  <c r="AB154" i="1"/>
  <c r="AC154" i="1"/>
  <c r="AD154" i="1"/>
  <c r="AG154" i="1" s="1"/>
  <c r="AE154" i="1"/>
  <c r="AF154" i="1"/>
  <c r="AH154" i="1"/>
  <c r="V155" i="1"/>
  <c r="Y155" i="1"/>
  <c r="Z155" i="1"/>
  <c r="AB155" i="1"/>
  <c r="AC155" i="1"/>
  <c r="AD155" i="1"/>
  <c r="T155" i="1" s="1"/>
  <c r="AE155" i="1"/>
  <c r="AF155" i="1"/>
  <c r="AH155" i="1"/>
  <c r="V201" i="1"/>
  <c r="Y201" i="1"/>
  <c r="Z201" i="1"/>
  <c r="AB201" i="1"/>
  <c r="AC201" i="1"/>
  <c r="AD201" i="1"/>
  <c r="AG201" i="1" s="1"/>
  <c r="AE201" i="1"/>
  <c r="AF201" i="1"/>
  <c r="AH201" i="1"/>
  <c r="V202" i="1"/>
  <c r="Y202" i="1"/>
  <c r="Z202" i="1"/>
  <c r="AB202" i="1"/>
  <c r="AC202" i="1"/>
  <c r="AD202" i="1"/>
  <c r="T202" i="1" s="1"/>
  <c r="AE202" i="1"/>
  <c r="AF202" i="1"/>
  <c r="AH202" i="1"/>
  <c r="V203" i="1"/>
  <c r="Y203" i="1"/>
  <c r="Z203" i="1"/>
  <c r="AB203" i="1"/>
  <c r="AC203" i="1"/>
  <c r="AD203" i="1"/>
  <c r="AG203" i="1" s="1"/>
  <c r="AE203" i="1"/>
  <c r="AF203" i="1"/>
  <c r="AH203" i="1"/>
  <c r="V204" i="1"/>
  <c r="Q42" i="3" s="1"/>
  <c r="Y204" i="1"/>
  <c r="Z204" i="1"/>
  <c r="AB204" i="1"/>
  <c r="AC204" i="1"/>
  <c r="AD204" i="1"/>
  <c r="T204" i="1" s="1"/>
  <c r="AE204" i="1"/>
  <c r="P42" i="3" s="1"/>
  <c r="AF204" i="1"/>
  <c r="AH204" i="1"/>
  <c r="V205" i="1"/>
  <c r="Q32" i="3" s="1"/>
  <c r="Y205" i="1"/>
  <c r="Z205" i="1"/>
  <c r="AB205" i="1"/>
  <c r="AC205" i="1"/>
  <c r="AD205" i="1"/>
  <c r="AG205" i="1" s="1"/>
  <c r="AE205" i="1"/>
  <c r="P32" i="3" s="1"/>
  <c r="AF205" i="1"/>
  <c r="AH205" i="1"/>
  <c r="V156" i="1"/>
  <c r="Y156" i="1"/>
  <c r="Z156" i="1"/>
  <c r="AB156" i="1"/>
  <c r="AC156" i="1"/>
  <c r="AD156" i="1"/>
  <c r="T156" i="1" s="1"/>
  <c r="AE156" i="1"/>
  <c r="AF156" i="1"/>
  <c r="AH156" i="1"/>
  <c r="V157" i="1"/>
  <c r="Y157" i="1"/>
  <c r="Z157" i="1"/>
  <c r="AB157" i="1"/>
  <c r="AC157" i="1"/>
  <c r="AD157" i="1"/>
  <c r="AG157" i="1" s="1"/>
  <c r="AE157" i="1"/>
  <c r="AF157" i="1"/>
  <c r="AH157" i="1"/>
  <c r="V158" i="1"/>
  <c r="Y158" i="1"/>
  <c r="Z158" i="1"/>
  <c r="AB158" i="1"/>
  <c r="AC158" i="1"/>
  <c r="AD158" i="1"/>
  <c r="T158" i="1" s="1"/>
  <c r="AE158" i="1"/>
  <c r="AF158" i="1"/>
  <c r="AH158" i="1"/>
  <c r="V159" i="1"/>
  <c r="Y159" i="1"/>
  <c r="Z159" i="1"/>
  <c r="AB159" i="1"/>
  <c r="AC159" i="1"/>
  <c r="AD159" i="1"/>
  <c r="AG159" i="1" s="1"/>
  <c r="AE159" i="1"/>
  <c r="AF159" i="1"/>
  <c r="AH159" i="1"/>
  <c r="V160" i="1"/>
  <c r="Y160" i="1"/>
  <c r="Z160" i="1"/>
  <c r="AB160" i="1"/>
  <c r="AC160" i="1"/>
  <c r="AD160" i="1"/>
  <c r="T160" i="1" s="1"/>
  <c r="AE160" i="1"/>
  <c r="AF160" i="1"/>
  <c r="AH160" i="1"/>
  <c r="V161" i="1"/>
  <c r="Y161" i="1"/>
  <c r="Z161" i="1"/>
  <c r="AB161" i="1"/>
  <c r="AC161" i="1"/>
  <c r="AD161" i="1"/>
  <c r="AG161" i="1" s="1"/>
  <c r="AE161" i="1"/>
  <c r="AF161" i="1"/>
  <c r="AH161" i="1"/>
  <c r="V162" i="1"/>
  <c r="Y162" i="1"/>
  <c r="Z162" i="1"/>
  <c r="AB162" i="1"/>
  <c r="AC162" i="1"/>
  <c r="AD162" i="1"/>
  <c r="T162" i="1" s="1"/>
  <c r="AE162" i="1"/>
  <c r="AF162" i="1"/>
  <c r="AH162" i="1"/>
  <c r="V163" i="1"/>
  <c r="Y163" i="1"/>
  <c r="Z163" i="1"/>
  <c r="AB163" i="1"/>
  <c r="AC163" i="1"/>
  <c r="AD163" i="1"/>
  <c r="AG163" i="1" s="1"/>
  <c r="AE163" i="1"/>
  <c r="AF163" i="1"/>
  <c r="AH163" i="1"/>
  <c r="V164" i="1"/>
  <c r="Y164" i="1"/>
  <c r="Z164" i="1"/>
  <c r="AB164" i="1"/>
  <c r="AC164" i="1"/>
  <c r="AD164" i="1"/>
  <c r="T164" i="1" s="1"/>
  <c r="AE164" i="1"/>
  <c r="AF164" i="1"/>
  <c r="AH164" i="1"/>
  <c r="V165" i="1"/>
  <c r="Y165" i="1"/>
  <c r="Z165" i="1"/>
  <c r="AB165" i="1"/>
  <c r="AC165" i="1"/>
  <c r="AD165" i="1"/>
  <c r="T165" i="1" s="1"/>
  <c r="AE165" i="1"/>
  <c r="AF165" i="1"/>
  <c r="AH165" i="1"/>
  <c r="V166" i="1"/>
  <c r="Y166" i="1"/>
  <c r="Z166" i="1"/>
  <c r="AB166" i="1"/>
  <c r="AC166" i="1"/>
  <c r="AD166" i="1"/>
  <c r="T166" i="1" s="1"/>
  <c r="AE166" i="1"/>
  <c r="AF166" i="1"/>
  <c r="AH166" i="1"/>
  <c r="V167" i="1"/>
  <c r="Y167" i="1"/>
  <c r="Z167" i="1"/>
  <c r="AB167" i="1"/>
  <c r="AC167" i="1"/>
  <c r="AD167" i="1"/>
  <c r="T167" i="1" s="1"/>
  <c r="AE167" i="1"/>
  <c r="AF167" i="1"/>
  <c r="AH167" i="1"/>
  <c r="V168" i="1"/>
  <c r="Y168" i="1"/>
  <c r="Z168" i="1"/>
  <c r="AB168" i="1"/>
  <c r="AC168" i="1"/>
  <c r="AD168" i="1"/>
  <c r="T168" i="1" s="1"/>
  <c r="AE168" i="1"/>
  <c r="AF168" i="1"/>
  <c r="AH168" i="1"/>
  <c r="V169" i="1"/>
  <c r="Q43" i="3" s="1"/>
  <c r="Y169" i="1"/>
  <c r="Z169" i="1"/>
  <c r="AB169" i="1"/>
  <c r="AC169" i="1"/>
  <c r="AD169" i="1"/>
  <c r="T169" i="1" s="1"/>
  <c r="AE169" i="1"/>
  <c r="P43" i="3" s="1"/>
  <c r="AF169" i="1"/>
  <c r="AH169" i="1"/>
  <c r="V170" i="1"/>
  <c r="Y170" i="1"/>
  <c r="Z170" i="1"/>
  <c r="AB170" i="1"/>
  <c r="AC170" i="1"/>
  <c r="AD170" i="1"/>
  <c r="AG170" i="1" s="1"/>
  <c r="AE170" i="1"/>
  <c r="AF170" i="1"/>
  <c r="AH170" i="1"/>
  <c r="V171" i="1"/>
  <c r="Q44" i="3" s="1"/>
  <c r="Y171" i="1"/>
  <c r="Z171" i="1"/>
  <c r="AB171" i="1"/>
  <c r="AC171" i="1"/>
  <c r="AD171" i="1"/>
  <c r="T171" i="1" s="1"/>
  <c r="AE171" i="1"/>
  <c r="P44" i="3" s="1"/>
  <c r="AF171" i="1"/>
  <c r="AH171" i="1"/>
  <c r="V172" i="1"/>
  <c r="Y172" i="1"/>
  <c r="Z172" i="1"/>
  <c r="AB172" i="1"/>
  <c r="AC172" i="1"/>
  <c r="AD172" i="1"/>
  <c r="T172" i="1" s="1"/>
  <c r="AE172" i="1"/>
  <c r="AF172" i="1"/>
  <c r="AH172" i="1"/>
  <c r="V173" i="1"/>
  <c r="Y173" i="1"/>
  <c r="Z173" i="1"/>
  <c r="AB173" i="1"/>
  <c r="AC173" i="1"/>
  <c r="AD173" i="1"/>
  <c r="T173" i="1" s="1"/>
  <c r="AE173" i="1"/>
  <c r="AF173" i="1"/>
  <c r="AH173" i="1"/>
  <c r="V174" i="1"/>
  <c r="Y174" i="1"/>
  <c r="Z174" i="1"/>
  <c r="AB174" i="1"/>
  <c r="AC174" i="1"/>
  <c r="AD174" i="1"/>
  <c r="AE174" i="1"/>
  <c r="AF174" i="1"/>
  <c r="AH174" i="1"/>
  <c r="V175" i="1"/>
  <c r="Y175" i="1"/>
  <c r="Z175" i="1"/>
  <c r="AB175" i="1"/>
  <c r="AC175" i="1"/>
  <c r="AD175" i="1"/>
  <c r="T175" i="1" s="1"/>
  <c r="AE175" i="1"/>
  <c r="AF175" i="1"/>
  <c r="AH175" i="1"/>
  <c r="V176" i="1"/>
  <c r="Y176" i="1"/>
  <c r="Z176" i="1"/>
  <c r="AB176" i="1"/>
  <c r="AC176" i="1"/>
  <c r="AD176" i="1"/>
  <c r="T176" i="1" s="1"/>
  <c r="AE176" i="1"/>
  <c r="AF176" i="1"/>
  <c r="AH176" i="1"/>
  <c r="V177" i="1"/>
  <c r="Y177" i="1"/>
  <c r="Z177" i="1"/>
  <c r="AB177" i="1"/>
  <c r="AC177" i="1"/>
  <c r="AD177" i="1"/>
  <c r="T177" i="1" s="1"/>
  <c r="AE177" i="1"/>
  <c r="AF177" i="1"/>
  <c r="AH177" i="1"/>
  <c r="V178" i="1"/>
  <c r="Q46" i="3" s="1"/>
  <c r="Y178" i="1"/>
  <c r="Z178" i="1"/>
  <c r="AB178" i="1"/>
  <c r="AC178" i="1"/>
  <c r="AD178" i="1"/>
  <c r="T178" i="1" s="1"/>
  <c r="AE178" i="1"/>
  <c r="P46" i="3" s="1"/>
  <c r="AF178" i="1"/>
  <c r="AH178" i="1"/>
  <c r="V179" i="1"/>
  <c r="Y179" i="1"/>
  <c r="Z179" i="1"/>
  <c r="AB179" i="1"/>
  <c r="AC179" i="1"/>
  <c r="AD179" i="1"/>
  <c r="AG179" i="1" s="1"/>
  <c r="AE179" i="1"/>
  <c r="AF179" i="1"/>
  <c r="AH179" i="1"/>
  <c r="V180" i="1"/>
  <c r="Y180" i="1"/>
  <c r="Z180" i="1"/>
  <c r="AB180" i="1"/>
  <c r="AC180" i="1"/>
  <c r="AD180" i="1"/>
  <c r="AG180" i="1" s="1"/>
  <c r="AE180" i="1"/>
  <c r="AF180" i="1"/>
  <c r="AH180" i="1"/>
  <c r="V181" i="1"/>
  <c r="Y181" i="1"/>
  <c r="Z181" i="1"/>
  <c r="AB181" i="1"/>
  <c r="AC181" i="1"/>
  <c r="AD181" i="1"/>
  <c r="AG181" i="1" s="1"/>
  <c r="AE181" i="1"/>
  <c r="AF181" i="1"/>
  <c r="AH181" i="1"/>
  <c r="V182" i="1"/>
  <c r="Y182" i="1"/>
  <c r="Z182" i="1"/>
  <c r="AB182" i="1"/>
  <c r="AC182" i="1"/>
  <c r="AD182" i="1"/>
  <c r="T182" i="1" s="1"/>
  <c r="AE182" i="1"/>
  <c r="AF182" i="1"/>
  <c r="AH182" i="1"/>
  <c r="V183" i="1"/>
  <c r="Y183" i="1"/>
  <c r="Z183" i="1"/>
  <c r="AB183" i="1"/>
  <c r="AC183" i="1"/>
  <c r="AD183" i="1"/>
  <c r="AG183" i="1" s="1"/>
  <c r="AE183" i="1"/>
  <c r="AF183" i="1"/>
  <c r="AH183" i="1"/>
  <c r="V184" i="1"/>
  <c r="Y184" i="1"/>
  <c r="Z184" i="1"/>
  <c r="AB184" i="1"/>
  <c r="AC184" i="1"/>
  <c r="AD184" i="1"/>
  <c r="AG184" i="1" s="1"/>
  <c r="AE184" i="1"/>
  <c r="AF184" i="1"/>
  <c r="AH184" i="1"/>
  <c r="V185" i="1"/>
  <c r="Y185" i="1"/>
  <c r="Z185" i="1"/>
  <c r="AB185" i="1"/>
  <c r="AC185" i="1"/>
  <c r="AD185" i="1"/>
  <c r="AG185" i="1" s="1"/>
  <c r="AE185" i="1"/>
  <c r="AF185" i="1"/>
  <c r="AH185" i="1"/>
  <c r="V186" i="1"/>
  <c r="Y186" i="1"/>
  <c r="Z186" i="1"/>
  <c r="AB186" i="1"/>
  <c r="AC186" i="1"/>
  <c r="AD186" i="1"/>
  <c r="AG186" i="1" s="1"/>
  <c r="AE186" i="1"/>
  <c r="AF186" i="1"/>
  <c r="AH186" i="1"/>
  <c r="V187" i="1"/>
  <c r="Y187" i="1"/>
  <c r="Z187" i="1"/>
  <c r="AB187" i="1"/>
  <c r="AC187" i="1"/>
  <c r="AD187" i="1"/>
  <c r="AG187" i="1" s="1"/>
  <c r="AE187" i="1"/>
  <c r="AF187" i="1"/>
  <c r="AH187" i="1"/>
  <c r="V188" i="1"/>
  <c r="Y188" i="1"/>
  <c r="Z188" i="1"/>
  <c r="AB188" i="1"/>
  <c r="AC188" i="1"/>
  <c r="AD188" i="1"/>
  <c r="AG188" i="1" s="1"/>
  <c r="AE188" i="1"/>
  <c r="AF188" i="1"/>
  <c r="AH188" i="1"/>
  <c r="V189" i="1"/>
  <c r="Y189" i="1"/>
  <c r="Z189" i="1"/>
  <c r="AB189" i="1"/>
  <c r="AC189" i="1"/>
  <c r="AD189" i="1"/>
  <c r="AG189" i="1" s="1"/>
  <c r="AE189" i="1"/>
  <c r="AF189" i="1"/>
  <c r="AH189" i="1"/>
  <c r="V190" i="1"/>
  <c r="Q45" i="3" s="1"/>
  <c r="Y190" i="1"/>
  <c r="Z190" i="1"/>
  <c r="AB190" i="1"/>
  <c r="AC190" i="1"/>
  <c r="AD190" i="1"/>
  <c r="AG190" i="1" s="1"/>
  <c r="AE190" i="1"/>
  <c r="P45" i="3" s="1"/>
  <c r="AF190" i="1"/>
  <c r="AH190" i="1"/>
  <c r="V191" i="1"/>
  <c r="Y191" i="1"/>
  <c r="Z191" i="1"/>
  <c r="AB191" i="1"/>
  <c r="AC191" i="1"/>
  <c r="AD191" i="1"/>
  <c r="AG191" i="1" s="1"/>
  <c r="AE191" i="1"/>
  <c r="AF191" i="1"/>
  <c r="AH191" i="1"/>
  <c r="V192" i="1"/>
  <c r="Y192" i="1"/>
  <c r="Z192" i="1"/>
  <c r="AB192" i="1"/>
  <c r="AC192" i="1"/>
  <c r="AD192" i="1"/>
  <c r="T192" i="1" s="1"/>
  <c r="AE192" i="1"/>
  <c r="AF192" i="1"/>
  <c r="AH192" i="1"/>
  <c r="V193" i="1"/>
  <c r="Y193" i="1"/>
  <c r="Z193" i="1"/>
  <c r="AB193" i="1"/>
  <c r="AC193" i="1"/>
  <c r="AD193" i="1"/>
  <c r="T193" i="1" s="1"/>
  <c r="AE193" i="1"/>
  <c r="AF193" i="1"/>
  <c r="AH193" i="1"/>
  <c r="V194" i="1"/>
  <c r="Y194" i="1"/>
  <c r="Z194" i="1"/>
  <c r="AB194" i="1"/>
  <c r="AC194" i="1"/>
  <c r="AD194" i="1"/>
  <c r="T194" i="1" s="1"/>
  <c r="AE194" i="1"/>
  <c r="AF194" i="1"/>
  <c r="AH194" i="1"/>
  <c r="V195" i="1"/>
  <c r="Y195" i="1"/>
  <c r="Z195" i="1"/>
  <c r="AB195" i="1"/>
  <c r="AC195" i="1"/>
  <c r="AD195" i="1"/>
  <c r="T195" i="1" s="1"/>
  <c r="AE195" i="1"/>
  <c r="AF195" i="1"/>
  <c r="AH195" i="1"/>
  <c r="V196" i="1"/>
  <c r="Y196" i="1"/>
  <c r="Z196" i="1"/>
  <c r="AB196" i="1"/>
  <c r="AC196" i="1"/>
  <c r="AD196" i="1"/>
  <c r="T196" i="1" s="1"/>
  <c r="AE196" i="1"/>
  <c r="AF196" i="1"/>
  <c r="AH196" i="1"/>
  <c r="V197" i="1"/>
  <c r="Y197" i="1"/>
  <c r="Z197" i="1"/>
  <c r="AB197" i="1"/>
  <c r="AC197" i="1"/>
  <c r="AD197" i="1"/>
  <c r="T197" i="1" s="1"/>
  <c r="AE197" i="1"/>
  <c r="AF197" i="1"/>
  <c r="AH197" i="1"/>
  <c r="V198" i="1"/>
  <c r="Q47" i="3" s="1"/>
  <c r="Y198" i="1"/>
  <c r="Z198" i="1"/>
  <c r="AB198" i="1"/>
  <c r="AC198" i="1"/>
  <c r="AD198" i="1"/>
  <c r="AG198" i="1" s="1"/>
  <c r="AE198" i="1"/>
  <c r="P47" i="3" s="1"/>
  <c r="AF198" i="1"/>
  <c r="AH198" i="1"/>
  <c r="V199" i="1"/>
  <c r="Y199" i="1"/>
  <c r="Z199" i="1"/>
  <c r="AB199" i="1"/>
  <c r="AC199" i="1"/>
  <c r="AD199" i="1"/>
  <c r="AG199" i="1" s="1"/>
  <c r="AE199" i="1"/>
  <c r="AF199" i="1"/>
  <c r="AH199" i="1"/>
  <c r="V200" i="1"/>
  <c r="Y200" i="1"/>
  <c r="Z200" i="1"/>
  <c r="AB200" i="1"/>
  <c r="AC200" i="1"/>
  <c r="AD200" i="1"/>
  <c r="AG200" i="1" s="1"/>
  <c r="AE200" i="1"/>
  <c r="AF200" i="1"/>
  <c r="AH200" i="1"/>
  <c r="V206" i="1"/>
  <c r="Y206" i="1"/>
  <c r="Z206" i="1"/>
  <c r="AB206" i="1"/>
  <c r="AC206" i="1"/>
  <c r="AD206" i="1"/>
  <c r="AG206" i="1" s="1"/>
  <c r="AE206" i="1"/>
  <c r="AF206" i="1"/>
  <c r="AH206" i="1"/>
  <c r="V207" i="1"/>
  <c r="Y207" i="1"/>
  <c r="Z207" i="1"/>
  <c r="AB207" i="1"/>
  <c r="AC207" i="1"/>
  <c r="AD207" i="1"/>
  <c r="AG207" i="1" s="1"/>
  <c r="AE207" i="1"/>
  <c r="AF207" i="1"/>
  <c r="AH207" i="1"/>
  <c r="V208" i="1"/>
  <c r="Y208" i="1"/>
  <c r="Z208" i="1"/>
  <c r="AB208" i="1"/>
  <c r="AC208" i="1"/>
  <c r="AD208" i="1"/>
  <c r="AG208" i="1" s="1"/>
  <c r="AE208" i="1"/>
  <c r="AF208" i="1"/>
  <c r="AH208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P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Q31" i="3" s="1"/>
  <c r="Y18" i="1"/>
  <c r="Z18" i="1"/>
  <c r="AB18" i="1"/>
  <c r="AC18" i="1"/>
  <c r="AD18" i="1"/>
  <c r="AG18" i="1" s="1"/>
  <c r="AE18" i="1"/>
  <c r="P31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Q33" i="3" s="1"/>
  <c r="Y24" i="1"/>
  <c r="Z24" i="1"/>
  <c r="AB24" i="1"/>
  <c r="AC24" i="1"/>
  <c r="AD24" i="1"/>
  <c r="AG24" i="1" s="1"/>
  <c r="AE24" i="1"/>
  <c r="P33" i="3" s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P9" i="3" s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P16" i="3" s="1"/>
  <c r="AF33" i="1"/>
  <c r="AH33" i="1"/>
  <c r="K34" i="1"/>
  <c r="L34" i="1"/>
  <c r="M34" i="1"/>
  <c r="N34" i="1" s="1"/>
  <c r="V34" i="1"/>
  <c r="Q13" i="3" s="1"/>
  <c r="Y34" i="1"/>
  <c r="Z34" i="1"/>
  <c r="AB34" i="1"/>
  <c r="AC34" i="1"/>
  <c r="AD34" i="1"/>
  <c r="AG34" i="1" s="1"/>
  <c r="AE34" i="1"/>
  <c r="P13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Q35" i="3" s="1"/>
  <c r="Y40" i="1"/>
  <c r="Z40" i="1"/>
  <c r="AB40" i="1"/>
  <c r="AC40" i="1"/>
  <c r="AD40" i="1"/>
  <c r="AG40" i="1" s="1"/>
  <c r="AE40" i="1"/>
  <c r="P35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Q17" i="3" s="1"/>
  <c r="Y43" i="1"/>
  <c r="Z43" i="1"/>
  <c r="AB43" i="1"/>
  <c r="AC43" i="1"/>
  <c r="AD43" i="1"/>
  <c r="AG43" i="1" s="1"/>
  <c r="AE43" i="1"/>
  <c r="P17" i="3" s="1"/>
  <c r="AF43" i="1"/>
  <c r="AH43" i="1"/>
  <c r="K44" i="1"/>
  <c r="L44" i="1"/>
  <c r="M44" i="1"/>
  <c r="N44" i="1" s="1"/>
  <c r="V44" i="1"/>
  <c r="Q15" i="3" s="1"/>
  <c r="Y44" i="1"/>
  <c r="Z44" i="1"/>
  <c r="AB44" i="1"/>
  <c r="AC44" i="1"/>
  <c r="AD44" i="1"/>
  <c r="AG44" i="1" s="1"/>
  <c r="AE44" i="1"/>
  <c r="P15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Q36" i="3" s="1"/>
  <c r="Z46" i="1"/>
  <c r="AB46" i="1"/>
  <c r="AC46" i="1"/>
  <c r="AD46" i="1"/>
  <c r="AE46" i="1"/>
  <c r="P36" i="3" s="1"/>
  <c r="AF46" i="1"/>
  <c r="AH46" i="1"/>
  <c r="K47" i="1"/>
  <c r="L47" i="1"/>
  <c r="M47" i="1"/>
  <c r="N47" i="1" s="1"/>
  <c r="V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Q27" i="3" s="1"/>
  <c r="AB48" i="1"/>
  <c r="AC48" i="1"/>
  <c r="AD48" i="1"/>
  <c r="AG48" i="1" s="1"/>
  <c r="AE48" i="1"/>
  <c r="P29" i="3" s="1"/>
  <c r="AF48" i="1"/>
  <c r="AH48" i="1"/>
  <c r="K49" i="1"/>
  <c r="L49" i="1"/>
  <c r="M49" i="1"/>
  <c r="N49" i="1" s="1"/>
  <c r="V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Z50" i="1"/>
  <c r="AB50" i="1"/>
  <c r="AC50" i="1"/>
  <c r="AD50" i="1"/>
  <c r="AG50" i="1" s="1"/>
  <c r="AE50" i="1"/>
  <c r="AF50" i="1"/>
  <c r="AH50" i="1"/>
  <c r="K51" i="1"/>
  <c r="L51" i="1"/>
  <c r="M51" i="1"/>
  <c r="P51" i="1" s="1"/>
  <c r="V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Z52" i="1"/>
  <c r="AB52" i="1"/>
  <c r="AC52" i="1"/>
  <c r="AD52" i="1"/>
  <c r="AG52" i="1" s="1"/>
  <c r="AE52" i="1"/>
  <c r="AF52" i="1"/>
  <c r="AH52" i="1"/>
  <c r="K53" i="1"/>
  <c r="L53" i="1"/>
  <c r="M53" i="1"/>
  <c r="P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P7" i="3" s="1"/>
  <c r="AF57" i="1"/>
  <c r="AH57" i="1"/>
  <c r="K58" i="1"/>
  <c r="L58" i="1"/>
  <c r="M58" i="1"/>
  <c r="N58" i="1" s="1"/>
  <c r="V58" i="1"/>
  <c r="Q19" i="3" s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Q8" i="3" s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P61" i="1" s="1"/>
  <c r="V61" i="1"/>
  <c r="Y61" i="1"/>
  <c r="Z61" i="1"/>
  <c r="AB61" i="1"/>
  <c r="AC61" i="1"/>
  <c r="AD61" i="1"/>
  <c r="AG61" i="1" s="1"/>
  <c r="AE61" i="1"/>
  <c r="AF61" i="1"/>
  <c r="AH61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P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Q11" i="3" s="1"/>
  <c r="Y74" i="1"/>
  <c r="Z74" i="1"/>
  <c r="AB74" i="1"/>
  <c r="AC74" i="1"/>
  <c r="AD74" i="1"/>
  <c r="T74" i="1" s="1"/>
  <c r="AE74" i="1"/>
  <c r="P11" i="3" s="1"/>
  <c r="AF74" i="1"/>
  <c r="AH74" i="1"/>
  <c r="V76" i="1"/>
  <c r="Y76" i="1"/>
  <c r="Z76" i="1"/>
  <c r="AB76" i="1"/>
  <c r="AC76" i="1"/>
  <c r="AD76" i="1"/>
  <c r="T76" i="1" s="1"/>
  <c r="AE76" i="1"/>
  <c r="AF76" i="1"/>
  <c r="AH76" i="1"/>
  <c r="V77" i="1"/>
  <c r="Q26" i="3" s="1"/>
  <c r="Y77" i="1"/>
  <c r="Z77" i="1"/>
  <c r="AB77" i="1"/>
  <c r="AC77" i="1"/>
  <c r="AD77" i="1"/>
  <c r="T77" i="1" s="1"/>
  <c r="AE77" i="1"/>
  <c r="P26" i="3" s="1"/>
  <c r="AF77" i="1"/>
  <c r="AH77" i="1"/>
  <c r="X46" i="1" l="1"/>
  <c r="AA142" i="1"/>
  <c r="W142" i="1" s="1"/>
  <c r="X49" i="1"/>
  <c r="AA129" i="1"/>
  <c r="W129" i="1" s="1"/>
  <c r="AA132" i="1"/>
  <c r="X158" i="1"/>
  <c r="X19" i="1"/>
  <c r="X15" i="1"/>
  <c r="AG175" i="1"/>
  <c r="AG169" i="1"/>
  <c r="AG164" i="1"/>
  <c r="AG153" i="1"/>
  <c r="AG143" i="1"/>
  <c r="AG138" i="1"/>
  <c r="AG134" i="1"/>
  <c r="AG124" i="1"/>
  <c r="AG119" i="1"/>
  <c r="AG109" i="1"/>
  <c r="AG104" i="1"/>
  <c r="AG99" i="1"/>
  <c r="AG89" i="1"/>
  <c r="AG85" i="1"/>
  <c r="AG81" i="1"/>
  <c r="AG76" i="1"/>
  <c r="AG72" i="1"/>
  <c r="AG15" i="1"/>
  <c r="X177" i="1"/>
  <c r="X128" i="1"/>
  <c r="T129" i="1"/>
  <c r="X129" i="1"/>
  <c r="X157" i="1"/>
  <c r="X18" i="1"/>
  <c r="AG173" i="1"/>
  <c r="AG168" i="1"/>
  <c r="AG133" i="1"/>
  <c r="AG128" i="1"/>
  <c r="AG113" i="1"/>
  <c r="AG108" i="1"/>
  <c r="AG103" i="1"/>
  <c r="AG97" i="1"/>
  <c r="AG93" i="1"/>
  <c r="AG88" i="1"/>
  <c r="AG84" i="1"/>
  <c r="AG75" i="1"/>
  <c r="X176" i="1"/>
  <c r="T127" i="1"/>
  <c r="X127" i="1"/>
  <c r="X20" i="1"/>
  <c r="X17" i="1"/>
  <c r="AG177" i="1"/>
  <c r="AG172" i="1"/>
  <c r="AG167" i="1"/>
  <c r="AG156" i="1"/>
  <c r="AG140" i="1"/>
  <c r="AG136" i="1"/>
  <c r="AG132" i="1"/>
  <c r="U132" i="1" s="1"/>
  <c r="S132" i="1" s="1"/>
  <c r="AG127" i="1"/>
  <c r="AG121" i="1"/>
  <c r="AG116" i="1"/>
  <c r="AG112" i="1"/>
  <c r="AG106" i="1"/>
  <c r="AG101" i="1"/>
  <c r="AG96" i="1"/>
  <c r="AG92" i="1"/>
  <c r="AG87" i="1"/>
  <c r="AG83" i="1"/>
  <c r="AG78" i="1"/>
  <c r="AG74" i="1"/>
  <c r="AG62" i="1"/>
  <c r="AG21" i="1"/>
  <c r="X175" i="1"/>
  <c r="T126" i="1"/>
  <c r="X126" i="1"/>
  <c r="X16" i="1"/>
  <c r="AG176" i="1"/>
  <c r="AG171" i="1"/>
  <c r="AG165" i="1"/>
  <c r="AG160" i="1"/>
  <c r="AG149" i="1"/>
  <c r="AG125" i="1"/>
  <c r="AG115" i="1"/>
  <c r="AG110" i="1"/>
  <c r="AG105" i="1"/>
  <c r="AG100" i="1"/>
  <c r="AG95" i="1"/>
  <c r="AG90" i="1"/>
  <c r="AG86" i="1"/>
  <c r="AG82" i="1"/>
  <c r="AG77" i="1"/>
  <c r="AG73" i="1"/>
  <c r="AG49" i="1"/>
  <c r="AG178" i="1"/>
  <c r="AG174" i="1"/>
  <c r="AG166" i="1"/>
  <c r="U166" i="1" s="1"/>
  <c r="S166" i="1" s="1"/>
  <c r="AG162" i="1"/>
  <c r="AG158" i="1"/>
  <c r="AG126" i="1"/>
  <c r="AG122" i="1"/>
  <c r="U122" i="1" s="1"/>
  <c r="S122" i="1" s="1"/>
  <c r="AG118" i="1"/>
  <c r="AG102" i="1"/>
  <c r="AG98" i="1"/>
  <c r="AG46" i="1"/>
  <c r="X178" i="1"/>
  <c r="AG155" i="1"/>
  <c r="AG151" i="1"/>
  <c r="AG147" i="1"/>
  <c r="AG107" i="1"/>
  <c r="AG91" i="1"/>
  <c r="AG79" i="1"/>
  <c r="X179" i="1"/>
  <c r="W14" i="1"/>
  <c r="T14" i="1"/>
  <c r="U14" i="1" s="1"/>
  <c r="S14" i="1" s="1"/>
  <c r="AA62" i="1"/>
  <c r="AA66" i="1"/>
  <c r="AA122" i="1"/>
  <c r="AA144" i="1"/>
  <c r="W144" i="1" s="1"/>
  <c r="X156" i="1"/>
  <c r="X145" i="1"/>
  <c r="X146" i="1"/>
  <c r="X159" i="1"/>
  <c r="X155" i="1"/>
  <c r="X142" i="1"/>
  <c r="X144" i="1"/>
  <c r="X80" i="1"/>
  <c r="X148" i="1"/>
  <c r="X141" i="1"/>
  <c r="X140" i="1"/>
  <c r="X143" i="1"/>
  <c r="AA146" i="1"/>
  <c r="X147" i="1"/>
  <c r="T146" i="1"/>
  <c r="U146" i="1" s="1"/>
  <c r="S146" i="1" s="1"/>
  <c r="T144" i="1"/>
  <c r="U144" i="1" s="1"/>
  <c r="S144" i="1" s="1"/>
  <c r="T142" i="1"/>
  <c r="U142" i="1" s="1"/>
  <c r="S142" i="1" s="1"/>
  <c r="X131" i="1"/>
  <c r="X134" i="1"/>
  <c r="X130" i="1"/>
  <c r="X133" i="1"/>
  <c r="X132" i="1"/>
  <c r="X123" i="1"/>
  <c r="X118" i="1"/>
  <c r="X111" i="1"/>
  <c r="X119" i="1"/>
  <c r="X122" i="1"/>
  <c r="T208" i="1"/>
  <c r="U208" i="1" s="1"/>
  <c r="S208" i="1" s="1"/>
  <c r="T206" i="1"/>
  <c r="U206" i="1" s="1"/>
  <c r="S206" i="1" s="1"/>
  <c r="T200" i="1"/>
  <c r="U200" i="1" s="1"/>
  <c r="S200" i="1" s="1"/>
  <c r="T198" i="1"/>
  <c r="U198" i="1" s="1"/>
  <c r="S198" i="1" s="1"/>
  <c r="T190" i="1"/>
  <c r="U190" i="1" s="1"/>
  <c r="S190" i="1" s="1"/>
  <c r="T188" i="1"/>
  <c r="U188" i="1" s="1"/>
  <c r="S188" i="1" s="1"/>
  <c r="T186" i="1"/>
  <c r="U186" i="1" s="1"/>
  <c r="S186" i="1" s="1"/>
  <c r="T184" i="1"/>
  <c r="U184" i="1" s="1"/>
  <c r="S184" i="1" s="1"/>
  <c r="T180" i="1"/>
  <c r="U180" i="1" s="1"/>
  <c r="S180" i="1" s="1"/>
  <c r="T163" i="1"/>
  <c r="U163" i="1" s="1"/>
  <c r="S163" i="1" s="1"/>
  <c r="T161" i="1"/>
  <c r="T159" i="1"/>
  <c r="U159" i="1" s="1"/>
  <c r="S159" i="1" s="1"/>
  <c r="T157" i="1"/>
  <c r="U157" i="1" s="1"/>
  <c r="S157" i="1" s="1"/>
  <c r="T131" i="1"/>
  <c r="T128" i="1"/>
  <c r="T125" i="1"/>
  <c r="T123" i="1"/>
  <c r="T114" i="1"/>
  <c r="T111" i="1"/>
  <c r="T94" i="1"/>
  <c r="T80" i="1"/>
  <c r="X120" i="1"/>
  <c r="T120" i="1"/>
  <c r="U120" i="1" s="1"/>
  <c r="S120" i="1" s="1"/>
  <c r="X110" i="1"/>
  <c r="T207" i="1"/>
  <c r="U207" i="1" s="1"/>
  <c r="S207" i="1" s="1"/>
  <c r="T205" i="1"/>
  <c r="U205" i="1" s="1"/>
  <c r="S205" i="1" s="1"/>
  <c r="T203" i="1"/>
  <c r="U203" i="1" s="1"/>
  <c r="S203" i="1" s="1"/>
  <c r="T201" i="1"/>
  <c r="U201" i="1" s="1"/>
  <c r="S201" i="1" s="1"/>
  <c r="T199" i="1"/>
  <c r="U199" i="1" s="1"/>
  <c r="S199" i="1" s="1"/>
  <c r="T191" i="1"/>
  <c r="U191" i="1" s="1"/>
  <c r="S191" i="1" s="1"/>
  <c r="T189" i="1"/>
  <c r="U189" i="1" s="1"/>
  <c r="S189" i="1" s="1"/>
  <c r="T187" i="1"/>
  <c r="U187" i="1" s="1"/>
  <c r="S187" i="1" s="1"/>
  <c r="T185" i="1"/>
  <c r="U185" i="1" s="1"/>
  <c r="S185" i="1" s="1"/>
  <c r="T183" i="1"/>
  <c r="U183" i="1" s="1"/>
  <c r="S183" i="1" s="1"/>
  <c r="T181" i="1"/>
  <c r="U181" i="1" s="1"/>
  <c r="S181" i="1" s="1"/>
  <c r="T179" i="1"/>
  <c r="U179" i="1" s="1"/>
  <c r="S179" i="1" s="1"/>
  <c r="T174" i="1"/>
  <c r="U174" i="1" s="1"/>
  <c r="S174" i="1" s="1"/>
  <c r="T170" i="1"/>
  <c r="U170" i="1" s="1"/>
  <c r="S170" i="1" s="1"/>
  <c r="T154" i="1"/>
  <c r="U154" i="1" s="1"/>
  <c r="S154" i="1" s="1"/>
  <c r="T152" i="1"/>
  <c r="U152" i="1" s="1"/>
  <c r="S152" i="1" s="1"/>
  <c r="T150" i="1"/>
  <c r="U150" i="1" s="1"/>
  <c r="S150" i="1" s="1"/>
  <c r="T148" i="1"/>
  <c r="U148" i="1" s="1"/>
  <c r="S148" i="1" s="1"/>
  <c r="T145" i="1"/>
  <c r="U145" i="1" s="1"/>
  <c r="S145" i="1" s="1"/>
  <c r="T141" i="1"/>
  <c r="U141" i="1" s="1"/>
  <c r="S141" i="1" s="1"/>
  <c r="T139" i="1"/>
  <c r="U139" i="1" s="1"/>
  <c r="S139" i="1" s="1"/>
  <c r="T137" i="1"/>
  <c r="U137" i="1" s="1"/>
  <c r="S137" i="1" s="1"/>
  <c r="T135" i="1"/>
  <c r="U135" i="1" s="1"/>
  <c r="S135" i="1" s="1"/>
  <c r="T130" i="1"/>
  <c r="U130" i="1" s="1"/>
  <c r="S130" i="1" s="1"/>
  <c r="T117" i="1"/>
  <c r="X99" i="1"/>
  <c r="X108" i="1"/>
  <c r="X114" i="1"/>
  <c r="U131" i="1"/>
  <c r="S131" i="1" s="1"/>
  <c r="X113" i="1"/>
  <c r="X98" i="1"/>
  <c r="X112" i="1"/>
  <c r="X117" i="1"/>
  <c r="X124" i="1"/>
  <c r="X115" i="1"/>
  <c r="X88" i="1"/>
  <c r="X107" i="1"/>
  <c r="X116" i="1"/>
  <c r="AA75" i="1"/>
  <c r="X121" i="1"/>
  <c r="X51" i="1"/>
  <c r="X47" i="1"/>
  <c r="X63" i="1"/>
  <c r="X67" i="1"/>
  <c r="X76" i="1"/>
  <c r="X81" i="1"/>
  <c r="AA194" i="1"/>
  <c r="X62" i="1"/>
  <c r="X66" i="1"/>
  <c r="X75" i="1"/>
  <c r="X89" i="1"/>
  <c r="X52" i="1"/>
  <c r="X50" i="1"/>
  <c r="X48" i="1"/>
  <c r="X65" i="1"/>
  <c r="X78" i="1"/>
  <c r="X74" i="1"/>
  <c r="X97" i="1"/>
  <c r="AA42" i="1"/>
  <c r="X64" i="1"/>
  <c r="T66" i="1"/>
  <c r="X68" i="1"/>
  <c r="X77" i="1"/>
  <c r="X96" i="1"/>
  <c r="X87" i="1"/>
  <c r="X106" i="1"/>
  <c r="X86" i="1"/>
  <c r="X84" i="1"/>
  <c r="X95" i="1"/>
  <c r="X79" i="1"/>
  <c r="X85" i="1"/>
  <c r="X83" i="1"/>
  <c r="X94" i="1"/>
  <c r="AA110" i="1"/>
  <c r="X82" i="1"/>
  <c r="X93" i="1"/>
  <c r="U66" i="1"/>
  <c r="S66" i="1" s="1"/>
  <c r="AA208" i="1"/>
  <c r="W208" i="1" s="1"/>
  <c r="AA207" i="1"/>
  <c r="W207" i="1" s="1"/>
  <c r="AA199" i="1"/>
  <c r="W199" i="1" s="1"/>
  <c r="AA197" i="1"/>
  <c r="AA50" i="1"/>
  <c r="W50" i="1" s="1"/>
  <c r="AA54" i="1"/>
  <c r="W54" i="1" s="1"/>
  <c r="AA53" i="1"/>
  <c r="AA41" i="1"/>
  <c r="W41" i="1" s="1"/>
  <c r="AA16" i="1"/>
  <c r="AG196" i="1"/>
  <c r="U196" i="1" s="1"/>
  <c r="S196" i="1" s="1"/>
  <c r="AA178" i="1"/>
  <c r="AA101" i="1"/>
  <c r="AA100" i="1"/>
  <c r="AA196" i="1"/>
  <c r="AA190" i="1"/>
  <c r="W190" i="1" s="1"/>
  <c r="AA188" i="1"/>
  <c r="W188" i="1" s="1"/>
  <c r="X166" i="1"/>
  <c r="P12" i="3"/>
  <c r="AA175" i="1"/>
  <c r="AG192" i="1"/>
  <c r="U192" i="1" s="1"/>
  <c r="S192" i="1" s="1"/>
  <c r="X192" i="1"/>
  <c r="AA195" i="1"/>
  <c r="AA193" i="1"/>
  <c r="AA180" i="1"/>
  <c r="W180" i="1" s="1"/>
  <c r="X170" i="1"/>
  <c r="AA145" i="1"/>
  <c r="W145" i="1" s="1"/>
  <c r="AA204" i="1"/>
  <c r="AA126" i="1"/>
  <c r="AA92" i="1"/>
  <c r="AA91" i="1"/>
  <c r="AA198" i="1"/>
  <c r="W198" i="1" s="1"/>
  <c r="AA168" i="1"/>
  <c r="AA159" i="1"/>
  <c r="W159" i="1" s="1"/>
  <c r="AA157" i="1"/>
  <c r="W157" i="1" s="1"/>
  <c r="AA70" i="1"/>
  <c r="W70" i="1" s="1"/>
  <c r="AA68" i="1"/>
  <c r="W68" i="1" s="1"/>
  <c r="AA59" i="1"/>
  <c r="W59" i="1" s="1"/>
  <c r="AA47" i="1"/>
  <c r="AA37" i="1"/>
  <c r="W37" i="1" s="1"/>
  <c r="AA36" i="1"/>
  <c r="AA35" i="1"/>
  <c r="W35" i="1" s="1"/>
  <c r="AA192" i="1"/>
  <c r="AA186" i="1"/>
  <c r="W186" i="1" s="1"/>
  <c r="AA185" i="1"/>
  <c r="W185" i="1" s="1"/>
  <c r="AA184" i="1"/>
  <c r="W184" i="1" s="1"/>
  <c r="AA172" i="1"/>
  <c r="AA171" i="1"/>
  <c r="AA201" i="1"/>
  <c r="W201" i="1" s="1"/>
  <c r="AA154" i="1"/>
  <c r="W154" i="1" s="1"/>
  <c r="AA124" i="1"/>
  <c r="AA123" i="1"/>
  <c r="AG195" i="1"/>
  <c r="X195" i="1"/>
  <c r="AA57" i="1"/>
  <c r="W57" i="1" s="1"/>
  <c r="AA29" i="1"/>
  <c r="W29" i="1" s="1"/>
  <c r="AA206" i="1"/>
  <c r="W206" i="1" s="1"/>
  <c r="AA200" i="1"/>
  <c r="W200" i="1" s="1"/>
  <c r="X196" i="1"/>
  <c r="AA182" i="1"/>
  <c r="AA162" i="1"/>
  <c r="AA138" i="1"/>
  <c r="AA121" i="1"/>
  <c r="AA103" i="1"/>
  <c r="AA82" i="1"/>
  <c r="AA77" i="1"/>
  <c r="AA67" i="1"/>
  <c r="W67" i="1" s="1"/>
  <c r="X54" i="1"/>
  <c r="AA49" i="1"/>
  <c r="X194" i="1"/>
  <c r="AA189" i="1"/>
  <c r="W189" i="1" s="1"/>
  <c r="X184" i="1"/>
  <c r="AA147" i="1"/>
  <c r="AA143" i="1"/>
  <c r="AA116" i="1"/>
  <c r="AA111" i="1"/>
  <c r="X105" i="1"/>
  <c r="AA104" i="1"/>
  <c r="AA98" i="1"/>
  <c r="AA90" i="1"/>
  <c r="AA83" i="1"/>
  <c r="AA56" i="1"/>
  <c r="W56" i="1" s="1"/>
  <c r="AA52" i="1"/>
  <c r="W52" i="1" s="1"/>
  <c r="X43" i="1"/>
  <c r="X37" i="1"/>
  <c r="AG197" i="1"/>
  <c r="AG193" i="1"/>
  <c r="X171" i="1"/>
  <c r="AA167" i="1"/>
  <c r="AA164" i="1"/>
  <c r="X104" i="1"/>
  <c r="AA78" i="1"/>
  <c r="Q10" i="3"/>
  <c r="AA71" i="1"/>
  <c r="W71" i="1" s="1"/>
  <c r="AA63" i="1"/>
  <c r="W63" i="1" s="1"/>
  <c r="AA61" i="1"/>
  <c r="W61" i="1" s="1"/>
  <c r="AA51" i="1"/>
  <c r="AA39" i="1"/>
  <c r="W39" i="1" s="1"/>
  <c r="AA33" i="1"/>
  <c r="W33" i="1" s="1"/>
  <c r="AA21" i="1"/>
  <c r="X197" i="1"/>
  <c r="AG194" i="1"/>
  <c r="X193" i="1"/>
  <c r="X188" i="1"/>
  <c r="AA176" i="1"/>
  <c r="X174" i="1"/>
  <c r="X167" i="1"/>
  <c r="AA163" i="1"/>
  <c r="W163" i="1" s="1"/>
  <c r="AA158" i="1"/>
  <c r="AA155" i="1"/>
  <c r="AA150" i="1"/>
  <c r="W150" i="1" s="1"/>
  <c r="AA117" i="1"/>
  <c r="AA113" i="1"/>
  <c r="AA109" i="1"/>
  <c r="AA102" i="1"/>
  <c r="AA95" i="1"/>
  <c r="AA87" i="1"/>
  <c r="AA85" i="1"/>
  <c r="Q20" i="3"/>
  <c r="X172" i="1"/>
  <c r="P24" i="3"/>
  <c r="P22" i="3"/>
  <c r="P20" i="3"/>
  <c r="P8" i="3"/>
  <c r="Q14" i="3"/>
  <c r="Q7" i="3"/>
  <c r="P21" i="3"/>
  <c r="P39" i="3"/>
  <c r="P10" i="3"/>
  <c r="P19" i="3"/>
  <c r="X27" i="1"/>
  <c r="AG182" i="1"/>
  <c r="X182" i="1"/>
  <c r="X168" i="1"/>
  <c r="Q29" i="3"/>
  <c r="Q28" i="3"/>
  <c r="AA46" i="1"/>
  <c r="X164" i="1"/>
  <c r="AA43" i="1"/>
  <c r="W43" i="1" s="1"/>
  <c r="Q12" i="3"/>
  <c r="Q16" i="3"/>
  <c r="AA55" i="1"/>
  <c r="P14" i="3"/>
  <c r="P34" i="3"/>
  <c r="AA58" i="1"/>
  <c r="W58" i="1" s="1"/>
  <c r="AA45" i="1"/>
  <c r="W45" i="1" s="1"/>
  <c r="Q34" i="3"/>
  <c r="Q9" i="3"/>
  <c r="AA173" i="1"/>
  <c r="AA169" i="1"/>
  <c r="AA165" i="1"/>
  <c r="AA161" i="1"/>
  <c r="W161" i="1" s="1"/>
  <c r="AA148" i="1"/>
  <c r="W148" i="1" s="1"/>
  <c r="X109" i="1"/>
  <c r="AA74" i="1"/>
  <c r="AA65" i="1"/>
  <c r="W65" i="1" s="1"/>
  <c r="AA48" i="1"/>
  <c r="W48" i="1" s="1"/>
  <c r="P28" i="3"/>
  <c r="P27" i="3"/>
  <c r="AA44" i="1"/>
  <c r="X35" i="1"/>
  <c r="AA25" i="1"/>
  <c r="W25" i="1" s="1"/>
  <c r="AA23" i="1"/>
  <c r="W23" i="1" s="1"/>
  <c r="AA20" i="1"/>
  <c r="AA191" i="1"/>
  <c r="W191" i="1" s="1"/>
  <c r="AA187" i="1"/>
  <c r="W187" i="1" s="1"/>
  <c r="AA183" i="1"/>
  <c r="W183" i="1" s="1"/>
  <c r="AA177" i="1"/>
  <c r="AA174" i="1"/>
  <c r="W174" i="1" s="1"/>
  <c r="X173" i="1"/>
  <c r="AA170" i="1"/>
  <c r="W170" i="1" s="1"/>
  <c r="X169" i="1"/>
  <c r="AA166" i="1"/>
  <c r="X165" i="1"/>
  <c r="AA156" i="1"/>
  <c r="AA203" i="1"/>
  <c r="W203" i="1" s="1"/>
  <c r="AA151" i="1"/>
  <c r="AA136" i="1"/>
  <c r="AA135" i="1"/>
  <c r="W135" i="1" s="1"/>
  <c r="Q39" i="3"/>
  <c r="Q21" i="3"/>
  <c r="AA118" i="1"/>
  <c r="X100" i="1"/>
  <c r="AA89" i="1"/>
  <c r="Q24" i="3"/>
  <c r="Q23" i="3"/>
  <c r="AA72" i="1"/>
  <c r="AA31" i="1"/>
  <c r="W31" i="1" s="1"/>
  <c r="X29" i="1"/>
  <c r="AA28" i="1"/>
  <c r="AA27" i="1"/>
  <c r="AA18" i="1"/>
  <c r="X208" i="1"/>
  <c r="X207" i="1"/>
  <c r="X206" i="1"/>
  <c r="X200" i="1"/>
  <c r="X199" i="1"/>
  <c r="X198" i="1"/>
  <c r="X190" i="1"/>
  <c r="X186" i="1"/>
  <c r="AA181" i="1"/>
  <c r="W181" i="1" s="1"/>
  <c r="X180" i="1"/>
  <c r="AA179" i="1"/>
  <c r="W179" i="1" s="1"/>
  <c r="AA153" i="1"/>
  <c r="AA140" i="1"/>
  <c r="AA139" i="1"/>
  <c r="W139" i="1" s="1"/>
  <c r="AA119" i="1"/>
  <c r="AA107" i="1"/>
  <c r="AA80" i="1"/>
  <c r="P23" i="3"/>
  <c r="AA160" i="1"/>
  <c r="AA205" i="1"/>
  <c r="W205" i="1" s="1"/>
  <c r="AA202" i="1"/>
  <c r="AA152" i="1"/>
  <c r="W152" i="1" s="1"/>
  <c r="AA149" i="1"/>
  <c r="AA141" i="1"/>
  <c r="W141" i="1" s="1"/>
  <c r="AA137" i="1"/>
  <c r="W137" i="1" s="1"/>
  <c r="AA134" i="1"/>
  <c r="AA128" i="1"/>
  <c r="AA125" i="1"/>
  <c r="AA115" i="1"/>
  <c r="AA108" i="1"/>
  <c r="AA105" i="1"/>
  <c r="X103" i="1"/>
  <c r="X101" i="1"/>
  <c r="AA99" i="1"/>
  <c r="AA96" i="1"/>
  <c r="X92" i="1"/>
  <c r="X90" i="1"/>
  <c r="AA88" i="1"/>
  <c r="AA86" i="1"/>
  <c r="AA79" i="1"/>
  <c r="X191" i="1"/>
  <c r="X189" i="1"/>
  <c r="X187" i="1"/>
  <c r="X185" i="1"/>
  <c r="X183" i="1"/>
  <c r="X181" i="1"/>
  <c r="X162" i="1"/>
  <c r="X160" i="1"/>
  <c r="X204" i="1"/>
  <c r="AG204" i="1"/>
  <c r="X202" i="1"/>
  <c r="AG202" i="1"/>
  <c r="X153" i="1"/>
  <c r="X151" i="1"/>
  <c r="X149" i="1"/>
  <c r="X138" i="1"/>
  <c r="X136" i="1"/>
  <c r="AA130" i="1"/>
  <c r="W130" i="1" s="1"/>
  <c r="X163" i="1"/>
  <c r="U161" i="1"/>
  <c r="S161" i="1" s="1"/>
  <c r="X161" i="1"/>
  <c r="X205" i="1"/>
  <c r="X203" i="1"/>
  <c r="X201" i="1"/>
  <c r="X154" i="1"/>
  <c r="X152" i="1"/>
  <c r="X150" i="1"/>
  <c r="X139" i="1"/>
  <c r="X137" i="1"/>
  <c r="X135" i="1"/>
  <c r="AA131" i="1"/>
  <c r="W131" i="1" s="1"/>
  <c r="X102" i="1"/>
  <c r="X91" i="1"/>
  <c r="AA133" i="1"/>
  <c r="AA127" i="1"/>
  <c r="AA76" i="1"/>
  <c r="AA69" i="1"/>
  <c r="W69" i="1" s="1"/>
  <c r="T56" i="1"/>
  <c r="U56" i="1" s="1"/>
  <c r="S56" i="1" s="1"/>
  <c r="T52" i="1"/>
  <c r="U52" i="1" s="1"/>
  <c r="S52" i="1" s="1"/>
  <c r="T48" i="1"/>
  <c r="U48" i="1" s="1"/>
  <c r="S48" i="1" s="1"/>
  <c r="T45" i="1"/>
  <c r="U45" i="1" s="1"/>
  <c r="S45" i="1" s="1"/>
  <c r="T41" i="1"/>
  <c r="U41" i="1" s="1"/>
  <c r="S41" i="1" s="1"/>
  <c r="AA38" i="1"/>
  <c r="T33" i="1"/>
  <c r="U33" i="1" s="1"/>
  <c r="S33" i="1" s="1"/>
  <c r="AA30" i="1"/>
  <c r="W30" i="1" s="1"/>
  <c r="T25" i="1"/>
  <c r="U25" i="1" s="1"/>
  <c r="S25" i="1" s="1"/>
  <c r="AA22" i="1"/>
  <c r="AA17" i="1"/>
  <c r="T39" i="1"/>
  <c r="U39" i="1" s="1"/>
  <c r="S39" i="1" s="1"/>
  <c r="T31" i="1"/>
  <c r="U31" i="1" s="1"/>
  <c r="S31" i="1" s="1"/>
  <c r="T23" i="1"/>
  <c r="U23" i="1" s="1"/>
  <c r="S23" i="1" s="1"/>
  <c r="AA73" i="1"/>
  <c r="AA64" i="1"/>
  <c r="W64" i="1" s="1"/>
  <c r="AA60" i="1"/>
  <c r="W60" i="1" s="1"/>
  <c r="X57" i="1"/>
  <c r="X56" i="1"/>
  <c r="T54" i="1"/>
  <c r="U54" i="1" s="1"/>
  <c r="S54" i="1" s="1"/>
  <c r="T50" i="1"/>
  <c r="U50" i="1" s="1"/>
  <c r="S50" i="1" s="1"/>
  <c r="T47" i="1"/>
  <c r="X45" i="1"/>
  <c r="T43" i="1"/>
  <c r="U43" i="1" s="1"/>
  <c r="S43" i="1" s="1"/>
  <c r="X41" i="1"/>
  <c r="T37" i="1"/>
  <c r="U37" i="1" s="1"/>
  <c r="S37" i="1" s="1"/>
  <c r="AA34" i="1"/>
  <c r="X33" i="1"/>
  <c r="T29" i="1"/>
  <c r="U29" i="1" s="1"/>
  <c r="S29" i="1" s="1"/>
  <c r="AA26" i="1"/>
  <c r="X25" i="1"/>
  <c r="T21" i="1"/>
  <c r="AA19" i="1"/>
  <c r="W19" i="1" s="1"/>
  <c r="AA40" i="1"/>
  <c r="X39" i="1"/>
  <c r="T35" i="1"/>
  <c r="U35" i="1" s="1"/>
  <c r="S35" i="1" s="1"/>
  <c r="AA32" i="1"/>
  <c r="X31" i="1"/>
  <c r="T27" i="1"/>
  <c r="AA24" i="1"/>
  <c r="X23" i="1"/>
  <c r="X36" i="1"/>
  <c r="T36" i="1"/>
  <c r="X32" i="1"/>
  <c r="T32" i="1"/>
  <c r="X28" i="1"/>
  <c r="T28" i="1"/>
  <c r="X24" i="1"/>
  <c r="T24" i="1"/>
  <c r="T20" i="1"/>
  <c r="T18" i="1"/>
  <c r="T70" i="1"/>
  <c r="U70" i="1" s="1"/>
  <c r="S70" i="1" s="1"/>
  <c r="X70" i="1"/>
  <c r="T68" i="1"/>
  <c r="U68" i="1" s="1"/>
  <c r="S68" i="1" s="1"/>
  <c r="T65" i="1"/>
  <c r="U65" i="1" s="1"/>
  <c r="S65" i="1" s="1"/>
  <c r="T63" i="1"/>
  <c r="U63" i="1" s="1"/>
  <c r="S63" i="1" s="1"/>
  <c r="T60" i="1"/>
  <c r="U60" i="1" s="1"/>
  <c r="S60" i="1" s="1"/>
  <c r="X60" i="1"/>
  <c r="T58" i="1"/>
  <c r="U58" i="1" s="1"/>
  <c r="S58" i="1" s="1"/>
  <c r="X58" i="1"/>
  <c r="X55" i="1"/>
  <c r="T55" i="1"/>
  <c r="T51" i="1"/>
  <c r="X44" i="1"/>
  <c r="T44" i="1"/>
  <c r="X40" i="1"/>
  <c r="X38" i="1"/>
  <c r="X34" i="1"/>
  <c r="T34" i="1"/>
  <c r="X30" i="1"/>
  <c r="T30" i="1"/>
  <c r="X26" i="1"/>
  <c r="T26" i="1"/>
  <c r="X22" i="1"/>
  <c r="T22" i="1"/>
  <c r="X73" i="1"/>
  <c r="X72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T64" i="1"/>
  <c r="U64" i="1" s="1"/>
  <c r="S64" i="1" s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X53" i="1"/>
  <c r="T53" i="1"/>
  <c r="T49" i="1"/>
  <c r="T46" i="1"/>
  <c r="X42" i="1"/>
  <c r="T42" i="1"/>
  <c r="T40" i="1"/>
  <c r="T38" i="1"/>
  <c r="T17" i="1"/>
  <c r="T16" i="1"/>
  <c r="T19" i="1"/>
  <c r="U19" i="1" s="1"/>
  <c r="S19" i="1" s="1"/>
  <c r="L18" i="3"/>
  <c r="S18" i="3"/>
  <c r="R18" i="3" s="1"/>
  <c r="T18" i="3"/>
  <c r="U18" i="3"/>
  <c r="V18" i="3"/>
  <c r="Q18" i="3"/>
  <c r="P18" i="3"/>
  <c r="AH13" i="1"/>
  <c r="W128" i="1" l="1"/>
  <c r="U128" i="1"/>
  <c r="S128" i="1" s="1"/>
  <c r="W108" i="1"/>
  <c r="W146" i="1"/>
  <c r="W66" i="1"/>
  <c r="W132" i="1"/>
  <c r="W16" i="1"/>
  <c r="W192" i="1"/>
  <c r="W122" i="1"/>
  <c r="U110" i="1"/>
  <c r="S110" i="1" s="1"/>
  <c r="W116" i="1"/>
  <c r="U96" i="1"/>
  <c r="S96" i="1" s="1"/>
  <c r="U115" i="1"/>
  <c r="S115" i="1" s="1"/>
  <c r="U167" i="1"/>
  <c r="S167" i="1" s="1"/>
  <c r="U111" i="1"/>
  <c r="S111" i="1" s="1"/>
  <c r="U171" i="1"/>
  <c r="S171" i="1" s="1"/>
  <c r="U85" i="1"/>
  <c r="S85" i="1" s="1"/>
  <c r="U79" i="1"/>
  <c r="S79" i="1" s="1"/>
  <c r="U88" i="1"/>
  <c r="S88" i="1" s="1"/>
  <c r="W195" i="1"/>
  <c r="U126" i="1"/>
  <c r="S126" i="1" s="1"/>
  <c r="U123" i="1"/>
  <c r="S123" i="1" s="1"/>
  <c r="W166" i="1"/>
  <c r="U124" i="1"/>
  <c r="S124" i="1" s="1"/>
  <c r="W194" i="1"/>
  <c r="U104" i="1"/>
  <c r="S104" i="1" s="1"/>
  <c r="U177" i="1"/>
  <c r="S177" i="1" s="1"/>
  <c r="U95" i="1"/>
  <c r="S95" i="1" s="1"/>
  <c r="U105" i="1"/>
  <c r="S105" i="1" s="1"/>
  <c r="U117" i="1"/>
  <c r="S117" i="1" s="1"/>
  <c r="W153" i="1"/>
  <c r="U125" i="1"/>
  <c r="S125" i="1" s="1"/>
  <c r="U173" i="1"/>
  <c r="S173" i="1" s="1"/>
  <c r="U178" i="1"/>
  <c r="S178" i="1" s="1"/>
  <c r="U108" i="1"/>
  <c r="S108" i="1" s="1"/>
  <c r="U121" i="1"/>
  <c r="S121" i="1" s="1"/>
  <c r="U118" i="1"/>
  <c r="S118" i="1" s="1"/>
  <c r="U78" i="1"/>
  <c r="S78" i="1" s="1"/>
  <c r="W78" i="1"/>
  <c r="W100" i="1"/>
  <c r="W156" i="1"/>
  <c r="W82" i="1"/>
  <c r="W42" i="1"/>
  <c r="W83" i="1"/>
  <c r="W91" i="1"/>
  <c r="W118" i="1"/>
  <c r="W134" i="1"/>
  <c r="W143" i="1"/>
  <c r="W99" i="1"/>
  <c r="W117" i="1"/>
  <c r="W197" i="1"/>
  <c r="W74" i="1"/>
  <c r="W193" i="1"/>
  <c r="W175" i="1"/>
  <c r="U75" i="1"/>
  <c r="S75" i="1" s="1"/>
  <c r="W75" i="1"/>
  <c r="U62" i="1"/>
  <c r="S62" i="1" s="1"/>
  <c r="W62" i="1"/>
  <c r="W27" i="1"/>
  <c r="W109" i="1"/>
  <c r="U165" i="1"/>
  <c r="S165" i="1" s="1"/>
  <c r="W51" i="1"/>
  <c r="W49" i="1"/>
  <c r="W47" i="1"/>
  <c r="W77" i="1"/>
  <c r="W88" i="1"/>
  <c r="W92" i="1"/>
  <c r="W101" i="1"/>
  <c r="U195" i="1"/>
  <c r="S195" i="1" s="1"/>
  <c r="W46" i="1"/>
  <c r="W102" i="1"/>
  <c r="U15" i="1"/>
  <c r="S15" i="1" s="1"/>
  <c r="W15" i="1"/>
  <c r="W53" i="1"/>
  <c r="W28" i="1"/>
  <c r="W171" i="1"/>
  <c r="W167" i="1"/>
  <c r="W121" i="1"/>
  <c r="W196" i="1"/>
  <c r="W87" i="1"/>
  <c r="W98" i="1"/>
  <c r="W107" i="1"/>
  <c r="U82" i="1"/>
  <c r="S82" i="1" s="1"/>
  <c r="W105" i="1"/>
  <c r="U197" i="1"/>
  <c r="S197" i="1" s="1"/>
  <c r="U109" i="1"/>
  <c r="S109" i="1" s="1"/>
  <c r="W169" i="1"/>
  <c r="W80" i="1"/>
  <c r="U99" i="1"/>
  <c r="S99" i="1" s="1"/>
  <c r="W113" i="1"/>
  <c r="W126" i="1"/>
  <c r="U194" i="1"/>
  <c r="S194" i="1" s="1"/>
  <c r="W176" i="1"/>
  <c r="U27" i="1"/>
  <c r="S27" i="1" s="1"/>
  <c r="W177" i="1"/>
  <c r="W182" i="1"/>
  <c r="W32" i="1"/>
  <c r="U169" i="1"/>
  <c r="S169" i="1" s="1"/>
  <c r="U86" i="1"/>
  <c r="S86" i="1" s="1"/>
  <c r="U172" i="1"/>
  <c r="S172" i="1" s="1"/>
  <c r="W95" i="1"/>
  <c r="W164" i="1"/>
  <c r="W104" i="1"/>
  <c r="W162" i="1"/>
  <c r="U175" i="1"/>
  <c r="S175" i="1" s="1"/>
  <c r="W89" i="1"/>
  <c r="U113" i="1"/>
  <c r="S113" i="1" s="1"/>
  <c r="W111" i="1"/>
  <c r="W103" i="1"/>
  <c r="U168" i="1"/>
  <c r="S168" i="1" s="1"/>
  <c r="U47" i="1"/>
  <c r="S47" i="1" s="1"/>
  <c r="U92" i="1"/>
  <c r="S92" i="1" s="1"/>
  <c r="U101" i="1"/>
  <c r="S101" i="1" s="1"/>
  <c r="W96" i="1"/>
  <c r="W115" i="1"/>
  <c r="W124" i="1"/>
  <c r="W173" i="1"/>
  <c r="U80" i="1"/>
  <c r="S80" i="1" s="1"/>
  <c r="W79" i="1"/>
  <c r="W90" i="1"/>
  <c r="U193" i="1"/>
  <c r="S193" i="1" s="1"/>
  <c r="W178" i="1"/>
  <c r="W133" i="1"/>
  <c r="W127" i="1"/>
  <c r="W86" i="1"/>
  <c r="W125" i="1"/>
  <c r="U21" i="1"/>
  <c r="S21" i="1" s="1"/>
  <c r="U164" i="1"/>
  <c r="S164" i="1" s="1"/>
  <c r="U119" i="1"/>
  <c r="S119" i="1" s="1"/>
  <c r="W172" i="1"/>
  <c r="W21" i="1"/>
  <c r="U103" i="1"/>
  <c r="S103" i="1" s="1"/>
  <c r="U90" i="1"/>
  <c r="S90" i="1" s="1"/>
  <c r="U182" i="1"/>
  <c r="S182" i="1" s="1"/>
  <c r="W110" i="1"/>
  <c r="U89" i="1"/>
  <c r="S89" i="1" s="1"/>
  <c r="U100" i="1"/>
  <c r="S100" i="1" s="1"/>
  <c r="W119" i="1"/>
  <c r="W73" i="1"/>
  <c r="W18" i="1"/>
  <c r="W24" i="1"/>
  <c r="W26" i="1"/>
  <c r="W85" i="1"/>
  <c r="W123" i="1"/>
  <c r="U116" i="1"/>
  <c r="S116" i="1" s="1"/>
  <c r="W165" i="1"/>
  <c r="U176" i="1"/>
  <c r="S176" i="1" s="1"/>
  <c r="W168" i="1"/>
  <c r="U140" i="1"/>
  <c r="S140" i="1" s="1"/>
  <c r="U151" i="1"/>
  <c r="S151" i="1" s="1"/>
  <c r="U204" i="1"/>
  <c r="S204" i="1" s="1"/>
  <c r="U162" i="1"/>
  <c r="S162" i="1" s="1"/>
  <c r="U87" i="1"/>
  <c r="S87" i="1" s="1"/>
  <c r="U98" i="1"/>
  <c r="S98" i="1" s="1"/>
  <c r="U107" i="1"/>
  <c r="S107" i="1" s="1"/>
  <c r="U138" i="1"/>
  <c r="S138" i="1" s="1"/>
  <c r="U149" i="1"/>
  <c r="S149" i="1" s="1"/>
  <c r="U202" i="1"/>
  <c r="S202" i="1" s="1"/>
  <c r="U160" i="1"/>
  <c r="S160" i="1" s="1"/>
  <c r="W138" i="1"/>
  <c r="W149" i="1"/>
  <c r="W202" i="1"/>
  <c r="W160" i="1"/>
  <c r="U133" i="1"/>
  <c r="S133" i="1" s="1"/>
  <c r="U136" i="1"/>
  <c r="S136" i="1" s="1"/>
  <c r="U147" i="1"/>
  <c r="S147" i="1" s="1"/>
  <c r="U155" i="1"/>
  <c r="S155" i="1" s="1"/>
  <c r="U158" i="1"/>
  <c r="S158" i="1" s="1"/>
  <c r="U83" i="1"/>
  <c r="S83" i="1" s="1"/>
  <c r="U91" i="1"/>
  <c r="S91" i="1" s="1"/>
  <c r="U102" i="1"/>
  <c r="S102" i="1" s="1"/>
  <c r="U134" i="1"/>
  <c r="S134" i="1" s="1"/>
  <c r="U143" i="1"/>
  <c r="S143" i="1" s="1"/>
  <c r="U153" i="1"/>
  <c r="S153" i="1" s="1"/>
  <c r="U156" i="1"/>
  <c r="S156" i="1" s="1"/>
  <c r="W136" i="1"/>
  <c r="W140" i="1"/>
  <c r="W147" i="1"/>
  <c r="W151" i="1"/>
  <c r="W155" i="1"/>
  <c r="W204" i="1"/>
  <c r="W158" i="1"/>
  <c r="U127" i="1"/>
  <c r="S127" i="1" s="1"/>
  <c r="U38" i="1"/>
  <c r="S38" i="1" s="1"/>
  <c r="U76" i="1"/>
  <c r="S76" i="1" s="1"/>
  <c r="U34" i="1"/>
  <c r="S34" i="1" s="1"/>
  <c r="U44" i="1"/>
  <c r="S44" i="1" s="1"/>
  <c r="U72" i="1"/>
  <c r="S72" i="1" s="1"/>
  <c r="U77" i="1"/>
  <c r="S77" i="1" s="1"/>
  <c r="U32" i="1"/>
  <c r="S32" i="1" s="1"/>
  <c r="W38" i="1"/>
  <c r="U16" i="1"/>
  <c r="S16" i="1" s="1"/>
  <c r="U17" i="1"/>
  <c r="S17" i="1" s="1"/>
  <c r="U42" i="1"/>
  <c r="S42" i="1" s="1"/>
  <c r="U30" i="1"/>
  <c r="S30" i="1" s="1"/>
  <c r="W34" i="1"/>
  <c r="U40" i="1"/>
  <c r="S40" i="1" s="1"/>
  <c r="U55" i="1"/>
  <c r="S55" i="1" s="1"/>
  <c r="U73" i="1"/>
  <c r="S73" i="1" s="1"/>
  <c r="W17" i="1"/>
  <c r="U28" i="1"/>
  <c r="S28" i="1" s="1"/>
  <c r="W40" i="1"/>
  <c r="W55" i="1"/>
  <c r="U49" i="1"/>
  <c r="S49" i="1" s="1"/>
  <c r="U22" i="1"/>
  <c r="S22" i="1" s="1"/>
  <c r="U20" i="1"/>
  <c r="S20" i="1" s="1"/>
  <c r="U36" i="1"/>
  <c r="S36" i="1" s="1"/>
  <c r="W76" i="1"/>
  <c r="W20" i="1"/>
  <c r="W36" i="1"/>
  <c r="U46" i="1"/>
  <c r="S46" i="1" s="1"/>
  <c r="U53" i="1"/>
  <c r="S53" i="1" s="1"/>
  <c r="U26" i="1"/>
  <c r="S26" i="1" s="1"/>
  <c r="W22" i="1"/>
  <c r="U51" i="1"/>
  <c r="S51" i="1" s="1"/>
  <c r="U74" i="1"/>
  <c r="S74" i="1" s="1"/>
  <c r="U18" i="1"/>
  <c r="S18" i="1" s="1"/>
  <c r="U24" i="1"/>
  <c r="S24" i="1" s="1"/>
  <c r="W44" i="1"/>
  <c r="W72" i="1"/>
  <c r="E3" i="6" l="1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X6" i="1" l="1"/>
  <c r="W6" i="1"/>
  <c r="V6" i="1"/>
  <c r="S6" i="1"/>
  <c r="R2" i="1"/>
  <c r="I2" i="1"/>
  <c r="O6" i="1"/>
  <c r="N6" i="1"/>
  <c r="M6" i="1"/>
  <c r="J6" i="1"/>
  <c r="P3" i="5" l="1"/>
  <c r="V13" i="1" l="1"/>
  <c r="AF13" i="1" l="1"/>
  <c r="AE13" i="1" l="1"/>
  <c r="M18" i="5" l="1"/>
  <c r="AD13" i="1" l="1"/>
  <c r="X14" i="1" s="1"/>
  <c r="X13" i="1" l="1"/>
  <c r="AG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<sst xmlns="http://schemas.openxmlformats.org/spreadsheetml/2006/main" count="1929" uniqueCount="669">
  <si>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</si>
  <si>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</si>
  <si>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</si>
  <si>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</si>
  <si>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</si>
  <si>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</si>
  <si>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</si>
  <si>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</si>
  <si>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</si>
  <si>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</si>
  <si>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</si>
  <si>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</si>
  <si>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</si>
  <si>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</si>
  <si>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</si>
  <si>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</si>
  <si>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</si>
  <si>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</si>
  <si>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</si>
  <si>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</si>
  <si>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</si>
  <si>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</si>
  <si>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</si>
  <si>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</si>
  <si>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</si>
  <si>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</si>
  <si>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</si>
  <si>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</si>
  <si>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</si>
  <si>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</si>
  <si>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</si>
  <si>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</si>
  <si>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</si>
  <si>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</si>
  <si>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</si>
  <si>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</si>
  <si>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</si>
  <si>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</si>
  <si>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</si>
  <si>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</si>
  <si>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</si>
  <si>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</si>
  <si>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</si>
  <si>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</si>
  <si>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</si>
  <si>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</si>
  <si>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</si>
  <si>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</si>
  <si>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</si>
  <si>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</si>
  <si>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</si>
  <si>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</si>
  <si>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</si>
  <si>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</si>
  <si>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</si>
  <si>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</si>
  <si>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</si>
  <si>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</si>
  <si>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204:152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</si>
  <si>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</si>
  <si>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</si>
  <si>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</si>
  <si>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</si>
  <si>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</si>
  <si>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</si>
  <si>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rtdc.l.rtdc.4017:itc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</si>
  <si>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</si>
  <si>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</si>
  <si>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</si>
  <si>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</si>
  <si>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</si>
  <si>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</si>
  <si>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</si>
  <si>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</si>
  <si>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</si>
  <si>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</si>
  <si>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</si>
  <si>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</si>
  <si>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</si>
  <si>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</si>
  <si>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</si>
  <si>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</si>
  <si>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</si>
  <si>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</si>
  <si>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</si>
  <si>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</si>
  <si>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</si>
  <si>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</si>
  <si>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</si>
  <si>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</si>
  <si>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</si>
  <si>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</si>
  <si>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</si>
  <si>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</si>
  <si>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</si>
  <si>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rtdc.l.rtdc.4026:itc</t>
  </si>
  <si>
    <t>rtdc.l.rtdc.4013:itc</t>
  </si>
  <si>
    <t>rtdc.l.rtdc.4025:itc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</si>
  <si>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</si>
  <si>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</si>
  <si>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</si>
  <si>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</si>
  <si>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</si>
  <si>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</si>
  <si>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</si>
  <si>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</si>
  <si>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</si>
  <si>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</si>
  <si>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</si>
  <si>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</si>
  <si>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</si>
  <si>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</si>
  <si>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</si>
  <si>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</si>
  <si>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</si>
  <si>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GRADE CROSSING</t>
  </si>
  <si>
    <t>Bulletin (2)</t>
  </si>
  <si>
    <t>rtdc.l.rtdc.4015:itc</t>
  </si>
  <si>
    <t>rtdc.l.rtdc.4016:itc</t>
  </si>
  <si>
    <t>EC or NWGL</t>
  </si>
  <si>
    <t>204:464</t>
  </si>
  <si>
    <t>204:462</t>
  </si>
  <si>
    <t>Omit due to TWC &lt; 1</t>
  </si>
  <si>
    <t>Reactive Enforcement (3)</t>
  </si>
  <si>
    <t>204:233293</t>
  </si>
  <si>
    <t>COOLAHAN</t>
  </si>
  <si>
    <t>rtdc.l.rtdc.4011:itc</t>
  </si>
  <si>
    <t>rtdc.l.rtdc.4012:itc</t>
  </si>
  <si>
    <t>204:233295</t>
  </si>
  <si>
    <t>rtdc.l.rtdc.4014:itc</t>
  </si>
  <si>
    <t>DE.1.0.7.0</t>
  </si>
  <si>
    <t>rtdc.l.rtdc.4031:itc</t>
  </si>
  <si>
    <t>rtdc.l.rtdc.4032:itc</t>
  </si>
  <si>
    <t>YOUNG</t>
  </si>
  <si>
    <t>CHANDLER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</si>
  <si>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</si>
  <si>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</si>
  <si>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</si>
  <si>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</si>
  <si>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</si>
  <si>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</si>
  <si>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</si>
  <si>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</si>
  <si>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</si>
  <si>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</si>
  <si>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</si>
  <si>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204:446</t>
  </si>
  <si>
    <t>204:455</t>
  </si>
  <si>
    <t>:.+((SYSTEM_STATE.+slice.+state.+changed )|(ment ac)|(system.+state.+changed )|(\|lc)|(penalty)|(\[timeout)|(PRM\|1\|D)|(kpr)|(kdp))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</si>
  <si>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</si>
  <si>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</si>
  <si>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</si>
  <si>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</si>
  <si>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</si>
  <si>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</si>
  <si>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204:233315</t>
  </si>
  <si>
    <t>204:471</t>
  </si>
  <si>
    <t>204:232989</t>
  </si>
  <si>
    <t>204:147</t>
  </si>
  <si>
    <t>204:161</t>
  </si>
  <si>
    <t>204:453</t>
  </si>
  <si>
    <t>204:233289</t>
  </si>
  <si>
    <t>204:232969</t>
  </si>
  <si>
    <t>204:232994</t>
  </si>
  <si>
    <t>204:449</t>
  </si>
  <si>
    <t>204:132</t>
  </si>
  <si>
    <t>204:149</t>
  </si>
  <si>
    <t>204:145</t>
  </si>
  <si>
    <t>204:440</t>
  </si>
  <si>
    <t>204:141</t>
  </si>
  <si>
    <t>204:233286</t>
  </si>
  <si>
    <t>204:232996</t>
  </si>
  <si>
    <t>204:233299</t>
  </si>
  <si>
    <t>STORY</t>
  </si>
  <si>
    <t>Early arrival</t>
  </si>
  <si>
    <t>204:233312</t>
  </si>
  <si>
    <t>204:136</t>
  </si>
  <si>
    <t>204:232959</t>
  </si>
  <si>
    <t>300:58929</t>
  </si>
  <si>
    <t>204:488</t>
  </si>
  <si>
    <t>204:480</t>
  </si>
  <si>
    <t>-</t>
  </si>
  <si>
    <t>Decreasing Mileposts (2</t>
  </si>
  <si>
    <t>OUN</t>
  </si>
  <si>
    <t>STURGEON</t>
  </si>
  <si>
    <t>rtdc.l.rtdc.4040:itc</t>
  </si>
  <si>
    <t>SWANSON</t>
  </si>
  <si>
    <t>HELVIE</t>
  </si>
  <si>
    <t>HAITHCOX</t>
  </si>
  <si>
    <t>ISHMAEL</t>
  </si>
  <si>
    <t>315-08</t>
  </si>
  <si>
    <t>302-09</t>
  </si>
  <si>
    <t>KILLIO</t>
  </si>
  <si>
    <t>204:167</t>
  </si>
  <si>
    <t>204:169</t>
  </si>
  <si>
    <t>204:232983</t>
  </si>
  <si>
    <t>204:469</t>
  </si>
  <si>
    <t>204:232971</t>
  </si>
  <si>
    <t>204:437</t>
  </si>
  <si>
    <t>204:458</t>
  </si>
  <si>
    <t>300:58596</t>
  </si>
  <si>
    <t>204:684</t>
  </si>
  <si>
    <t>204:976</t>
  </si>
  <si>
    <t>242-09</t>
  </si>
  <si>
    <t>204:139</t>
  </si>
  <si>
    <t>204:493</t>
  </si>
  <si>
    <t>204:233298</t>
  </si>
  <si>
    <t>204:232978</t>
  </si>
  <si>
    <t>204:232980</t>
  </si>
  <si>
    <t>204:467</t>
  </si>
  <si>
    <t>204:233306</t>
  </si>
  <si>
    <t>204:233327</t>
  </si>
  <si>
    <t>240-09</t>
  </si>
  <si>
    <t>243-09</t>
  </si>
  <si>
    <t>204:489</t>
  </si>
  <si>
    <t>244-09</t>
  </si>
  <si>
    <t>309-09</t>
  </si>
  <si>
    <t>311-09</t>
  </si>
  <si>
    <t>313-09</t>
  </si>
  <si>
    <t>315-09</t>
  </si>
  <si>
    <t>204:971</t>
  </si>
  <si>
    <t>300:58608</t>
  </si>
  <si>
    <t>300:58914</t>
  </si>
  <si>
    <t>300:58911</t>
  </si>
  <si>
    <t>ROCHA</t>
  </si>
  <si>
    <t>BRANNON</t>
  </si>
  <si>
    <t>LEVIN</t>
  </si>
  <si>
    <t>ROBINSON</t>
  </si>
  <si>
    <t>CHANDLE</t>
  </si>
  <si>
    <t>Wi-MAX outage</t>
  </si>
  <si>
    <t>Did not initialize</t>
  </si>
  <si>
    <t>204:163</t>
  </si>
  <si>
    <t>204:233288</t>
  </si>
  <si>
    <t>204:232990</t>
  </si>
  <si>
    <t>204:748</t>
  </si>
  <si>
    <t>204:457</t>
  </si>
  <si>
    <t>204:447</t>
  </si>
  <si>
    <t>204:233310</t>
  </si>
  <si>
    <t>204:233314</t>
  </si>
  <si>
    <t>204:233319</t>
  </si>
  <si>
    <t>204:138</t>
  </si>
  <si>
    <t>204:233021</t>
  </si>
  <si>
    <t>204:233320</t>
  </si>
  <si>
    <t>204:233019</t>
  </si>
  <si>
    <t>204:127</t>
  </si>
  <si>
    <t>204:497</t>
  </si>
  <si>
    <t>204:154430</t>
  </si>
  <si>
    <t>204:157578</t>
  </si>
  <si>
    <t>204:233282</t>
  </si>
  <si>
    <t>204:675</t>
  </si>
  <si>
    <t>204:969</t>
  </si>
  <si>
    <t>300:58615</t>
  </si>
  <si>
    <t>204:689</t>
  </si>
  <si>
    <t>300:58937</t>
  </si>
  <si>
    <t>300:58587</t>
  </si>
  <si>
    <t>300:58585</t>
  </si>
  <si>
    <t>204:694</t>
  </si>
  <si>
    <t>300:58598</t>
  </si>
  <si>
    <t>300:58645</t>
  </si>
  <si>
    <t>204:677</t>
  </si>
  <si>
    <t>300:58589</t>
  </si>
  <si>
    <t>204:698</t>
  </si>
  <si>
    <t>300:58636</t>
  </si>
  <si>
    <t>204:978</t>
  </si>
  <si>
    <t>rtdc.l.rtdc.4043:itc</t>
  </si>
  <si>
    <t>rtdc.l.rtdc.4044:itc</t>
  </si>
  <si>
    <t>rtdc.l.rtdc.4009:itc</t>
  </si>
  <si>
    <t>MAELZER</t>
  </si>
  <si>
    <t>STAMBAUGH</t>
  </si>
  <si>
    <t>rtdc.l.rtdc.4037:itc</t>
  </si>
  <si>
    <t>MOSES</t>
  </si>
  <si>
    <t>ISHMAE</t>
  </si>
  <si>
    <t xml:space="preserve">baselines for EC: </t>
  </si>
  <si>
    <t>baselines for NWES:</t>
  </si>
  <si>
    <t>M - F = 47 trips</t>
  </si>
  <si>
    <t>Sat - Sun = 33 Trips</t>
  </si>
  <si>
    <t>102-11</t>
  </si>
  <si>
    <t>204:232677</t>
  </si>
  <si>
    <t>104-11</t>
  </si>
  <si>
    <t>204:232696</t>
  </si>
  <si>
    <t>105-11</t>
  </si>
  <si>
    <t>204:19199</t>
  </si>
  <si>
    <t>106-11</t>
  </si>
  <si>
    <t>204:232637</t>
  </si>
  <si>
    <t>107-11</t>
  </si>
  <si>
    <t>204:233300</t>
  </si>
  <si>
    <t>108-11</t>
  </si>
  <si>
    <t>204:172</t>
  </si>
  <si>
    <t>109-11</t>
  </si>
  <si>
    <t>110-11</t>
  </si>
  <si>
    <t>204:232973</t>
  </si>
  <si>
    <t>111-11</t>
  </si>
  <si>
    <t>112-11</t>
  </si>
  <si>
    <t>204:232991</t>
  </si>
  <si>
    <t>113-11</t>
  </si>
  <si>
    <t>114-11</t>
  </si>
  <si>
    <t>115-11</t>
  </si>
  <si>
    <t>204:755</t>
  </si>
  <si>
    <t>116-11</t>
  </si>
  <si>
    <t>117-11</t>
  </si>
  <si>
    <t>204:426</t>
  </si>
  <si>
    <t>204:233301</t>
  </si>
  <si>
    <t>118-11</t>
  </si>
  <si>
    <t>204:187</t>
  </si>
  <si>
    <t>119-11</t>
  </si>
  <si>
    <t>204:734</t>
  </si>
  <si>
    <t>204:233302</t>
  </si>
  <si>
    <t>120-11</t>
  </si>
  <si>
    <t>121-11</t>
  </si>
  <si>
    <t>204:233280</t>
  </si>
  <si>
    <t>122-11</t>
  </si>
  <si>
    <t>123-11</t>
  </si>
  <si>
    <t>124-11</t>
  </si>
  <si>
    <t>125-11</t>
  </si>
  <si>
    <t>126-11</t>
  </si>
  <si>
    <t>204:232984</t>
  </si>
  <si>
    <t>127-11</t>
  </si>
  <si>
    <t>204:466</t>
  </si>
  <si>
    <t>128-11</t>
  </si>
  <si>
    <t>204:134</t>
  </si>
  <si>
    <t>129-11</t>
  </si>
  <si>
    <t>130-11</t>
  </si>
  <si>
    <t>204:232975</t>
  </si>
  <si>
    <t>131-11</t>
  </si>
  <si>
    <t>132-11</t>
  </si>
  <si>
    <t>133-11</t>
  </si>
  <si>
    <t>134-11</t>
  </si>
  <si>
    <t>135-11</t>
  </si>
  <si>
    <t>136-11</t>
  </si>
  <si>
    <t>204:154010</t>
  </si>
  <si>
    <t>204:157648</t>
  </si>
  <si>
    <t>137-11</t>
  </si>
  <si>
    <t>138-11</t>
  </si>
  <si>
    <t>139-11</t>
  </si>
  <si>
    <t>204:154961</t>
  </si>
  <si>
    <t>140-11</t>
  </si>
  <si>
    <t>204:233104</t>
  </si>
  <si>
    <t>141-11</t>
  </si>
  <si>
    <t>142-11</t>
  </si>
  <si>
    <t>204:233026</t>
  </si>
  <si>
    <t>204:160</t>
  </si>
  <si>
    <t>143-11</t>
  </si>
  <si>
    <t>204:233323</t>
  </si>
  <si>
    <t>144-11</t>
  </si>
  <si>
    <t>145-11</t>
  </si>
  <si>
    <t>146-11</t>
  </si>
  <si>
    <t>204:232986</t>
  </si>
  <si>
    <t>147-11</t>
  </si>
  <si>
    <t>148-11</t>
  </si>
  <si>
    <t>204:232979</t>
  </si>
  <si>
    <t>204:170</t>
  </si>
  <si>
    <t>149-11</t>
  </si>
  <si>
    <t>204:216847</t>
  </si>
  <si>
    <t>151-11</t>
  </si>
  <si>
    <t>204:1501</t>
  </si>
  <si>
    <t>152-11</t>
  </si>
  <si>
    <t>204:232967</t>
  </si>
  <si>
    <t>153-11</t>
  </si>
  <si>
    <t>155-11</t>
  </si>
  <si>
    <t>156-11</t>
  </si>
  <si>
    <t>157-11</t>
  </si>
  <si>
    <t>158-11</t>
  </si>
  <si>
    <t>204:232972</t>
  </si>
  <si>
    <t>204:1184</t>
  </si>
  <si>
    <t>159-11</t>
  </si>
  <si>
    <t>204:442</t>
  </si>
  <si>
    <t>204:154427</t>
  </si>
  <si>
    <t>160-11</t>
  </si>
  <si>
    <t>204:127851</t>
  </si>
  <si>
    <t>161-11</t>
  </si>
  <si>
    <t>204:158002</t>
  </si>
  <si>
    <t>162-11</t>
  </si>
  <si>
    <t>204:157773</t>
  </si>
  <si>
    <t>164-11</t>
  </si>
  <si>
    <t>204:233069</t>
  </si>
  <si>
    <t>204:1087</t>
  </si>
  <si>
    <t>165-11</t>
  </si>
  <si>
    <t>204:157708</t>
  </si>
  <si>
    <t>166-11</t>
  </si>
  <si>
    <t>204:157481</t>
  </si>
  <si>
    <t>204:165</t>
  </si>
  <si>
    <t>167-11</t>
  </si>
  <si>
    <t>204:444</t>
  </si>
  <si>
    <t>204:157851</t>
  </si>
  <si>
    <t>168-11</t>
  </si>
  <si>
    <t>204:157627</t>
  </si>
  <si>
    <t>170-11</t>
  </si>
  <si>
    <t>204:157666</t>
  </si>
  <si>
    <t>171-11</t>
  </si>
  <si>
    <t>204:157896</t>
  </si>
  <si>
    <t>173-11</t>
  </si>
  <si>
    <t>174-11</t>
  </si>
  <si>
    <t>175-11</t>
  </si>
  <si>
    <t>204:154524</t>
  </si>
  <si>
    <t>176-11</t>
  </si>
  <si>
    <t>204:157594</t>
  </si>
  <si>
    <t>177-11</t>
  </si>
  <si>
    <t>204:157724</t>
  </si>
  <si>
    <t>178-11</t>
  </si>
  <si>
    <t>204:157494</t>
  </si>
  <si>
    <t>204:365</t>
  </si>
  <si>
    <t>179-11</t>
  </si>
  <si>
    <t>204:157673</t>
  </si>
  <si>
    <t>180-11</t>
  </si>
  <si>
    <t>204:157446</t>
  </si>
  <si>
    <t>183-11</t>
  </si>
  <si>
    <t>204:154415</t>
  </si>
  <si>
    <t>184-11</t>
  </si>
  <si>
    <t>204:157435</t>
  </si>
  <si>
    <t>186-11</t>
  </si>
  <si>
    <t>204:153994</t>
  </si>
  <si>
    <t>187-11</t>
  </si>
  <si>
    <t>204:154435</t>
  </si>
  <si>
    <t>188-11</t>
  </si>
  <si>
    <t>204:154016</t>
  </si>
  <si>
    <t>204:356</t>
  </si>
  <si>
    <t>189-11</t>
  </si>
  <si>
    <t>204:158324</t>
  </si>
  <si>
    <t>190-11</t>
  </si>
  <si>
    <t>204:154009</t>
  </si>
  <si>
    <t>191-11</t>
  </si>
  <si>
    <t>204:655</t>
  </si>
  <si>
    <t>204:157775</t>
  </si>
  <si>
    <t>192-11</t>
  </si>
  <si>
    <t>204:157550</t>
  </si>
  <si>
    <t>193-11</t>
  </si>
  <si>
    <t>195-11</t>
  </si>
  <si>
    <t>204:157996</t>
  </si>
  <si>
    <t>196-11</t>
  </si>
  <si>
    <t>204:157975</t>
  </si>
  <si>
    <t>197-11</t>
  </si>
  <si>
    <t>204:157678</t>
  </si>
  <si>
    <t>198-11</t>
  </si>
  <si>
    <t>204:157445</t>
  </si>
  <si>
    <t>204:191</t>
  </si>
  <si>
    <t>199-11</t>
  </si>
  <si>
    <t>204:158202</t>
  </si>
  <si>
    <t>201-11</t>
  </si>
  <si>
    <t>204:672</t>
  </si>
  <si>
    <t>204:157669</t>
  </si>
  <si>
    <t>203-11</t>
  </si>
  <si>
    <t>204:160293</t>
  </si>
  <si>
    <t>204-11</t>
  </si>
  <si>
    <t>204:251</t>
  </si>
  <si>
    <t>205-11</t>
  </si>
  <si>
    <t>204:233366</t>
  </si>
  <si>
    <t>206-11</t>
  </si>
  <si>
    <t>207-11</t>
  </si>
  <si>
    <t>204:1496</t>
  </si>
  <si>
    <t>209-11</t>
  </si>
  <si>
    <t>204:1171</t>
  </si>
  <si>
    <t>211-11</t>
  </si>
  <si>
    <t>204:517</t>
  </si>
  <si>
    <t>204:233316</t>
  </si>
  <si>
    <t>212-11</t>
  </si>
  <si>
    <t>213-11</t>
  </si>
  <si>
    <t>204:233272</t>
  </si>
  <si>
    <t>214-11</t>
  </si>
  <si>
    <t>215-11</t>
  </si>
  <si>
    <t>204:1150</t>
  </si>
  <si>
    <t>204:233360</t>
  </si>
  <si>
    <t>216-11</t>
  </si>
  <si>
    <t>217-11</t>
  </si>
  <si>
    <t>204:539</t>
  </si>
  <si>
    <t>219-11</t>
  </si>
  <si>
    <t>204:233274</t>
  </si>
  <si>
    <t>220-11</t>
  </si>
  <si>
    <t>204:232955</t>
  </si>
  <si>
    <t>204:181</t>
  </si>
  <si>
    <t>222-11</t>
  </si>
  <si>
    <t>204:233040</t>
  </si>
  <si>
    <t>223-11</t>
  </si>
  <si>
    <t>204:233206</t>
  </si>
  <si>
    <t>224-11</t>
  </si>
  <si>
    <t>225-11</t>
  </si>
  <si>
    <t>226-11</t>
  </si>
  <si>
    <t>227-11</t>
  </si>
  <si>
    <t>228-11</t>
  </si>
  <si>
    <t>204:221</t>
  </si>
  <si>
    <t>229-11</t>
  </si>
  <si>
    <t>230-11</t>
  </si>
  <si>
    <t>232-11</t>
  </si>
  <si>
    <t>234-11</t>
  </si>
  <si>
    <t>236-11</t>
  </si>
  <si>
    <t>237-11</t>
  </si>
  <si>
    <t>238-11</t>
  </si>
  <si>
    <t>239-11</t>
  </si>
  <si>
    <t>240-11</t>
  </si>
  <si>
    <t>241-11</t>
  </si>
  <si>
    <t>204:482</t>
  </si>
  <si>
    <t>242-11</t>
  </si>
  <si>
    <t>243-11</t>
  </si>
  <si>
    <t>244-11</t>
  </si>
  <si>
    <t>307-11</t>
  </si>
  <si>
    <t>204:781</t>
  </si>
  <si>
    <t>311-11</t>
  </si>
  <si>
    <t>300:22697</t>
  </si>
  <si>
    <t>315-11</t>
  </si>
  <si>
    <t>300:23308</t>
  </si>
  <si>
    <t>50-11</t>
  </si>
  <si>
    <t>300:24559</t>
  </si>
  <si>
    <t>300:24053</t>
  </si>
  <si>
    <t>52-11</t>
  </si>
  <si>
    <t>300:24409</t>
  </si>
  <si>
    <t>300:24282</t>
  </si>
  <si>
    <t>800-11</t>
  </si>
  <si>
    <t>300:58641</t>
  </si>
  <si>
    <t>204:838</t>
  </si>
  <si>
    <t>801-11</t>
  </si>
  <si>
    <t>204:1142</t>
  </si>
  <si>
    <t>300:58941</t>
  </si>
  <si>
    <t>802-11</t>
  </si>
  <si>
    <t>300:58634</t>
  </si>
  <si>
    <t>204:803</t>
  </si>
  <si>
    <t>803-11</t>
  </si>
  <si>
    <t>300:58888</t>
  </si>
  <si>
    <t>804-11</t>
  </si>
  <si>
    <t>204:713</t>
  </si>
  <si>
    <t>805-11</t>
  </si>
  <si>
    <t>204:1091</t>
  </si>
  <si>
    <t>300:58944</t>
  </si>
  <si>
    <t>806-11</t>
  </si>
  <si>
    <t>300:58632</t>
  </si>
  <si>
    <t>807-11</t>
  </si>
  <si>
    <t>300:58922</t>
  </si>
  <si>
    <t>808-11</t>
  </si>
  <si>
    <t>809-11</t>
  </si>
  <si>
    <t>810-11</t>
  </si>
  <si>
    <t>204:813</t>
  </si>
  <si>
    <t>811-11</t>
  </si>
  <si>
    <t>204:993</t>
  </si>
  <si>
    <t>300:58873</t>
  </si>
  <si>
    <t>812-11</t>
  </si>
  <si>
    <t>300:58557</t>
  </si>
  <si>
    <t>300:57316</t>
  </si>
  <si>
    <t>813-11</t>
  </si>
  <si>
    <t>300:58903</t>
  </si>
  <si>
    <t>814-11</t>
  </si>
  <si>
    <t>815-11</t>
  </si>
  <si>
    <t>816-11</t>
  </si>
  <si>
    <t>817-11</t>
  </si>
  <si>
    <t>204:962</t>
  </si>
  <si>
    <t>818-11</t>
  </si>
  <si>
    <t>300:58591</t>
  </si>
  <si>
    <t>300:57322</t>
  </si>
  <si>
    <t>819-11</t>
  </si>
  <si>
    <t>204:986</t>
  </si>
  <si>
    <t>820-11</t>
  </si>
  <si>
    <t>300:58602</t>
  </si>
  <si>
    <t>821-11</t>
  </si>
  <si>
    <t>823-11</t>
  </si>
  <si>
    <t>204:981</t>
  </si>
  <si>
    <t>300:58997</t>
  </si>
  <si>
    <t>824-11</t>
  </si>
  <si>
    <t>300:58666</t>
  </si>
  <si>
    <t>300:32219</t>
  </si>
  <si>
    <t>825-11</t>
  </si>
  <si>
    <t>204:1065</t>
  </si>
  <si>
    <t>300:58993</t>
  </si>
  <si>
    <t>826-11</t>
  </si>
  <si>
    <t>300:58670</t>
  </si>
  <si>
    <t>827-11</t>
  </si>
  <si>
    <t>300:58905</t>
  </si>
  <si>
    <t>828-11</t>
  </si>
  <si>
    <t>829-11</t>
  </si>
  <si>
    <t>204:1139</t>
  </si>
  <si>
    <t>300:58954</t>
  </si>
  <si>
    <t>830-11</t>
  </si>
  <si>
    <t>204:825</t>
  </si>
  <si>
    <t>831-11</t>
  </si>
  <si>
    <t>204:972</t>
  </si>
  <si>
    <t>300:58897</t>
  </si>
  <si>
    <t>832-11</t>
  </si>
  <si>
    <t>300:58579</t>
  </si>
  <si>
    <t>833-11</t>
  </si>
  <si>
    <t>204:1119</t>
  </si>
  <si>
    <t>834-11</t>
  </si>
  <si>
    <t>204:845</t>
  </si>
  <si>
    <t>835-11</t>
  </si>
  <si>
    <t>836-11</t>
  </si>
  <si>
    <t>300:58628</t>
  </si>
  <si>
    <t>204:633</t>
  </si>
  <si>
    <t>837-11</t>
  </si>
  <si>
    <t>838-11</t>
  </si>
  <si>
    <t>300:58624</t>
  </si>
  <si>
    <t>204:850</t>
  </si>
  <si>
    <t>839-11</t>
  </si>
  <si>
    <t>204:923</t>
  </si>
  <si>
    <t>300:58961</t>
  </si>
  <si>
    <t>840-11</t>
  </si>
  <si>
    <t>300:58621</t>
  </si>
  <si>
    <t>841-11</t>
  </si>
  <si>
    <t>204:1128</t>
  </si>
  <si>
    <t>300:58931</t>
  </si>
  <si>
    <t>842-11</t>
  </si>
  <si>
    <t>300:58688</t>
  </si>
  <si>
    <t>843-11</t>
  </si>
  <si>
    <t>204:1123</t>
  </si>
  <si>
    <t>300:59010</t>
  </si>
  <si>
    <t>844-11</t>
  </si>
  <si>
    <t>300:57755</t>
  </si>
  <si>
    <t>845-11</t>
  </si>
  <si>
    <t>847-11</t>
  </si>
  <si>
    <t>204:958</t>
  </si>
  <si>
    <t>904-11</t>
  </si>
  <si>
    <t>300:23569</t>
  </si>
  <si>
    <t>204:682</t>
  </si>
  <si>
    <t>906-11</t>
  </si>
  <si>
    <t>300:28791</t>
  </si>
  <si>
    <t>908-11</t>
  </si>
  <si>
    <t>300:58619</t>
  </si>
  <si>
    <t>300:21606</t>
  </si>
  <si>
    <t>rtdc.l.rtdc.4028:itc</t>
  </si>
  <si>
    <t>rtdc.l.rtdc.4042:itc</t>
  </si>
  <si>
    <t>rtdc.l.rtdc.4021:itc</t>
  </si>
  <si>
    <t>rtdc.l.rtdc.4041:itc</t>
  </si>
  <si>
    <t>rtdc.l.rtdc.4004:itc</t>
  </si>
  <si>
    <t>103-11</t>
  </si>
  <si>
    <t>STARKS</t>
  </si>
  <si>
    <t>MALAVE</t>
  </si>
  <si>
    <t>STRICKLAND</t>
  </si>
  <si>
    <t>SANTIZO</t>
  </si>
  <si>
    <t>YORK</t>
  </si>
  <si>
    <t>rtdc.l.rtdc.4038:itc</t>
  </si>
  <si>
    <t>rtdc.l.rtdc.4003:itc</t>
  </si>
  <si>
    <t>SHOOK</t>
  </si>
  <si>
    <t>NEWELL</t>
  </si>
  <si>
    <t>56-11</t>
  </si>
  <si>
    <t>182-11</t>
  </si>
  <si>
    <t>SUR</t>
  </si>
  <si>
    <t>WEBSTER</t>
  </si>
  <si>
    <t>210-11</t>
  </si>
  <si>
    <t>63-11</t>
  </si>
  <si>
    <t>LOZA</t>
  </si>
  <si>
    <t>303-11</t>
  </si>
  <si>
    <t>313-11</t>
  </si>
  <si>
    <t>OCS Power Outage</t>
  </si>
  <si>
    <t>Onboard in-route failure</t>
  </si>
  <si>
    <t>Poor GPS at DUS</t>
  </si>
  <si>
    <t>CP 61st WIU was not beaconing messages</t>
  </si>
  <si>
    <t>78th 4N was stuck at STOP</t>
  </si>
  <si>
    <t>150-11</t>
  </si>
  <si>
    <t>154-11</t>
  </si>
  <si>
    <t>163-11</t>
  </si>
  <si>
    <t>169-11</t>
  </si>
  <si>
    <t>172-11</t>
  </si>
  <si>
    <t>181-11</t>
  </si>
  <si>
    <t>185-11</t>
  </si>
  <si>
    <t>194-11</t>
  </si>
  <si>
    <t>200-11</t>
  </si>
  <si>
    <t>202-11</t>
  </si>
  <si>
    <t>208-11</t>
  </si>
  <si>
    <t>218-11</t>
  </si>
  <si>
    <t>221-11</t>
  </si>
  <si>
    <t>231-11</t>
  </si>
  <si>
    <t>233-11</t>
  </si>
  <si>
    <t>235-11</t>
  </si>
  <si>
    <t>101-11</t>
  </si>
  <si>
    <t>822-11</t>
  </si>
  <si>
    <t>Replaced by 823-11</t>
  </si>
  <si>
    <t>Annulled?</t>
  </si>
  <si>
    <t>CRMFN 6S was never cleared by dispatcher, TMDS issue?</t>
  </si>
  <si>
    <t>40th 4S was stop, eventually cleared</t>
  </si>
  <si>
    <t>EC1497RH 143-1T 1N was STOP, traffic conditions</t>
  </si>
  <si>
    <t>61st 2S was STOP, eventually cleared</t>
  </si>
  <si>
    <t>Overspeed</t>
  </si>
  <si>
    <t>Went active too close to Westminster 2S</t>
  </si>
  <si>
    <t>Replaced by 216-11</t>
  </si>
  <si>
    <t>Trip was only to/from 61st due to an OCS Power Outage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</si>
</sst>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2" borderId="13" xfId="0" applyNumberFormat="1" applyFill="1" applyBorder="1"/>
    <xf numFmtId="0" fontId="0" fillId="0" borderId="16" xfId="0" applyNumberFormat="1" applyBorder="1"/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" fontId="0" fillId="0" borderId="5" xfId="0" quotePrefix="1" applyNumberFormat="1" applyFill="1" applyBorder="1" applyAlignment="1">
      <alignment horizontal="left"/>
    </xf>
    <xf numFmtId="169" fontId="0" fillId="0" borderId="17" xfId="0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142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08"/>
  <sheetViews>
    <sheetView tabSelected="1" zoomScaleNormal="100" workbookViewId="0"/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27" customWidth="1"/>
    <col min="22" max="22" width="5.7109375" style="113" customWidth="1"/>
    <col min="23" max="23" width="3.85546875" style="23" customWidth="1"/>
    <col min="24" max="24" width="5.28515625" style="131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06" customWidth="1"/>
    <col min="32" max="32" width="6.28515625" style="103" customWidth="1"/>
    <col min="33" max="33" width="5.42578125" customWidth="1"/>
    <col min="34" max="34" width="5" style="109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142</v>
      </c>
      <c r="J1" s="46"/>
      <c r="K1" s="31"/>
      <c r="L1" s="31"/>
      <c r="M1" s="45"/>
      <c r="N1" s="46"/>
      <c r="O1" s="2"/>
      <c r="P1" s="2"/>
      <c r="R1" s="43" t="s">
        <v>143</v>
      </c>
      <c r="S1" s="46"/>
      <c r="T1" s="31"/>
      <c r="U1" s="134"/>
      <c r="V1" s="45"/>
      <c r="W1" s="46"/>
      <c r="X1" s="127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87">
        <f>Variables!$A$2</f>
        <v>42593</v>
      </c>
      <c r="J2" s="88"/>
      <c r="K2" s="89"/>
      <c r="L2" s="89"/>
      <c r="M2" s="90" t="s">
        <v>8</v>
      </c>
      <c r="N2" s="91"/>
      <c r="O2" s="92"/>
      <c r="P2" s="2"/>
      <c r="R2" s="87">
        <f>Variables!$A$2</f>
        <v>42593</v>
      </c>
      <c r="S2" s="88"/>
      <c r="T2" s="89"/>
      <c r="U2" s="135"/>
      <c r="V2" s="111" t="s">
        <v>8</v>
      </c>
      <c r="W2" s="91"/>
      <c r="X2" s="128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93" t="s">
        <v>10</v>
      </c>
      <c r="J3" s="94"/>
      <c r="K3" s="95"/>
      <c r="L3" s="95"/>
      <c r="M3" s="47" t="s">
        <v>11</v>
      </c>
      <c r="N3" s="48" t="s">
        <v>12</v>
      </c>
      <c r="O3" s="3" t="s">
        <v>13</v>
      </c>
      <c r="P3" s="2"/>
      <c r="R3" s="93" t="s">
        <v>10</v>
      </c>
      <c r="S3" s="94"/>
      <c r="T3" s="95"/>
      <c r="U3" s="136"/>
      <c r="V3" s="47" t="s">
        <v>11</v>
      </c>
      <c r="W3" s="48" t="s">
        <v>12</v>
      </c>
      <c r="X3" s="129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96" t="s">
        <v>14</v>
      </c>
      <c r="J4" s="60">
        <f>SUM(J5:J7)</f>
        <v>143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96" t="s">
        <v>14</v>
      </c>
      <c r="S4" s="60">
        <f>SUM(S5:S7)</f>
        <v>45</v>
      </c>
      <c r="T4" s="49"/>
      <c r="U4" s="137"/>
      <c r="V4" s="50" t="s">
        <v>15</v>
      </c>
      <c r="W4" s="48" t="s">
        <v>15</v>
      </c>
      <c r="X4" s="129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96" t="s">
        <v>17</v>
      </c>
      <c r="J5" s="60">
        <f>COUNTIFS($N$13:$N$9528,"&gt;0",$AG$13:$AG$9528,I1)</f>
        <v>118</v>
      </c>
      <c r="K5" s="49"/>
      <c r="L5" s="49"/>
      <c r="M5" s="50">
        <f>AVERAGEIFS($N$13:$N$9528,$AG$13:$AG$9528,I1)</f>
        <v>45.290960452333884</v>
      </c>
      <c r="N5" s="48">
        <f t="array" ref="N5">MIN(IF($AG$13:$AG$9528=I1,IF(ISNUMBER($N$13:$N$9528),IF($N$13:$N$9528&gt;0,$N$13:$N$9528))))</f>
        <v>2.9499999980907887</v>
      </c>
      <c r="O5" s="3">
        <f t="array" ref="O5">MAX(IF($AG$13:$AG$9528=I1,IF(ISNUMBER($N$13:$N$9528),IF($N$13:$N$9528&gt;0,$N$13:$N$9528))))</f>
        <v>146.83333333348855</v>
      </c>
      <c r="P5" s="2"/>
      <c r="R5" s="96" t="s">
        <v>17</v>
      </c>
      <c r="S5" s="60">
        <f>COUNTIFS($N$13:$N$9528,"&gt;0",$AG$13:$AG$9528,R1)</f>
        <v>41</v>
      </c>
      <c r="T5" s="49"/>
      <c r="U5" s="137"/>
      <c r="V5" s="50">
        <f>AVERAGEIFS($N$13:$N$9528,$AG$13:$AG$9528,R1)</f>
        <v>20.134959348715931</v>
      </c>
      <c r="W5" s="48">
        <f t="array" ref="W5">MIN(IF($AG$13:$AG$9528=R1,IF(ISNUMBER($N$13:$N$9528),IF($N$13:$N$9528&gt;0,$N$13:$N$9528))))</f>
        <v>12.783333335537463</v>
      </c>
      <c r="X5" s="129">
        <f t="array" ref="X5">MAX(IF($AG$13:$AG$9528=R1,IF(ISNUMBER($N$13:$N$9528),IF($N$13:$N$9528&gt;0,$N$13:$N$9528))))</f>
        <v>38.049999999348074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97" t="s">
        <v>43</v>
      </c>
      <c r="J6" s="60">
        <f>COUNT($O$13:$O$228)</f>
        <v>0</v>
      </c>
      <c r="K6" s="49"/>
      <c r="L6" s="49"/>
      <c r="M6" s="50">
        <f>IFERROR(AVERAGE($O$13:$O$228),0)</f>
        <v>0</v>
      </c>
      <c r="N6" s="48">
        <f>MIN($O$13:$O$228)</f>
        <v>0</v>
      </c>
      <c r="O6" s="3">
        <f>MAX($O$13:$O$228)</f>
        <v>0</v>
      </c>
      <c r="P6" s="2"/>
      <c r="R6" s="97" t="s">
        <v>43</v>
      </c>
      <c r="S6" s="60">
        <f>COUNT($O$13:$O$228)</f>
        <v>0</v>
      </c>
      <c r="T6" s="49"/>
      <c r="U6" s="137"/>
      <c r="V6" s="50">
        <f>IFERROR(AVERAGE($O$13:$O$228),0)</f>
        <v>0</v>
      </c>
      <c r="W6" s="48">
        <f>MIN($O$13:$O$228)</f>
        <v>0</v>
      </c>
      <c r="X6" s="129">
        <f>MAX($O$13:$O$228)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98" t="s">
        <v>9</v>
      </c>
      <c r="J7" s="60">
        <f>COUNTIFS($P$13:$P$9528,"&gt;0",$AG$13:$AG$9528,I1)</f>
        <v>25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98" t="s">
        <v>9</v>
      </c>
      <c r="S7" s="60">
        <f>COUNTIFS($P$13:$P$9528,"&gt;0",$AG$13:$AG$9528,R1)</f>
        <v>4</v>
      </c>
      <c r="T7" s="49"/>
      <c r="U7" s="137"/>
      <c r="V7" s="50" t="s">
        <v>15</v>
      </c>
      <c r="W7" s="48" t="s">
        <v>15</v>
      </c>
      <c r="X7" s="129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96" t="s">
        <v>16</v>
      </c>
      <c r="J8" s="60">
        <f>J5</f>
        <v>118</v>
      </c>
      <c r="K8" s="49"/>
      <c r="L8" s="49"/>
      <c r="M8" s="50">
        <f>M5</f>
        <v>45.290960452333884</v>
      </c>
      <c r="N8" s="48">
        <f>N5</f>
        <v>2.9499999980907887</v>
      </c>
      <c r="O8" s="3">
        <f>O5</f>
        <v>146.83333333348855</v>
      </c>
      <c r="P8" s="2"/>
      <c r="R8" s="96" t="s">
        <v>16</v>
      </c>
      <c r="S8" s="60">
        <f>S5</f>
        <v>41</v>
      </c>
      <c r="T8" s="49"/>
      <c r="U8" s="137"/>
      <c r="V8" s="50">
        <f>V5</f>
        <v>20.134959348715931</v>
      </c>
      <c r="W8" s="48">
        <f>W5</f>
        <v>12.783333335537463</v>
      </c>
      <c r="X8" s="129">
        <f>X5</f>
        <v>38.049999999348074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96" t="s">
        <v>19</v>
      </c>
      <c r="J9" s="74">
        <f>J8/J4</f>
        <v>0.82517482517482521</v>
      </c>
      <c r="K9" s="51"/>
      <c r="L9" s="51"/>
      <c r="M9" s="99"/>
      <c r="N9" s="46"/>
      <c r="O9" s="100"/>
      <c r="P9" s="2"/>
      <c r="R9" s="96" t="s">
        <v>19</v>
      </c>
      <c r="S9" s="74">
        <f>S8/S4</f>
        <v>0.91111111111111109</v>
      </c>
      <c r="T9" s="51"/>
      <c r="U9" s="134"/>
      <c r="V9" s="99"/>
      <c r="W9" s="46"/>
      <c r="X9" s="130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127"/>
      <c r="V10" s="112"/>
      <c r="W10" s="23"/>
      <c r="X10" s="131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50" t="str">
        <f>"Eagle P3 System Performance - "&amp;TEXT(Variables!A2,"yyyy-mm-dd")</f>
        <v>Eagle P3 System Performance - 2016-08-11</v>
      </c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S11" s="80">
        <f>AVERAGE(S13:S77)</f>
        <v>0.92307692307692313</v>
      </c>
      <c r="V11" s="112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02" t="s">
        <v>61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73</v>
      </c>
      <c r="T12" s="59" t="s">
        <v>74</v>
      </c>
      <c r="U12" s="138" t="s">
        <v>75</v>
      </c>
      <c r="V12" s="114" t="s">
        <v>45</v>
      </c>
      <c r="W12" s="56" t="s">
        <v>23</v>
      </c>
      <c r="X12" s="132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101</v>
      </c>
      <c r="AE12" s="107" t="s">
        <v>108</v>
      </c>
      <c r="AF12" s="104" t="s">
        <v>113</v>
      </c>
      <c r="AG12" s="4" t="s">
        <v>144</v>
      </c>
      <c r="AH12" s="110" t="s">
        <v>150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657</v>
      </c>
      <c r="B13" s="7"/>
      <c r="C13" s="25"/>
      <c r="D13" s="25"/>
      <c r="E13" s="16"/>
      <c r="F13" s="16"/>
      <c r="G13" s="7"/>
      <c r="H13" s="16"/>
      <c r="I13" s="16"/>
      <c r="J13" s="7"/>
      <c r="K13" s="149"/>
      <c r="L13" s="25" t="e">
        <f>VLOOKUP(A13,'Trips&amp;Operators'!$C$1:$E$10000,3,FALSE)</f>
        <v>#N/A</v>
      </c>
      <c r="M13" s="6">
        <f t="shared" ref="M13:M44" si="0">I13-F13</f>
        <v>0</v>
      </c>
      <c r="N13" s="7"/>
      <c r="O13" s="7"/>
      <c r="P13" s="7">
        <v>1</v>
      </c>
      <c r="Q13" s="26"/>
      <c r="R13" s="26" t="s">
        <v>230</v>
      </c>
      <c r="S13" s="38">
        <f t="shared" ref="S13:S44" si="1">SUM(U13:U13)/IF(AG13="EC",12,1)</f>
        <v>0</v>
      </c>
      <c r="T13" s="55" t="str">
        <f t="shared" ref="T13:T44" si="2">IF(ISEVEN(LEFT(AD13,4)),"Southbound","NorthBound")</f>
        <v>NorthBound</v>
      </c>
      <c r="U13" s="13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15" t="e">
        <f t="shared" ref="V13:V44" si="3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#VALUE!</v>
      </c>
      <c r="W13" s="57" t="e">
        <f t="shared" ref="W13:W45" si="4">IF(AA13&lt;IF(AG13="EC",23,5.65),"Y","N")</f>
        <v>#VALUE!</v>
      </c>
      <c r="X13" s="133" t="e">
        <f>VALUE(LEFT(AD13,4))-VALUE(LEFT(AD12,4))</f>
        <v>#VALUE!</v>
      </c>
      <c r="Y13" s="72" t="e">
        <f>RIGHT(D13,LEN(D13)-4)/10000</f>
        <v>#VALUE!</v>
      </c>
      <c r="Z13" s="72" t="e">
        <f>RIGHT(H13,LEN(H13)-4)/10000</f>
        <v>#VALUE!</v>
      </c>
      <c r="AA13" s="72" t="e">
        <f t="shared" ref="AA13:AA44" si="5">ABS(Z13-Y13)</f>
        <v>#VALUE!</v>
      </c>
      <c r="AB13" s="69" t="e">
        <f>VLOOKUP(A13,Enforcements!$C$7:$J$24,8,0)</f>
        <v>#N/A</v>
      </c>
      <c r="AC13" s="65" t="e">
        <f>VLOOKUP(A13,Enforcements!$C$7:$E$24,3,0)</f>
        <v>#N/A</v>
      </c>
      <c r="AD13" s="66" t="str">
        <f t="shared" ref="AD13:AD44" si="6">IF(LEN(A13)=6,"0"&amp;A13,A13)</f>
        <v>0101-11</v>
      </c>
      <c r="AE13" s="108" t="str">
        <f t="shared" ref="AE13:AE44" si="7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3" s="105" t="str">
        <f t="shared" ref="AF13:AF44" si="8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3" s="1" t="str">
        <f>IF(VALUE(LEFT(AD13,2))&lt;=2,"EC",IF(OR(VALUE(LEFT(AD13,2))=8,VALUE(LEFT(AD13,2))=18),"NW","Other"))</f>
        <v>EC</v>
      </c>
      <c r="AH13" s="109" t="str">
        <f t="shared" ref="AH13" si="9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 xml:space="preserve">"%USERPROFILE%\Documents\GitHub\eaglep3\Utilities\RefineRTDCRunTimes.py" --tripid 101-11 --locoid  --swversion  --startMP  --initTime 1900-01-00T00:00:00 --startdatetime 1900-01-00T00:00:00 --delay  --endMP  --enddatetime 1900-01-00T00:00:00 --enforcementcount </v>
      </c>
    </row>
    <row r="14" spans="1:91" s="1" customFormat="1" x14ac:dyDescent="0.25">
      <c r="A14" s="42" t="s">
        <v>276</v>
      </c>
      <c r="B14" s="7">
        <v>4037</v>
      </c>
      <c r="C14" s="25" t="s">
        <v>130</v>
      </c>
      <c r="D14" s="25" t="s">
        <v>277</v>
      </c>
      <c r="E14" s="16">
        <v>42593.177916666667</v>
      </c>
      <c r="F14" s="16">
        <v>42593.179050925923</v>
      </c>
      <c r="G14" s="7">
        <v>1</v>
      </c>
      <c r="H14" s="16" t="s">
        <v>165</v>
      </c>
      <c r="I14" s="16">
        <v>42593.205648148149</v>
      </c>
      <c r="J14" s="7">
        <v>0</v>
      </c>
      <c r="K14" s="149" t="str">
        <f t="shared" ref="K14:K45" si="10">IF(ISEVEN(B14),(B14-1)&amp;"/"&amp;B14,B14&amp;"/"&amp;(B14+1))</f>
        <v>4037/4038</v>
      </c>
      <c r="L14" s="25" t="str">
        <f>VLOOKUP(A14,'Trips&amp;Operators'!$C$1:$E$10000,3,FALSE)</f>
        <v>MAELZER</v>
      </c>
      <c r="M14" s="6">
        <f t="shared" si="0"/>
        <v>2.6597222225973383E-2</v>
      </c>
      <c r="N14" s="7">
        <f>24*60*SUM($M14:$M14)</f>
        <v>38.300000005401671</v>
      </c>
      <c r="O14" s="7"/>
      <c r="P14" s="7"/>
      <c r="Q14" s="26"/>
      <c r="R14" s="26"/>
      <c r="S14" s="38">
        <f t="shared" si="1"/>
        <v>1</v>
      </c>
      <c r="T14" s="55" t="str">
        <f t="shared" si="2"/>
        <v>Southbound</v>
      </c>
      <c r="U14" s="13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03:16:12-0600',mode:absolute,to:'2016-08-11 05:56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4" s="57" t="str">
        <f t="shared" si="4"/>
        <v>N</v>
      </c>
      <c r="X14" s="133">
        <f t="shared" ref="X14:X19" si="11">VALUE(LEFT(AD14,4))-VALUE(LEFT(AD13,4))</f>
        <v>1</v>
      </c>
      <c r="Y14" s="72">
        <f>RIGHT(D14,LEN(D14)-4)/10000</f>
        <v>23.267700000000001</v>
      </c>
      <c r="Z14" s="72">
        <f>RIGHT(H14,LEN(H14)-4)/10000</f>
        <v>1.32E-2</v>
      </c>
      <c r="AA14" s="72">
        <f t="shared" si="5"/>
        <v>23.2545</v>
      </c>
      <c r="AB14" s="69" t="e">
        <f>VLOOKUP(A14,Enforcements!$C$7:$J$24,8,0)</f>
        <v>#N/A</v>
      </c>
      <c r="AC14" s="65" t="e">
        <f>VLOOKUP(A14,Enforcements!$C$7:$E$24,3,0)</f>
        <v>#N/A</v>
      </c>
      <c r="AD14" s="66" t="str">
        <f t="shared" si="6"/>
        <v>0102-11</v>
      </c>
      <c r="AE14" s="108" t="str">
        <f t="shared" si="7"/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AF14" s="105" t="str">
        <f t="shared" si="8"/>
        <v>"C:\Program Files (x86)\AstroGrep\AstroGrep.exe" /spath="%USERPROFILE%\AppData\Local\Temp\OnboardLogs" /stypes="*4037*20160811*" /stext=" 10:.+((SYSTEM_STATE.+slice.+state.+changed )|(ment ac)|(system.+state.+changed )|(\|lc)|(penalty)|(\[timeout)|(PRM\|1\|D)|(kpr)|(kdp))" /e /r /s</v>
      </c>
      <c r="AG14" s="1" t="str">
        <f t="shared" ref="AG14:AG77" si="12">IF(VALUE(LEFT(AD14,2))&lt;=2,"EC",IF(OR(VALUE(LEFT(AD14,2))=8,VALUE(LEFT(AD14,2))=18),"NW","Other"))</f>
        <v>EC</v>
      </c>
      <c r="AH14" s="109" t="str">
        <f t="shared" ref="AH14" si="1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102-11 --locoid 4037 --swversion DE.1.0.7.0 --startMP 204:232677 --initTime 2016-08-11T04:16:12 --startdatetime 2016-08-11T04:17:50 --delay 1 --endMP 204:132 --enddatetime 2016-08-11T04:56:08 --enforcementcount 0</v>
      </c>
    </row>
    <row r="15" spans="1:91" s="1" customFormat="1" x14ac:dyDescent="0.25">
      <c r="A15" s="42" t="s">
        <v>617</v>
      </c>
      <c r="B15" s="7">
        <v>4029</v>
      </c>
      <c r="C15" s="25" t="s">
        <v>130</v>
      </c>
      <c r="D15" s="25" t="s">
        <v>277</v>
      </c>
      <c r="E15" s="16">
        <v>42593.177916666667</v>
      </c>
      <c r="F15" s="16">
        <v>42593.154664351852</v>
      </c>
      <c r="G15" s="7">
        <v>1</v>
      </c>
      <c r="H15" s="16" t="s">
        <v>165</v>
      </c>
      <c r="I15" s="16">
        <v>42593.157060185185</v>
      </c>
      <c r="J15" s="7">
        <v>0</v>
      </c>
      <c r="K15" s="149" t="str">
        <f t="shared" si="10"/>
        <v>4029/4030</v>
      </c>
      <c r="L15" s="25" t="str">
        <f>VLOOKUP(A15,'Trips&amp;Operators'!$C$1:$E$10000,3,FALSE)</f>
        <v>STARKS</v>
      </c>
      <c r="M15" s="6">
        <f t="shared" si="0"/>
        <v>2.3958333331393078E-3</v>
      </c>
      <c r="N15" s="7"/>
      <c r="O15" s="7"/>
      <c r="P15" s="7">
        <f>24*60*SUM($M15:$M15)</f>
        <v>3.4499999997206032</v>
      </c>
      <c r="Q15" s="26"/>
      <c r="R15" s="26" t="s">
        <v>638</v>
      </c>
      <c r="S15" s="38">
        <f t="shared" si="1"/>
        <v>0</v>
      </c>
      <c r="T15" s="55" t="str">
        <f t="shared" si="2"/>
        <v>NorthBound</v>
      </c>
      <c r="U15" s="13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03:16:12-0600',mode:absolute,to:'2016-08-11 04:46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5" s="57" t="str">
        <f t="shared" si="4"/>
        <v>Y</v>
      </c>
      <c r="X15" s="133">
        <f t="shared" si="11"/>
        <v>1</v>
      </c>
      <c r="Y15" s="72">
        <v>0.01</v>
      </c>
      <c r="Z15" s="72">
        <v>0.04</v>
      </c>
      <c r="AA15" s="72">
        <f t="shared" si="5"/>
        <v>0.03</v>
      </c>
      <c r="AB15" s="69" t="e">
        <f>VLOOKUP(A15,Enforcements!$C$7:$J$24,8,0)</f>
        <v>#N/A</v>
      </c>
      <c r="AC15" s="65" t="e">
        <f>VLOOKUP(A15,Enforcements!$C$7:$E$24,3,0)</f>
        <v>#N/A</v>
      </c>
      <c r="AD15" s="66" t="str">
        <f t="shared" si="6"/>
        <v>0103-11</v>
      </c>
      <c r="AE15" s="108" t="str">
        <f t="shared" si="7"/>
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</c>
      <c r="AF15" s="105" t="str">
        <f t="shared" si="8"/>
        <v>"C:\Program Files (x86)\AstroGrep\AstroGrep.exe" /spath="%USERPROFILE%\AppData\Local\Temp\OnboardLogs" /stypes="*4029*20160811*" /stext=" 09:.+((SYSTEM_STATE.+slice.+state.+changed )|(ment ac)|(system.+state.+changed )|(\|lc)|(penalty)|(\[timeout)|(PRM\|1\|D)|(kpr)|(kdp))" /e /r /s</v>
      </c>
      <c r="AG15" s="1" t="str">
        <f t="shared" si="12"/>
        <v>EC</v>
      </c>
      <c r="AH15" s="109" t="str">
        <f t="shared" ref="AH15" si="14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</f>
        <v>"%USERPROFILE%\Documents\GitHub\eaglep3\Utilities\RefineRTDCRunTimes.py" --tripid 103-11 --locoid 4029 --swversion DE.1.0.7.0 --startMP 204:232677 --initTime 2016-08-11T04:16:12 --startdatetime 2016-08-11T03:42:43 --delay 1 --endMP 204:132 --enddatetime 2016-08-11T03:46:10 --enforcementcount 0</v>
      </c>
    </row>
    <row r="16" spans="1:91" s="1" customFormat="1" x14ac:dyDescent="0.25">
      <c r="A16" s="42" t="s">
        <v>278</v>
      </c>
      <c r="B16" s="7">
        <v>4013</v>
      </c>
      <c r="C16" s="25" t="s">
        <v>130</v>
      </c>
      <c r="D16" s="25" t="s">
        <v>279</v>
      </c>
      <c r="E16" s="16">
        <v>42593.194837962961</v>
      </c>
      <c r="F16" s="16">
        <v>42593.196192129632</v>
      </c>
      <c r="G16" s="7">
        <v>1</v>
      </c>
      <c r="H16" s="16" t="s">
        <v>176</v>
      </c>
      <c r="I16" s="16">
        <v>42593.223935185182</v>
      </c>
      <c r="J16" s="7">
        <v>0</v>
      </c>
      <c r="K16" s="149" t="str">
        <f t="shared" si="10"/>
        <v>4013/4014</v>
      </c>
      <c r="L16" s="25" t="str">
        <f>VLOOKUP(A16,'Trips&amp;Operators'!$C$1:$E$10000,3,FALSE)</f>
        <v>STARKS</v>
      </c>
      <c r="M16" s="6">
        <f t="shared" si="0"/>
        <v>2.774305555067258E-2</v>
      </c>
      <c r="N16" s="7">
        <f>24*60*SUM($M16:$M16)</f>
        <v>39.949999992968515</v>
      </c>
      <c r="O16" s="7"/>
      <c r="P16" s="7"/>
      <c r="Q16" s="26"/>
      <c r="R16" s="26"/>
      <c r="S16" s="38">
        <f t="shared" si="1"/>
        <v>1</v>
      </c>
      <c r="T16" s="55" t="str">
        <f t="shared" si="2"/>
        <v>Southbound</v>
      </c>
      <c r="U16" s="13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03:40:34-0600',mode:absolute,to:'2016-08-11 06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" s="57" t="str">
        <f t="shared" si="4"/>
        <v>N</v>
      </c>
      <c r="X16" s="133">
        <f t="shared" si="11"/>
        <v>1</v>
      </c>
      <c r="Y16" s="72">
        <f t="shared" ref="Y16:Y45" si="15">RIGHT(D16,LEN(D16)-4)/10000</f>
        <v>23.269600000000001</v>
      </c>
      <c r="Z16" s="72">
        <f t="shared" ref="Z16:Z47" si="16">RIGHT(H16,LEN(H16)-4)/10000</f>
        <v>1.3599999999999999E-2</v>
      </c>
      <c r="AA16" s="72">
        <f t="shared" si="5"/>
        <v>23.256</v>
      </c>
      <c r="AB16" s="69" t="e">
        <f>VLOOKUP(A16,Enforcements!$C$7:$J$24,8,0)</f>
        <v>#N/A</v>
      </c>
      <c r="AC16" s="65" t="e">
        <f>VLOOKUP(A16,Enforcements!$C$7:$E$24,3,0)</f>
        <v>#N/A</v>
      </c>
      <c r="AD16" s="66" t="str">
        <f t="shared" si="6"/>
        <v>0104-11</v>
      </c>
      <c r="AE16" s="108" t="str">
        <f t="shared" si="7"/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AF16" s="105" t="str">
        <f t="shared" si="8"/>
        <v>"C:\Program Files (x86)\AstroGrep\AstroGrep.exe" /spath="%USERPROFILE%\AppData\Local\Temp\OnboardLogs" /stypes="*4013*20160811*" /stext=" 11:.+((SYSTEM_STATE.+slice.+state.+changed )|(ment ac)|(system.+state.+changed )|(\|lc)|(penalty)|(\[timeout)|(PRM\|1\|D)|(kpr)|(kdp))" /e /r /s</v>
      </c>
      <c r="AG16" s="1" t="str">
        <f t="shared" si="12"/>
        <v>EC</v>
      </c>
      <c r="AH16" s="109" t="str">
        <f t="shared" ref="AH16:AH77" si="17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</f>
        <v>"%USERPROFILE%\Documents\GitHub\eaglep3\Utilities\RefineRTDCRunTimes.py" --tripid 104-11 --locoid 4013 --swversion DE.1.0.7.0 --startMP 204:232696 --initTime 2016-08-11T04:40:34 --startdatetime 2016-08-11T04:42:31 --delay 1 --endMP 204:136 --enddatetime 2016-08-11T05:22:28 --enforcementcount 0</v>
      </c>
    </row>
    <row r="17" spans="1:34" s="1" customFormat="1" x14ac:dyDescent="0.25">
      <c r="A17" s="42" t="s">
        <v>280</v>
      </c>
      <c r="B17" s="7">
        <v>4025</v>
      </c>
      <c r="C17" s="25" t="s">
        <v>130</v>
      </c>
      <c r="D17" s="25" t="s">
        <v>281</v>
      </c>
      <c r="E17" s="16">
        <v>42593.179606481484</v>
      </c>
      <c r="F17" s="16">
        <v>42593.183807870373</v>
      </c>
      <c r="G17" s="7">
        <v>6</v>
      </c>
      <c r="H17" s="16" t="s">
        <v>248</v>
      </c>
      <c r="I17" s="16">
        <v>42593.209502314814</v>
      </c>
      <c r="J17" s="7">
        <v>0</v>
      </c>
      <c r="K17" s="149" t="str">
        <f t="shared" si="10"/>
        <v>4025/4026</v>
      </c>
      <c r="L17" s="25" t="str">
        <f>VLOOKUP(A17,'Trips&amp;Operators'!$C$1:$E$10000,3,FALSE)</f>
        <v>MALAVE</v>
      </c>
      <c r="M17" s="6">
        <f t="shared" si="0"/>
        <v>2.569444444088731E-2</v>
      </c>
      <c r="N17" s="7"/>
      <c r="O17" s="7"/>
      <c r="P17" s="7">
        <f>24*60*SUM($M17:$M17)</f>
        <v>36.999999994877726</v>
      </c>
      <c r="Q17" s="26"/>
      <c r="R17" s="26" t="s">
        <v>637</v>
      </c>
      <c r="S17" s="38">
        <f t="shared" si="1"/>
        <v>1</v>
      </c>
      <c r="T17" s="55" t="str">
        <f t="shared" si="2"/>
        <v>NorthBound</v>
      </c>
      <c r="U17" s="13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03:18:38-0600',mode:absolute,to:'2016-08-11 06:01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7" s="57" t="str">
        <f t="shared" si="4"/>
        <v>Y</v>
      </c>
      <c r="X17" s="133">
        <f t="shared" si="11"/>
        <v>1</v>
      </c>
      <c r="Y17" s="72">
        <f t="shared" si="15"/>
        <v>1.9198999999999999</v>
      </c>
      <c r="Z17" s="72">
        <f t="shared" si="16"/>
        <v>23.328199999999999</v>
      </c>
      <c r="AA17" s="72">
        <f t="shared" si="5"/>
        <v>21.408300000000001</v>
      </c>
      <c r="AB17" s="69" t="e">
        <f>VLOOKUP(A17,Enforcements!$C$7:$J$24,8,0)</f>
        <v>#N/A</v>
      </c>
      <c r="AC17" s="65" t="e">
        <f>VLOOKUP(A17,Enforcements!$C$7:$E$24,3,0)</f>
        <v>#N/A</v>
      </c>
      <c r="AD17" s="66" t="str">
        <f t="shared" si="6"/>
        <v>0105-11</v>
      </c>
      <c r="AE17" s="108" t="str">
        <f t="shared" si="7"/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AF17" s="105" t="str">
        <f t="shared" si="8"/>
        <v>"C:\Program Files (x86)\AstroGrep\AstroGrep.exe" /spath="%USERPROFILE%\AppData\Local\Temp\OnboardLogs" /stypes="*4025*20160811*" /stext=" 11:.+((SYSTEM_STATE.+slice.+state.+changed )|(ment ac)|(system.+state.+changed )|(\|lc)|(penalty)|(\[timeout)|(PRM\|1\|D)|(kpr)|(kdp))" /e /r /s</v>
      </c>
      <c r="AG17" s="1" t="str">
        <f t="shared" si="12"/>
        <v>EC</v>
      </c>
      <c r="AH17" s="109" t="str">
        <f t="shared" si="17"/>
        <v>"%USERPROFILE%\Documents\GitHub\eaglep3\Utilities\RefineRTDCRunTimes.py" --tripid 105-11 --locoid 4025 --swversion DE.1.0.7.0 --startMP 204:19199 --initTime 2016-08-11T04:18:38 --startdatetime 2016-08-11T04:24:41 --delay 6 --endMP 204:233282 --enddatetime 2016-08-11T05:01:41 --enforcementcount 0</v>
      </c>
    </row>
    <row r="18" spans="1:34" s="1" customFormat="1" x14ac:dyDescent="0.25">
      <c r="A18" s="42" t="s">
        <v>282</v>
      </c>
      <c r="B18" s="7">
        <v>4028</v>
      </c>
      <c r="C18" s="25" t="s">
        <v>130</v>
      </c>
      <c r="D18" s="25" t="s">
        <v>283</v>
      </c>
      <c r="E18" s="16">
        <v>42593.213055555556</v>
      </c>
      <c r="F18" s="16">
        <v>42593.214432870373</v>
      </c>
      <c r="G18" s="7">
        <v>1</v>
      </c>
      <c r="H18" s="16" t="s">
        <v>169</v>
      </c>
      <c r="I18" s="16">
        <v>42593.243530092594</v>
      </c>
      <c r="J18" s="7">
        <v>1</v>
      </c>
      <c r="K18" s="149" t="str">
        <f t="shared" si="10"/>
        <v>4027/4028</v>
      </c>
      <c r="L18" s="25" t="str">
        <f>VLOOKUP(A18,'Trips&amp;Operators'!$C$1:$E$10000,3,FALSE)</f>
        <v>MALAVE</v>
      </c>
      <c r="M18" s="6">
        <f t="shared" si="0"/>
        <v>2.9097222221025731E-2</v>
      </c>
      <c r="N18" s="7">
        <f t="shared" ref="N18:N50" si="18">24*60*SUM($M18:$M18)</f>
        <v>41.899999998277053</v>
      </c>
      <c r="O18" s="7"/>
      <c r="P18" s="7"/>
      <c r="Q18" s="26"/>
      <c r="R18" s="26"/>
      <c r="S18" s="38">
        <f t="shared" si="1"/>
        <v>1</v>
      </c>
      <c r="T18" s="55" t="str">
        <f t="shared" si="2"/>
        <v>Southbound</v>
      </c>
      <c r="U18" s="13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04:06:48-0600',mode:absolute,to:'2016-08-11 06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8" s="57" t="str">
        <f t="shared" si="4"/>
        <v>N</v>
      </c>
      <c r="X18" s="133">
        <f t="shared" si="11"/>
        <v>1</v>
      </c>
      <c r="Y18" s="72">
        <f t="shared" si="15"/>
        <v>23.2637</v>
      </c>
      <c r="Z18" s="72">
        <f t="shared" si="16"/>
        <v>1.41E-2</v>
      </c>
      <c r="AA18" s="72">
        <f t="shared" si="5"/>
        <v>23.249600000000001</v>
      </c>
      <c r="AB18" s="69" t="e">
        <f>VLOOKUP(A18,Enforcements!$C$7:$J$24,8,0)</f>
        <v>#N/A</v>
      </c>
      <c r="AC18" s="65" t="e">
        <f>VLOOKUP(A18,Enforcements!$C$7:$E$24,3,0)</f>
        <v>#N/A</v>
      </c>
      <c r="AD18" s="66" t="str">
        <f t="shared" si="6"/>
        <v>0106-11</v>
      </c>
      <c r="AE18" s="108" t="str">
        <f t="shared" si="7"/>
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</c>
      <c r="AF18" s="105" t="str">
        <f t="shared" si="8"/>
        <v>"C:\Program Files (x86)\AstroGrep\AstroGrep.exe" /spath="%USERPROFILE%\AppData\Local\Temp\OnboardLogs" /stypes="*4028*20160811*" /stext=" 11:.+((SYSTEM_STATE.+slice.+state.+changed )|(ment ac)|(system.+state.+changed )|(\|lc)|(penalty)|(\[timeout)|(PRM\|1\|D)|(kpr)|(kdp))" /e /r /s</v>
      </c>
      <c r="AG18" s="1" t="str">
        <f t="shared" si="12"/>
        <v>EC</v>
      </c>
      <c r="AH18" s="109" t="str">
        <f t="shared" si="17"/>
        <v>"%USERPROFILE%\Documents\GitHub\eaglep3\Utilities\RefineRTDCRunTimes.py" --tripid 106-11 --locoid 4028 --swversion DE.1.0.7.0 --startMP 204:232637 --initTime 2016-08-11T05:06:48 --startdatetime 2016-08-11T05:08:47 --delay 1 --endMP 204:141 --enddatetime 2016-08-11T05:50:41 --enforcementcount 1</v>
      </c>
    </row>
    <row r="19" spans="1:34" s="1" customFormat="1" x14ac:dyDescent="0.25">
      <c r="A19" s="42" t="s">
        <v>284</v>
      </c>
      <c r="B19" s="7">
        <v>4044</v>
      </c>
      <c r="C19" s="25" t="s">
        <v>130</v>
      </c>
      <c r="D19" s="25" t="s">
        <v>235</v>
      </c>
      <c r="E19" s="16">
        <v>42593.178414351853</v>
      </c>
      <c r="F19" s="16">
        <v>42593.179594907408</v>
      </c>
      <c r="G19" s="7">
        <v>1</v>
      </c>
      <c r="H19" s="16" t="s">
        <v>285</v>
      </c>
      <c r="I19" s="16">
        <v>42593.214537037034</v>
      </c>
      <c r="J19" s="7">
        <v>0</v>
      </c>
      <c r="K19" s="149" t="str">
        <f t="shared" si="10"/>
        <v>4043/4044</v>
      </c>
      <c r="L19" s="25" t="str">
        <f>VLOOKUP(A19,'Trips&amp;Operators'!$C$1:$E$10000,3,FALSE)</f>
        <v>STRICKLAND</v>
      </c>
      <c r="M19" s="6">
        <f t="shared" si="0"/>
        <v>3.4942129626870155E-2</v>
      </c>
      <c r="N19" s="7">
        <f t="shared" si="18"/>
        <v>50.316666662693024</v>
      </c>
      <c r="O19" s="7"/>
      <c r="P19" s="7"/>
      <c r="Q19" s="26"/>
      <c r="R19" s="26"/>
      <c r="S19" s="38">
        <f t="shared" si="1"/>
        <v>1</v>
      </c>
      <c r="T19" s="55" t="str">
        <f t="shared" si="2"/>
        <v>NorthBound</v>
      </c>
      <c r="U19" s="13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03:16:55-0600',mode:absolute,to:'2016-08-11 06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9" s="57" t="str">
        <f t="shared" si="4"/>
        <v>N</v>
      </c>
      <c r="X19" s="133">
        <f t="shared" si="11"/>
        <v>1</v>
      </c>
      <c r="Y19" s="72">
        <f t="shared" si="15"/>
        <v>4.5699999999999998E-2</v>
      </c>
      <c r="Z19" s="72">
        <f t="shared" si="16"/>
        <v>23.33</v>
      </c>
      <c r="AA19" s="72">
        <f t="shared" si="5"/>
        <v>23.284299999999998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6"/>
        <v>0107-11</v>
      </c>
      <c r="AE19" s="108" t="str">
        <f t="shared" si="7"/>
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</c>
      <c r="AF19" s="105" t="str">
        <f t="shared" si="8"/>
        <v>"C:\Program Files (x86)\AstroGrep\AstroGrep.exe" /spath="%USERPROFILE%\AppData\Local\Temp\OnboardLogs" /stypes="*4044*20160811*" /stext=" 11:.+((SYSTEM_STATE.+slice.+state.+changed )|(ment ac)|(system.+state.+changed )|(\|lc)|(penalty)|(\[timeout)|(PRM\|1\|D)|(kpr)|(kdp))" /e /r /s</v>
      </c>
      <c r="AG19" s="1" t="str">
        <f t="shared" si="12"/>
        <v>EC</v>
      </c>
      <c r="AH19" s="109" t="str">
        <f t="shared" si="17"/>
        <v>"%USERPROFILE%\Documents\GitHub\eaglep3\Utilities\RefineRTDCRunTimes.py" --tripid 107-11 --locoid 4044 --swversion DE.1.0.7.0 --startMP 204:457 --initTime 2016-08-11T04:16:55 --startdatetime 2016-08-11T04:18:37 --delay 1 --endMP 204:233300 --enddatetime 2016-08-11T05:08:56 --enforcementcount 0</v>
      </c>
    </row>
    <row r="20" spans="1:34" s="1" customFormat="1" x14ac:dyDescent="0.25">
      <c r="A20" s="42" t="s">
        <v>286</v>
      </c>
      <c r="B20" s="7">
        <v>4043</v>
      </c>
      <c r="C20" s="25" t="s">
        <v>130</v>
      </c>
      <c r="D20" s="25" t="s">
        <v>157</v>
      </c>
      <c r="E20" s="16">
        <v>42593.221064814818</v>
      </c>
      <c r="F20" s="16">
        <v>42593.222118055557</v>
      </c>
      <c r="G20" s="7">
        <v>1</v>
      </c>
      <c r="H20" s="16" t="s">
        <v>287</v>
      </c>
      <c r="I20" s="16">
        <v>42593.254629629628</v>
      </c>
      <c r="J20" s="7">
        <v>1</v>
      </c>
      <c r="K20" s="149" t="str">
        <f t="shared" si="10"/>
        <v>4043/4044</v>
      </c>
      <c r="L20" s="25" t="str">
        <f>VLOOKUP(A20,'Trips&amp;Operators'!$C$1:$E$10000,3,FALSE)</f>
        <v>STRICKLAND</v>
      </c>
      <c r="M20" s="6">
        <f t="shared" si="0"/>
        <v>3.2511574070667848E-2</v>
      </c>
      <c r="N20" s="7">
        <f t="shared" si="18"/>
        <v>46.816666661761701</v>
      </c>
      <c r="O20" s="7"/>
      <c r="P20" s="7"/>
      <c r="Q20" s="26"/>
      <c r="R20" s="26"/>
      <c r="S20" s="38">
        <f t="shared" si="1"/>
        <v>1</v>
      </c>
      <c r="T20" s="55" t="str">
        <f t="shared" si="2"/>
        <v>Southbound</v>
      </c>
      <c r="U20" s="13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04:18:20-0600',mode:absolute,to:'2016-08-11 07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20" s="57" t="str">
        <f t="shared" si="4"/>
        <v>N</v>
      </c>
      <c r="X20" s="133">
        <f t="shared" ref="X20:X45" si="19">VALUE(LEFT(AD20,4))-VALUE(LEFT(AD19,4))</f>
        <v>1</v>
      </c>
      <c r="Y20" s="72">
        <f t="shared" si="15"/>
        <v>23.2989</v>
      </c>
      <c r="Z20" s="72">
        <f t="shared" si="16"/>
        <v>1.72E-2</v>
      </c>
      <c r="AA20" s="72">
        <f t="shared" si="5"/>
        <v>23.281700000000001</v>
      </c>
      <c r="AB20" s="69">
        <f>VLOOKUP(A20,Enforcements!$C$7:$J$24,8,0)</f>
        <v>183829</v>
      </c>
      <c r="AC20" s="65" t="str">
        <f>VLOOKUP(A20,Enforcements!$C$7:$E$24,3,0)</f>
        <v>PERMANENT SPEED RESTRICTION</v>
      </c>
      <c r="AD20" s="66" t="str">
        <f t="shared" si="6"/>
        <v>0108-11</v>
      </c>
      <c r="AE20" s="108" t="str">
        <f t="shared" si="7"/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AF20" s="105" t="str">
        <f t="shared" si="8"/>
        <v>"C:\Program Files (x86)\AstroGrep\AstroGrep.exe" /spath="%USERPROFILE%\AppData\Local\Temp\OnboardLogs" /stypes="*4043*20160811*" /stext=" 12:.+((SYSTEM_STATE.+slice.+state.+changed )|(ment ac)|(system.+state.+changed )|(\|lc)|(penalty)|(\[timeout)|(PRM\|1\|D)|(kpr)|(kdp))" /e /r /s</v>
      </c>
      <c r="AG20" s="1" t="str">
        <f t="shared" si="12"/>
        <v>EC</v>
      </c>
      <c r="AH20" s="109" t="str">
        <f t="shared" si="17"/>
        <v>"%USERPROFILE%\Documents\GitHub\eaglep3\Utilities\RefineRTDCRunTimes.py" --tripid 108-11 --locoid 4043 --swversion DE.1.0.7.0 --startMP 204:232989 --initTime 2016-08-11T05:18:20 --startdatetime 2016-08-11T05:19:51 --delay 1 --endMP 204:172 --enddatetime 2016-08-11T06:06:40 --enforcementcount 1</v>
      </c>
    </row>
    <row r="21" spans="1:34" s="1" customFormat="1" x14ac:dyDescent="0.25">
      <c r="A21" s="42" t="s">
        <v>288</v>
      </c>
      <c r="B21" s="7">
        <v>4016</v>
      </c>
      <c r="C21" s="25" t="s">
        <v>130</v>
      </c>
      <c r="D21" s="25" t="s">
        <v>147</v>
      </c>
      <c r="E21" s="16">
        <v>42593.193541666667</v>
      </c>
      <c r="F21" s="16">
        <v>42593.195196759261</v>
      </c>
      <c r="G21" s="7">
        <v>2</v>
      </c>
      <c r="H21" s="16" t="s">
        <v>170</v>
      </c>
      <c r="I21" s="16">
        <v>42593.223101851851</v>
      </c>
      <c r="J21" s="7">
        <v>0</v>
      </c>
      <c r="K21" s="149" t="str">
        <f t="shared" si="10"/>
        <v>4015/4016</v>
      </c>
      <c r="L21" s="25" t="str">
        <f>VLOOKUP(A21,'Trips&amp;Operators'!$C$1:$E$10000,3,FALSE)</f>
        <v>ROCHA</v>
      </c>
      <c r="M21" s="6">
        <f t="shared" si="0"/>
        <v>2.7905092589207925E-2</v>
      </c>
      <c r="N21" s="7">
        <f t="shared" si="18"/>
        <v>40.183333328459412</v>
      </c>
      <c r="O21" s="7"/>
      <c r="P21" s="7"/>
      <c r="Q21" s="26"/>
      <c r="R21" s="26"/>
      <c r="S21" s="38">
        <f t="shared" si="1"/>
        <v>1</v>
      </c>
      <c r="T21" s="55" t="str">
        <f t="shared" si="2"/>
        <v>NorthBound</v>
      </c>
      <c r="U21" s="13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03:38:42-0600',mode:absolute,to:'2016-08-11 06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1" s="57" t="str">
        <f t="shared" si="4"/>
        <v>N</v>
      </c>
      <c r="X21" s="133">
        <f t="shared" si="19"/>
        <v>1</v>
      </c>
      <c r="Y21" s="72">
        <f t="shared" si="15"/>
        <v>4.5499999999999999E-2</v>
      </c>
      <c r="Z21" s="72">
        <f t="shared" si="16"/>
        <v>23.328600000000002</v>
      </c>
      <c r="AA21" s="72">
        <f t="shared" si="5"/>
        <v>23.283100000000001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6"/>
        <v>0109-11</v>
      </c>
      <c r="AE21" s="108" t="str">
        <f t="shared" si="7"/>
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</c>
      <c r="AF21" s="105" t="str">
        <f t="shared" si="8"/>
        <v>"C:\Program Files (x86)\AstroGrep\AstroGrep.exe" /spath="%USERPROFILE%\AppData\Local\Temp\OnboardLogs" /stypes="*4016*20160811*" /stext=" 11:.+((SYSTEM_STATE.+slice.+state.+changed )|(ment ac)|(system.+state.+changed )|(\|lc)|(penalty)|(\[timeout)|(PRM\|1\|D)|(kpr)|(kdp))" /e /r /s</v>
      </c>
      <c r="AG21" s="1" t="str">
        <f t="shared" si="12"/>
        <v>EC</v>
      </c>
      <c r="AH21" s="109" t="str">
        <f t="shared" si="17"/>
        <v>"%USERPROFILE%\Documents\GitHub\eaglep3\Utilities\RefineRTDCRunTimes.py" --tripid 109-11 --locoid 4016 --swversion DE.1.0.7.0 --startMP 204:455 --initTime 2016-08-11T04:38:42 --startdatetime 2016-08-11T04:41:05 --delay 2 --endMP 204:233286 --enddatetime 2016-08-11T05:21:16 --enforcementcount 0</v>
      </c>
    </row>
    <row r="22" spans="1:34" s="1" customFormat="1" x14ac:dyDescent="0.25">
      <c r="A22" s="42" t="s">
        <v>289</v>
      </c>
      <c r="B22" s="7">
        <v>4015</v>
      </c>
      <c r="C22" s="25" t="s">
        <v>130</v>
      </c>
      <c r="D22" s="25" t="s">
        <v>290</v>
      </c>
      <c r="E22" s="16">
        <v>42593.234456018516</v>
      </c>
      <c r="F22" s="16">
        <v>42593.236018518517</v>
      </c>
      <c r="G22" s="7">
        <v>2</v>
      </c>
      <c r="H22" s="16" t="s">
        <v>154</v>
      </c>
      <c r="I22" s="16">
        <v>42593.26353009259</v>
      </c>
      <c r="J22" s="7">
        <v>0</v>
      </c>
      <c r="K22" s="149" t="str">
        <f t="shared" si="10"/>
        <v>4015/4016</v>
      </c>
      <c r="L22" s="25" t="str">
        <f>VLOOKUP(A22,'Trips&amp;Operators'!$C$1:$E$10000,3,FALSE)</f>
        <v>ROCHA</v>
      </c>
      <c r="M22" s="6">
        <f t="shared" si="0"/>
        <v>2.7511574073287193E-2</v>
      </c>
      <c r="N22" s="7">
        <f t="shared" si="18"/>
        <v>39.616666665533558</v>
      </c>
      <c r="O22" s="7"/>
      <c r="P22" s="7"/>
      <c r="Q22" s="26"/>
      <c r="R22" s="26"/>
      <c r="S22" s="38">
        <f t="shared" si="1"/>
        <v>1</v>
      </c>
      <c r="T22" s="55" t="str">
        <f t="shared" si="2"/>
        <v>Southbound</v>
      </c>
      <c r="U22" s="13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04:37:37-0600',mode:absolute,to:'2016-08-11 07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2" s="57" t="str">
        <f t="shared" si="4"/>
        <v>N</v>
      </c>
      <c r="X22" s="133">
        <f t="shared" si="19"/>
        <v>1</v>
      </c>
      <c r="Y22" s="72">
        <f t="shared" si="15"/>
        <v>23.2973</v>
      </c>
      <c r="Z22" s="72">
        <f t="shared" si="16"/>
        <v>1.5800000000000002E-2</v>
      </c>
      <c r="AA22" s="72">
        <f t="shared" si="5"/>
        <v>23.281500000000001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6"/>
        <v>0110-11</v>
      </c>
      <c r="AE22" s="108" t="str">
        <f t="shared" si="7"/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AF22" s="105" t="str">
        <f t="shared" si="8"/>
        <v>"C:\Program Files (x86)\AstroGrep\AstroGrep.exe" /spath="%USERPROFILE%\AppData\Local\Temp\OnboardLogs" /stypes="*4015*20160811*" /stext=" 12:.+((SYSTEM_STATE.+slice.+state.+changed )|(ment ac)|(system.+state.+changed )|(\|lc)|(penalty)|(\[timeout)|(PRM\|1\|D)|(kpr)|(kdp))" /e /r /s</v>
      </c>
      <c r="AG22" s="1" t="str">
        <f t="shared" si="12"/>
        <v>EC</v>
      </c>
      <c r="AH22" s="109" t="str">
        <f t="shared" si="17"/>
        <v>"%USERPROFILE%\Documents\GitHub\eaglep3\Utilities\RefineRTDCRunTimes.py" --tripid 110-11 --locoid 4015 --swversion DE.1.0.7.0 --startMP 204:232973 --initTime 2016-08-11T05:37:37 --startdatetime 2016-08-11T05:39:52 --delay 2 --endMP 204:158 --enddatetime 2016-08-11T06:19:29 --enforcementcount 0</v>
      </c>
    </row>
    <row r="23" spans="1:34" s="1" customFormat="1" ht="16.5" customHeight="1" x14ac:dyDescent="0.25">
      <c r="A23" s="42" t="s">
        <v>291</v>
      </c>
      <c r="B23" s="7">
        <v>4011</v>
      </c>
      <c r="C23" s="25" t="s">
        <v>130</v>
      </c>
      <c r="D23" s="25" t="s">
        <v>234</v>
      </c>
      <c r="E23" s="16">
        <v>42593.208981481483</v>
      </c>
      <c r="F23" s="16">
        <v>42593.210787037038</v>
      </c>
      <c r="G23" s="7">
        <v>2</v>
      </c>
      <c r="H23" s="16" t="s">
        <v>175</v>
      </c>
      <c r="I23" s="16">
        <v>42593.242152777777</v>
      </c>
      <c r="J23" s="7">
        <v>0</v>
      </c>
      <c r="K23" s="149" t="str">
        <f t="shared" si="10"/>
        <v>4011/4012</v>
      </c>
      <c r="L23" s="25" t="str">
        <f>VLOOKUP(A23,'Trips&amp;Operators'!$C$1:$E$10000,3,FALSE)</f>
        <v>SANTIZO</v>
      </c>
      <c r="M23" s="6">
        <f t="shared" si="0"/>
        <v>3.1365740738692693E-2</v>
      </c>
      <c r="N23" s="7">
        <f t="shared" si="18"/>
        <v>45.166666663717479</v>
      </c>
      <c r="O23" s="7"/>
      <c r="P23" s="7"/>
      <c r="Q23" s="26"/>
      <c r="R23" s="26"/>
      <c r="S23" s="38">
        <f t="shared" si="1"/>
        <v>1</v>
      </c>
      <c r="T23" s="55" t="str">
        <f t="shared" si="2"/>
        <v>NorthBound</v>
      </c>
      <c r="U23" s="13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04:00:56-0600',mode:absolute,to:'2016-08-11 06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23" s="57" t="str">
        <f t="shared" si="4"/>
        <v>N</v>
      </c>
      <c r="X23" s="133">
        <f t="shared" si="19"/>
        <v>1</v>
      </c>
      <c r="Y23" s="72">
        <f t="shared" si="15"/>
        <v>7.4800000000000005E-2</v>
      </c>
      <c r="Z23" s="72">
        <f t="shared" si="16"/>
        <v>23.331199999999999</v>
      </c>
      <c r="AA23" s="72">
        <f t="shared" si="5"/>
        <v>23.256399999999999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6"/>
        <v>0111-11</v>
      </c>
      <c r="AE23" s="108" t="str">
        <f t="shared" si="7"/>
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</c>
      <c r="AF23" s="105" t="str">
        <f t="shared" si="8"/>
        <v>"C:\Program Files (x86)\AstroGrep\AstroGrep.exe" /spath="%USERPROFILE%\AppData\Local\Temp\OnboardLogs" /stypes="*4011*20160811*" /stext=" 11:.+((SYSTEM_STATE.+slice.+state.+changed )|(ment ac)|(system.+state.+changed )|(\|lc)|(penalty)|(\[timeout)|(PRM\|1\|D)|(kpr)|(kdp))" /e /r /s</v>
      </c>
      <c r="AG23" s="1" t="str">
        <f t="shared" si="12"/>
        <v>EC</v>
      </c>
      <c r="AH23" s="109" t="str">
        <f t="shared" si="17"/>
        <v>"%USERPROFILE%\Documents\GitHub\eaglep3\Utilities\RefineRTDCRunTimes.py" --tripid 111-11 --locoid 4011 --swversion DE.1.0.7.0 --startMP 204:748 --initTime 2016-08-11T05:00:56 --startdatetime 2016-08-11T05:03:32 --delay 2 --endMP 204:233312 --enddatetime 2016-08-11T05:48:42 --enforcementcount 0</v>
      </c>
    </row>
    <row r="24" spans="1:34" s="1" customFormat="1" x14ac:dyDescent="0.25">
      <c r="A24" s="42" t="s">
        <v>292</v>
      </c>
      <c r="B24" s="7">
        <v>4012</v>
      </c>
      <c r="C24" s="25" t="s">
        <v>130</v>
      </c>
      <c r="D24" s="25" t="s">
        <v>293</v>
      </c>
      <c r="E24" s="16">
        <v>42593.244942129626</v>
      </c>
      <c r="F24" s="16">
        <v>42593.246134259258</v>
      </c>
      <c r="G24" s="7">
        <v>1</v>
      </c>
      <c r="H24" s="16" t="s">
        <v>166</v>
      </c>
      <c r="I24" s="16">
        <v>42593.274328703701</v>
      </c>
      <c r="J24" s="7">
        <v>1</v>
      </c>
      <c r="K24" s="149" t="str">
        <f t="shared" si="10"/>
        <v>4011/4012</v>
      </c>
      <c r="L24" s="25" t="str">
        <f>VLOOKUP(A24,'Trips&amp;Operators'!$C$1:$E$10000,3,FALSE)</f>
        <v>SANTIZO</v>
      </c>
      <c r="M24" s="6">
        <f t="shared" si="0"/>
        <v>2.8194444443215616E-2</v>
      </c>
      <c r="N24" s="7">
        <f t="shared" si="18"/>
        <v>40.599999998230487</v>
      </c>
      <c r="O24" s="7"/>
      <c r="P24" s="7"/>
      <c r="Q24" s="26"/>
      <c r="R24" s="26"/>
      <c r="S24" s="38">
        <f t="shared" si="1"/>
        <v>1</v>
      </c>
      <c r="T24" s="55" t="str">
        <f t="shared" si="2"/>
        <v>Southbound</v>
      </c>
      <c r="U24" s="13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04:52:43-0600',mode:absolute,to:'2016-08-11 07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24" s="57" t="str">
        <f t="shared" si="4"/>
        <v>N</v>
      </c>
      <c r="X24" s="133">
        <f t="shared" si="19"/>
        <v>1</v>
      </c>
      <c r="Y24" s="72">
        <f t="shared" si="15"/>
        <v>23.299099999999999</v>
      </c>
      <c r="Z24" s="72">
        <f t="shared" si="16"/>
        <v>1.49E-2</v>
      </c>
      <c r="AA24" s="72">
        <f t="shared" si="5"/>
        <v>23.284199999999998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6"/>
        <v>0112-11</v>
      </c>
      <c r="AE24" s="108" t="str">
        <f t="shared" si="7"/>
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</c>
      <c r="AF24" s="105" t="str">
        <f t="shared" si="8"/>
        <v>"C:\Program Files (x86)\AstroGrep\AstroGrep.exe" /spath="%USERPROFILE%\AppData\Local\Temp\OnboardLogs" /stypes="*4012*20160811*" /stext=" 12:.+((SYSTEM_STATE.+slice.+state.+changed )|(ment ac)|(system.+state.+changed )|(\|lc)|(penalty)|(\[timeout)|(PRM\|1\|D)|(kpr)|(kdp))" /e /r /s</v>
      </c>
      <c r="AG24" s="1" t="str">
        <f t="shared" si="12"/>
        <v>EC</v>
      </c>
      <c r="AH24" s="109" t="str">
        <f t="shared" si="17"/>
        <v>"%USERPROFILE%\Documents\GitHub\eaglep3\Utilities\RefineRTDCRunTimes.py" --tripid 112-11 --locoid 4012 --swversion DE.1.0.7.0 --startMP 204:232991 --initTime 2016-08-11T05:52:43 --startdatetime 2016-08-11T05:54:26 --delay 1 --endMP 204:149 --enddatetime 2016-08-11T06:35:02 --enforcementcount 1</v>
      </c>
    </row>
    <row r="25" spans="1:34" s="32" customFormat="1" x14ac:dyDescent="0.25">
      <c r="A25" s="42" t="s">
        <v>294</v>
      </c>
      <c r="B25" s="7">
        <v>4038</v>
      </c>
      <c r="C25" s="25" t="s">
        <v>130</v>
      </c>
      <c r="D25" s="25" t="s">
        <v>236</v>
      </c>
      <c r="E25" s="16">
        <v>42593.213518518518</v>
      </c>
      <c r="F25" s="16">
        <v>42593.21465277778</v>
      </c>
      <c r="G25" s="7">
        <v>1</v>
      </c>
      <c r="H25" s="16" t="s">
        <v>128</v>
      </c>
      <c r="I25" s="16">
        <v>42593.244618055556</v>
      </c>
      <c r="J25" s="7">
        <v>0</v>
      </c>
      <c r="K25" s="149" t="str">
        <f t="shared" si="10"/>
        <v>4037/4038</v>
      </c>
      <c r="L25" s="25" t="str">
        <f>VLOOKUP(A25,'Trips&amp;Operators'!$C$1:$E$10000,3,FALSE)</f>
        <v>MAELZER</v>
      </c>
      <c r="M25" s="6">
        <f t="shared" si="0"/>
        <v>2.9965277775772847E-2</v>
      </c>
      <c r="N25" s="7">
        <f t="shared" si="18"/>
        <v>43.1499999971129</v>
      </c>
      <c r="O25" s="7"/>
      <c r="P25" s="7"/>
      <c r="Q25" s="26"/>
      <c r="R25" s="26"/>
      <c r="S25" s="38">
        <f t="shared" si="1"/>
        <v>1</v>
      </c>
      <c r="T25" s="55" t="str">
        <f t="shared" si="2"/>
        <v>NorthBound</v>
      </c>
      <c r="U25" s="13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04:07:28-0600',mode:absolute,to:'2016-08-11 06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5" s="57" t="str">
        <f t="shared" si="4"/>
        <v>N</v>
      </c>
      <c r="X25" s="133">
        <f t="shared" si="19"/>
        <v>1</v>
      </c>
      <c r="Y25" s="72">
        <f t="shared" si="15"/>
        <v>4.4699999999999997E-2</v>
      </c>
      <c r="Z25" s="72">
        <f t="shared" si="16"/>
        <v>23.329499999999999</v>
      </c>
      <c r="AA25" s="72">
        <f t="shared" si="5"/>
        <v>23.284800000000001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6"/>
        <v>0113-11</v>
      </c>
      <c r="AE25" s="108" t="str">
        <f t="shared" si="7"/>
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</c>
      <c r="AF25" s="105" t="str">
        <f t="shared" si="8"/>
        <v>"C:\Program Files (x86)\AstroGrep\AstroGrep.exe" /spath="%USERPROFILE%\AppData\Local\Temp\OnboardLogs" /stypes="*4038*20160811*" /stext=" 11:.+((SYSTEM_STATE.+slice.+state.+changed )|(ment ac)|(system.+state.+changed )|(\|lc)|(penalty)|(\[timeout)|(PRM\|1\|D)|(kpr)|(kdp))" /e /r /s</v>
      </c>
      <c r="AG25" s="1" t="str">
        <f t="shared" si="12"/>
        <v>EC</v>
      </c>
      <c r="AH25" s="109" t="str">
        <f t="shared" si="17"/>
        <v>"%USERPROFILE%\Documents\GitHub\eaglep3\Utilities\RefineRTDCRunTimes.py" --tripid 113-11 --locoid 4038 --swversion DE.1.0.7.0 --startMP 204:447 --initTime 2016-08-11T05:07:28 --startdatetime 2016-08-11T05:09:06 --delay 1 --endMP 204:233295 --enddatetime 2016-08-11T05:52:15 --enforcementcount 0</v>
      </c>
    </row>
    <row r="26" spans="1:34" s="1" customFormat="1" x14ac:dyDescent="0.25">
      <c r="A26" s="42" t="s">
        <v>295</v>
      </c>
      <c r="B26" s="7">
        <v>4037</v>
      </c>
      <c r="C26" s="25" t="s">
        <v>130</v>
      </c>
      <c r="D26" s="25" t="s">
        <v>208</v>
      </c>
      <c r="E26" s="16">
        <v>42593.249814814815</v>
      </c>
      <c r="F26" s="16">
        <v>42593.250601851854</v>
      </c>
      <c r="G26" s="7">
        <v>1</v>
      </c>
      <c r="H26" s="16" t="s">
        <v>204</v>
      </c>
      <c r="I26" s="16">
        <v>42593.285162037035</v>
      </c>
      <c r="J26" s="7">
        <v>0</v>
      </c>
      <c r="K26" s="149" t="str">
        <f t="shared" si="10"/>
        <v>4037/4038</v>
      </c>
      <c r="L26" s="25" t="str">
        <f>VLOOKUP(A26,'Trips&amp;Operators'!$C$1:$E$10000,3,FALSE)</f>
        <v>MAELZER</v>
      </c>
      <c r="M26" s="6">
        <f t="shared" si="0"/>
        <v>3.4560185180453118E-2</v>
      </c>
      <c r="N26" s="7">
        <f t="shared" si="18"/>
        <v>49.76666665985249</v>
      </c>
      <c r="O26" s="7"/>
      <c r="P26" s="7"/>
      <c r="Q26" s="26"/>
      <c r="R26" s="26"/>
      <c r="S26" s="38">
        <f t="shared" si="1"/>
        <v>1</v>
      </c>
      <c r="T26" s="55" t="str">
        <f t="shared" si="2"/>
        <v>Southbound</v>
      </c>
      <c r="U26" s="13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04:59:44-0600',mode:absolute,to:'2016-08-11 07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6" s="57" t="str">
        <f t="shared" si="4"/>
        <v>N</v>
      </c>
      <c r="X26" s="133">
        <f t="shared" si="19"/>
        <v>1</v>
      </c>
      <c r="Y26" s="72">
        <f t="shared" si="15"/>
        <v>23.297999999999998</v>
      </c>
      <c r="Z26" s="72">
        <f t="shared" si="16"/>
        <v>1.3899999999999999E-2</v>
      </c>
      <c r="AA26" s="72">
        <f t="shared" si="5"/>
        <v>23.284099999999999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si="6"/>
        <v>0114-11</v>
      </c>
      <c r="AE26" s="108" t="str">
        <f t="shared" si="7"/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AF26" s="105" t="str">
        <f t="shared" si="8"/>
        <v>"C:\Program Files (x86)\AstroGrep\AstroGrep.exe" /spath="%USERPROFILE%\AppData\Local\Temp\OnboardLogs" /stypes="*4037*20160811*" /stext=" 12:.+((SYSTEM_STATE.+slice.+state.+changed )|(ment ac)|(system.+state.+changed )|(\|lc)|(penalty)|(\[timeout)|(PRM\|1\|D)|(kpr)|(kdp))" /e /r /s</v>
      </c>
      <c r="AG26" s="1" t="str">
        <f t="shared" si="12"/>
        <v>EC</v>
      </c>
      <c r="AH26" s="109" t="str">
        <f t="shared" si="17"/>
        <v>"%USERPROFILE%\Documents\GitHub\eaglep3\Utilities\RefineRTDCRunTimes.py" --tripid 114-11 --locoid 4037 --swversion DE.1.0.7.0 --startMP 204:232980 --initTime 2016-08-11T05:59:44 --startdatetime 2016-08-11T06:00:52 --delay 1 --endMP 204:139 --enddatetime 2016-08-11T06:50:38 --enforcementcount 0</v>
      </c>
    </row>
    <row r="27" spans="1:34" s="1" customFormat="1" x14ac:dyDescent="0.25">
      <c r="A27" s="42" t="s">
        <v>296</v>
      </c>
      <c r="B27" s="7">
        <v>4029</v>
      </c>
      <c r="C27" s="25" t="s">
        <v>130</v>
      </c>
      <c r="D27" s="25" t="s">
        <v>297</v>
      </c>
      <c r="E27" s="16">
        <v>42593.228391203702</v>
      </c>
      <c r="F27" s="16">
        <v>42593.229456018518</v>
      </c>
      <c r="G27" s="7">
        <v>1</v>
      </c>
      <c r="H27" s="16" t="s">
        <v>237</v>
      </c>
      <c r="I27" s="16">
        <v>42593.255659722221</v>
      </c>
      <c r="J27" s="7">
        <v>0</v>
      </c>
      <c r="K27" s="149" t="str">
        <f t="shared" si="10"/>
        <v>4029/4030</v>
      </c>
      <c r="L27" s="25" t="str">
        <f>VLOOKUP(A27,'Trips&amp;Operators'!$C$1:$E$10000,3,FALSE)</f>
        <v>BRANNON</v>
      </c>
      <c r="M27" s="6">
        <f t="shared" si="0"/>
        <v>2.6203703702776693E-2</v>
      </c>
      <c r="N27" s="7">
        <f t="shared" si="18"/>
        <v>37.733333331998438</v>
      </c>
      <c r="O27" s="7"/>
      <c r="P27" s="7"/>
      <c r="Q27" s="26"/>
      <c r="R27" s="26"/>
      <c r="S27" s="38">
        <f t="shared" si="1"/>
        <v>1</v>
      </c>
      <c r="T27" s="55" t="str">
        <f t="shared" si="2"/>
        <v>NorthBound</v>
      </c>
      <c r="U27" s="13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04:28:53-0600',mode:absolute,to:'2016-08-11 07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7" s="57" t="str">
        <f t="shared" si="4"/>
        <v>N</v>
      </c>
      <c r="X27" s="133">
        <f t="shared" si="19"/>
        <v>1</v>
      </c>
      <c r="Y27" s="72">
        <f t="shared" si="15"/>
        <v>7.5499999999999998E-2</v>
      </c>
      <c r="Z27" s="72">
        <f t="shared" si="16"/>
        <v>23.331</v>
      </c>
      <c r="AA27" s="72">
        <f t="shared" si="5"/>
        <v>23.255499999999998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6"/>
        <v>0115-11</v>
      </c>
      <c r="AE27" s="108" t="str">
        <f t="shared" si="7"/>
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</c>
      <c r="AF27" s="105" t="str">
        <f t="shared" si="8"/>
        <v>"C:\Program Files (x86)\AstroGrep\AstroGrep.exe" /spath="%USERPROFILE%\AppData\Local\Temp\OnboardLogs" /stypes="*4029*20160811*" /stext=" 12:.+((SYSTEM_STATE.+slice.+state.+changed )|(ment ac)|(system.+state.+changed )|(\|lc)|(penalty)|(\[timeout)|(PRM\|1\|D)|(kpr)|(kdp))" /e /r /s</v>
      </c>
      <c r="AG27" s="1" t="str">
        <f t="shared" si="12"/>
        <v>EC</v>
      </c>
      <c r="AH27" s="109" t="str">
        <f t="shared" si="17"/>
        <v>"%USERPROFILE%\Documents\GitHub\eaglep3\Utilities\RefineRTDCRunTimes.py" --tripid 115-11 --locoid 4029 --swversion DE.1.0.7.0 --startMP 204:755 --initTime 2016-08-11T05:28:53 --startdatetime 2016-08-11T05:30:25 --delay 1 --endMP 204:233310 --enddatetime 2016-08-11T06:08:09 --enforcementcount 0</v>
      </c>
    </row>
    <row r="28" spans="1:34" s="1" customFormat="1" ht="14.25" customHeight="1" x14ac:dyDescent="0.25">
      <c r="A28" s="42" t="s">
        <v>298</v>
      </c>
      <c r="B28" s="148">
        <v>4030</v>
      </c>
      <c r="C28" s="25" t="s">
        <v>130</v>
      </c>
      <c r="D28" s="25" t="s">
        <v>293</v>
      </c>
      <c r="E28" s="16">
        <v>42593.260231481479</v>
      </c>
      <c r="F28" s="16">
        <v>42593.263206018521</v>
      </c>
      <c r="G28" s="7">
        <v>4</v>
      </c>
      <c r="H28" s="16" t="s">
        <v>169</v>
      </c>
      <c r="I28" s="16">
        <v>42593.295300925929</v>
      </c>
      <c r="J28" s="7">
        <v>0</v>
      </c>
      <c r="K28" s="149" t="str">
        <f t="shared" si="10"/>
        <v>4029/4030</v>
      </c>
      <c r="L28" s="25" t="str">
        <f>VLOOKUP(A28,'Trips&amp;Operators'!$C$1:$E$10000,3,FALSE)</f>
        <v>BRANNON</v>
      </c>
      <c r="M28" s="6">
        <f t="shared" si="0"/>
        <v>3.2094907408463769E-2</v>
      </c>
      <c r="N28" s="7">
        <f t="shared" si="18"/>
        <v>46.216666668187827</v>
      </c>
      <c r="O28" s="7"/>
      <c r="P28" s="7"/>
      <c r="Q28" s="26"/>
      <c r="R28" s="26"/>
      <c r="S28" s="38">
        <f t="shared" si="1"/>
        <v>1</v>
      </c>
      <c r="T28" s="55" t="str">
        <f t="shared" si="2"/>
        <v>Southbound</v>
      </c>
      <c r="U28" s="13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05:14:44-0600',mode:absolute,to:'2016-08-11 08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8" s="57" t="str">
        <f t="shared" si="4"/>
        <v>N</v>
      </c>
      <c r="X28" s="133">
        <f t="shared" si="19"/>
        <v>1</v>
      </c>
      <c r="Y28" s="72">
        <f t="shared" si="15"/>
        <v>23.299099999999999</v>
      </c>
      <c r="Z28" s="72">
        <f t="shared" si="16"/>
        <v>1.41E-2</v>
      </c>
      <c r="AA28" s="72">
        <f t="shared" si="5"/>
        <v>23.285</v>
      </c>
      <c r="AB28" s="69" t="e">
        <f>VLOOKUP(A28,Enforcements!$C$7:$J$24,8,0)</f>
        <v>#N/A</v>
      </c>
      <c r="AC28" s="65" t="e">
        <f>VLOOKUP(A28,Enforcements!$C$7:$E$24,3,0)</f>
        <v>#N/A</v>
      </c>
      <c r="AD28" s="66" t="str">
        <f t="shared" si="6"/>
        <v>0116-11</v>
      </c>
      <c r="AE28" s="108" t="str">
        <f t="shared" si="7"/>
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</c>
      <c r="AF28" s="105" t="str">
        <f t="shared" si="8"/>
        <v>"C:\Program Files (x86)\AstroGrep\AstroGrep.exe" /spath="%USERPROFILE%\AppData\Local\Temp\OnboardLogs" /stypes="*4030*20160811*" /stext=" 13:.+((SYSTEM_STATE.+slice.+state.+changed )|(ment ac)|(system.+state.+changed )|(\|lc)|(penalty)|(\[timeout)|(PRM\|1\|D)|(kpr)|(kdp))" /e /r /s</v>
      </c>
      <c r="AG28" s="1" t="str">
        <f t="shared" si="12"/>
        <v>EC</v>
      </c>
      <c r="AH28" s="109" t="str">
        <f t="shared" si="17"/>
        <v>"%USERPROFILE%\Documents\GitHub\eaglep3\Utilities\RefineRTDCRunTimes.py" --tripid 116-11 --locoid 4030 --swversion DE.1.0.7.0 --startMP 204:232991 --initTime 2016-08-11T06:14:44 --startdatetime 2016-08-11T06:19:01 --delay 4 --endMP 204:141 --enddatetime 2016-08-11T07:05:14 --enforcementcount 0</v>
      </c>
    </row>
    <row r="29" spans="1:34" s="1" customFormat="1" x14ac:dyDescent="0.25">
      <c r="A29" s="42" t="s">
        <v>299</v>
      </c>
      <c r="B29" s="7">
        <v>4014</v>
      </c>
      <c r="C29" s="25" t="s">
        <v>130</v>
      </c>
      <c r="D29" s="25" t="s">
        <v>300</v>
      </c>
      <c r="E29" s="16">
        <v>42593.236620370371</v>
      </c>
      <c r="F29" s="16">
        <v>42593.237986111111</v>
      </c>
      <c r="G29" s="7">
        <v>1</v>
      </c>
      <c r="H29" s="16" t="s">
        <v>301</v>
      </c>
      <c r="I29" s="16">
        <v>42593.26599537037</v>
      </c>
      <c r="J29" s="7">
        <v>0</v>
      </c>
      <c r="K29" s="149" t="str">
        <f t="shared" si="10"/>
        <v>4013/4014</v>
      </c>
      <c r="L29" s="25" t="str">
        <f>VLOOKUP(A29,'Trips&amp;Operators'!$C$1:$E$10000,3,FALSE)</f>
        <v>STARKS</v>
      </c>
      <c r="M29" s="6">
        <f t="shared" si="0"/>
        <v>2.8009259258396924E-2</v>
      </c>
      <c r="N29" s="7">
        <f t="shared" si="18"/>
        <v>40.33333333209157</v>
      </c>
      <c r="O29" s="7"/>
      <c r="P29" s="7"/>
      <c r="Q29" s="26"/>
      <c r="R29" s="26"/>
      <c r="S29" s="38">
        <f t="shared" si="1"/>
        <v>1</v>
      </c>
      <c r="T29" s="55" t="str">
        <f t="shared" si="2"/>
        <v>NorthBound</v>
      </c>
      <c r="U29" s="13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04:40:44-0600',mode:absolute,to:'2016-08-11 07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29" s="57" t="str">
        <f t="shared" si="4"/>
        <v>N</v>
      </c>
      <c r="X29" s="133">
        <f t="shared" si="19"/>
        <v>1</v>
      </c>
      <c r="Y29" s="72">
        <f t="shared" si="15"/>
        <v>4.2599999999999999E-2</v>
      </c>
      <c r="Z29" s="72">
        <f t="shared" si="16"/>
        <v>23.330100000000002</v>
      </c>
      <c r="AA29" s="72">
        <f t="shared" si="5"/>
        <v>23.287500000000001</v>
      </c>
      <c r="AB29" s="69" t="e">
        <f>VLOOKUP(A29,Enforcements!$C$7:$J$24,8,0)</f>
        <v>#N/A</v>
      </c>
      <c r="AC29" s="65" t="e">
        <f>VLOOKUP(A29,Enforcements!$C$7:$E$24,3,0)</f>
        <v>#N/A</v>
      </c>
      <c r="AD29" s="66" t="str">
        <f t="shared" si="6"/>
        <v>0117-11</v>
      </c>
      <c r="AE29" s="108" t="str">
        <f t="shared" si="7"/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29" s="105" t="str">
        <f t="shared" si="8"/>
        <v>"C:\Program Files (x86)\AstroGrep\AstroGrep.exe" /spath="%USERPROFILE%\AppData\Local\Temp\OnboardLogs" /stypes="*4014*20160811*" /stext=" 12:.+((SYSTEM_STATE.+slice.+state.+changed )|(ment ac)|(system.+state.+changed )|(\|lc)|(penalty)|(\[timeout)|(PRM\|1\|D)|(kpr)|(kdp))" /e /r /s</v>
      </c>
      <c r="AG29" s="1" t="str">
        <f t="shared" si="12"/>
        <v>EC</v>
      </c>
      <c r="AH29" s="109" t="str">
        <f t="shared" si="17"/>
        <v>"%USERPROFILE%\Documents\GitHub\eaglep3\Utilities\RefineRTDCRunTimes.py" --tripid 117-11 --locoid 4014 --swversion DE.1.0.7.0 --startMP 204:426 --initTime 2016-08-11T05:40:44 --startdatetime 2016-08-11T05:42:42 --delay 1 --endMP 204:233301 --enddatetime 2016-08-11T06:23:02 --enforcementcount 0</v>
      </c>
    </row>
    <row r="30" spans="1:34" s="1" customFormat="1" x14ac:dyDescent="0.25">
      <c r="A30" s="42" t="s">
        <v>302</v>
      </c>
      <c r="B30" s="7">
        <v>4013</v>
      </c>
      <c r="C30" s="25" t="s">
        <v>130</v>
      </c>
      <c r="D30" s="25" t="s">
        <v>63</v>
      </c>
      <c r="E30" s="16">
        <v>42593.276006944441</v>
      </c>
      <c r="F30" s="16">
        <v>42593.277106481481</v>
      </c>
      <c r="G30" s="7">
        <v>1</v>
      </c>
      <c r="H30" s="16" t="s">
        <v>303</v>
      </c>
      <c r="I30" s="16">
        <v>42593.308854166666</v>
      </c>
      <c r="J30" s="7">
        <v>2</v>
      </c>
      <c r="K30" s="149" t="str">
        <f t="shared" si="10"/>
        <v>4013/4014</v>
      </c>
      <c r="L30" s="25" t="str">
        <f>VLOOKUP(A30,'Trips&amp;Operators'!$C$1:$E$10000,3,FALSE)</f>
        <v>STARKS</v>
      </c>
      <c r="M30" s="6">
        <f t="shared" si="0"/>
        <v>3.1747685185109731E-2</v>
      </c>
      <c r="N30" s="7">
        <f t="shared" si="18"/>
        <v>45.716666666558012</v>
      </c>
      <c r="O30" s="7"/>
      <c r="P30" s="7"/>
      <c r="Q30" s="26"/>
      <c r="R30" s="26"/>
      <c r="S30" s="38">
        <f t="shared" si="1"/>
        <v>1</v>
      </c>
      <c r="T30" s="55" t="str">
        <f t="shared" si="2"/>
        <v>Southbound</v>
      </c>
      <c r="U30" s="13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05:37:27-0600',mode:absolute,to:'2016-08-11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30" s="57" t="str">
        <f t="shared" si="4"/>
        <v>N</v>
      </c>
      <c r="X30" s="133">
        <f t="shared" si="19"/>
        <v>1</v>
      </c>
      <c r="Y30" s="72">
        <f t="shared" si="15"/>
        <v>23.297699999999999</v>
      </c>
      <c r="Z30" s="72">
        <f t="shared" si="16"/>
        <v>1.8700000000000001E-2</v>
      </c>
      <c r="AA30" s="72">
        <f t="shared" si="5"/>
        <v>23.279</v>
      </c>
      <c r="AB30" s="69">
        <f>VLOOKUP(A30,Enforcements!$C$7:$J$24,8,0)</f>
        <v>42961</v>
      </c>
      <c r="AC30" s="65" t="str">
        <f>VLOOKUP(A30,Enforcements!$C$7:$E$24,3,0)</f>
        <v>GRADE CROSSING</v>
      </c>
      <c r="AD30" s="66" t="str">
        <f t="shared" si="6"/>
        <v>0118-11</v>
      </c>
      <c r="AE30" s="108" t="str">
        <f t="shared" si="7"/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AF30" s="105" t="str">
        <f t="shared" si="8"/>
        <v>"C:\Program Files (x86)\AstroGrep\AstroGrep.exe" /spath="%USERPROFILE%\AppData\Local\Temp\OnboardLogs" /stypes="*4013*20160811*" /stext=" 13:.+((SYSTEM_STATE.+slice.+state.+changed )|(ment ac)|(system.+state.+changed )|(\|lc)|(penalty)|(\[timeout)|(PRM\|1\|D)|(kpr)|(kdp))" /e /r /s</v>
      </c>
      <c r="AG30" s="1" t="str">
        <f t="shared" si="12"/>
        <v>EC</v>
      </c>
      <c r="AH30" s="109" t="str">
        <f t="shared" si="17"/>
        <v>"%USERPROFILE%\Documents\GitHub\eaglep3\Utilities\RefineRTDCRunTimes.py" --tripid 118-11 --locoid 4013 --swversion DE.1.0.7.0 --startMP 204:232977 --initTime 2016-08-11T06:37:27 --startdatetime 2016-08-11T06:39:02 --delay 1 --endMP 204:187 --enddatetime 2016-08-11T07:24:45 --enforcementcount 2</v>
      </c>
    </row>
    <row r="31" spans="1:34" s="1" customFormat="1" x14ac:dyDescent="0.25">
      <c r="A31" s="42" t="s">
        <v>304</v>
      </c>
      <c r="B31" s="7">
        <v>4025</v>
      </c>
      <c r="C31" s="25" t="s">
        <v>130</v>
      </c>
      <c r="D31" s="25" t="s">
        <v>305</v>
      </c>
      <c r="E31" s="16">
        <v>42593.247361111113</v>
      </c>
      <c r="F31" s="16">
        <v>42593.250243055554</v>
      </c>
      <c r="G31" s="7">
        <v>4</v>
      </c>
      <c r="H31" s="16" t="s">
        <v>306</v>
      </c>
      <c r="I31" s="16">
        <v>42593.275925925926</v>
      </c>
      <c r="J31" s="7">
        <v>0</v>
      </c>
      <c r="K31" s="149" t="str">
        <f t="shared" si="10"/>
        <v>4025/4026</v>
      </c>
      <c r="L31" s="25" t="str">
        <f>VLOOKUP(A31,'Trips&amp;Operators'!$C$1:$E$10000,3,FALSE)</f>
        <v>MALAVE</v>
      </c>
      <c r="M31" s="6">
        <f t="shared" si="0"/>
        <v>2.5682870371383615E-2</v>
      </c>
      <c r="N31" s="7">
        <f t="shared" si="18"/>
        <v>36.983333334792405</v>
      </c>
      <c r="O31" s="7"/>
      <c r="P31" s="7"/>
      <c r="Q31" s="26"/>
      <c r="R31" s="26"/>
      <c r="S31" s="38">
        <f t="shared" si="1"/>
        <v>1</v>
      </c>
      <c r="T31" s="55" t="str">
        <f t="shared" si="2"/>
        <v>NorthBound</v>
      </c>
      <c r="U31" s="13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04:56:12-0600',mode:absolute,to:'2016-08-11 07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31" s="57" t="str">
        <f t="shared" si="4"/>
        <v>N</v>
      </c>
      <c r="X31" s="133">
        <f t="shared" si="19"/>
        <v>1</v>
      </c>
      <c r="Y31" s="72">
        <f t="shared" si="15"/>
        <v>7.3400000000000007E-2</v>
      </c>
      <c r="Z31" s="72">
        <f t="shared" si="16"/>
        <v>23.330200000000001</v>
      </c>
      <c r="AA31" s="72">
        <f t="shared" si="5"/>
        <v>23.256800000000002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6"/>
        <v>0119-11</v>
      </c>
      <c r="AE31" s="108" t="str">
        <f t="shared" si="7"/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AF31" s="105" t="str">
        <f t="shared" si="8"/>
        <v>"C:\Program Files (x86)\AstroGrep\AstroGrep.exe" /spath="%USERPROFILE%\AppData\Local\Temp\OnboardLogs" /stypes="*4025*20160811*" /stext=" 12:.+((SYSTEM_STATE.+slice.+state.+changed )|(ment ac)|(system.+state.+changed )|(\|lc)|(penalty)|(\[timeout)|(PRM\|1\|D)|(kpr)|(kdp))" /e /r /s</v>
      </c>
      <c r="AG31" s="1" t="str">
        <f t="shared" si="12"/>
        <v>EC</v>
      </c>
      <c r="AH31" s="109" t="str">
        <f t="shared" si="17"/>
        <v>"%USERPROFILE%\Documents\GitHub\eaglep3\Utilities\RefineRTDCRunTimes.py" --tripid 119-11 --locoid 4025 --swversion DE.1.0.7.0 --startMP 204:734 --initTime 2016-08-11T05:56:12 --startdatetime 2016-08-11T06:00:21 --delay 4 --endMP 204:233302 --enddatetime 2016-08-11T06:37:20 --enforcementcount 0</v>
      </c>
    </row>
    <row r="32" spans="1:34" s="1" customFormat="1" x14ac:dyDescent="0.25">
      <c r="A32" s="42" t="s">
        <v>307</v>
      </c>
      <c r="B32" s="7">
        <v>4026</v>
      </c>
      <c r="C32" s="25" t="s">
        <v>130</v>
      </c>
      <c r="D32" s="25" t="s">
        <v>195</v>
      </c>
      <c r="E32" s="16">
        <v>42593.286782407406</v>
      </c>
      <c r="F32" s="16">
        <v>42593.288217592592</v>
      </c>
      <c r="G32" s="7">
        <v>2</v>
      </c>
      <c r="H32" s="16" t="s">
        <v>154</v>
      </c>
      <c r="I32" s="16">
        <v>42593.315787037034</v>
      </c>
      <c r="J32" s="7">
        <v>0</v>
      </c>
      <c r="K32" s="149" t="str">
        <f t="shared" si="10"/>
        <v>4025/4026</v>
      </c>
      <c r="L32" s="25" t="str">
        <f>VLOOKUP(A32,'Trips&amp;Operators'!$C$1:$E$10000,3,FALSE)</f>
        <v>MALAVE</v>
      </c>
      <c r="M32" s="6">
        <f t="shared" si="0"/>
        <v>2.7569444442633539E-2</v>
      </c>
      <c r="N32" s="7">
        <f t="shared" si="18"/>
        <v>39.699999997392297</v>
      </c>
      <c r="O32" s="7"/>
      <c r="P32" s="7"/>
      <c r="Q32" s="26"/>
      <c r="R32" s="26"/>
      <c r="S32" s="38">
        <f t="shared" si="1"/>
        <v>1</v>
      </c>
      <c r="T32" s="55" t="str">
        <f t="shared" si="2"/>
        <v>Southbound</v>
      </c>
      <c r="U32" s="13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05:52:58-0600',mode:absolute,to:'2016-08-11 08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32" s="57" t="str">
        <f t="shared" si="4"/>
        <v>N</v>
      </c>
      <c r="X32" s="133">
        <f t="shared" si="19"/>
        <v>1</v>
      </c>
      <c r="Y32" s="72">
        <f t="shared" si="15"/>
        <v>23.298300000000001</v>
      </c>
      <c r="Z32" s="72">
        <f t="shared" si="16"/>
        <v>1.5800000000000002E-2</v>
      </c>
      <c r="AA32" s="72">
        <f t="shared" si="5"/>
        <v>23.282500000000002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6"/>
        <v>0120-11</v>
      </c>
      <c r="AE32" s="108" t="str">
        <f t="shared" si="7"/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AF32" s="105" t="str">
        <f t="shared" si="8"/>
        <v>"C:\Program Files (x86)\AstroGrep\AstroGrep.exe" /spath="%USERPROFILE%\AppData\Local\Temp\OnboardLogs" /stypes="*4026*20160811*" /stext=" 13:.+((SYSTEM_STATE.+slice.+state.+changed )|(ment ac)|(system.+state.+changed )|(\|lc)|(penalty)|(\[timeout)|(PRM\|1\|D)|(kpr)|(kdp))" /e /r /s</v>
      </c>
      <c r="AG32" s="1" t="str">
        <f t="shared" si="12"/>
        <v>EC</v>
      </c>
      <c r="AH32" s="109" t="str">
        <f t="shared" si="17"/>
        <v>"%USERPROFILE%\Documents\GitHub\eaglep3\Utilities\RefineRTDCRunTimes.py" --tripid 120-11 --locoid 4026 --swversion DE.1.0.7.0 --startMP 204:232983 --initTime 2016-08-11T06:52:58 --startdatetime 2016-08-11T06:55:02 --delay 2 --endMP 204:158 --enddatetime 2016-08-11T07:34:44 --enforcementcount 0</v>
      </c>
    </row>
    <row r="33" spans="1:34" s="1" customFormat="1" x14ac:dyDescent="0.25">
      <c r="A33" s="42" t="s">
        <v>308</v>
      </c>
      <c r="B33" s="7">
        <v>4044</v>
      </c>
      <c r="C33" s="25" t="s">
        <v>130</v>
      </c>
      <c r="D33" s="25" t="s">
        <v>164</v>
      </c>
      <c r="E33" s="16">
        <v>42593.256006944444</v>
      </c>
      <c r="F33" s="16">
        <v>42593.257106481484</v>
      </c>
      <c r="G33" s="7">
        <v>1</v>
      </c>
      <c r="H33" s="16" t="s">
        <v>309</v>
      </c>
      <c r="I33" s="16">
        <v>42593.289618055554</v>
      </c>
      <c r="J33" s="7">
        <v>2</v>
      </c>
      <c r="K33" s="149" t="str">
        <f t="shared" si="10"/>
        <v>4043/4044</v>
      </c>
      <c r="L33" s="25" t="str">
        <f>VLOOKUP(A33,'Trips&amp;Operators'!$C$1:$E$10000,3,FALSE)</f>
        <v>STRICKLAND</v>
      </c>
      <c r="M33" s="6">
        <f t="shared" si="0"/>
        <v>3.2511574070667848E-2</v>
      </c>
      <c r="N33" s="7">
        <f t="shared" si="18"/>
        <v>46.816666661761701</v>
      </c>
      <c r="O33" s="7"/>
      <c r="P33" s="7"/>
      <c r="Q33" s="26"/>
      <c r="R33" s="26"/>
      <c r="S33" s="38">
        <f t="shared" si="1"/>
        <v>1</v>
      </c>
      <c r="T33" s="55" t="str">
        <f t="shared" si="2"/>
        <v>NorthBound</v>
      </c>
      <c r="U33" s="13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05:08:39-0600',mode:absolute,to:'2016-08-11 07:57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33" s="57" t="str">
        <f t="shared" si="4"/>
        <v>N</v>
      </c>
      <c r="X33" s="133">
        <f t="shared" si="19"/>
        <v>1</v>
      </c>
      <c r="Y33" s="72">
        <f t="shared" si="15"/>
        <v>4.4900000000000002E-2</v>
      </c>
      <c r="Z33" s="72">
        <f t="shared" si="16"/>
        <v>23.327999999999999</v>
      </c>
      <c r="AA33" s="72">
        <f t="shared" si="5"/>
        <v>23.283100000000001</v>
      </c>
      <c r="AB33" s="69">
        <f>VLOOKUP(A33,Enforcements!$C$7:$J$24,8,0)</f>
        <v>0</v>
      </c>
      <c r="AC33" s="65" t="str">
        <f>VLOOKUP(A33,Enforcements!$C$7:$E$24,3,0)</f>
        <v>PERMANENT SPEED RESTRICTION</v>
      </c>
      <c r="AD33" s="66" t="str">
        <f t="shared" si="6"/>
        <v>0121-11</v>
      </c>
      <c r="AE33" s="108" t="str">
        <f t="shared" si="7"/>
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</c>
      <c r="AF33" s="105" t="str">
        <f t="shared" si="8"/>
        <v>"C:\Program Files (x86)\AstroGrep\AstroGrep.exe" /spath="%USERPROFILE%\AppData\Local\Temp\OnboardLogs" /stypes="*4044*20160811*" /stext=" 12:.+((SYSTEM_STATE.+slice.+state.+changed )|(ment ac)|(system.+state.+changed )|(\|lc)|(penalty)|(\[timeout)|(PRM\|1\|D)|(kpr)|(kdp))" /e /r /s</v>
      </c>
      <c r="AG33" s="1" t="str">
        <f t="shared" si="12"/>
        <v>EC</v>
      </c>
      <c r="AH33" s="109" t="str">
        <f t="shared" si="17"/>
        <v>"%USERPROFILE%\Documents\GitHub\eaglep3\Utilities\RefineRTDCRunTimes.py" --tripid 121-11 --locoid 4044 --swversion DE.1.0.7.0 --startMP 204:449 --initTime 2016-08-11T06:08:39 --startdatetime 2016-08-11T06:10:14 --delay 1 --endMP 204:233280 --enddatetime 2016-08-11T06:57:03 --enforcementcount 2</v>
      </c>
    </row>
    <row r="34" spans="1:34" s="1" customFormat="1" x14ac:dyDescent="0.25">
      <c r="A34" s="42" t="s">
        <v>310</v>
      </c>
      <c r="B34" s="7">
        <v>4043</v>
      </c>
      <c r="C34" s="25" t="s">
        <v>130</v>
      </c>
      <c r="D34" s="25" t="s">
        <v>162</v>
      </c>
      <c r="E34" s="16">
        <v>42593.296886574077</v>
      </c>
      <c r="F34" s="16">
        <v>42593.297800925924</v>
      </c>
      <c r="G34" s="7">
        <v>1</v>
      </c>
      <c r="H34" s="16" t="s">
        <v>194</v>
      </c>
      <c r="I34" s="16">
        <v>42593.328946759262</v>
      </c>
      <c r="J34" s="7">
        <v>1</v>
      </c>
      <c r="K34" s="149" t="str">
        <f t="shared" si="10"/>
        <v>4043/4044</v>
      </c>
      <c r="L34" s="25" t="str">
        <f>VLOOKUP(A34,'Trips&amp;Operators'!$C$1:$E$10000,3,FALSE)</f>
        <v>STRICKLAND</v>
      </c>
      <c r="M34" s="6">
        <f t="shared" si="0"/>
        <v>3.1145833338086959E-2</v>
      </c>
      <c r="N34" s="7">
        <f t="shared" si="18"/>
        <v>44.850000006845221</v>
      </c>
      <c r="O34" s="7"/>
      <c r="P34" s="7"/>
      <c r="Q34" s="26"/>
      <c r="R34" s="26"/>
      <c r="S34" s="38">
        <f t="shared" si="1"/>
        <v>1</v>
      </c>
      <c r="T34" s="55" t="str">
        <f t="shared" si="2"/>
        <v>Southbound</v>
      </c>
      <c r="U34" s="13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06:07:31-0600',mode:absolute,to:'2016-08-11 08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34" s="57" t="str">
        <f t="shared" si="4"/>
        <v>N</v>
      </c>
      <c r="X34" s="133">
        <f t="shared" si="19"/>
        <v>1</v>
      </c>
      <c r="Y34" s="72">
        <f t="shared" si="15"/>
        <v>23.296900000000001</v>
      </c>
      <c r="Z34" s="72">
        <f t="shared" si="16"/>
        <v>1.6899999999999998E-2</v>
      </c>
      <c r="AA34" s="72">
        <f t="shared" si="5"/>
        <v>23.28</v>
      </c>
      <c r="AB34" s="69">
        <f>VLOOKUP(A34,Enforcements!$C$7:$J$24,8,0)</f>
        <v>30562</v>
      </c>
      <c r="AC34" s="65" t="str">
        <f>VLOOKUP(A34,Enforcements!$C$7:$E$24,3,0)</f>
        <v>PERMANENT SPEED RESTRICTION</v>
      </c>
      <c r="AD34" s="66" t="str">
        <f t="shared" si="6"/>
        <v>0122-11</v>
      </c>
      <c r="AE34" s="108" t="str">
        <f t="shared" si="7"/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AF34" s="105" t="str">
        <f t="shared" si="8"/>
        <v>"C:\Program Files (x86)\AstroGrep\AstroGrep.exe" /spath="%USERPROFILE%\AppData\Local\Temp\OnboardLogs" /stypes="*4043*20160811*" /stext=" 13:.+((SYSTEM_STATE.+slice.+state.+changed )|(ment ac)|(system.+state.+changed )|(\|lc)|(penalty)|(\[timeout)|(PRM\|1\|D)|(kpr)|(kdp))" /e /r /s</v>
      </c>
      <c r="AG34" s="1" t="str">
        <f t="shared" si="12"/>
        <v>EC</v>
      </c>
      <c r="AH34" s="109" t="str">
        <f t="shared" si="17"/>
        <v>"%USERPROFILE%\Documents\GitHub\eaglep3\Utilities\RefineRTDCRunTimes.py" --tripid 122-11 --locoid 4043 --swversion DE.1.0.7.0 --startMP 204:232969 --initTime 2016-08-11T07:07:31 --startdatetime 2016-08-11T07:08:50 --delay 1 --endMP 204:169 --enddatetime 2016-08-11T07:53:41 --enforcementcount 1</v>
      </c>
    </row>
    <row r="35" spans="1:34" s="1" customFormat="1" x14ac:dyDescent="0.25">
      <c r="A35" s="42" t="s">
        <v>311</v>
      </c>
      <c r="B35" s="7">
        <v>4016</v>
      </c>
      <c r="C35" s="25" t="s">
        <v>130</v>
      </c>
      <c r="D35" s="25" t="s">
        <v>199</v>
      </c>
      <c r="E35" s="16">
        <v>42593.26972222222</v>
      </c>
      <c r="F35" s="16">
        <v>42593.270462962966</v>
      </c>
      <c r="G35" s="7">
        <v>1</v>
      </c>
      <c r="H35" s="16" t="s">
        <v>206</v>
      </c>
      <c r="I35" s="16">
        <v>42593.295486111114</v>
      </c>
      <c r="J35" s="7">
        <v>0</v>
      </c>
      <c r="K35" s="149" t="str">
        <f t="shared" si="10"/>
        <v>4015/4016</v>
      </c>
      <c r="L35" s="25" t="str">
        <f>VLOOKUP(A35,'Trips&amp;Operators'!$C$1:$E$10000,3,FALSE)</f>
        <v>ROCHA</v>
      </c>
      <c r="M35" s="6">
        <f t="shared" si="0"/>
        <v>2.5023148147738539E-2</v>
      </c>
      <c r="N35" s="7">
        <f t="shared" si="18"/>
        <v>36.033333332743496</v>
      </c>
      <c r="O35" s="7"/>
      <c r="P35" s="7"/>
      <c r="Q35" s="26"/>
      <c r="R35" s="26"/>
      <c r="S35" s="38">
        <f t="shared" si="1"/>
        <v>1</v>
      </c>
      <c r="T35" s="55" t="str">
        <f t="shared" si="2"/>
        <v>NorthBound</v>
      </c>
      <c r="U35" s="13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05:28:24-0600',mode:absolute,to:'2016-08-11 08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35" s="57" t="str">
        <f t="shared" si="4"/>
        <v>N</v>
      </c>
      <c r="X35" s="133">
        <f t="shared" si="19"/>
        <v>1</v>
      </c>
      <c r="Y35" s="72">
        <f t="shared" si="15"/>
        <v>4.58E-2</v>
      </c>
      <c r="Z35" s="72">
        <f t="shared" si="16"/>
        <v>23.329799999999999</v>
      </c>
      <c r="AA35" s="72">
        <f t="shared" si="5"/>
        <v>23.283999999999999</v>
      </c>
      <c r="AB35" s="69" t="e">
        <f>VLOOKUP(A35,Enforcements!$C$7:$J$24,8,0)</f>
        <v>#N/A</v>
      </c>
      <c r="AC35" s="65" t="e">
        <f>VLOOKUP(A35,Enforcements!$C$7:$E$24,3,0)</f>
        <v>#N/A</v>
      </c>
      <c r="AD35" s="66" t="str">
        <f t="shared" si="6"/>
        <v>0123-11</v>
      </c>
      <c r="AE35" s="108" t="str">
        <f t="shared" si="7"/>
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</c>
      <c r="AF35" s="105" t="str">
        <f t="shared" si="8"/>
        <v>"C:\Program Files (x86)\AstroGrep\AstroGrep.exe" /spath="%USERPROFILE%\AppData\Local\Temp\OnboardLogs" /stypes="*4016*20160811*" /stext=" 13:.+((SYSTEM_STATE.+slice.+state.+changed )|(ment ac)|(system.+state.+changed )|(\|lc)|(penalty)|(\[timeout)|(PRM\|1\|D)|(kpr)|(kdp))" /e /r /s</v>
      </c>
      <c r="AG35" s="1" t="str">
        <f t="shared" si="12"/>
        <v>EC</v>
      </c>
      <c r="AH35" s="109" t="str">
        <f t="shared" si="17"/>
        <v>"%USERPROFILE%\Documents\GitHub\eaglep3\Utilities\RefineRTDCRunTimes.py" --tripid 123-11 --locoid 4016 --swversion DE.1.0.7.0 --startMP 204:458 --initTime 2016-08-11T06:28:24 --startdatetime 2016-08-11T06:29:28 --delay 1 --endMP 204:233298 --enddatetime 2016-08-11T07:05:30 --enforcementcount 0</v>
      </c>
    </row>
    <row r="36" spans="1:34" s="1" customFormat="1" x14ac:dyDescent="0.25">
      <c r="A36" s="42" t="s">
        <v>312</v>
      </c>
      <c r="B36" s="7">
        <v>4015</v>
      </c>
      <c r="C36" s="25" t="s">
        <v>130</v>
      </c>
      <c r="D36" s="25" t="s">
        <v>135</v>
      </c>
      <c r="E36" s="16">
        <v>42593.308692129627</v>
      </c>
      <c r="F36" s="16">
        <v>42593.309687499997</v>
      </c>
      <c r="G36" s="7">
        <v>1</v>
      </c>
      <c r="H36" s="16" t="s">
        <v>166</v>
      </c>
      <c r="I36" s="16">
        <v>42593.335821759261</v>
      </c>
      <c r="J36" s="7">
        <v>0</v>
      </c>
      <c r="K36" s="149" t="str">
        <f t="shared" si="10"/>
        <v>4015/4016</v>
      </c>
      <c r="L36" s="25" t="str">
        <f>VLOOKUP(A36,'Trips&amp;Operators'!$C$1:$E$10000,3,FALSE)</f>
        <v>ROCHA</v>
      </c>
      <c r="M36" s="6">
        <f t="shared" si="0"/>
        <v>2.6134259263926651E-2</v>
      </c>
      <c r="N36" s="7">
        <f t="shared" si="18"/>
        <v>37.633333340054378</v>
      </c>
      <c r="O36" s="7"/>
      <c r="P36" s="7"/>
      <c r="Q36" s="26"/>
      <c r="R36" s="26"/>
      <c r="S36" s="38">
        <f t="shared" si="1"/>
        <v>1</v>
      </c>
      <c r="T36" s="55" t="str">
        <f t="shared" si="2"/>
        <v>Southbound</v>
      </c>
      <c r="U36" s="13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06:24:31-0600',mode:absolute,to:'2016-08-11 09:03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36" s="57" t="str">
        <f t="shared" si="4"/>
        <v>N</v>
      </c>
      <c r="X36" s="133">
        <f t="shared" si="19"/>
        <v>1</v>
      </c>
      <c r="Y36" s="72">
        <f t="shared" si="15"/>
        <v>23.299299999999999</v>
      </c>
      <c r="Z36" s="72">
        <f t="shared" si="16"/>
        <v>1.49E-2</v>
      </c>
      <c r="AA36" s="72">
        <f t="shared" si="5"/>
        <v>23.284399999999998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6"/>
        <v>0124-11</v>
      </c>
      <c r="AE36" s="108" t="str">
        <f t="shared" si="7"/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AF36" s="105" t="str">
        <f t="shared" si="8"/>
        <v>"C:\Program Files (x86)\AstroGrep\AstroGrep.exe" /spath="%USERPROFILE%\AppData\Local\Temp\OnboardLogs" /stypes="*4015*20160811*" /stext=" 14:.+((SYSTEM_STATE.+slice.+state.+changed )|(ment ac)|(system.+state.+changed )|(\|lc)|(penalty)|(\[timeout)|(PRM\|1\|D)|(kpr)|(kdp))" /e /r /s</v>
      </c>
      <c r="AG36" s="1" t="str">
        <f t="shared" si="12"/>
        <v>EC</v>
      </c>
      <c r="AH36" s="109" t="str">
        <f t="shared" si="17"/>
        <v>"%USERPROFILE%\Documents\GitHub\eaglep3\Utilities\RefineRTDCRunTimes.py" --tripid 124-11 --locoid 4015 --swversion DE.1.0.7.0 --startMP 204:232993 --initTime 2016-08-11T07:24:31 --startdatetime 2016-08-11T07:25:57 --delay 1 --endMP 204:149 --enddatetime 2016-08-11T08:03:35 --enforcementcount 0</v>
      </c>
    </row>
    <row r="37" spans="1:34" s="1" customFormat="1" x14ac:dyDescent="0.25">
      <c r="A37" s="42" t="s">
        <v>313</v>
      </c>
      <c r="B37" s="7">
        <v>4011</v>
      </c>
      <c r="C37" s="25" t="s">
        <v>130</v>
      </c>
      <c r="D37" s="25" t="s">
        <v>196</v>
      </c>
      <c r="E37" s="16">
        <v>42593.278171296297</v>
      </c>
      <c r="F37" s="16">
        <v>42593.279027777775</v>
      </c>
      <c r="G37" s="7">
        <v>1</v>
      </c>
      <c r="H37" s="16" t="s">
        <v>301</v>
      </c>
      <c r="I37" s="16">
        <v>42593.306030092594</v>
      </c>
      <c r="J37" s="7">
        <v>0</v>
      </c>
      <c r="K37" s="149" t="str">
        <f t="shared" si="10"/>
        <v>4011/4012</v>
      </c>
      <c r="L37" s="25" t="str">
        <f>VLOOKUP(A37,'Trips&amp;Operators'!$C$1:$E$10000,3,FALSE)</f>
        <v>SANTIZO</v>
      </c>
      <c r="M37" s="6">
        <f t="shared" si="0"/>
        <v>2.7002314818673767E-2</v>
      </c>
      <c r="N37" s="7">
        <f t="shared" si="18"/>
        <v>38.883333338890225</v>
      </c>
      <c r="O37" s="7"/>
      <c r="P37" s="7"/>
      <c r="Q37" s="26"/>
      <c r="R37" s="26"/>
      <c r="S37" s="38">
        <f t="shared" si="1"/>
        <v>1</v>
      </c>
      <c r="T37" s="55" t="str">
        <f t="shared" si="2"/>
        <v>NorthBound</v>
      </c>
      <c r="U37" s="13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05:40:34-0600',mode:absolute,to:'2016-08-11 08:20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37" s="57" t="str">
        <f t="shared" si="4"/>
        <v>N</v>
      </c>
      <c r="X37" s="133">
        <f t="shared" si="19"/>
        <v>1</v>
      </c>
      <c r="Y37" s="72">
        <f t="shared" si="15"/>
        <v>4.6899999999999997E-2</v>
      </c>
      <c r="Z37" s="72">
        <f t="shared" si="16"/>
        <v>23.330100000000002</v>
      </c>
      <c r="AA37" s="72">
        <f t="shared" si="5"/>
        <v>23.283200000000001</v>
      </c>
      <c r="AB37" s="69" t="e">
        <f>VLOOKUP(A37,Enforcements!$C$7:$J$24,8,0)</f>
        <v>#N/A</v>
      </c>
      <c r="AC37" s="65" t="e">
        <f>VLOOKUP(A37,Enforcements!$C$7:$E$24,3,0)</f>
        <v>#N/A</v>
      </c>
      <c r="AD37" s="66" t="str">
        <f t="shared" si="6"/>
        <v>0125-11</v>
      </c>
      <c r="AE37" s="108" t="str">
        <f t="shared" si="7"/>
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</c>
      <c r="AF37" s="105" t="str">
        <f t="shared" si="8"/>
        <v>"C:\Program Files (x86)\AstroGrep\AstroGrep.exe" /spath="%USERPROFILE%\AppData\Local\Temp\OnboardLogs" /stypes="*4011*20160811*" /stext=" 13:.+((SYSTEM_STATE.+slice.+state.+changed )|(ment ac)|(system.+state.+changed )|(\|lc)|(penalty)|(\[timeout)|(PRM\|1\|D)|(kpr)|(kdp))" /e /r /s</v>
      </c>
      <c r="AG37" s="1" t="str">
        <f t="shared" si="12"/>
        <v>EC</v>
      </c>
      <c r="AH37" s="109" t="str">
        <f t="shared" si="17"/>
        <v>"%USERPROFILE%\Documents\GitHub\eaglep3\Utilities\RefineRTDCRunTimes.py" --tripid 125-11 --locoid 4011 --swversion DE.1.0.7.0 --startMP 204:469 --initTime 2016-08-11T06:40:34 --startdatetime 2016-08-11T06:41:48 --delay 1 --endMP 204:233301 --enddatetime 2016-08-11T07:20:41 --enforcementcount 0</v>
      </c>
    </row>
    <row r="38" spans="1:34" s="1" customFormat="1" x14ac:dyDescent="0.25">
      <c r="A38" s="42" t="s">
        <v>314</v>
      </c>
      <c r="B38" s="7">
        <v>4012</v>
      </c>
      <c r="C38" s="25" t="s">
        <v>130</v>
      </c>
      <c r="D38" s="25" t="s">
        <v>315</v>
      </c>
      <c r="E38" s="16">
        <v>42593.307743055557</v>
      </c>
      <c r="F38" s="16">
        <v>42593.308344907404</v>
      </c>
      <c r="G38" s="7">
        <v>0</v>
      </c>
      <c r="H38" s="16" t="s">
        <v>167</v>
      </c>
      <c r="I38" s="16">
        <v>42593.346597222226</v>
      </c>
      <c r="J38" s="7">
        <v>0</v>
      </c>
      <c r="K38" s="149" t="str">
        <f t="shared" si="10"/>
        <v>4011/4012</v>
      </c>
      <c r="L38" s="25" t="str">
        <f>VLOOKUP(A38,'Trips&amp;Operators'!$C$1:$E$10000,3,FALSE)</f>
        <v>SANTIZO</v>
      </c>
      <c r="M38" s="6">
        <f t="shared" si="0"/>
        <v>3.8252314821875188E-2</v>
      </c>
      <c r="N38" s="7">
        <f t="shared" si="18"/>
        <v>55.083333343500271</v>
      </c>
      <c r="O38" s="7"/>
      <c r="P38" s="7"/>
      <c r="Q38" s="26"/>
      <c r="R38" s="26"/>
      <c r="S38" s="38">
        <f t="shared" si="1"/>
        <v>1</v>
      </c>
      <c r="T38" s="55" t="str">
        <f t="shared" si="2"/>
        <v>Southbound</v>
      </c>
      <c r="U38" s="13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06:23:09-0600',mode:absolute,to:'2016-08-11 09:19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38" s="57" t="str">
        <f t="shared" si="4"/>
        <v>N</v>
      </c>
      <c r="X38" s="133">
        <f t="shared" si="19"/>
        <v>1</v>
      </c>
      <c r="Y38" s="72">
        <f t="shared" si="15"/>
        <v>23.298400000000001</v>
      </c>
      <c r="Z38" s="72">
        <f t="shared" si="16"/>
        <v>1.4500000000000001E-2</v>
      </c>
      <c r="AA38" s="72">
        <f t="shared" si="5"/>
        <v>23.283899999999999</v>
      </c>
      <c r="AB38" s="69" t="e">
        <f>VLOOKUP(A38,Enforcements!$C$7:$J$24,8,0)</f>
        <v>#N/A</v>
      </c>
      <c r="AC38" s="65" t="e">
        <f>VLOOKUP(A38,Enforcements!$C$7:$E$24,3,0)</f>
        <v>#N/A</v>
      </c>
      <c r="AD38" s="66" t="str">
        <f t="shared" si="6"/>
        <v>0126-11</v>
      </c>
      <c r="AE38" s="108" t="str">
        <f t="shared" si="7"/>
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</c>
      <c r="AF38" s="105" t="str">
        <f t="shared" si="8"/>
        <v>"C:\Program Files (x86)\AstroGrep\AstroGrep.exe" /spath="%USERPROFILE%\AppData\Local\Temp\OnboardLogs" /stypes="*4012*20160811*" /stext=" 14:.+((SYSTEM_STATE.+slice.+state.+changed )|(ment ac)|(system.+state.+changed )|(\|lc)|(penalty)|(\[timeout)|(PRM\|1\|D)|(kpr)|(kdp))" /e /r /s</v>
      </c>
      <c r="AG38" s="1" t="str">
        <f t="shared" si="12"/>
        <v>EC</v>
      </c>
      <c r="AH38" s="109" t="str">
        <f t="shared" si="17"/>
        <v>"%USERPROFILE%\Documents\GitHub\eaglep3\Utilities\RefineRTDCRunTimes.py" --tripid 126-11 --locoid 4012 --swversion DE.1.0.7.0 --startMP 204:232984 --initTime 2016-08-11T07:23:09 --startdatetime 2016-08-11T07:24:01 --delay 0 --endMP 204:145 --enddatetime 2016-08-11T08:19:06 --enforcementcount 0</v>
      </c>
    </row>
    <row r="39" spans="1:34" s="1" customFormat="1" x14ac:dyDescent="0.25">
      <c r="A39" s="42" t="s">
        <v>316</v>
      </c>
      <c r="B39" s="7">
        <v>4038</v>
      </c>
      <c r="C39" s="25" t="s">
        <v>130</v>
      </c>
      <c r="D39" s="25" t="s">
        <v>317</v>
      </c>
      <c r="E39" s="16">
        <v>42593.287152777775</v>
      </c>
      <c r="F39" s="16">
        <v>42593.288078703707</v>
      </c>
      <c r="G39" s="7">
        <v>1</v>
      </c>
      <c r="H39" s="16" t="s">
        <v>211</v>
      </c>
      <c r="I39" s="16">
        <v>42593.317037037035</v>
      </c>
      <c r="J39" s="7">
        <v>0</v>
      </c>
      <c r="K39" s="149" t="str">
        <f t="shared" si="10"/>
        <v>4037/4038</v>
      </c>
      <c r="L39" s="25" t="str">
        <f>VLOOKUP(A39,'Trips&amp;Operators'!$C$1:$E$10000,3,FALSE)</f>
        <v>MAELZER</v>
      </c>
      <c r="M39" s="6">
        <f t="shared" si="0"/>
        <v>2.8958333328773733E-2</v>
      </c>
      <c r="N39" s="7">
        <f t="shared" si="18"/>
        <v>41.699999993434176</v>
      </c>
      <c r="O39" s="7"/>
      <c r="P39" s="7"/>
      <c r="Q39" s="26"/>
      <c r="R39" s="26"/>
      <c r="S39" s="38">
        <f t="shared" si="1"/>
        <v>1</v>
      </c>
      <c r="T39" s="55" t="str">
        <f t="shared" si="2"/>
        <v>NorthBound</v>
      </c>
      <c r="U39" s="13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05:53:30-0600',mode:absolute,to:'2016-08-11 08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39" s="57" t="str">
        <f t="shared" si="4"/>
        <v>N</v>
      </c>
      <c r="X39" s="133">
        <f t="shared" si="19"/>
        <v>1</v>
      </c>
      <c r="Y39" s="72">
        <f t="shared" si="15"/>
        <v>4.6600000000000003E-2</v>
      </c>
      <c r="Z39" s="72">
        <f t="shared" si="16"/>
        <v>23.332699999999999</v>
      </c>
      <c r="AA39" s="72">
        <f t="shared" si="5"/>
        <v>23.286099999999998</v>
      </c>
      <c r="AB39" s="69" t="e">
        <f>VLOOKUP(A39,Enforcements!$C$7:$J$24,8,0)</f>
        <v>#N/A</v>
      </c>
      <c r="AC39" s="65" t="e">
        <f>VLOOKUP(A39,Enforcements!$C$7:$E$24,3,0)</f>
        <v>#N/A</v>
      </c>
      <c r="AD39" s="66" t="str">
        <f t="shared" si="6"/>
        <v>0127-11</v>
      </c>
      <c r="AE39" s="108" t="str">
        <f t="shared" si="7"/>
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</c>
      <c r="AF39" s="105" t="str">
        <f t="shared" si="8"/>
        <v>"C:\Program Files (x86)\AstroGrep\AstroGrep.exe" /spath="%USERPROFILE%\AppData\Local\Temp\OnboardLogs" /stypes="*4038*20160811*" /stext=" 13:.+((SYSTEM_STATE.+slice.+state.+changed )|(ment ac)|(system.+state.+changed )|(\|lc)|(penalty)|(\[timeout)|(PRM\|1\|D)|(kpr)|(kdp))" /e /r /s</v>
      </c>
      <c r="AG39" s="1" t="str">
        <f t="shared" si="12"/>
        <v>EC</v>
      </c>
      <c r="AH39" s="109" t="str">
        <f t="shared" si="17"/>
        <v>"%USERPROFILE%\Documents\GitHub\eaglep3\Utilities\RefineRTDCRunTimes.py" --tripid 127-11 --locoid 4038 --swversion DE.1.0.7.0 --startMP 204:466 --initTime 2016-08-11T06:53:30 --startdatetime 2016-08-11T06:54:50 --delay 1 --endMP 204:233327 --enddatetime 2016-08-11T07:36:32 --enforcementcount 0</v>
      </c>
    </row>
    <row r="40" spans="1:34" s="1" customFormat="1" x14ac:dyDescent="0.25">
      <c r="A40" s="42" t="s">
        <v>318</v>
      </c>
      <c r="B40" s="7">
        <v>4037</v>
      </c>
      <c r="C40" s="25" t="s">
        <v>130</v>
      </c>
      <c r="D40" s="25" t="s">
        <v>293</v>
      </c>
      <c r="E40" s="16">
        <v>42593.321388888886</v>
      </c>
      <c r="F40" s="16">
        <v>42593.322372685187</v>
      </c>
      <c r="G40" s="7">
        <v>1</v>
      </c>
      <c r="H40" s="16" t="s">
        <v>319</v>
      </c>
      <c r="I40" s="16">
        <v>42593.358240740738</v>
      </c>
      <c r="J40" s="7">
        <v>1</v>
      </c>
      <c r="K40" s="149" t="str">
        <f t="shared" si="10"/>
        <v>4037/4038</v>
      </c>
      <c r="L40" s="25" t="str">
        <f>VLOOKUP(A40,'Trips&amp;Operators'!$C$1:$E$10000,3,FALSE)</f>
        <v>MAELZER</v>
      </c>
      <c r="M40" s="6">
        <f t="shared" si="0"/>
        <v>3.5868055550963618E-2</v>
      </c>
      <c r="N40" s="7">
        <f t="shared" si="18"/>
        <v>51.64999999338761</v>
      </c>
      <c r="O40" s="7"/>
      <c r="P40" s="7"/>
      <c r="Q40" s="26"/>
      <c r="R40" s="26"/>
      <c r="S40" s="38">
        <f t="shared" si="1"/>
        <v>1</v>
      </c>
      <c r="T40" s="55" t="str">
        <f t="shared" si="2"/>
        <v>Southbound</v>
      </c>
      <c r="U40" s="13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06:42:48-0600',mode:absolute,to:'2016-08-11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40" s="57" t="str">
        <f t="shared" si="4"/>
        <v>N</v>
      </c>
      <c r="X40" s="133">
        <f t="shared" si="19"/>
        <v>1</v>
      </c>
      <c r="Y40" s="72">
        <f t="shared" si="15"/>
        <v>23.299099999999999</v>
      </c>
      <c r="Z40" s="72">
        <f t="shared" si="16"/>
        <v>1.34E-2</v>
      </c>
      <c r="AA40" s="72">
        <f t="shared" si="5"/>
        <v>23.285699999999999</v>
      </c>
      <c r="AB40" s="69" t="e">
        <f>VLOOKUP(A40,Enforcements!$C$7:$J$24,8,0)</f>
        <v>#N/A</v>
      </c>
      <c r="AC40" s="65" t="e">
        <f>VLOOKUP(A40,Enforcements!$C$7:$E$24,3,0)</f>
        <v>#N/A</v>
      </c>
      <c r="AD40" s="66" t="str">
        <f t="shared" si="6"/>
        <v>0128-11</v>
      </c>
      <c r="AE40" s="108" t="str">
        <f t="shared" si="7"/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AF40" s="105" t="str">
        <f t="shared" si="8"/>
        <v>"C:\Program Files (x86)\AstroGrep\AstroGrep.exe" /spath="%USERPROFILE%\AppData\Local\Temp\OnboardLogs" /stypes="*4037*20160811*" /stext=" 14:.+((SYSTEM_STATE.+slice.+state.+changed )|(ment ac)|(system.+state.+changed )|(\|lc)|(penalty)|(\[timeout)|(PRM\|1\|D)|(kpr)|(kdp))" /e /r /s</v>
      </c>
      <c r="AG40" s="1" t="str">
        <f t="shared" si="12"/>
        <v>EC</v>
      </c>
      <c r="AH40" s="109" t="str">
        <f t="shared" si="17"/>
        <v>"%USERPROFILE%\Documents\GitHub\eaglep3\Utilities\RefineRTDCRunTimes.py" --tripid 128-11 --locoid 4037 --swversion DE.1.0.7.0 --startMP 204:232991 --initTime 2016-08-11T07:42:48 --startdatetime 2016-08-11T07:44:13 --delay 1 --endMP 204:134 --enddatetime 2016-08-11T08:35:52 --enforcementcount 1</v>
      </c>
    </row>
    <row r="41" spans="1:34" s="1" customFormat="1" x14ac:dyDescent="0.25">
      <c r="A41" s="42" t="s">
        <v>320</v>
      </c>
      <c r="B41" s="7">
        <v>4029</v>
      </c>
      <c r="C41" s="25" t="s">
        <v>130</v>
      </c>
      <c r="D41" s="25" t="s">
        <v>198</v>
      </c>
      <c r="E41" s="16">
        <v>42593.29650462963</v>
      </c>
      <c r="F41" s="16">
        <v>42593.297581018516</v>
      </c>
      <c r="G41" s="7">
        <v>1</v>
      </c>
      <c r="H41" s="16" t="s">
        <v>301</v>
      </c>
      <c r="I41" s="16">
        <v>42593.327141203707</v>
      </c>
      <c r="J41" s="7">
        <v>0</v>
      </c>
      <c r="K41" s="149" t="str">
        <f t="shared" si="10"/>
        <v>4029/4030</v>
      </c>
      <c r="L41" s="25" t="str">
        <f>VLOOKUP(A41,'Trips&amp;Operators'!$C$1:$E$10000,3,FALSE)</f>
        <v>BRANNON</v>
      </c>
      <c r="M41" s="6">
        <f t="shared" si="0"/>
        <v>2.956018519034842E-2</v>
      </c>
      <c r="N41" s="7">
        <f t="shared" si="18"/>
        <v>42.566666674101725</v>
      </c>
      <c r="O41" s="7"/>
      <c r="P41" s="7"/>
      <c r="Q41" s="26"/>
      <c r="R41" s="26"/>
      <c r="S41" s="38">
        <f t="shared" si="1"/>
        <v>1</v>
      </c>
      <c r="T41" s="55" t="str">
        <f t="shared" si="2"/>
        <v>NorthBound</v>
      </c>
      <c r="U41" s="13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06:06:58-0600',mode:absolute,to:'2016-08-11 08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41" s="57" t="str">
        <f t="shared" si="4"/>
        <v>N</v>
      </c>
      <c r="X41" s="133">
        <f t="shared" si="19"/>
        <v>1</v>
      </c>
      <c r="Y41" s="72">
        <f t="shared" si="15"/>
        <v>4.3700000000000003E-2</v>
      </c>
      <c r="Z41" s="72">
        <f t="shared" si="16"/>
        <v>23.330100000000002</v>
      </c>
      <c r="AA41" s="72">
        <f t="shared" si="5"/>
        <v>23.2864</v>
      </c>
      <c r="AB41" s="69" t="e">
        <f>VLOOKUP(A41,Enforcements!$C$7:$J$24,8,0)</f>
        <v>#N/A</v>
      </c>
      <c r="AC41" s="65" t="e">
        <f>VLOOKUP(A41,Enforcements!$C$7:$E$24,3,0)</f>
        <v>#N/A</v>
      </c>
      <c r="AD41" s="66" t="str">
        <f t="shared" si="6"/>
        <v>0129-11</v>
      </c>
      <c r="AE41" s="108" t="str">
        <f t="shared" si="7"/>
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</c>
      <c r="AF41" s="105" t="str">
        <f t="shared" si="8"/>
        <v>"C:\Program Files (x86)\AstroGrep\AstroGrep.exe" /spath="%USERPROFILE%\AppData\Local\Temp\OnboardLogs" /stypes="*4029*20160811*" /stext=" 13:.+((SYSTEM_STATE.+slice.+state.+changed )|(ment ac)|(system.+state.+changed )|(\|lc)|(penalty)|(\[timeout)|(PRM\|1\|D)|(kpr)|(kdp))" /e /r /s</v>
      </c>
      <c r="AG41" s="1" t="str">
        <f t="shared" si="12"/>
        <v>EC</v>
      </c>
      <c r="AH41" s="109" t="str">
        <f t="shared" si="17"/>
        <v>"%USERPROFILE%\Documents\GitHub\eaglep3\Utilities\RefineRTDCRunTimes.py" --tripid 129-11 --locoid 4029 --swversion DE.1.0.7.0 --startMP 204:437 --initTime 2016-08-11T07:06:58 --startdatetime 2016-08-11T07:08:31 --delay 1 --endMP 204:233301 --enddatetime 2016-08-11T07:51:05 --enforcementcount 0</v>
      </c>
    </row>
    <row r="42" spans="1:34" s="1" customFormat="1" x14ac:dyDescent="0.25">
      <c r="A42" s="42" t="s">
        <v>321</v>
      </c>
      <c r="B42" s="7">
        <v>4030</v>
      </c>
      <c r="C42" s="25" t="s">
        <v>130</v>
      </c>
      <c r="D42" s="25" t="s">
        <v>322</v>
      </c>
      <c r="E42" s="16">
        <v>42593.335150462961</v>
      </c>
      <c r="F42" s="16">
        <v>42593.335810185185</v>
      </c>
      <c r="G42" s="7">
        <v>0</v>
      </c>
      <c r="H42" s="16" t="s">
        <v>58</v>
      </c>
      <c r="I42" s="16">
        <v>42593.367430555554</v>
      </c>
      <c r="J42" s="7">
        <v>0</v>
      </c>
      <c r="K42" s="149" t="str">
        <f t="shared" si="10"/>
        <v>4029/4030</v>
      </c>
      <c r="L42" s="25" t="str">
        <f>VLOOKUP(A42,'Trips&amp;Operators'!$C$1:$E$10000,3,FALSE)</f>
        <v>BRANNON</v>
      </c>
      <c r="M42" s="6">
        <f t="shared" si="0"/>
        <v>3.1620370369637385E-2</v>
      </c>
      <c r="N42" s="7">
        <f t="shared" si="18"/>
        <v>45.533333332277834</v>
      </c>
      <c r="O42" s="7"/>
      <c r="P42" s="7"/>
      <c r="Q42" s="26"/>
      <c r="R42" s="26"/>
      <c r="S42" s="38">
        <f t="shared" si="1"/>
        <v>1</v>
      </c>
      <c r="T42" s="55" t="str">
        <f t="shared" si="2"/>
        <v>Southbound</v>
      </c>
      <c r="U42" s="13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07:02:37-0600',mode:absolute,to:'2016-08-11 09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42" s="57" t="str">
        <f t="shared" si="4"/>
        <v>N</v>
      </c>
      <c r="X42" s="133">
        <f t="shared" si="19"/>
        <v>1</v>
      </c>
      <c r="Y42" s="72">
        <f t="shared" si="15"/>
        <v>23.297499999999999</v>
      </c>
      <c r="Z42" s="72">
        <f t="shared" si="16"/>
        <v>1.52E-2</v>
      </c>
      <c r="AA42" s="72">
        <f t="shared" si="5"/>
        <v>23.282299999999999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6"/>
        <v>0130-11</v>
      </c>
      <c r="AE42" s="108" t="str">
        <f t="shared" si="7"/>
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</c>
      <c r="AF42" s="105" t="str">
        <f t="shared" si="8"/>
        <v>"C:\Program Files (x86)\AstroGrep\AstroGrep.exe" /spath="%USERPROFILE%\AppData\Local\Temp\OnboardLogs" /stypes="*4030*20160811*" /stext=" 14:.+((SYSTEM_STATE.+slice.+state.+changed )|(ment ac)|(system.+state.+changed )|(\|lc)|(penalty)|(\[timeout)|(PRM\|1\|D)|(kpr)|(kdp))" /e /r /s</v>
      </c>
      <c r="AG42" s="1" t="str">
        <f t="shared" si="12"/>
        <v>EC</v>
      </c>
      <c r="AH42" s="109" t="str">
        <f t="shared" si="17"/>
        <v>"%USERPROFILE%\Documents\GitHub\eaglep3\Utilities\RefineRTDCRunTimes.py" --tripid 130-11 --locoid 4030 --swversion DE.1.0.7.0 --startMP 204:232975 --initTime 2016-08-11T08:02:37 --startdatetime 2016-08-11T08:03:34 --delay 0 --endMP 204:152 --enddatetime 2016-08-11T08:49:06 --enforcementcount 0</v>
      </c>
    </row>
    <row r="43" spans="1:34" s="1" customFormat="1" x14ac:dyDescent="0.25">
      <c r="A43" s="42" t="s">
        <v>323</v>
      </c>
      <c r="B43" s="7">
        <v>4014</v>
      </c>
      <c r="C43" s="25" t="s">
        <v>130</v>
      </c>
      <c r="D43" s="25" t="s">
        <v>205</v>
      </c>
      <c r="E43" s="16">
        <v>42593.311030092591</v>
      </c>
      <c r="F43" s="16">
        <v>42593.311759259261</v>
      </c>
      <c r="G43" s="7">
        <v>1</v>
      </c>
      <c r="H43" s="16" t="s">
        <v>175</v>
      </c>
      <c r="I43" s="16">
        <v>42593.33965277778</v>
      </c>
      <c r="J43" s="7">
        <v>1</v>
      </c>
      <c r="K43" s="149" t="str">
        <f t="shared" si="10"/>
        <v>4013/4014</v>
      </c>
      <c r="L43" s="25" t="str">
        <f>VLOOKUP(A43,'Trips&amp;Operators'!$C$1:$E$10000,3,FALSE)</f>
        <v>STARKS</v>
      </c>
      <c r="M43" s="6">
        <f t="shared" si="0"/>
        <v>2.789351851970423E-2</v>
      </c>
      <c r="N43" s="7">
        <f t="shared" si="18"/>
        <v>40.166666668374091</v>
      </c>
      <c r="O43" s="7"/>
      <c r="P43" s="7"/>
      <c r="Q43" s="26"/>
      <c r="R43" s="26"/>
      <c r="S43" s="38">
        <f t="shared" si="1"/>
        <v>1</v>
      </c>
      <c r="T43" s="55" t="str">
        <f t="shared" si="2"/>
        <v>NorthBound</v>
      </c>
      <c r="U43" s="13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06:27:53-0600',mode:absolute,to:'2016-08-11 09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43" s="57" t="str">
        <f t="shared" si="4"/>
        <v>N</v>
      </c>
      <c r="X43" s="133">
        <f t="shared" si="19"/>
        <v>1</v>
      </c>
      <c r="Y43" s="72">
        <f t="shared" si="15"/>
        <v>4.9299999999999997E-2</v>
      </c>
      <c r="Z43" s="72">
        <f t="shared" si="16"/>
        <v>23.331199999999999</v>
      </c>
      <c r="AA43" s="72">
        <f t="shared" si="5"/>
        <v>23.2819</v>
      </c>
      <c r="AB43" s="69">
        <f>VLOOKUP(A43,Enforcements!$C$7:$J$24,8,0)</f>
        <v>183829</v>
      </c>
      <c r="AC43" s="65" t="str">
        <f>VLOOKUP(A43,Enforcements!$C$7:$E$24,3,0)</f>
        <v>PERMANENT SPEED RESTRICTION</v>
      </c>
      <c r="AD43" s="66" t="str">
        <f t="shared" si="6"/>
        <v>0131-11</v>
      </c>
      <c r="AE43" s="108" t="str">
        <f t="shared" si="7"/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43" s="105" t="str">
        <f t="shared" si="8"/>
        <v>"C:\Program Files (x86)\AstroGrep\AstroGrep.exe" /spath="%USERPROFILE%\AppData\Local\Temp\OnboardLogs" /stypes="*4014*20160811*" /stext=" 14:.+((SYSTEM_STATE.+slice.+state.+changed )|(ment ac)|(system.+state.+changed )|(\|lc)|(penalty)|(\[timeout)|(PRM\|1\|D)|(kpr)|(kdp))" /e /r /s</v>
      </c>
      <c r="AG43" s="1" t="str">
        <f t="shared" si="12"/>
        <v>EC</v>
      </c>
      <c r="AH43" s="109" t="str">
        <f t="shared" si="17"/>
        <v>"%USERPROFILE%\Documents\GitHub\eaglep3\Utilities\RefineRTDCRunTimes.py" --tripid 131-11 --locoid 4014 --swversion DE.1.0.7.0 --startMP 204:493 --initTime 2016-08-11T07:27:53 --startdatetime 2016-08-11T07:28:56 --delay 1 --endMP 204:233312 --enddatetime 2016-08-11T08:09:06 --enforcementcount 1</v>
      </c>
    </row>
    <row r="44" spans="1:34" s="1" customFormat="1" x14ac:dyDescent="0.25">
      <c r="A44" s="42" t="s">
        <v>324</v>
      </c>
      <c r="B44" s="7">
        <v>4013</v>
      </c>
      <c r="C44" s="25" t="s">
        <v>130</v>
      </c>
      <c r="D44" s="25" t="s">
        <v>195</v>
      </c>
      <c r="E44" s="16">
        <v>42593.349710648145</v>
      </c>
      <c r="F44" s="16">
        <v>42593.350428240738</v>
      </c>
      <c r="G44" s="7">
        <v>1</v>
      </c>
      <c r="H44" s="16" t="s">
        <v>94</v>
      </c>
      <c r="I44" s="16">
        <v>42593.38108796296</v>
      </c>
      <c r="J44" s="7">
        <v>1</v>
      </c>
      <c r="K44" s="149" t="str">
        <f t="shared" si="10"/>
        <v>4013/4014</v>
      </c>
      <c r="L44" s="25" t="str">
        <f>VLOOKUP(A44,'Trips&amp;Operators'!$C$1:$E$10000,3,FALSE)</f>
        <v>STARKS</v>
      </c>
      <c r="M44" s="6">
        <f t="shared" si="0"/>
        <v>3.0659722222480923E-2</v>
      </c>
      <c r="N44" s="7">
        <f t="shared" si="18"/>
        <v>44.150000000372529</v>
      </c>
      <c r="O44" s="7"/>
      <c r="P44" s="7"/>
      <c r="Q44" s="26"/>
      <c r="R44" s="26"/>
      <c r="S44" s="38">
        <f t="shared" si="1"/>
        <v>1</v>
      </c>
      <c r="T44" s="55" t="str">
        <f t="shared" si="2"/>
        <v>Southbound</v>
      </c>
      <c r="U44" s="13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5" t="str">
        <f t="shared" si="3"/>
        <v>https://search-rtdc-monitor-bjffxe2xuh6vdkpspy63sjmuny.us-east-1.es.amazonaws.com/_plugin/kibana/#/discover/Steve-Slow-Train-Analysis-(2080s-and-2083s)?_g=(refreshInterval:(display:Off,section:0,value:0),time:(from:'2016-08-11 07:23:35-0600',mode:absolute,to:'2016-08-11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44" s="57" t="str">
        <f t="shared" si="4"/>
        <v>N</v>
      </c>
      <c r="X44" s="133">
        <f t="shared" si="19"/>
        <v>1</v>
      </c>
      <c r="Y44" s="72">
        <f t="shared" si="15"/>
        <v>23.298300000000001</v>
      </c>
      <c r="Z44" s="72">
        <f t="shared" si="16"/>
        <v>1.43E-2</v>
      </c>
      <c r="AA44" s="72">
        <f t="shared" si="5"/>
        <v>23.284000000000002</v>
      </c>
      <c r="AB44" s="69">
        <f>VLOOKUP(A44,Enforcements!$C$7:$J$24,8,0)</f>
        <v>156300</v>
      </c>
      <c r="AC44" s="65" t="str">
        <f>VLOOKUP(A44,Enforcements!$C$7:$E$24,3,0)</f>
        <v>PERMANENT SPEED RESTRICTION</v>
      </c>
      <c r="AD44" s="66" t="str">
        <f t="shared" si="6"/>
        <v>0132-11</v>
      </c>
      <c r="AE44" s="108" t="str">
        <f t="shared" si="7"/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AF44" s="105" t="str">
        <f t="shared" si="8"/>
        <v>"C:\Program Files (x86)\AstroGrep\AstroGrep.exe" /spath="%USERPROFILE%\AppData\Local\Temp\OnboardLogs" /stypes="*4013*20160811*" /stext=" 15:.+((SYSTEM_STATE.+slice.+state.+changed )|(ment ac)|(system.+state.+changed )|(\|lc)|(penalty)|(\[timeout)|(PRM\|1\|D)|(kpr)|(kdp))" /e /r /s</v>
      </c>
      <c r="AG44" s="1" t="str">
        <f t="shared" si="12"/>
        <v>EC</v>
      </c>
      <c r="AH44" s="109" t="str">
        <f t="shared" si="17"/>
        <v>"%USERPROFILE%\Documents\GitHub\eaglep3\Utilities\RefineRTDCRunTimes.py" --tripid 132-11 --locoid 4013 --swversion DE.1.0.7.0 --startMP 204:232983 --initTime 2016-08-11T08:23:35 --startdatetime 2016-08-11T08:24:37 --delay 1 --endMP 204:143 --enddatetime 2016-08-11T09:08:46 --enforcementcount 1</v>
      </c>
    </row>
    <row r="45" spans="1:34" s="1" customFormat="1" x14ac:dyDescent="0.25">
      <c r="A45" s="42" t="s">
        <v>325</v>
      </c>
      <c r="B45" s="7">
        <v>4025</v>
      </c>
      <c r="C45" s="25" t="s">
        <v>130</v>
      </c>
      <c r="D45" s="25" t="s">
        <v>146</v>
      </c>
      <c r="E45" s="16">
        <v>42593.322534722225</v>
      </c>
      <c r="F45" s="16">
        <v>42593.323113425926</v>
      </c>
      <c r="G45" s="7">
        <v>0</v>
      </c>
      <c r="H45" s="16" t="s">
        <v>309</v>
      </c>
      <c r="I45" s="16">
        <v>42593.425081018519</v>
      </c>
      <c r="J45" s="7">
        <v>2</v>
      </c>
      <c r="K45" s="149" t="str">
        <f t="shared" si="10"/>
        <v>4025/4026</v>
      </c>
      <c r="L45" s="25" t="str">
        <f>VLOOKUP(A45,'Trips&amp;Operators'!$C$1:$E$10000,3,FALSE)</f>
        <v>MALAVE</v>
      </c>
      <c r="M45" s="6">
        <f t="shared" ref="M45:M77" si="20">I45-F45</f>
        <v>0.10196759259270038</v>
      </c>
      <c r="N45" s="7">
        <f t="shared" si="18"/>
        <v>146.83333333348855</v>
      </c>
      <c r="O45" s="7"/>
      <c r="P45" s="7"/>
      <c r="Q45" s="26"/>
      <c r="R45" s="26"/>
      <c r="S45" s="38">
        <f t="shared" ref="S45:S77" si="21">SUM(U45:U45)/IF(AG45="EC",12,1)</f>
        <v>1</v>
      </c>
      <c r="T45" s="55" t="str">
        <f t="shared" ref="T45:T77" si="22">IF(ISEVEN(LEFT(AD45,4)),"Southbound","NorthBound")</f>
        <v>NorthBound</v>
      </c>
      <c r="U45" s="13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5" t="str">
        <f t="shared" ref="V45:V77" si="23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https://search-rtdc-monitor-bjffxe2xuh6vdkpspy63sjmuny.us-east-1.es.amazonaws.com/_plugin/kibana/#/discover/Steve-Slow-Train-Analysis-(2080s-and-2083s)?_g=(refreshInterval:(display:Off,section:0,value:0),time:(from:'2016-08-11 06:44:27-0600',mode:absolute,to:'2016-08-11 11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45" s="57" t="str">
        <f t="shared" si="4"/>
        <v>N</v>
      </c>
      <c r="X45" s="133">
        <f t="shared" si="19"/>
        <v>1</v>
      </c>
      <c r="Y45" s="72">
        <f t="shared" si="15"/>
        <v>4.4600000000000001E-2</v>
      </c>
      <c r="Z45" s="72">
        <f t="shared" si="16"/>
        <v>23.327999999999999</v>
      </c>
      <c r="AA45" s="72">
        <f t="shared" ref="AA45:AA76" si="24">ABS(Z45-Y45)</f>
        <v>23.2834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ref="AD45:AD77" si="25">IF(LEN(A45)=6,"0"&amp;A45,A45)</f>
        <v>0133-11</v>
      </c>
      <c r="AE45" s="108" t="str">
        <f t="shared" ref="AE45:AE80" si="26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AF45" s="105" t="str">
        <f t="shared" ref="AF45:AF80" si="27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/stypes="*4025*20160811*" /stext=" 16:.+((SYSTEM_STATE.+slice.+state.+changed )|(ment ac)|(system.+state.+changed )|(\|lc)|(penalty)|(\[timeout)|(PRM\|1\|D)|(kpr)|(kdp))" /e /r /s</v>
      </c>
      <c r="AG45" s="1" t="str">
        <f t="shared" si="12"/>
        <v>EC</v>
      </c>
      <c r="AH45" s="109" t="str">
        <f t="shared" si="17"/>
        <v>"%USERPROFILE%\Documents\GitHub\eaglep3\Utilities\RefineRTDCRunTimes.py" --tripid 133-11 --locoid 4025 --swversion DE.1.0.7.0 --startMP 204:446 --initTime 2016-08-11T07:44:27 --startdatetime 2016-08-11T07:45:17 --delay 0 --endMP 204:233280 --enddatetime 2016-08-11T10:12:07 --enforcementcount 2</v>
      </c>
    </row>
    <row r="46" spans="1:34" s="1" customFormat="1" x14ac:dyDescent="0.25">
      <c r="A46" s="42" t="s">
        <v>326</v>
      </c>
      <c r="B46" s="7">
        <v>4026</v>
      </c>
      <c r="C46" s="25" t="s">
        <v>130</v>
      </c>
      <c r="D46" s="25" t="s">
        <v>162</v>
      </c>
      <c r="E46" s="16">
        <v>42593.360393518517</v>
      </c>
      <c r="F46" s="16">
        <v>42593.361284722225</v>
      </c>
      <c r="G46" s="7">
        <v>1</v>
      </c>
      <c r="H46" s="16" t="s">
        <v>287</v>
      </c>
      <c r="I46" s="16">
        <v>42593.394780092596</v>
      </c>
      <c r="J46" s="7">
        <v>2</v>
      </c>
      <c r="K46" s="149" t="str">
        <f t="shared" ref="K46:K77" si="28">IF(ISEVEN(B46),(B46-1)&amp;"/"&amp;B46,B46&amp;"/"&amp;(B46+1))</f>
        <v>4025/4026</v>
      </c>
      <c r="L46" s="25" t="str">
        <f>VLOOKUP(A46,'Trips&amp;Operators'!$C$1:$E$10000,3,FALSE)</f>
        <v>MALAVE</v>
      </c>
      <c r="M46" s="6">
        <f t="shared" si="20"/>
        <v>3.3495370371383615E-2</v>
      </c>
      <c r="N46" s="7">
        <f t="shared" si="18"/>
        <v>48.233333334792405</v>
      </c>
      <c r="O46" s="7"/>
      <c r="P46" s="7"/>
      <c r="Q46" s="26"/>
      <c r="R46" s="26"/>
      <c r="S46" s="38">
        <f t="shared" si="21"/>
        <v>1</v>
      </c>
      <c r="T46" s="55" t="str">
        <f t="shared" si="22"/>
        <v>Southbound</v>
      </c>
      <c r="U46" s="13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07:38:58-0600',mode:absolute,to:'2016-08-11 10:28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46" s="57" t="str">
        <f t="shared" ref="W46:W52" si="29">IF(AA46&lt;IF(AG46="EC",23,5.65),"Y","N")</f>
        <v>N</v>
      </c>
      <c r="X46" s="133">
        <f t="shared" ref="X46:X52" si="30">VALUE(LEFT(AD46,4))-VALUE(LEFT(AD45,4))</f>
        <v>1</v>
      </c>
      <c r="Y46" s="72">
        <f t="shared" ref="Y46:Y52" si="31">RIGHT(D46,LEN(D46)-4)/10000</f>
        <v>23.296900000000001</v>
      </c>
      <c r="Z46" s="72">
        <f t="shared" si="16"/>
        <v>1.72E-2</v>
      </c>
      <c r="AA46" s="72">
        <f t="shared" si="24"/>
        <v>23.279700000000002</v>
      </c>
      <c r="AB46" s="69">
        <f>VLOOKUP(A46,Enforcements!$C$7:$J$24,8,0)</f>
        <v>127587</v>
      </c>
      <c r="AC46" s="65" t="str">
        <f>VLOOKUP(A46,Enforcements!$C$7:$E$24,3,0)</f>
        <v>SIGNAL</v>
      </c>
      <c r="AD46" s="66" t="str">
        <f t="shared" si="25"/>
        <v>0134-11</v>
      </c>
      <c r="AE46" s="108" t="str">
        <f t="shared" si="26"/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AF46" s="105" t="str">
        <f t="shared" si="27"/>
        <v>"C:\Program Files (x86)\AstroGrep\AstroGrep.exe" /spath="%USERPROFILE%\AppData\Local\Temp\OnboardLogs" /stypes="*4026*20160811*" /stext=" 15:.+((SYSTEM_STATE.+slice.+state.+changed )|(ment ac)|(system.+state.+changed )|(\|lc)|(penalty)|(\[timeout)|(PRM\|1\|D)|(kpr)|(kdp))" /e /r /s</v>
      </c>
      <c r="AG46" s="1" t="str">
        <f t="shared" si="12"/>
        <v>EC</v>
      </c>
      <c r="AH46" s="109" t="str">
        <f t="shared" si="17"/>
        <v>"%USERPROFILE%\Documents\GitHub\eaglep3\Utilities\RefineRTDCRunTimes.py" --tripid 134-11 --locoid 4026 --swversion DE.1.0.7.0 --startMP 204:232969 --initTime 2016-08-11T08:38:58 --startdatetime 2016-08-11T08:40:15 --delay 1 --endMP 204:172 --enddatetime 2016-08-11T09:28:29 --enforcementcount 2</v>
      </c>
    </row>
    <row r="47" spans="1:34" s="1" customFormat="1" x14ac:dyDescent="0.25">
      <c r="A47" s="42" t="s">
        <v>327</v>
      </c>
      <c r="B47" s="7">
        <v>4044</v>
      </c>
      <c r="C47" s="25" t="s">
        <v>130</v>
      </c>
      <c r="D47" s="25" t="s">
        <v>146</v>
      </c>
      <c r="E47" s="16">
        <v>42593.328946759262</v>
      </c>
      <c r="F47" s="16">
        <v>42593.33011574074</v>
      </c>
      <c r="G47" s="7">
        <v>1</v>
      </c>
      <c r="H47" s="16" t="s">
        <v>239</v>
      </c>
      <c r="I47" s="16">
        <v>42593.360462962963</v>
      </c>
      <c r="J47" s="7">
        <v>0</v>
      </c>
      <c r="K47" s="149" t="str">
        <f t="shared" si="28"/>
        <v>4043/4044</v>
      </c>
      <c r="L47" s="25" t="str">
        <f>VLOOKUP(A47,'Trips&amp;Operators'!$C$1:$E$10000,3,FALSE)</f>
        <v>STRICKLAND</v>
      </c>
      <c r="M47" s="6">
        <f t="shared" si="20"/>
        <v>3.0347222222189885E-2</v>
      </c>
      <c r="N47" s="7">
        <f t="shared" si="18"/>
        <v>43.699999999953434</v>
      </c>
      <c r="O47" s="7"/>
      <c r="P47" s="7"/>
      <c r="Q47" s="26"/>
      <c r="R47" s="26"/>
      <c r="S47" s="38">
        <f t="shared" si="21"/>
        <v>1</v>
      </c>
      <c r="T47" s="55" t="str">
        <f t="shared" si="22"/>
        <v>NorthBound</v>
      </c>
      <c r="U47" s="13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06:53:41-0600',mode:absolute,to:'2016-08-11 09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47" s="57" t="str">
        <f t="shared" si="29"/>
        <v>N</v>
      </c>
      <c r="X47" s="133">
        <f t="shared" si="30"/>
        <v>1</v>
      </c>
      <c r="Y47" s="72">
        <f t="shared" si="31"/>
        <v>4.4600000000000001E-2</v>
      </c>
      <c r="Z47" s="72">
        <f t="shared" si="16"/>
        <v>23.331900000000001</v>
      </c>
      <c r="AA47" s="72">
        <f t="shared" si="24"/>
        <v>23.287300000000002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25"/>
        <v>0135-11</v>
      </c>
      <c r="AE47" s="108" t="str">
        <f t="shared" si="26"/>
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</c>
      <c r="AF47" s="105" t="str">
        <f t="shared" si="27"/>
        <v>"C:\Program Files (x86)\AstroGrep\AstroGrep.exe" /spath="%USERPROFILE%\AppData\Local\Temp\OnboardLogs" /stypes="*4044*20160811*" /stext=" 14:.+((SYSTEM_STATE.+slice.+state.+changed )|(ment ac)|(system.+state.+changed )|(\|lc)|(penalty)|(\[timeout)|(PRM\|1\|D)|(kpr)|(kdp))" /e /r /s</v>
      </c>
      <c r="AG47" s="1" t="str">
        <f t="shared" si="12"/>
        <v>EC</v>
      </c>
      <c r="AH47" s="109" t="str">
        <f t="shared" si="17"/>
        <v>"%USERPROFILE%\Documents\GitHub\eaglep3\Utilities\RefineRTDCRunTimes.py" --tripid 135-11 --locoid 4044 --swversion DE.1.0.7.0 --startMP 204:446 --initTime 2016-08-11T07:53:41 --startdatetime 2016-08-11T07:55:22 --delay 1 --endMP 204:233319 --enddatetime 2016-08-11T08:39:04 --enforcementcount 0</v>
      </c>
    </row>
    <row r="48" spans="1:34" s="1" customFormat="1" x14ac:dyDescent="0.25">
      <c r="A48" s="42" t="s">
        <v>328</v>
      </c>
      <c r="B48" s="7">
        <v>4043</v>
      </c>
      <c r="C48" s="25" t="s">
        <v>130</v>
      </c>
      <c r="D48" s="25" t="s">
        <v>135</v>
      </c>
      <c r="E48" s="16">
        <v>42593.371099537035</v>
      </c>
      <c r="F48" s="16">
        <v>42593.372430555559</v>
      </c>
      <c r="G48" s="7">
        <v>1</v>
      </c>
      <c r="H48" s="16" t="s">
        <v>330</v>
      </c>
      <c r="I48" s="16">
        <v>42593.380023148151</v>
      </c>
      <c r="J48" s="7">
        <v>2</v>
      </c>
      <c r="K48" s="149" t="str">
        <f t="shared" si="28"/>
        <v>4043/4044</v>
      </c>
      <c r="L48" s="25" t="str">
        <f>VLOOKUP(A48,'Trips&amp;Operators'!$C$1:$E$10000,3,FALSE)</f>
        <v>STRICKLAND</v>
      </c>
      <c r="M48" s="6">
        <f t="shared" si="20"/>
        <v>7.5925925921183079E-3</v>
      </c>
      <c r="N48" s="7">
        <f t="shared" si="18"/>
        <v>10.933333332650363</v>
      </c>
      <c r="O48" s="7"/>
      <c r="P48" s="7"/>
      <c r="Q48" s="26"/>
      <c r="R48" s="26"/>
      <c r="S48" s="38">
        <f t="shared" si="21"/>
        <v>1</v>
      </c>
      <c r="T48" s="55" t="str">
        <f t="shared" si="22"/>
        <v>Southbound</v>
      </c>
      <c r="U48" s="13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07:54:23-0600',mode:absolute,to:'2016-08-11 10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48" s="57" t="str">
        <f t="shared" si="29"/>
        <v>N</v>
      </c>
      <c r="X48" s="133">
        <f t="shared" si="30"/>
        <v>1</v>
      </c>
      <c r="Y48" s="72">
        <f t="shared" si="31"/>
        <v>23.299299999999999</v>
      </c>
      <c r="Z48" s="72">
        <v>1.5599999999999999E-2</v>
      </c>
      <c r="AA48" s="72">
        <f t="shared" si="24"/>
        <v>23.2837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25"/>
        <v>0136-11</v>
      </c>
      <c r="AE48" s="108" t="str">
        <f t="shared" si="26"/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AF48" s="105" t="str">
        <f t="shared" si="27"/>
        <v>"C:\Program Files (x86)\AstroGrep\AstroGrep.exe" /spath="%USERPROFILE%\AppData\Local\Temp\OnboardLogs" /stypes="*4043*20160811*" /stext=" 15:.+((SYSTEM_STATE.+slice.+state.+changed )|(ment ac)|(system.+state.+changed )|(\|lc)|(penalty)|(\[timeout)|(PRM\|1\|D)|(kpr)|(kdp))" /e /r /s</v>
      </c>
      <c r="AG48" s="1" t="str">
        <f t="shared" si="12"/>
        <v>EC</v>
      </c>
      <c r="AH48" s="109" t="str">
        <f t="shared" si="17"/>
        <v>"%USERPROFILE%\Documents\GitHub\eaglep3\Utilities\RefineRTDCRunTimes.py" --tripid 136-11 --locoid 4043 --swversion DE.1.0.7.0 --startMP 204:232993 --initTime 2016-08-11T08:54:23 --startdatetime 2016-08-11T08:56:18 --delay 1 --endMP 204:157648 --enddatetime 2016-08-11T09:07:14 --enforcementcount 2</v>
      </c>
    </row>
    <row r="49" spans="1:34" s="1" customFormat="1" x14ac:dyDescent="0.25">
      <c r="A49" s="42" t="s">
        <v>331</v>
      </c>
      <c r="B49" s="7">
        <v>4016</v>
      </c>
      <c r="C49" s="25" t="s">
        <v>130</v>
      </c>
      <c r="D49" s="25" t="s">
        <v>199</v>
      </c>
      <c r="E49" s="16">
        <v>42593.338784722226</v>
      </c>
      <c r="F49" s="16">
        <v>42593.339942129627</v>
      </c>
      <c r="G49" s="7">
        <v>1</v>
      </c>
      <c r="H49" s="16" t="s">
        <v>128</v>
      </c>
      <c r="I49" s="16">
        <v>42593.368263888886</v>
      </c>
      <c r="J49" s="7">
        <v>0</v>
      </c>
      <c r="K49" s="149" t="str">
        <f t="shared" si="28"/>
        <v>4015/4016</v>
      </c>
      <c r="L49" s="25" t="str">
        <f>VLOOKUP(A49,'Trips&amp;Operators'!$C$1:$E$10000,3,FALSE)</f>
        <v>ROCHA</v>
      </c>
      <c r="M49" s="6">
        <f t="shared" si="20"/>
        <v>2.8321759258687962E-2</v>
      </c>
      <c r="N49" s="7">
        <f t="shared" si="18"/>
        <v>40.783333332510665</v>
      </c>
      <c r="O49" s="7"/>
      <c r="P49" s="7"/>
      <c r="Q49" s="26"/>
      <c r="R49" s="26"/>
      <c r="S49" s="38">
        <f t="shared" si="21"/>
        <v>1</v>
      </c>
      <c r="T49" s="55" t="str">
        <f t="shared" si="22"/>
        <v>NorthBound</v>
      </c>
      <c r="U49" s="13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07:07:51-0600',mode:absolute,to:'2016-08-11 09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49" s="57" t="str">
        <f t="shared" si="29"/>
        <v>N</v>
      </c>
      <c r="X49" s="133">
        <f t="shared" si="30"/>
        <v>1</v>
      </c>
      <c r="Y49" s="72">
        <f t="shared" si="31"/>
        <v>4.58E-2</v>
      </c>
      <c r="Z49" s="72">
        <f t="shared" ref="Z49:Z77" si="32">RIGHT(H49,LEN(H49)-4)/10000</f>
        <v>23.329499999999999</v>
      </c>
      <c r="AA49" s="72">
        <f t="shared" si="24"/>
        <v>23.2837</v>
      </c>
      <c r="AB49" s="69" t="e">
        <f>VLOOKUP(A49,Enforcements!$C$7:$J$24,8,0)</f>
        <v>#N/A</v>
      </c>
      <c r="AC49" s="65" t="e">
        <f>VLOOKUP(A49,Enforcements!$C$7:$E$24,3,0)</f>
        <v>#N/A</v>
      </c>
      <c r="AD49" s="66" t="str">
        <f t="shared" si="25"/>
        <v>0137-11</v>
      </c>
      <c r="AE49" s="108" t="str">
        <f t="shared" si="26"/>
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</c>
      <c r="AF49" s="105" t="str">
        <f t="shared" si="27"/>
        <v>"C:\Program Files (x86)\AstroGrep\AstroGrep.exe" /spath="%USERPROFILE%\AppData\Local\Temp\OnboardLogs" /stypes="*4016*20160811*" /stext=" 14:.+((SYSTEM_STATE.+slice.+state.+changed )|(ment ac)|(system.+state.+changed )|(\|lc)|(penalty)|(\[timeout)|(PRM\|1\|D)|(kpr)|(kdp))" /e /r /s</v>
      </c>
      <c r="AG49" s="1" t="str">
        <f t="shared" si="12"/>
        <v>EC</v>
      </c>
      <c r="AH49" s="109" t="str">
        <f t="shared" si="17"/>
        <v>"%USERPROFILE%\Documents\GitHub\eaglep3\Utilities\RefineRTDCRunTimes.py" --tripid 137-11 --locoid 4016 --swversion DE.1.0.7.0 --startMP 204:458 --initTime 2016-08-11T08:07:51 --startdatetime 2016-08-11T08:09:31 --delay 1 --endMP 204:233295 --enddatetime 2016-08-11T08:50:18 --enforcementcount 0</v>
      </c>
    </row>
    <row r="50" spans="1:34" s="1" customFormat="1" x14ac:dyDescent="0.25">
      <c r="A50" s="42" t="s">
        <v>332</v>
      </c>
      <c r="B50" s="7">
        <v>4015</v>
      </c>
      <c r="C50" s="25" t="s">
        <v>130</v>
      </c>
      <c r="D50" s="25" t="s">
        <v>322</v>
      </c>
      <c r="E50" s="16">
        <v>42593.382210648146</v>
      </c>
      <c r="F50" s="16">
        <v>42593.383136574077</v>
      </c>
      <c r="G50" s="7">
        <v>1</v>
      </c>
      <c r="H50" s="16" t="s">
        <v>158</v>
      </c>
      <c r="I50" s="16">
        <v>42593.411238425928</v>
      </c>
      <c r="J50" s="7">
        <v>0</v>
      </c>
      <c r="K50" s="149" t="str">
        <f t="shared" si="28"/>
        <v>4015/4016</v>
      </c>
      <c r="L50" s="25" t="str">
        <f>VLOOKUP(A50,'Trips&amp;Operators'!$C$1:$E$10000,3,FALSE)</f>
        <v>ROCHA</v>
      </c>
      <c r="M50" s="6">
        <f t="shared" si="20"/>
        <v>2.810185185080627E-2</v>
      </c>
      <c r="N50" s="7">
        <f t="shared" si="18"/>
        <v>40.466666665161029</v>
      </c>
      <c r="O50" s="7"/>
      <c r="P50" s="7"/>
      <c r="Q50" s="26"/>
      <c r="R50" s="26"/>
      <c r="S50" s="38">
        <f t="shared" si="21"/>
        <v>1</v>
      </c>
      <c r="T50" s="55" t="str">
        <f t="shared" si="22"/>
        <v>Southbound</v>
      </c>
      <c r="U50" s="13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08:10:23-0600',mode:absolute,to:'2016-08-11 10:52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50" s="57" t="str">
        <f t="shared" si="29"/>
        <v>N</v>
      </c>
      <c r="X50" s="133">
        <f t="shared" si="30"/>
        <v>1</v>
      </c>
      <c r="Y50" s="72">
        <f t="shared" si="31"/>
        <v>23.297499999999999</v>
      </c>
      <c r="Z50" s="72">
        <f t="shared" si="32"/>
        <v>1.47E-2</v>
      </c>
      <c r="AA50" s="72">
        <f t="shared" si="24"/>
        <v>23.282799999999998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25"/>
        <v>0138-11</v>
      </c>
      <c r="AE50" s="108" t="str">
        <f t="shared" si="26"/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AF50" s="105" t="str">
        <f t="shared" si="27"/>
        <v>"C:\Program Files (x86)\AstroGrep\AstroGrep.exe" /spath="%USERPROFILE%\AppData\Local\Temp\OnboardLogs" /stypes="*4015*20160811*" /stext=" 15:.+((SYSTEM_STATE.+slice.+state.+changed )|(ment ac)|(system.+state.+changed )|(\|lc)|(penalty)|(\[timeout)|(PRM\|1\|D)|(kpr)|(kdp))" /e /r /s</v>
      </c>
      <c r="AG50" s="1" t="str">
        <f t="shared" si="12"/>
        <v>EC</v>
      </c>
      <c r="AH50" s="109" t="str">
        <f t="shared" si="17"/>
        <v>"%USERPROFILE%\Documents\GitHub\eaglep3\Utilities\RefineRTDCRunTimes.py" --tripid 138-11 --locoid 4015 --swversion DE.1.0.7.0 --startMP 204:232975 --initTime 2016-08-11T09:10:23 --startdatetime 2016-08-11T09:11:43 --delay 1 --endMP 204:147 --enddatetime 2016-08-11T09:52:11 --enforcementcount 0</v>
      </c>
    </row>
    <row r="51" spans="1:34" s="1" customFormat="1" x14ac:dyDescent="0.25">
      <c r="A51" s="42" t="s">
        <v>333</v>
      </c>
      <c r="B51" s="7">
        <v>4011</v>
      </c>
      <c r="C51" s="25" t="s">
        <v>130</v>
      </c>
      <c r="D51" s="25" t="s">
        <v>160</v>
      </c>
      <c r="E51" s="16">
        <v>42593.350439814814</v>
      </c>
      <c r="F51" s="16">
        <v>42593.354444444441</v>
      </c>
      <c r="G51" s="7">
        <v>5</v>
      </c>
      <c r="H51" s="16" t="s">
        <v>334</v>
      </c>
      <c r="I51" s="16">
        <v>42593.381956018522</v>
      </c>
      <c r="J51" s="7">
        <v>0</v>
      </c>
      <c r="K51" s="149" t="str">
        <f t="shared" si="28"/>
        <v>4011/4012</v>
      </c>
      <c r="L51" s="25" t="str">
        <f>VLOOKUP(A51,'Trips&amp;Operators'!$C$1:$E$10000,3,FALSE)</f>
        <v>SANTIZO</v>
      </c>
      <c r="M51" s="6">
        <f t="shared" si="20"/>
        <v>2.751157408056315E-2</v>
      </c>
      <c r="N51" s="7"/>
      <c r="O51" s="7"/>
      <c r="P51" s="7">
        <f>24*60*SUM($M51:$M51)</f>
        <v>39.616666676010936</v>
      </c>
      <c r="Q51" s="26"/>
      <c r="R51" s="26" t="s">
        <v>639</v>
      </c>
      <c r="S51" s="38">
        <f t="shared" si="21"/>
        <v>1</v>
      </c>
      <c r="T51" s="55" t="str">
        <f t="shared" si="22"/>
        <v>NorthBound</v>
      </c>
      <c r="U51" s="13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07:24:38-0600',mode:absolute,to:'2016-08-11 10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51" s="57" t="str">
        <f t="shared" si="29"/>
        <v>Y</v>
      </c>
      <c r="X51" s="133">
        <f t="shared" si="30"/>
        <v>1</v>
      </c>
      <c r="Y51" s="72">
        <f t="shared" si="31"/>
        <v>4.53E-2</v>
      </c>
      <c r="Z51" s="72">
        <f t="shared" si="32"/>
        <v>15.4961</v>
      </c>
      <c r="AA51" s="72">
        <f t="shared" si="24"/>
        <v>15.450800000000001</v>
      </c>
      <c r="AB51" s="69" t="e">
        <f>VLOOKUP(A51,Enforcements!$C$7:$J$24,8,0)</f>
        <v>#N/A</v>
      </c>
      <c r="AC51" s="65" t="e">
        <f>VLOOKUP(A51,Enforcements!$C$7:$E$24,3,0)</f>
        <v>#N/A</v>
      </c>
      <c r="AD51" s="66" t="str">
        <f t="shared" si="25"/>
        <v>0139-11</v>
      </c>
      <c r="AE51" s="108" t="str">
        <f t="shared" si="26"/>
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</c>
      <c r="AF51" s="105" t="str">
        <f t="shared" si="27"/>
        <v>"C:\Program Files (x86)\AstroGrep\AstroGrep.exe" /spath="%USERPROFILE%\AppData\Local\Temp\OnboardLogs" /stypes="*4011*20160811*" /stext=" 15:.+((SYSTEM_STATE.+slice.+state.+changed )|(ment ac)|(system.+state.+changed )|(\|lc)|(penalty)|(\[timeout)|(PRM\|1\|D)|(kpr)|(kdp))" /e /r /s</v>
      </c>
      <c r="AG51" s="1" t="str">
        <f t="shared" si="12"/>
        <v>EC</v>
      </c>
      <c r="AH51" s="109" t="str">
        <f t="shared" si="17"/>
        <v>"%USERPROFILE%\Documents\GitHub\eaglep3\Utilities\RefineRTDCRunTimes.py" --tripid 139-11 --locoid 4011 --swversion DE.1.0.7.0 --startMP 204:453 --initTime 2016-08-11T08:24:38 --startdatetime 2016-08-11T08:30:24 --delay 5 --endMP 204:154961 --enddatetime 2016-08-11T09:10:01 --enforcementcount 0</v>
      </c>
    </row>
    <row r="52" spans="1:34" s="1" customFormat="1" x14ac:dyDescent="0.25">
      <c r="A52" s="42" t="s">
        <v>335</v>
      </c>
      <c r="B52" s="7">
        <v>4012</v>
      </c>
      <c r="C52" s="25" t="s">
        <v>130</v>
      </c>
      <c r="D52" s="25" t="s">
        <v>336</v>
      </c>
      <c r="E52" s="16">
        <v>42593.392106481479</v>
      </c>
      <c r="F52" s="16">
        <v>42593.392731481479</v>
      </c>
      <c r="G52" s="7">
        <v>0</v>
      </c>
      <c r="H52" s="16" t="s">
        <v>58</v>
      </c>
      <c r="I52" s="16">
        <v>42593.42083333333</v>
      </c>
      <c r="J52" s="7">
        <v>0</v>
      </c>
      <c r="K52" s="149" t="str">
        <f t="shared" si="28"/>
        <v>4011/4012</v>
      </c>
      <c r="L52" s="25" t="str">
        <f>VLOOKUP(A52,'Trips&amp;Operators'!$C$1:$E$10000,3,FALSE)</f>
        <v>SANTIZO</v>
      </c>
      <c r="M52" s="6">
        <f t="shared" si="20"/>
        <v>2.810185185080627E-2</v>
      </c>
      <c r="N52" s="7">
        <f>24*60*SUM($M52:$M52)</f>
        <v>40.466666665161029</v>
      </c>
      <c r="O52" s="7"/>
      <c r="P52" s="7"/>
      <c r="Q52" s="26"/>
      <c r="R52" s="26"/>
      <c r="S52" s="38">
        <f t="shared" si="21"/>
        <v>1</v>
      </c>
      <c r="T52" s="55" t="str">
        <f t="shared" si="22"/>
        <v>Southbound</v>
      </c>
      <c r="U52" s="13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08:24:38-0600',mode:absolute,to:'2016-08-11 11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52" s="57" t="str">
        <f t="shared" si="29"/>
        <v>N</v>
      </c>
      <c r="X52" s="133">
        <f t="shared" si="30"/>
        <v>1</v>
      </c>
      <c r="Y52" s="72">
        <f t="shared" si="31"/>
        <v>23.310400000000001</v>
      </c>
      <c r="Z52" s="72">
        <f t="shared" si="32"/>
        <v>1.52E-2</v>
      </c>
      <c r="AA52" s="72">
        <f t="shared" si="24"/>
        <v>23.295200000000001</v>
      </c>
      <c r="AB52" s="69" t="e">
        <f>VLOOKUP(A52,Enforcements!$C$7:$J$24,8,0)</f>
        <v>#N/A</v>
      </c>
      <c r="AC52" s="65" t="e">
        <f>VLOOKUP(A52,Enforcements!$C$7:$E$24,3,0)</f>
        <v>#N/A</v>
      </c>
      <c r="AD52" s="66" t="str">
        <f t="shared" si="25"/>
        <v>0140-11</v>
      </c>
      <c r="AE52" s="108" t="str">
        <f t="shared" si="26"/>
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</c>
      <c r="AF52" s="105" t="str">
        <f t="shared" si="27"/>
        <v>"C:\Program Files (x86)\AstroGrep\AstroGrep.exe" /spath="%USERPROFILE%\AppData\Local\Temp\OnboardLogs" /stypes="*4012*20160811*" /stext=" 16:.+((SYSTEM_STATE.+slice.+state.+changed )|(ment ac)|(system.+state.+changed )|(\|lc)|(penalty)|(\[timeout)|(PRM\|1\|D)|(kpr)|(kdp))" /e /r /s</v>
      </c>
      <c r="AG52" s="1" t="str">
        <f t="shared" si="12"/>
        <v>EC</v>
      </c>
      <c r="AH52" s="109" t="str">
        <f t="shared" si="17"/>
        <v>"%USERPROFILE%\Documents\GitHub\eaglep3\Utilities\RefineRTDCRunTimes.py" --tripid 140-11 --locoid 4012 --swversion DE.1.0.7.0 --startMP 204:233104 --initTime 2016-08-11T09:24:38 --startdatetime 2016-08-11T09:25:32 --delay 0 --endMP 204:152 --enddatetime 2016-08-11T10:06:00 --enforcementcount 0</v>
      </c>
    </row>
    <row r="53" spans="1:34" s="1" customFormat="1" x14ac:dyDescent="0.25">
      <c r="A53" s="42" t="s">
        <v>337</v>
      </c>
      <c r="B53" s="7">
        <v>4038</v>
      </c>
      <c r="C53" s="25" t="s">
        <v>130</v>
      </c>
      <c r="D53" s="25" t="s">
        <v>236</v>
      </c>
      <c r="E53" s="16">
        <v>42593.360358796293</v>
      </c>
      <c r="F53" s="16">
        <v>42593.361527777779</v>
      </c>
      <c r="G53" s="7">
        <v>1</v>
      </c>
      <c r="H53" s="16" t="s">
        <v>246</v>
      </c>
      <c r="I53" s="16">
        <v>42593.385659722226</v>
      </c>
      <c r="J53" s="7">
        <v>0</v>
      </c>
      <c r="K53" s="149" t="str">
        <f t="shared" si="28"/>
        <v>4037/4038</v>
      </c>
      <c r="L53" s="25" t="str">
        <f>VLOOKUP(A53,'Trips&amp;Operators'!$C$1:$E$10000,3,FALSE)</f>
        <v>MAELZER</v>
      </c>
      <c r="M53" s="6">
        <f t="shared" si="20"/>
        <v>2.4131944446708076E-2</v>
      </c>
      <c r="N53" s="7"/>
      <c r="O53" s="7"/>
      <c r="P53" s="7">
        <f>24*60*SUM($M53:$M53)</f>
        <v>34.750000003259629</v>
      </c>
      <c r="Q53" s="26"/>
      <c r="R53" s="26" t="s">
        <v>639</v>
      </c>
      <c r="S53" s="38">
        <f t="shared" si="21"/>
        <v>1</v>
      </c>
      <c r="T53" s="55" t="str">
        <f t="shared" si="22"/>
        <v>NorthBound</v>
      </c>
      <c r="U53" s="13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07:38:55-0600',mode:absolute,to:'2016-08-11 10:15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53" s="57" t="str">
        <f t="shared" ref="W53:W77" si="33">IF(AA53&lt;IF(AG53="EC",23,5.65),"Y","N")</f>
        <v>Y</v>
      </c>
      <c r="X53" s="133">
        <f t="shared" ref="X53:X61" si="34">VALUE(LEFT(AD53,4))-VALUE(LEFT(AD52,4))</f>
        <v>1</v>
      </c>
      <c r="Y53" s="72">
        <f t="shared" ref="Y53:Y77" si="35">RIGHT(D53,LEN(D53)-4)/10000</f>
        <v>4.4699999999999997E-2</v>
      </c>
      <c r="Z53" s="72">
        <f t="shared" si="32"/>
        <v>15.443</v>
      </c>
      <c r="AA53" s="72">
        <f t="shared" si="24"/>
        <v>15.398299999999999</v>
      </c>
      <c r="AB53" s="69" t="e">
        <f>VLOOKUP(A53,Enforcements!$C$7:$J$24,8,0)</f>
        <v>#N/A</v>
      </c>
      <c r="AC53" s="65" t="e">
        <f>VLOOKUP(A53,Enforcements!$C$7:$E$24,3,0)</f>
        <v>#N/A</v>
      </c>
      <c r="AD53" s="66" t="str">
        <f t="shared" si="25"/>
        <v>0141-11</v>
      </c>
      <c r="AE53" s="108" t="str">
        <f t="shared" si="26"/>
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</c>
      <c r="AF53" s="105" t="str">
        <f t="shared" si="27"/>
        <v>"C:\Program Files (x86)\AstroGrep\AstroGrep.exe" /spath="%USERPROFILE%\AppData\Local\Temp\OnboardLogs" /stypes="*4038*20160811*" /stext=" 15:.+((SYSTEM_STATE.+slice.+state.+changed )|(ment ac)|(system.+state.+changed )|(\|lc)|(penalty)|(\[timeout)|(PRM\|1\|D)|(kpr)|(kdp))" /e /r /s</v>
      </c>
      <c r="AG53" s="1" t="str">
        <f t="shared" si="12"/>
        <v>EC</v>
      </c>
      <c r="AH53" s="109" t="str">
        <f t="shared" si="17"/>
        <v>"%USERPROFILE%\Documents\GitHub\eaglep3\Utilities\RefineRTDCRunTimes.py" --tripid 141-11 --locoid 4038 --swversion DE.1.0.7.0 --startMP 204:447 --initTime 2016-08-11T08:38:55 --startdatetime 2016-08-11T08:40:36 --delay 1 --endMP 204:154430 --enddatetime 2016-08-11T09:15:21 --enforcementcount 0</v>
      </c>
    </row>
    <row r="54" spans="1:34" s="1" customFormat="1" x14ac:dyDescent="0.25">
      <c r="A54" s="42" t="s">
        <v>338</v>
      </c>
      <c r="B54" s="7">
        <v>4037</v>
      </c>
      <c r="C54" s="25" t="s">
        <v>130</v>
      </c>
      <c r="D54" s="25" t="s">
        <v>339</v>
      </c>
      <c r="E54" s="16">
        <v>42593.398425925923</v>
      </c>
      <c r="F54" s="16">
        <v>42593.399340277778</v>
      </c>
      <c r="G54" s="7">
        <v>1</v>
      </c>
      <c r="H54" s="16" t="s">
        <v>340</v>
      </c>
      <c r="I54" s="16">
        <v>42593.43236111111</v>
      </c>
      <c r="J54" s="7">
        <v>0</v>
      </c>
      <c r="K54" s="149" t="str">
        <f t="shared" si="28"/>
        <v>4037/4038</v>
      </c>
      <c r="L54" s="25" t="str">
        <f>VLOOKUP(A54,'Trips&amp;Operators'!$C$1:$E$10000,3,FALSE)</f>
        <v>MAELZER</v>
      </c>
      <c r="M54" s="6">
        <f t="shared" si="20"/>
        <v>3.3020833332557231E-2</v>
      </c>
      <c r="N54" s="7">
        <f t="shared" ref="N54:N60" si="36">24*60*SUM($M54:$M54)</f>
        <v>47.549999998882413</v>
      </c>
      <c r="O54" s="7"/>
      <c r="P54" s="7"/>
      <c r="Q54" s="26"/>
      <c r="R54" s="26"/>
      <c r="S54" s="38">
        <f t="shared" si="21"/>
        <v>1</v>
      </c>
      <c r="T54" s="55" t="str">
        <f t="shared" si="22"/>
        <v>Southbound</v>
      </c>
      <c r="U54" s="13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08:33:44-0600',mode:absolute,to:'2016-08-11 11:22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54" s="57" t="str">
        <f t="shared" si="33"/>
        <v>N</v>
      </c>
      <c r="X54" s="133">
        <f t="shared" si="34"/>
        <v>1</v>
      </c>
      <c r="Y54" s="72">
        <f t="shared" si="35"/>
        <v>23.302600000000002</v>
      </c>
      <c r="Z54" s="72">
        <f t="shared" si="32"/>
        <v>1.6E-2</v>
      </c>
      <c r="AA54" s="72">
        <f t="shared" si="24"/>
        <v>23.286600000000004</v>
      </c>
      <c r="AB54" s="69" t="e">
        <f>VLOOKUP(A54,Enforcements!$C$7:$J$24,8,0)</f>
        <v>#N/A</v>
      </c>
      <c r="AC54" s="65" t="e">
        <f>VLOOKUP(A54,Enforcements!$C$7:$E$24,3,0)</f>
        <v>#N/A</v>
      </c>
      <c r="AD54" s="66" t="str">
        <f t="shared" si="25"/>
        <v>0142-11</v>
      </c>
      <c r="AE54" s="108" t="str">
        <f t="shared" si="26"/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AF54" s="105" t="str">
        <f t="shared" si="27"/>
        <v>"C:\Program Files (x86)\AstroGrep\AstroGrep.exe" /spath="%USERPROFILE%\AppData\Local\Temp\OnboardLogs" /stypes="*4037*20160811*" /stext=" 16:.+((SYSTEM_STATE.+slice.+state.+changed )|(ment ac)|(system.+state.+changed )|(\|lc)|(penalty)|(\[timeout)|(PRM\|1\|D)|(kpr)|(kdp))" /e /r /s</v>
      </c>
      <c r="AG54" s="1" t="str">
        <f t="shared" si="12"/>
        <v>EC</v>
      </c>
      <c r="AH54" s="109" t="str">
        <f t="shared" si="17"/>
        <v>"%USERPROFILE%\Documents\GitHub\eaglep3\Utilities\RefineRTDCRunTimes.py" --tripid 142-11 --locoid 4037 --swversion DE.1.0.7.0 --startMP 204:233026 --initTime 2016-08-11T09:33:44 --startdatetime 2016-08-11T09:35:03 --delay 1 --endMP 204:160 --enddatetime 2016-08-11T10:22:36 --enforcementcount 0</v>
      </c>
    </row>
    <row r="55" spans="1:34" s="1" customFormat="1" x14ac:dyDescent="0.25">
      <c r="A55" s="42" t="s">
        <v>341</v>
      </c>
      <c r="B55" s="7">
        <v>4029</v>
      </c>
      <c r="C55" s="25" t="s">
        <v>130</v>
      </c>
      <c r="D55" s="25" t="s">
        <v>121</v>
      </c>
      <c r="E55" s="16">
        <v>42593.368692129632</v>
      </c>
      <c r="F55" s="16">
        <v>42593.369675925926</v>
      </c>
      <c r="G55" s="7">
        <v>1</v>
      </c>
      <c r="H55" s="16" t="s">
        <v>342</v>
      </c>
      <c r="I55" s="16">
        <v>42593.400636574072</v>
      </c>
      <c r="J55" s="7">
        <v>0</v>
      </c>
      <c r="K55" s="149" t="str">
        <f t="shared" si="28"/>
        <v>4029/4030</v>
      </c>
      <c r="L55" s="25" t="str">
        <f>VLOOKUP(A55,'Trips&amp;Operators'!$C$1:$E$10000,3,FALSE)</f>
        <v>BRANNON</v>
      </c>
      <c r="M55" s="6">
        <f t="shared" si="20"/>
        <v>3.0960648145992309E-2</v>
      </c>
      <c r="N55" s="7">
        <f t="shared" si="36"/>
        <v>44.583333330228925</v>
      </c>
      <c r="O55" s="7"/>
      <c r="P55" s="7"/>
      <c r="Q55" s="26"/>
      <c r="R55" s="26"/>
      <c r="S55" s="38">
        <f t="shared" si="21"/>
        <v>1</v>
      </c>
      <c r="T55" s="55" t="str">
        <f t="shared" si="22"/>
        <v>NorthBound</v>
      </c>
      <c r="U55" s="13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07:50:55-0600',mode:absolute,to:'2016-08-11 10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55" s="57" t="str">
        <f t="shared" si="33"/>
        <v>N</v>
      </c>
      <c r="X55" s="133">
        <f t="shared" si="34"/>
        <v>1</v>
      </c>
      <c r="Y55" s="72">
        <f t="shared" si="35"/>
        <v>4.6199999999999998E-2</v>
      </c>
      <c r="Z55" s="72">
        <f t="shared" si="32"/>
        <v>23.3323</v>
      </c>
      <c r="AA55" s="72">
        <f t="shared" si="24"/>
        <v>23.286100000000001</v>
      </c>
      <c r="AB55" s="69" t="e">
        <f>VLOOKUP(A55,Enforcements!$C$7:$J$24,8,0)</f>
        <v>#N/A</v>
      </c>
      <c r="AC55" s="65" t="e">
        <f>VLOOKUP(A55,Enforcements!$C$7:$E$24,3,0)</f>
        <v>#N/A</v>
      </c>
      <c r="AD55" s="66" t="str">
        <f t="shared" si="25"/>
        <v>0143-11</v>
      </c>
      <c r="AE55" s="108" t="str">
        <f t="shared" si="26"/>
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</c>
      <c r="AF55" s="105" t="str">
        <f t="shared" si="27"/>
        <v>"C:\Program Files (x86)\AstroGrep\AstroGrep.exe" /spath="%USERPROFILE%\AppData\Local\Temp\OnboardLogs" /stypes="*4029*20160811*" /stext=" 15:.+((SYSTEM_STATE.+slice.+state.+changed )|(ment ac)|(system.+state.+changed )|(\|lc)|(penalty)|(\[timeout)|(PRM\|1\|D)|(kpr)|(kdp))" /e /r /s</v>
      </c>
      <c r="AG55" s="1" t="str">
        <f t="shared" si="12"/>
        <v>EC</v>
      </c>
      <c r="AH55" s="109" t="str">
        <f t="shared" si="17"/>
        <v>"%USERPROFILE%\Documents\GitHub\eaglep3\Utilities\RefineRTDCRunTimes.py" --tripid 143-11 --locoid 4029 --swversion DE.1.0.7.0 --startMP 204:462 --initTime 2016-08-11T08:50:55 --startdatetime 2016-08-11T08:52:20 --delay 1 --endMP 204:233323 --enddatetime 2016-08-11T09:36:55 --enforcementcount 0</v>
      </c>
    </row>
    <row r="56" spans="1:34" s="1" customFormat="1" x14ac:dyDescent="0.25">
      <c r="A56" s="42" t="s">
        <v>343</v>
      </c>
      <c r="B56" s="7">
        <v>4030</v>
      </c>
      <c r="C56" s="25" t="s">
        <v>130</v>
      </c>
      <c r="D56" s="25" t="s">
        <v>241</v>
      </c>
      <c r="E56" s="16">
        <v>42593.406747685185</v>
      </c>
      <c r="F56" s="16">
        <v>42593.407789351855</v>
      </c>
      <c r="G56" s="7">
        <v>1</v>
      </c>
      <c r="H56" s="16" t="s">
        <v>166</v>
      </c>
      <c r="I56" s="16">
        <v>42593.443518518521</v>
      </c>
      <c r="J56" s="7">
        <v>0</v>
      </c>
      <c r="K56" s="149" t="str">
        <f t="shared" si="28"/>
        <v>4029/4030</v>
      </c>
      <c r="L56" s="25" t="str">
        <f>VLOOKUP(A56,'Trips&amp;Operators'!$C$1:$E$10000,3,FALSE)</f>
        <v>BRANNON</v>
      </c>
      <c r="M56" s="6">
        <f t="shared" si="20"/>
        <v>3.5729166665987577E-2</v>
      </c>
      <c r="N56" s="7">
        <f t="shared" si="36"/>
        <v>51.449999999022111</v>
      </c>
      <c r="O56" s="7"/>
      <c r="P56" s="7"/>
      <c r="Q56" s="26"/>
      <c r="R56" s="26"/>
      <c r="S56" s="38">
        <f t="shared" si="21"/>
        <v>1</v>
      </c>
      <c r="T56" s="55" t="str">
        <f t="shared" si="22"/>
        <v>Southbound</v>
      </c>
      <c r="U56" s="13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08:45:43-0600',mode:absolute,to:'2016-08-11 11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56" s="57" t="str">
        <f t="shared" si="33"/>
        <v>N</v>
      </c>
      <c r="X56" s="133">
        <f t="shared" si="34"/>
        <v>1</v>
      </c>
      <c r="Y56" s="72">
        <f t="shared" si="35"/>
        <v>23.302099999999999</v>
      </c>
      <c r="Z56" s="72">
        <f t="shared" si="32"/>
        <v>1.49E-2</v>
      </c>
      <c r="AA56" s="72">
        <f t="shared" si="24"/>
        <v>23.287199999999999</v>
      </c>
      <c r="AB56" s="69" t="e">
        <f>VLOOKUP(A56,Enforcements!$C$7:$J$24,8,0)</f>
        <v>#N/A</v>
      </c>
      <c r="AC56" s="65" t="e">
        <f>VLOOKUP(A56,Enforcements!$C$7:$E$24,3,0)</f>
        <v>#N/A</v>
      </c>
      <c r="AD56" s="66" t="str">
        <f t="shared" si="25"/>
        <v>0144-11</v>
      </c>
      <c r="AE56" s="108" t="str">
        <f t="shared" si="26"/>
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</c>
      <c r="AF56" s="105" t="str">
        <f t="shared" si="27"/>
        <v>"C:\Program Files (x86)\AstroGrep\AstroGrep.exe" /spath="%USERPROFILE%\AppData\Local\Temp\OnboardLogs" /stypes="*4030*20160811*" /stext=" 16:.+((SYSTEM_STATE.+slice.+state.+changed )|(ment ac)|(system.+state.+changed )|(\|lc)|(penalty)|(\[timeout)|(PRM\|1\|D)|(kpr)|(kdp))" /e /r /s</v>
      </c>
      <c r="AG56" s="1" t="str">
        <f t="shared" si="12"/>
        <v>EC</v>
      </c>
      <c r="AH56" s="109" t="str">
        <f t="shared" si="17"/>
        <v>"%USERPROFILE%\Documents\GitHub\eaglep3\Utilities\RefineRTDCRunTimes.py" --tripid 144-11 --locoid 4030 --swversion DE.1.0.7.0 --startMP 204:233021 --initTime 2016-08-11T09:45:43 --startdatetime 2016-08-11T09:47:13 --delay 1 --endMP 204:149 --enddatetime 2016-08-11T10:38:40 --enforcementcount 0</v>
      </c>
    </row>
    <row r="57" spans="1:34" x14ac:dyDescent="0.25">
      <c r="A57" s="42" t="s">
        <v>344</v>
      </c>
      <c r="B57" s="7">
        <v>4014</v>
      </c>
      <c r="C57" s="25" t="s">
        <v>130</v>
      </c>
      <c r="D57" s="25" t="s">
        <v>235</v>
      </c>
      <c r="E57" s="16">
        <v>42593.383692129632</v>
      </c>
      <c r="F57" s="16">
        <v>42593.384513888886</v>
      </c>
      <c r="G57" s="7">
        <v>1</v>
      </c>
      <c r="H57" s="16" t="s">
        <v>242</v>
      </c>
      <c r="I57" s="16">
        <v>42593.413483796299</v>
      </c>
      <c r="J57" s="7">
        <v>2</v>
      </c>
      <c r="K57" s="149" t="str">
        <f t="shared" si="28"/>
        <v>4013/4014</v>
      </c>
      <c r="L57" s="25" t="str">
        <f>VLOOKUP(A57,'Trips&amp;Operators'!$C$1:$E$10000,3,FALSE)</f>
        <v>STARKS</v>
      </c>
      <c r="M57" s="6">
        <f t="shared" si="20"/>
        <v>2.8969907412829343E-2</v>
      </c>
      <c r="N57" s="7">
        <f t="shared" si="36"/>
        <v>41.716666674474254</v>
      </c>
      <c r="O57" s="7"/>
      <c r="P57" s="7"/>
      <c r="Q57" s="26"/>
      <c r="R57" s="26"/>
      <c r="S57" s="38">
        <f t="shared" si="21"/>
        <v>1</v>
      </c>
      <c r="T57" s="55" t="str">
        <f t="shared" si="22"/>
        <v>NorthBound</v>
      </c>
      <c r="U57" s="13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08:12:31-0600',mode:absolute,to:'2016-08-11 10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57" s="57" t="str">
        <f t="shared" si="33"/>
        <v>N</v>
      </c>
      <c r="X57" s="133">
        <f t="shared" si="34"/>
        <v>1</v>
      </c>
      <c r="Y57" s="72">
        <f t="shared" si="35"/>
        <v>4.5699999999999998E-2</v>
      </c>
      <c r="Z57" s="72">
        <f t="shared" si="32"/>
        <v>23.332000000000001</v>
      </c>
      <c r="AA57" s="72">
        <f t="shared" si="24"/>
        <v>23.286300000000001</v>
      </c>
      <c r="AB57" s="69">
        <f>VLOOKUP(A57,Enforcements!$C$7:$J$24,8,0)</f>
        <v>33137</v>
      </c>
      <c r="AC57" s="65" t="str">
        <f>VLOOKUP(A57,Enforcements!$C$7:$E$24,3,0)</f>
        <v>GRADE CROSSING</v>
      </c>
      <c r="AD57" s="66" t="str">
        <f t="shared" si="25"/>
        <v>0145-11</v>
      </c>
      <c r="AE57" s="108" t="str">
        <f t="shared" si="26"/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57" s="105" t="str">
        <f t="shared" si="27"/>
        <v>"C:\Program Files (x86)\AstroGrep\AstroGrep.exe" /spath="%USERPROFILE%\AppData\Local\Temp\OnboardLogs" /stypes="*4014*20160811*" /stext=" 15:.+((SYSTEM_STATE.+slice.+state.+changed )|(ment ac)|(system.+state.+changed )|(\|lc)|(penalty)|(\[timeout)|(PRM\|1\|D)|(kpr)|(kdp))" /e /r /s</v>
      </c>
      <c r="AG57" s="1" t="str">
        <f t="shared" si="12"/>
        <v>EC</v>
      </c>
      <c r="AH57" s="109" t="str">
        <f t="shared" si="17"/>
        <v>"%USERPROFILE%\Documents\GitHub\eaglep3\Utilities\RefineRTDCRunTimes.py" --tripid 145-11 --locoid 4014 --swversion DE.1.0.7.0 --startMP 204:457 --initTime 2016-08-11T09:12:31 --startdatetime 2016-08-11T09:13:42 --delay 1 --endMP 204:233320 --enddatetime 2016-08-11T09:55:25 --enforcementcount 2</v>
      </c>
    </row>
    <row r="58" spans="1:34" x14ac:dyDescent="0.25">
      <c r="A58" s="42" t="s">
        <v>345</v>
      </c>
      <c r="B58" s="7">
        <v>4013</v>
      </c>
      <c r="C58" s="25" t="s">
        <v>130</v>
      </c>
      <c r="D58" s="25" t="s">
        <v>346</v>
      </c>
      <c r="E58" s="16">
        <v>42593.421180555553</v>
      </c>
      <c r="F58" s="16">
        <v>42593.422233796293</v>
      </c>
      <c r="G58" s="7">
        <v>1</v>
      </c>
      <c r="H58" s="16" t="s">
        <v>176</v>
      </c>
      <c r="I58" s="16">
        <v>42593.455914351849</v>
      </c>
      <c r="J58" s="7">
        <v>2</v>
      </c>
      <c r="K58" s="149" t="str">
        <f t="shared" si="28"/>
        <v>4013/4014</v>
      </c>
      <c r="L58" s="25" t="str">
        <f>VLOOKUP(A58,'Trips&amp;Operators'!$C$1:$E$10000,3,FALSE)</f>
        <v>STARKS</v>
      </c>
      <c r="M58" s="6">
        <f t="shared" si="20"/>
        <v>3.3680555556202307E-2</v>
      </c>
      <c r="N58" s="7">
        <f t="shared" si="36"/>
        <v>48.500000000931323</v>
      </c>
      <c r="O58" s="7"/>
      <c r="P58" s="7"/>
      <c r="Q58" s="26"/>
      <c r="R58" s="26"/>
      <c r="S58" s="38">
        <f t="shared" si="21"/>
        <v>1</v>
      </c>
      <c r="T58" s="55" t="str">
        <f t="shared" si="22"/>
        <v>Southbound</v>
      </c>
      <c r="U58" s="13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09:06:30-0600',mode:absolute,to:'2016-08-11 11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58" s="57" t="str">
        <f t="shared" si="33"/>
        <v>N</v>
      </c>
      <c r="X58" s="133">
        <f t="shared" si="34"/>
        <v>1</v>
      </c>
      <c r="Y58" s="72">
        <f t="shared" si="35"/>
        <v>23.2986</v>
      </c>
      <c r="Z58" s="72">
        <f t="shared" si="32"/>
        <v>1.3599999999999999E-2</v>
      </c>
      <c r="AA58" s="72">
        <f t="shared" si="24"/>
        <v>23.285</v>
      </c>
      <c r="AB58" s="69">
        <f>VLOOKUP(A58,Enforcements!$C$7:$J$24,8,0)</f>
        <v>48048</v>
      </c>
      <c r="AC58" s="65" t="str">
        <f>VLOOKUP(A58,Enforcements!$C$7:$E$24,3,0)</f>
        <v>GRADE CROSSING</v>
      </c>
      <c r="AD58" s="66" t="str">
        <f t="shared" si="25"/>
        <v>0146-11</v>
      </c>
      <c r="AE58" s="108" t="str">
        <f t="shared" si="26"/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AF58" s="105" t="str">
        <f t="shared" si="27"/>
        <v>"C:\Program Files (x86)\AstroGrep\AstroGrep.exe" /spath="%USERPROFILE%\AppData\Local\Temp\OnboardLogs" /stypes="*4013*20160811*" /stext=" 16:.+((SYSTEM_STATE.+slice.+state.+changed )|(ment ac)|(system.+state.+changed )|(\|lc)|(penalty)|(\[timeout)|(PRM\|1\|D)|(kpr)|(kdp))" /e /r /s</v>
      </c>
      <c r="AG58" s="1" t="str">
        <f t="shared" si="12"/>
        <v>EC</v>
      </c>
      <c r="AH58" s="109" t="str">
        <f t="shared" si="17"/>
        <v>"%USERPROFILE%\Documents\GitHub\eaglep3\Utilities\RefineRTDCRunTimes.py" --tripid 146-11 --locoid 4013 --swversion DE.1.0.7.0 --startMP 204:232986 --initTime 2016-08-11T10:06:30 --startdatetime 2016-08-11T10:08:01 --delay 1 --endMP 204:136 --enddatetime 2016-08-11T10:56:31 --enforcementcount 2</v>
      </c>
    </row>
    <row r="59" spans="1:34" s="1" customFormat="1" x14ac:dyDescent="0.25">
      <c r="A59" s="42" t="s">
        <v>347</v>
      </c>
      <c r="B59" s="7">
        <v>4025</v>
      </c>
      <c r="C59" s="25" t="s">
        <v>130</v>
      </c>
      <c r="D59" s="25" t="s">
        <v>179</v>
      </c>
      <c r="E59" s="16">
        <v>42593.396481481483</v>
      </c>
      <c r="F59" s="16">
        <v>42593.397743055553</v>
      </c>
      <c r="G59" s="7">
        <v>1</v>
      </c>
      <c r="H59" s="16" t="s">
        <v>309</v>
      </c>
      <c r="I59" s="16">
        <v>42593.425081018519</v>
      </c>
      <c r="J59" s="7">
        <v>2</v>
      </c>
      <c r="K59" s="149" t="str">
        <f t="shared" si="28"/>
        <v>4025/4026</v>
      </c>
      <c r="L59" s="25" t="str">
        <f>VLOOKUP(A59,'Trips&amp;Operators'!$C$1:$E$10000,3,FALSE)</f>
        <v>MALAVE</v>
      </c>
      <c r="M59" s="6">
        <f t="shared" si="20"/>
        <v>2.7337962965248153E-2</v>
      </c>
      <c r="N59" s="7">
        <f t="shared" si="36"/>
        <v>39.36666666995734</v>
      </c>
      <c r="O59" s="7"/>
      <c r="P59" s="7"/>
      <c r="Q59" s="26"/>
      <c r="R59" s="26"/>
      <c r="S59" s="38">
        <f t="shared" si="21"/>
        <v>1</v>
      </c>
      <c r="T59" s="55" t="str">
        <f t="shared" si="22"/>
        <v>NorthBound</v>
      </c>
      <c r="U59" s="13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08:30:56-0600',mode:absolute,to:'2016-08-11 11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59" s="57" t="str">
        <f t="shared" si="33"/>
        <v>N</v>
      </c>
      <c r="X59" s="133">
        <f t="shared" si="34"/>
        <v>1</v>
      </c>
      <c r="Y59" s="72">
        <f t="shared" si="35"/>
        <v>4.8800000000000003E-2</v>
      </c>
      <c r="Z59" s="72">
        <f t="shared" si="32"/>
        <v>23.327999999999999</v>
      </c>
      <c r="AA59" s="72">
        <f t="shared" si="24"/>
        <v>23.279199999999999</v>
      </c>
      <c r="AB59" s="69">
        <f>VLOOKUP(A59,Enforcements!$C$7:$J$24,8,0)</f>
        <v>33137</v>
      </c>
      <c r="AC59" s="65" t="str">
        <f>VLOOKUP(A59,Enforcements!$C$7:$E$24,3,0)</f>
        <v>GRADE CROSSING</v>
      </c>
      <c r="AD59" s="66" t="str">
        <f t="shared" si="25"/>
        <v>0147-11</v>
      </c>
      <c r="AE59" s="108" t="str">
        <f t="shared" si="26"/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AF59" s="105" t="str">
        <f t="shared" si="27"/>
        <v>"C:\Program Files (x86)\AstroGrep\AstroGrep.exe" /spath="%USERPROFILE%\AppData\Local\Temp\OnboardLogs" /stypes="*4025*20160811*" /stext=" 16:.+((SYSTEM_STATE.+slice.+state.+changed )|(ment ac)|(system.+state.+changed )|(\|lc)|(penalty)|(\[timeout)|(PRM\|1\|D)|(kpr)|(kdp))" /e /r /s</v>
      </c>
      <c r="AG59" s="1" t="str">
        <f t="shared" si="12"/>
        <v>EC</v>
      </c>
      <c r="AH59" s="109" t="str">
        <f t="shared" si="17"/>
        <v>"%USERPROFILE%\Documents\GitHub\eaglep3\Utilities\RefineRTDCRunTimes.py" --tripid 147-11 --locoid 4025 --swversion DE.1.0.7.0 --startMP 204:488 --initTime 2016-08-11T09:30:56 --startdatetime 2016-08-11T09:32:45 --delay 1 --endMP 204:233280 --enddatetime 2016-08-11T10:12:07 --enforcementcount 2</v>
      </c>
    </row>
    <row r="60" spans="1:34" s="1" customFormat="1" x14ac:dyDescent="0.25">
      <c r="A60" s="42" t="s">
        <v>348</v>
      </c>
      <c r="B60" s="7">
        <v>4026</v>
      </c>
      <c r="C60" s="25" t="s">
        <v>130</v>
      </c>
      <c r="D60" s="25" t="s">
        <v>349</v>
      </c>
      <c r="E60" s="16">
        <v>42593.434467592589</v>
      </c>
      <c r="F60" s="16">
        <v>42593.435358796298</v>
      </c>
      <c r="G60" s="7">
        <v>1</v>
      </c>
      <c r="H60" s="16" t="s">
        <v>350</v>
      </c>
      <c r="I60" s="16">
        <v>42593.469814814816</v>
      </c>
      <c r="J60" s="7">
        <v>0</v>
      </c>
      <c r="K60" s="149" t="str">
        <f t="shared" si="28"/>
        <v>4025/4026</v>
      </c>
      <c r="L60" s="25" t="str">
        <f>VLOOKUP(A60,'Trips&amp;Operators'!$C$1:$E$10000,3,FALSE)</f>
        <v>MALAVE</v>
      </c>
      <c r="M60" s="6">
        <f t="shared" si="20"/>
        <v>3.4456018518540077E-2</v>
      </c>
      <c r="N60" s="7">
        <f t="shared" si="36"/>
        <v>49.616666666697711</v>
      </c>
      <c r="O60" s="7"/>
      <c r="P60" s="7"/>
      <c r="Q60" s="26"/>
      <c r="R60" s="26"/>
      <c r="S60" s="38">
        <f t="shared" si="21"/>
        <v>1</v>
      </c>
      <c r="T60" s="55" t="str">
        <f t="shared" si="22"/>
        <v>Southbound</v>
      </c>
      <c r="U60" s="13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09:25:38-0600',mode:absolute,to:'2016-08-11 12:16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60" s="57" t="str">
        <f t="shared" si="33"/>
        <v>N</v>
      </c>
      <c r="X60" s="133">
        <f t="shared" si="34"/>
        <v>1</v>
      </c>
      <c r="Y60" s="72">
        <f t="shared" si="35"/>
        <v>23.297899999999998</v>
      </c>
      <c r="Z60" s="72">
        <f t="shared" si="32"/>
        <v>1.7000000000000001E-2</v>
      </c>
      <c r="AA60" s="72">
        <f t="shared" si="24"/>
        <v>23.280899999999999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25"/>
        <v>0148-11</v>
      </c>
      <c r="AE60" s="108" t="str">
        <f t="shared" si="26"/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AF60" s="105" t="str">
        <f t="shared" si="27"/>
        <v>"C:\Program Files (x86)\AstroGrep\AstroGrep.exe" /spath="%USERPROFILE%\AppData\Local\Temp\OnboardLogs" /stypes="*4026*20160811*" /stext=" 17:.+((SYSTEM_STATE.+slice.+state.+changed )|(ment ac)|(system.+state.+changed )|(\|lc)|(penalty)|(\[timeout)|(PRM\|1\|D)|(kpr)|(kdp))" /e /r /s</v>
      </c>
      <c r="AG60" s="1" t="str">
        <f t="shared" si="12"/>
        <v>EC</v>
      </c>
      <c r="AH60" s="109" t="str">
        <f t="shared" si="17"/>
        <v>"%USERPROFILE%\Documents\GitHub\eaglep3\Utilities\RefineRTDCRunTimes.py" --tripid 148-11 --locoid 4026 --swversion DE.1.0.7.0 --startMP 204:232979 --initTime 2016-08-11T10:25:38 --startdatetime 2016-08-11T10:26:55 --delay 1 --endMP 204:170 --enddatetime 2016-08-11T11:16:32 --enforcementcount 0</v>
      </c>
    </row>
    <row r="61" spans="1:34" x14ac:dyDescent="0.25">
      <c r="A61" s="42" t="s">
        <v>351</v>
      </c>
      <c r="B61" s="7">
        <v>4044</v>
      </c>
      <c r="C61" s="25" t="s">
        <v>130</v>
      </c>
      <c r="D61" s="25" t="s">
        <v>147</v>
      </c>
      <c r="E61" s="16">
        <v>42593.404722222222</v>
      </c>
      <c r="F61" s="16">
        <v>42593.405787037038</v>
      </c>
      <c r="G61" s="7">
        <v>1</v>
      </c>
      <c r="H61" s="16" t="s">
        <v>352</v>
      </c>
      <c r="I61" s="16">
        <v>42593.510844907411</v>
      </c>
      <c r="J61" s="7">
        <v>0</v>
      </c>
      <c r="K61" s="149" t="str">
        <f t="shared" si="28"/>
        <v>4043/4044</v>
      </c>
      <c r="L61" s="25" t="str">
        <f>VLOOKUP(A61,'Trips&amp;Operators'!$C$1:$E$10000,3,FALSE)</f>
        <v>STRICKLAND</v>
      </c>
      <c r="M61" s="6">
        <f t="shared" si="20"/>
        <v>0.10505787037254777</v>
      </c>
      <c r="N61" s="7"/>
      <c r="O61" s="7"/>
      <c r="P61" s="7">
        <f>24*60*SUM($M61:$M61)</f>
        <v>151.28333333646879</v>
      </c>
      <c r="Q61" s="26"/>
      <c r="R61" s="26" t="s">
        <v>640</v>
      </c>
      <c r="S61" s="38">
        <f t="shared" si="21"/>
        <v>1</v>
      </c>
      <c r="T61" s="55" t="str">
        <f t="shared" si="22"/>
        <v>NorthBound</v>
      </c>
      <c r="U61" s="13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08:42:48-0600',mode:absolute,to:'2016-08-11 13:15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61" s="57" t="str">
        <f t="shared" si="33"/>
        <v>Y</v>
      </c>
      <c r="X61" s="133">
        <f t="shared" si="34"/>
        <v>1</v>
      </c>
      <c r="Y61" s="72">
        <f t="shared" si="35"/>
        <v>4.5499999999999999E-2</v>
      </c>
      <c r="Z61" s="72">
        <f t="shared" si="32"/>
        <v>21.684699999999999</v>
      </c>
      <c r="AA61" s="72">
        <f t="shared" si="24"/>
        <v>21.639199999999999</v>
      </c>
      <c r="AB61" s="69" t="e">
        <f>VLOOKUP(A61,Enforcements!$C$7:$J$24,8,0)</f>
        <v>#N/A</v>
      </c>
      <c r="AC61" s="65" t="e">
        <f>VLOOKUP(A61,Enforcements!$C$7:$E$24,3,0)</f>
        <v>#N/A</v>
      </c>
      <c r="AD61" s="66" t="str">
        <f t="shared" si="25"/>
        <v>0149-11</v>
      </c>
      <c r="AE61" s="108" t="str">
        <f t="shared" si="26"/>
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</c>
      <c r="AF61" s="105" t="str">
        <f t="shared" si="27"/>
        <v>"C:\Program Files (x86)\AstroGrep\AstroGrep.exe" /spath="%USERPROFILE%\AppData\Local\Temp\OnboardLogs" /stypes="*4044*20160811*" /stext=" 18:.+((SYSTEM_STATE.+slice.+state.+changed )|(ment ac)|(system.+state.+changed )|(\|lc)|(penalty)|(\[timeout)|(PRM\|1\|D)|(kpr)|(kdp))" /e /r /s</v>
      </c>
      <c r="AG61" s="1" t="str">
        <f t="shared" si="12"/>
        <v>EC</v>
      </c>
      <c r="AH61" s="109" t="str">
        <f t="shared" si="17"/>
        <v>"%USERPROFILE%\Documents\GitHub\eaglep3\Utilities\RefineRTDCRunTimes.py" --tripid 149-11 --locoid 4044 --swversion DE.1.0.7.0 --startMP 204:455 --initTime 2016-08-11T09:42:48 --startdatetime 2016-08-11T09:44:20 --delay 1 --endMP 204:216847 --enddatetime 2016-08-11T12:15:37 --enforcementcount 0</v>
      </c>
    </row>
    <row r="62" spans="1:34" s="24" customFormat="1" x14ac:dyDescent="0.25">
      <c r="A62" s="42" t="s">
        <v>641</v>
      </c>
      <c r="B62" s="7">
        <v>4043</v>
      </c>
      <c r="C62" s="25" t="s">
        <v>130</v>
      </c>
      <c r="D62" s="25" t="s">
        <v>147</v>
      </c>
      <c r="E62" s="16">
        <v>42593.404722222222</v>
      </c>
      <c r="F62" s="16"/>
      <c r="G62" s="7">
        <v>1</v>
      </c>
      <c r="H62" s="16" t="s">
        <v>352</v>
      </c>
      <c r="I62" s="16"/>
      <c r="J62" s="7">
        <v>0</v>
      </c>
      <c r="K62" s="149" t="str">
        <f t="shared" si="28"/>
        <v>4043/4044</v>
      </c>
      <c r="L62" s="25" t="e">
        <f>VLOOKUP(A62,'Trips&amp;Operators'!$C$1:$E$10000,3,FALSE)</f>
        <v>#N/A</v>
      </c>
      <c r="M62" s="6">
        <f t="shared" si="20"/>
        <v>0</v>
      </c>
      <c r="N62" s="7"/>
      <c r="O62" s="7"/>
      <c r="P62" s="7">
        <v>1</v>
      </c>
      <c r="Q62" s="26"/>
      <c r="R62" s="26" t="s">
        <v>230</v>
      </c>
      <c r="S62" s="38">
        <f t="shared" si="21"/>
        <v>0</v>
      </c>
      <c r="T62" s="55" t="str">
        <f t="shared" si="22"/>
        <v>Southbound</v>
      </c>
      <c r="U62" s="13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0</v>
      </c>
      <c r="V62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08:42:48-0600',mode:absolute,to:'1900-01-00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62" s="57" t="str">
        <f t="shared" si="33"/>
        <v>Y</v>
      </c>
      <c r="X62" s="133">
        <f t="shared" ref="X62:X65" si="37">VALUE(LEFT(AD62,4))-VALUE(LEFT(AD61,4))</f>
        <v>1</v>
      </c>
      <c r="Y62" s="72">
        <f t="shared" si="35"/>
        <v>4.5499999999999999E-2</v>
      </c>
      <c r="Z62" s="72">
        <f t="shared" si="32"/>
        <v>21.684699999999999</v>
      </c>
      <c r="AA62" s="72">
        <f t="shared" si="24"/>
        <v>21.639199999999999</v>
      </c>
      <c r="AB62" s="69" t="e">
        <f>VLOOKUP(A62,Enforcements!$C$7:$J$24,8,0)</f>
        <v>#N/A</v>
      </c>
      <c r="AC62" s="65" t="e">
        <f>VLOOKUP(A62,Enforcements!$C$7:$E$24,3,0)</f>
        <v>#N/A</v>
      </c>
      <c r="AD62" s="66" t="str">
        <f t="shared" si="25"/>
        <v>0150-11</v>
      </c>
      <c r="AE62" s="108" t="str">
        <f t="shared" si="26"/>
        <v>aws s3 cp s3://rtdc.mdm.uploadarchive/RTDC4043/1900-01-00/ "%USERPROFILE%\AppData\Local\Temp\OnboardLogs"\RTDC4043\1900-01-00 --recursive &amp; "%USERPROFILE%\Documents\GitHub\mrs-test-scripts\Headless Mode &amp; Sideloading\WalkAndUnGZ.bat" "%USERPROFILE%\AppData\Local\Temp\OnboardLogs"\RTDC4043\1900-01-00 &amp; aws s3 cp s3://rtdc.mdm.uploadarchive/RTDC4043/1900-01-01/ "%USERPROFILE%\AppData\Local\Temp\OnboardLogs"\RTDC4043\1900-01-01 --recursive &amp; "%USERPROFILE%\Documents\GitHub\mrs-test-scripts\Headless Mode &amp; Sideloading\WalkAndUnGZ.bat" "%USERPROFILE%\AppData\Local\Temp\OnboardLogs"\RTDC4043\1900-01-01</v>
      </c>
      <c r="AF62" s="105" t="str">
        <f t="shared" si="27"/>
        <v>"C:\Program Files (x86)\AstroGrep\AstroGrep.exe" /spath="%USERPROFILE%\AppData\Local\Temp\OnboardLogs" /stypes="*4043*19000100*" /stext=" 06:.+((SYSTEM_STATE.+slice.+state.+changed )|(ment ac)|(system.+state.+changed )|(\|lc)|(penalty)|(\[timeout)|(PRM\|1\|D)|(kpr)|(kdp))" /e /r /s</v>
      </c>
      <c r="AG62" s="1" t="str">
        <f t="shared" si="12"/>
        <v>EC</v>
      </c>
      <c r="AH62" s="109" t="str">
        <f t="shared" ref="AH62" si="38">refinertdcruntimes&amp;" --tripid "&amp;A62&amp;" --locoid "&amp;B62&amp;" --swversion "&amp;C62&amp;" --startMP "&amp;D62&amp;" --initTime "&amp;TEXT(E62,"yyyy-mm-ddTHH:MM:SS")&amp;" --startdatetime "&amp;TEXT(F62,"yyyy-mm-ddTHH:MM:SS")&amp;" --delay "&amp;G62&amp;" --endMP "&amp;H62&amp;" --enddatetime "&amp;TEXT(I62,"yyyy-mm-ddTHH:MM:SS")&amp;" --enforcementcount "&amp;J62</f>
        <v>"%USERPROFILE%\Documents\GitHub\eaglep3\Utilities\RefineRTDCRunTimes.py" --tripid 150-11 --locoid 4043 --swversion DE.1.0.7.0 --startMP 204:455 --initTime 2016-08-11T09:42:48 --startdatetime 1900-01-00T00:00:00 --delay 1 --endMP 204:216847 --enddatetime 1900-01-00T00:00:00 --enforcementcount 0</v>
      </c>
    </row>
    <row r="63" spans="1:34" x14ac:dyDescent="0.25">
      <c r="A63" s="42" t="s">
        <v>353</v>
      </c>
      <c r="B63" s="7">
        <v>4031</v>
      </c>
      <c r="C63" s="25" t="s">
        <v>130</v>
      </c>
      <c r="D63" s="25" t="s">
        <v>354</v>
      </c>
      <c r="E63" s="16">
        <v>42593.41609953704</v>
      </c>
      <c r="F63" s="16">
        <v>42593.417939814812</v>
      </c>
      <c r="G63" s="7">
        <v>2</v>
      </c>
      <c r="H63" s="16" t="s">
        <v>161</v>
      </c>
      <c r="I63" s="16">
        <v>42593.4453587963</v>
      </c>
      <c r="J63" s="7">
        <v>0</v>
      </c>
      <c r="K63" s="149" t="str">
        <f t="shared" si="28"/>
        <v>4031/4032</v>
      </c>
      <c r="L63" s="25" t="str">
        <f>VLOOKUP(A63,'Trips&amp;Operators'!$C$1:$E$10000,3,FALSE)</f>
        <v>ROCHA</v>
      </c>
      <c r="M63" s="6">
        <f t="shared" si="20"/>
        <v>2.7418981488153804E-2</v>
      </c>
      <c r="N63" s="7">
        <f>24*60*SUM($M63:$M63)</f>
        <v>39.483333342941478</v>
      </c>
      <c r="O63" s="7"/>
      <c r="P63" s="7"/>
      <c r="Q63" s="26"/>
      <c r="R63" s="26"/>
      <c r="S63" s="38">
        <f t="shared" si="21"/>
        <v>1</v>
      </c>
      <c r="T63" s="55" t="str">
        <f t="shared" si="22"/>
        <v>NorthBound</v>
      </c>
      <c r="U63" s="13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08:59:11-0600',mode:absolute,to:'2016-08-11 11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63" s="57" t="str">
        <f t="shared" si="33"/>
        <v>N</v>
      </c>
      <c r="X63" s="133">
        <f t="shared" si="37"/>
        <v>1</v>
      </c>
      <c r="Y63" s="72">
        <f t="shared" si="35"/>
        <v>0.15010000000000001</v>
      </c>
      <c r="Z63" s="72">
        <f t="shared" si="32"/>
        <v>23.328900000000001</v>
      </c>
      <c r="AA63" s="72">
        <f t="shared" si="24"/>
        <v>23.178800000000003</v>
      </c>
      <c r="AB63" s="69" t="e">
        <f>VLOOKUP(A63,Enforcements!$C$7:$J$24,8,0)</f>
        <v>#N/A</v>
      </c>
      <c r="AC63" s="65" t="e">
        <f>VLOOKUP(A63,Enforcements!$C$7:$E$24,3,0)</f>
        <v>#N/A</v>
      </c>
      <c r="AD63" s="66" t="str">
        <f t="shared" si="25"/>
        <v>0151-11</v>
      </c>
      <c r="AE63" s="108" t="str">
        <f t="shared" si="26"/>
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</c>
      <c r="AF63" s="105" t="str">
        <f t="shared" si="27"/>
        <v>"C:\Program Files (x86)\AstroGrep\AstroGrep.exe" /spath="%USERPROFILE%\AppData\Local\Temp\OnboardLogs" /stypes="*4031*20160811*" /stext=" 16:.+((SYSTEM_STATE.+slice.+state.+changed )|(ment ac)|(system.+state.+changed )|(\|lc)|(penalty)|(\[timeout)|(PRM\|1\|D)|(kpr)|(kdp))" /e /r /s</v>
      </c>
      <c r="AG63" s="1" t="str">
        <f t="shared" si="12"/>
        <v>EC</v>
      </c>
      <c r="AH63" s="109" t="str">
        <f t="shared" si="17"/>
        <v>"%USERPROFILE%\Documents\GitHub\eaglep3\Utilities\RefineRTDCRunTimes.py" --tripid 151-11 --locoid 4031 --swversion DE.1.0.7.0 --startMP 204:1501 --initTime 2016-08-11T09:59:11 --startdatetime 2016-08-11T10:01:50 --delay 2 --endMP 204:233289 --enddatetime 2016-08-11T10:41:19 --enforcementcount 0</v>
      </c>
    </row>
    <row r="64" spans="1:34" x14ac:dyDescent="0.25">
      <c r="A64" s="42" t="s">
        <v>355</v>
      </c>
      <c r="B64" s="7">
        <v>4032</v>
      </c>
      <c r="C64" s="25" t="s">
        <v>130</v>
      </c>
      <c r="D64" s="25" t="s">
        <v>356</v>
      </c>
      <c r="E64" s="16">
        <v>42593.454282407409</v>
      </c>
      <c r="F64" s="16">
        <v>42593.455810185187</v>
      </c>
      <c r="G64" s="7">
        <v>2</v>
      </c>
      <c r="H64" s="16" t="s">
        <v>194</v>
      </c>
      <c r="I64" s="16">
        <v>42593.487187500003</v>
      </c>
      <c r="J64" s="7">
        <v>0</v>
      </c>
      <c r="K64" s="149" t="str">
        <f t="shared" si="28"/>
        <v>4031/4032</v>
      </c>
      <c r="L64" s="25" t="str">
        <f>VLOOKUP(A64,'Trips&amp;Operators'!$C$1:$E$10000,3,FALSE)</f>
        <v>ROCHA</v>
      </c>
      <c r="M64" s="6">
        <f t="shared" si="20"/>
        <v>3.1377314815472346E-2</v>
      </c>
      <c r="N64" s="7">
        <f>24*60*SUM($M64:$M64)</f>
        <v>45.183333334280178</v>
      </c>
      <c r="O64" s="7"/>
      <c r="P64" s="7"/>
      <c r="Q64" s="26"/>
      <c r="R64" s="26"/>
      <c r="S64" s="38">
        <f t="shared" si="21"/>
        <v>1</v>
      </c>
      <c r="T64" s="55" t="str">
        <f t="shared" si="22"/>
        <v>Southbound</v>
      </c>
      <c r="U64" s="13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09:54:10-0600',mode:absolute,to:'2016-08-11 12:41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64" s="57" t="str">
        <f t="shared" si="33"/>
        <v>N</v>
      </c>
      <c r="X64" s="133">
        <f t="shared" si="37"/>
        <v>1</v>
      </c>
      <c r="Y64" s="72">
        <f t="shared" si="35"/>
        <v>23.296700000000001</v>
      </c>
      <c r="Z64" s="72">
        <f t="shared" si="32"/>
        <v>1.6899999999999998E-2</v>
      </c>
      <c r="AA64" s="72">
        <f t="shared" si="24"/>
        <v>23.279800000000002</v>
      </c>
      <c r="AB64" s="69" t="e">
        <f>VLOOKUP(A64,Enforcements!$C$7:$J$24,8,0)</f>
        <v>#N/A</v>
      </c>
      <c r="AC64" s="65" t="e">
        <f>VLOOKUP(A64,Enforcements!$C$7:$E$24,3,0)</f>
        <v>#N/A</v>
      </c>
      <c r="AD64" s="66" t="str">
        <f t="shared" si="25"/>
        <v>0152-11</v>
      </c>
      <c r="AE64" s="108" t="str">
        <f t="shared" si="26"/>
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</c>
      <c r="AF64" s="105" t="str">
        <f t="shared" si="27"/>
        <v>"C:\Program Files (x86)\AstroGrep\AstroGrep.exe" /spath="%USERPROFILE%\AppData\Local\Temp\OnboardLogs" /stypes="*4032*20160811*" /stext=" 17:.+((SYSTEM_STATE.+slice.+state.+changed )|(ment ac)|(system.+state.+changed )|(\|lc)|(penalty)|(\[timeout)|(PRM\|1\|D)|(kpr)|(kdp))" /e /r /s</v>
      </c>
      <c r="AG64" s="1" t="str">
        <f t="shared" si="12"/>
        <v>EC</v>
      </c>
      <c r="AH64" s="109" t="str">
        <f t="shared" si="17"/>
        <v>"%USERPROFILE%\Documents\GitHub\eaglep3\Utilities\RefineRTDCRunTimes.py" --tripid 152-11 --locoid 4032 --swversion DE.1.0.7.0 --startMP 204:232967 --initTime 2016-08-11T10:54:10 --startdatetime 2016-08-11T10:56:22 --delay 2 --endMP 204:169 --enddatetime 2016-08-11T11:41:33 --enforcementcount 0</v>
      </c>
    </row>
    <row r="65" spans="1:34" x14ac:dyDescent="0.25">
      <c r="A65" s="42" t="s">
        <v>357</v>
      </c>
      <c r="B65" s="7">
        <v>4011</v>
      </c>
      <c r="C65" s="25" t="s">
        <v>130</v>
      </c>
      <c r="D65" s="25" t="s">
        <v>146</v>
      </c>
      <c r="E65" s="16">
        <v>42593.424513888887</v>
      </c>
      <c r="F65" s="16">
        <v>42593.425486111111</v>
      </c>
      <c r="G65" s="7">
        <v>1</v>
      </c>
      <c r="H65" s="16" t="s">
        <v>161</v>
      </c>
      <c r="I65" s="16">
        <v>42593.456747685188</v>
      </c>
      <c r="J65" s="7">
        <v>0</v>
      </c>
      <c r="K65" s="149" t="str">
        <f t="shared" si="28"/>
        <v>4011/4012</v>
      </c>
      <c r="L65" s="25" t="str">
        <f>VLOOKUP(A65,'Trips&amp;Operators'!$C$1:$E$10000,3,FALSE)</f>
        <v>SANTIZO</v>
      </c>
      <c r="M65" s="6">
        <f t="shared" si="20"/>
        <v>3.1261574076779652E-2</v>
      </c>
      <c r="N65" s="7">
        <f>24*60*SUM($M65:$M65)</f>
        <v>45.016666670562699</v>
      </c>
      <c r="O65" s="7"/>
      <c r="P65" s="7"/>
      <c r="Q65" s="26"/>
      <c r="R65" s="26"/>
      <c r="S65" s="38">
        <f t="shared" si="21"/>
        <v>1</v>
      </c>
      <c r="T65" s="55" t="str">
        <f t="shared" si="22"/>
        <v>NorthBound</v>
      </c>
      <c r="U65" s="13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09:11:18-0600',mode:absolute,to:'2016-08-11 11:57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65" s="57" t="str">
        <f t="shared" si="33"/>
        <v>N</v>
      </c>
      <c r="X65" s="133">
        <f t="shared" si="37"/>
        <v>1</v>
      </c>
      <c r="Y65" s="72">
        <f t="shared" si="35"/>
        <v>4.4600000000000001E-2</v>
      </c>
      <c r="Z65" s="72">
        <f t="shared" si="32"/>
        <v>23.328900000000001</v>
      </c>
      <c r="AA65" s="72">
        <f t="shared" si="24"/>
        <v>23.284300000000002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25"/>
        <v>0153-11</v>
      </c>
      <c r="AE65" s="108" t="str">
        <f t="shared" si="26"/>
        <v>aws s3 cp s3://rtdc.mdm.uploadarchive/RTDC4011/2016-08-11/ "%USERPROFILE%\AppData\Local\Temp\OnboardLogs"\RTDC4011\2016-08-11 --recursive &amp; "%USERPROFILE%\Documents\GitHub\mrs-test-scripts\Headless Mode &amp; Sideloading\WalkAndUnGZ.bat" "%USERPROFILE%\AppData\Local\Temp\OnboardLogs"\RTDC4011\2016-08-11 &amp; aws s3 cp s3://rtdc.mdm.uploadarchive/RTDC4011/2016-08-12/ "%USERPROFILE%\AppData\Local\Temp\OnboardLogs"\RTDC4011\2016-08-12 --recursive &amp; "%USERPROFILE%\Documents\GitHub\mrs-test-scripts\Headless Mode &amp; Sideloading\WalkAndUnGZ.bat" "%USERPROFILE%\AppData\Local\Temp\OnboardLogs"\RTDC4011\2016-08-12</v>
      </c>
      <c r="AF65" s="105" t="str">
        <f t="shared" si="27"/>
        <v>"C:\Program Files (x86)\AstroGrep\AstroGrep.exe" /spath="%USERPROFILE%\AppData\Local\Temp\OnboardLogs" /stypes="*4011*20160811*" /stext=" 16:.+((SYSTEM_STATE.+slice.+state.+changed )|(ment ac)|(system.+state.+changed )|(\|lc)|(penalty)|(\[timeout)|(PRM\|1\|D)|(kpr)|(kdp))" /e /r /s</v>
      </c>
      <c r="AG65" s="1" t="str">
        <f t="shared" si="12"/>
        <v>EC</v>
      </c>
      <c r="AH65" s="109" t="str">
        <f t="shared" si="17"/>
        <v>"%USERPROFILE%\Documents\GitHub\eaglep3\Utilities\RefineRTDCRunTimes.py" --tripid 153-11 --locoid 4011 --swversion DE.1.0.7.0 --startMP 204:446 --initTime 2016-08-11T10:11:18 --startdatetime 2016-08-11T10:12:42 --delay 1 --endMP 204:233289 --enddatetime 2016-08-11T10:57:43 --enforcementcount 0</v>
      </c>
    </row>
    <row r="66" spans="1:34" s="24" customFormat="1" x14ac:dyDescent="0.25">
      <c r="A66" s="42" t="s">
        <v>642</v>
      </c>
      <c r="B66" s="7">
        <v>4012</v>
      </c>
      <c r="C66" s="25" t="s">
        <v>130</v>
      </c>
      <c r="D66" s="25" t="s">
        <v>146</v>
      </c>
      <c r="E66" s="16">
        <v>42593.424513888887</v>
      </c>
      <c r="F66" s="16" t="s">
        <v>181</v>
      </c>
      <c r="G66" s="7" t="s">
        <v>181</v>
      </c>
      <c r="H66" s="16" t="s">
        <v>181</v>
      </c>
      <c r="I66" s="16" t="s">
        <v>181</v>
      </c>
      <c r="J66" s="7">
        <v>0</v>
      </c>
      <c r="K66" s="149" t="str">
        <f t="shared" si="28"/>
        <v>4011/4012</v>
      </c>
      <c r="L66" s="25" t="e">
        <f>VLOOKUP(A66,'Trips&amp;Operators'!$C$1:$E$10000,3,FALSE)</f>
        <v>#N/A</v>
      </c>
      <c r="M66" s="6" t="e">
        <f t="shared" si="20"/>
        <v>#VALUE!</v>
      </c>
      <c r="N66" s="7"/>
      <c r="O66" s="7"/>
      <c r="P66" s="7">
        <v>1</v>
      </c>
      <c r="Q66" s="26"/>
      <c r="R66" s="26" t="s">
        <v>230</v>
      </c>
      <c r="S66" s="38">
        <f t="shared" si="21"/>
        <v>0</v>
      </c>
      <c r="T66" s="55" t="str">
        <f t="shared" si="22"/>
        <v>Southbound</v>
      </c>
      <c r="U66" s="13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115" t="e">
        <f t="shared" si="23"/>
        <v>#VALUE!</v>
      </c>
      <c r="W66" s="57" t="e">
        <f t="shared" si="33"/>
        <v>#VALUE!</v>
      </c>
      <c r="X66" s="133">
        <f t="shared" ref="X66:X68" si="39">VALUE(LEFT(AD66,4))-VALUE(LEFT(AD65,4))</f>
        <v>1</v>
      </c>
      <c r="Y66" s="72">
        <f t="shared" si="35"/>
        <v>4.4600000000000001E-2</v>
      </c>
      <c r="Z66" s="72" t="e">
        <f t="shared" si="32"/>
        <v>#VALUE!</v>
      </c>
      <c r="AA66" s="72" t="e">
        <f t="shared" si="24"/>
        <v>#VALUE!</v>
      </c>
      <c r="AB66" s="69" t="e">
        <f>VLOOKUP(A66,Enforcements!$C$7:$J$24,8,0)</f>
        <v>#N/A</v>
      </c>
      <c r="AC66" s="65" t="e">
        <f>VLOOKUP(A66,Enforcements!$C$7:$E$24,3,0)</f>
        <v>#N/A</v>
      </c>
      <c r="AD66" s="66" t="str">
        <f t="shared" si="25"/>
        <v>0154-11</v>
      </c>
      <c r="AE66" s="108" t="e">
        <f t="shared" si="26"/>
        <v>#VALUE!</v>
      </c>
      <c r="AF66" s="105" t="e">
        <f t="shared" si="27"/>
        <v>#VALUE!</v>
      </c>
      <c r="AG66" s="1" t="str">
        <f t="shared" si="12"/>
        <v>EC</v>
      </c>
      <c r="AH66" s="109" t="str">
        <f t="shared" ref="AH66" si="40"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</f>
        <v>"%USERPROFILE%\Documents\GitHub\eaglep3\Utilities\RefineRTDCRunTimes.py" --tripid 154-11 --locoid 4012 --swversion DE.1.0.7.0 --startMP 204:446 --initTime 2016-08-11T10:11:18 --startdatetime - --delay - --endMP - --enddatetime - --enforcementcount 0</v>
      </c>
    </row>
    <row r="67" spans="1:34" x14ac:dyDescent="0.25">
      <c r="A67" s="42" t="s">
        <v>358</v>
      </c>
      <c r="B67" s="7">
        <v>4038</v>
      </c>
      <c r="C67" s="25" t="s">
        <v>130</v>
      </c>
      <c r="D67" s="25" t="s">
        <v>180</v>
      </c>
      <c r="E67" s="16">
        <v>42593.434710648151</v>
      </c>
      <c r="F67" s="16">
        <v>42593.435833333337</v>
      </c>
      <c r="G67" s="7">
        <v>1</v>
      </c>
      <c r="H67" s="16" t="s">
        <v>170</v>
      </c>
      <c r="I67" s="16">
        <v>42593.472534722219</v>
      </c>
      <c r="J67" s="7">
        <v>0</v>
      </c>
      <c r="K67" s="149" t="str">
        <f t="shared" si="28"/>
        <v>4037/4038</v>
      </c>
      <c r="L67" s="25" t="str">
        <f>VLOOKUP(A67,'Trips&amp;Operators'!$C$1:$E$10000,3,FALSE)</f>
        <v>YORK</v>
      </c>
      <c r="M67" s="6">
        <f t="shared" si="20"/>
        <v>3.6701388882647734E-2</v>
      </c>
      <c r="N67" s="7">
        <f>24*60*SUM($M67:$M67)</f>
        <v>52.849999991012737</v>
      </c>
      <c r="O67" s="7"/>
      <c r="P67" s="7"/>
      <c r="Q67" s="26"/>
      <c r="R67" s="26"/>
      <c r="S67" s="38">
        <f t="shared" si="21"/>
        <v>1</v>
      </c>
      <c r="T67" s="55" t="str">
        <f t="shared" si="22"/>
        <v>NorthBound</v>
      </c>
      <c r="U67" s="13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09:25:59-0600',mode:absolute,to:'2016-08-11 12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67" s="57" t="str">
        <f t="shared" si="33"/>
        <v>N</v>
      </c>
      <c r="X67" s="133">
        <f t="shared" si="39"/>
        <v>1</v>
      </c>
      <c r="Y67" s="72">
        <f t="shared" si="35"/>
        <v>4.8000000000000001E-2</v>
      </c>
      <c r="Z67" s="72">
        <f t="shared" si="32"/>
        <v>23.328600000000002</v>
      </c>
      <c r="AA67" s="72">
        <f t="shared" si="24"/>
        <v>23.280600000000003</v>
      </c>
      <c r="AB67" s="69" t="e">
        <f>VLOOKUP(A67,Enforcements!$C$7:$J$24,8,0)</f>
        <v>#N/A</v>
      </c>
      <c r="AC67" s="65" t="e">
        <f>VLOOKUP(A67,Enforcements!$C$7:$E$24,3,0)</f>
        <v>#N/A</v>
      </c>
      <c r="AD67" s="66" t="str">
        <f t="shared" si="25"/>
        <v>0155-11</v>
      </c>
      <c r="AE67" s="108" t="str">
        <f t="shared" si="26"/>
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</c>
      <c r="AF67" s="105" t="str">
        <f t="shared" si="27"/>
        <v>"C:\Program Files (x86)\AstroGrep\AstroGrep.exe" /spath="%USERPROFILE%\AppData\Local\Temp\OnboardLogs" /stypes="*4038*20160811*" /stext=" 17:.+((SYSTEM_STATE.+slice.+state.+changed )|(ment ac)|(system.+state.+changed )|(\|lc)|(penalty)|(\[timeout)|(PRM\|1\|D)|(kpr)|(kdp))" /e /r /s</v>
      </c>
      <c r="AG67" s="1" t="str">
        <f t="shared" si="12"/>
        <v>EC</v>
      </c>
      <c r="AH67" s="109" t="str">
        <f t="shared" si="17"/>
        <v>"%USERPROFILE%\Documents\GitHub\eaglep3\Utilities\RefineRTDCRunTimes.py" --tripid 155-11 --locoid 4038 --swversion DE.1.0.7.0 --startMP 204:480 --initTime 2016-08-11T10:25:59 --startdatetime 2016-08-11T10:27:36 --delay 1 --endMP 204:233286 --enddatetime 2016-08-11T11:20:27 --enforcementcount 0</v>
      </c>
    </row>
    <row r="68" spans="1:34" x14ac:dyDescent="0.25">
      <c r="A68" s="42" t="s">
        <v>359</v>
      </c>
      <c r="B68" s="7">
        <v>4037</v>
      </c>
      <c r="C68" s="25" t="s">
        <v>130</v>
      </c>
      <c r="D68" s="25" t="s">
        <v>290</v>
      </c>
      <c r="E68" s="16">
        <v>42593.473749999997</v>
      </c>
      <c r="F68" s="16">
        <v>42593.474710648145</v>
      </c>
      <c r="G68" s="7">
        <v>1</v>
      </c>
      <c r="H68" s="16" t="s">
        <v>58</v>
      </c>
      <c r="I68" s="16">
        <v>42593.522951388892</v>
      </c>
      <c r="J68" s="7">
        <v>0</v>
      </c>
      <c r="K68" s="149" t="str">
        <f t="shared" si="28"/>
        <v>4037/4038</v>
      </c>
      <c r="L68" s="25" t="str">
        <f>VLOOKUP(A68,'Trips&amp;Operators'!$C$1:$E$10000,3,FALSE)</f>
        <v>YORK</v>
      </c>
      <c r="M68" s="6">
        <f t="shared" si="20"/>
        <v>4.8240740747132804E-2</v>
      </c>
      <c r="N68" s="7">
        <f>24*60*SUM($M68:$M68)</f>
        <v>69.466666675871238</v>
      </c>
      <c r="O68" s="7"/>
      <c r="P68" s="7"/>
      <c r="Q68" s="26"/>
      <c r="R68" s="26"/>
      <c r="S68" s="38">
        <f t="shared" si="21"/>
        <v>1</v>
      </c>
      <c r="T68" s="55" t="str">
        <f t="shared" si="22"/>
        <v>Southbound</v>
      </c>
      <c r="U68" s="13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10:22:12-0600',mode:absolute,to:'2016-08-11 13:33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68" s="57" t="str">
        <f t="shared" si="33"/>
        <v>N</v>
      </c>
      <c r="X68" s="133">
        <f t="shared" si="39"/>
        <v>1</v>
      </c>
      <c r="Y68" s="72">
        <f t="shared" si="35"/>
        <v>23.2973</v>
      </c>
      <c r="Z68" s="72">
        <f t="shared" si="32"/>
        <v>1.52E-2</v>
      </c>
      <c r="AA68" s="72">
        <f t="shared" si="24"/>
        <v>23.2821</v>
      </c>
      <c r="AB68" s="69" t="e">
        <f>VLOOKUP(A68,Enforcements!$C$7:$J$24,8,0)</f>
        <v>#N/A</v>
      </c>
      <c r="AC68" s="65" t="e">
        <f>VLOOKUP(A68,Enforcements!$C$7:$E$24,3,0)</f>
        <v>#N/A</v>
      </c>
      <c r="AD68" s="66" t="str">
        <f t="shared" si="25"/>
        <v>0156-11</v>
      </c>
      <c r="AE68" s="108" t="str">
        <f t="shared" si="26"/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AF68" s="105" t="str">
        <f t="shared" si="27"/>
        <v>"C:\Program Files (x86)\AstroGrep\AstroGrep.exe" /spath="%USERPROFILE%\AppData\Local\Temp\OnboardLogs" /stypes="*4037*20160811*" /stext=" 18:.+((SYSTEM_STATE.+slice.+state.+changed )|(ment ac)|(system.+state.+changed )|(\|lc)|(penalty)|(\[timeout)|(PRM\|1\|D)|(kpr)|(kdp))" /e /r /s</v>
      </c>
      <c r="AG68" s="1" t="str">
        <f t="shared" si="12"/>
        <v>EC</v>
      </c>
      <c r="AH68" s="109" t="str">
        <f t="shared" si="17"/>
        <v>"%USERPROFILE%\Documents\GitHub\eaglep3\Utilities\RefineRTDCRunTimes.py" --tripid 156-11 --locoid 4037 --swversion DE.1.0.7.0 --startMP 204:232973 --initTime 2016-08-11T11:22:12 --startdatetime 2016-08-11T11:23:35 --delay 1 --endMP 204:152 --enddatetime 2016-08-11T12:33:03 --enforcementcount 0</v>
      </c>
    </row>
    <row r="69" spans="1:34" x14ac:dyDescent="0.25">
      <c r="A69" s="42" t="s">
        <v>360</v>
      </c>
      <c r="B69" s="7">
        <v>4029</v>
      </c>
      <c r="C69" s="25" t="s">
        <v>130</v>
      </c>
      <c r="D69" s="25" t="s">
        <v>147</v>
      </c>
      <c r="E69" s="16">
        <v>42593.445381944446</v>
      </c>
      <c r="F69" s="16">
        <v>42593.446562500001</v>
      </c>
      <c r="G69" s="7">
        <v>1</v>
      </c>
      <c r="H69" s="16" t="s">
        <v>128</v>
      </c>
      <c r="I69" s="16">
        <v>42593.477395833332</v>
      </c>
      <c r="J69" s="7">
        <v>0</v>
      </c>
      <c r="K69" s="149" t="str">
        <f t="shared" si="28"/>
        <v>4029/4030</v>
      </c>
      <c r="L69" s="25" t="str">
        <f>VLOOKUP(A69,'Trips&amp;Operators'!$C$1:$E$10000,3,FALSE)</f>
        <v>BRANNON</v>
      </c>
      <c r="M69" s="6">
        <f t="shared" si="20"/>
        <v>3.0833333330519963E-2</v>
      </c>
      <c r="N69" s="7">
        <f>24*60*SUM($M69:$M69)</f>
        <v>44.399999995948747</v>
      </c>
      <c r="O69" s="7"/>
      <c r="P69" s="7"/>
      <c r="Q69" s="26"/>
      <c r="R69" s="26"/>
      <c r="S69" s="38">
        <f t="shared" si="21"/>
        <v>1</v>
      </c>
      <c r="T69" s="55" t="str">
        <f t="shared" si="22"/>
        <v>NorthBound</v>
      </c>
      <c r="U69" s="13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09:41:21-0600',mode:absolute,to:'2016-08-11 12:27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69" s="57" t="str">
        <f t="shared" si="33"/>
        <v>N</v>
      </c>
      <c r="X69" s="133">
        <f>VALUE(LEFT(AD69,4))-VALUE(LEFT(AD68,4))</f>
        <v>1</v>
      </c>
      <c r="Y69" s="72">
        <f t="shared" si="35"/>
        <v>4.5499999999999999E-2</v>
      </c>
      <c r="Z69" s="72">
        <f t="shared" si="32"/>
        <v>23.329499999999999</v>
      </c>
      <c r="AA69" s="72">
        <f t="shared" si="24"/>
        <v>23.283999999999999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25"/>
        <v>0157-11</v>
      </c>
      <c r="AE69" s="108" t="str">
        <f t="shared" si="26"/>
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</c>
      <c r="AF69" s="105" t="str">
        <f t="shared" si="27"/>
        <v>"C:\Program Files (x86)\AstroGrep\AstroGrep.exe" /spath="%USERPROFILE%\AppData\Local\Temp\OnboardLogs" /stypes="*4029*20160811*" /stext=" 17:.+((SYSTEM_STATE.+slice.+state.+changed )|(ment ac)|(system.+state.+changed )|(\|lc)|(penalty)|(\[timeout)|(PRM\|1\|D)|(kpr)|(kdp))" /e /r /s</v>
      </c>
      <c r="AG69" s="1" t="str">
        <f t="shared" si="12"/>
        <v>EC</v>
      </c>
      <c r="AH69" s="109" t="str">
        <f t="shared" si="17"/>
        <v>"%USERPROFILE%\Documents\GitHub\eaglep3\Utilities\RefineRTDCRunTimes.py" --tripid 157-11 --locoid 4029 --swversion DE.1.0.7.0 --startMP 204:455 --initTime 2016-08-11T10:41:21 --startdatetime 2016-08-11T10:43:03 --delay 1 --endMP 204:233295 --enddatetime 2016-08-11T11:27:27 --enforcementcount 0</v>
      </c>
    </row>
    <row r="70" spans="1:34" x14ac:dyDescent="0.25">
      <c r="A70" s="42" t="s">
        <v>361</v>
      </c>
      <c r="B70" s="7">
        <v>4030</v>
      </c>
      <c r="C70" s="25" t="s">
        <v>130</v>
      </c>
      <c r="D70" s="25" t="s">
        <v>362</v>
      </c>
      <c r="E70" s="16">
        <v>42593.503437500003</v>
      </c>
      <c r="F70" s="16">
        <v>42593.504386574074</v>
      </c>
      <c r="G70" s="7">
        <v>1</v>
      </c>
      <c r="H70" s="16" t="s">
        <v>363</v>
      </c>
      <c r="I70" s="16">
        <v>42593.540775462963</v>
      </c>
      <c r="J70" s="7">
        <v>0</v>
      </c>
      <c r="K70" s="149" t="str">
        <f t="shared" si="28"/>
        <v>4029/4030</v>
      </c>
      <c r="L70" s="25" t="str">
        <f>VLOOKUP(A70,'Trips&amp;Operators'!$C$1:$E$10000,3,FALSE)</f>
        <v>BRANNON</v>
      </c>
      <c r="M70" s="6">
        <f t="shared" si="20"/>
        <v>3.6388888889632653E-2</v>
      </c>
      <c r="N70" s="7">
        <f>24*60*SUM($M70:$M70)</f>
        <v>52.400000001071021</v>
      </c>
      <c r="O70" s="7"/>
      <c r="P70" s="7"/>
      <c r="Q70" s="26"/>
      <c r="R70" s="26"/>
      <c r="S70" s="38">
        <f t="shared" si="21"/>
        <v>1</v>
      </c>
      <c r="T70" s="55" t="str">
        <f t="shared" si="22"/>
        <v>Southbound</v>
      </c>
      <c r="U70" s="13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11:04:57-0600',mode:absolute,to:'2016-08-11 13:58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70" s="57" t="str">
        <f t="shared" si="33"/>
        <v>N</v>
      </c>
      <c r="X70" s="133">
        <f>VALUE(LEFT(AD70,4))-VALUE(LEFT(AD69,4))</f>
        <v>1</v>
      </c>
      <c r="Y70" s="72">
        <f t="shared" si="35"/>
        <v>23.2972</v>
      </c>
      <c r="Z70" s="72">
        <f t="shared" si="32"/>
        <v>0.11840000000000001</v>
      </c>
      <c r="AA70" s="72">
        <f t="shared" si="24"/>
        <v>23.178799999999999</v>
      </c>
      <c r="AB70" s="69" t="e">
        <f>VLOOKUP(A70,Enforcements!$C$7:$J$24,8,0)</f>
        <v>#N/A</v>
      </c>
      <c r="AC70" s="65" t="e">
        <f>VLOOKUP(A70,Enforcements!$C$7:$E$24,3,0)</f>
        <v>#N/A</v>
      </c>
      <c r="AD70" s="66" t="str">
        <f t="shared" si="25"/>
        <v>0158-11</v>
      </c>
      <c r="AE70" s="108" t="str">
        <f t="shared" si="26"/>
        <v>aws s3 cp s3://rtdc.mdm.uploadarchive/RTDC4030/2016-08-11/ "%USERPROFILE%\AppData\Local\Temp\OnboardLogs"\RTDC4030\2016-08-11 --recursive &amp; "%USERPROFILE%\Documents\GitHub\mrs-test-scripts\Headless Mode &amp; Sideloading\WalkAndUnGZ.bat" "%USERPROFILE%\AppData\Local\Temp\OnboardLogs"\RTDC4030\2016-08-11 &amp; aws s3 cp s3://rtdc.mdm.uploadarchive/RTDC4030/2016-08-12/ "%USERPROFILE%\AppData\Local\Temp\OnboardLogs"\RTDC4030\2016-08-12 --recursive &amp; "%USERPROFILE%\Documents\GitHub\mrs-test-scripts\Headless Mode &amp; Sideloading\WalkAndUnGZ.bat" "%USERPROFILE%\AppData\Local\Temp\OnboardLogs"\RTDC4030\2016-08-12</v>
      </c>
      <c r="AF70" s="105" t="str">
        <f t="shared" si="27"/>
        <v>"C:\Program Files (x86)\AstroGrep\AstroGrep.exe" /spath="%USERPROFILE%\AppData\Local\Temp\OnboardLogs" /stypes="*4030*20160811*" /stext=" 18:.+((SYSTEM_STATE.+slice.+state.+changed )|(ment ac)|(system.+state.+changed )|(\|lc)|(penalty)|(\[timeout)|(PRM\|1\|D)|(kpr)|(kdp))" /e /r /s</v>
      </c>
      <c r="AG70" s="1" t="str">
        <f t="shared" si="12"/>
        <v>EC</v>
      </c>
      <c r="AH70" s="109" t="str">
        <f t="shared" si="17"/>
        <v>"%USERPROFILE%\Documents\GitHub\eaglep3\Utilities\RefineRTDCRunTimes.py" --tripid 158-11 --locoid 4030 --swversion DE.1.0.7.0 --startMP 204:232972 --initTime 2016-08-11T12:04:57 --startdatetime 2016-08-11T12:06:19 --delay 1 --endMP 204:1184 --enddatetime 2016-08-11T12:58:43 --enforcementcount 0</v>
      </c>
    </row>
    <row r="71" spans="1:34" x14ac:dyDescent="0.25">
      <c r="A71" s="42" t="s">
        <v>364</v>
      </c>
      <c r="B71" s="7">
        <v>4014</v>
      </c>
      <c r="C71" s="25" t="s">
        <v>130</v>
      </c>
      <c r="D71" s="25" t="s">
        <v>365</v>
      </c>
      <c r="E71" s="16">
        <v>42593.45784722222</v>
      </c>
      <c r="F71" s="16">
        <v>42593.459201388891</v>
      </c>
      <c r="G71" s="7">
        <v>1</v>
      </c>
      <c r="H71" s="16" t="s">
        <v>366</v>
      </c>
      <c r="I71" s="16">
        <v>42593.482777777775</v>
      </c>
      <c r="J71" s="7">
        <v>0</v>
      </c>
      <c r="K71" s="149" t="str">
        <f t="shared" si="28"/>
        <v>4013/4014</v>
      </c>
      <c r="L71" s="25" t="str">
        <f>VLOOKUP(A71,'Trips&amp;Operators'!$C$1:$E$10000,3,FALSE)</f>
        <v>SWANSON</v>
      </c>
      <c r="M71" s="6">
        <f t="shared" si="20"/>
        <v>2.3576388884976041E-2</v>
      </c>
      <c r="N71" s="7">
        <f>24*60*SUM($M71:$M71)</f>
        <v>33.949999994365498</v>
      </c>
      <c r="O71" s="7"/>
      <c r="P71" s="7"/>
      <c r="Q71" s="26"/>
      <c r="R71" s="26" t="s">
        <v>668</v>
      </c>
      <c r="S71" s="38">
        <f t="shared" si="21"/>
        <v>1</v>
      </c>
      <c r="T71" s="55" t="str">
        <f t="shared" si="22"/>
        <v>NorthBound</v>
      </c>
      <c r="U71" s="13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09:59:18-0600',mode:absolute,to:'2016-08-11 12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71" s="57" t="str">
        <f t="shared" si="33"/>
        <v>Y</v>
      </c>
      <c r="X71" s="133">
        <f>VALUE(LEFT(AD71,4))-VALUE(LEFT(AD70,4))</f>
        <v>1</v>
      </c>
      <c r="Y71" s="72">
        <f t="shared" si="35"/>
        <v>4.4200000000000003E-2</v>
      </c>
      <c r="Z71" s="72">
        <f t="shared" si="32"/>
        <v>15.4427</v>
      </c>
      <c r="AA71" s="72">
        <f t="shared" si="24"/>
        <v>15.3985</v>
      </c>
      <c r="AB71" s="69" t="e">
        <f>VLOOKUP(A71,Enforcements!$C$7:$J$24,8,0)</f>
        <v>#N/A</v>
      </c>
      <c r="AC71" s="65" t="e">
        <f>VLOOKUP(A71,Enforcements!$C$7:$E$24,3,0)</f>
        <v>#N/A</v>
      </c>
      <c r="AD71" s="66" t="str">
        <f t="shared" si="25"/>
        <v>0159-11</v>
      </c>
      <c r="AE71" s="108" t="str">
        <f t="shared" si="26"/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71" s="105" t="str">
        <f t="shared" si="27"/>
        <v>"C:\Program Files (x86)\AstroGrep\AstroGrep.exe" /spath="%USERPROFILE%\AppData\Local\Temp\OnboardLogs" /stypes="*4014*20160811*" /stext=" 17:.+((SYSTEM_STATE.+slice.+state.+changed )|(ment ac)|(system.+state.+changed )|(\|lc)|(penalty)|(\[timeout)|(PRM\|1\|D)|(kpr)|(kdp))" /e /r /s</v>
      </c>
      <c r="AG71" s="1" t="str">
        <f t="shared" si="12"/>
        <v>EC</v>
      </c>
      <c r="AH71" s="109" t="str">
        <f t="shared" si="17"/>
        <v>"%USERPROFILE%\Documents\GitHub\eaglep3\Utilities\RefineRTDCRunTimes.py" --tripid 159-11 --locoid 4014 --swversion DE.1.0.7.0 --startMP 204:442 --initTime 2016-08-11T10:59:18 --startdatetime 2016-08-11T11:01:15 --delay 1 --endMP 204:154427 --enddatetime 2016-08-11T11:35:12 --enforcementcount 0</v>
      </c>
    </row>
    <row r="72" spans="1:34" x14ac:dyDescent="0.25">
      <c r="A72" s="42" t="s">
        <v>367</v>
      </c>
      <c r="B72" s="7">
        <v>4013</v>
      </c>
      <c r="C72" s="25" t="s">
        <v>130</v>
      </c>
      <c r="D72" s="25" t="s">
        <v>368</v>
      </c>
      <c r="E72" s="16">
        <v>42593.492337962962</v>
      </c>
      <c r="F72" s="16">
        <v>42593.493194444447</v>
      </c>
      <c r="G72" s="7">
        <v>1</v>
      </c>
      <c r="H72" s="16" t="s">
        <v>340</v>
      </c>
      <c r="I72" s="16">
        <v>42593.511770833335</v>
      </c>
      <c r="J72" s="7">
        <v>0</v>
      </c>
      <c r="K72" s="149" t="str">
        <f t="shared" si="28"/>
        <v>4013/4014</v>
      </c>
      <c r="L72" s="25" t="str">
        <f>VLOOKUP(A72,'Trips&amp;Operators'!$C$1:$E$10000,3,FALSE)</f>
        <v>SWANSON</v>
      </c>
      <c r="M72" s="6">
        <f t="shared" si="20"/>
        <v>1.8576388887595385E-2</v>
      </c>
      <c r="N72" s="7"/>
      <c r="O72" s="7"/>
      <c r="P72" s="7">
        <f>24*60*SUM($M72:$M72)</f>
        <v>26.749999998137355</v>
      </c>
      <c r="Q72" s="26"/>
      <c r="R72" s="26" t="s">
        <v>636</v>
      </c>
      <c r="S72" s="38">
        <f t="shared" si="21"/>
        <v>1</v>
      </c>
      <c r="T72" s="55" t="str">
        <f t="shared" si="22"/>
        <v>Southbound</v>
      </c>
      <c r="U72" s="13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10:48:58-0600',mode:absolute,to:'2016-08-11 13:16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72" s="57" t="str">
        <f t="shared" si="33"/>
        <v>Y</v>
      </c>
      <c r="X72" s="133">
        <f>VALUE(LEFT(AD72,4))-VALUE(LEFT(AD71,4))</f>
        <v>1</v>
      </c>
      <c r="Y72" s="72">
        <f t="shared" si="35"/>
        <v>12.7851</v>
      </c>
      <c r="Z72" s="72">
        <f t="shared" si="32"/>
        <v>1.6E-2</v>
      </c>
      <c r="AA72" s="72">
        <f t="shared" si="24"/>
        <v>12.7691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25"/>
        <v>0160-11</v>
      </c>
      <c r="AE72" s="108" t="str">
        <f t="shared" si="26"/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AF72" s="105" t="str">
        <f t="shared" si="27"/>
        <v>"C:\Program Files (x86)\AstroGrep\AstroGrep.exe" /spath="%USERPROFILE%\AppData\Local\Temp\OnboardLogs" /stypes="*4013*20160811*" /stext=" 18:.+((SYSTEM_STATE.+slice.+state.+changed )|(ment ac)|(system.+state.+changed )|(\|lc)|(penalty)|(\[timeout)|(PRM\|1\|D)|(kpr)|(kdp))" /e /r /s</v>
      </c>
      <c r="AG72" s="1" t="str">
        <f t="shared" si="12"/>
        <v>EC</v>
      </c>
      <c r="AH72" s="109" t="str">
        <f t="shared" si="17"/>
        <v>"%USERPROFILE%\Documents\GitHub\eaglep3\Utilities\RefineRTDCRunTimes.py" --tripid 160-11 --locoid 4013 --swversion DE.1.0.7.0 --startMP 204:127851 --initTime 2016-08-11T11:48:58 --startdatetime 2016-08-11T11:50:12 --delay 1 --endMP 204:160 --enddatetime 2016-08-11T12:16:57 --enforcementcount 0</v>
      </c>
    </row>
    <row r="73" spans="1:34" x14ac:dyDescent="0.25">
      <c r="A73" s="42" t="s">
        <v>369</v>
      </c>
      <c r="B73" s="7">
        <v>4025</v>
      </c>
      <c r="C73" s="25" t="s">
        <v>130</v>
      </c>
      <c r="D73" s="25" t="s">
        <v>120</v>
      </c>
      <c r="E73" s="16">
        <v>42593.472291666665</v>
      </c>
      <c r="F73" s="16">
        <v>42593.473564814813</v>
      </c>
      <c r="G73" s="7">
        <v>1</v>
      </c>
      <c r="H73" s="16" t="s">
        <v>370</v>
      </c>
      <c r="I73" s="16">
        <v>42593.50476851852</v>
      </c>
      <c r="J73" s="7">
        <v>0</v>
      </c>
      <c r="K73" s="149" t="str">
        <f t="shared" si="28"/>
        <v>4025/4026</v>
      </c>
      <c r="L73" s="25" t="str">
        <f>VLOOKUP(A73,'Trips&amp;Operators'!$C$1:$E$10000,3,FALSE)</f>
        <v>SHOOK</v>
      </c>
      <c r="M73" s="6">
        <f t="shared" si="20"/>
        <v>3.1203703707433306E-2</v>
      </c>
      <c r="N73" s="7">
        <f>24*60*SUM($M73:$M73)</f>
        <v>44.93333333870396</v>
      </c>
      <c r="O73" s="7"/>
      <c r="P73" s="7"/>
      <c r="Q73" s="26"/>
      <c r="R73" s="26" t="s">
        <v>668</v>
      </c>
      <c r="S73" s="38">
        <f t="shared" si="21"/>
        <v>1</v>
      </c>
      <c r="T73" s="55" t="str">
        <f t="shared" si="22"/>
        <v>NorthBound</v>
      </c>
      <c r="U73" s="13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10:20:06-0600',mode:absolute,to:'2016-08-11 13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73" s="57" t="str">
        <f t="shared" si="33"/>
        <v>Y</v>
      </c>
      <c r="X73" s="133">
        <f>VALUE(LEFT(AD73,4))-VALUE(LEFT(AD72,4))</f>
        <v>1</v>
      </c>
      <c r="Y73" s="72">
        <f t="shared" si="35"/>
        <v>4.6399999999999997E-2</v>
      </c>
      <c r="Z73" s="72">
        <f t="shared" si="32"/>
        <v>15.8002</v>
      </c>
      <c r="AA73" s="72">
        <f t="shared" si="24"/>
        <v>15.7538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25"/>
        <v>0161-11</v>
      </c>
      <c r="AE73" s="108" t="str">
        <f t="shared" si="26"/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AF73" s="105" t="str">
        <f t="shared" si="27"/>
        <v>"C:\Program Files (x86)\AstroGrep\AstroGrep.exe" /spath="%USERPROFILE%\AppData\Local\Temp\OnboardLogs" /stypes="*4025*20160811*" /stext=" 18:.+((SYSTEM_STATE.+slice.+state.+changed )|(ment ac)|(system.+state.+changed )|(\|lc)|(penalty)|(\[timeout)|(PRM\|1\|D)|(kpr)|(kdp))" /e /r /s</v>
      </c>
      <c r="AG73" s="1" t="str">
        <f t="shared" si="12"/>
        <v>EC</v>
      </c>
      <c r="AH73" s="109" t="str">
        <f t="shared" si="17"/>
        <v>"%USERPROFILE%\Documents\GitHub\eaglep3\Utilities\RefineRTDCRunTimes.py" --tripid 161-11 --locoid 4025 --swversion DE.1.0.7.0 --startMP 204:464 --initTime 2016-08-11T11:20:06 --startdatetime 2016-08-11T11:21:56 --delay 1 --endMP 204:158002 --enddatetime 2016-08-11T12:06:52 --enforcementcount 0</v>
      </c>
    </row>
    <row r="74" spans="1:34" s="24" customFormat="1" x14ac:dyDescent="0.25">
      <c r="A74" s="42" t="s">
        <v>371</v>
      </c>
      <c r="B74" s="7">
        <v>4026</v>
      </c>
      <c r="C74" s="25" t="s">
        <v>130</v>
      </c>
      <c r="D74" s="25" t="s">
        <v>372</v>
      </c>
      <c r="E74" s="16">
        <v>42593.506111111114</v>
      </c>
      <c r="F74" s="16">
        <v>42593.507048611114</v>
      </c>
      <c r="G74" s="7">
        <v>1</v>
      </c>
      <c r="H74" s="16" t="s">
        <v>167</v>
      </c>
      <c r="I74" s="16">
        <v>42593.535219907404</v>
      </c>
      <c r="J74" s="7">
        <v>1</v>
      </c>
      <c r="K74" s="149" t="str">
        <f t="shared" si="28"/>
        <v>4025/4026</v>
      </c>
      <c r="L74" s="25" t="str">
        <f>VLOOKUP(A74,'Trips&amp;Operators'!$C$1:$E$10000,3,FALSE)</f>
        <v>SHOOK</v>
      </c>
      <c r="M74" s="6">
        <f t="shared" si="20"/>
        <v>2.8171296289656311E-2</v>
      </c>
      <c r="N74" s="7">
        <f>24*60*SUM($M74:$M74)</f>
        <v>40.566666657105088</v>
      </c>
      <c r="O74" s="7"/>
      <c r="P74" s="7"/>
      <c r="Q74" s="26"/>
      <c r="R74" s="26" t="s">
        <v>668</v>
      </c>
      <c r="S74" s="38">
        <f t="shared" si="21"/>
        <v>1</v>
      </c>
      <c r="T74" s="55" t="str">
        <f t="shared" si="22"/>
        <v>Southbound</v>
      </c>
      <c r="U74" s="13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11:08:48-0600',mode:absolute,to:'2016-08-11 13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74" s="57" t="str">
        <f t="shared" si="33"/>
        <v>Y</v>
      </c>
      <c r="X74" s="133">
        <f t="shared" ref="X74:X82" si="41">VALUE(LEFT(AD74,4))-VALUE(LEFT(AD73,4))</f>
        <v>1</v>
      </c>
      <c r="Y74" s="72">
        <f t="shared" si="35"/>
        <v>15.7773</v>
      </c>
      <c r="Z74" s="72">
        <f t="shared" si="32"/>
        <v>1.4500000000000001E-2</v>
      </c>
      <c r="AA74" s="72">
        <f t="shared" si="24"/>
        <v>15.7628</v>
      </c>
      <c r="AB74" s="69">
        <f>VLOOKUP(A74,Enforcements!$C$7:$J$24,8,0)</f>
        <v>103800</v>
      </c>
      <c r="AC74" s="65" t="str">
        <f>VLOOKUP(A74,Enforcements!$C$7:$E$24,3,0)</f>
        <v>GRADE CROSSING</v>
      </c>
      <c r="AD74" s="66" t="str">
        <f t="shared" si="25"/>
        <v>0162-11</v>
      </c>
      <c r="AE74" s="108" t="str">
        <f t="shared" si="26"/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AF74" s="105" t="str">
        <f t="shared" si="27"/>
        <v>"C:\Program Files (x86)\AstroGrep\AstroGrep.exe" /spath="%USERPROFILE%\AppData\Local\Temp\OnboardLogs" /stypes="*4026*20160811*" /stext=" 18:.+((SYSTEM_STATE.+slice.+state.+changed )|(ment ac)|(system.+state.+changed )|(\|lc)|(penalty)|(\[timeout)|(PRM\|1\|D)|(kpr)|(kdp))" /e /r /s</v>
      </c>
      <c r="AG74" s="1" t="str">
        <f t="shared" si="12"/>
        <v>EC</v>
      </c>
      <c r="AH74" s="109" t="str">
        <f t="shared" si="17"/>
        <v>"%USERPROFILE%\Documents\GitHub\eaglep3\Utilities\RefineRTDCRunTimes.py" --tripid 162-11 --locoid 4026 --swversion DE.1.0.7.0 --startMP 204:157773 --initTime 2016-08-11T12:08:48 --startdatetime 2016-08-11T12:10:09 --delay 1 --endMP 204:145 --enddatetime 2016-08-11T12:50:43 --enforcementcount 1</v>
      </c>
    </row>
    <row r="75" spans="1:34" s="24" customFormat="1" x14ac:dyDescent="0.25">
      <c r="A75" s="42" t="s">
        <v>643</v>
      </c>
      <c r="B75" s="7">
        <v>4015</v>
      </c>
      <c r="C75" s="25"/>
      <c r="D75" s="25"/>
      <c r="E75" s="16"/>
      <c r="F75" s="16"/>
      <c r="G75" s="7"/>
      <c r="H75" s="16"/>
      <c r="I75" s="16"/>
      <c r="J75" s="7">
        <v>1</v>
      </c>
      <c r="K75" s="149" t="str">
        <f t="shared" si="28"/>
        <v>4015/4016</v>
      </c>
      <c r="L75" s="25" t="e">
        <f>VLOOKUP(A75,'Trips&amp;Operators'!$C$1:$E$10000,3,FALSE)</f>
        <v>#N/A</v>
      </c>
      <c r="M75" s="6">
        <f t="shared" si="20"/>
        <v>0</v>
      </c>
      <c r="N75" s="7"/>
      <c r="O75" s="7"/>
      <c r="P75" s="7">
        <v>1</v>
      </c>
      <c r="Q75" s="26"/>
      <c r="R75" s="26" t="s">
        <v>230</v>
      </c>
      <c r="S75" s="38">
        <f t="shared" si="21"/>
        <v>0</v>
      </c>
      <c r="T75" s="55" t="str">
        <f t="shared" si="22"/>
        <v>NorthBound</v>
      </c>
      <c r="U75" s="13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115" t="e">
        <f t="shared" si="23"/>
        <v>#VALUE!</v>
      </c>
      <c r="W75" s="57" t="e">
        <f t="shared" si="33"/>
        <v>#VALUE!</v>
      </c>
      <c r="X75" s="133">
        <f t="shared" si="41"/>
        <v>1</v>
      </c>
      <c r="Y75" s="72" t="e">
        <f t="shared" si="35"/>
        <v>#VALUE!</v>
      </c>
      <c r="Z75" s="72" t="e">
        <f t="shared" si="32"/>
        <v>#VALUE!</v>
      </c>
      <c r="AA75" s="72" t="e">
        <f t="shared" si="24"/>
        <v>#VALUE!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25"/>
        <v>0163-11</v>
      </c>
      <c r="AE75" s="108" t="str">
        <f t="shared" si="26"/>
        <v>aws s3 cp s3://rtdc.mdm.uploadarchive/RTDC4015/1900-01-00/ "%USERPROFILE%\AppData\Local\Temp\OnboardLogs"\RTDC4015\1900-01-00 --recursive &amp; "%USERPROFILE%\Documents\GitHub\mrs-test-scripts\Headless Mode &amp; Sideloading\WalkAndUnGZ.bat" "%USERPROFILE%\AppData\Local\Temp\OnboardLogs"\RTDC4015\1900-01-00 &amp; aws s3 cp s3://rtdc.mdm.uploadarchive/RTDC4015/1900-01-01/ "%USERPROFILE%\AppData\Local\Temp\OnboardLogs"\RTDC4015\1900-01-01 --recursive &amp; "%USERPROFILE%\Documents\GitHub\mrs-test-scripts\Headless Mode &amp; Sideloading\WalkAndUnGZ.bat" "%USERPROFILE%\AppData\Local\Temp\OnboardLogs"\RTDC4015\1900-01-01</v>
      </c>
      <c r="AF75" s="105" t="str">
        <f t="shared" si="27"/>
        <v>"C:\Program Files (x86)\AstroGrep\AstroGrep.exe" /spath="%USERPROFILE%\AppData\Local\Temp\OnboardLogs" /stypes="*4015*19000100*" /stext=" 06:.+((SYSTEM_STATE.+slice.+state.+changed )|(ment ac)|(system.+state.+changed )|(\|lc)|(penalty)|(\[timeout)|(PRM\|1\|D)|(kpr)|(kdp))" /e /r /s</v>
      </c>
      <c r="AG75" s="1" t="str">
        <f t="shared" si="12"/>
        <v>EC</v>
      </c>
      <c r="AH75" s="109" t="str">
        <f t="shared" ref="AH75" si="42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</f>
        <v>"%USERPROFILE%\Documents\GitHub\eaglep3\Utilities\RefineRTDCRunTimes.py" --tripid 163-11 --locoid 4015 --swversion  --startMP  --initTime 1900-01-00T00:00:00 --startdatetime 1900-01-00T00:00:00 --delay  --endMP  --enddatetime 1900-01-00T00:00:00 --enforcementcount 1</v>
      </c>
    </row>
    <row r="76" spans="1:34" x14ac:dyDescent="0.25">
      <c r="A76" s="42" t="s">
        <v>373</v>
      </c>
      <c r="B76" s="7">
        <v>4012</v>
      </c>
      <c r="C76" s="25" t="s">
        <v>130</v>
      </c>
      <c r="D76" s="25" t="s">
        <v>374</v>
      </c>
      <c r="E76" s="16">
        <v>42593.514409722222</v>
      </c>
      <c r="F76" s="16">
        <v>42593.515810185185</v>
      </c>
      <c r="G76" s="7">
        <v>2</v>
      </c>
      <c r="H76" s="16" t="s">
        <v>375</v>
      </c>
      <c r="I76" s="16">
        <v>42593.548819444448</v>
      </c>
      <c r="J76" s="7">
        <v>0</v>
      </c>
      <c r="K76" s="149" t="str">
        <f t="shared" si="28"/>
        <v>4011/4012</v>
      </c>
      <c r="L76" s="25" t="str">
        <f>VLOOKUP(A76,'Trips&amp;Operators'!$C$1:$E$10000,3,FALSE)</f>
        <v>SANTIZO</v>
      </c>
      <c r="M76" s="6">
        <f t="shared" si="20"/>
        <v>3.3009259263053536E-2</v>
      </c>
      <c r="N76" s="7">
        <f>24*60*SUM($M76:$M76)</f>
        <v>47.533333338797092</v>
      </c>
      <c r="O76" s="7"/>
      <c r="P76" s="7"/>
      <c r="Q76" s="26"/>
      <c r="R76" s="26"/>
      <c r="S76" s="38">
        <f t="shared" si="21"/>
        <v>1</v>
      </c>
      <c r="T76" s="55" t="str">
        <f t="shared" si="22"/>
        <v>Southbound</v>
      </c>
      <c r="U76" s="13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11:20:45-0600',mode:absolute,to:'2016-08-11 14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76" s="57" t="str">
        <f t="shared" si="33"/>
        <v>N</v>
      </c>
      <c r="X76" s="133">
        <f t="shared" si="41"/>
        <v>1</v>
      </c>
      <c r="Y76" s="72">
        <f t="shared" si="35"/>
        <v>23.306899999999999</v>
      </c>
      <c r="Z76" s="72">
        <f t="shared" si="32"/>
        <v>0.1087</v>
      </c>
      <c r="AA76" s="72">
        <f t="shared" si="24"/>
        <v>23.1982</v>
      </c>
      <c r="AB76" s="69" t="e">
        <f>VLOOKUP(A76,Enforcements!$C$7:$J$24,8,0)</f>
        <v>#N/A</v>
      </c>
      <c r="AC76" s="65" t="e">
        <f>VLOOKUP(A76,Enforcements!$C$7:$E$24,3,0)</f>
        <v>#N/A</v>
      </c>
      <c r="AD76" s="66" t="str">
        <f t="shared" si="25"/>
        <v>0164-11</v>
      </c>
      <c r="AE76" s="108" t="str">
        <f t="shared" si="26"/>
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</c>
      <c r="AF76" s="105" t="str">
        <f t="shared" si="27"/>
        <v>"C:\Program Files (x86)\AstroGrep\AstroGrep.exe" /spath="%USERPROFILE%\AppData\Local\Temp\OnboardLogs" /stypes="*4012*20160811*" /stext=" 19:.+((SYSTEM_STATE.+slice.+state.+changed )|(ment ac)|(system.+state.+changed )|(\|lc)|(penalty)|(\[timeout)|(PRM\|1\|D)|(kpr)|(kdp))" /e /r /s</v>
      </c>
      <c r="AG76" s="1" t="str">
        <f t="shared" si="12"/>
        <v>EC</v>
      </c>
      <c r="AH76" s="109" t="str">
        <f t="shared" si="17"/>
        <v>"%USERPROFILE%\Documents\GitHub\eaglep3\Utilities\RefineRTDCRunTimes.py" --tripid 164-11 --locoid 4012 --swversion DE.1.0.7.0 --startMP 204:233069 --initTime 2016-08-11T12:20:45 --startdatetime 2016-08-11T12:22:46 --delay 2 --endMP 204:1087 --enddatetime 2016-08-11T13:10:18 --enforcementcount 0</v>
      </c>
    </row>
    <row r="77" spans="1:34" x14ac:dyDescent="0.25">
      <c r="A77" s="42" t="s">
        <v>376</v>
      </c>
      <c r="B77" s="7">
        <v>4031</v>
      </c>
      <c r="C77" s="25" t="s">
        <v>130</v>
      </c>
      <c r="D77" s="25" t="s">
        <v>235</v>
      </c>
      <c r="E77" s="16">
        <v>42593.490254629629</v>
      </c>
      <c r="F77" s="16">
        <v>42593.494259259256</v>
      </c>
      <c r="G77" s="7">
        <v>5</v>
      </c>
      <c r="H77" s="16" t="s">
        <v>377</v>
      </c>
      <c r="I77" s="16">
        <v>42593.517824074072</v>
      </c>
      <c r="J77" s="7">
        <v>1</v>
      </c>
      <c r="K77" s="149" t="str">
        <f t="shared" si="28"/>
        <v>4031/4032</v>
      </c>
      <c r="L77" s="25" t="str">
        <f>VLOOKUP(A77,'Trips&amp;Operators'!$C$1:$E$10000,3,FALSE)</f>
        <v>NEWELL</v>
      </c>
      <c r="M77" s="6">
        <f t="shared" si="20"/>
        <v>2.3564814815472346E-2</v>
      </c>
      <c r="N77" s="7">
        <f>24*60*SUM($M77:$M77)</f>
        <v>33.933333334280178</v>
      </c>
      <c r="O77" s="7"/>
      <c r="P77" s="7"/>
      <c r="Q77" s="26"/>
      <c r="R77" s="26" t="s">
        <v>668</v>
      </c>
      <c r="S77" s="38">
        <f t="shared" si="21"/>
        <v>1</v>
      </c>
      <c r="T77" s="55" t="str">
        <f t="shared" si="22"/>
        <v>NorthBound</v>
      </c>
      <c r="U77" s="13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5" t="str">
        <f t="shared" si="23"/>
        <v>https://search-rtdc-monitor-bjffxe2xuh6vdkpspy63sjmuny.us-east-1.es.amazonaws.com/_plugin/kibana/#/discover/Steve-Slow-Train-Analysis-(2080s-and-2083s)?_g=(refreshInterval:(display:Off,section:0,value:0),time:(from:'2016-08-11 10:45:58-0600',mode:absolute,to:'2016-08-11 13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77" s="57" t="str">
        <f t="shared" si="33"/>
        <v>Y</v>
      </c>
      <c r="X77" s="133">
        <f t="shared" si="41"/>
        <v>1</v>
      </c>
      <c r="Y77" s="72">
        <f t="shared" si="35"/>
        <v>4.5699999999999998E-2</v>
      </c>
      <c r="Z77" s="72">
        <f t="shared" si="32"/>
        <v>15.770799999999999</v>
      </c>
      <c r="AA77" s="72">
        <f t="shared" ref="AA77" si="43">ABS(Z77-Y77)</f>
        <v>15.725099999999999</v>
      </c>
      <c r="AB77" s="69" t="e">
        <f>VLOOKUP(A77,Enforcements!$C$7:$J$24,8,0)</f>
        <v>#N/A</v>
      </c>
      <c r="AC77" s="65" t="e">
        <f>VLOOKUP(A77,Enforcements!$C$7:$E$24,3,0)</f>
        <v>#N/A</v>
      </c>
      <c r="AD77" s="66" t="str">
        <f t="shared" si="25"/>
        <v>0165-11</v>
      </c>
      <c r="AE77" s="108" t="str">
        <f t="shared" si="26"/>
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</c>
      <c r="AF77" s="105" t="str">
        <f t="shared" si="27"/>
        <v>"C:\Program Files (x86)\AstroGrep\AstroGrep.exe" /spath="%USERPROFILE%\AppData\Local\Temp\OnboardLogs" /stypes="*4031*20160811*" /stext=" 18:.+((SYSTEM_STATE.+slice.+state.+changed )|(ment ac)|(system.+state.+changed )|(\|lc)|(penalty)|(\[timeout)|(PRM\|1\|D)|(kpr)|(kdp))" /e /r /s</v>
      </c>
      <c r="AG77" s="1" t="str">
        <f t="shared" si="12"/>
        <v>EC</v>
      </c>
      <c r="AH77" s="109" t="str">
        <f t="shared" si="17"/>
        <v>"%USERPROFILE%\Documents\GitHub\eaglep3\Utilities\RefineRTDCRunTimes.py" --tripid 165-11 --locoid 4031 --swversion DE.1.0.7.0 --startMP 204:457 --initTime 2016-08-11T11:45:58 --startdatetime 2016-08-11T11:51:44 --delay 5 --endMP 204:157708 --enddatetime 2016-08-11T12:25:40 --enforcementcount 1</v>
      </c>
    </row>
    <row r="78" spans="1:34" x14ac:dyDescent="0.25">
      <c r="A78" s="42" t="s">
        <v>378</v>
      </c>
      <c r="B78" s="7">
        <v>4032</v>
      </c>
      <c r="C78" s="25" t="s">
        <v>130</v>
      </c>
      <c r="D78" s="25" t="s">
        <v>379</v>
      </c>
      <c r="E78" s="16">
        <v>42593.519004629627</v>
      </c>
      <c r="F78" s="16">
        <v>42593.519953703704</v>
      </c>
      <c r="G78" s="7">
        <v>1</v>
      </c>
      <c r="H78" s="16" t="s">
        <v>380</v>
      </c>
      <c r="I78" s="16">
        <v>42593.546597222223</v>
      </c>
      <c r="J78" s="7">
        <v>0</v>
      </c>
      <c r="K78" s="149" t="str">
        <f t="shared" ref="K78:K153" si="44">IF(ISEVEN(B78),(B78-1)&amp;"/"&amp;B78,B78&amp;"/"&amp;(B78+1))</f>
        <v>4031/4032</v>
      </c>
      <c r="L78" s="25" t="str">
        <f>VLOOKUP(A78,'Trips&amp;Operators'!$C$1:$E$10000,3,FALSE)</f>
        <v>NEWELL</v>
      </c>
      <c r="M78" s="6">
        <f t="shared" ref="M78:M153" si="45">I78-F78</f>
        <v>2.6643518518540077E-2</v>
      </c>
      <c r="N78" s="7">
        <f>24*60*SUM($M78:$M78)</f>
        <v>38.366666666697711</v>
      </c>
      <c r="O78" s="7"/>
      <c r="P78" s="7"/>
      <c r="Q78" s="26"/>
      <c r="R78" s="26" t="s">
        <v>668</v>
      </c>
      <c r="S78" s="38">
        <f t="shared" ref="S78:S153" si="46">SUM(U78:U78)/IF(AG78="EC",12,1)</f>
        <v>1</v>
      </c>
      <c r="T78" s="55" t="str">
        <f t="shared" ref="T78:T153" si="47">IF(ISEVEN(LEFT(AD78,4)),"Southbound","NorthBound")</f>
        <v>Southbound</v>
      </c>
      <c r="U78" s="13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5" t="str">
        <f t="shared" ref="V78:V153" si="48"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https://search-rtdc-monitor-bjffxe2xuh6vdkpspy63sjmuny.us-east-1.es.amazonaws.com/_plugin/kibana/#/discover/Steve-Slow-Train-Analysis-(2080s-and-2083s)?_g=(refreshInterval:(display:Off,section:0,value:0),time:(from:'2016-08-11 11:27:22-0600',mode:absolute,to:'2016-08-11 14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78" s="57" t="str">
        <f t="shared" ref="W78:W153" si="49">IF(AA78&lt;IF(AG78="EC",23,5.65),"Y","N")</f>
        <v>Y</v>
      </c>
      <c r="X78" s="133">
        <f t="shared" si="41"/>
        <v>1</v>
      </c>
      <c r="Y78" s="72">
        <f t="shared" ref="Y78:Y153" si="50">RIGHT(D78,LEN(D78)-4)/10000</f>
        <v>15.748100000000001</v>
      </c>
      <c r="Z78" s="72">
        <f t="shared" ref="Z78:Z153" si="51">RIGHT(H78,LEN(H78)-4)/10000</f>
        <v>1.6500000000000001E-2</v>
      </c>
      <c r="AA78" s="72">
        <f t="shared" ref="AA78:AA153" si="52">ABS(Z78-Y78)</f>
        <v>15.7316</v>
      </c>
      <c r="AB78" s="69" t="e">
        <f>VLOOKUP(A78,Enforcements!$C$7:$J$24,8,0)</f>
        <v>#N/A</v>
      </c>
      <c r="AC78" s="65" t="e">
        <f>VLOOKUP(A78,Enforcements!$C$7:$E$24,3,0)</f>
        <v>#N/A</v>
      </c>
      <c r="AD78" s="66" t="str">
        <f t="shared" ref="AD78:AD153" si="53">IF(LEN(A78)=6,"0"&amp;A78,A78)</f>
        <v>0166-11</v>
      </c>
      <c r="AE78" s="108" t="str">
        <f t="shared" si="26"/>
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</c>
      <c r="AF78" s="105" t="str">
        <f t="shared" si="27"/>
        <v>"C:\Program Files (x86)\AstroGrep\AstroGrep.exe" /spath="%USERPROFILE%\AppData\Local\Temp\OnboardLogs" /stypes="*4032*20160811*" /stext=" 19:.+((SYSTEM_STATE.+slice.+state.+changed )|(ment ac)|(system.+state.+changed )|(\|lc)|(penalty)|(\[timeout)|(PRM\|1\|D)|(kpr)|(kdp))" /e /r /s</v>
      </c>
      <c r="AG78" s="1" t="str">
        <f t="shared" ref="AG78:AG141" si="54">IF(VALUE(LEFT(AD78,2))&lt;=2,"EC",IF(OR(VALUE(LEFT(AD78,2))=8,VALUE(LEFT(AD78,2))=18),"NW","Other"))</f>
        <v>EC</v>
      </c>
      <c r="AH78" s="109" t="str">
        <f t="shared" ref="AH78:AH153" si="5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</f>
        <v>"%USERPROFILE%\Documents\GitHub\eaglep3\Utilities\RefineRTDCRunTimes.py" --tripid 166-11 --locoid 4032 --swversion DE.1.0.7.0 --startMP 204:157481 --initTime 2016-08-11T12:27:22 --startdatetime 2016-08-11T12:28:44 --delay 1 --endMP 204:165 --enddatetime 2016-08-11T13:07:06 --enforcementcount 0</v>
      </c>
    </row>
    <row r="79" spans="1:34" x14ac:dyDescent="0.25">
      <c r="A79" s="42" t="s">
        <v>381</v>
      </c>
      <c r="B79" s="7">
        <v>4016</v>
      </c>
      <c r="C79" s="25" t="s">
        <v>130</v>
      </c>
      <c r="D79" s="25" t="s">
        <v>382</v>
      </c>
      <c r="E79" s="16">
        <v>42593.498090277775</v>
      </c>
      <c r="F79" s="16">
        <v>42593.499444444446</v>
      </c>
      <c r="G79" s="7">
        <v>1</v>
      </c>
      <c r="H79" s="16" t="s">
        <v>383</v>
      </c>
      <c r="I79" s="16">
        <v>42593.528726851851</v>
      </c>
      <c r="J79" s="7">
        <v>0</v>
      </c>
      <c r="K79" s="149" t="str">
        <f t="shared" si="44"/>
        <v>4015/4016</v>
      </c>
      <c r="L79" s="25" t="str">
        <f>VLOOKUP(A79,'Trips&amp;Operators'!$C$1:$E$10000,3,FALSE)</f>
        <v>MOSES</v>
      </c>
      <c r="M79" s="6">
        <f t="shared" si="45"/>
        <v>2.9282407405844424E-2</v>
      </c>
      <c r="N79" s="7">
        <f>24*60*SUM($M79:$M79)</f>
        <v>42.16666666441597</v>
      </c>
      <c r="O79" s="7"/>
      <c r="P79" s="7"/>
      <c r="Q79" s="26"/>
      <c r="R79" s="26" t="s">
        <v>668</v>
      </c>
      <c r="S79" s="38">
        <f t="shared" si="46"/>
        <v>1</v>
      </c>
      <c r="T79" s="55" t="str">
        <f t="shared" si="47"/>
        <v>NorthBound</v>
      </c>
      <c r="U79" s="13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10:57:15-0600',mode:absolute,to:'2016-08-11 13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79" s="57" t="str">
        <f t="shared" si="49"/>
        <v>Y</v>
      </c>
      <c r="X79" s="133">
        <f t="shared" si="41"/>
        <v>1</v>
      </c>
      <c r="Y79" s="72">
        <f t="shared" si="50"/>
        <v>4.4400000000000002E-2</v>
      </c>
      <c r="Z79" s="72">
        <f t="shared" si="51"/>
        <v>15.7851</v>
      </c>
      <c r="AA79" s="72">
        <f t="shared" si="52"/>
        <v>15.7407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53"/>
        <v>0167-11</v>
      </c>
      <c r="AE79" s="108" t="str">
        <f t="shared" si="26"/>
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</c>
      <c r="AF79" s="105" t="str">
        <f t="shared" si="27"/>
        <v>"C:\Program Files (x86)\AstroGrep\AstroGrep.exe" /spath="%USERPROFILE%\AppData\Local\Temp\OnboardLogs" /stypes="*4016*20160811*" /stext=" 18:.+((SYSTEM_STATE.+slice.+state.+changed )|(ment ac)|(system.+state.+changed )|(\|lc)|(penalty)|(\[timeout)|(PRM\|1\|D)|(kpr)|(kdp))" /e /r /s</v>
      </c>
      <c r="AG79" s="1" t="str">
        <f t="shared" si="54"/>
        <v>EC</v>
      </c>
      <c r="AH79" s="109" t="str">
        <f t="shared" si="55"/>
        <v>"%USERPROFILE%\Documents\GitHub\eaglep3\Utilities\RefineRTDCRunTimes.py" --tripid 167-11 --locoid 4016 --swversion DE.1.0.7.0 --startMP 204:444 --initTime 2016-08-11T11:57:15 --startdatetime 2016-08-11T11:59:12 --delay 1 --endMP 204:157851 --enddatetime 2016-08-11T12:41:22 --enforcementcount 0</v>
      </c>
    </row>
    <row r="80" spans="1:34" x14ac:dyDescent="0.25">
      <c r="A80" s="42" t="s">
        <v>384</v>
      </c>
      <c r="B80" s="7">
        <v>4015</v>
      </c>
      <c r="C80" s="25" t="s">
        <v>130</v>
      </c>
      <c r="D80" s="25" t="s">
        <v>385</v>
      </c>
      <c r="E80" s="16">
        <v>42593.531574074077</v>
      </c>
      <c r="F80" s="16">
        <v>42593.532546296294</v>
      </c>
      <c r="G80" s="7">
        <v>1</v>
      </c>
      <c r="H80" s="16" t="s">
        <v>231</v>
      </c>
      <c r="I80" s="16">
        <v>42593.559328703705</v>
      </c>
      <c r="J80" s="7">
        <v>0</v>
      </c>
      <c r="K80" s="149" t="str">
        <f t="shared" si="44"/>
        <v>4015/4016</v>
      </c>
      <c r="L80" s="25" t="str">
        <f>VLOOKUP(A80,'Trips&amp;Operators'!$C$1:$E$10000,3,FALSE)</f>
        <v>MOSES</v>
      </c>
      <c r="M80" s="6">
        <f t="shared" si="45"/>
        <v>2.6782407410792075E-2</v>
      </c>
      <c r="N80" s="7">
        <f>24*60*SUM($M80:$M80)</f>
        <v>38.566666671540588</v>
      </c>
      <c r="O80" s="7"/>
      <c r="P80" s="7"/>
      <c r="Q80" s="26"/>
      <c r="R80" s="26" t="s">
        <v>668</v>
      </c>
      <c r="S80" s="38">
        <f t="shared" si="46"/>
        <v>1</v>
      </c>
      <c r="T80" s="55" t="str">
        <f t="shared" si="47"/>
        <v>Southbound</v>
      </c>
      <c r="U80" s="13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11:45:28-0600',mode:absolute,to:'2016-08-11 14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80" s="57" t="str">
        <f t="shared" si="49"/>
        <v>Y</v>
      </c>
      <c r="X80" s="133">
        <f t="shared" si="41"/>
        <v>1</v>
      </c>
      <c r="Y80" s="72">
        <f t="shared" si="50"/>
        <v>15.762700000000001</v>
      </c>
      <c r="Z80" s="72">
        <f t="shared" si="51"/>
        <v>1.6299999999999999E-2</v>
      </c>
      <c r="AA80" s="72">
        <f t="shared" si="52"/>
        <v>15.746400000000001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53"/>
        <v>0168-11</v>
      </c>
      <c r="AE80" s="108" t="str">
        <f t="shared" si="26"/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AF80" s="105" t="str">
        <f t="shared" si="27"/>
        <v>"C:\Program Files (x86)\AstroGrep\AstroGrep.exe" /spath="%USERPROFILE%\AppData\Local\Temp\OnboardLogs" /stypes="*4015*20160811*" /stext=" 19:.+((SYSTEM_STATE.+slice.+state.+changed )|(ment ac)|(system.+state.+changed )|(\|lc)|(penalty)|(\[timeout)|(PRM\|1\|D)|(kpr)|(kdp))" /e /r /s</v>
      </c>
      <c r="AG80" s="1" t="str">
        <f t="shared" si="54"/>
        <v>EC</v>
      </c>
      <c r="AH80" s="109" t="str">
        <f t="shared" si="55"/>
        <v>"%USERPROFILE%\Documents\GitHub\eaglep3\Utilities\RefineRTDCRunTimes.py" --tripid 168-11 --locoid 4015 --swversion DE.1.0.7.0 --startMP 204:157627 --initTime 2016-08-11T12:45:28 --startdatetime 2016-08-11T12:46:52 --delay 1 --endMP 204:163 --enddatetime 2016-08-11T13:25:26 --enforcementcount 0</v>
      </c>
    </row>
    <row r="81" spans="1:34" s="24" customFormat="1" x14ac:dyDescent="0.25">
      <c r="A81" s="42" t="s">
        <v>644</v>
      </c>
      <c r="B81" s="7"/>
      <c r="C81" s="25"/>
      <c r="D81" s="25"/>
      <c r="E81" s="16"/>
      <c r="F81" s="16"/>
      <c r="G81" s="7"/>
      <c r="H81" s="16"/>
      <c r="I81" s="16"/>
      <c r="J81" s="7"/>
      <c r="K81" s="149"/>
      <c r="L81" s="25"/>
      <c r="M81" s="6"/>
      <c r="N81" s="7"/>
      <c r="O81" s="7"/>
      <c r="P81" s="7">
        <v>1</v>
      </c>
      <c r="Q81" s="26"/>
      <c r="R81" s="26" t="s">
        <v>230</v>
      </c>
      <c r="S81" s="38"/>
      <c r="T81" s="55" t="str">
        <f t="shared" si="47"/>
        <v>NorthBound</v>
      </c>
      <c r="U81" s="139"/>
      <c r="V81" s="115"/>
      <c r="W81" s="57"/>
      <c r="X81" s="133">
        <f t="shared" si="41"/>
        <v>1</v>
      </c>
      <c r="Y81" s="72"/>
      <c r="Z81" s="72"/>
      <c r="AA81" s="72"/>
      <c r="AB81" s="69"/>
      <c r="AC81" s="65"/>
      <c r="AD81" s="66" t="str">
        <f t="shared" si="53"/>
        <v>0169-11</v>
      </c>
      <c r="AE81" s="108"/>
      <c r="AF81" s="105"/>
      <c r="AG81" s="1" t="str">
        <f t="shared" si="54"/>
        <v>EC</v>
      </c>
      <c r="AH81" s="109"/>
    </row>
    <row r="82" spans="1:34" x14ac:dyDescent="0.25">
      <c r="A82" s="42" t="s">
        <v>386</v>
      </c>
      <c r="B82" s="7">
        <v>4013</v>
      </c>
      <c r="C82" s="25" t="s">
        <v>130</v>
      </c>
      <c r="D82" s="25" t="s">
        <v>387</v>
      </c>
      <c r="E82" s="16">
        <v>42593.549328703702</v>
      </c>
      <c r="F82" s="16">
        <v>42593.55023148148</v>
      </c>
      <c r="G82" s="7">
        <v>1</v>
      </c>
      <c r="H82" s="16" t="s">
        <v>231</v>
      </c>
      <c r="I82" s="16">
        <v>42593.578414351854</v>
      </c>
      <c r="J82" s="7">
        <v>0</v>
      </c>
      <c r="K82" s="149" t="str">
        <f t="shared" si="44"/>
        <v>4013/4014</v>
      </c>
      <c r="L82" s="25" t="str">
        <f>VLOOKUP(A82,'Trips&amp;Operators'!$C$1:$E$10000,3,FALSE)</f>
        <v>SWANSON</v>
      </c>
      <c r="M82" s="6">
        <f t="shared" si="45"/>
        <v>2.8182870373711921E-2</v>
      </c>
      <c r="N82" s="7">
        <f>24*60*SUM($M82:$M82)</f>
        <v>40.583333338145167</v>
      </c>
      <c r="O82" s="7"/>
      <c r="P82" s="7"/>
      <c r="Q82" s="26"/>
      <c r="R82" s="26" t="s">
        <v>668</v>
      </c>
      <c r="S82" s="38">
        <f t="shared" si="46"/>
        <v>1</v>
      </c>
      <c r="T82" s="55" t="str">
        <f t="shared" si="47"/>
        <v>Southbound</v>
      </c>
      <c r="U82" s="13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12:11:02-0600',mode:absolute,to:'2016-08-11 14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82" s="57" t="str">
        <f t="shared" si="49"/>
        <v>Y</v>
      </c>
      <c r="X82" s="133">
        <f t="shared" si="41"/>
        <v>1</v>
      </c>
      <c r="Y82" s="72">
        <f t="shared" si="50"/>
        <v>15.7666</v>
      </c>
      <c r="Z82" s="72">
        <f t="shared" si="51"/>
        <v>1.6299999999999999E-2</v>
      </c>
      <c r="AA82" s="72">
        <f t="shared" si="52"/>
        <v>15.750300000000001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53"/>
        <v>0170-11</v>
      </c>
      <c r="AE82" s="108" t="str">
        <f>"aws s3 cp "&amp;s3_bucket&amp;"/RTDC"&amp;B82&amp;"/"&amp;TEXT(F82,"YYYY-MM-DD")&amp;"/ "&amp;search_path&amp;"\RTDC"&amp;B82&amp;"\"&amp;TEXT(F82,"YYYY-MM-DD")&amp;" --recursive &amp; """&amp;walkandungz&amp;""" "&amp;search_path&amp;"\RTDC"&amp;B82&amp;"\"&amp;TEXT(F82,"YYYY-MM-DD")
&amp;" &amp; "&amp;"aws s3 cp "&amp;s3_bucket&amp;"/RTDC"&amp;B82&amp;"/"&amp;TEXT(F82+1,"YYYY-MM-DD")&amp;"/ "&amp;search_path&amp;"\RTDC"&amp;B82&amp;"\"&amp;TEXT(F82+1,"YYYY-MM-DD")&amp;" --recursive &amp; """&amp;walkandungz&amp;""" "&amp;search_path&amp;"\RTDC"&amp;B82&amp;"\"&amp;TEXT(F82+1,"YYYY-MM-DD")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AF82" s="105" t="str">
        <f>astrogrep_path&amp;" /spath="&amp;search_path&amp;" /stypes=""*"&amp;B82&amp;"*"&amp;TEXT(I82-utc_offset/24,"YYYYMMDD")&amp;"*"" /stext="" "&amp;TEXT(I82-utc_offset/24,"HH")&amp;search_regexp&amp;""" /e /r /s"</f>
        <v>"C:\Program Files (x86)\AstroGrep\AstroGrep.exe" /spath="%USERPROFILE%\AppData\Local\Temp\OnboardLogs" /stypes="*4013*20160811*" /stext=" 19:.+((SYSTEM_STATE.+slice.+state.+changed )|(ment ac)|(system.+state.+changed )|(\|lc)|(penalty)|(\[timeout)|(PRM\|1\|D)|(kpr)|(kdp))" /e /r /s</v>
      </c>
      <c r="AG82" s="1" t="str">
        <f t="shared" si="54"/>
        <v>EC</v>
      </c>
      <c r="AH82" s="109" t="str">
        <f t="shared" si="55"/>
        <v>"%USERPROFILE%\Documents\GitHub\eaglep3\Utilities\RefineRTDCRunTimes.py" --tripid 170-11 --locoid 4013 --swversion DE.1.0.7.0 --startMP 204:157666 --initTime 2016-08-11T13:11:02 --startdatetime 2016-08-11T13:12:20 --delay 1 --endMP 204:163 --enddatetime 2016-08-11T13:52:55 --enforcementcount 0</v>
      </c>
    </row>
    <row r="83" spans="1:34" x14ac:dyDescent="0.25">
      <c r="A83" s="42" t="s">
        <v>388</v>
      </c>
      <c r="B83" s="7">
        <v>4014</v>
      </c>
      <c r="C83" s="25" t="s">
        <v>130</v>
      </c>
      <c r="D83" s="25" t="s">
        <v>209</v>
      </c>
      <c r="E83" s="16">
        <v>42593.516215277778</v>
      </c>
      <c r="F83" s="16">
        <v>42593.517511574071</v>
      </c>
      <c r="G83" s="7">
        <v>1</v>
      </c>
      <c r="H83" s="16" t="s">
        <v>389</v>
      </c>
      <c r="I83" s="16">
        <v>42593.546701388892</v>
      </c>
      <c r="J83" s="7">
        <v>0</v>
      </c>
      <c r="K83" s="149" t="str">
        <f t="shared" si="44"/>
        <v>4013/4014</v>
      </c>
      <c r="L83" s="25" t="str">
        <f>VLOOKUP(A83,'Trips&amp;Operators'!$C$1:$E$10000,3,FALSE)</f>
        <v>SWANSON</v>
      </c>
      <c r="M83" s="6">
        <f t="shared" si="45"/>
        <v>2.9189814820711035E-2</v>
      </c>
      <c r="N83" s="7">
        <f>24*60*SUM($M83:$M83)</f>
        <v>42.033333341823891</v>
      </c>
      <c r="O83" s="7"/>
      <c r="P83" s="7"/>
      <c r="Q83" s="26"/>
      <c r="R83" s="26" t="s">
        <v>668</v>
      </c>
      <c r="S83" s="38">
        <f t="shared" si="46"/>
        <v>1</v>
      </c>
      <c r="T83" s="55" t="str">
        <f t="shared" si="47"/>
        <v>NorthBound</v>
      </c>
      <c r="U83" s="13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11:23:21-0600',mode:absolute,to:'2016-08-11 14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83" s="57" t="str">
        <f t="shared" si="49"/>
        <v>Y</v>
      </c>
      <c r="X83" s="133">
        <f t="shared" ref="X83:X89" si="56">VALUE(LEFT(AD83,4))-VALUE(LEFT(AD82,4))</f>
        <v>1</v>
      </c>
      <c r="Y83" s="72">
        <f t="shared" ref="Y83:Y89" si="57">RIGHT(D83,LEN(D83)-4)/10000</f>
        <v>4.6699999999999998E-2</v>
      </c>
      <c r="Z83" s="72">
        <f t="shared" si="51"/>
        <v>15.7896</v>
      </c>
      <c r="AA83" s="72">
        <f t="shared" si="52"/>
        <v>15.742900000000001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53"/>
        <v>0171-11</v>
      </c>
      <c r="AE83" s="108" t="str">
        <f>"aws s3 cp "&amp;s3_bucket&amp;"/RTDC"&amp;B83&amp;"/"&amp;TEXT(F83,"YYYY-MM-DD")&amp;"/ "&amp;search_path&amp;"\RTDC"&amp;B83&amp;"\"&amp;TEXT(F83,"YYYY-MM-DD")&amp;" --recursive &amp; """&amp;walkandungz&amp;""" "&amp;search_path&amp;"\RTDC"&amp;B83&amp;"\"&amp;TEXT(F83,"YYYY-MM-DD")
&amp;" &amp; "&amp;"aws s3 cp "&amp;s3_bucket&amp;"/RTDC"&amp;B83&amp;"/"&amp;TEXT(F83+1,"YYYY-MM-DD")&amp;"/ "&amp;search_path&amp;"\RTDC"&amp;B83&amp;"\"&amp;TEXT(F83+1,"YYYY-MM-DD")&amp;" --recursive &amp; """&amp;walkandungz&amp;""" "&amp;search_path&amp;"\RTDC"&amp;B83&amp;"\"&amp;TEXT(F83+1,"YYYY-MM-DD")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83" s="105" t="str">
        <f>astrogrep_path&amp;" /spath="&amp;search_path&amp;" /stypes=""*"&amp;B83&amp;"*"&amp;TEXT(I83-utc_offset/24,"YYYYMMDD")&amp;"*"" /stext="" "&amp;TEXT(I83-utc_offset/24,"HH")&amp;search_regexp&amp;""" /e /r /s"</f>
        <v>"C:\Program Files (x86)\AstroGrep\AstroGrep.exe" /spath="%USERPROFILE%\AppData\Local\Temp\OnboardLogs" /stypes="*4014*20160811*" /stext=" 19:.+((SYSTEM_STATE.+slice.+state.+changed )|(ment ac)|(system.+state.+changed )|(\|lc)|(penalty)|(\[timeout)|(PRM\|1\|D)|(kpr)|(kdp))" /e /r /s</v>
      </c>
      <c r="AG83" s="1" t="str">
        <f t="shared" si="54"/>
        <v>EC</v>
      </c>
      <c r="AH83" s="109" t="str">
        <f t="shared" si="55"/>
        <v>"%USERPROFILE%\Documents\GitHub\eaglep3\Utilities\RefineRTDCRunTimes.py" --tripid 171-11 --locoid 4014 --swversion DE.1.0.7.0 --startMP 204:467 --initTime 2016-08-11T12:23:21 --startdatetime 2016-08-11T12:25:13 --delay 1 --endMP 204:157896 --enddatetime 2016-08-11T13:07:15 --enforcementcount 0</v>
      </c>
    </row>
    <row r="84" spans="1:34" s="24" customFormat="1" x14ac:dyDescent="0.25">
      <c r="A84" s="42" t="s">
        <v>645</v>
      </c>
      <c r="B84" s="7"/>
      <c r="C84" s="25"/>
      <c r="D84" s="25"/>
      <c r="E84" s="16"/>
      <c r="F84" s="16"/>
      <c r="G84" s="7"/>
      <c r="H84" s="16"/>
      <c r="I84" s="16"/>
      <c r="J84" s="7"/>
      <c r="K84" s="149"/>
      <c r="L84" s="25"/>
      <c r="M84" s="6"/>
      <c r="N84" s="7"/>
      <c r="O84" s="7"/>
      <c r="P84" s="7">
        <v>1</v>
      </c>
      <c r="Q84" s="26"/>
      <c r="R84" s="26" t="s">
        <v>230</v>
      </c>
      <c r="S84" s="38"/>
      <c r="T84" s="55" t="str">
        <f t="shared" si="47"/>
        <v>Southbound</v>
      </c>
      <c r="U84" s="139"/>
      <c r="V84" s="115"/>
      <c r="W84" s="57"/>
      <c r="X84" s="133">
        <f t="shared" si="56"/>
        <v>1</v>
      </c>
      <c r="Y84" s="72" t="e">
        <f t="shared" si="57"/>
        <v>#VALUE!</v>
      </c>
      <c r="Z84" s="72"/>
      <c r="AA84" s="72"/>
      <c r="AB84" s="69"/>
      <c r="AC84" s="65"/>
      <c r="AD84" s="66" t="str">
        <f t="shared" si="53"/>
        <v>0172-11</v>
      </c>
      <c r="AE84" s="108"/>
      <c r="AF84" s="105"/>
      <c r="AG84" s="1" t="str">
        <f t="shared" si="54"/>
        <v>EC</v>
      </c>
      <c r="AH84" s="109"/>
    </row>
    <row r="85" spans="1:34" x14ac:dyDescent="0.25">
      <c r="A85" s="42" t="s">
        <v>390</v>
      </c>
      <c r="B85" s="7">
        <v>4014</v>
      </c>
      <c r="C85" s="25" t="s">
        <v>130</v>
      </c>
      <c r="D85" s="25" t="s">
        <v>62</v>
      </c>
      <c r="E85" s="16">
        <v>42593.514733796299</v>
      </c>
      <c r="F85" s="16">
        <v>42593.515717592592</v>
      </c>
      <c r="G85" s="7">
        <v>1</v>
      </c>
      <c r="H85" s="16" t="s">
        <v>389</v>
      </c>
      <c r="I85" s="16">
        <v>42593.546701388892</v>
      </c>
      <c r="J85" s="7">
        <v>0</v>
      </c>
      <c r="K85" s="149" t="str">
        <f t="shared" si="44"/>
        <v>4013/4014</v>
      </c>
      <c r="L85" s="25" t="str">
        <f>VLOOKUP(A85,'Trips&amp;Operators'!$C$1:$E$10000,3,FALSE)</f>
        <v>SWANSON</v>
      </c>
      <c r="M85" s="6">
        <f t="shared" si="45"/>
        <v>3.0983796299551614E-2</v>
      </c>
      <c r="N85" s="7">
        <f>24*60*SUM($M85:$M85)</f>
        <v>44.616666671354324</v>
      </c>
      <c r="O85" s="7"/>
      <c r="P85" s="7"/>
      <c r="Q85" s="26"/>
      <c r="R85" s="26" t="s">
        <v>668</v>
      </c>
      <c r="S85" s="38">
        <f t="shared" si="46"/>
        <v>1</v>
      </c>
      <c r="T85" s="55" t="str">
        <f t="shared" si="47"/>
        <v>NorthBound</v>
      </c>
      <c r="U85" s="13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11:21:13-0600',mode:absolute,to:'2016-08-11 14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85" s="57" t="str">
        <f t="shared" si="49"/>
        <v>Y</v>
      </c>
      <c r="X85" s="133">
        <f t="shared" si="56"/>
        <v>1</v>
      </c>
      <c r="Y85" s="72">
        <f t="shared" si="57"/>
        <v>4.5999999999999999E-2</v>
      </c>
      <c r="Z85" s="72">
        <f t="shared" si="51"/>
        <v>15.7896</v>
      </c>
      <c r="AA85" s="72">
        <f t="shared" si="52"/>
        <v>15.743600000000001</v>
      </c>
      <c r="AB85" s="69" t="e">
        <f>VLOOKUP(A85,Enforcements!$C$7:$J$24,8,0)</f>
        <v>#N/A</v>
      </c>
      <c r="AC85" s="65" t="e">
        <f>VLOOKUP(A85,Enforcements!$C$7:$E$24,3,0)</f>
        <v>#N/A</v>
      </c>
      <c r="AD85" s="66" t="str">
        <f t="shared" si="53"/>
        <v>0173-11</v>
      </c>
      <c r="AE85" s="108" t="str">
        <f t="shared" ref="AE85:AE92" si="58">"aws s3 cp "&amp;s3_bucket&amp;"/RTDC"&amp;B85&amp;"/"&amp;TEXT(F85,"YYYY-MM-DD")&amp;"/ "&amp;search_path&amp;"\RTDC"&amp;B85&amp;"\"&amp;TEXT(F85,"YYYY-MM-DD")&amp;" --recursive &amp; """&amp;walkandungz&amp;""" "&amp;search_path&amp;"\RTDC"&amp;B85&amp;"\"&amp;TEXT(F85,"YYYY-MM-DD")
&amp;" &amp; "&amp;"aws s3 cp "&amp;s3_bucket&amp;"/RTDC"&amp;B85&amp;"/"&amp;TEXT(F85+1,"YYYY-MM-DD")&amp;"/ "&amp;search_path&amp;"\RTDC"&amp;B85&amp;"\"&amp;TEXT(F85+1,"YYYY-MM-DD")&amp;" --recursive &amp; """&amp;walkandungz&amp;""" "&amp;search_path&amp;"\RTDC"&amp;B85&amp;"\"&amp;TEXT(F85+1,"YYYY-MM-DD")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85" s="105" t="str">
        <f t="shared" ref="AF85:AF92" si="59">astrogrep_path&amp;" /spath="&amp;search_path&amp;" /stypes=""*"&amp;B85&amp;"*"&amp;TEXT(I85-utc_offset/24,"YYYYMMDD")&amp;"*"" /stext="" "&amp;TEXT(I85-utc_offset/24,"HH")&amp;search_regexp&amp;""" /e /r /s"</f>
        <v>"C:\Program Files (x86)\AstroGrep\AstroGrep.exe" /spath="%USERPROFILE%\AppData\Local\Temp\OnboardLogs" /stypes="*4014*20160811*" /stext=" 19:.+((SYSTEM_STATE.+slice.+state.+changed )|(ment ac)|(system.+state.+changed )|(\|lc)|(penalty)|(\[timeout)|(PRM\|1\|D)|(kpr)|(kdp))" /e /r /s</v>
      </c>
      <c r="AG85" s="1" t="str">
        <f t="shared" si="54"/>
        <v>EC</v>
      </c>
      <c r="AH85" s="109" t="str">
        <f t="shared" si="55"/>
        <v>"%USERPROFILE%\Documents\GitHub\eaglep3\Utilities\RefineRTDCRunTimes.py" --tripid 173-11 --locoid 4014 --swversion DE.1.0.7.0 --startMP 204:460 --initTime 2016-08-11T12:21:13 --startdatetime 2016-08-11T12:22:38 --delay 1 --endMP 204:157896 --enddatetime 2016-08-11T13:07:15 --enforcementcount 0</v>
      </c>
    </row>
    <row r="86" spans="1:34" x14ac:dyDescent="0.25">
      <c r="A86" s="42" t="s">
        <v>391</v>
      </c>
      <c r="B86" s="7">
        <v>4037</v>
      </c>
      <c r="C86" s="25" t="s">
        <v>130</v>
      </c>
      <c r="D86" s="25" t="s">
        <v>379</v>
      </c>
      <c r="E86" s="16">
        <v>42593.571689814817</v>
      </c>
      <c r="F86" s="16">
        <v>42593.573101851849</v>
      </c>
      <c r="G86" s="7">
        <v>2</v>
      </c>
      <c r="H86" s="16" t="s">
        <v>244</v>
      </c>
      <c r="I86" s="16">
        <v>42593.597638888888</v>
      </c>
      <c r="J86" s="7">
        <v>0</v>
      </c>
      <c r="K86" s="149" t="str">
        <f t="shared" si="44"/>
        <v>4037/4038</v>
      </c>
      <c r="L86" s="25" t="str">
        <f>VLOOKUP(A86,'Trips&amp;Operators'!$C$1:$E$10000,3,FALSE)</f>
        <v>YOUNG</v>
      </c>
      <c r="M86" s="6">
        <f t="shared" si="45"/>
        <v>2.453703703940846E-2</v>
      </c>
      <c r="N86" s="7">
        <f>24*60*SUM($M86:$M86)</f>
        <v>35.333333336748183</v>
      </c>
      <c r="O86" s="7"/>
      <c r="P86" s="7"/>
      <c r="Q86" s="26"/>
      <c r="R86" s="26" t="s">
        <v>668</v>
      </c>
      <c r="S86" s="38">
        <f t="shared" si="46"/>
        <v>1</v>
      </c>
      <c r="T86" s="55" t="str">
        <f t="shared" si="47"/>
        <v>Southbound</v>
      </c>
      <c r="U86" s="13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12:43:14-0600',mode:absolute,to:'2016-08-11 15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86" s="57" t="str">
        <f t="shared" si="49"/>
        <v>Y</v>
      </c>
      <c r="X86" s="133">
        <f t="shared" si="56"/>
        <v>1</v>
      </c>
      <c r="Y86" s="72">
        <f t="shared" si="57"/>
        <v>15.748100000000001</v>
      </c>
      <c r="Z86" s="72">
        <f t="shared" si="51"/>
        <v>1.2699999999999999E-2</v>
      </c>
      <c r="AA86" s="72">
        <f t="shared" si="52"/>
        <v>15.7354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53"/>
        <v>0174-11</v>
      </c>
      <c r="AE86" s="108" t="str">
        <f t="shared" si="58"/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AF86" s="105" t="str">
        <f t="shared" si="59"/>
        <v>"C:\Program Files (x86)\AstroGrep\AstroGrep.exe" /spath="%USERPROFILE%\AppData\Local\Temp\OnboardLogs" /stypes="*4037*20160811*" /stext=" 20:.+((SYSTEM_STATE.+slice.+state.+changed )|(ment ac)|(system.+state.+changed )|(\|lc)|(penalty)|(\[timeout)|(PRM\|1\|D)|(kpr)|(kdp))" /e /r /s</v>
      </c>
      <c r="AG86" s="1" t="str">
        <f t="shared" si="54"/>
        <v>EC</v>
      </c>
      <c r="AH86" s="109" t="str">
        <f t="shared" si="55"/>
        <v>"%USERPROFILE%\Documents\GitHub\eaglep3\Utilities\RefineRTDCRunTimes.py" --tripid 174-11 --locoid 4037 --swversion DE.1.0.7.0 --startMP 204:157481 --initTime 2016-08-11T13:43:14 --startdatetime 2016-08-11T13:45:16 --delay 2 --endMP 204:127 --enddatetime 2016-08-11T14:20:36 --enforcementcount 0</v>
      </c>
    </row>
    <row r="87" spans="1:34" x14ac:dyDescent="0.25">
      <c r="A87" s="42" t="s">
        <v>392</v>
      </c>
      <c r="B87" s="7">
        <v>4025</v>
      </c>
      <c r="C87" s="25" t="s">
        <v>130</v>
      </c>
      <c r="D87" s="25" t="s">
        <v>121</v>
      </c>
      <c r="E87" s="16">
        <v>42593.538483796299</v>
      </c>
      <c r="F87" s="16">
        <v>42593.539710648147</v>
      </c>
      <c r="G87" s="7">
        <v>1</v>
      </c>
      <c r="H87" s="16" t="s">
        <v>393</v>
      </c>
      <c r="I87" s="16">
        <v>42593.574780092589</v>
      </c>
      <c r="J87" s="7">
        <v>1</v>
      </c>
      <c r="K87" s="149" t="str">
        <f t="shared" si="44"/>
        <v>4025/4026</v>
      </c>
      <c r="L87" s="25" t="str">
        <f>VLOOKUP(A87,'Trips&amp;Operators'!$C$1:$E$10000,3,FALSE)</f>
        <v>SHOOK</v>
      </c>
      <c r="M87" s="6">
        <f t="shared" si="45"/>
        <v>3.5069444442342501E-2</v>
      </c>
      <c r="N87" s="7">
        <f>24*60*SUM($M87:$M87)</f>
        <v>50.499999996973202</v>
      </c>
      <c r="O87" s="7"/>
      <c r="P87" s="7"/>
      <c r="Q87" s="26"/>
      <c r="R87" s="26" t="s">
        <v>668</v>
      </c>
      <c r="S87" s="38">
        <f t="shared" si="46"/>
        <v>1</v>
      </c>
      <c r="T87" s="55" t="str">
        <f t="shared" si="47"/>
        <v>NorthBound</v>
      </c>
      <c r="U87" s="13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11:55:25-0600',mode:absolute,to:'2016-08-11 14:47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87" s="57" t="str">
        <f t="shared" si="49"/>
        <v>Y</v>
      </c>
      <c r="X87" s="133">
        <f t="shared" si="56"/>
        <v>1</v>
      </c>
      <c r="Y87" s="72">
        <f t="shared" si="57"/>
        <v>4.6199999999999998E-2</v>
      </c>
      <c r="Z87" s="72">
        <f t="shared" si="51"/>
        <v>15.452400000000001</v>
      </c>
      <c r="AA87" s="72">
        <f t="shared" si="52"/>
        <v>15.4062</v>
      </c>
      <c r="AB87" s="69" t="e">
        <f>VLOOKUP(A87,Enforcements!$C$7:$J$24,8,0)</f>
        <v>#N/A</v>
      </c>
      <c r="AC87" s="65" t="e">
        <f>VLOOKUP(A87,Enforcements!$C$7:$E$24,3,0)</f>
        <v>#N/A</v>
      </c>
      <c r="AD87" s="66" t="str">
        <f t="shared" si="53"/>
        <v>0175-11</v>
      </c>
      <c r="AE87" s="108" t="str">
        <f t="shared" si="58"/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AF87" s="105" t="str">
        <f t="shared" si="59"/>
        <v>"C:\Program Files (x86)\AstroGrep\AstroGrep.exe" /spath="%USERPROFILE%\AppData\Local\Temp\OnboardLogs" /stypes="*4025*20160811*" /stext=" 19:.+((SYSTEM_STATE.+slice.+state.+changed )|(ment ac)|(system.+state.+changed )|(\|lc)|(penalty)|(\[timeout)|(PRM\|1\|D)|(kpr)|(kdp))" /e /r /s</v>
      </c>
      <c r="AG87" s="1" t="str">
        <f t="shared" si="54"/>
        <v>EC</v>
      </c>
      <c r="AH87" s="109" t="str">
        <f t="shared" si="55"/>
        <v>"%USERPROFILE%\Documents\GitHub\eaglep3\Utilities\RefineRTDCRunTimes.py" --tripid 175-11 --locoid 4025 --swversion DE.1.0.7.0 --startMP 204:462 --initTime 2016-08-11T12:55:25 --startdatetime 2016-08-11T12:57:11 --delay 1 --endMP 204:154524 --enddatetime 2016-08-11T13:47:41 --enforcementcount 1</v>
      </c>
    </row>
    <row r="88" spans="1:34" x14ac:dyDescent="0.25">
      <c r="A88" s="42" t="s">
        <v>394</v>
      </c>
      <c r="B88" s="7">
        <v>4026</v>
      </c>
      <c r="C88" s="25" t="s">
        <v>130</v>
      </c>
      <c r="D88" s="25" t="s">
        <v>395</v>
      </c>
      <c r="E88" s="16">
        <v>42593.582187499997</v>
      </c>
      <c r="F88" s="16">
        <v>42593.582939814813</v>
      </c>
      <c r="G88" s="7">
        <v>1</v>
      </c>
      <c r="H88" s="16" t="s">
        <v>167</v>
      </c>
      <c r="I88" s="16">
        <v>42593.608993055554</v>
      </c>
      <c r="J88" s="7">
        <v>0</v>
      </c>
      <c r="K88" s="149" t="str">
        <f t="shared" si="44"/>
        <v>4025/4026</v>
      </c>
      <c r="L88" s="25" t="str">
        <f>VLOOKUP(A88,'Trips&amp;Operators'!$C$1:$E$10000,3,FALSE)</f>
        <v>SHOOK</v>
      </c>
      <c r="M88" s="6">
        <f t="shared" si="45"/>
        <v>2.6053240741021E-2</v>
      </c>
      <c r="N88" s="7">
        <f>24*60*SUM($M88:$M88)</f>
        <v>37.51666666707024</v>
      </c>
      <c r="O88" s="7"/>
      <c r="P88" s="7"/>
      <c r="Q88" s="26"/>
      <c r="R88" s="26" t="s">
        <v>668</v>
      </c>
      <c r="S88" s="38">
        <f t="shared" si="46"/>
        <v>1</v>
      </c>
      <c r="T88" s="55" t="str">
        <f t="shared" si="47"/>
        <v>Southbound</v>
      </c>
      <c r="U88" s="13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12:58:21-0600',mode:absolute,to:'2016-08-11 15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88" s="57" t="str">
        <f t="shared" si="49"/>
        <v>Y</v>
      </c>
      <c r="X88" s="133">
        <f t="shared" si="56"/>
        <v>1</v>
      </c>
      <c r="Y88" s="72">
        <f t="shared" si="57"/>
        <v>15.759399999999999</v>
      </c>
      <c r="Z88" s="72">
        <f t="shared" si="51"/>
        <v>1.4500000000000001E-2</v>
      </c>
      <c r="AA88" s="72">
        <f t="shared" si="52"/>
        <v>15.744899999999999</v>
      </c>
      <c r="AB88" s="69" t="e">
        <f>VLOOKUP(A88,Enforcements!$C$7:$J$24,8,0)</f>
        <v>#N/A</v>
      </c>
      <c r="AC88" s="65" t="e">
        <f>VLOOKUP(A88,Enforcements!$C$7:$E$24,3,0)</f>
        <v>#N/A</v>
      </c>
      <c r="AD88" s="66" t="str">
        <f t="shared" si="53"/>
        <v>0176-11</v>
      </c>
      <c r="AE88" s="108" t="str">
        <f t="shared" si="58"/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AF88" s="105" t="str">
        <f t="shared" si="59"/>
        <v>"C:\Program Files (x86)\AstroGrep\AstroGrep.exe" /spath="%USERPROFILE%\AppData\Local\Temp\OnboardLogs" /stypes="*4026*20160811*" /stext=" 20:.+((SYSTEM_STATE.+slice.+state.+changed )|(ment ac)|(system.+state.+changed )|(\|lc)|(penalty)|(\[timeout)|(PRM\|1\|D)|(kpr)|(kdp))" /e /r /s</v>
      </c>
      <c r="AG88" s="1" t="str">
        <f t="shared" si="54"/>
        <v>EC</v>
      </c>
      <c r="AH88" s="109" t="str">
        <f t="shared" si="55"/>
        <v>"%USERPROFILE%\Documents\GitHub\eaglep3\Utilities\RefineRTDCRunTimes.py" --tripid 176-11 --locoid 4026 --swversion DE.1.0.7.0 --startMP 204:157594 --initTime 2016-08-11T13:58:21 --startdatetime 2016-08-11T13:59:26 --delay 1 --endMP 204:145 --enddatetime 2016-08-11T14:36:57 --enforcementcount 0</v>
      </c>
    </row>
    <row r="89" spans="1:34" x14ac:dyDescent="0.25">
      <c r="A89" s="42" t="s">
        <v>396</v>
      </c>
      <c r="B89" s="7">
        <v>4031</v>
      </c>
      <c r="C89" s="25" t="s">
        <v>130</v>
      </c>
      <c r="D89" s="25" t="s">
        <v>168</v>
      </c>
      <c r="E89" s="16">
        <v>42593.548368055555</v>
      </c>
      <c r="F89" s="16">
        <v>42593.550925925927</v>
      </c>
      <c r="G89" s="7">
        <v>3</v>
      </c>
      <c r="H89" s="16" t="s">
        <v>397</v>
      </c>
      <c r="I89" s="16">
        <v>42593.586261574077</v>
      </c>
      <c r="J89" s="7">
        <v>0</v>
      </c>
      <c r="K89" s="149" t="str">
        <f t="shared" si="44"/>
        <v>4031/4032</v>
      </c>
      <c r="L89" s="25" t="str">
        <f>VLOOKUP(A89,'Trips&amp;Operators'!$C$1:$E$10000,3,FALSE)</f>
        <v>NEWELL</v>
      </c>
      <c r="M89" s="6">
        <f t="shared" si="45"/>
        <v>3.5335648150066845E-2</v>
      </c>
      <c r="N89" s="7">
        <f>24*60*SUM($M89:$M89)</f>
        <v>50.883333336096257</v>
      </c>
      <c r="O89" s="7"/>
      <c r="P89" s="7"/>
      <c r="Q89" s="26"/>
      <c r="R89" s="26" t="s">
        <v>668</v>
      </c>
      <c r="S89" s="38">
        <f t="shared" si="46"/>
        <v>1</v>
      </c>
      <c r="T89" s="55" t="str">
        <f t="shared" si="47"/>
        <v>NorthBound</v>
      </c>
      <c r="U89" s="13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12:09:39-0600',mode:absolute,to:'2016-08-11 15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89" s="57" t="str">
        <f t="shared" si="49"/>
        <v>Y</v>
      </c>
      <c r="X89" s="133">
        <f t="shared" si="56"/>
        <v>1</v>
      </c>
      <c r="Y89" s="72">
        <f t="shared" si="57"/>
        <v>4.3999999999999997E-2</v>
      </c>
      <c r="Z89" s="72">
        <f t="shared" si="51"/>
        <v>15.772399999999999</v>
      </c>
      <c r="AA89" s="72">
        <f t="shared" si="52"/>
        <v>15.728399999999999</v>
      </c>
      <c r="AB89" s="69" t="e">
        <f>VLOOKUP(A89,Enforcements!$C$7:$J$24,8,0)</f>
        <v>#N/A</v>
      </c>
      <c r="AC89" s="65" t="e">
        <f>VLOOKUP(A89,Enforcements!$C$7:$E$24,3,0)</f>
        <v>#N/A</v>
      </c>
      <c r="AD89" s="66" t="str">
        <f t="shared" si="53"/>
        <v>0177-11</v>
      </c>
      <c r="AE89" s="108" t="str">
        <f t="shared" si="58"/>
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</c>
      <c r="AF89" s="105" t="str">
        <f t="shared" si="59"/>
        <v>"C:\Program Files (x86)\AstroGrep\AstroGrep.exe" /spath="%USERPROFILE%\AppData\Local\Temp\OnboardLogs" /stypes="*4031*20160811*" /stext=" 20:.+((SYSTEM_STATE.+slice.+state.+changed )|(ment ac)|(system.+state.+changed )|(\|lc)|(penalty)|(\[timeout)|(PRM\|1\|D)|(kpr)|(kdp))" /e /r /s</v>
      </c>
      <c r="AG89" s="1" t="str">
        <f t="shared" si="54"/>
        <v>EC</v>
      </c>
      <c r="AH89" s="109" t="str">
        <f t="shared" si="55"/>
        <v>"%USERPROFILE%\Documents\GitHub\eaglep3\Utilities\RefineRTDCRunTimes.py" --tripid 177-11 --locoid 4031 --swversion DE.1.0.7.0 --startMP 204:440 --initTime 2016-08-11T13:09:39 --startdatetime 2016-08-11T13:13:20 --delay 3 --endMP 204:157724 --enddatetime 2016-08-11T14:04:13 --enforcementcount 0</v>
      </c>
    </row>
    <row r="90" spans="1:34" x14ac:dyDescent="0.25">
      <c r="A90" s="42" t="s">
        <v>398</v>
      </c>
      <c r="B90" s="7">
        <v>4032</v>
      </c>
      <c r="C90" s="25" t="s">
        <v>130</v>
      </c>
      <c r="D90" s="25" t="s">
        <v>399</v>
      </c>
      <c r="E90" s="16">
        <v>42593.587407407409</v>
      </c>
      <c r="F90" s="16">
        <v>42593.588738425926</v>
      </c>
      <c r="G90" s="7">
        <v>1</v>
      </c>
      <c r="H90" s="16" t="s">
        <v>400</v>
      </c>
      <c r="I90" s="16">
        <v>42593.617997685185</v>
      </c>
      <c r="J90" s="7">
        <v>0</v>
      </c>
      <c r="K90" s="149" t="str">
        <f t="shared" si="44"/>
        <v>4031/4032</v>
      </c>
      <c r="L90" s="25" t="str">
        <f>VLOOKUP(A90,'Trips&amp;Operators'!$C$1:$E$10000,3,FALSE)</f>
        <v>NEWELL</v>
      </c>
      <c r="M90" s="6">
        <f t="shared" si="45"/>
        <v>2.9259259259561077E-2</v>
      </c>
      <c r="N90" s="7">
        <f>24*60*SUM($M90:$M90)</f>
        <v>42.133333333767951</v>
      </c>
      <c r="O90" s="7"/>
      <c r="P90" s="7"/>
      <c r="Q90" s="26"/>
      <c r="R90" s="26" t="s">
        <v>668</v>
      </c>
      <c r="S90" s="38">
        <f t="shared" si="46"/>
        <v>1</v>
      </c>
      <c r="T90" s="55" t="str">
        <f t="shared" si="47"/>
        <v>Southbound</v>
      </c>
      <c r="U90" s="13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13:05:52-0600',mode:absolute,to:'2016-08-11 15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90" s="57" t="str">
        <f t="shared" si="49"/>
        <v>Y</v>
      </c>
      <c r="X90" s="133">
        <f t="shared" ref="X90:X153" si="60">VALUE(LEFT(AD90,4))-VALUE(LEFT(AD89,4))</f>
        <v>1</v>
      </c>
      <c r="Y90" s="72">
        <f t="shared" si="50"/>
        <v>15.7494</v>
      </c>
      <c r="Z90" s="72">
        <f t="shared" si="51"/>
        <v>3.6499999999999998E-2</v>
      </c>
      <c r="AA90" s="72">
        <f t="shared" si="52"/>
        <v>15.712899999999999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53"/>
        <v>0178-11</v>
      </c>
      <c r="AE90" s="108" t="str">
        <f t="shared" si="58"/>
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</c>
      <c r="AF90" s="105" t="str">
        <f t="shared" si="59"/>
        <v>"C:\Program Files (x86)\AstroGrep\AstroGrep.exe" /spath="%USERPROFILE%\AppData\Local\Temp\OnboardLogs" /stypes="*4032*20160811*" /stext=" 20:.+((SYSTEM_STATE.+slice.+state.+changed )|(ment ac)|(system.+state.+changed )|(\|lc)|(penalty)|(\[timeout)|(PRM\|1\|D)|(kpr)|(kdp))" /e /r /s</v>
      </c>
      <c r="AG90" s="1" t="str">
        <f t="shared" si="54"/>
        <v>EC</v>
      </c>
      <c r="AH90" s="109" t="str">
        <f t="shared" si="55"/>
        <v>"%USERPROFILE%\Documents\GitHub\eaglep3\Utilities\RefineRTDCRunTimes.py" --tripid 178-11 --locoid 4032 --swversion DE.1.0.7.0 --startMP 204:157494 --initTime 2016-08-11T14:05:52 --startdatetime 2016-08-11T14:07:47 --delay 1 --endMP 204:365 --enddatetime 2016-08-11T14:49:55 --enforcementcount 0</v>
      </c>
    </row>
    <row r="91" spans="1:34" x14ac:dyDescent="0.25">
      <c r="A91" s="42" t="s">
        <v>401</v>
      </c>
      <c r="B91" s="7">
        <v>4016</v>
      </c>
      <c r="C91" s="25" t="s">
        <v>130</v>
      </c>
      <c r="D91" s="25" t="s">
        <v>120</v>
      </c>
      <c r="E91" s="16">
        <v>42593.56322916667</v>
      </c>
      <c r="F91" s="16">
        <v>42593.564259259256</v>
      </c>
      <c r="G91" s="7">
        <v>1</v>
      </c>
      <c r="H91" s="16" t="s">
        <v>402</v>
      </c>
      <c r="I91" s="16">
        <v>42593.591793981483</v>
      </c>
      <c r="J91" s="7">
        <v>0</v>
      </c>
      <c r="K91" s="149" t="str">
        <f t="shared" si="44"/>
        <v>4015/4016</v>
      </c>
      <c r="L91" s="25" t="str">
        <f>VLOOKUP(A91,'Trips&amp;Operators'!$C$1:$E$10000,3,FALSE)</f>
        <v>MOSES</v>
      </c>
      <c r="M91" s="6">
        <f t="shared" si="45"/>
        <v>2.7534722226846498E-2</v>
      </c>
      <c r="N91" s="7">
        <f>24*60*SUM($M91:$M91)</f>
        <v>39.650000006658956</v>
      </c>
      <c r="O91" s="7"/>
      <c r="P91" s="7"/>
      <c r="Q91" s="26"/>
      <c r="R91" s="26" t="s">
        <v>668</v>
      </c>
      <c r="S91" s="38">
        <f t="shared" si="46"/>
        <v>1</v>
      </c>
      <c r="T91" s="55" t="str">
        <f t="shared" si="47"/>
        <v>NorthBound</v>
      </c>
      <c r="U91" s="13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12:31:03-0600',mode:absolute,to:'2016-08-11 15:12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91" s="57" t="str">
        <f t="shared" si="49"/>
        <v>Y</v>
      </c>
      <c r="X91" s="133">
        <f t="shared" si="60"/>
        <v>1</v>
      </c>
      <c r="Y91" s="72">
        <f t="shared" si="50"/>
        <v>4.6399999999999997E-2</v>
      </c>
      <c r="Z91" s="72">
        <f t="shared" si="51"/>
        <v>15.767300000000001</v>
      </c>
      <c r="AA91" s="72">
        <f t="shared" si="52"/>
        <v>15.7209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53"/>
        <v>0179-11</v>
      </c>
      <c r="AE91" s="108" t="str">
        <f t="shared" si="58"/>
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</c>
      <c r="AF91" s="105" t="str">
        <f t="shared" si="59"/>
        <v>"C:\Program Files (x86)\AstroGrep\AstroGrep.exe" /spath="%USERPROFILE%\AppData\Local\Temp\OnboardLogs" /stypes="*4016*20160811*" /stext=" 20:.+((SYSTEM_STATE.+slice.+state.+changed )|(ment ac)|(system.+state.+changed )|(\|lc)|(penalty)|(\[timeout)|(PRM\|1\|D)|(kpr)|(kdp))" /e /r /s</v>
      </c>
      <c r="AG91" s="1" t="str">
        <f t="shared" si="54"/>
        <v>EC</v>
      </c>
      <c r="AH91" s="109" t="str">
        <f t="shared" si="55"/>
        <v>"%USERPROFILE%\Documents\GitHub\eaglep3\Utilities\RefineRTDCRunTimes.py" --tripid 179-11 --locoid 4016 --swversion DE.1.0.7.0 --startMP 204:464 --initTime 2016-08-11T13:31:03 --startdatetime 2016-08-11T13:32:32 --delay 1 --endMP 204:157673 --enddatetime 2016-08-11T14:12:11 --enforcementcount 0</v>
      </c>
    </row>
    <row r="92" spans="1:34" x14ac:dyDescent="0.25">
      <c r="A92" s="42" t="s">
        <v>403</v>
      </c>
      <c r="B92" s="7">
        <v>4015</v>
      </c>
      <c r="C92" s="25" t="s">
        <v>130</v>
      </c>
      <c r="D92" s="25" t="s">
        <v>404</v>
      </c>
      <c r="E92" s="16">
        <v>42593.593888888892</v>
      </c>
      <c r="F92" s="16">
        <v>42593.59611111111</v>
      </c>
      <c r="G92" s="7">
        <v>3</v>
      </c>
      <c r="H92" s="16" t="s">
        <v>94</v>
      </c>
      <c r="I92" s="16">
        <v>42593.629201388889</v>
      </c>
      <c r="J92" s="7">
        <v>0</v>
      </c>
      <c r="K92" s="149" t="str">
        <f t="shared" si="44"/>
        <v>4015/4016</v>
      </c>
      <c r="L92" s="25" t="str">
        <f>VLOOKUP(A92,'Trips&amp;Operators'!$C$1:$E$10000,3,FALSE)</f>
        <v>MOSES</v>
      </c>
      <c r="M92" s="6">
        <f t="shared" si="45"/>
        <v>3.309027777868323E-2</v>
      </c>
      <c r="N92" s="7">
        <f>24*60*SUM($M92:$M92)</f>
        <v>47.650000001303852</v>
      </c>
      <c r="O92" s="7"/>
      <c r="P92" s="7"/>
      <c r="Q92" s="26"/>
      <c r="R92" s="26" t="s">
        <v>668</v>
      </c>
      <c r="S92" s="38">
        <f t="shared" si="46"/>
        <v>1</v>
      </c>
      <c r="T92" s="55" t="str">
        <f t="shared" si="47"/>
        <v>Southbound</v>
      </c>
      <c r="U92" s="13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13:15:12-0600',mode:absolute,to:'2016-08-11 16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92" s="57" t="str">
        <f t="shared" si="49"/>
        <v>Y</v>
      </c>
      <c r="X92" s="133">
        <f t="shared" si="60"/>
        <v>1</v>
      </c>
      <c r="Y92" s="72">
        <f t="shared" si="50"/>
        <v>15.7446</v>
      </c>
      <c r="Z92" s="72">
        <f t="shared" si="51"/>
        <v>1.43E-2</v>
      </c>
      <c r="AA92" s="72">
        <f t="shared" si="52"/>
        <v>15.7303</v>
      </c>
      <c r="AB92" s="69" t="e">
        <f>VLOOKUP(A92,Enforcements!$C$7:$J$24,8,0)</f>
        <v>#N/A</v>
      </c>
      <c r="AC92" s="65" t="e">
        <f>VLOOKUP(A92,Enforcements!$C$7:$E$24,3,0)</f>
        <v>#N/A</v>
      </c>
      <c r="AD92" s="66" t="str">
        <f t="shared" si="53"/>
        <v>0180-11</v>
      </c>
      <c r="AE92" s="108" t="str">
        <f t="shared" si="58"/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AF92" s="105" t="str">
        <f t="shared" si="59"/>
        <v>"C:\Program Files (x86)\AstroGrep\AstroGrep.exe" /spath="%USERPROFILE%\AppData\Local\Temp\OnboardLogs" /stypes="*4015*20160811*" /stext=" 21:.+((SYSTEM_STATE.+slice.+state.+changed )|(ment ac)|(system.+state.+changed )|(\|lc)|(penalty)|(\[timeout)|(PRM\|1\|D)|(kpr)|(kdp))" /e /r /s</v>
      </c>
      <c r="AG92" s="1" t="str">
        <f t="shared" si="54"/>
        <v>EC</v>
      </c>
      <c r="AH92" s="109" t="str">
        <f t="shared" si="55"/>
        <v>"%USERPROFILE%\Documents\GitHub\eaglep3\Utilities\RefineRTDCRunTimes.py" --tripid 180-11 --locoid 4015 --swversion DE.1.0.7.0 --startMP 204:157446 --initTime 2016-08-11T14:15:12 --startdatetime 2016-08-11T14:18:24 --delay 3 --endMP 204:143 --enddatetime 2016-08-11T15:06:03 --enforcementcount 0</v>
      </c>
    </row>
    <row r="93" spans="1:34" s="24" customFormat="1" x14ac:dyDescent="0.25">
      <c r="A93" s="42" t="s">
        <v>646</v>
      </c>
      <c r="B93" s="7"/>
      <c r="C93" s="25"/>
      <c r="D93" s="25"/>
      <c r="E93" s="16"/>
      <c r="F93" s="16"/>
      <c r="G93" s="7"/>
      <c r="H93" s="16"/>
      <c r="I93" s="16"/>
      <c r="J93" s="7"/>
      <c r="K93" s="149"/>
      <c r="L93" s="25"/>
      <c r="M93" s="6"/>
      <c r="N93" s="7"/>
      <c r="O93" s="7"/>
      <c r="P93" s="7">
        <v>1</v>
      </c>
      <c r="Q93" s="26"/>
      <c r="R93" s="26" t="s">
        <v>230</v>
      </c>
      <c r="S93" s="38"/>
      <c r="T93" s="55" t="str">
        <f t="shared" si="47"/>
        <v>NorthBound</v>
      </c>
      <c r="U93" s="139"/>
      <c r="V93" s="115"/>
      <c r="W93" s="57"/>
      <c r="X93" s="133">
        <f t="shared" si="60"/>
        <v>1</v>
      </c>
      <c r="Y93" s="72"/>
      <c r="Z93" s="72"/>
      <c r="AA93" s="72"/>
      <c r="AB93" s="69"/>
      <c r="AC93" s="65"/>
      <c r="AD93" s="66" t="str">
        <f t="shared" si="53"/>
        <v>0181-11</v>
      </c>
      <c r="AE93" s="108"/>
      <c r="AF93" s="105"/>
      <c r="AG93" s="1" t="str">
        <f t="shared" si="54"/>
        <v>EC</v>
      </c>
      <c r="AH93" s="109"/>
    </row>
    <row r="94" spans="1:34" s="24" customFormat="1" x14ac:dyDescent="0.25">
      <c r="A94" s="42" t="s">
        <v>628</v>
      </c>
      <c r="B94" s="7"/>
      <c r="C94" s="25"/>
      <c r="D94" s="25"/>
      <c r="E94" s="16"/>
      <c r="F94" s="16"/>
      <c r="G94" s="7"/>
      <c r="H94" s="16"/>
      <c r="I94" s="16"/>
      <c r="J94" s="7"/>
      <c r="K94" s="149"/>
      <c r="L94" s="25"/>
      <c r="M94" s="6"/>
      <c r="N94" s="7"/>
      <c r="O94" s="7"/>
      <c r="P94" s="7">
        <v>1</v>
      </c>
      <c r="Q94" s="26"/>
      <c r="R94" s="26" t="s">
        <v>230</v>
      </c>
      <c r="S94" s="38"/>
      <c r="T94" s="55" t="str">
        <f t="shared" si="47"/>
        <v>Southbound</v>
      </c>
      <c r="U94" s="139"/>
      <c r="V94" s="115"/>
      <c r="W94" s="57"/>
      <c r="X94" s="133">
        <f t="shared" si="60"/>
        <v>1</v>
      </c>
      <c r="Y94" s="72"/>
      <c r="Z94" s="72"/>
      <c r="AA94" s="72"/>
      <c r="AB94" s="69"/>
      <c r="AC94" s="65"/>
      <c r="AD94" s="66" t="str">
        <f t="shared" si="53"/>
        <v>0182-11</v>
      </c>
      <c r="AE94" s="108"/>
      <c r="AF94" s="105"/>
      <c r="AG94" s="1" t="str">
        <f t="shared" si="54"/>
        <v>EC</v>
      </c>
      <c r="AH94" s="109"/>
    </row>
    <row r="95" spans="1:34" x14ac:dyDescent="0.25">
      <c r="A95" s="42" t="s">
        <v>405</v>
      </c>
      <c r="B95" s="7">
        <v>4014</v>
      </c>
      <c r="C95" s="25" t="s">
        <v>130</v>
      </c>
      <c r="D95" s="25" t="s">
        <v>147</v>
      </c>
      <c r="E95" s="16">
        <v>42593.581793981481</v>
      </c>
      <c r="F95" s="16">
        <v>42593.583449074074</v>
      </c>
      <c r="G95" s="7">
        <v>2</v>
      </c>
      <c r="H95" s="16" t="s">
        <v>406</v>
      </c>
      <c r="I95" s="16">
        <v>42593.605416666665</v>
      </c>
      <c r="J95" s="7">
        <v>0</v>
      </c>
      <c r="K95" s="149" t="str">
        <f t="shared" si="44"/>
        <v>4013/4014</v>
      </c>
      <c r="L95" s="25" t="str">
        <f>VLOOKUP(A95,'Trips&amp;Operators'!$C$1:$E$10000,3,FALSE)</f>
        <v>SWANSON</v>
      </c>
      <c r="M95" s="6">
        <f t="shared" si="45"/>
        <v>2.1967592590954155E-2</v>
      </c>
      <c r="N95" s="7">
        <f>24*60*SUM($M95:$M95)</f>
        <v>31.633333330973983</v>
      </c>
      <c r="O95" s="7"/>
      <c r="P95" s="7"/>
      <c r="Q95" s="26"/>
      <c r="R95" s="26" t="s">
        <v>668</v>
      </c>
      <c r="S95" s="38">
        <f t="shared" si="46"/>
        <v>1</v>
      </c>
      <c r="T95" s="55" t="str">
        <f t="shared" si="47"/>
        <v>NorthBound</v>
      </c>
      <c r="U95" s="13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12:57:47-0600',mode:absolute,to:'2016-08-11 15:31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95" s="57" t="str">
        <f t="shared" si="49"/>
        <v>Y</v>
      </c>
      <c r="X95" s="133">
        <f t="shared" si="60"/>
        <v>1</v>
      </c>
      <c r="Y95" s="72">
        <f t="shared" si="50"/>
        <v>4.5499999999999999E-2</v>
      </c>
      <c r="Z95" s="72">
        <f t="shared" si="51"/>
        <v>15.4415</v>
      </c>
      <c r="AA95" s="72">
        <f t="shared" si="52"/>
        <v>15.395999999999999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53"/>
        <v>0183-11</v>
      </c>
      <c r="AE95" s="108" t="str">
        <f>"aws s3 cp "&amp;s3_bucket&amp;"/RTDC"&amp;B95&amp;"/"&amp;TEXT(F95,"YYYY-MM-DD")&amp;"/ "&amp;search_path&amp;"\RTDC"&amp;B95&amp;"\"&amp;TEXT(F95,"YYYY-MM-DD")&amp;" --recursive &amp; """&amp;walkandungz&amp;""" "&amp;search_path&amp;"\RTDC"&amp;B95&amp;"\"&amp;TEXT(F95,"YYYY-MM-DD")
&amp;" &amp; "&amp;"aws s3 cp "&amp;s3_bucket&amp;"/RTDC"&amp;B95&amp;"/"&amp;TEXT(F95+1,"YYYY-MM-DD")&amp;"/ "&amp;search_path&amp;"\RTDC"&amp;B95&amp;"\"&amp;TEXT(F95+1,"YYYY-MM-DD")&amp;" --recursive &amp; """&amp;walkandungz&amp;""" "&amp;search_path&amp;"\RTDC"&amp;B95&amp;"\"&amp;TEXT(F95+1,"YYYY-MM-DD")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95" s="105" t="str">
        <f>astrogrep_path&amp;" /spath="&amp;search_path&amp;" /stypes=""*"&amp;B95&amp;"*"&amp;TEXT(I95-utc_offset/24,"YYYYMMDD")&amp;"*"" /stext="" "&amp;TEXT(I95-utc_offset/24,"HH")&amp;search_regexp&amp;""" /e /r /s"</f>
        <v>"C:\Program Files (x86)\AstroGrep\AstroGrep.exe" /spath="%USERPROFILE%\AppData\Local\Temp\OnboardLogs" /stypes="*4014*20160811*" /stext=" 20:.+((SYSTEM_STATE.+slice.+state.+changed )|(ment ac)|(system.+state.+changed )|(\|lc)|(penalty)|(\[timeout)|(PRM\|1\|D)|(kpr)|(kdp))" /e /r /s</v>
      </c>
      <c r="AG95" s="1" t="str">
        <f t="shared" si="54"/>
        <v>EC</v>
      </c>
      <c r="AH95" s="109" t="str">
        <f t="shared" si="55"/>
        <v>"%USERPROFILE%\Documents\GitHub\eaglep3\Utilities\RefineRTDCRunTimes.py" --tripid 183-11 --locoid 4014 --swversion DE.1.0.7.0 --startMP 204:455 --initTime 2016-08-11T13:57:47 --startdatetime 2016-08-11T14:00:10 --delay 2 --endMP 204:154415 --enddatetime 2016-08-11T14:31:48 --enforcementcount 0</v>
      </c>
    </row>
    <row r="96" spans="1:34" x14ac:dyDescent="0.25">
      <c r="A96" s="42" t="s">
        <v>407</v>
      </c>
      <c r="B96" s="7">
        <v>4037</v>
      </c>
      <c r="C96" s="25" t="s">
        <v>130</v>
      </c>
      <c r="D96" s="25" t="s">
        <v>408</v>
      </c>
      <c r="E96" s="16">
        <v>42593.628564814811</v>
      </c>
      <c r="F96" s="16">
        <v>42593.630266203705</v>
      </c>
      <c r="G96" s="7">
        <v>2</v>
      </c>
      <c r="H96" s="16" t="s">
        <v>204</v>
      </c>
      <c r="I96" s="16">
        <v>42593.65415509259</v>
      </c>
      <c r="J96" s="7">
        <v>0</v>
      </c>
      <c r="K96" s="149" t="str">
        <f t="shared" si="44"/>
        <v>4037/4038</v>
      </c>
      <c r="L96" s="25" t="str">
        <f>VLOOKUP(A96,'Trips&amp;Operators'!$C$1:$E$10000,3,FALSE)</f>
        <v>YOUNG</v>
      </c>
      <c r="M96" s="6">
        <f t="shared" si="45"/>
        <v>2.3888888885267079E-2</v>
      </c>
      <c r="N96" s="7">
        <f>24*60*SUM($M96:$M96)</f>
        <v>34.399999994784594</v>
      </c>
      <c r="O96" s="7"/>
      <c r="P96" s="7"/>
      <c r="Q96" s="26"/>
      <c r="R96" s="26" t="s">
        <v>668</v>
      </c>
      <c r="S96" s="38">
        <f t="shared" si="46"/>
        <v>1</v>
      </c>
      <c r="T96" s="55" t="str">
        <f t="shared" si="47"/>
        <v>Southbound</v>
      </c>
      <c r="U96" s="13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14:05:08-0600',mode:absolute,to:'2016-08-11 16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96" s="57" t="str">
        <f t="shared" si="49"/>
        <v>Y</v>
      </c>
      <c r="X96" s="133">
        <f t="shared" si="60"/>
        <v>1</v>
      </c>
      <c r="Y96" s="72">
        <f t="shared" si="50"/>
        <v>15.743499999999999</v>
      </c>
      <c r="Z96" s="72">
        <f t="shared" si="51"/>
        <v>1.3899999999999999E-2</v>
      </c>
      <c r="AA96" s="72">
        <f t="shared" si="52"/>
        <v>15.7296</v>
      </c>
      <c r="AB96" s="69" t="e">
        <f>VLOOKUP(A96,Enforcements!$C$7:$J$24,8,0)</f>
        <v>#N/A</v>
      </c>
      <c r="AC96" s="65" t="e">
        <f>VLOOKUP(A96,Enforcements!$C$7:$E$24,3,0)</f>
        <v>#N/A</v>
      </c>
      <c r="AD96" s="66" t="str">
        <f t="shared" si="53"/>
        <v>0184-11</v>
      </c>
      <c r="AE96" s="108" t="str">
        <f>"aws s3 cp "&amp;s3_bucket&amp;"/RTDC"&amp;B96&amp;"/"&amp;TEXT(F96,"YYYY-MM-DD")&amp;"/ "&amp;search_path&amp;"\RTDC"&amp;B96&amp;"\"&amp;TEXT(F96,"YYYY-MM-DD")&amp;" --recursive &amp; """&amp;walkandungz&amp;""" "&amp;search_path&amp;"\RTDC"&amp;B96&amp;"\"&amp;TEXT(F96,"YYYY-MM-DD")
&amp;" &amp; "&amp;"aws s3 cp "&amp;s3_bucket&amp;"/RTDC"&amp;B96&amp;"/"&amp;TEXT(F96+1,"YYYY-MM-DD")&amp;"/ "&amp;search_path&amp;"\RTDC"&amp;B96&amp;"\"&amp;TEXT(F96+1,"YYYY-MM-DD")&amp;" --recursive &amp; """&amp;walkandungz&amp;""" "&amp;search_path&amp;"\RTDC"&amp;B96&amp;"\"&amp;TEXT(F96+1,"YYYY-MM-DD")</f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AF96" s="105" t="str">
        <f>astrogrep_path&amp;" /spath="&amp;search_path&amp;" /stypes=""*"&amp;B96&amp;"*"&amp;TEXT(I96-utc_offset/24,"YYYYMMDD")&amp;"*"" /stext="" "&amp;TEXT(I96-utc_offset/24,"HH")&amp;search_regexp&amp;""" /e /r /s"</f>
        <v>"C:\Program Files (x86)\AstroGrep\AstroGrep.exe" /spath="%USERPROFILE%\AppData\Local\Temp\OnboardLogs" /stypes="*4037*20160811*" /stext=" 21:.+((SYSTEM_STATE.+slice.+state.+changed )|(ment ac)|(system.+state.+changed )|(\|lc)|(penalty)|(\[timeout)|(PRM\|1\|D)|(kpr)|(kdp))" /e /r /s</v>
      </c>
      <c r="AG96" s="1" t="str">
        <f t="shared" si="54"/>
        <v>EC</v>
      </c>
      <c r="AH96" s="109" t="str">
        <f t="shared" si="55"/>
        <v>"%USERPROFILE%\Documents\GitHub\eaglep3\Utilities\RefineRTDCRunTimes.py" --tripid 184-11 --locoid 4037 --swversion DE.1.0.7.0 --startMP 204:157435 --initTime 2016-08-11T15:05:08 --startdatetime 2016-08-11T15:07:35 --delay 2 --endMP 204:139 --enddatetime 2016-08-11T15:41:59 --enforcementcount 0</v>
      </c>
    </row>
    <row r="97" spans="1:34" s="24" customFormat="1" x14ac:dyDescent="0.25">
      <c r="A97" s="42" t="s">
        <v>647</v>
      </c>
      <c r="B97" s="7"/>
      <c r="C97" s="25"/>
      <c r="D97" s="25"/>
      <c r="E97" s="16"/>
      <c r="F97" s="16"/>
      <c r="G97" s="7"/>
      <c r="H97" s="16"/>
      <c r="I97" s="16"/>
      <c r="J97" s="7"/>
      <c r="K97" s="149"/>
      <c r="L97" s="25"/>
      <c r="M97" s="6"/>
      <c r="N97" s="7"/>
      <c r="O97" s="7"/>
      <c r="P97" s="7">
        <v>1</v>
      </c>
      <c r="Q97" s="26"/>
      <c r="R97" s="26" t="s">
        <v>230</v>
      </c>
      <c r="S97" s="38"/>
      <c r="T97" s="55" t="str">
        <f t="shared" si="47"/>
        <v>NorthBound</v>
      </c>
      <c r="U97" s="139"/>
      <c r="V97" s="115"/>
      <c r="W97" s="57"/>
      <c r="X97" s="133">
        <f t="shared" si="60"/>
        <v>1</v>
      </c>
      <c r="Y97" s="72"/>
      <c r="Z97" s="72"/>
      <c r="AA97" s="72"/>
      <c r="AB97" s="69"/>
      <c r="AC97" s="65"/>
      <c r="AD97" s="66" t="str">
        <f t="shared" si="53"/>
        <v>0185-11</v>
      </c>
      <c r="AE97" s="108"/>
      <c r="AF97" s="105"/>
      <c r="AG97" s="1" t="str">
        <f t="shared" si="54"/>
        <v>EC</v>
      </c>
      <c r="AH97" s="109"/>
    </row>
    <row r="98" spans="1:34" x14ac:dyDescent="0.25">
      <c r="A98" s="42" t="s">
        <v>409</v>
      </c>
      <c r="B98" s="7">
        <v>4026</v>
      </c>
      <c r="C98" s="25" t="s">
        <v>130</v>
      </c>
      <c r="D98" s="25" t="s">
        <v>410</v>
      </c>
      <c r="E98" s="16">
        <v>42593.64234953704</v>
      </c>
      <c r="F98" s="16">
        <v>42593.643888888888</v>
      </c>
      <c r="G98" s="7">
        <v>2</v>
      </c>
      <c r="H98" s="16" t="s">
        <v>165</v>
      </c>
      <c r="I98" s="16">
        <v>42593.665092592593</v>
      </c>
      <c r="J98" s="7">
        <v>1</v>
      </c>
      <c r="K98" s="149" t="str">
        <f t="shared" si="44"/>
        <v>4025/4026</v>
      </c>
      <c r="L98" s="25" t="str">
        <f>VLOOKUP(A98,'Trips&amp;Operators'!$C$1:$E$10000,3,FALSE)</f>
        <v>SHOOK</v>
      </c>
      <c r="M98" s="6">
        <f t="shared" si="45"/>
        <v>2.1203703705396038E-2</v>
      </c>
      <c r="N98" s="7">
        <f>24*60*SUM($M98:$M98)</f>
        <v>30.533333335770294</v>
      </c>
      <c r="O98" s="7"/>
      <c r="P98" s="7"/>
      <c r="Q98" s="26"/>
      <c r="R98" s="26" t="s">
        <v>668</v>
      </c>
      <c r="S98" s="38">
        <f t="shared" si="46"/>
        <v>1</v>
      </c>
      <c r="T98" s="55" t="str">
        <f t="shared" si="47"/>
        <v>Southbound</v>
      </c>
      <c r="U98" s="13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14:24:59-0600',mode:absolute,to:'2016-08-11 16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98" s="57" t="str">
        <f t="shared" si="49"/>
        <v>Y</v>
      </c>
      <c r="X98" s="133">
        <f t="shared" si="60"/>
        <v>1</v>
      </c>
      <c r="Y98" s="72">
        <f t="shared" si="50"/>
        <v>15.3994</v>
      </c>
      <c r="Z98" s="72">
        <f t="shared" si="51"/>
        <v>1.32E-2</v>
      </c>
      <c r="AA98" s="72">
        <f t="shared" si="52"/>
        <v>15.386200000000001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53"/>
        <v>0186-11</v>
      </c>
      <c r="AE98" s="108" t="str">
        <f t="shared" ref="AE98:AE105" si="61">"aws s3 cp "&amp;s3_bucket&amp;"/RTDC"&amp;B98&amp;"/"&amp;TEXT(F98,"YYYY-MM-DD")&amp;"/ "&amp;search_path&amp;"\RTDC"&amp;B98&amp;"\"&amp;TEXT(F98,"YYYY-MM-DD")&amp;" --recursive &amp; """&amp;walkandungz&amp;""" "&amp;search_path&amp;"\RTDC"&amp;B98&amp;"\"&amp;TEXT(F98,"YYYY-MM-DD")
&amp;" &amp; "&amp;"aws s3 cp "&amp;s3_bucket&amp;"/RTDC"&amp;B98&amp;"/"&amp;TEXT(F98+1,"YYYY-MM-DD")&amp;"/ "&amp;search_path&amp;"\RTDC"&amp;B98&amp;"\"&amp;TEXT(F98+1,"YYYY-MM-DD")&amp;" --recursive &amp; """&amp;walkandungz&amp;""" "&amp;search_path&amp;"\RTDC"&amp;B98&amp;"\"&amp;TEXT(F98+1,"YYYY-MM-DD")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AF98" s="105" t="str">
        <f t="shared" ref="AF98:AF105" si="62">astrogrep_path&amp;" /spath="&amp;search_path&amp;" /stypes=""*"&amp;B98&amp;"*"&amp;TEXT(I98-utc_offset/24,"YYYYMMDD")&amp;"*"" /stext="" "&amp;TEXT(I98-utc_offset/24,"HH")&amp;search_regexp&amp;""" /e /r /s"</f>
        <v>"C:\Program Files (x86)\AstroGrep\AstroGrep.exe" /spath="%USERPROFILE%\AppData\Local\Temp\OnboardLogs" /stypes="*4026*20160811*" /stext=" 21:.+((SYSTEM_STATE.+slice.+state.+changed )|(ment ac)|(system.+state.+changed )|(\|lc)|(penalty)|(\[timeout)|(PRM\|1\|D)|(kpr)|(kdp))" /e /r /s</v>
      </c>
      <c r="AG98" s="1" t="str">
        <f t="shared" si="54"/>
        <v>EC</v>
      </c>
      <c r="AH98" s="109" t="str">
        <f t="shared" si="55"/>
        <v>"%USERPROFILE%\Documents\GitHub\eaglep3\Utilities\RefineRTDCRunTimes.py" --tripid 186-11 --locoid 4026 --swversion DE.1.0.7.0 --startMP 204:153994 --initTime 2016-08-11T15:24:59 --startdatetime 2016-08-11T15:27:12 --delay 2 --endMP 204:132 --enddatetime 2016-08-11T15:57:44 --enforcementcount 1</v>
      </c>
    </row>
    <row r="99" spans="1:34" x14ac:dyDescent="0.25">
      <c r="A99" s="42" t="s">
        <v>411</v>
      </c>
      <c r="B99" s="7">
        <v>4038</v>
      </c>
      <c r="C99" s="25" t="s">
        <v>130</v>
      </c>
      <c r="D99" s="25" t="s">
        <v>164</v>
      </c>
      <c r="E99" s="16">
        <v>42593.600092592591</v>
      </c>
      <c r="F99" s="16">
        <v>42593.601261574076</v>
      </c>
      <c r="G99" s="7">
        <v>1</v>
      </c>
      <c r="H99" s="16" t="s">
        <v>412</v>
      </c>
      <c r="I99" s="16">
        <v>42593.6246875</v>
      </c>
      <c r="J99" s="7">
        <v>0</v>
      </c>
      <c r="K99" s="149" t="str">
        <f t="shared" si="44"/>
        <v>4037/4038</v>
      </c>
      <c r="L99" s="25" t="str">
        <f>VLOOKUP(A99,'Trips&amp;Operators'!$C$1:$E$10000,3,FALSE)</f>
        <v>YOUNG</v>
      </c>
      <c r="M99" s="6">
        <f t="shared" si="45"/>
        <v>2.3425925923220348E-2</v>
      </c>
      <c r="N99" s="7">
        <f>24*60*SUM($M99:$M99)</f>
        <v>33.733333329437301</v>
      </c>
      <c r="O99" s="7"/>
      <c r="P99" s="7"/>
      <c r="Q99" s="26"/>
      <c r="R99" s="26" t="s">
        <v>668</v>
      </c>
      <c r="S99" s="38">
        <f t="shared" si="46"/>
        <v>1</v>
      </c>
      <c r="T99" s="55" t="str">
        <f t="shared" si="47"/>
        <v>NorthBound</v>
      </c>
      <c r="U99" s="13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13:24:08-0600',mode:absolute,to:'2016-08-11 15:59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99" s="57" t="str">
        <f t="shared" si="49"/>
        <v>Y</v>
      </c>
      <c r="X99" s="133">
        <f t="shared" si="60"/>
        <v>1</v>
      </c>
      <c r="Y99" s="72">
        <f t="shared" si="50"/>
        <v>4.4900000000000002E-2</v>
      </c>
      <c r="Z99" s="72">
        <f t="shared" si="51"/>
        <v>15.4435</v>
      </c>
      <c r="AA99" s="72">
        <f t="shared" si="52"/>
        <v>15.3986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53"/>
        <v>0187-11</v>
      </c>
      <c r="AE99" s="108" t="str">
        <f t="shared" si="61"/>
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</c>
      <c r="AF99" s="105" t="str">
        <f t="shared" si="62"/>
        <v>"C:\Program Files (x86)\AstroGrep\AstroGrep.exe" /spath="%USERPROFILE%\AppData\Local\Temp\OnboardLogs" /stypes="*4038*20160811*" /stext=" 20:.+((SYSTEM_STATE.+slice.+state.+changed )|(ment ac)|(system.+state.+changed )|(\|lc)|(penalty)|(\[timeout)|(PRM\|1\|D)|(kpr)|(kdp))" /e /r /s</v>
      </c>
      <c r="AG99" s="1" t="str">
        <f t="shared" si="54"/>
        <v>EC</v>
      </c>
      <c r="AH99" s="109" t="str">
        <f t="shared" si="55"/>
        <v>"%USERPROFILE%\Documents\GitHub\eaglep3\Utilities\RefineRTDCRunTimes.py" --tripid 187-11 --locoid 4038 --swversion DE.1.0.7.0 --startMP 204:449 --initTime 2016-08-11T14:24:08 --startdatetime 2016-08-11T14:25:49 --delay 1 --endMP 204:154435 --enddatetime 2016-08-11T14:59:33 --enforcementcount 0</v>
      </c>
    </row>
    <row r="100" spans="1:34" x14ac:dyDescent="0.25">
      <c r="A100" s="42" t="s">
        <v>413</v>
      </c>
      <c r="B100" s="7">
        <v>4032</v>
      </c>
      <c r="C100" s="25" t="s">
        <v>130</v>
      </c>
      <c r="D100" s="25" t="s">
        <v>414</v>
      </c>
      <c r="E100" s="16">
        <v>42593.649976851855</v>
      </c>
      <c r="F100" s="16">
        <v>42593.651041666664</v>
      </c>
      <c r="G100" s="7">
        <v>1</v>
      </c>
      <c r="H100" s="16" t="s">
        <v>415</v>
      </c>
      <c r="I100" s="16">
        <v>42593.671863425923</v>
      </c>
      <c r="J100" s="7">
        <v>0</v>
      </c>
      <c r="K100" s="149" t="str">
        <f t="shared" si="44"/>
        <v>4031/4032</v>
      </c>
      <c r="L100" s="25" t="str">
        <f>VLOOKUP(A100,'Trips&amp;Operators'!$C$1:$E$10000,3,FALSE)</f>
        <v>NEWELL</v>
      </c>
      <c r="M100" s="6">
        <f t="shared" si="45"/>
        <v>2.0821759258979E-2</v>
      </c>
      <c r="N100" s="7">
        <f>24*60*SUM($M100:$M100)</f>
        <v>29.98333333292976</v>
      </c>
      <c r="O100" s="7"/>
      <c r="P100" s="7"/>
      <c r="Q100" s="26"/>
      <c r="R100" s="26" t="s">
        <v>668</v>
      </c>
      <c r="S100" s="38">
        <f t="shared" si="46"/>
        <v>1</v>
      </c>
      <c r="T100" s="55" t="str">
        <f t="shared" si="47"/>
        <v>Southbound</v>
      </c>
      <c r="U100" s="13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14:35:58-0600',mode:absolute,to:'2016-08-11 17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00" s="57" t="str">
        <f t="shared" si="49"/>
        <v>Y</v>
      </c>
      <c r="X100" s="133">
        <f t="shared" si="60"/>
        <v>1</v>
      </c>
      <c r="Y100" s="72">
        <f t="shared" si="50"/>
        <v>15.4016</v>
      </c>
      <c r="Z100" s="72">
        <f t="shared" si="51"/>
        <v>3.56E-2</v>
      </c>
      <c r="AA100" s="72">
        <f t="shared" si="52"/>
        <v>15.366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53"/>
        <v>0188-11</v>
      </c>
      <c r="AE100" s="108" t="str">
        <f t="shared" si="61"/>
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</c>
      <c r="AF100" s="105" t="str">
        <f t="shared" si="62"/>
        <v>"C:\Program Files (x86)\AstroGrep\AstroGrep.exe" /spath="%USERPROFILE%\AppData\Local\Temp\OnboardLogs" /stypes="*4032*20160811*" /stext=" 22:.+((SYSTEM_STATE.+slice.+state.+changed )|(ment ac)|(system.+state.+changed )|(\|lc)|(penalty)|(\[timeout)|(PRM\|1\|D)|(kpr)|(kdp))" /e /r /s</v>
      </c>
      <c r="AG100" s="1" t="str">
        <f t="shared" si="54"/>
        <v>EC</v>
      </c>
      <c r="AH100" s="109" t="str">
        <f t="shared" si="55"/>
        <v>"%USERPROFILE%\Documents\GitHub\eaglep3\Utilities\RefineRTDCRunTimes.py" --tripid 188-11 --locoid 4032 --swversion DE.1.0.7.0 --startMP 204:154016 --initTime 2016-08-11T15:35:58 --startdatetime 2016-08-11T15:37:30 --delay 1 --endMP 204:356 --enddatetime 2016-08-11T16:07:29 --enforcementcount 0</v>
      </c>
    </row>
    <row r="101" spans="1:34" x14ac:dyDescent="0.25">
      <c r="A101" s="42" t="s">
        <v>416</v>
      </c>
      <c r="B101" s="7">
        <v>4025</v>
      </c>
      <c r="C101" s="25" t="s">
        <v>130</v>
      </c>
      <c r="D101" s="25" t="s">
        <v>146</v>
      </c>
      <c r="E101" s="16">
        <v>42593.611585648148</v>
      </c>
      <c r="F101" s="16">
        <v>42593.613020833334</v>
      </c>
      <c r="G101" s="7">
        <v>2</v>
      </c>
      <c r="H101" s="16" t="s">
        <v>417</v>
      </c>
      <c r="I101" s="16">
        <v>42593.637118055558</v>
      </c>
      <c r="J101" s="7">
        <v>2</v>
      </c>
      <c r="K101" s="149" t="str">
        <f t="shared" si="44"/>
        <v>4025/4026</v>
      </c>
      <c r="L101" s="25" t="str">
        <f>VLOOKUP(A101,'Trips&amp;Operators'!$C$1:$E$10000,3,FALSE)</f>
        <v>SHOOK</v>
      </c>
      <c r="M101" s="6">
        <f t="shared" si="45"/>
        <v>2.4097222223645076E-2</v>
      </c>
      <c r="N101" s="7">
        <f>24*60*SUM($M101:$M101)</f>
        <v>34.70000000204891</v>
      </c>
      <c r="O101" s="7"/>
      <c r="P101" s="7"/>
      <c r="Q101" s="26"/>
      <c r="R101" s="26" t="s">
        <v>668</v>
      </c>
      <c r="S101" s="38">
        <f t="shared" si="46"/>
        <v>1</v>
      </c>
      <c r="T101" s="55" t="str">
        <f t="shared" si="47"/>
        <v>NorthBound</v>
      </c>
      <c r="U101" s="13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13:40:41-0600',mode:absolute,to:'2016-08-11 16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01" s="57" t="str">
        <f t="shared" si="49"/>
        <v>Y</v>
      </c>
      <c r="X101" s="133">
        <f t="shared" si="60"/>
        <v>1</v>
      </c>
      <c r="Y101" s="72">
        <f t="shared" si="50"/>
        <v>4.4600000000000001E-2</v>
      </c>
      <c r="Z101" s="72">
        <f t="shared" si="51"/>
        <v>15.8324</v>
      </c>
      <c r="AA101" s="72">
        <f t="shared" si="52"/>
        <v>15.787799999999999</v>
      </c>
      <c r="AB101" s="69">
        <f>VLOOKUP(A101,Enforcements!$C$7:$J$24,8,0)</f>
        <v>75566</v>
      </c>
      <c r="AC101" s="65" t="str">
        <f>VLOOKUP(A101,Enforcements!$C$7:$E$24,3,0)</f>
        <v>SIGNAL</v>
      </c>
      <c r="AD101" s="66" t="str">
        <f t="shared" si="53"/>
        <v>0189-11</v>
      </c>
      <c r="AE101" s="108" t="str">
        <f t="shared" si="61"/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AF101" s="105" t="str">
        <f t="shared" si="62"/>
        <v>"C:\Program Files (x86)\AstroGrep\AstroGrep.exe" /spath="%USERPROFILE%\AppData\Local\Temp\OnboardLogs" /stypes="*4025*20160811*" /stext=" 21:.+((SYSTEM_STATE.+slice.+state.+changed )|(ment ac)|(system.+state.+changed )|(\|lc)|(penalty)|(\[timeout)|(PRM\|1\|D)|(kpr)|(kdp))" /e /r /s</v>
      </c>
      <c r="AG101" s="1" t="str">
        <f t="shared" si="54"/>
        <v>EC</v>
      </c>
      <c r="AH101" s="109" t="str">
        <f t="shared" si="55"/>
        <v>"%USERPROFILE%\Documents\GitHub\eaglep3\Utilities\RefineRTDCRunTimes.py" --tripid 189-11 --locoid 4025 --swversion DE.1.0.7.0 --startMP 204:446 --initTime 2016-08-11T14:40:41 --startdatetime 2016-08-11T14:42:45 --delay 2 --endMP 204:158324 --enddatetime 2016-08-11T15:17:27 --enforcementcount 2</v>
      </c>
    </row>
    <row r="102" spans="1:34" x14ac:dyDescent="0.25">
      <c r="A102" s="42" t="s">
        <v>418</v>
      </c>
      <c r="B102" s="7">
        <v>4015</v>
      </c>
      <c r="C102" s="25" t="s">
        <v>130</v>
      </c>
      <c r="D102" s="25" t="s">
        <v>419</v>
      </c>
      <c r="E102" s="16">
        <v>42593.661921296298</v>
      </c>
      <c r="F102" s="16">
        <v>42593.662916666668</v>
      </c>
      <c r="G102" s="7">
        <v>1</v>
      </c>
      <c r="H102" s="16" t="s">
        <v>166</v>
      </c>
      <c r="I102" s="16">
        <v>42593.684664351851</v>
      </c>
      <c r="J102" s="7">
        <v>0</v>
      </c>
      <c r="K102" s="149" t="str">
        <f t="shared" si="44"/>
        <v>4015/4016</v>
      </c>
      <c r="L102" s="25" t="str">
        <f>VLOOKUP(A102,'Trips&amp;Operators'!$C$1:$E$10000,3,FALSE)</f>
        <v>MOSES</v>
      </c>
      <c r="M102" s="6">
        <f t="shared" si="45"/>
        <v>2.1747685183072463E-2</v>
      </c>
      <c r="N102" s="7">
        <f>24*60*SUM($M102:$M102)</f>
        <v>31.316666663624346</v>
      </c>
      <c r="O102" s="7"/>
      <c r="P102" s="7"/>
      <c r="Q102" s="26"/>
      <c r="R102" s="26" t="s">
        <v>668</v>
      </c>
      <c r="S102" s="38">
        <f t="shared" si="46"/>
        <v>1</v>
      </c>
      <c r="T102" s="55" t="str">
        <f t="shared" si="47"/>
        <v>Southbound</v>
      </c>
      <c r="U102" s="13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14:53:10-0600',mode:absolute,to:'2016-08-11 17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02" s="57" t="str">
        <f t="shared" si="49"/>
        <v>Y</v>
      </c>
      <c r="X102" s="133">
        <f t="shared" si="60"/>
        <v>1</v>
      </c>
      <c r="Y102" s="72">
        <f t="shared" si="50"/>
        <v>15.4009</v>
      </c>
      <c r="Z102" s="72">
        <f t="shared" si="51"/>
        <v>1.49E-2</v>
      </c>
      <c r="AA102" s="72">
        <f t="shared" si="52"/>
        <v>15.385999999999999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53"/>
        <v>0190-11</v>
      </c>
      <c r="AE102" s="108" t="str">
        <f t="shared" si="61"/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AF102" s="105" t="str">
        <f t="shared" si="62"/>
        <v>"C:\Program Files (x86)\AstroGrep\AstroGrep.exe" /spath="%USERPROFILE%\AppData\Local\Temp\OnboardLogs" /stypes="*4015*20160811*" /stext=" 22:.+((SYSTEM_STATE.+slice.+state.+changed )|(ment ac)|(system.+state.+changed )|(\|lc)|(penalty)|(\[timeout)|(PRM\|1\|D)|(kpr)|(kdp))" /e /r /s</v>
      </c>
      <c r="AG102" s="1" t="str">
        <f t="shared" si="54"/>
        <v>EC</v>
      </c>
      <c r="AH102" s="109" t="str">
        <f t="shared" si="55"/>
        <v>"%USERPROFILE%\Documents\GitHub\eaglep3\Utilities\RefineRTDCRunTimes.py" --tripid 190-11 --locoid 4015 --swversion DE.1.0.7.0 --startMP 204:154009 --initTime 2016-08-11T15:53:10 --startdatetime 2016-08-11T15:54:36 --delay 1 --endMP 204:149 --enddatetime 2016-08-11T16:25:55 --enforcementcount 0</v>
      </c>
    </row>
    <row r="103" spans="1:34" x14ac:dyDescent="0.25">
      <c r="A103" s="42" t="s">
        <v>420</v>
      </c>
      <c r="B103" s="7">
        <v>4031</v>
      </c>
      <c r="C103" s="25" t="s">
        <v>130</v>
      </c>
      <c r="D103" s="25" t="s">
        <v>421</v>
      </c>
      <c r="E103" s="16">
        <v>42593.619814814818</v>
      </c>
      <c r="F103" s="16">
        <v>42593.620763888888</v>
      </c>
      <c r="G103" s="7">
        <v>1</v>
      </c>
      <c r="H103" s="16" t="s">
        <v>422</v>
      </c>
      <c r="I103" s="16">
        <v>42593.645381944443</v>
      </c>
      <c r="J103" s="7">
        <v>0</v>
      </c>
      <c r="K103" s="149" t="str">
        <f t="shared" si="44"/>
        <v>4031/4032</v>
      </c>
      <c r="L103" s="25" t="str">
        <f>VLOOKUP(A103,'Trips&amp;Operators'!$C$1:$E$10000,3,FALSE)</f>
        <v>NEWELL</v>
      </c>
      <c r="M103" s="6">
        <f t="shared" si="45"/>
        <v>2.4618055555038154E-2</v>
      </c>
      <c r="N103" s="7">
        <f>24*60*SUM($M103:$M103)</f>
        <v>35.449999999254942</v>
      </c>
      <c r="O103" s="7"/>
      <c r="P103" s="7"/>
      <c r="Q103" s="26"/>
      <c r="R103" s="26" t="s">
        <v>668</v>
      </c>
      <c r="S103" s="38">
        <f t="shared" si="46"/>
        <v>1</v>
      </c>
      <c r="T103" s="55" t="str">
        <f t="shared" si="47"/>
        <v>NorthBound</v>
      </c>
      <c r="U103" s="13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13:52:32-0600',mode:absolute,to:'2016-08-11 16:29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03" s="57" t="str">
        <f t="shared" si="49"/>
        <v>Y</v>
      </c>
      <c r="X103" s="133">
        <f t="shared" si="60"/>
        <v>1</v>
      </c>
      <c r="Y103" s="72">
        <f t="shared" si="50"/>
        <v>6.5500000000000003E-2</v>
      </c>
      <c r="Z103" s="72">
        <f t="shared" si="51"/>
        <v>15.7775</v>
      </c>
      <c r="AA103" s="72">
        <f t="shared" si="52"/>
        <v>15.712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53"/>
        <v>0191-11</v>
      </c>
      <c r="AE103" s="108" t="str">
        <f t="shared" si="61"/>
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</c>
      <c r="AF103" s="105" t="str">
        <f t="shared" si="62"/>
        <v>"C:\Program Files (x86)\AstroGrep\AstroGrep.exe" /spath="%USERPROFILE%\AppData\Local\Temp\OnboardLogs" /stypes="*4031*20160811*" /stext=" 21:.+((SYSTEM_STATE.+slice.+state.+changed )|(ment ac)|(system.+state.+changed )|(\|lc)|(penalty)|(\[timeout)|(PRM\|1\|D)|(kpr)|(kdp))" /e /r /s</v>
      </c>
      <c r="AG103" s="1" t="str">
        <f t="shared" si="54"/>
        <v>EC</v>
      </c>
      <c r="AH103" s="109" t="str">
        <f t="shared" si="55"/>
        <v>"%USERPROFILE%\Documents\GitHub\eaglep3\Utilities\RefineRTDCRunTimes.py" --tripid 191-11 --locoid 4031 --swversion DE.1.0.7.0 --startMP 204:655 --initTime 2016-08-11T14:52:32 --startdatetime 2016-08-11T14:53:54 --delay 1 --endMP 204:157775 --enddatetime 2016-08-11T15:29:21 --enforcementcount 0</v>
      </c>
    </row>
    <row r="104" spans="1:34" x14ac:dyDescent="0.25">
      <c r="A104" s="42" t="s">
        <v>423</v>
      </c>
      <c r="B104" s="7">
        <v>4032</v>
      </c>
      <c r="C104" s="25" t="s">
        <v>130</v>
      </c>
      <c r="D104" s="25" t="s">
        <v>424</v>
      </c>
      <c r="E104" s="16">
        <v>42593.646666666667</v>
      </c>
      <c r="F104" s="16">
        <v>42593.647696759261</v>
      </c>
      <c r="G104" s="7">
        <v>1</v>
      </c>
      <c r="H104" s="16" t="s">
        <v>329</v>
      </c>
      <c r="I104" s="16">
        <v>42593.649745370371</v>
      </c>
      <c r="J104" s="7">
        <v>0</v>
      </c>
      <c r="K104" s="149" t="str">
        <f t="shared" si="44"/>
        <v>4031/4032</v>
      </c>
      <c r="L104" s="25" t="str">
        <f>VLOOKUP(A104,'Trips&amp;Operators'!$C$1:$E$10000,3,FALSE)</f>
        <v>NEWELL</v>
      </c>
      <c r="M104" s="6">
        <f t="shared" si="45"/>
        <v>2.0486111097852699E-3</v>
      </c>
      <c r="N104" s="7">
        <f>24*60*SUM($M104:$M104)</f>
        <v>2.9499999980907887</v>
      </c>
      <c r="O104" s="7"/>
      <c r="P104" s="7"/>
      <c r="Q104" s="26"/>
      <c r="R104" s="26" t="s">
        <v>668</v>
      </c>
      <c r="S104" s="38">
        <f t="shared" si="46"/>
        <v>0</v>
      </c>
      <c r="T104" s="55" t="str">
        <f t="shared" si="47"/>
        <v>Southbound</v>
      </c>
      <c r="U104" s="13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14:31:12-0600',mode:absolute,to:'2016-08-11 16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04" s="57" t="str">
        <f t="shared" si="49"/>
        <v>Y</v>
      </c>
      <c r="X104" s="133">
        <f t="shared" si="60"/>
        <v>1</v>
      </c>
      <c r="Y104" s="72">
        <f t="shared" si="50"/>
        <v>15.755000000000001</v>
      </c>
      <c r="Z104" s="72">
        <f t="shared" si="51"/>
        <v>15.401</v>
      </c>
      <c r="AA104" s="72">
        <f t="shared" si="52"/>
        <v>0.35400000000000098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53"/>
        <v>0192-11</v>
      </c>
      <c r="AE104" s="108" t="str">
        <f t="shared" si="61"/>
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</c>
      <c r="AF104" s="105" t="str">
        <f t="shared" si="62"/>
        <v>"C:\Program Files (x86)\AstroGrep\AstroGrep.exe" /spath="%USERPROFILE%\AppData\Local\Temp\OnboardLogs" /stypes="*4032*20160811*" /stext=" 21:.+((SYSTEM_STATE.+slice.+state.+changed )|(ment ac)|(system.+state.+changed )|(\|lc)|(penalty)|(\[timeout)|(PRM\|1\|D)|(kpr)|(kdp))" /e /r /s</v>
      </c>
      <c r="AG104" s="1" t="str">
        <f t="shared" si="54"/>
        <v>EC</v>
      </c>
      <c r="AH104" s="109" t="str">
        <f t="shared" si="55"/>
        <v>"%USERPROFILE%\Documents\GitHub\eaglep3\Utilities\RefineRTDCRunTimes.py" --tripid 192-11 --locoid 4032 --swversion DE.1.0.7.0 --startMP 204:157550 --initTime 2016-08-11T15:31:12 --startdatetime 2016-08-11T15:32:41 --delay 1 --endMP 204:154010 --enddatetime 2016-08-11T15:35:38 --enforcementcount 0</v>
      </c>
    </row>
    <row r="105" spans="1:34" x14ac:dyDescent="0.25">
      <c r="A105" s="42" t="s">
        <v>425</v>
      </c>
      <c r="B105" s="7">
        <v>4016</v>
      </c>
      <c r="C105" s="25" t="s">
        <v>130</v>
      </c>
      <c r="D105" s="25" t="s">
        <v>365</v>
      </c>
      <c r="E105" s="16">
        <v>42593.634305555555</v>
      </c>
      <c r="F105" s="16">
        <v>42593.635405092595</v>
      </c>
      <c r="G105" s="7">
        <v>1</v>
      </c>
      <c r="H105" s="16" t="s">
        <v>247</v>
      </c>
      <c r="I105" s="16">
        <v>42593.657881944448</v>
      </c>
      <c r="J105" s="7">
        <v>0</v>
      </c>
      <c r="K105" s="149" t="str">
        <f t="shared" si="44"/>
        <v>4015/4016</v>
      </c>
      <c r="L105" s="25" t="str">
        <f>VLOOKUP(A105,'Trips&amp;Operators'!$C$1:$E$10000,3,FALSE)</f>
        <v>MOSES</v>
      </c>
      <c r="M105" s="6">
        <f t="shared" si="45"/>
        <v>2.2476851852843538E-2</v>
      </c>
      <c r="N105" s="7">
        <f>24*60*SUM($M105:$M105)</f>
        <v>32.366666668094695</v>
      </c>
      <c r="O105" s="7"/>
      <c r="P105" s="7"/>
      <c r="Q105" s="26"/>
      <c r="R105" s="26" t="s">
        <v>668</v>
      </c>
      <c r="S105" s="38">
        <f t="shared" si="46"/>
        <v>1</v>
      </c>
      <c r="T105" s="55" t="str">
        <f t="shared" si="47"/>
        <v>NorthBound</v>
      </c>
      <c r="U105" s="13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14:13:24-0600',mode:absolute,to:'2016-08-11 16:47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05" s="57" t="str">
        <f t="shared" si="49"/>
        <v>Y</v>
      </c>
      <c r="X105" s="133">
        <f t="shared" si="60"/>
        <v>1</v>
      </c>
      <c r="Y105" s="72">
        <f t="shared" si="50"/>
        <v>4.4200000000000003E-2</v>
      </c>
      <c r="Z105" s="72">
        <f t="shared" si="51"/>
        <v>15.7578</v>
      </c>
      <c r="AA105" s="72">
        <f t="shared" si="52"/>
        <v>15.7136</v>
      </c>
      <c r="AB105" s="69" t="e">
        <f>VLOOKUP(A105,Enforcements!$C$7:$J$24,8,0)</f>
        <v>#N/A</v>
      </c>
      <c r="AC105" s="65" t="e">
        <f>VLOOKUP(A105,Enforcements!$C$7:$E$24,3,0)</f>
        <v>#N/A</v>
      </c>
      <c r="AD105" s="66" t="str">
        <f t="shared" si="53"/>
        <v>0193-11</v>
      </c>
      <c r="AE105" s="108" t="str">
        <f t="shared" si="61"/>
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</c>
      <c r="AF105" s="105" t="str">
        <f t="shared" si="62"/>
        <v>"C:\Program Files (x86)\AstroGrep\AstroGrep.exe" /spath="%USERPROFILE%\AppData\Local\Temp\OnboardLogs" /stypes="*4016*20160811*" /stext=" 21:.+((SYSTEM_STATE.+slice.+state.+changed )|(ment ac)|(system.+state.+changed )|(\|lc)|(penalty)|(\[timeout)|(PRM\|1\|D)|(kpr)|(kdp))" /e /r /s</v>
      </c>
      <c r="AG105" s="1" t="str">
        <f t="shared" si="54"/>
        <v>EC</v>
      </c>
      <c r="AH105" s="109" t="str">
        <f t="shared" si="55"/>
        <v>"%USERPROFILE%\Documents\GitHub\eaglep3\Utilities\RefineRTDCRunTimes.py" --tripid 193-11 --locoid 4016 --swversion DE.1.0.7.0 --startMP 204:442 --initTime 2016-08-11T15:13:24 --startdatetime 2016-08-11T15:14:59 --delay 1 --endMP 204:157578 --enddatetime 2016-08-11T15:47:21 --enforcementcount 0</v>
      </c>
    </row>
    <row r="106" spans="1:34" s="24" customFormat="1" x14ac:dyDescent="0.25">
      <c r="A106" s="42" t="s">
        <v>648</v>
      </c>
      <c r="B106" s="7"/>
      <c r="C106" s="25"/>
      <c r="D106" s="25"/>
      <c r="E106" s="16"/>
      <c r="F106" s="16"/>
      <c r="G106" s="7"/>
      <c r="H106" s="16"/>
      <c r="I106" s="16"/>
      <c r="J106" s="7"/>
      <c r="K106" s="149"/>
      <c r="L106" s="25"/>
      <c r="M106" s="6"/>
      <c r="N106" s="7"/>
      <c r="O106" s="7"/>
      <c r="P106" s="7">
        <v>1</v>
      </c>
      <c r="Q106" s="26"/>
      <c r="R106" s="26" t="s">
        <v>230</v>
      </c>
      <c r="S106" s="38"/>
      <c r="T106" s="55" t="str">
        <f t="shared" si="47"/>
        <v>Southbound</v>
      </c>
      <c r="U106" s="139"/>
      <c r="V106" s="115"/>
      <c r="W106" s="57"/>
      <c r="X106" s="133">
        <f t="shared" si="60"/>
        <v>1</v>
      </c>
      <c r="Y106" s="72"/>
      <c r="Z106" s="72"/>
      <c r="AA106" s="72"/>
      <c r="AB106" s="69"/>
      <c r="AC106" s="65"/>
      <c r="AD106" s="66" t="str">
        <f t="shared" si="53"/>
        <v>0194-11</v>
      </c>
      <c r="AE106" s="108"/>
      <c r="AF106" s="105"/>
      <c r="AG106" s="1" t="str">
        <f t="shared" si="54"/>
        <v>EC</v>
      </c>
      <c r="AH106" s="109"/>
    </row>
    <row r="107" spans="1:34" x14ac:dyDescent="0.25">
      <c r="A107" s="42" t="s">
        <v>426</v>
      </c>
      <c r="B107" s="7">
        <v>4014</v>
      </c>
      <c r="C107" s="25" t="s">
        <v>130</v>
      </c>
      <c r="D107" s="25" t="s">
        <v>259</v>
      </c>
      <c r="E107" s="16">
        <v>42593.641932870371</v>
      </c>
      <c r="F107" s="16">
        <v>42593.644467592596</v>
      </c>
      <c r="G107" s="7">
        <v>3</v>
      </c>
      <c r="H107" s="16" t="s">
        <v>427</v>
      </c>
      <c r="I107" s="16">
        <v>42593.66783564815</v>
      </c>
      <c r="J107" s="7">
        <v>0</v>
      </c>
      <c r="K107" s="149" t="str">
        <f t="shared" si="44"/>
        <v>4013/4014</v>
      </c>
      <c r="L107" s="25" t="str">
        <f>VLOOKUP(A107,'Trips&amp;Operators'!$C$1:$E$10000,3,FALSE)</f>
        <v>SWANSON</v>
      </c>
      <c r="M107" s="6">
        <f t="shared" si="45"/>
        <v>2.3368055553874001E-2</v>
      </c>
      <c r="N107" s="7">
        <f>24*60*SUM($M107:$M107)</f>
        <v>33.649999997578561</v>
      </c>
      <c r="O107" s="7"/>
      <c r="P107" s="7"/>
      <c r="Q107" s="26"/>
      <c r="R107" s="26" t="s">
        <v>668</v>
      </c>
      <c r="S107" s="38">
        <f t="shared" si="46"/>
        <v>1</v>
      </c>
      <c r="T107" s="55" t="str">
        <f t="shared" si="47"/>
        <v>NorthBound</v>
      </c>
      <c r="U107" s="13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14:24:23-0600',mode:absolute,to:'2016-08-11 17:01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07" s="57" t="str">
        <f t="shared" si="49"/>
        <v>Y</v>
      </c>
      <c r="X107" s="133">
        <f t="shared" si="60"/>
        <v>1</v>
      </c>
      <c r="Y107" s="72">
        <f t="shared" si="50"/>
        <v>6.7699999999999996E-2</v>
      </c>
      <c r="Z107" s="72">
        <f t="shared" si="51"/>
        <v>15.7996</v>
      </c>
      <c r="AA107" s="72">
        <f t="shared" si="52"/>
        <v>15.7319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53"/>
        <v>0195-11</v>
      </c>
      <c r="AE107" s="108" t="str">
        <f>"aws s3 cp "&amp;s3_bucket&amp;"/RTDC"&amp;B107&amp;"/"&amp;TEXT(F107,"YYYY-MM-DD")&amp;"/ "&amp;search_path&amp;"\RTDC"&amp;B107&amp;"\"&amp;TEXT(F107,"YYYY-MM-DD")&amp;" --recursive &amp; """&amp;walkandungz&amp;""" "&amp;search_path&amp;"\RTDC"&amp;B107&amp;"\"&amp;TEXT(F107,"YYYY-MM-DD")
&amp;" &amp; "&amp;"aws s3 cp "&amp;s3_bucket&amp;"/RTDC"&amp;B107&amp;"/"&amp;TEXT(F107+1,"YYYY-MM-DD")&amp;"/ "&amp;search_path&amp;"\RTDC"&amp;B107&amp;"\"&amp;TEXT(F107+1,"YYYY-MM-DD")&amp;" --recursive &amp; """&amp;walkandungz&amp;""" "&amp;search_path&amp;"\RTDC"&amp;B107&amp;"\"&amp;TEXT(F107+1,"YYYY-MM-DD")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107" s="105" t="str">
        <f>astrogrep_path&amp;" /spath="&amp;search_path&amp;" /stypes=""*"&amp;B107&amp;"*"&amp;TEXT(I107-utc_offset/24,"YYYYMMDD")&amp;"*"" /stext="" "&amp;TEXT(I107-utc_offset/24,"HH")&amp;search_regexp&amp;""" /e /r /s"</f>
        <v>"C:\Program Files (x86)\AstroGrep\AstroGrep.exe" /spath="%USERPROFILE%\AppData\Local\Temp\OnboardLogs" /stypes="*4014*20160811*" /stext=" 22:.+((SYSTEM_STATE.+slice.+state.+changed )|(ment ac)|(system.+state.+changed )|(\|lc)|(penalty)|(\[timeout)|(PRM\|1\|D)|(kpr)|(kdp))" /e /r /s</v>
      </c>
      <c r="AG107" s="1" t="str">
        <f t="shared" si="54"/>
        <v>EC</v>
      </c>
      <c r="AH107" s="109" t="str">
        <f t="shared" si="55"/>
        <v>"%USERPROFILE%\Documents\GitHub\eaglep3\Utilities\RefineRTDCRunTimes.py" --tripid 195-11 --locoid 4014 --swversion DE.1.0.7.0 --startMP 204:677 --initTime 2016-08-11T15:24:23 --startdatetime 2016-08-11T15:28:02 --delay 3 --endMP 204:157996 --enddatetime 2016-08-11T16:01:41 --enforcementcount 0</v>
      </c>
    </row>
    <row r="108" spans="1:34" x14ac:dyDescent="0.25">
      <c r="A108" s="42" t="s">
        <v>428</v>
      </c>
      <c r="B108" s="7">
        <v>4026</v>
      </c>
      <c r="C108" s="25" t="s">
        <v>130</v>
      </c>
      <c r="D108" s="25" t="s">
        <v>429</v>
      </c>
      <c r="E108" s="16">
        <v>42593.690787037034</v>
      </c>
      <c r="F108" s="16">
        <v>42593.691840277781</v>
      </c>
      <c r="G108" s="7">
        <v>1</v>
      </c>
      <c r="H108" s="16" t="s">
        <v>240</v>
      </c>
      <c r="I108" s="16">
        <v>42593.716203703705</v>
      </c>
      <c r="J108" s="7">
        <v>0</v>
      </c>
      <c r="K108" s="149" t="str">
        <f t="shared" si="44"/>
        <v>4025/4026</v>
      </c>
      <c r="L108" s="25" t="str">
        <f>VLOOKUP(A108,'Trips&amp;Operators'!$C$1:$E$10000,3,FALSE)</f>
        <v>SHOOK</v>
      </c>
      <c r="M108" s="6">
        <f t="shared" si="45"/>
        <v>2.4363425924093463E-2</v>
      </c>
      <c r="N108" s="7">
        <f>24*60*SUM($M108:$M108)</f>
        <v>35.083333330694586</v>
      </c>
      <c r="O108" s="7"/>
      <c r="P108" s="7"/>
      <c r="Q108" s="26"/>
      <c r="R108" s="26" t="s">
        <v>668</v>
      </c>
      <c r="S108" s="38">
        <f t="shared" si="46"/>
        <v>1</v>
      </c>
      <c r="T108" s="55" t="str">
        <f t="shared" si="47"/>
        <v>Southbound</v>
      </c>
      <c r="U108" s="13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15:34:44-0600',mode:absolute,to:'2016-08-11 18:11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08" s="57" t="str">
        <f t="shared" si="49"/>
        <v>Y</v>
      </c>
      <c r="X108" s="133">
        <f t="shared" si="60"/>
        <v>1</v>
      </c>
      <c r="Y108" s="72">
        <f t="shared" si="50"/>
        <v>15.797499999999999</v>
      </c>
      <c r="Z108" s="72">
        <f t="shared" si="51"/>
        <v>1.38E-2</v>
      </c>
      <c r="AA108" s="72">
        <f t="shared" si="52"/>
        <v>15.7837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 t="shared" si="53"/>
        <v>0196-11</v>
      </c>
      <c r="AE108" s="108" t="str">
        <f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AF108" s="105" t="str">
        <f>astrogrep_path&amp;" /spath="&amp;search_path&amp;" /stypes=""*"&amp;B108&amp;"*"&amp;TEXT(I108-utc_offset/24,"YYYYMMDD")&amp;"*"" /stext="" "&amp;TEXT(I108-utc_offset/24,"HH")&amp;search_regexp&amp;""" /e /r /s"</f>
        <v>"C:\Program Files (x86)\AstroGrep\AstroGrep.exe" /spath="%USERPROFILE%\AppData\Local\Temp\OnboardLogs" /stypes="*4026*20160811*" /stext=" 23:.+((SYSTEM_STATE.+slice.+state.+changed )|(ment ac)|(system.+state.+changed )|(\|lc)|(penalty)|(\[timeout)|(PRM\|1\|D)|(kpr)|(kdp))" /e /r /s</v>
      </c>
      <c r="AG108" s="1" t="str">
        <f t="shared" si="54"/>
        <v>EC</v>
      </c>
      <c r="AH108" s="109" t="str">
        <f t="shared" si="55"/>
        <v>"%USERPROFILE%\Documents\GitHub\eaglep3\Utilities\RefineRTDCRunTimes.py" --tripid 196-11 --locoid 4026 --swversion DE.1.0.7.0 --startMP 204:157975 --initTime 2016-08-11T16:34:44 --startdatetime 2016-08-11T16:36:15 --delay 1 --endMP 204:138 --enddatetime 2016-08-11T17:11:20 --enforcementcount 0</v>
      </c>
    </row>
    <row r="109" spans="1:34" x14ac:dyDescent="0.25">
      <c r="A109" s="42" t="s">
        <v>430</v>
      </c>
      <c r="B109" s="7">
        <v>4038</v>
      </c>
      <c r="C109" s="25" t="s">
        <v>130</v>
      </c>
      <c r="D109" s="25" t="s">
        <v>235</v>
      </c>
      <c r="E109" s="16">
        <v>42593.655775462961</v>
      </c>
      <c r="F109" s="16">
        <v>42593.656666666669</v>
      </c>
      <c r="G109" s="7">
        <v>1</v>
      </c>
      <c r="H109" s="16" t="s">
        <v>431</v>
      </c>
      <c r="I109" s="16">
        <v>42593.679340277777</v>
      </c>
      <c r="J109" s="7">
        <v>0</v>
      </c>
      <c r="K109" s="149" t="str">
        <f t="shared" si="44"/>
        <v>4037/4038</v>
      </c>
      <c r="L109" s="25" t="str">
        <f>VLOOKUP(A109,'Trips&amp;Operators'!$C$1:$E$10000,3,FALSE)</f>
        <v>YOUNG</v>
      </c>
      <c r="M109" s="6">
        <f t="shared" si="45"/>
        <v>2.2673611107165925E-2</v>
      </c>
      <c r="N109" s="7">
        <f>24*60*SUM($M109:$M109)</f>
        <v>32.649999994318932</v>
      </c>
      <c r="O109" s="7"/>
      <c r="P109" s="7"/>
      <c r="Q109" s="26"/>
      <c r="R109" s="26" t="s">
        <v>668</v>
      </c>
      <c r="S109" s="38">
        <f t="shared" si="46"/>
        <v>1</v>
      </c>
      <c r="T109" s="55" t="str">
        <f t="shared" si="47"/>
        <v>NorthBound</v>
      </c>
      <c r="U109" s="13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14:44:19-0600',mode:absolute,to:'2016-08-11 17:18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09" s="57" t="str">
        <f t="shared" si="49"/>
        <v>Y</v>
      </c>
      <c r="X109" s="133">
        <f t="shared" si="60"/>
        <v>1</v>
      </c>
      <c r="Y109" s="72">
        <f t="shared" si="50"/>
        <v>4.5699999999999998E-2</v>
      </c>
      <c r="Z109" s="72">
        <f t="shared" si="51"/>
        <v>15.767799999999999</v>
      </c>
      <c r="AA109" s="72">
        <f t="shared" si="52"/>
        <v>15.722099999999999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si="53"/>
        <v>0197-11</v>
      </c>
      <c r="AE109" s="108" t="str">
        <f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</c>
      <c r="AF109" s="105" t="str">
        <f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/stypes="*4038*20160811*" /stext=" 22:.+((SYSTEM_STATE.+slice.+state.+changed )|(ment ac)|(system.+state.+changed )|(\|lc)|(penalty)|(\[timeout)|(PRM\|1\|D)|(kpr)|(kdp))" /e /r /s</v>
      </c>
      <c r="AG109" s="1" t="str">
        <f t="shared" si="54"/>
        <v>EC</v>
      </c>
      <c r="AH109" s="109" t="str">
        <f t="shared" si="55"/>
        <v>"%USERPROFILE%\Documents\GitHub\eaglep3\Utilities\RefineRTDCRunTimes.py" --tripid 197-11 --locoid 4038 --swversion DE.1.0.7.0 --startMP 204:457 --initTime 2016-08-11T15:44:19 --startdatetime 2016-08-11T15:45:36 --delay 1 --endMP 204:157678 --enddatetime 2016-08-11T16:18:15 --enforcementcount 0</v>
      </c>
    </row>
    <row r="110" spans="1:34" x14ac:dyDescent="0.25">
      <c r="A110" s="42" t="s">
        <v>432</v>
      </c>
      <c r="B110" s="7">
        <v>4037</v>
      </c>
      <c r="C110" s="25" t="s">
        <v>130</v>
      </c>
      <c r="D110" s="25" t="s">
        <v>433</v>
      </c>
      <c r="E110" s="16">
        <v>42593.680428240739</v>
      </c>
      <c r="F110" s="16">
        <v>42593.681250000001</v>
      </c>
      <c r="G110" s="7">
        <v>1</v>
      </c>
      <c r="H110" s="16" t="s">
        <v>434</v>
      </c>
      <c r="I110" s="16">
        <v>42593.708067129628</v>
      </c>
      <c r="J110" s="7">
        <v>0</v>
      </c>
      <c r="K110" s="149" t="str">
        <f t="shared" si="44"/>
        <v>4037/4038</v>
      </c>
      <c r="L110" s="25" t="str">
        <f>VLOOKUP(A110,'Trips&amp;Operators'!$C$1:$E$10000,3,FALSE)</f>
        <v>YOUNG</v>
      </c>
      <c r="M110" s="6">
        <f t="shared" si="45"/>
        <v>2.6817129626579117E-2</v>
      </c>
      <c r="N110" s="7">
        <f>24*60*SUM($M110:$M110)</f>
        <v>38.616666662273929</v>
      </c>
      <c r="O110" s="7"/>
      <c r="P110" s="7"/>
      <c r="Q110" s="26"/>
      <c r="R110" s="26" t="s">
        <v>668</v>
      </c>
      <c r="S110" s="38">
        <f t="shared" si="46"/>
        <v>1</v>
      </c>
      <c r="T110" s="55" t="str">
        <f t="shared" si="47"/>
        <v>Southbound</v>
      </c>
      <c r="U110" s="13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15:19:49-0600',mode:absolute,to:'2016-08-11 17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10" s="57" t="str">
        <f t="shared" si="49"/>
        <v>Y</v>
      </c>
      <c r="X110" s="133">
        <f t="shared" si="60"/>
        <v>1</v>
      </c>
      <c r="Y110" s="72">
        <f t="shared" si="50"/>
        <v>15.7445</v>
      </c>
      <c r="Z110" s="72">
        <f t="shared" si="51"/>
        <v>1.9099999999999999E-2</v>
      </c>
      <c r="AA110" s="72">
        <f t="shared" si="52"/>
        <v>15.7254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53"/>
        <v>0198-11</v>
      </c>
      <c r="AE110" s="108" t="str">
        <f>"aws s3 cp "&amp;s3_bucket&amp;"/RTDC"&amp;B110&amp;"/"&amp;TEXT(F110,"YYYY-MM-DD")&amp;"/ "&amp;search_path&amp;"\RTDC"&amp;B110&amp;"\"&amp;TEXT(F110,"YYYY-MM-DD")&amp;" --recursive &amp; """&amp;walkandungz&amp;""" "&amp;search_path&amp;"\RTDC"&amp;B110&amp;"\"&amp;TEXT(F110,"YYYY-MM-DD")
&amp;" &amp; "&amp;"aws s3 cp "&amp;s3_bucket&amp;"/RTDC"&amp;B110&amp;"/"&amp;TEXT(F110+1,"YYYY-MM-DD")&amp;"/ "&amp;search_path&amp;"\RTDC"&amp;B110&amp;"\"&amp;TEXT(F110+1,"YYYY-MM-DD")&amp;" --recursive &amp; """&amp;walkandungz&amp;""" "&amp;search_path&amp;"\RTDC"&amp;B110&amp;"\"&amp;TEXT(F110+1,"YYYY-MM-DD")</f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AF110" s="105" t="str">
        <f>astrogrep_path&amp;" /spath="&amp;search_path&amp;" /stypes=""*"&amp;B110&amp;"*"&amp;TEXT(I110-utc_offset/24,"YYYYMMDD")&amp;"*"" /stext="" "&amp;TEXT(I110-utc_offset/24,"HH")&amp;search_regexp&amp;""" /e /r /s"</f>
        <v>"C:\Program Files (x86)\AstroGrep\AstroGrep.exe" /spath="%USERPROFILE%\AppData\Local\Temp\OnboardLogs" /stypes="*4037*20160811*" /stext=" 22:.+((SYSTEM_STATE.+slice.+state.+changed )|(ment ac)|(system.+state.+changed )|(\|lc)|(penalty)|(\[timeout)|(PRM\|1\|D)|(kpr)|(kdp))" /e /r /s</v>
      </c>
      <c r="AG110" s="1" t="str">
        <f t="shared" si="54"/>
        <v>EC</v>
      </c>
      <c r="AH110" s="109" t="str">
        <f t="shared" si="55"/>
        <v>"%USERPROFILE%\Documents\GitHub\eaglep3\Utilities\RefineRTDCRunTimes.py" --tripid 198-11 --locoid 4037 --swversion DE.1.0.7.0 --startMP 204:157445 --initTime 2016-08-11T16:19:49 --startdatetime 2016-08-11T16:21:00 --delay 1 --endMP 204:191 --enddatetime 2016-08-11T16:59:37 --enforcementcount 0</v>
      </c>
    </row>
    <row r="111" spans="1:34" x14ac:dyDescent="0.25">
      <c r="A111" s="42" t="s">
        <v>435</v>
      </c>
      <c r="B111" s="7">
        <v>4025</v>
      </c>
      <c r="C111" s="25" t="s">
        <v>130</v>
      </c>
      <c r="D111" s="25" t="s">
        <v>382</v>
      </c>
      <c r="E111" s="16">
        <v>42593.666192129633</v>
      </c>
      <c r="F111" s="16">
        <v>42593.66715277778</v>
      </c>
      <c r="G111" s="7">
        <v>1</v>
      </c>
      <c r="H111" s="16" t="s">
        <v>436</v>
      </c>
      <c r="I111" s="16">
        <v>42593.688993055555</v>
      </c>
      <c r="J111" s="7">
        <v>0</v>
      </c>
      <c r="K111" s="149" t="str">
        <f t="shared" si="44"/>
        <v>4025/4026</v>
      </c>
      <c r="L111" s="25" t="str">
        <f>VLOOKUP(A111,'Trips&amp;Operators'!$C$1:$E$10000,3,FALSE)</f>
        <v>SHOOK</v>
      </c>
      <c r="M111" s="6">
        <f t="shared" si="45"/>
        <v>2.1840277775481809E-2</v>
      </c>
      <c r="N111" s="7">
        <f>24*60*SUM($M111:$M111)</f>
        <v>31.449999996693805</v>
      </c>
      <c r="O111" s="7"/>
      <c r="P111" s="7"/>
      <c r="Q111" s="26"/>
      <c r="R111" s="26" t="s">
        <v>668</v>
      </c>
      <c r="S111" s="38">
        <f t="shared" si="46"/>
        <v>1</v>
      </c>
      <c r="T111" s="55" t="str">
        <f t="shared" si="47"/>
        <v>NorthBound</v>
      </c>
      <c r="U111" s="13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14:59:19-0600',mode:absolute,to:'2016-08-11 17:32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11" s="57" t="str">
        <f t="shared" si="49"/>
        <v>Y</v>
      </c>
      <c r="X111" s="133">
        <f t="shared" si="60"/>
        <v>1</v>
      </c>
      <c r="Y111" s="72">
        <f t="shared" si="50"/>
        <v>4.4400000000000002E-2</v>
      </c>
      <c r="Z111" s="72">
        <f t="shared" si="51"/>
        <v>15.8202</v>
      </c>
      <c r="AA111" s="72">
        <f t="shared" si="52"/>
        <v>15.7758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53"/>
        <v>0199-11</v>
      </c>
      <c r="AE111" s="108" t="str">
        <f>"aws s3 cp "&amp;s3_bucket&amp;"/RTDC"&amp;B111&amp;"/"&amp;TEXT(F111,"YYYY-MM-DD")&amp;"/ "&amp;search_path&amp;"\RTDC"&amp;B111&amp;"\"&amp;TEXT(F111,"YYYY-MM-DD")&amp;" --recursive &amp; """&amp;walkandungz&amp;""" "&amp;search_path&amp;"\RTDC"&amp;B111&amp;"\"&amp;TEXT(F111,"YYYY-MM-DD")
&amp;" &amp; "&amp;"aws s3 cp "&amp;s3_bucket&amp;"/RTDC"&amp;B111&amp;"/"&amp;TEXT(F111+1,"YYYY-MM-DD")&amp;"/ "&amp;search_path&amp;"\RTDC"&amp;B111&amp;"\"&amp;TEXT(F111+1,"YYYY-MM-DD")&amp;" --recursive &amp; """&amp;walkandungz&amp;""" "&amp;search_path&amp;"\RTDC"&amp;B111&amp;"\"&amp;TEXT(F111+1,"YYYY-MM-DD")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AF111" s="105" t="str">
        <f>astrogrep_path&amp;" /spath="&amp;search_path&amp;" /stypes=""*"&amp;B111&amp;"*"&amp;TEXT(I111-utc_offset/24,"YYYYMMDD")&amp;"*"" /stext="" "&amp;TEXT(I111-utc_offset/24,"HH")&amp;search_regexp&amp;""" /e /r /s"</f>
        <v>"C:\Program Files (x86)\AstroGrep\AstroGrep.exe" /spath="%USERPROFILE%\AppData\Local\Temp\OnboardLogs" /stypes="*4025*20160811*" /stext=" 22:.+((SYSTEM_STATE.+slice.+state.+changed )|(ment ac)|(system.+state.+changed )|(\|lc)|(penalty)|(\[timeout)|(PRM\|1\|D)|(kpr)|(kdp))" /e /r /s</v>
      </c>
      <c r="AG111" s="1" t="str">
        <f t="shared" si="54"/>
        <v>EC</v>
      </c>
      <c r="AH111" s="109" t="str">
        <f t="shared" si="55"/>
        <v>"%USERPROFILE%\Documents\GitHub\eaglep3\Utilities\RefineRTDCRunTimes.py" --tripid 199-11 --locoid 4025 --swversion DE.1.0.7.0 --startMP 204:444 --initTime 2016-08-11T15:59:19 --startdatetime 2016-08-11T16:00:42 --delay 1 --endMP 204:158202 --enddatetime 2016-08-11T16:32:09 --enforcementcount 0</v>
      </c>
    </row>
    <row r="112" spans="1:34" s="24" customFormat="1" x14ac:dyDescent="0.25">
      <c r="A112" s="42" t="s">
        <v>649</v>
      </c>
      <c r="B112" s="7"/>
      <c r="C112" s="25"/>
      <c r="D112" s="25"/>
      <c r="E112" s="16"/>
      <c r="F112" s="16"/>
      <c r="G112" s="7"/>
      <c r="H112" s="16"/>
      <c r="I112" s="16"/>
      <c r="J112" s="7"/>
      <c r="K112" s="149"/>
      <c r="L112" s="25"/>
      <c r="M112" s="6"/>
      <c r="N112" s="7"/>
      <c r="O112" s="7"/>
      <c r="P112" s="7">
        <v>1</v>
      </c>
      <c r="Q112" s="26"/>
      <c r="R112" s="26" t="s">
        <v>230</v>
      </c>
      <c r="S112" s="38"/>
      <c r="T112" s="55" t="str">
        <f t="shared" si="47"/>
        <v>Southbound</v>
      </c>
      <c r="U112" s="139"/>
      <c r="V112" s="115"/>
      <c r="W112" s="57"/>
      <c r="X112" s="133">
        <f t="shared" si="60"/>
        <v>1</v>
      </c>
      <c r="Y112" s="72"/>
      <c r="Z112" s="72"/>
      <c r="AA112" s="72"/>
      <c r="AB112" s="69"/>
      <c r="AC112" s="65"/>
      <c r="AD112" s="66" t="str">
        <f t="shared" si="53"/>
        <v>0200-11</v>
      </c>
      <c r="AE112" s="108"/>
      <c r="AF112" s="105"/>
      <c r="AG112" s="1" t="str">
        <f t="shared" si="54"/>
        <v>EC</v>
      </c>
      <c r="AH112" s="109"/>
    </row>
    <row r="113" spans="1:34" x14ac:dyDescent="0.25">
      <c r="A113" s="42" t="s">
        <v>437</v>
      </c>
      <c r="B113" s="7">
        <v>4031</v>
      </c>
      <c r="C113" s="25" t="s">
        <v>130</v>
      </c>
      <c r="D113" s="25" t="s">
        <v>438</v>
      </c>
      <c r="E113" s="16">
        <v>42593.675474537034</v>
      </c>
      <c r="F113" s="16">
        <v>42593.676099537035</v>
      </c>
      <c r="G113" s="7">
        <v>0</v>
      </c>
      <c r="H113" s="16" t="s">
        <v>439</v>
      </c>
      <c r="I113" s="16">
        <v>42593.697928240741</v>
      </c>
      <c r="J113" s="7">
        <v>0</v>
      </c>
      <c r="K113" s="149" t="str">
        <f t="shared" si="44"/>
        <v>4031/4032</v>
      </c>
      <c r="L113" s="25" t="str">
        <f>VLOOKUP(A113,'Trips&amp;Operators'!$C$1:$E$10000,3,FALSE)</f>
        <v>NEWELL</v>
      </c>
      <c r="M113" s="6">
        <f t="shared" si="45"/>
        <v>2.1828703705978114E-2</v>
      </c>
      <c r="N113" s="7">
        <f>24*60*SUM($M113:$M113)</f>
        <v>31.433333336608484</v>
      </c>
      <c r="O113" s="7"/>
      <c r="P113" s="7"/>
      <c r="Q113" s="26"/>
      <c r="R113" s="26" t="s">
        <v>668</v>
      </c>
      <c r="S113" s="38">
        <f t="shared" si="46"/>
        <v>1</v>
      </c>
      <c r="T113" s="55" t="str">
        <f t="shared" si="47"/>
        <v>NorthBound</v>
      </c>
      <c r="U113" s="13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15:12:41-0600',mode:absolute,to:'2016-08-11 17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13" s="57" t="str">
        <f t="shared" si="49"/>
        <v>Y</v>
      </c>
      <c r="X113" s="133">
        <f t="shared" si="60"/>
        <v>1</v>
      </c>
      <c r="Y113" s="72">
        <f t="shared" si="50"/>
        <v>6.7199999999999996E-2</v>
      </c>
      <c r="Z113" s="72">
        <f t="shared" si="51"/>
        <v>15.7669</v>
      </c>
      <c r="AA113" s="72">
        <f t="shared" si="52"/>
        <v>15.6997</v>
      </c>
      <c r="AB113" s="69" t="e">
        <f>VLOOKUP(A113,Enforcements!$C$7:$J$24,8,0)</f>
        <v>#N/A</v>
      </c>
      <c r="AC113" s="65" t="e">
        <f>VLOOKUP(A113,Enforcements!$C$7:$E$24,3,0)</f>
        <v>#N/A</v>
      </c>
      <c r="AD113" s="66" t="str">
        <f t="shared" si="53"/>
        <v>0201-11</v>
      </c>
      <c r="AE113" s="108" t="str">
        <f>"aws s3 cp "&amp;s3_bucket&amp;"/RTDC"&amp;B113&amp;"/"&amp;TEXT(F113,"YYYY-MM-DD")&amp;"/ "&amp;search_path&amp;"\RTDC"&amp;B113&amp;"\"&amp;TEXT(F113,"YYYY-MM-DD")&amp;" --recursive &amp; """&amp;walkandungz&amp;""" "&amp;search_path&amp;"\RTDC"&amp;B113&amp;"\"&amp;TEXT(F113,"YYYY-MM-DD")
&amp;" &amp; "&amp;"aws s3 cp "&amp;s3_bucket&amp;"/RTDC"&amp;B113&amp;"/"&amp;TEXT(F113+1,"YYYY-MM-DD")&amp;"/ "&amp;search_path&amp;"\RTDC"&amp;B113&amp;"\"&amp;TEXT(F113+1,"YYYY-MM-DD")&amp;" --recursive &amp; """&amp;walkandungz&amp;""" "&amp;search_path&amp;"\RTDC"&amp;B113&amp;"\"&amp;TEXT(F113+1,"YYYY-MM-DD")</f>
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</c>
      <c r="AF113" s="105" t="str">
        <f>astrogrep_path&amp;" /spath="&amp;search_path&amp;" /stypes=""*"&amp;B113&amp;"*"&amp;TEXT(I113-utc_offset/24,"YYYYMMDD")&amp;"*"" /stext="" "&amp;TEXT(I113-utc_offset/24,"HH")&amp;search_regexp&amp;""" /e /r /s"</f>
        <v>"C:\Program Files (x86)\AstroGrep\AstroGrep.exe" /spath="%USERPROFILE%\AppData\Local\Temp\OnboardLogs" /stypes="*4031*20160811*" /stext=" 22:.+((SYSTEM_STATE.+slice.+state.+changed )|(ment ac)|(system.+state.+changed )|(\|lc)|(penalty)|(\[timeout)|(PRM\|1\|D)|(kpr)|(kdp))" /e /r /s</v>
      </c>
      <c r="AG113" s="1" t="str">
        <f t="shared" si="54"/>
        <v>EC</v>
      </c>
      <c r="AH113" s="109" t="str">
        <f t="shared" si="55"/>
        <v>"%USERPROFILE%\Documents\GitHub\eaglep3\Utilities\RefineRTDCRunTimes.py" --tripid 201-11 --locoid 4031 --swversion DE.1.0.7.0 --startMP 204:672 --initTime 2016-08-11T16:12:41 --startdatetime 2016-08-11T16:13:35 --delay 0 --endMP 204:157669 --enddatetime 2016-08-11T16:45:01 --enforcementcount 0</v>
      </c>
    </row>
    <row r="114" spans="1:34" s="24" customFormat="1" x14ac:dyDescent="0.25">
      <c r="A114" s="42" t="s">
        <v>650</v>
      </c>
      <c r="B114" s="7"/>
      <c r="C114" s="25"/>
      <c r="D114" s="25"/>
      <c r="E114" s="16"/>
      <c r="F114" s="16"/>
      <c r="G114" s="7"/>
      <c r="H114" s="16"/>
      <c r="I114" s="16"/>
      <c r="J114" s="7"/>
      <c r="K114" s="149"/>
      <c r="L114" s="25"/>
      <c r="M114" s="6"/>
      <c r="N114" s="7"/>
      <c r="O114" s="7"/>
      <c r="P114" s="7">
        <v>1</v>
      </c>
      <c r="Q114" s="26"/>
      <c r="R114" s="26" t="s">
        <v>230</v>
      </c>
      <c r="S114" s="38"/>
      <c r="T114" s="55" t="str">
        <f t="shared" si="47"/>
        <v>Southbound</v>
      </c>
      <c r="U114" s="139"/>
      <c r="V114" s="115"/>
      <c r="W114" s="57"/>
      <c r="X114" s="133">
        <f t="shared" si="60"/>
        <v>1</v>
      </c>
      <c r="Y114" s="72"/>
      <c r="Z114" s="72"/>
      <c r="AA114" s="72"/>
      <c r="AB114" s="69"/>
      <c r="AC114" s="65"/>
      <c r="AD114" s="66" t="str">
        <f t="shared" si="53"/>
        <v>0202-11</v>
      </c>
      <c r="AE114" s="108"/>
      <c r="AF114" s="105"/>
      <c r="AG114" s="1" t="str">
        <f t="shared" si="54"/>
        <v>EC</v>
      </c>
      <c r="AH114" s="109"/>
    </row>
    <row r="115" spans="1:34" x14ac:dyDescent="0.25">
      <c r="A115" s="42" t="s">
        <v>440</v>
      </c>
      <c r="B115" s="7">
        <v>4016</v>
      </c>
      <c r="C115" s="25" t="s">
        <v>130</v>
      </c>
      <c r="D115" s="25" t="s">
        <v>62</v>
      </c>
      <c r="E115" s="16">
        <v>42593.68608796296</v>
      </c>
      <c r="F115" s="16">
        <v>42593.686874999999</v>
      </c>
      <c r="G115" s="7">
        <v>1</v>
      </c>
      <c r="H115" s="16" t="s">
        <v>441</v>
      </c>
      <c r="I115" s="16">
        <v>42593.712777777779</v>
      </c>
      <c r="J115" s="7">
        <v>0</v>
      </c>
      <c r="K115" s="149" t="str">
        <f t="shared" si="44"/>
        <v>4015/4016</v>
      </c>
      <c r="L115" s="25" t="str">
        <f>VLOOKUP(A115,'Trips&amp;Operators'!$C$1:$E$10000,3,FALSE)</f>
        <v>MOSES</v>
      </c>
      <c r="M115" s="6">
        <f t="shared" si="45"/>
        <v>2.5902777779265307E-2</v>
      </c>
      <c r="N115" s="7">
        <f>24*60*SUM($M115:$M115)</f>
        <v>37.300000002142042</v>
      </c>
      <c r="O115" s="7"/>
      <c r="P115" s="7"/>
      <c r="Q115" s="26"/>
      <c r="R115" s="26" t="s">
        <v>668</v>
      </c>
      <c r="S115" s="38">
        <f t="shared" si="46"/>
        <v>1</v>
      </c>
      <c r="T115" s="55" t="str">
        <f t="shared" si="47"/>
        <v>NorthBound</v>
      </c>
      <c r="U115" s="13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15:27:58-0600',mode:absolute,to:'2016-08-11 18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15" s="57" t="str">
        <f t="shared" si="49"/>
        <v>Y</v>
      </c>
      <c r="X115" s="133">
        <f t="shared" si="60"/>
        <v>1</v>
      </c>
      <c r="Y115" s="72">
        <f t="shared" si="50"/>
        <v>4.5999999999999999E-2</v>
      </c>
      <c r="Z115" s="72">
        <f t="shared" si="51"/>
        <v>16.029299999999999</v>
      </c>
      <c r="AA115" s="72">
        <f t="shared" si="52"/>
        <v>15.9833</v>
      </c>
      <c r="AB115" s="69" t="e">
        <f>VLOOKUP(A115,Enforcements!$C$7:$J$24,8,0)</f>
        <v>#N/A</v>
      </c>
      <c r="AC115" s="65" t="e">
        <f>VLOOKUP(A115,Enforcements!$C$7:$E$24,3,0)</f>
        <v>#N/A</v>
      </c>
      <c r="AD115" s="66" t="str">
        <f t="shared" si="53"/>
        <v>0203-11</v>
      </c>
      <c r="AE115" s="108" t="str">
        <f>"aws s3 cp "&amp;s3_bucket&amp;"/RTDC"&amp;B115&amp;"/"&amp;TEXT(F115,"YYYY-MM-DD")&amp;"/ "&amp;search_path&amp;"\RTDC"&amp;B115&amp;"\"&amp;TEXT(F115,"YYYY-MM-DD")&amp;" --recursive &amp; """&amp;walkandungz&amp;""" "&amp;search_path&amp;"\RTDC"&amp;B115&amp;"\"&amp;TEXT(F115,"YYYY-MM-DD")
&amp;" &amp; "&amp;"aws s3 cp "&amp;s3_bucket&amp;"/RTDC"&amp;B115&amp;"/"&amp;TEXT(F115+1,"YYYY-MM-DD")&amp;"/ "&amp;search_path&amp;"\RTDC"&amp;B115&amp;"\"&amp;TEXT(F115+1,"YYYY-MM-DD")&amp;" --recursive &amp; """&amp;walkandungz&amp;""" "&amp;search_path&amp;"\RTDC"&amp;B115&amp;"\"&amp;TEXT(F115+1,"YYYY-MM-DD")</f>
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</c>
      <c r="AF115" s="105" t="str">
        <f>astrogrep_path&amp;" /spath="&amp;search_path&amp;" /stypes=""*"&amp;B115&amp;"*"&amp;TEXT(I115-utc_offset/24,"YYYYMMDD")&amp;"*"" /stext="" "&amp;TEXT(I115-utc_offset/24,"HH")&amp;search_regexp&amp;""" /e /r /s"</f>
        <v>"C:\Program Files (x86)\AstroGrep\AstroGrep.exe" /spath="%USERPROFILE%\AppData\Local\Temp\OnboardLogs" /stypes="*4016*20160811*" /stext=" 23:.+((SYSTEM_STATE.+slice.+state.+changed )|(ment ac)|(system.+state.+changed )|(\|lc)|(penalty)|(\[timeout)|(PRM\|1\|D)|(kpr)|(kdp))" /e /r /s</v>
      </c>
      <c r="AG115" s="1" t="str">
        <f t="shared" si="54"/>
        <v>EC</v>
      </c>
      <c r="AH115" s="109" t="str">
        <f t="shared" si="55"/>
        <v>"%USERPROFILE%\Documents\GitHub\eaglep3\Utilities\RefineRTDCRunTimes.py" --tripid 203-11 --locoid 4016 --swversion DE.1.0.7.0 --startMP 204:460 --initTime 2016-08-11T16:27:58 --startdatetime 2016-08-11T16:29:06 --delay 1 --endMP 204:160293 --enddatetime 2016-08-11T17:06:24 --enforcementcount 0</v>
      </c>
    </row>
    <row r="116" spans="1:34" x14ac:dyDescent="0.25">
      <c r="A116" s="42" t="s">
        <v>442</v>
      </c>
      <c r="B116" s="7">
        <v>4015</v>
      </c>
      <c r="C116" s="25" t="s">
        <v>130</v>
      </c>
      <c r="D116" s="25" t="s">
        <v>163</v>
      </c>
      <c r="E116" s="16">
        <v>42593.725277777776</v>
      </c>
      <c r="F116" s="16">
        <v>42593.726053240738</v>
      </c>
      <c r="G116" s="7">
        <v>1</v>
      </c>
      <c r="H116" s="16" t="s">
        <v>443</v>
      </c>
      <c r="I116" s="16">
        <v>42593.759432870371</v>
      </c>
      <c r="J116" s="7">
        <v>1</v>
      </c>
      <c r="K116" s="149" t="str">
        <f t="shared" si="44"/>
        <v>4015/4016</v>
      </c>
      <c r="L116" s="25" t="str">
        <f>VLOOKUP(A116,'Trips&amp;Operators'!$C$1:$E$10000,3,FALSE)</f>
        <v>MOSES</v>
      </c>
      <c r="M116" s="6">
        <f t="shared" si="45"/>
        <v>3.3379629632690921E-2</v>
      </c>
      <c r="N116" s="7">
        <f t="shared" ref="N78:P153" si="63">24*60*SUM($M116:$M116)</f>
        <v>48.066666671074927</v>
      </c>
      <c r="O116" s="7"/>
      <c r="P116" s="7"/>
      <c r="Q116" s="26"/>
      <c r="R116" s="26"/>
      <c r="S116" s="38">
        <f t="shared" si="46"/>
        <v>1</v>
      </c>
      <c r="T116" s="55" t="str">
        <f t="shared" si="47"/>
        <v>Southbound</v>
      </c>
      <c r="U116" s="13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16:24:24-0600',mode:absolute,to:'2016-08-11 19:13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16" s="57" t="str">
        <f t="shared" si="49"/>
        <v>N</v>
      </c>
      <c r="X116" s="133">
        <f t="shared" si="60"/>
        <v>1</v>
      </c>
      <c r="Y116" s="72">
        <f t="shared" si="50"/>
        <v>23.299399999999999</v>
      </c>
      <c r="Z116" s="72">
        <f t="shared" si="51"/>
        <v>2.5100000000000001E-2</v>
      </c>
      <c r="AA116" s="72">
        <f t="shared" si="52"/>
        <v>23.2743</v>
      </c>
      <c r="AB116" s="69" t="e">
        <f>VLOOKUP(A116,Enforcements!$C$7:$J$24,8,0)</f>
        <v>#N/A</v>
      </c>
      <c r="AC116" s="65" t="e">
        <f>VLOOKUP(A116,Enforcements!$C$7:$E$24,3,0)</f>
        <v>#N/A</v>
      </c>
      <c r="AD116" s="66" t="str">
        <f t="shared" si="53"/>
        <v>0204-11</v>
      </c>
      <c r="AE116" s="108" t="str">
        <f>"aws s3 cp "&amp;s3_bucket&amp;"/RTDC"&amp;B116&amp;"/"&amp;TEXT(F116,"YYYY-MM-DD")&amp;"/ "&amp;search_path&amp;"\RTDC"&amp;B116&amp;"\"&amp;TEXT(F116,"YYYY-MM-DD")&amp;" --recursive &amp; """&amp;walkandungz&amp;""" "&amp;search_path&amp;"\RTDC"&amp;B116&amp;"\"&amp;TEXT(F116,"YYYY-MM-DD")
&amp;" &amp; "&amp;"aws s3 cp "&amp;s3_bucket&amp;"/RTDC"&amp;B116&amp;"/"&amp;TEXT(F116+1,"YYYY-MM-DD")&amp;"/ "&amp;search_path&amp;"\RTDC"&amp;B116&amp;"\"&amp;TEXT(F116+1,"YYYY-MM-DD")&amp;" --recursive &amp; """&amp;walkandungz&amp;""" "&amp;search_path&amp;"\RTDC"&amp;B116&amp;"\"&amp;TEXT(F116+1,"YYYY-MM-DD")</f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AF116" s="105" t="str">
        <f>astrogrep_path&amp;" /spath="&amp;search_path&amp;" /stypes=""*"&amp;B116&amp;"*"&amp;TEXT(I116-utc_offset/24,"YYYYMMDD")&amp;"*"" /stext="" "&amp;TEXT(I116-utc_offset/24,"HH")&amp;search_regexp&amp;""" /e /r /s"</f>
        <v>"C:\Program Files (x86)\AstroGrep\AstroGrep.exe" /spath="%USERPROFILE%\AppData\Local\Temp\OnboardLogs" /stypes="*4015*20160812*" /stext=" 00:.+((SYSTEM_STATE.+slice.+state.+changed )|(ment ac)|(system.+state.+changed )|(\|lc)|(penalty)|(\[timeout)|(PRM\|1\|D)|(kpr)|(kdp))" /e /r /s</v>
      </c>
      <c r="AG116" s="1" t="str">
        <f t="shared" si="54"/>
        <v>EC</v>
      </c>
      <c r="AH116" s="109" t="str">
        <f t="shared" si="55"/>
        <v>"%USERPROFILE%\Documents\GitHub\eaglep3\Utilities\RefineRTDCRunTimes.py" --tripid 204-11 --locoid 4015 --swversion DE.1.0.7.0 --startMP 204:232994 --initTime 2016-08-11T17:24:24 --startdatetime 2016-08-11T17:25:31 --delay 1 --endMP 204:251 --enddatetime 2016-08-11T18:13:35 --enforcementcount 1</v>
      </c>
    </row>
    <row r="117" spans="1:34" x14ac:dyDescent="0.25">
      <c r="A117" s="42" t="s">
        <v>444</v>
      </c>
      <c r="B117" s="7">
        <v>4014</v>
      </c>
      <c r="C117" s="25" t="s">
        <v>130</v>
      </c>
      <c r="D117" s="25" t="s">
        <v>365</v>
      </c>
      <c r="E117" s="16">
        <v>42593.695243055554</v>
      </c>
      <c r="F117" s="16">
        <v>42593.69630787037</v>
      </c>
      <c r="G117" s="7">
        <v>1</v>
      </c>
      <c r="H117" s="16" t="s">
        <v>445</v>
      </c>
      <c r="I117" s="16">
        <v>42593.728958333333</v>
      </c>
      <c r="J117" s="7">
        <v>0</v>
      </c>
      <c r="K117" s="149" t="str">
        <f t="shared" si="44"/>
        <v>4013/4014</v>
      </c>
      <c r="L117" s="25" t="str">
        <f>VLOOKUP(A117,'Trips&amp;Operators'!$C$1:$E$10000,3,FALSE)</f>
        <v>SWANSON</v>
      </c>
      <c r="M117" s="6">
        <f t="shared" si="45"/>
        <v>3.2650462962919846E-2</v>
      </c>
      <c r="N117" s="7">
        <f t="shared" si="63"/>
        <v>47.016666666604578</v>
      </c>
      <c r="O117" s="7"/>
      <c r="P117" s="7"/>
      <c r="Q117" s="26"/>
      <c r="R117" s="26"/>
      <c r="S117" s="38">
        <f t="shared" si="46"/>
        <v>1</v>
      </c>
      <c r="T117" s="55" t="str">
        <f t="shared" si="47"/>
        <v>NorthBound</v>
      </c>
      <c r="U117" s="13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15:41:09-0600',mode:absolute,to:'2016-08-11 18:29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17" s="57" t="str">
        <f t="shared" si="49"/>
        <v>N</v>
      </c>
      <c r="X117" s="133">
        <f t="shared" si="60"/>
        <v>1</v>
      </c>
      <c r="Y117" s="72">
        <f t="shared" si="50"/>
        <v>4.4200000000000003E-2</v>
      </c>
      <c r="Z117" s="72">
        <f t="shared" si="51"/>
        <v>23.336600000000001</v>
      </c>
      <c r="AA117" s="72">
        <f t="shared" si="52"/>
        <v>23.292400000000001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53"/>
        <v>0205-11</v>
      </c>
      <c r="AE117" s="108" t="str">
        <f>"aws s3 cp "&amp;s3_bucket&amp;"/RTDC"&amp;B117&amp;"/"&amp;TEXT(F117,"YYYY-MM-DD")&amp;"/ "&amp;search_path&amp;"\RTDC"&amp;B117&amp;"\"&amp;TEXT(F117,"YYYY-MM-DD")&amp;" --recursive &amp; """&amp;walkandungz&amp;""" "&amp;search_path&amp;"\RTDC"&amp;B117&amp;"\"&amp;TEXT(F117,"YYYY-MM-DD")
&amp;" &amp; "&amp;"aws s3 cp "&amp;s3_bucket&amp;"/RTDC"&amp;B117&amp;"/"&amp;TEXT(F117+1,"YYYY-MM-DD")&amp;"/ "&amp;search_path&amp;"\RTDC"&amp;B117&amp;"\"&amp;TEXT(F117+1,"YYYY-MM-DD")&amp;" --recursive &amp; """&amp;walkandungz&amp;""" "&amp;search_path&amp;"\RTDC"&amp;B117&amp;"\"&amp;TEXT(F117+1,"YYYY-MM-DD")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117" s="105" t="str">
        <f>astrogrep_path&amp;" /spath="&amp;search_path&amp;" /stypes=""*"&amp;B117&amp;"*"&amp;TEXT(I117-utc_offset/24,"YYYYMMDD")&amp;"*"" /stext="" "&amp;TEXT(I117-utc_offset/24,"HH")&amp;search_regexp&amp;""" /e /r /s"</f>
        <v>"C:\Program Files (x86)\AstroGrep\AstroGrep.exe" /spath="%USERPROFILE%\AppData\Local\Temp\OnboardLogs" /stypes="*4014*20160811*" /stext=" 23:.+((SYSTEM_STATE.+slice.+state.+changed )|(ment ac)|(system.+state.+changed )|(\|lc)|(penalty)|(\[timeout)|(PRM\|1\|D)|(kpr)|(kdp))" /e /r /s</v>
      </c>
      <c r="AG117" s="1" t="str">
        <f t="shared" si="54"/>
        <v>EC</v>
      </c>
      <c r="AH117" s="109" t="str">
        <f t="shared" si="55"/>
        <v>"%USERPROFILE%\Documents\GitHub\eaglep3\Utilities\RefineRTDCRunTimes.py" --tripid 205-11 --locoid 4014 --swversion DE.1.0.7.0 --startMP 204:442 --initTime 2016-08-11T16:41:09 --startdatetime 2016-08-11T16:42:41 --delay 1 --endMP 204:233366 --enddatetime 2016-08-11T17:29:42 --enforcementcount 0</v>
      </c>
    </row>
    <row r="118" spans="1:34" x14ac:dyDescent="0.25">
      <c r="A118" s="42" t="s">
        <v>446</v>
      </c>
      <c r="B118" s="7">
        <v>4013</v>
      </c>
      <c r="C118" s="25" t="s">
        <v>130</v>
      </c>
      <c r="D118" s="25" t="s">
        <v>243</v>
      </c>
      <c r="E118" s="16">
        <v>42593.733206018522</v>
      </c>
      <c r="F118" s="16">
        <v>42593.733935185184</v>
      </c>
      <c r="G118" s="7">
        <v>1</v>
      </c>
      <c r="H118" s="16" t="s">
        <v>176</v>
      </c>
      <c r="I118" s="16">
        <v>42593.772812499999</v>
      </c>
      <c r="J118" s="7">
        <v>0</v>
      </c>
      <c r="K118" s="149" t="str">
        <f t="shared" si="44"/>
        <v>4013/4014</v>
      </c>
      <c r="L118" s="25" t="str">
        <f>VLOOKUP(A118,'Trips&amp;Operators'!$C$1:$E$10000,3,FALSE)</f>
        <v>SWANSON</v>
      </c>
      <c r="M118" s="6">
        <f t="shared" si="45"/>
        <v>3.8877314815181307E-2</v>
      </c>
      <c r="N118" s="7">
        <f t="shared" si="63"/>
        <v>55.983333333861083</v>
      </c>
      <c r="O118" s="7"/>
      <c r="P118" s="7"/>
      <c r="Q118" s="26"/>
      <c r="R118" s="26"/>
      <c r="S118" s="38">
        <f t="shared" si="46"/>
        <v>1</v>
      </c>
      <c r="T118" s="55" t="str">
        <f t="shared" si="47"/>
        <v>Southbound</v>
      </c>
      <c r="U118" s="13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16:35:49-0600',mode:absolute,to:'2016-08-11 19:32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18" s="57" t="str">
        <f t="shared" si="49"/>
        <v>N</v>
      </c>
      <c r="X118" s="133">
        <f t="shared" si="60"/>
        <v>1</v>
      </c>
      <c r="Y118" s="72">
        <f t="shared" si="50"/>
        <v>23.3019</v>
      </c>
      <c r="Z118" s="72">
        <f t="shared" si="51"/>
        <v>1.3599999999999999E-2</v>
      </c>
      <c r="AA118" s="72">
        <f t="shared" si="52"/>
        <v>23.2883</v>
      </c>
      <c r="AB118" s="69" t="e">
        <f>VLOOKUP(A118,Enforcements!$C$7:$J$24,8,0)</f>
        <v>#N/A</v>
      </c>
      <c r="AC118" s="65" t="e">
        <f>VLOOKUP(A118,Enforcements!$C$7:$E$24,3,0)</f>
        <v>#N/A</v>
      </c>
      <c r="AD118" s="66" t="str">
        <f t="shared" si="53"/>
        <v>0206-11</v>
      </c>
      <c r="AE118" s="108" t="str">
        <f>"aws s3 cp "&amp;s3_bucket&amp;"/RTDC"&amp;B118&amp;"/"&amp;TEXT(F118,"YYYY-MM-DD")&amp;"/ "&amp;search_path&amp;"\RTDC"&amp;B118&amp;"\"&amp;TEXT(F118,"YYYY-MM-DD")&amp;" --recursive &amp; """&amp;walkandungz&amp;""" "&amp;search_path&amp;"\RTDC"&amp;B118&amp;"\"&amp;TEXT(F118,"YYYY-MM-DD")
&amp;" &amp; "&amp;"aws s3 cp "&amp;s3_bucket&amp;"/RTDC"&amp;B118&amp;"/"&amp;TEXT(F118+1,"YYYY-MM-DD")&amp;"/ "&amp;search_path&amp;"\RTDC"&amp;B118&amp;"\"&amp;TEXT(F118+1,"YYYY-MM-DD")&amp;" --recursive &amp; """&amp;walkandungz&amp;""" "&amp;search_path&amp;"\RTDC"&amp;B118&amp;"\"&amp;TEXT(F118+1,"YYYY-MM-DD")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AF118" s="105" t="str">
        <f>astrogrep_path&amp;" /spath="&amp;search_path&amp;" /stypes=""*"&amp;B118&amp;"*"&amp;TEXT(I118-utc_offset/24,"YYYYMMDD")&amp;"*"" /stext="" "&amp;TEXT(I118-utc_offset/24,"HH")&amp;search_regexp&amp;""" /e /r /s"</f>
        <v>"C:\Program Files (x86)\AstroGrep\AstroGrep.exe" /spath="%USERPROFILE%\AppData\Local\Temp\OnboardLogs" /stypes="*4013*20160812*" /stext=" 00:.+((SYSTEM_STATE.+slice.+state.+changed )|(ment ac)|(system.+state.+changed )|(\|lc)|(penalty)|(\[timeout)|(PRM\|1\|D)|(kpr)|(kdp))" /e /r /s</v>
      </c>
      <c r="AG118" s="1" t="str">
        <f t="shared" si="54"/>
        <v>EC</v>
      </c>
      <c r="AH118" s="109" t="str">
        <f t="shared" si="55"/>
        <v>"%USERPROFILE%\Documents\GitHub\eaglep3\Utilities\RefineRTDCRunTimes.py" --tripid 206-11 --locoid 4013 --swversion DE.1.0.7.0 --startMP 204:233019 --initTime 2016-08-11T17:35:49 --startdatetime 2016-08-11T17:36:52 --delay 1 --endMP 204:136 --enddatetime 2016-08-11T18:32:51 --enforcementcount 0</v>
      </c>
    </row>
    <row r="119" spans="1:34" x14ac:dyDescent="0.25">
      <c r="A119" s="42" t="s">
        <v>447</v>
      </c>
      <c r="B119" s="7">
        <v>4029</v>
      </c>
      <c r="C119" s="25" t="s">
        <v>130</v>
      </c>
      <c r="D119" s="25" t="s">
        <v>448</v>
      </c>
      <c r="E119" s="16">
        <v>42593.696134259262</v>
      </c>
      <c r="F119" s="16">
        <v>42593.705729166664</v>
      </c>
      <c r="G119" s="7">
        <v>13</v>
      </c>
      <c r="H119" s="16" t="s">
        <v>161</v>
      </c>
      <c r="I119" s="16">
        <v>42593.746111111112</v>
      </c>
      <c r="J119" s="7">
        <v>0</v>
      </c>
      <c r="K119" s="149" t="str">
        <f t="shared" si="44"/>
        <v>4029/4030</v>
      </c>
      <c r="L119" s="25" t="str">
        <f>VLOOKUP(A119,'Trips&amp;Operators'!$C$1:$E$10000,3,FALSE)</f>
        <v>SUR</v>
      </c>
      <c r="M119" s="6">
        <f t="shared" si="45"/>
        <v>4.0381944447290152E-2</v>
      </c>
      <c r="N119" s="7">
        <f t="shared" si="63"/>
        <v>58.150000004097819</v>
      </c>
      <c r="O119" s="7"/>
      <c r="P119" s="7"/>
      <c r="Q119" s="26"/>
      <c r="R119" s="26"/>
      <c r="S119" s="38">
        <f t="shared" si="46"/>
        <v>1</v>
      </c>
      <c r="T119" s="55" t="str">
        <f t="shared" si="47"/>
        <v>NorthBound</v>
      </c>
      <c r="U119" s="13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15:42:26-0600',mode:absolute,to:'2016-08-11 18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19" s="57" t="str">
        <f t="shared" si="49"/>
        <v>N</v>
      </c>
      <c r="X119" s="133">
        <f t="shared" si="60"/>
        <v>1</v>
      </c>
      <c r="Y119" s="72">
        <f t="shared" si="50"/>
        <v>0.14960000000000001</v>
      </c>
      <c r="Z119" s="72">
        <f t="shared" si="51"/>
        <v>23.328900000000001</v>
      </c>
      <c r="AA119" s="72">
        <f t="shared" si="52"/>
        <v>23.179300000000001</v>
      </c>
      <c r="AB119" s="69" t="e">
        <f>VLOOKUP(A119,Enforcements!$C$7:$J$24,8,0)</f>
        <v>#N/A</v>
      </c>
      <c r="AC119" s="65" t="e">
        <f>VLOOKUP(A119,Enforcements!$C$7:$E$24,3,0)</f>
        <v>#N/A</v>
      </c>
      <c r="AD119" s="66" t="str">
        <f t="shared" si="53"/>
        <v>0207-11</v>
      </c>
      <c r="AE119" s="108" t="str">
        <f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</c>
      <c r="AF119" s="105" t="str">
        <f>astrogrep_path&amp;" /spath="&amp;search_path&amp;" /stypes=""*"&amp;B119&amp;"*"&amp;TEXT(I119-utc_offset/24,"YYYYMMDD")&amp;"*"" /stext="" "&amp;TEXT(I119-utc_offset/24,"HH")&amp;search_regexp&amp;""" /e /r /s"</f>
        <v>"C:\Program Files (x86)\AstroGrep\AstroGrep.exe" /spath="%USERPROFILE%\AppData\Local\Temp\OnboardLogs" /stypes="*4029*20160811*" /stext=" 23:.+((SYSTEM_STATE.+slice.+state.+changed )|(ment ac)|(system.+state.+changed )|(\|lc)|(penalty)|(\[timeout)|(PRM\|1\|D)|(kpr)|(kdp))" /e /r /s</v>
      </c>
      <c r="AG119" s="1" t="str">
        <f t="shared" si="54"/>
        <v>EC</v>
      </c>
      <c r="AH119" s="109" t="str">
        <f t="shared" si="55"/>
        <v>"%USERPROFILE%\Documents\GitHub\eaglep3\Utilities\RefineRTDCRunTimes.py" --tripid 207-11 --locoid 4029 --swversion DE.1.0.7.0 --startMP 204:1496 --initTime 2016-08-11T16:42:26 --startdatetime 2016-08-11T16:56:15 --delay 13 --endMP 204:233289 --enddatetime 2016-08-11T17:54:24 --enforcementcount 0</v>
      </c>
    </row>
    <row r="120" spans="1:34" s="24" customFormat="1" x14ac:dyDescent="0.25">
      <c r="A120" s="42" t="s">
        <v>651</v>
      </c>
      <c r="B120" s="7">
        <v>4030</v>
      </c>
      <c r="C120" s="25"/>
      <c r="D120" s="25"/>
      <c r="E120" s="16"/>
      <c r="F120" s="16"/>
      <c r="G120" s="7"/>
      <c r="H120" s="16"/>
      <c r="I120" s="16"/>
      <c r="J120" s="7"/>
      <c r="K120" s="149" t="str">
        <f t="shared" ref="K120" si="64">IF(ISEVEN(B120),(B120-1)&amp;"/"&amp;B120,B120&amp;"/"&amp;(B120+1))</f>
        <v>4029/4030</v>
      </c>
      <c r="L120" s="25" t="e">
        <f>VLOOKUP(A120,'Trips&amp;Operators'!$C$1:$E$10000,3,FALSE)</f>
        <v>#N/A</v>
      </c>
      <c r="M120" s="6">
        <f t="shared" ref="M120" si="65">I120-F120</f>
        <v>0</v>
      </c>
      <c r="N120" s="7"/>
      <c r="O120" s="7"/>
      <c r="P120" s="7">
        <v>1</v>
      </c>
      <c r="Q120" s="26"/>
      <c r="R120" s="26" t="s">
        <v>230</v>
      </c>
      <c r="S120" s="38">
        <f t="shared" ref="S120" si="66">SUM(U120:U120)/IF(AG120="EC",12,1)</f>
        <v>0</v>
      </c>
      <c r="T120" s="55" t="str">
        <f t="shared" ref="T120" si="67">IF(ISEVEN(LEFT(AD120,4)),"Southbound","NorthBound")</f>
        <v>Southbound</v>
      </c>
      <c r="U120" s="13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0</v>
      </c>
      <c r="V120" s="115" t="e">
        <f t="shared" ref="V120" si="68"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120&amp;"%22')),sort:!(Time,asc))"</f>
        <v>#VALUE!</v>
      </c>
      <c r="W120" s="57" t="str">
        <f t="shared" ref="W120" si="69">IF(AA120&lt;IF(AG120="EC",23,5.65),"Y","N")</f>
        <v>Y</v>
      </c>
      <c r="X120" s="133">
        <f t="shared" si="60"/>
        <v>1</v>
      </c>
      <c r="Y120" s="72" t="e">
        <f t="shared" ref="Y120" si="70">RIGHT(D120,LEN(D120)-4)/10000</f>
        <v>#VALUE!</v>
      </c>
      <c r="Z120" s="72"/>
      <c r="AA120" s="72"/>
      <c r="AB120" s="69"/>
      <c r="AC120" s="65"/>
      <c r="AD120" s="66" t="str">
        <f t="shared" si="53"/>
        <v>0208-11</v>
      </c>
      <c r="AE120" s="108"/>
      <c r="AF120" s="105"/>
      <c r="AG120" s="1" t="str">
        <f t="shared" si="54"/>
        <v>EC</v>
      </c>
      <c r="AH120" s="109"/>
    </row>
    <row r="121" spans="1:34" x14ac:dyDescent="0.25">
      <c r="A121" s="42" t="s">
        <v>449</v>
      </c>
      <c r="B121" s="7">
        <v>4027</v>
      </c>
      <c r="C121" s="25" t="s">
        <v>130</v>
      </c>
      <c r="D121" s="25" t="s">
        <v>450</v>
      </c>
      <c r="E121" s="16">
        <v>42593.715486111112</v>
      </c>
      <c r="F121" s="16">
        <v>42593.716504629629</v>
      </c>
      <c r="G121" s="7">
        <v>1</v>
      </c>
      <c r="H121" s="16" t="s">
        <v>210</v>
      </c>
      <c r="I121" s="16">
        <v>42593.761388888888</v>
      </c>
      <c r="J121" s="7">
        <v>0</v>
      </c>
      <c r="K121" s="149" t="str">
        <f t="shared" si="44"/>
        <v>4027/4028</v>
      </c>
      <c r="L121" s="25" t="str">
        <f>VLOOKUP(A121,'Trips&amp;Operators'!$C$1:$E$10000,3,FALSE)</f>
        <v>STAMBAUGH</v>
      </c>
      <c r="M121" s="6">
        <f t="shared" si="45"/>
        <v>4.4884259259561077E-2</v>
      </c>
      <c r="N121" s="7">
        <f t="shared" si="63"/>
        <v>64.633333333767951</v>
      </c>
      <c r="O121" s="7"/>
      <c r="P121" s="7"/>
      <c r="Q121" s="26"/>
      <c r="R121" s="26"/>
      <c r="S121" s="38">
        <f t="shared" si="46"/>
        <v>1</v>
      </c>
      <c r="T121" s="55" t="str">
        <f t="shared" si="47"/>
        <v>NorthBound</v>
      </c>
      <c r="U121" s="13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16:10:18-0600',mode:absolute,to:'2016-08-11 19:16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21" s="57" t="str">
        <f t="shared" si="49"/>
        <v>N</v>
      </c>
      <c r="X121" s="133">
        <f t="shared" si="60"/>
        <v>1</v>
      </c>
      <c r="Y121" s="72">
        <f t="shared" si="50"/>
        <v>0.1171</v>
      </c>
      <c r="Z121" s="72">
        <f t="shared" si="51"/>
        <v>23.3306</v>
      </c>
      <c r="AA121" s="72">
        <f t="shared" si="52"/>
        <v>23.2135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53"/>
        <v>0209-11</v>
      </c>
      <c r="AE121" s="108" t="str">
        <f t="shared" ref="AE121:AE152" si="71">"aws s3 cp "&amp;s3_bucket&amp;"/RTDC"&amp;B121&amp;"/"&amp;TEXT(F121,"YYYY-MM-DD")&amp;"/ "&amp;search_path&amp;"\RTDC"&amp;B121&amp;"\"&amp;TEXT(F121,"YYYY-MM-DD")&amp;" --recursive &amp; """&amp;walkandungz&amp;""" "&amp;search_path&amp;"\RTDC"&amp;B121&amp;"\"&amp;TEXT(F121,"YYYY-MM-DD")
&amp;" &amp; "&amp;"aws s3 cp "&amp;s3_bucket&amp;"/RTDC"&amp;B121&amp;"/"&amp;TEXT(F121+1,"YYYY-MM-DD")&amp;"/ "&amp;search_path&amp;"\RTDC"&amp;B121&amp;"\"&amp;TEXT(F121+1,"YYYY-MM-DD")&amp;" --recursive &amp; """&amp;walkandungz&amp;""" "&amp;search_path&amp;"\RTDC"&amp;B121&amp;"\"&amp;TEXT(F121+1,"YYYY-MM-DD")</f>
        <v>aws s3 cp s3://rtdc.mdm.uploadarchive/RTDC4027/2016-08-11/ "%USERPROFILE%\AppData\Local\Temp\OnboardLogs"\RTDC4027\2016-08-11 --recursive &amp; "%USERPROFILE%\Documents\GitHub\mrs-test-scripts\Headless Mode &amp; Sideloading\WalkAndUnGZ.bat" "%USERPROFILE%\AppData\Local\Temp\OnboardLogs"\RTDC4027\2016-08-11 &amp; 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</v>
      </c>
      <c r="AF121" s="105" t="str">
        <f t="shared" ref="AF121:AF152" si="72">astrogrep_path&amp;" /spath="&amp;search_path&amp;" /stypes=""*"&amp;B121&amp;"*"&amp;TEXT(I121-utc_offset/24,"YYYYMMDD")&amp;"*"" /stext="" "&amp;TEXT(I121-utc_offset/24,"HH")&amp;search_regexp&amp;""" /e /r /s"</f>
        <v>"C:\Program Files (x86)\AstroGrep\AstroGrep.exe" /spath="%USERPROFILE%\AppData\Local\Temp\OnboardLogs" /stypes="*4027*20160812*" /stext=" 00:.+((SYSTEM_STATE.+slice.+state.+changed )|(ment ac)|(system.+state.+changed )|(\|lc)|(penalty)|(\[timeout)|(PRM\|1\|D)|(kpr)|(kdp))" /e /r /s</v>
      </c>
      <c r="AG121" s="1" t="str">
        <f t="shared" si="54"/>
        <v>EC</v>
      </c>
      <c r="AH121" s="109" t="str">
        <f t="shared" si="55"/>
        <v>"%USERPROFILE%\Documents\GitHub\eaglep3\Utilities\RefineRTDCRunTimes.py" --tripid 209-11 --locoid 4027 --swversion DE.1.0.7.0 --startMP 204:1171 --initTime 2016-08-11T17:10:18 --startdatetime 2016-08-11T17:11:46 --delay 1 --endMP 204:233306 --enddatetime 2016-08-11T18:16:24 --enforcementcount 0</v>
      </c>
    </row>
    <row r="122" spans="1:34" s="24" customFormat="1" x14ac:dyDescent="0.25">
      <c r="A122" s="42" t="s">
        <v>631</v>
      </c>
      <c r="B122" s="7">
        <v>4029</v>
      </c>
      <c r="C122" s="25"/>
      <c r="D122" s="25"/>
      <c r="E122" s="16"/>
      <c r="F122" s="16"/>
      <c r="G122" s="7"/>
      <c r="H122" s="16"/>
      <c r="I122" s="16"/>
      <c r="J122" s="7"/>
      <c r="K122" s="149" t="str">
        <f t="shared" si="44"/>
        <v>4029/4030</v>
      </c>
      <c r="L122" s="25" t="str">
        <f>VLOOKUP(A122,'Trips&amp;Operators'!$C$1:$E$10000,3,FALSE)</f>
        <v>SUR</v>
      </c>
      <c r="M122" s="6">
        <f t="shared" ref="M122" si="73">I122-F122</f>
        <v>0</v>
      </c>
      <c r="N122" s="7"/>
      <c r="O122" s="7"/>
      <c r="P122" s="7">
        <v>1</v>
      </c>
      <c r="Q122" s="26"/>
      <c r="R122" s="26" t="s">
        <v>230</v>
      </c>
      <c r="S122" s="38">
        <f t="shared" ref="S122" si="74">SUM(U122:U122)/IF(AG122="EC",12,1)</f>
        <v>0</v>
      </c>
      <c r="T122" s="55" t="str">
        <f t="shared" ref="T122" si="75">IF(ISEVEN(LEFT(AD122,4)),"Southbound","NorthBound")</f>
        <v>Southbound</v>
      </c>
      <c r="U122" s="13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0</v>
      </c>
      <c r="V122" s="115" t="e">
        <f t="shared" ref="V122" si="76"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122&amp;"%22')),sort:!(Time,asc))"</f>
        <v>#VALUE!</v>
      </c>
      <c r="W122" s="57" t="e">
        <f t="shared" ref="W122" si="77">IF(AA122&lt;IF(AG122="EC",23,5.65),"Y","N")</f>
        <v>#VALUE!</v>
      </c>
      <c r="X122" s="133">
        <f t="shared" si="60"/>
        <v>1</v>
      </c>
      <c r="Y122" s="72" t="e">
        <f t="shared" ref="Y122" si="78">RIGHT(D122,LEN(D122)-4)/10000</f>
        <v>#VALUE!</v>
      </c>
      <c r="Z122" s="72" t="e">
        <f t="shared" ref="Z122" si="79">RIGHT(H122,LEN(H122)-4)/10000</f>
        <v>#VALUE!</v>
      </c>
      <c r="AA122" s="72" t="e">
        <f t="shared" ref="AA122" si="80">ABS(Z122-Y122)</f>
        <v>#VALUE!</v>
      </c>
      <c r="AB122" s="69" t="e">
        <f>VLOOKUP(A122,Enforcements!$C$7:$J$24,8,0)</f>
        <v>#N/A</v>
      </c>
      <c r="AC122" s="65" t="e">
        <f>VLOOKUP(A122,Enforcements!$C$7:$E$24,3,0)</f>
        <v>#N/A</v>
      </c>
      <c r="AD122" s="66" t="str">
        <f t="shared" ref="AD122" si="81">IF(LEN(A122)=6,"0"&amp;A122,A122)</f>
        <v>0210-11</v>
      </c>
      <c r="AE122" s="108" t="str">
        <f t="shared" si="71"/>
        <v>aws s3 cp s3://rtdc.mdm.uploadarchive/RTDC4029/1900-01-00/ "%USERPROFILE%\AppData\Local\Temp\OnboardLogs"\RTDC4029\1900-01-00 --recursive &amp; "%USERPROFILE%\Documents\GitHub\mrs-test-scripts\Headless Mode &amp; Sideloading\WalkAndUnGZ.bat" "%USERPROFILE%\AppData\Local\Temp\OnboardLogs"\RTDC4029\1900-01-00 &amp; aws s3 cp s3://rtdc.mdm.uploadarchive/RTDC4029/1900-01-01/ "%USERPROFILE%\AppData\Local\Temp\OnboardLogs"\RTDC4029\1900-01-01 --recursive &amp; "%USERPROFILE%\Documents\GitHub\mrs-test-scripts\Headless Mode &amp; Sideloading\WalkAndUnGZ.bat" "%USERPROFILE%\AppData\Local\Temp\OnboardLogs"\RTDC4029\1900-01-01</v>
      </c>
      <c r="AF122" s="105" t="str">
        <f t="shared" si="72"/>
        <v>"C:\Program Files (x86)\AstroGrep\AstroGrep.exe" /spath="%USERPROFILE%\AppData\Local\Temp\OnboardLogs" /stypes="*4029*19000100*" /stext=" 06:.+((SYSTEM_STATE.+slice.+state.+changed )|(ment ac)|(system.+state.+changed )|(\|lc)|(penalty)|(\[timeout)|(PRM\|1\|D)|(kpr)|(kdp))" /e /r /s</v>
      </c>
      <c r="AG122" s="1" t="str">
        <f t="shared" si="54"/>
        <v>EC</v>
      </c>
      <c r="AH122" s="109" t="str">
        <f t="shared" ref="AH122" si="82">refinertdcruntimes&amp;" --tripid "&amp;A122&amp;" --locoid "&amp;B122&amp;" --swversion "&amp;C122&amp;" --startMP "&amp;D122&amp;" --initTime "&amp;TEXT(E122,"yyyy-mm-ddTHH:MM:SS")&amp;" --startdatetime "&amp;TEXT(F122,"yyyy-mm-ddTHH:MM:SS")&amp;" --delay "&amp;G122&amp;" --endMP "&amp;H122&amp;" --enddatetime "&amp;TEXT(I122,"yyyy-mm-ddTHH:MM:SS")&amp;" --enforcementcount "&amp;J122</f>
        <v xml:space="preserve">"%USERPROFILE%\Documents\GitHub\eaglep3\Utilities\RefineRTDCRunTimes.py" --tripid 210-11 --locoid 4029 --swversion  --startMP  --initTime 1900-01-00T00:00:00 --startdatetime 1900-01-00T00:00:00 --delay  --endMP  --enddatetime 1900-01-00T00:00:00 --enforcementcount </v>
      </c>
    </row>
    <row r="123" spans="1:34" x14ac:dyDescent="0.25">
      <c r="A123" s="42" t="s">
        <v>451</v>
      </c>
      <c r="B123" s="7">
        <v>4038</v>
      </c>
      <c r="C123" s="25" t="s">
        <v>130</v>
      </c>
      <c r="D123" s="25" t="s">
        <v>452</v>
      </c>
      <c r="E123" s="16">
        <v>42593.719386574077</v>
      </c>
      <c r="F123" s="16">
        <v>42593.721585648149</v>
      </c>
      <c r="G123" s="7">
        <v>3</v>
      </c>
      <c r="H123" s="16" t="s">
        <v>453</v>
      </c>
      <c r="I123" s="16">
        <v>42593.775914351849</v>
      </c>
      <c r="J123" s="7">
        <v>0</v>
      </c>
      <c r="K123" s="149" t="str">
        <f t="shared" si="44"/>
        <v>4037/4038</v>
      </c>
      <c r="L123" s="25" t="str">
        <f>VLOOKUP(A123,'Trips&amp;Operators'!$C$1:$E$10000,3,FALSE)</f>
        <v>YOUNG</v>
      </c>
      <c r="M123" s="6">
        <f t="shared" si="45"/>
        <v>5.432870369986631E-2</v>
      </c>
      <c r="N123" s="7">
        <f t="shared" si="63"/>
        <v>78.233333327807486</v>
      </c>
      <c r="O123" s="7"/>
      <c r="P123" s="7"/>
      <c r="Q123" s="26"/>
      <c r="R123" s="26"/>
      <c r="S123" s="38">
        <f t="shared" si="46"/>
        <v>1</v>
      </c>
      <c r="T123" s="55" t="str">
        <f t="shared" si="47"/>
        <v>NorthBound</v>
      </c>
      <c r="U123" s="13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16:15:55-0600',mode:absolute,to:'2016-08-11 19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23" s="57" t="str">
        <f t="shared" si="49"/>
        <v>N</v>
      </c>
      <c r="X123" s="133">
        <f t="shared" si="60"/>
        <v>1</v>
      </c>
      <c r="Y123" s="72">
        <f t="shared" si="50"/>
        <v>5.1700000000000003E-2</v>
      </c>
      <c r="Z123" s="72">
        <f t="shared" si="51"/>
        <v>23.331600000000002</v>
      </c>
      <c r="AA123" s="72">
        <f t="shared" si="52"/>
        <v>23.279900000000001</v>
      </c>
      <c r="AB123" s="69" t="e">
        <f>VLOOKUP(A123,Enforcements!$C$7:$J$24,8,0)</f>
        <v>#N/A</v>
      </c>
      <c r="AC123" s="65" t="e">
        <f>VLOOKUP(A123,Enforcements!$C$7:$E$24,3,0)</f>
        <v>#N/A</v>
      </c>
      <c r="AD123" s="66" t="str">
        <f t="shared" si="53"/>
        <v>0211-11</v>
      </c>
      <c r="AE123" s="108" t="str">
        <f t="shared" si="71"/>
        <v>aws s3 cp s3://rtdc.mdm.uploadarchive/RTDC4038/2016-08-11/ "%USERPROFILE%\AppData\Local\Temp\OnboardLogs"\RTDC4038\2016-08-11 --recursive &amp; "%USERPROFILE%\Documents\GitHub\mrs-test-scripts\Headless Mode &amp; Sideloading\WalkAndUnGZ.bat" "%USERPROFILE%\AppData\Local\Temp\OnboardLogs"\RTDC4038\2016-08-11 &amp; aws s3 cp s3://rtdc.mdm.uploadarchive/RTDC4038/2016-08-12/ "%USERPROFILE%\AppData\Local\Temp\OnboardLogs"\RTDC4038\2016-08-12 --recursive &amp; "%USERPROFILE%\Documents\GitHub\mrs-test-scripts\Headless Mode &amp; Sideloading\WalkAndUnGZ.bat" "%USERPROFILE%\AppData\Local\Temp\OnboardLogs"\RTDC4038\2016-08-12</v>
      </c>
      <c r="AF123" s="105" t="str">
        <f t="shared" si="72"/>
        <v>"C:\Program Files (x86)\AstroGrep\AstroGrep.exe" /spath="%USERPROFILE%\AppData\Local\Temp\OnboardLogs" /stypes="*4038*20160812*" /stext=" 00:.+((SYSTEM_STATE.+slice.+state.+changed )|(ment ac)|(system.+state.+changed )|(\|lc)|(penalty)|(\[timeout)|(PRM\|1\|D)|(kpr)|(kdp))" /e /r /s</v>
      </c>
      <c r="AG123" s="1" t="str">
        <f t="shared" si="54"/>
        <v>EC</v>
      </c>
      <c r="AH123" s="109" t="str">
        <f t="shared" si="55"/>
        <v>"%USERPROFILE%\Documents\GitHub\eaglep3\Utilities\RefineRTDCRunTimes.py" --tripid 211-11 --locoid 4038 --swversion DE.1.0.7.0 --startMP 204:517 --initTime 2016-08-11T17:15:55 --startdatetime 2016-08-11T17:19:05 --delay 3 --endMP 204:233316 --enddatetime 2016-08-11T18:37:19 --enforcementcount 0</v>
      </c>
    </row>
    <row r="124" spans="1:34" x14ac:dyDescent="0.25">
      <c r="A124" s="42" t="s">
        <v>454</v>
      </c>
      <c r="B124" s="7">
        <v>4028</v>
      </c>
      <c r="C124" s="25" t="s">
        <v>130</v>
      </c>
      <c r="D124" s="25" t="s">
        <v>171</v>
      </c>
      <c r="E124" s="16">
        <v>42593.767546296294</v>
      </c>
      <c r="F124" s="16">
        <v>42593.768819444442</v>
      </c>
      <c r="G124" s="7">
        <v>1</v>
      </c>
      <c r="H124" s="16" t="s">
        <v>169</v>
      </c>
      <c r="I124" s="16">
        <v>42593.806273148148</v>
      </c>
      <c r="J124" s="7">
        <v>0</v>
      </c>
      <c r="K124" s="149" t="str">
        <f t="shared" si="44"/>
        <v>4027/4028</v>
      </c>
      <c r="L124" s="25" t="str">
        <f>VLOOKUP(A124,'Trips&amp;Operators'!$C$1:$E$10000,3,FALSE)</f>
        <v>STAMBAUGH</v>
      </c>
      <c r="M124" s="6">
        <f t="shared" si="45"/>
        <v>3.7453703705978114E-2</v>
      </c>
      <c r="N124" s="7">
        <f t="shared" si="63"/>
        <v>53.933333336608484</v>
      </c>
      <c r="O124" s="7"/>
      <c r="P124" s="7"/>
      <c r="Q124" s="26"/>
      <c r="R124" s="26"/>
      <c r="S124" s="38">
        <f t="shared" si="46"/>
        <v>1</v>
      </c>
      <c r="T124" s="55" t="str">
        <f t="shared" si="47"/>
        <v>Southbound</v>
      </c>
      <c r="U124" s="13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17:25:16-0600',mode:absolute,to:'2016-08-11 20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24" s="57" t="str">
        <f t="shared" si="49"/>
        <v>N</v>
      </c>
      <c r="X124" s="133">
        <f t="shared" si="60"/>
        <v>1</v>
      </c>
      <c r="Y124" s="72">
        <f t="shared" si="50"/>
        <v>23.299600000000002</v>
      </c>
      <c r="Z124" s="72">
        <f t="shared" si="51"/>
        <v>1.41E-2</v>
      </c>
      <c r="AA124" s="72">
        <f t="shared" si="52"/>
        <v>23.285500000000003</v>
      </c>
      <c r="AB124" s="69" t="e">
        <f>VLOOKUP(A124,Enforcements!$C$7:$J$24,8,0)</f>
        <v>#N/A</v>
      </c>
      <c r="AC124" s="65" t="e">
        <f>VLOOKUP(A124,Enforcements!$C$7:$E$24,3,0)</f>
        <v>#N/A</v>
      </c>
      <c r="AD124" s="66" t="str">
        <f t="shared" si="53"/>
        <v>0212-11</v>
      </c>
      <c r="AE124" s="108" t="str">
        <f t="shared" si="71"/>
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</c>
      <c r="AF124" s="105" t="str">
        <f t="shared" si="72"/>
        <v>"C:\Program Files (x86)\AstroGrep\AstroGrep.exe" /spath="%USERPROFILE%\AppData\Local\Temp\OnboardLogs" /stypes="*4028*20160812*" /stext=" 01:.+((SYSTEM_STATE.+slice.+state.+changed )|(ment ac)|(system.+state.+changed )|(\|lc)|(penalty)|(\[timeout)|(PRM\|1\|D)|(kpr)|(kdp))" /e /r /s</v>
      </c>
      <c r="AG124" s="1" t="str">
        <f t="shared" si="54"/>
        <v>EC</v>
      </c>
      <c r="AH124" s="109" t="str">
        <f t="shared" si="55"/>
        <v>"%USERPROFILE%\Documents\GitHub\eaglep3\Utilities\RefineRTDCRunTimes.py" --tripid 212-11 --locoid 4028 --swversion DE.1.0.7.0 --startMP 204:232996 --initTime 2016-08-11T18:25:16 --startdatetime 2016-08-11T18:27:06 --delay 1 --endMP 204:141 --enddatetime 2016-08-11T19:21:02 --enforcementcount 0</v>
      </c>
    </row>
    <row r="125" spans="1:34" x14ac:dyDescent="0.25">
      <c r="A125" s="42" t="s">
        <v>455</v>
      </c>
      <c r="B125" s="7">
        <v>4025</v>
      </c>
      <c r="C125" s="25" t="s">
        <v>130</v>
      </c>
      <c r="D125" s="25" t="s">
        <v>236</v>
      </c>
      <c r="E125" s="16">
        <v>42593.734756944446</v>
      </c>
      <c r="F125" s="16">
        <v>42593.735775462963</v>
      </c>
      <c r="G125" s="7">
        <v>1</v>
      </c>
      <c r="H125" s="16" t="s">
        <v>456</v>
      </c>
      <c r="I125" s="16">
        <v>42593.778495370374</v>
      </c>
      <c r="J125" s="7">
        <v>1</v>
      </c>
      <c r="K125" s="149" t="str">
        <f t="shared" si="44"/>
        <v>4025/4026</v>
      </c>
      <c r="L125" s="25" t="str">
        <f>VLOOKUP(A125,'Trips&amp;Operators'!$C$1:$E$10000,3,FALSE)</f>
        <v>COOLAHAN</v>
      </c>
      <c r="M125" s="6">
        <f t="shared" si="45"/>
        <v>4.2719907411083113E-2</v>
      </c>
      <c r="N125" s="7">
        <f t="shared" si="63"/>
        <v>61.516666671959683</v>
      </c>
      <c r="O125" s="7"/>
      <c r="P125" s="7"/>
      <c r="Q125" s="26"/>
      <c r="R125" s="26"/>
      <c r="S125" s="38">
        <f t="shared" si="46"/>
        <v>1</v>
      </c>
      <c r="T125" s="55" t="str">
        <f t="shared" si="47"/>
        <v>NorthBound</v>
      </c>
      <c r="U125" s="13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16:38:03-0600',mode:absolute,to:'2016-08-11 19:41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25" s="57" t="str">
        <f t="shared" si="49"/>
        <v>N</v>
      </c>
      <c r="X125" s="133">
        <f t="shared" si="60"/>
        <v>1</v>
      </c>
      <c r="Y125" s="72">
        <f t="shared" si="50"/>
        <v>4.4699999999999997E-2</v>
      </c>
      <c r="Z125" s="72">
        <f t="shared" si="51"/>
        <v>23.327200000000001</v>
      </c>
      <c r="AA125" s="72">
        <f t="shared" si="52"/>
        <v>23.282500000000002</v>
      </c>
      <c r="AB125" s="69" t="e">
        <f>VLOOKUP(A125,Enforcements!$C$7:$J$24,8,0)</f>
        <v>#N/A</v>
      </c>
      <c r="AC125" s="65" t="e">
        <f>VLOOKUP(A125,Enforcements!$C$7:$E$24,3,0)</f>
        <v>#N/A</v>
      </c>
      <c r="AD125" s="66" t="str">
        <f t="shared" si="53"/>
        <v>0213-11</v>
      </c>
      <c r="AE125" s="108" t="str">
        <f t="shared" si="71"/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AF125" s="105" t="str">
        <f t="shared" si="72"/>
        <v>"C:\Program Files (x86)\AstroGrep\AstroGrep.exe" /spath="%USERPROFILE%\AppData\Local\Temp\OnboardLogs" /stypes="*4025*20160812*" /stext=" 00:.+((SYSTEM_STATE.+slice.+state.+changed )|(ment ac)|(system.+state.+changed )|(\|lc)|(penalty)|(\[timeout)|(PRM\|1\|D)|(kpr)|(kdp))" /e /r /s</v>
      </c>
      <c r="AG125" s="1" t="str">
        <f t="shared" si="54"/>
        <v>EC</v>
      </c>
      <c r="AH125" s="109" t="str">
        <f t="shared" si="55"/>
        <v>"%USERPROFILE%\Documents\GitHub\eaglep3\Utilities\RefineRTDCRunTimes.py" --tripid 213-11 --locoid 4025 --swversion DE.1.0.7.0 --startMP 204:447 --initTime 2016-08-11T17:38:03 --startdatetime 2016-08-11T17:39:31 --delay 1 --endMP 204:233272 --enddatetime 2016-08-11T18:41:02 --enforcementcount 1</v>
      </c>
    </row>
    <row r="126" spans="1:34" x14ac:dyDescent="0.25">
      <c r="A126" s="42" t="s">
        <v>458</v>
      </c>
      <c r="B126" s="7">
        <v>4031</v>
      </c>
      <c r="C126" s="25" t="s">
        <v>130</v>
      </c>
      <c r="D126" s="25" t="s">
        <v>459</v>
      </c>
      <c r="E126" s="16">
        <v>42593.744537037041</v>
      </c>
      <c r="F126" s="16">
        <v>42593.745555555557</v>
      </c>
      <c r="G126" s="7">
        <v>1</v>
      </c>
      <c r="H126" s="16" t="s">
        <v>460</v>
      </c>
      <c r="I126" s="16">
        <v>42593.793136574073</v>
      </c>
      <c r="J126" s="7">
        <v>0</v>
      </c>
      <c r="K126" s="149" t="str">
        <f t="shared" si="44"/>
        <v>4031/4032</v>
      </c>
      <c r="L126" s="25" t="str">
        <f>VLOOKUP(A126,'Trips&amp;Operators'!$C$1:$E$10000,3,FALSE)</f>
        <v>WEBSTER</v>
      </c>
      <c r="M126" s="6">
        <f t="shared" si="45"/>
        <v>4.758101851621177E-2</v>
      </c>
      <c r="N126" s="7">
        <f t="shared" si="63"/>
        <v>68.516666663344949</v>
      </c>
      <c r="O126" s="7"/>
      <c r="P126" s="7"/>
      <c r="Q126" s="26"/>
      <c r="R126" s="26"/>
      <c r="S126" s="38">
        <f t="shared" si="46"/>
        <v>1</v>
      </c>
      <c r="T126" s="55" t="str">
        <f t="shared" si="47"/>
        <v>NorthBound</v>
      </c>
      <c r="U126" s="13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16:52:08-0600',mode:absolute,to:'2016-08-11 20:02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26" s="57" t="str">
        <f t="shared" si="49"/>
        <v>N</v>
      </c>
      <c r="X126" s="133">
        <f t="shared" si="60"/>
        <v>2</v>
      </c>
      <c r="Y126" s="72">
        <f t="shared" si="50"/>
        <v>0.115</v>
      </c>
      <c r="Z126" s="72">
        <f t="shared" si="51"/>
        <v>23.335999999999999</v>
      </c>
      <c r="AA126" s="72">
        <f t="shared" si="52"/>
        <v>23.221</v>
      </c>
      <c r="AB126" s="69" t="e">
        <f>VLOOKUP(A126,Enforcements!$C$7:$J$24,8,0)</f>
        <v>#N/A</v>
      </c>
      <c r="AC126" s="65" t="e">
        <f>VLOOKUP(A126,Enforcements!$C$7:$E$24,3,0)</f>
        <v>#N/A</v>
      </c>
      <c r="AD126" s="66" t="str">
        <f t="shared" si="53"/>
        <v>0215-11</v>
      </c>
      <c r="AE126" s="108" t="str">
        <f t="shared" si="71"/>
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</c>
      <c r="AF126" s="105" t="str">
        <f t="shared" si="72"/>
        <v>"C:\Program Files (x86)\AstroGrep\AstroGrep.exe" /spath="%USERPROFILE%\AppData\Local\Temp\OnboardLogs" /stypes="*4031*20160812*" /stext=" 01:.+((SYSTEM_STATE.+slice.+state.+changed )|(ment ac)|(system.+state.+changed )|(\|lc)|(penalty)|(\[timeout)|(PRM\|1\|D)|(kpr)|(kdp))" /e /r /s</v>
      </c>
      <c r="AG126" s="1" t="str">
        <f t="shared" si="54"/>
        <v>EC</v>
      </c>
      <c r="AH126" s="109" t="str">
        <f t="shared" si="55"/>
        <v>"%USERPROFILE%\Documents\GitHub\eaglep3\Utilities\RefineRTDCRunTimes.py" --tripid 215-11 --locoid 4031 --swversion DE.1.0.7.0 --startMP 204:1150 --initTime 2016-08-11T17:52:08 --startdatetime 2016-08-11T17:53:36 --delay 1 --endMP 204:233360 --enddatetime 2016-08-11T19:02:07 --enforcementcount 0</v>
      </c>
    </row>
    <row r="127" spans="1:34" x14ac:dyDescent="0.25">
      <c r="A127" s="42" t="s">
        <v>461</v>
      </c>
      <c r="B127" s="7">
        <v>4037</v>
      </c>
      <c r="C127" s="25" t="s">
        <v>130</v>
      </c>
      <c r="D127" s="25" t="s">
        <v>208</v>
      </c>
      <c r="E127" s="16">
        <v>42593.780821759261</v>
      </c>
      <c r="F127" s="16">
        <v>42593.783078703702</v>
      </c>
      <c r="G127" s="7">
        <v>3</v>
      </c>
      <c r="H127" s="16" t="s">
        <v>169</v>
      </c>
      <c r="I127" s="16">
        <v>42593.824826388889</v>
      </c>
      <c r="J127" s="7">
        <v>0</v>
      </c>
      <c r="K127" s="149" t="str">
        <f t="shared" si="44"/>
        <v>4037/4038</v>
      </c>
      <c r="L127" s="25" t="str">
        <f>VLOOKUP(A127,'Trips&amp;Operators'!$C$1:$E$10000,3,FALSE)</f>
        <v>YOUNG</v>
      </c>
      <c r="M127" s="6">
        <f t="shared" si="45"/>
        <v>4.1747685187146999E-2</v>
      </c>
      <c r="N127" s="7">
        <f t="shared" si="63"/>
        <v>60.116666669491678</v>
      </c>
      <c r="O127" s="7"/>
      <c r="P127" s="7"/>
      <c r="Q127" s="26"/>
      <c r="R127" s="26"/>
      <c r="S127" s="38">
        <f t="shared" si="46"/>
        <v>1</v>
      </c>
      <c r="T127" s="55" t="str">
        <f t="shared" si="47"/>
        <v>Southbound</v>
      </c>
      <c r="U127" s="13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17:44:23-0600',mode:absolute,to:'2016-08-11 20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27" s="57" t="str">
        <f t="shared" si="49"/>
        <v>N</v>
      </c>
      <c r="X127" s="133">
        <f t="shared" si="60"/>
        <v>1</v>
      </c>
      <c r="Y127" s="72">
        <f t="shared" si="50"/>
        <v>23.297999999999998</v>
      </c>
      <c r="Z127" s="72">
        <f t="shared" si="51"/>
        <v>1.41E-2</v>
      </c>
      <c r="AA127" s="72">
        <f t="shared" si="52"/>
        <v>23.283899999999999</v>
      </c>
      <c r="AB127" s="69" t="e">
        <f>VLOOKUP(A127,Enforcements!$C$7:$J$24,8,0)</f>
        <v>#N/A</v>
      </c>
      <c r="AC127" s="65" t="e">
        <f>VLOOKUP(A127,Enforcements!$C$7:$E$24,3,0)</f>
        <v>#N/A</v>
      </c>
      <c r="AD127" s="66" t="str">
        <f t="shared" si="53"/>
        <v>0216-11</v>
      </c>
      <c r="AE127" s="108" t="str">
        <f t="shared" si="71"/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AF127" s="105" t="str">
        <f t="shared" si="72"/>
        <v>"C:\Program Files (x86)\AstroGrep\AstroGrep.exe" /spath="%USERPROFILE%\AppData\Local\Temp\OnboardLogs" /stypes="*4037*20160812*" /stext=" 01:.+((SYSTEM_STATE.+slice.+state.+changed )|(ment ac)|(system.+state.+changed )|(\|lc)|(penalty)|(\[timeout)|(PRM\|1\|D)|(kpr)|(kdp))" /e /r /s</v>
      </c>
      <c r="AG127" s="1" t="str">
        <f t="shared" si="54"/>
        <v>EC</v>
      </c>
      <c r="AH127" s="109" t="str">
        <f t="shared" si="55"/>
        <v>"%USERPROFILE%\Documents\GitHub\eaglep3\Utilities\RefineRTDCRunTimes.py" --tripid 216-11 --locoid 4037 --swversion DE.1.0.7.0 --startMP 204:232980 --initTime 2016-08-11T18:44:23 --startdatetime 2016-08-11T18:47:38 --delay 3 --endMP 204:141 --enddatetime 2016-08-11T19:47:45 --enforcementcount 0</v>
      </c>
    </row>
    <row r="128" spans="1:34" x14ac:dyDescent="0.25">
      <c r="A128" s="42" t="s">
        <v>462</v>
      </c>
      <c r="B128" s="7">
        <v>4016</v>
      </c>
      <c r="C128" s="25" t="s">
        <v>130</v>
      </c>
      <c r="D128" s="25" t="s">
        <v>463</v>
      </c>
      <c r="E128" s="16">
        <v>42593.761608796296</v>
      </c>
      <c r="F128" s="16">
        <v>42593.763101851851</v>
      </c>
      <c r="G128" s="7">
        <v>2</v>
      </c>
      <c r="H128" s="16" t="s">
        <v>238</v>
      </c>
      <c r="I128" s="16">
        <v>42593.826458333337</v>
      </c>
      <c r="J128" s="7">
        <v>0</v>
      </c>
      <c r="K128" s="149" t="str">
        <f t="shared" si="44"/>
        <v>4015/4016</v>
      </c>
      <c r="L128" s="25" t="str">
        <f>VLOOKUP(A128,'Trips&amp;Operators'!$C$1:$E$10000,3,FALSE)</f>
        <v>LEVIN</v>
      </c>
      <c r="M128" s="6">
        <f t="shared" si="45"/>
        <v>6.3356481485243421E-2</v>
      </c>
      <c r="N128" s="7">
        <f t="shared" si="63"/>
        <v>91.233333338750526</v>
      </c>
      <c r="O128" s="7"/>
      <c r="P128" s="7"/>
      <c r="Q128" s="26"/>
      <c r="R128" s="26"/>
      <c r="S128" s="38">
        <f t="shared" si="46"/>
        <v>1</v>
      </c>
      <c r="T128" s="55" t="str">
        <f t="shared" si="47"/>
        <v>NorthBound</v>
      </c>
      <c r="U128" s="13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17:16:43-0600',mode:absolute,to:'2016-08-11 20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28" s="57" t="str">
        <f t="shared" si="49"/>
        <v>N</v>
      </c>
      <c r="X128" s="133">
        <f t="shared" si="60"/>
        <v>1</v>
      </c>
      <c r="Y128" s="72">
        <f t="shared" si="50"/>
        <v>5.3900000000000003E-2</v>
      </c>
      <c r="Z128" s="72">
        <f t="shared" si="51"/>
        <v>23.331399999999999</v>
      </c>
      <c r="AA128" s="72">
        <f t="shared" si="52"/>
        <v>23.2775</v>
      </c>
      <c r="AB128" s="69" t="e">
        <f>VLOOKUP(A128,Enforcements!$C$7:$J$24,8,0)</f>
        <v>#N/A</v>
      </c>
      <c r="AC128" s="65" t="e">
        <f>VLOOKUP(A128,Enforcements!$C$7:$E$24,3,0)</f>
        <v>#N/A</v>
      </c>
      <c r="AD128" s="66" t="str">
        <f t="shared" si="53"/>
        <v>0217-11</v>
      </c>
      <c r="AE128" s="108" t="str">
        <f t="shared" si="71"/>
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</c>
      <c r="AF128" s="105" t="str">
        <f t="shared" si="72"/>
        <v>"C:\Program Files (x86)\AstroGrep\AstroGrep.exe" /spath="%USERPROFILE%\AppData\Local\Temp\OnboardLogs" /stypes="*4016*20160812*" /stext=" 01:.+((SYSTEM_STATE.+slice.+state.+changed )|(ment ac)|(system.+state.+changed )|(\|lc)|(penalty)|(\[timeout)|(PRM\|1\|D)|(kpr)|(kdp))" /e /r /s</v>
      </c>
      <c r="AG128" s="1" t="str">
        <f t="shared" si="54"/>
        <v>EC</v>
      </c>
      <c r="AH128" s="109" t="str">
        <f t="shared" si="55"/>
        <v>"%USERPROFILE%\Documents\GitHub\eaglep3\Utilities\RefineRTDCRunTimes.py" --tripid 217-11 --locoid 4016 --swversion DE.1.0.7.0 --startMP 204:539 --initTime 2016-08-11T18:16:43 --startdatetime 2016-08-11T18:18:52 --delay 2 --endMP 204:233314 --enddatetime 2016-08-11T19:50:06 --enforcementcount 0</v>
      </c>
    </row>
    <row r="129" spans="1:34" s="24" customFormat="1" x14ac:dyDescent="0.25">
      <c r="A129" s="42" t="s">
        <v>652</v>
      </c>
      <c r="B129" s="7">
        <v>4015</v>
      </c>
      <c r="C129" s="25"/>
      <c r="D129" s="25"/>
      <c r="E129" s="16"/>
      <c r="F129" s="16"/>
      <c r="G129" s="7"/>
      <c r="H129" s="16"/>
      <c r="I129" s="16"/>
      <c r="J129" s="7"/>
      <c r="K129" s="149" t="str">
        <f t="shared" si="44"/>
        <v>4015/4016</v>
      </c>
      <c r="L129" s="25"/>
      <c r="M129" s="6"/>
      <c r="N129" s="7"/>
      <c r="O129" s="7"/>
      <c r="P129" s="7">
        <v>1</v>
      </c>
      <c r="Q129" s="26"/>
      <c r="R129" s="26" t="s">
        <v>230</v>
      </c>
      <c r="S129" s="38"/>
      <c r="T129" s="55" t="str">
        <f t="shared" si="47"/>
        <v>Southbound</v>
      </c>
      <c r="U129" s="139"/>
      <c r="V129" s="115"/>
      <c r="W129" s="57" t="e">
        <f t="shared" ref="W129" si="83">IF(AA129&lt;IF(AG129="EC",23,5.65),"Y","N")</f>
        <v>#VALUE!</v>
      </c>
      <c r="X129" s="133">
        <f t="shared" si="60"/>
        <v>1</v>
      </c>
      <c r="Y129" s="72" t="e">
        <f t="shared" ref="Y129" si="84">RIGHT(D129,LEN(D129)-4)/10000</f>
        <v>#VALUE!</v>
      </c>
      <c r="Z129" s="72" t="e">
        <f t="shared" ref="Z129" si="85">RIGHT(H129,LEN(H129)-4)/10000</f>
        <v>#VALUE!</v>
      </c>
      <c r="AA129" s="72" t="e">
        <f t="shared" ref="AA129" si="86">ABS(Z129-Y129)</f>
        <v>#VALUE!</v>
      </c>
      <c r="AB129" s="69" t="e">
        <f>VLOOKUP(A129,Enforcements!$C$7:$J$24,8,0)</f>
        <v>#N/A</v>
      </c>
      <c r="AC129" s="65" t="e">
        <f>VLOOKUP(A129,Enforcements!$C$7:$E$24,3,0)</f>
        <v>#N/A</v>
      </c>
      <c r="AD129" s="66" t="str">
        <f t="shared" ref="AD129" si="87">IF(LEN(A129)=6,"0"&amp;A129,A129)</f>
        <v>0218-11</v>
      </c>
      <c r="AE129" s="108" t="str">
        <f t="shared" si="71"/>
        <v>aws s3 cp s3://rtdc.mdm.uploadarchive/RTDC4015/1900-01-00/ "%USERPROFILE%\AppData\Local\Temp\OnboardLogs"\RTDC4015\1900-01-00 --recursive &amp; "%USERPROFILE%\Documents\GitHub\mrs-test-scripts\Headless Mode &amp; Sideloading\WalkAndUnGZ.bat" "%USERPROFILE%\AppData\Local\Temp\OnboardLogs"\RTDC4015\1900-01-00 &amp; aws s3 cp s3://rtdc.mdm.uploadarchive/RTDC4015/1900-01-01/ "%USERPROFILE%\AppData\Local\Temp\OnboardLogs"\RTDC4015\1900-01-01 --recursive &amp; "%USERPROFILE%\Documents\GitHub\mrs-test-scripts\Headless Mode &amp; Sideloading\WalkAndUnGZ.bat" "%USERPROFILE%\AppData\Local\Temp\OnboardLogs"\RTDC4015\1900-01-01</v>
      </c>
      <c r="AF129" s="105" t="str">
        <f t="shared" si="72"/>
        <v>"C:\Program Files (x86)\AstroGrep\AstroGrep.exe" /spath="%USERPROFILE%\AppData\Local\Temp\OnboardLogs" /stypes="*4015*19000100*" /stext=" 06:.+((SYSTEM_STATE.+slice.+state.+changed )|(ment ac)|(system.+state.+changed )|(\|lc)|(penalty)|(\[timeout)|(PRM\|1\|D)|(kpr)|(kdp))" /e /r /s</v>
      </c>
      <c r="AG129" s="1" t="str">
        <f t="shared" si="54"/>
        <v>EC</v>
      </c>
      <c r="AH129" s="109"/>
    </row>
    <row r="130" spans="1:34" x14ac:dyDescent="0.25">
      <c r="A130" s="42" t="s">
        <v>464</v>
      </c>
      <c r="B130" s="7">
        <v>4014</v>
      </c>
      <c r="C130" s="25" t="s">
        <v>130</v>
      </c>
      <c r="D130" s="25" t="s">
        <v>156</v>
      </c>
      <c r="E130" s="16">
        <v>42593.776331018518</v>
      </c>
      <c r="F130" s="16">
        <v>42593.777303240742</v>
      </c>
      <c r="G130" s="7">
        <v>1</v>
      </c>
      <c r="H130" s="16" t="s">
        <v>465</v>
      </c>
      <c r="I130" s="16">
        <v>42593.841550925928</v>
      </c>
      <c r="J130" s="7">
        <v>0</v>
      </c>
      <c r="K130" s="149" t="str">
        <f t="shared" si="44"/>
        <v>4013/4014</v>
      </c>
      <c r="L130" s="25" t="str">
        <f>VLOOKUP(A130,'Trips&amp;Operators'!$C$1:$E$10000,3,FALSE)</f>
        <v>STURGEON</v>
      </c>
      <c r="M130" s="6">
        <f t="shared" si="45"/>
        <v>6.4247685186273884E-2</v>
      </c>
      <c r="N130" s="7">
        <f t="shared" si="63"/>
        <v>92.516666668234393</v>
      </c>
      <c r="O130" s="7"/>
      <c r="P130" s="7"/>
      <c r="Q130" s="26"/>
      <c r="R130" s="26"/>
      <c r="S130" s="38">
        <f t="shared" si="46"/>
        <v>1</v>
      </c>
      <c r="T130" s="55" t="str">
        <f t="shared" si="47"/>
        <v>NorthBound</v>
      </c>
      <c r="U130" s="13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17:37:55-0600',mode:absolute,to:'2016-08-11 21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30" s="57" t="str">
        <f t="shared" si="49"/>
        <v>N</v>
      </c>
      <c r="X130" s="133">
        <f t="shared" si="60"/>
        <v>1</v>
      </c>
      <c r="Y130" s="72">
        <f t="shared" si="50"/>
        <v>4.7100000000000003E-2</v>
      </c>
      <c r="Z130" s="72">
        <f t="shared" si="51"/>
        <v>23.327400000000001</v>
      </c>
      <c r="AA130" s="72">
        <f t="shared" si="52"/>
        <v>23.2803</v>
      </c>
      <c r="AB130" s="69" t="e">
        <f>VLOOKUP(A130,Enforcements!$C$7:$J$24,8,0)</f>
        <v>#N/A</v>
      </c>
      <c r="AC130" s="65" t="e">
        <f>VLOOKUP(A130,Enforcements!$C$7:$E$24,3,0)</f>
        <v>#N/A</v>
      </c>
      <c r="AD130" s="66" t="str">
        <f t="shared" si="53"/>
        <v>0219-11</v>
      </c>
      <c r="AE130" s="108" t="str">
        <f t="shared" si="71"/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130" s="105" t="str">
        <f t="shared" si="72"/>
        <v>"C:\Program Files (x86)\AstroGrep\AstroGrep.exe" /spath="%USERPROFILE%\AppData\Local\Temp\OnboardLogs" /stypes="*4014*20160812*" /stext=" 02:.+((SYSTEM_STATE.+slice.+state.+changed )|(ment ac)|(system.+state.+changed )|(\|lc)|(penalty)|(\[timeout)|(PRM\|1\|D)|(kpr)|(kdp))" /e /r /s</v>
      </c>
      <c r="AG130" s="1" t="str">
        <f t="shared" si="54"/>
        <v>EC</v>
      </c>
      <c r="AH130" s="109" t="str">
        <f t="shared" si="55"/>
        <v>"%USERPROFILE%\Documents\GitHub\eaglep3\Utilities\RefineRTDCRunTimes.py" --tripid 219-11 --locoid 4014 --swversion DE.1.0.7.0 --startMP 204:471 --initTime 2016-08-11T18:37:55 --startdatetime 2016-08-11T18:39:19 --delay 1 --endMP 204:233274 --enddatetime 2016-08-11T20:11:50 --enforcementcount 0</v>
      </c>
    </row>
    <row r="131" spans="1:34" x14ac:dyDescent="0.25">
      <c r="A131" s="42" t="s">
        <v>466</v>
      </c>
      <c r="B131" s="7">
        <v>4026</v>
      </c>
      <c r="C131" s="25" t="s">
        <v>130</v>
      </c>
      <c r="D131" s="25" t="s">
        <v>467</v>
      </c>
      <c r="E131" s="16">
        <v>42593.817256944443</v>
      </c>
      <c r="F131" s="16">
        <v>42593.818171296298</v>
      </c>
      <c r="G131" s="7">
        <v>1</v>
      </c>
      <c r="H131" s="16" t="s">
        <v>468</v>
      </c>
      <c r="I131" s="16">
        <v>42593.851782407408</v>
      </c>
      <c r="J131" s="7">
        <v>1</v>
      </c>
      <c r="K131" s="149" t="str">
        <f t="shared" si="44"/>
        <v>4025/4026</v>
      </c>
      <c r="L131" s="25" t="str">
        <f>VLOOKUP(A131,'Trips&amp;Operators'!$C$1:$E$10000,3,FALSE)</f>
        <v>COOLAHAN</v>
      </c>
      <c r="M131" s="6">
        <f t="shared" si="45"/>
        <v>3.3611111110076308E-2</v>
      </c>
      <c r="N131" s="7">
        <f t="shared" si="63"/>
        <v>48.399999998509884</v>
      </c>
      <c r="O131" s="7"/>
      <c r="P131" s="7"/>
      <c r="Q131" s="26"/>
      <c r="R131" s="26"/>
      <c r="S131" s="38">
        <f t="shared" si="46"/>
        <v>1</v>
      </c>
      <c r="T131" s="55" t="str">
        <f t="shared" si="47"/>
        <v>Southbound</v>
      </c>
      <c r="U131" s="13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18:36:51-0600',mode:absolute,to:'2016-08-11 21:26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31" s="57" t="str">
        <f t="shared" si="49"/>
        <v>N</v>
      </c>
      <c r="X131" s="133">
        <f t="shared" si="60"/>
        <v>1</v>
      </c>
      <c r="Y131" s="72">
        <f t="shared" si="50"/>
        <v>23.295500000000001</v>
      </c>
      <c r="Z131" s="72">
        <f t="shared" si="51"/>
        <v>1.8100000000000002E-2</v>
      </c>
      <c r="AA131" s="72">
        <f t="shared" si="52"/>
        <v>23.2774</v>
      </c>
      <c r="AB131" s="69" t="e">
        <f>VLOOKUP(A131,Enforcements!$C$7:$J$24,8,0)</f>
        <v>#N/A</v>
      </c>
      <c r="AC131" s="65" t="e">
        <f>VLOOKUP(A131,Enforcements!$C$7:$E$24,3,0)</f>
        <v>#N/A</v>
      </c>
      <c r="AD131" s="66" t="str">
        <f t="shared" si="53"/>
        <v>0220-11</v>
      </c>
      <c r="AE131" s="108" t="str">
        <f t="shared" si="71"/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AF131" s="105" t="str">
        <f t="shared" si="72"/>
        <v>"C:\Program Files (x86)\AstroGrep\AstroGrep.exe" /spath="%USERPROFILE%\AppData\Local\Temp\OnboardLogs" /stypes="*4026*20160812*" /stext=" 02:.+((SYSTEM_STATE.+slice.+state.+changed )|(ment ac)|(system.+state.+changed )|(\|lc)|(penalty)|(\[timeout)|(PRM\|1\|D)|(kpr)|(kdp))" /e /r /s</v>
      </c>
      <c r="AG131" s="1" t="str">
        <f t="shared" si="54"/>
        <v>EC</v>
      </c>
      <c r="AH131" s="109" t="str">
        <f t="shared" si="55"/>
        <v>"%USERPROFILE%\Documents\GitHub\eaglep3\Utilities\RefineRTDCRunTimes.py" --tripid 220-11 --locoid 4026 --swversion DE.1.0.7.0 --startMP 204:232955 --initTime 2016-08-11T19:36:51 --startdatetime 2016-08-11T19:38:10 --delay 1 --endMP 204:181 --enddatetime 2016-08-11T20:26:34 --enforcementcount 1</v>
      </c>
    </row>
    <row r="132" spans="1:34" s="24" customFormat="1" x14ac:dyDescent="0.25">
      <c r="A132" s="42" t="s">
        <v>653</v>
      </c>
      <c r="B132" s="7">
        <v>4030</v>
      </c>
      <c r="C132" s="25" t="s">
        <v>130</v>
      </c>
      <c r="D132" s="25" t="s">
        <v>467</v>
      </c>
      <c r="E132" s="16">
        <v>42593.817256944443</v>
      </c>
      <c r="F132" s="16"/>
      <c r="G132" s="7"/>
      <c r="H132" s="16"/>
      <c r="I132" s="16"/>
      <c r="J132" s="7">
        <v>1</v>
      </c>
      <c r="K132" s="149" t="str">
        <f t="shared" ref="K132" si="88">IF(ISEVEN(B132),(B132-1)&amp;"/"&amp;B132,B132&amp;"/"&amp;(B132+1))</f>
        <v>4029/4030</v>
      </c>
      <c r="L132" s="25" t="e">
        <f>VLOOKUP(A132,'Trips&amp;Operators'!$C$1:$E$10000,3,FALSE)</f>
        <v>#N/A</v>
      </c>
      <c r="M132" s="6">
        <f t="shared" ref="M132" si="89">I132-F132</f>
        <v>0</v>
      </c>
      <c r="N132" s="7"/>
      <c r="O132" s="7"/>
      <c r="P132" s="7">
        <v>1</v>
      </c>
      <c r="Q132" s="26"/>
      <c r="R132" s="26" t="s">
        <v>230</v>
      </c>
      <c r="S132" s="38">
        <f t="shared" ref="S132" si="90">SUM(U132:U132)/IF(AG132="EC",12,1)</f>
        <v>0</v>
      </c>
      <c r="T132" s="55" t="str">
        <f t="shared" ref="T132" si="91">IF(ISEVEN(LEFT(AD132,4)),"Southbound","NorthBound")</f>
        <v>NorthBound</v>
      </c>
      <c r="U132" s="13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115" t="str">
        <f t="shared" ref="V132" si="92"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https://search-rtdc-monitor-bjffxe2xuh6vdkpspy63sjmuny.us-east-1.es.amazonaws.com/_plugin/kibana/#/discover/Steve-Slow-Train-Analysis-(2080s-and-2083s)?_g=(refreshInterval:(display:Off,section:0,value:0),time:(from:'2016-08-11 18:36:51-0600',mode:absolute,to:'1900-01-00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32" s="57" t="e">
        <f t="shared" ref="W132" si="93">IF(AA132&lt;IF(AG132="EC",23,5.65),"Y","N")</f>
        <v>#VALUE!</v>
      </c>
      <c r="X132" s="133">
        <f t="shared" si="60"/>
        <v>1</v>
      </c>
      <c r="Y132" s="72">
        <f t="shared" ref="Y132" si="94">RIGHT(D132,LEN(D132)-4)/10000</f>
        <v>23.295500000000001</v>
      </c>
      <c r="Z132" s="72" t="e">
        <f t="shared" ref="Z132" si="95">RIGHT(H132,LEN(H132)-4)/10000</f>
        <v>#VALUE!</v>
      </c>
      <c r="AA132" s="72" t="e">
        <f t="shared" ref="AA132" si="96">ABS(Z132-Y132)</f>
        <v>#VALUE!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ref="AD132" si="97">IF(LEN(A132)=6,"0"&amp;A132,A132)</f>
        <v>0221-11</v>
      </c>
      <c r="AE132" s="108" t="str">
        <f t="shared" si="71"/>
        <v>aws s3 cp s3://rtdc.mdm.uploadarchive/RTDC4030/1900-01-00/ "%USERPROFILE%\AppData\Local\Temp\OnboardLogs"\RTDC4030\1900-01-00 --recursive &amp; "%USERPROFILE%\Documents\GitHub\mrs-test-scripts\Headless Mode &amp; Sideloading\WalkAndUnGZ.bat" "%USERPROFILE%\AppData\Local\Temp\OnboardLogs"\RTDC4030\1900-01-00 &amp; aws s3 cp s3://rtdc.mdm.uploadarchive/RTDC4030/1900-01-01/ "%USERPROFILE%\AppData\Local\Temp\OnboardLogs"\RTDC4030\1900-01-01 --recursive &amp; "%USERPROFILE%\Documents\GitHub\mrs-test-scripts\Headless Mode &amp; Sideloading\WalkAndUnGZ.bat" "%USERPROFILE%\AppData\Local\Temp\OnboardLogs"\RTDC4030\1900-01-01</v>
      </c>
      <c r="AF132" s="105" t="str">
        <f t="shared" si="72"/>
        <v>"C:\Program Files (x86)\AstroGrep\AstroGrep.exe" /spath="%USERPROFILE%\AppData\Local\Temp\OnboardLogs" /stypes="*4030*19000100*" /stext=" 06:.+((SYSTEM_STATE.+slice.+state.+changed )|(ment ac)|(system.+state.+changed )|(\|lc)|(penalty)|(\[timeout)|(PRM\|1\|D)|(kpr)|(kdp))" /e /r /s</v>
      </c>
      <c r="AG132" s="1" t="str">
        <f t="shared" si="54"/>
        <v>EC</v>
      </c>
      <c r="AH132" s="109" t="str">
        <f t="shared" ref="AH132" si="98"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</f>
        <v>"%USERPROFILE%\Documents\GitHub\eaglep3\Utilities\RefineRTDCRunTimes.py" --tripid 221-11 --locoid 4030 --swversion DE.1.0.7.0 --startMP 204:232955 --initTime 2016-08-11T19:36:51 --startdatetime 1900-01-00T00:00:00 --delay  --endMP  --enddatetime 1900-01-00T00:00:00 --enforcementcount 1</v>
      </c>
    </row>
    <row r="133" spans="1:34" x14ac:dyDescent="0.25">
      <c r="A133" s="42" t="s">
        <v>469</v>
      </c>
      <c r="B133" s="7">
        <v>4032</v>
      </c>
      <c r="C133" s="25" t="s">
        <v>130</v>
      </c>
      <c r="D133" s="25" t="s">
        <v>470</v>
      </c>
      <c r="E133" s="16">
        <v>42593.823460648149</v>
      </c>
      <c r="F133" s="16">
        <v>42593.824560185189</v>
      </c>
      <c r="G133" s="7">
        <v>1</v>
      </c>
      <c r="H133" s="16" t="s">
        <v>166</v>
      </c>
      <c r="I133" s="16">
        <v>42593.869733796295</v>
      </c>
      <c r="J133" s="7">
        <v>2</v>
      </c>
      <c r="K133" s="149" t="str">
        <f t="shared" si="44"/>
        <v>4031/4032</v>
      </c>
      <c r="L133" s="25" t="str">
        <f>VLOOKUP(A133,'Trips&amp;Operators'!$C$1:$E$10000,3,FALSE)</f>
        <v>HAITHCOX</v>
      </c>
      <c r="M133" s="6">
        <f t="shared" si="45"/>
        <v>4.517361110629281E-2</v>
      </c>
      <c r="N133" s="7">
        <f t="shared" si="63"/>
        <v>65.049999993061647</v>
      </c>
      <c r="O133" s="7"/>
      <c r="P133" s="7"/>
      <c r="Q133" s="26"/>
      <c r="R133" s="26"/>
      <c r="S133" s="38">
        <f t="shared" si="46"/>
        <v>1</v>
      </c>
      <c r="T133" s="55" t="str">
        <f t="shared" si="47"/>
        <v>Southbound</v>
      </c>
      <c r="U133" s="13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18:45:47-0600',mode:absolute,to:'2016-08-11 21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33" s="57" t="str">
        <f t="shared" si="49"/>
        <v>N</v>
      </c>
      <c r="X133" s="133">
        <f t="shared" si="60"/>
        <v>1</v>
      </c>
      <c r="Y133" s="72">
        <f t="shared" si="50"/>
        <v>23.303999999999998</v>
      </c>
      <c r="Z133" s="72">
        <f t="shared" si="51"/>
        <v>1.49E-2</v>
      </c>
      <c r="AA133" s="72">
        <f t="shared" si="52"/>
        <v>23.289099999999998</v>
      </c>
      <c r="AB133" s="69">
        <f>VLOOKUP(A133,Enforcements!$C$7:$J$24,8,0)</f>
        <v>28061</v>
      </c>
      <c r="AC133" s="65" t="str">
        <f>VLOOKUP(A133,Enforcements!$C$7:$E$24,3,0)</f>
        <v>SIGNAL</v>
      </c>
      <c r="AD133" s="66" t="str">
        <f t="shared" si="53"/>
        <v>0222-11</v>
      </c>
      <c r="AE133" s="108" t="str">
        <f t="shared" si="71"/>
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</c>
      <c r="AF133" s="105" t="str">
        <f t="shared" si="72"/>
        <v>"C:\Program Files (x86)\AstroGrep\AstroGrep.exe" /spath="%USERPROFILE%\AppData\Local\Temp\OnboardLogs" /stypes="*4032*20160812*" /stext=" 02:.+((SYSTEM_STATE.+slice.+state.+changed )|(ment ac)|(system.+state.+changed )|(\|lc)|(penalty)|(\[timeout)|(PRM\|1\|D)|(kpr)|(kdp))" /e /r /s</v>
      </c>
      <c r="AG133" s="1" t="str">
        <f t="shared" si="54"/>
        <v>EC</v>
      </c>
      <c r="AH133" s="109" t="str">
        <f t="shared" si="55"/>
        <v>"%USERPROFILE%\Documents\GitHub\eaglep3\Utilities\RefineRTDCRunTimes.py" --tripid 222-11 --locoid 4032 --swversion DE.1.0.7.0 --startMP 204:233040 --initTime 2016-08-11T19:45:47 --startdatetime 2016-08-11T19:47:22 --delay 1 --endMP 204:149 --enddatetime 2016-08-11T20:52:25 --enforcementcount 2</v>
      </c>
    </row>
    <row r="134" spans="1:34" x14ac:dyDescent="0.25">
      <c r="A134" s="42" t="s">
        <v>471</v>
      </c>
      <c r="B134" s="7">
        <v>4029</v>
      </c>
      <c r="C134" s="25" t="s">
        <v>130</v>
      </c>
      <c r="D134" s="25" t="s">
        <v>245</v>
      </c>
      <c r="E134" s="16">
        <v>42593.801562499997</v>
      </c>
      <c r="F134" s="16">
        <v>42593.803356481483</v>
      </c>
      <c r="G134" s="7">
        <v>2</v>
      </c>
      <c r="H134" s="16" t="s">
        <v>472</v>
      </c>
      <c r="I134" s="16">
        <v>42593.855358796296</v>
      </c>
      <c r="J134" s="7">
        <v>0</v>
      </c>
      <c r="K134" s="149" t="str">
        <f t="shared" si="44"/>
        <v>4029/4030</v>
      </c>
      <c r="L134" s="25" t="str">
        <f>VLOOKUP(A134,'Trips&amp;Operators'!$C$1:$E$10000,3,FALSE)</f>
        <v>SUR</v>
      </c>
      <c r="M134" s="6">
        <f t="shared" si="45"/>
        <v>5.2002314812853001E-2</v>
      </c>
      <c r="N134" s="7">
        <f t="shared" si="63"/>
        <v>74.883333330508322</v>
      </c>
      <c r="O134" s="7"/>
      <c r="P134" s="7"/>
      <c r="Q134" s="26"/>
      <c r="R134" s="26"/>
      <c r="S134" s="38">
        <f t="shared" si="46"/>
        <v>1</v>
      </c>
      <c r="T134" s="55" t="str">
        <f t="shared" si="47"/>
        <v>NorthBound</v>
      </c>
      <c r="U134" s="13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18:14:15-0600',mode:absolute,to:'2016-08-11 21:31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34" s="57" t="str">
        <f t="shared" si="49"/>
        <v>N</v>
      </c>
      <c r="X134" s="133">
        <f t="shared" si="60"/>
        <v>1</v>
      </c>
      <c r="Y134" s="72">
        <f t="shared" si="50"/>
        <v>4.9700000000000001E-2</v>
      </c>
      <c r="Z134" s="72">
        <f t="shared" si="51"/>
        <v>23.320599999999999</v>
      </c>
      <c r="AA134" s="72">
        <f t="shared" si="52"/>
        <v>23.270899999999997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53"/>
        <v>0223-11</v>
      </c>
      <c r="AE134" s="108" t="str">
        <f t="shared" si="71"/>
        <v>aws s3 cp s3://rtdc.mdm.uploadarchive/RTDC4029/2016-08-11/ "%USERPROFILE%\AppData\Local\Temp\OnboardLogs"\RTDC4029\2016-08-11 --recursive &amp; "%USERPROFILE%\Documents\GitHub\mrs-test-scripts\Headless Mode &amp; Sideloading\WalkAndUnGZ.bat" "%USERPROFILE%\AppData\Local\Temp\OnboardLogs"\RTDC4029\2016-08-11 &amp; aws s3 cp s3://rtdc.mdm.uploadarchive/RTDC4029/2016-08-12/ "%USERPROFILE%\AppData\Local\Temp\OnboardLogs"\RTDC4029\2016-08-12 --recursive &amp; "%USERPROFILE%\Documents\GitHub\mrs-test-scripts\Headless Mode &amp; Sideloading\WalkAndUnGZ.bat" "%USERPROFILE%\AppData\Local\Temp\OnboardLogs"\RTDC4029\2016-08-12</v>
      </c>
      <c r="AF134" s="105" t="str">
        <f t="shared" si="72"/>
        <v>"C:\Program Files (x86)\AstroGrep\AstroGrep.exe" /spath="%USERPROFILE%\AppData\Local\Temp\OnboardLogs" /stypes="*4029*20160812*" /stext=" 02:.+((SYSTEM_STATE.+slice.+state.+changed )|(ment ac)|(system.+state.+changed )|(\|lc)|(penalty)|(\[timeout)|(PRM\|1\|D)|(kpr)|(kdp))" /e /r /s</v>
      </c>
      <c r="AG134" s="1" t="str">
        <f t="shared" si="54"/>
        <v>EC</v>
      </c>
      <c r="AH134" s="109" t="str">
        <f t="shared" si="55"/>
        <v>"%USERPROFILE%\Documents\GitHub\eaglep3\Utilities\RefineRTDCRunTimes.py" --tripid 223-11 --locoid 4029 --swversion DE.1.0.7.0 --startMP 204:497 --initTime 2016-08-11T19:14:15 --startdatetime 2016-08-11T19:16:50 --delay 2 --endMP 204:233206 --enddatetime 2016-08-11T20:31:43 --enforcementcount 0</v>
      </c>
    </row>
    <row r="135" spans="1:34" x14ac:dyDescent="0.25">
      <c r="A135" s="42" t="s">
        <v>473</v>
      </c>
      <c r="B135" s="7">
        <v>4015</v>
      </c>
      <c r="C135" s="25" t="s">
        <v>130</v>
      </c>
      <c r="D135" s="25" t="s">
        <v>171</v>
      </c>
      <c r="E135" s="16">
        <v>42593.844074074077</v>
      </c>
      <c r="F135" s="16">
        <v>42593.844965277778</v>
      </c>
      <c r="G135" s="7">
        <v>1</v>
      </c>
      <c r="H135" s="16" t="s">
        <v>193</v>
      </c>
      <c r="I135" s="16">
        <v>42593.87767361111</v>
      </c>
      <c r="J135" s="7">
        <v>0</v>
      </c>
      <c r="K135" s="149" t="str">
        <f t="shared" si="44"/>
        <v>4015/4016</v>
      </c>
      <c r="L135" s="25" t="str">
        <f>VLOOKUP(A135,'Trips&amp;Operators'!$C$1:$E$10000,3,FALSE)</f>
        <v>LEVIN</v>
      </c>
      <c r="M135" s="6">
        <f t="shared" si="45"/>
        <v>3.2708333332266193E-2</v>
      </c>
      <c r="N135" s="7">
        <f t="shared" si="63"/>
        <v>47.099999998463318</v>
      </c>
      <c r="O135" s="7"/>
      <c r="P135" s="7"/>
      <c r="Q135" s="26"/>
      <c r="R135" s="26"/>
      <c r="S135" s="38">
        <f t="shared" si="46"/>
        <v>1</v>
      </c>
      <c r="T135" s="55" t="str">
        <f t="shared" si="47"/>
        <v>Southbound</v>
      </c>
      <c r="U135" s="13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19:15:28-0600',mode:absolute,to:'2016-08-11 22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35" s="57" t="str">
        <f t="shared" si="49"/>
        <v>N</v>
      </c>
      <c r="X135" s="133">
        <f t="shared" si="60"/>
        <v>1</v>
      </c>
      <c r="Y135" s="72">
        <f t="shared" si="50"/>
        <v>23.299600000000002</v>
      </c>
      <c r="Z135" s="72">
        <f t="shared" si="51"/>
        <v>1.67E-2</v>
      </c>
      <c r="AA135" s="72">
        <f t="shared" si="52"/>
        <v>23.282900000000001</v>
      </c>
      <c r="AB135" s="69" t="e">
        <f>VLOOKUP(A135,Enforcements!$C$7:$J$24,8,0)</f>
        <v>#N/A</v>
      </c>
      <c r="AC135" s="65" t="e">
        <f>VLOOKUP(A135,Enforcements!$C$7:$E$24,3,0)</f>
        <v>#N/A</v>
      </c>
      <c r="AD135" s="66" t="str">
        <f t="shared" si="53"/>
        <v>0224-11</v>
      </c>
      <c r="AE135" s="108" t="str">
        <f t="shared" si="71"/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AF135" s="105" t="str">
        <f t="shared" si="72"/>
        <v>"C:\Program Files (x86)\AstroGrep\AstroGrep.exe" /spath="%USERPROFILE%\AppData\Local\Temp\OnboardLogs" /stypes="*4015*20160812*" /stext=" 03:.+((SYSTEM_STATE.+slice.+state.+changed )|(ment ac)|(system.+state.+changed )|(\|lc)|(penalty)|(\[timeout)|(PRM\|1\|D)|(kpr)|(kdp))" /e /r /s</v>
      </c>
      <c r="AG135" s="1" t="str">
        <f t="shared" si="54"/>
        <v>EC</v>
      </c>
      <c r="AH135" s="109" t="str">
        <f t="shared" si="55"/>
        <v>"%USERPROFILE%\Documents\GitHub\eaglep3\Utilities\RefineRTDCRunTimes.py" --tripid 224-11 --locoid 4015 --swversion DE.1.0.7.0 --startMP 204:232996 --initTime 2016-08-11T20:15:28 --startdatetime 2016-08-11T20:16:45 --delay 1 --endMP 204:167 --enddatetime 2016-08-11T21:03:51 --enforcementcount 0</v>
      </c>
    </row>
    <row r="136" spans="1:34" x14ac:dyDescent="0.25">
      <c r="A136" s="42" t="s">
        <v>474</v>
      </c>
      <c r="B136" s="7">
        <v>4027</v>
      </c>
      <c r="C136" s="25" t="s">
        <v>130</v>
      </c>
      <c r="D136" s="25" t="s">
        <v>382</v>
      </c>
      <c r="E136" s="16">
        <v>42593.829513888886</v>
      </c>
      <c r="F136" s="16">
        <v>42593.830266203702</v>
      </c>
      <c r="G136" s="7">
        <v>1</v>
      </c>
      <c r="H136" s="16" t="s">
        <v>175</v>
      </c>
      <c r="I136" s="16">
        <v>42593.866354166668</v>
      </c>
      <c r="J136" s="7">
        <v>0</v>
      </c>
      <c r="K136" s="149" t="str">
        <f t="shared" si="44"/>
        <v>4027/4028</v>
      </c>
      <c r="L136" s="25" t="str">
        <f>VLOOKUP(A136,'Trips&amp;Operators'!$C$1:$E$10000,3,FALSE)</f>
        <v>STAMBAUGH</v>
      </c>
      <c r="M136" s="6">
        <f t="shared" si="45"/>
        <v>3.6087962966121268E-2</v>
      </c>
      <c r="N136" s="7">
        <f t="shared" si="63"/>
        <v>51.966666671214625</v>
      </c>
      <c r="O136" s="7"/>
      <c r="P136" s="7"/>
      <c r="Q136" s="26"/>
      <c r="R136" s="26"/>
      <c r="S136" s="38">
        <f t="shared" si="46"/>
        <v>1</v>
      </c>
      <c r="T136" s="55" t="str">
        <f t="shared" si="47"/>
        <v>NorthBound</v>
      </c>
      <c r="U136" s="13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18:54:30-0600',mode:absolute,to:'2016-08-11 21:47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36" s="57" t="str">
        <f t="shared" si="49"/>
        <v>N</v>
      </c>
      <c r="X136" s="133">
        <f t="shared" si="60"/>
        <v>1</v>
      </c>
      <c r="Y136" s="72">
        <f t="shared" si="50"/>
        <v>4.4400000000000002E-2</v>
      </c>
      <c r="Z136" s="72">
        <f t="shared" si="51"/>
        <v>23.331199999999999</v>
      </c>
      <c r="AA136" s="72">
        <f t="shared" si="52"/>
        <v>23.286799999999999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53"/>
        <v>0225-11</v>
      </c>
      <c r="AE136" s="108" t="str">
        <f t="shared" si="71"/>
        <v>aws s3 cp s3://rtdc.mdm.uploadarchive/RTDC4027/2016-08-11/ "%USERPROFILE%\AppData\Local\Temp\OnboardLogs"\RTDC4027\2016-08-11 --recursive &amp; "%USERPROFILE%\Documents\GitHub\mrs-test-scripts\Headless Mode &amp; Sideloading\WalkAndUnGZ.bat" "%USERPROFILE%\AppData\Local\Temp\OnboardLogs"\RTDC4027\2016-08-11 &amp; 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</v>
      </c>
      <c r="AF136" s="105" t="str">
        <f t="shared" si="72"/>
        <v>"C:\Program Files (x86)\AstroGrep\AstroGrep.exe" /spath="%USERPROFILE%\AppData\Local\Temp\OnboardLogs" /stypes="*4027*20160812*" /stext=" 02:.+((SYSTEM_STATE.+slice.+state.+changed )|(ment ac)|(system.+state.+changed )|(\|lc)|(penalty)|(\[timeout)|(PRM\|1\|D)|(kpr)|(kdp))" /e /r /s</v>
      </c>
      <c r="AG136" s="1" t="str">
        <f t="shared" si="54"/>
        <v>EC</v>
      </c>
      <c r="AH136" s="109" t="str">
        <f t="shared" si="55"/>
        <v>"%USERPROFILE%\Documents\GitHub\eaglep3\Utilities\RefineRTDCRunTimes.py" --tripid 225-11 --locoid 4027 --swversion DE.1.0.7.0 --startMP 204:444 --initTime 2016-08-11T19:54:30 --startdatetime 2016-08-11T19:55:35 --delay 1 --endMP 204:233312 --enddatetime 2016-08-11T20:47:33 --enforcementcount 0</v>
      </c>
    </row>
    <row r="137" spans="1:34" x14ac:dyDescent="0.25">
      <c r="A137" s="42" t="s">
        <v>475</v>
      </c>
      <c r="B137" s="7">
        <v>4013</v>
      </c>
      <c r="C137" s="25" t="s">
        <v>130</v>
      </c>
      <c r="D137" s="25" t="s">
        <v>290</v>
      </c>
      <c r="E137" s="16">
        <v>42593.864074074074</v>
      </c>
      <c r="F137" s="16">
        <v>42593.865682870368</v>
      </c>
      <c r="G137" s="7">
        <v>2</v>
      </c>
      <c r="H137" s="16" t="s">
        <v>154</v>
      </c>
      <c r="I137" s="16">
        <v>42593.900335648148</v>
      </c>
      <c r="J137" s="7">
        <v>0</v>
      </c>
      <c r="K137" s="149" t="str">
        <f t="shared" si="44"/>
        <v>4013/4014</v>
      </c>
      <c r="L137" s="25" t="str">
        <f>VLOOKUP(A137,'Trips&amp;Operators'!$C$1:$E$10000,3,FALSE)</f>
        <v>STURGEON</v>
      </c>
      <c r="M137" s="6">
        <f t="shared" si="45"/>
        <v>3.4652777780138422E-2</v>
      </c>
      <c r="N137" s="7">
        <f t="shared" si="63"/>
        <v>49.900000003399327</v>
      </c>
      <c r="O137" s="7"/>
      <c r="P137" s="7"/>
      <c r="Q137" s="26"/>
      <c r="R137" s="26"/>
      <c r="S137" s="38">
        <f t="shared" si="46"/>
        <v>1</v>
      </c>
      <c r="T137" s="55" t="str">
        <f t="shared" si="47"/>
        <v>Southbound</v>
      </c>
      <c r="U137" s="13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19:44:16-0600',mode:absolute,to:'2016-08-11 22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37" s="57" t="str">
        <f t="shared" si="49"/>
        <v>N</v>
      </c>
      <c r="X137" s="133">
        <f t="shared" si="60"/>
        <v>1</v>
      </c>
      <c r="Y137" s="72">
        <f t="shared" si="50"/>
        <v>23.2973</v>
      </c>
      <c r="Z137" s="72">
        <f t="shared" si="51"/>
        <v>1.5800000000000002E-2</v>
      </c>
      <c r="AA137" s="72">
        <f t="shared" si="52"/>
        <v>23.281500000000001</v>
      </c>
      <c r="AB137" s="69" t="e">
        <f>VLOOKUP(A137,Enforcements!$C$7:$J$24,8,0)</f>
        <v>#N/A</v>
      </c>
      <c r="AC137" s="65" t="e">
        <f>VLOOKUP(A137,Enforcements!$C$7:$E$24,3,0)</f>
        <v>#N/A</v>
      </c>
      <c r="AD137" s="66" t="str">
        <f t="shared" si="53"/>
        <v>0226-11</v>
      </c>
      <c r="AE137" s="108" t="str">
        <f t="shared" si="71"/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AF137" s="105" t="str">
        <f t="shared" si="72"/>
        <v>"C:\Program Files (x86)\AstroGrep\AstroGrep.exe" /spath="%USERPROFILE%\AppData\Local\Temp\OnboardLogs" /stypes="*4013*20160812*" /stext=" 03:.+((SYSTEM_STATE.+slice.+state.+changed )|(ment ac)|(system.+state.+changed )|(\|lc)|(penalty)|(\[timeout)|(PRM\|1\|D)|(kpr)|(kdp))" /e /r /s</v>
      </c>
      <c r="AG137" s="1" t="str">
        <f t="shared" si="54"/>
        <v>EC</v>
      </c>
      <c r="AH137" s="109" t="str">
        <f t="shared" si="55"/>
        <v>"%USERPROFILE%\Documents\GitHub\eaglep3\Utilities\RefineRTDCRunTimes.py" --tripid 226-11 --locoid 4013 --swversion DE.1.0.7.0 --startMP 204:232973 --initTime 2016-08-11T20:44:16 --startdatetime 2016-08-11T20:46:35 --delay 2 --endMP 204:158 --enddatetime 2016-08-11T21:36:29 --enforcementcount 0</v>
      </c>
    </row>
    <row r="138" spans="1:34" x14ac:dyDescent="0.25">
      <c r="A138" s="42" t="s">
        <v>476</v>
      </c>
      <c r="B138" s="7">
        <v>4025</v>
      </c>
      <c r="C138" s="25" t="s">
        <v>130</v>
      </c>
      <c r="D138" s="25" t="s">
        <v>156</v>
      </c>
      <c r="E138" s="16">
        <v>42593.855682870373</v>
      </c>
      <c r="F138" s="16">
        <v>42593.856828703705</v>
      </c>
      <c r="G138" s="7">
        <v>1</v>
      </c>
      <c r="H138" s="16" t="s">
        <v>124</v>
      </c>
      <c r="I138" s="16">
        <v>42593.886724537035</v>
      </c>
      <c r="J138" s="7">
        <v>0</v>
      </c>
      <c r="K138" s="149" t="str">
        <f t="shared" si="44"/>
        <v>4025/4026</v>
      </c>
      <c r="L138" s="25" t="str">
        <f>VLOOKUP(A138,'Trips&amp;Operators'!$C$1:$E$10000,3,FALSE)</f>
        <v>COOLAHAN</v>
      </c>
      <c r="M138" s="6">
        <f t="shared" si="45"/>
        <v>2.9895833329646848E-2</v>
      </c>
      <c r="N138" s="7">
        <f t="shared" si="63"/>
        <v>43.049999994691461</v>
      </c>
      <c r="O138" s="7"/>
      <c r="P138" s="7"/>
      <c r="Q138" s="26"/>
      <c r="R138" s="26"/>
      <c r="S138" s="38">
        <f t="shared" si="46"/>
        <v>1</v>
      </c>
      <c r="T138" s="55" t="str">
        <f t="shared" si="47"/>
        <v>NorthBound</v>
      </c>
      <c r="U138" s="13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19:32:11-0600',mode:absolute,to:'2016-08-11 22:16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38" s="57" t="str">
        <f t="shared" si="49"/>
        <v>N</v>
      </c>
      <c r="X138" s="133">
        <f t="shared" si="60"/>
        <v>1</v>
      </c>
      <c r="Y138" s="72">
        <f t="shared" si="50"/>
        <v>4.7100000000000003E-2</v>
      </c>
      <c r="Z138" s="72">
        <f t="shared" si="51"/>
        <v>23.3293</v>
      </c>
      <c r="AA138" s="72">
        <f t="shared" si="52"/>
        <v>23.2822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53"/>
        <v>0227-11</v>
      </c>
      <c r="AE138" s="108" t="str">
        <f t="shared" si="71"/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AF138" s="105" t="str">
        <f t="shared" si="72"/>
        <v>"C:\Program Files (x86)\AstroGrep\AstroGrep.exe" /spath="%USERPROFILE%\AppData\Local\Temp\OnboardLogs" /stypes="*4025*20160812*" /stext=" 03:.+((SYSTEM_STATE.+slice.+state.+changed )|(ment ac)|(system.+state.+changed )|(\|lc)|(penalty)|(\[timeout)|(PRM\|1\|D)|(kpr)|(kdp))" /e /r /s</v>
      </c>
      <c r="AG138" s="1" t="str">
        <f t="shared" si="54"/>
        <v>EC</v>
      </c>
      <c r="AH138" s="109" t="str">
        <f t="shared" si="55"/>
        <v>"%USERPROFILE%\Documents\GitHub\eaglep3\Utilities\RefineRTDCRunTimes.py" --tripid 227-11 --locoid 4025 --swversion DE.1.0.7.0 --startMP 204:471 --initTime 2016-08-11T20:32:11 --startdatetime 2016-08-11T20:33:50 --delay 1 --endMP 204:233293 --enddatetime 2016-08-11T21:16:53 --enforcementcount 0</v>
      </c>
    </row>
    <row r="139" spans="1:34" x14ac:dyDescent="0.25">
      <c r="A139" s="42" t="s">
        <v>477</v>
      </c>
      <c r="B139" s="7">
        <v>4028</v>
      </c>
      <c r="C139" s="25" t="s">
        <v>130</v>
      </c>
      <c r="D139" s="25" t="s">
        <v>293</v>
      </c>
      <c r="E139" s="16">
        <v>42593.890150462961</v>
      </c>
      <c r="F139" s="16">
        <v>42593.891932870371</v>
      </c>
      <c r="G139" s="7">
        <v>2</v>
      </c>
      <c r="H139" s="16" t="s">
        <v>478</v>
      </c>
      <c r="I139" s="16">
        <v>42593.920729166668</v>
      </c>
      <c r="J139" s="7">
        <v>1</v>
      </c>
      <c r="K139" s="149" t="str">
        <f t="shared" si="44"/>
        <v>4027/4028</v>
      </c>
      <c r="L139" s="25" t="str">
        <f>VLOOKUP(A139,'Trips&amp;Operators'!$C$1:$E$10000,3,FALSE)</f>
        <v>STAMBAUGH</v>
      </c>
      <c r="M139" s="6">
        <f t="shared" si="45"/>
        <v>2.8796296297514345E-2</v>
      </c>
      <c r="N139" s="7">
        <f t="shared" si="63"/>
        <v>41.466666668420658</v>
      </c>
      <c r="O139" s="7"/>
      <c r="P139" s="7"/>
      <c r="Q139" s="26"/>
      <c r="R139" s="26"/>
      <c r="S139" s="38">
        <f t="shared" si="46"/>
        <v>1</v>
      </c>
      <c r="T139" s="55" t="str">
        <f t="shared" si="47"/>
        <v>Southbound</v>
      </c>
      <c r="U139" s="13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20:21:49-0600',mode:absolute,to:'2016-08-11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39" s="57" t="str">
        <f t="shared" si="49"/>
        <v>N</v>
      </c>
      <c r="X139" s="133">
        <f t="shared" si="60"/>
        <v>1</v>
      </c>
      <c r="Y139" s="72">
        <f t="shared" si="50"/>
        <v>23.299099999999999</v>
      </c>
      <c r="Z139" s="72">
        <f t="shared" si="51"/>
        <v>2.2100000000000002E-2</v>
      </c>
      <c r="AA139" s="72">
        <f t="shared" si="52"/>
        <v>23.277000000000001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si="53"/>
        <v>0228-11</v>
      </c>
      <c r="AE139" s="108" t="str">
        <f t="shared" si="71"/>
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</c>
      <c r="AF139" s="105" t="str">
        <f t="shared" si="72"/>
        <v>"C:\Program Files (x86)\AstroGrep\AstroGrep.exe" /spath="%USERPROFILE%\AppData\Local\Temp\OnboardLogs" /stypes="*4028*20160812*" /stext=" 04:.+((SYSTEM_STATE.+slice.+state.+changed )|(ment ac)|(system.+state.+changed )|(\|lc)|(penalty)|(\[timeout)|(PRM\|1\|D)|(kpr)|(kdp))" /e /r /s</v>
      </c>
      <c r="AG139" s="1" t="str">
        <f t="shared" si="54"/>
        <v>EC</v>
      </c>
      <c r="AH139" s="109" t="str">
        <f t="shared" si="55"/>
        <v>"%USERPROFILE%\Documents\GitHub\eaglep3\Utilities\RefineRTDCRunTimes.py" --tripid 228-11 --locoid 4028 --swversion DE.1.0.7.0 --startMP 204:232991 --initTime 2016-08-11T21:21:49 --startdatetime 2016-08-11T21:24:23 --delay 2 --endMP 204:221 --enddatetime 2016-08-11T22:05:51 --enforcementcount 1</v>
      </c>
    </row>
    <row r="140" spans="1:34" x14ac:dyDescent="0.25">
      <c r="A140" s="42" t="s">
        <v>479</v>
      </c>
      <c r="B140" s="7">
        <v>4016</v>
      </c>
      <c r="C140" s="25" t="s">
        <v>130</v>
      </c>
      <c r="D140" s="25" t="s">
        <v>196</v>
      </c>
      <c r="E140" s="16">
        <v>42593.878900462965</v>
      </c>
      <c r="F140" s="16">
        <v>42593.879895833335</v>
      </c>
      <c r="G140" s="7">
        <v>1</v>
      </c>
      <c r="H140" s="16" t="s">
        <v>239</v>
      </c>
      <c r="I140" s="16">
        <v>42593.907071759262</v>
      </c>
      <c r="J140" s="7">
        <v>0</v>
      </c>
      <c r="K140" s="149" t="str">
        <f t="shared" si="44"/>
        <v>4015/4016</v>
      </c>
      <c r="L140" s="25" t="str">
        <f>VLOOKUP(A140,'Trips&amp;Operators'!$C$1:$E$10000,3,FALSE)</f>
        <v>LEVIN</v>
      </c>
      <c r="M140" s="6">
        <f t="shared" si="45"/>
        <v>2.7175925926712807E-2</v>
      </c>
      <c r="N140" s="7">
        <f t="shared" si="63"/>
        <v>39.133333334466442</v>
      </c>
      <c r="O140" s="7"/>
      <c r="P140" s="7"/>
      <c r="Q140" s="26"/>
      <c r="R140" s="26"/>
      <c r="S140" s="38">
        <f t="shared" si="46"/>
        <v>1</v>
      </c>
      <c r="T140" s="55" t="str">
        <f t="shared" si="47"/>
        <v>NorthBound</v>
      </c>
      <c r="U140" s="13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20:05:37-0600',mode:absolute,to:'2016-08-11 22:46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40" s="57" t="str">
        <f t="shared" si="49"/>
        <v>N</v>
      </c>
      <c r="X140" s="133">
        <f t="shared" si="60"/>
        <v>1</v>
      </c>
      <c r="Y140" s="72">
        <f t="shared" si="50"/>
        <v>4.6899999999999997E-2</v>
      </c>
      <c r="Z140" s="72">
        <f t="shared" si="51"/>
        <v>23.331900000000001</v>
      </c>
      <c r="AA140" s="72">
        <f t="shared" si="52"/>
        <v>23.285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53"/>
        <v>0229-11</v>
      </c>
      <c r="AE140" s="108" t="str">
        <f t="shared" si="71"/>
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</c>
      <c r="AF140" s="105" t="str">
        <f t="shared" si="72"/>
        <v>"C:\Program Files (x86)\AstroGrep\AstroGrep.exe" /spath="%USERPROFILE%\AppData\Local\Temp\OnboardLogs" /stypes="*4016*20160812*" /stext=" 03:.+((SYSTEM_STATE.+slice.+state.+changed )|(ment ac)|(system.+state.+changed )|(\|lc)|(penalty)|(\[timeout)|(PRM\|1\|D)|(kpr)|(kdp))" /e /r /s</v>
      </c>
      <c r="AG140" s="1" t="str">
        <f t="shared" si="54"/>
        <v>EC</v>
      </c>
      <c r="AH140" s="109" t="str">
        <f t="shared" si="55"/>
        <v>"%USERPROFILE%\Documents\GitHub\eaglep3\Utilities\RefineRTDCRunTimes.py" --tripid 229-11 --locoid 4016 --swversion DE.1.0.7.0 --startMP 204:469 --initTime 2016-08-11T21:05:37 --startdatetime 2016-08-11T21:07:03 --delay 1 --endMP 204:233319 --enddatetime 2016-08-11T21:46:11 --enforcementcount 0</v>
      </c>
    </row>
    <row r="141" spans="1:34" x14ac:dyDescent="0.25">
      <c r="A141" s="42" t="s">
        <v>480</v>
      </c>
      <c r="B141" s="7">
        <v>4015</v>
      </c>
      <c r="C141" s="25" t="s">
        <v>130</v>
      </c>
      <c r="D141" s="25" t="s">
        <v>135</v>
      </c>
      <c r="E141" s="16">
        <v>42593.909178240741</v>
      </c>
      <c r="F141" s="16">
        <v>42593.910034722219</v>
      </c>
      <c r="G141" s="7">
        <v>1</v>
      </c>
      <c r="H141" s="16" t="s">
        <v>319</v>
      </c>
      <c r="I141" s="16">
        <v>42593.94222222222</v>
      </c>
      <c r="J141" s="7">
        <v>0</v>
      </c>
      <c r="K141" s="149" t="str">
        <f t="shared" si="44"/>
        <v>4015/4016</v>
      </c>
      <c r="L141" s="25" t="str">
        <f>VLOOKUP(A141,'Trips&amp;Operators'!$C$1:$E$10000,3,FALSE)</f>
        <v>LEVIN</v>
      </c>
      <c r="M141" s="6">
        <f t="shared" si="45"/>
        <v>3.2187500000873115E-2</v>
      </c>
      <c r="N141" s="7">
        <f t="shared" si="63"/>
        <v>46.350000001257285</v>
      </c>
      <c r="O141" s="7"/>
      <c r="P141" s="7"/>
      <c r="Q141" s="26"/>
      <c r="R141" s="26"/>
      <c r="S141" s="38">
        <f t="shared" si="46"/>
        <v>1</v>
      </c>
      <c r="T141" s="55" t="str">
        <f t="shared" si="47"/>
        <v>Southbound</v>
      </c>
      <c r="U141" s="13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20:49:13-0600',mode:absolute,to:'2016-08-11 23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41" s="57" t="str">
        <f t="shared" si="49"/>
        <v>N</v>
      </c>
      <c r="X141" s="133">
        <f t="shared" si="60"/>
        <v>1</v>
      </c>
      <c r="Y141" s="72">
        <f t="shared" si="50"/>
        <v>23.299299999999999</v>
      </c>
      <c r="Z141" s="72">
        <f t="shared" si="51"/>
        <v>1.34E-2</v>
      </c>
      <c r="AA141" s="72">
        <f t="shared" si="52"/>
        <v>23.285899999999998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si="53"/>
        <v>0230-11</v>
      </c>
      <c r="AE141" s="108" t="str">
        <f t="shared" si="71"/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AF141" s="105" t="str">
        <f t="shared" si="72"/>
        <v>"C:\Program Files (x86)\AstroGrep\AstroGrep.exe" /spath="%USERPROFILE%\AppData\Local\Temp\OnboardLogs" /stypes="*4015*20160812*" /stext=" 04:.+((SYSTEM_STATE.+slice.+state.+changed )|(ment ac)|(system.+state.+changed )|(\|lc)|(penalty)|(\[timeout)|(PRM\|1\|D)|(kpr)|(kdp))" /e /r /s</v>
      </c>
      <c r="AG141" s="1" t="str">
        <f t="shared" si="54"/>
        <v>EC</v>
      </c>
      <c r="AH141" s="109" t="str">
        <f t="shared" si="55"/>
        <v>"%USERPROFILE%\Documents\GitHub\eaglep3\Utilities\RefineRTDCRunTimes.py" --tripid 230-11 --locoid 4015 --swversion DE.1.0.7.0 --startMP 204:232993 --initTime 2016-08-11T21:49:13 --startdatetime 2016-08-11T21:50:27 --delay 1 --endMP 204:134 --enddatetime 2016-08-11T22:36:48 --enforcementcount 0</v>
      </c>
    </row>
    <row r="142" spans="1:34" s="24" customFormat="1" x14ac:dyDescent="0.25">
      <c r="A142" s="42" t="s">
        <v>654</v>
      </c>
      <c r="B142" s="7"/>
      <c r="C142" s="25"/>
      <c r="D142" s="25"/>
      <c r="E142" s="16"/>
      <c r="F142" s="16"/>
      <c r="G142" s="7"/>
      <c r="H142" s="16"/>
      <c r="I142" s="16"/>
      <c r="J142" s="7">
        <v>0</v>
      </c>
      <c r="K142" s="149" t="str">
        <f t="shared" ref="K142" si="99">IF(ISEVEN(B142),(B142-1)&amp;"/"&amp;B142,B142&amp;"/"&amp;(B142+1))</f>
        <v>-1/</v>
      </c>
      <c r="L142" s="25" t="e">
        <f>VLOOKUP(A142,'Trips&amp;Operators'!$C$1:$E$10000,3,FALSE)</f>
        <v>#N/A</v>
      </c>
      <c r="M142" s="6">
        <f t="shared" ref="M142" si="100">I142-F142</f>
        <v>0</v>
      </c>
      <c r="N142" s="7"/>
      <c r="O142" s="7"/>
      <c r="P142" s="7">
        <v>1</v>
      </c>
      <c r="Q142" s="26"/>
      <c r="R142" s="26" t="s">
        <v>230</v>
      </c>
      <c r="S142" s="38">
        <f t="shared" si="46"/>
        <v>0</v>
      </c>
      <c r="T142" s="55" t="str">
        <f t="shared" si="47"/>
        <v>NorthBound</v>
      </c>
      <c r="U142" s="13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15" t="e">
        <f t="shared" si="48"/>
        <v>#VALUE!</v>
      </c>
      <c r="W142" s="57" t="e">
        <f t="shared" si="49"/>
        <v>#VALUE!</v>
      </c>
      <c r="X142" s="133">
        <f t="shared" si="60"/>
        <v>1</v>
      </c>
      <c r="Y142" s="72" t="e">
        <f t="shared" si="50"/>
        <v>#VALUE!</v>
      </c>
      <c r="Z142" s="72" t="e">
        <f t="shared" si="51"/>
        <v>#VALUE!</v>
      </c>
      <c r="AA142" s="72" t="e">
        <f t="shared" si="52"/>
        <v>#VALUE!</v>
      </c>
      <c r="AB142" s="69" t="e">
        <f>VLOOKUP(A142,Enforcements!$C$7:$J$24,8,0)</f>
        <v>#N/A</v>
      </c>
      <c r="AC142" s="65" t="e">
        <f>VLOOKUP(A142,Enforcements!$C$7:$E$24,3,0)</f>
        <v>#N/A</v>
      </c>
      <c r="AD142" s="66" t="str">
        <f t="shared" si="53"/>
        <v>0231-11</v>
      </c>
      <c r="AE142" s="108" t="str">
        <f t="shared" si="71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42" s="105" t="str">
        <f t="shared" si="72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42" s="1" t="str">
        <f t="shared" ref="AG142:AG179" si="101">IF(VALUE(LEFT(AD142,2))&lt;=2,"EC",IF(OR(VALUE(LEFT(AD142,2))=8,VALUE(LEFT(AD142,2))=18),"NW","Other"))</f>
        <v>EC</v>
      </c>
      <c r="AH142" s="109" t="str">
        <f t="shared" si="55"/>
        <v>"%USERPROFILE%\Documents\GitHub\eaglep3\Utilities\RefineRTDCRunTimes.py" --tripid 231-11 --locoid  --swversion  --startMP  --initTime 1900-01-00T00:00:00 --startdatetime 1900-01-00T00:00:00 --delay  --endMP  --enddatetime 1900-01-00T00:00:00 --enforcementcount 0</v>
      </c>
    </row>
    <row r="143" spans="1:34" x14ac:dyDescent="0.25">
      <c r="A143" s="42" t="s">
        <v>481</v>
      </c>
      <c r="B143" s="7">
        <v>4013</v>
      </c>
      <c r="C143" s="25" t="s">
        <v>130</v>
      </c>
      <c r="D143" s="25" t="s">
        <v>177</v>
      </c>
      <c r="E143" s="16">
        <v>42593.935416666667</v>
      </c>
      <c r="F143" s="16">
        <v>42593.937245370369</v>
      </c>
      <c r="G143" s="7">
        <v>2</v>
      </c>
      <c r="H143" s="16" t="s">
        <v>159</v>
      </c>
      <c r="I143" s="16">
        <v>42593.96539351852</v>
      </c>
      <c r="J143" s="7">
        <v>0</v>
      </c>
      <c r="K143" s="149" t="str">
        <f t="shared" si="44"/>
        <v>4013/4014</v>
      </c>
      <c r="L143" s="25" t="str">
        <f>VLOOKUP(A143,'Trips&amp;Operators'!$C$1:$E$10000,3,FALSE)</f>
        <v>STURGEON</v>
      </c>
      <c r="M143" s="6">
        <f t="shared" si="45"/>
        <v>2.8148148150648922E-2</v>
      </c>
      <c r="N143" s="7">
        <f t="shared" si="63"/>
        <v>40.533333336934447</v>
      </c>
      <c r="O143" s="7"/>
      <c r="P143" s="7"/>
      <c r="Q143" s="26"/>
      <c r="R143" s="26"/>
      <c r="S143" s="38">
        <f t="shared" si="46"/>
        <v>1</v>
      </c>
      <c r="T143" s="55" t="str">
        <f t="shared" si="47"/>
        <v>Southbound</v>
      </c>
      <c r="U143" s="13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21:27:00-0600',mode:absolute,to:'2016-08-12 00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43" s="57" t="str">
        <f t="shared" si="49"/>
        <v>N</v>
      </c>
      <c r="X143" s="133">
        <f t="shared" si="60"/>
        <v>1</v>
      </c>
      <c r="Y143" s="72">
        <f t="shared" si="50"/>
        <v>23.2959</v>
      </c>
      <c r="Z143" s="72">
        <f t="shared" si="51"/>
        <v>1.61E-2</v>
      </c>
      <c r="AA143" s="72">
        <f t="shared" si="52"/>
        <v>23.279799999999998</v>
      </c>
      <c r="AB143" s="69" t="e">
        <f>VLOOKUP(A143,Enforcements!$C$7:$J$24,8,0)</f>
        <v>#N/A</v>
      </c>
      <c r="AC143" s="65" t="e">
        <f>VLOOKUP(A143,Enforcements!$C$7:$E$24,3,0)</f>
        <v>#N/A</v>
      </c>
      <c r="AD143" s="66" t="str">
        <f t="shared" si="53"/>
        <v>0232-11</v>
      </c>
      <c r="AE143" s="108" t="str">
        <f t="shared" si="71"/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AF143" s="105" t="str">
        <f t="shared" si="72"/>
        <v>"C:\Program Files (x86)\AstroGrep\AstroGrep.exe" /spath="%USERPROFILE%\AppData\Local\Temp\OnboardLogs" /stypes="*4013*20160812*" /stext=" 05:.+((SYSTEM_STATE.+slice.+state.+changed )|(ment ac)|(system.+state.+changed )|(\|lc)|(penalty)|(\[timeout)|(PRM\|1\|D)|(kpr)|(kdp))" /e /r /s</v>
      </c>
      <c r="AG143" s="1" t="str">
        <f t="shared" si="101"/>
        <v>EC</v>
      </c>
      <c r="AH143" s="109" t="str">
        <f t="shared" si="55"/>
        <v>"%USERPROFILE%\Documents\GitHub\eaglep3\Utilities\RefineRTDCRunTimes.py" --tripid 232-11 --locoid 4013 --swversion DE.1.0.7.0 --startMP 204:232959 --initTime 2016-08-11T22:27:00 --startdatetime 2016-08-11T22:29:38 --delay 2 --endMP 204:161 --enddatetime 2016-08-11T23:10:10 --enforcementcount 0</v>
      </c>
    </row>
    <row r="144" spans="1:34" s="24" customFormat="1" x14ac:dyDescent="0.25">
      <c r="A144" s="42" t="s">
        <v>655</v>
      </c>
      <c r="B144" s="7"/>
      <c r="C144" s="25"/>
      <c r="D144" s="25"/>
      <c r="E144" s="16"/>
      <c r="F144" s="16"/>
      <c r="G144" s="7"/>
      <c r="H144" s="16"/>
      <c r="I144" s="16"/>
      <c r="J144" s="7"/>
      <c r="K144" s="149"/>
      <c r="L144" s="25"/>
      <c r="M144" s="6"/>
      <c r="N144" s="7"/>
      <c r="O144" s="7"/>
      <c r="P144" s="7">
        <v>1</v>
      </c>
      <c r="Q144" s="26"/>
      <c r="R144" s="26" t="s">
        <v>230</v>
      </c>
      <c r="S144" s="38">
        <f t="shared" ref="S144" si="102">SUM(U144:U144)/IF(AG144="EC",12,1)</f>
        <v>0</v>
      </c>
      <c r="T144" s="55" t="str">
        <f t="shared" ref="T144" si="103">IF(ISEVEN(LEFT(AD144,4)),"Southbound","NorthBound")</f>
        <v>NorthBound</v>
      </c>
      <c r="U144" s="13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15" t="e">
        <f t="shared" ref="V144" si="104"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144&amp;"%22')),sort:!(Time,asc))"</f>
        <v>#VALUE!</v>
      </c>
      <c r="W144" s="57" t="e">
        <f t="shared" ref="W144" si="105">IF(AA144&lt;IF(AG144="EC",23,5.65),"Y","N")</f>
        <v>#VALUE!</v>
      </c>
      <c r="X144" s="133">
        <f t="shared" ref="X144" si="106">VALUE(LEFT(AD144,4))-VALUE(LEFT(AD143,4))</f>
        <v>1</v>
      </c>
      <c r="Y144" s="72" t="e">
        <f t="shared" ref="Y144" si="107">RIGHT(D144,LEN(D144)-4)/10000</f>
        <v>#VALUE!</v>
      </c>
      <c r="Z144" s="72" t="e">
        <f t="shared" ref="Z144" si="108">RIGHT(H144,LEN(H144)-4)/10000</f>
        <v>#VALUE!</v>
      </c>
      <c r="AA144" s="72" t="e">
        <f t="shared" ref="AA144" si="109">ABS(Z144-Y144)</f>
        <v>#VALUE!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ref="AD144" si="110">IF(LEN(A144)=6,"0"&amp;A144,A144)</f>
        <v>0233-11</v>
      </c>
      <c r="AE144" s="108" t="str">
        <f t="shared" si="71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44" s="105" t="str">
        <f t="shared" si="72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44" s="1" t="str">
        <f t="shared" si="101"/>
        <v>EC</v>
      </c>
      <c r="AH144" s="109" t="str">
        <f t="shared" ref="AH144" si="111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</f>
        <v xml:space="preserve">"%USERPROFILE%\Documents\GitHub\eaglep3\Utilities\RefineRTDCRunTimes.py" --tripid 233-11 --locoid  --swversion  --startMP  --initTime 1900-01-00T00:00:00 --startdatetime 1900-01-00T00:00:00 --delay  --endMP  --enddatetime 1900-01-00T00:00:00 --enforcementcount </v>
      </c>
    </row>
    <row r="145" spans="1:34" x14ac:dyDescent="0.25">
      <c r="A145" s="42" t="s">
        <v>482</v>
      </c>
      <c r="B145" s="7">
        <v>4028</v>
      </c>
      <c r="C145" s="25" t="s">
        <v>130</v>
      </c>
      <c r="D145" s="25" t="s">
        <v>197</v>
      </c>
      <c r="E145" s="16">
        <v>42593.954918981479</v>
      </c>
      <c r="F145" s="16">
        <v>42593.955891203703</v>
      </c>
      <c r="G145" s="7">
        <v>1</v>
      </c>
      <c r="H145" s="16" t="s">
        <v>380</v>
      </c>
      <c r="I145" s="16">
        <v>42593.986030092594</v>
      </c>
      <c r="J145" s="7">
        <v>0</v>
      </c>
      <c r="K145" s="149" t="str">
        <f t="shared" si="44"/>
        <v>4027/4028</v>
      </c>
      <c r="L145" s="25" t="str">
        <f>VLOOKUP(A145,'Trips&amp;Operators'!$C$1:$E$10000,3,FALSE)</f>
        <v>STAMBAUGH</v>
      </c>
      <c r="M145" s="6">
        <f t="shared" si="45"/>
        <v>3.0138888891087845E-2</v>
      </c>
      <c r="N145" s="7">
        <f t="shared" si="63"/>
        <v>43.400000003166497</v>
      </c>
      <c r="O145" s="7"/>
      <c r="P145" s="7"/>
      <c r="Q145" s="26"/>
      <c r="R145" s="26"/>
      <c r="S145" s="38">
        <f t="shared" si="46"/>
        <v>1</v>
      </c>
      <c r="T145" s="55" t="str">
        <f t="shared" si="47"/>
        <v>Southbound</v>
      </c>
      <c r="U145" s="13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21:55:05-0600',mode:absolute,to:'2016-08-12 00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45" s="57" t="str">
        <f t="shared" si="49"/>
        <v>N</v>
      </c>
      <c r="X145" s="133">
        <f t="shared" si="60"/>
        <v>1</v>
      </c>
      <c r="Y145" s="72">
        <f t="shared" si="50"/>
        <v>23.2971</v>
      </c>
      <c r="Z145" s="72">
        <f t="shared" si="51"/>
        <v>1.6500000000000001E-2</v>
      </c>
      <c r="AA145" s="72">
        <f t="shared" si="52"/>
        <v>23.2806</v>
      </c>
      <c r="AB145" s="69" t="e">
        <f>VLOOKUP(A145,Enforcements!$C$7:$J$24,8,0)</f>
        <v>#N/A</v>
      </c>
      <c r="AC145" s="65" t="e">
        <f>VLOOKUP(A145,Enforcements!$C$7:$E$24,3,0)</f>
        <v>#N/A</v>
      </c>
      <c r="AD145" s="66" t="str">
        <f t="shared" si="53"/>
        <v>0234-11</v>
      </c>
      <c r="AE145" s="108" t="str">
        <f t="shared" si="71"/>
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</c>
      <c r="AF145" s="105" t="str">
        <f t="shared" si="72"/>
        <v>"C:\Program Files (x86)\AstroGrep\AstroGrep.exe" /spath="%USERPROFILE%\AppData\Local\Temp\OnboardLogs" /stypes="*4028*20160812*" /stext=" 05:.+((SYSTEM_STATE.+slice.+state.+changed )|(ment ac)|(system.+state.+changed )|(\|lc)|(penalty)|(\[timeout)|(PRM\|1\|D)|(kpr)|(kdp))" /e /r /s</v>
      </c>
      <c r="AG145" s="1" t="str">
        <f t="shared" si="101"/>
        <v>EC</v>
      </c>
      <c r="AH145" s="109" t="str">
        <f t="shared" si="55"/>
        <v>"%USERPROFILE%\Documents\GitHub\eaglep3\Utilities\RefineRTDCRunTimes.py" --tripid 234-11 --locoid 4028 --swversion DE.1.0.7.0 --startMP 204:232971 --initTime 2016-08-11T22:55:05 --startdatetime 2016-08-11T22:56:29 --delay 1 --endMP 204:165 --enddatetime 2016-08-11T23:39:53 --enforcementcount 0</v>
      </c>
    </row>
    <row r="146" spans="1:34" s="24" customFormat="1" x14ac:dyDescent="0.25">
      <c r="A146" s="42" t="s">
        <v>656</v>
      </c>
      <c r="B146" s="7"/>
      <c r="C146" s="25"/>
      <c r="D146" s="25"/>
      <c r="E146" s="16"/>
      <c r="F146" s="16"/>
      <c r="G146" s="7"/>
      <c r="H146" s="16"/>
      <c r="I146" s="16"/>
      <c r="J146" s="7"/>
      <c r="K146" s="149"/>
      <c r="L146" s="25"/>
      <c r="M146" s="6"/>
      <c r="N146" s="7"/>
      <c r="O146" s="7"/>
      <c r="P146" s="7">
        <v>1</v>
      </c>
      <c r="Q146" s="26"/>
      <c r="R146" s="26" t="s">
        <v>230</v>
      </c>
      <c r="S146" s="38">
        <f t="shared" si="46"/>
        <v>0</v>
      </c>
      <c r="T146" s="55" t="str">
        <f t="shared" si="47"/>
        <v>NorthBound</v>
      </c>
      <c r="U146" s="13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0</v>
      </c>
      <c r="V146" s="115" t="e">
        <f t="shared" si="48"/>
        <v>#VALUE!</v>
      </c>
      <c r="W146" s="57" t="e">
        <f t="shared" si="49"/>
        <v>#VALUE!</v>
      </c>
      <c r="X146" s="133">
        <f t="shared" si="60"/>
        <v>1</v>
      </c>
      <c r="Y146" s="72" t="e">
        <f t="shared" si="50"/>
        <v>#VALUE!</v>
      </c>
      <c r="Z146" s="72" t="e">
        <f t="shared" si="51"/>
        <v>#VALUE!</v>
      </c>
      <c r="AA146" s="72" t="e">
        <f t="shared" si="52"/>
        <v>#VALUE!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53"/>
        <v>0235-11</v>
      </c>
      <c r="AE146" s="108" t="str">
        <f t="shared" si="71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46" s="105" t="str">
        <f t="shared" si="72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46" s="1" t="str">
        <f t="shared" si="101"/>
        <v>EC</v>
      </c>
      <c r="AH146" s="109" t="str">
        <f t="shared" si="55"/>
        <v xml:space="preserve">"%USERPROFILE%\Documents\GitHub\eaglep3\Utilities\RefineRTDCRunTimes.py" --tripid 235-11 --locoid  --swversion  --startMP  --initTime 1900-01-00T00:00:00 --startdatetime 1900-01-00T00:00:00 --delay  --endMP  --enddatetime 1900-01-00T00:00:00 --enforcementcount </v>
      </c>
    </row>
    <row r="147" spans="1:34" x14ac:dyDescent="0.25">
      <c r="A147" s="42" t="s">
        <v>483</v>
      </c>
      <c r="B147" s="7">
        <v>4026</v>
      </c>
      <c r="C147" s="25" t="s">
        <v>130</v>
      </c>
      <c r="D147" s="25" t="s">
        <v>145</v>
      </c>
      <c r="E147" s="16">
        <v>42593.973368055558</v>
      </c>
      <c r="F147" s="16">
        <v>42593.974247685182</v>
      </c>
      <c r="G147" s="7">
        <v>1</v>
      </c>
      <c r="H147" s="16" t="s">
        <v>380</v>
      </c>
      <c r="I147" s="16">
        <v>42594.004247685189</v>
      </c>
      <c r="J147" s="7">
        <v>0</v>
      </c>
      <c r="K147" s="149" t="str">
        <f t="shared" si="44"/>
        <v>4025/4026</v>
      </c>
      <c r="L147" s="25" t="str">
        <f>VLOOKUP(A147,'Trips&amp;Operators'!$C$1:$E$10000,3,FALSE)</f>
        <v>ISHMAEL</v>
      </c>
      <c r="M147" s="6">
        <f t="shared" si="45"/>
        <v>3.0000000006111804E-2</v>
      </c>
      <c r="N147" s="7">
        <f t="shared" si="63"/>
        <v>43.200000008800998</v>
      </c>
      <c r="O147" s="7"/>
      <c r="P147" s="7"/>
      <c r="Q147" s="26"/>
      <c r="R147" s="26"/>
      <c r="S147" s="38">
        <f t="shared" si="46"/>
        <v>1</v>
      </c>
      <c r="T147" s="55" t="str">
        <f t="shared" si="47"/>
        <v>Southbound</v>
      </c>
      <c r="U147" s="13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22:21:39-0600',mode:absolute,to:'2016-08-12 01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47" s="57" t="str">
        <f t="shared" si="49"/>
        <v>N</v>
      </c>
      <c r="X147" s="133">
        <f t="shared" si="60"/>
        <v>1</v>
      </c>
      <c r="Y147" s="72">
        <f t="shared" si="50"/>
        <v>23.299800000000001</v>
      </c>
      <c r="Z147" s="72">
        <f t="shared" si="51"/>
        <v>1.6500000000000001E-2</v>
      </c>
      <c r="AA147" s="72">
        <f t="shared" si="52"/>
        <v>23.283300000000001</v>
      </c>
      <c r="AB147" s="69" t="e">
        <f>VLOOKUP(A147,Enforcements!$C$7:$J$24,8,0)</f>
        <v>#N/A</v>
      </c>
      <c r="AC147" s="65" t="e">
        <f>VLOOKUP(A147,Enforcements!$C$7:$E$24,3,0)</f>
        <v>#N/A</v>
      </c>
      <c r="AD147" s="66" t="str">
        <f t="shared" si="53"/>
        <v>0236-11</v>
      </c>
      <c r="AE147" s="108" t="str">
        <f t="shared" si="71"/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AF147" s="105" t="str">
        <f t="shared" si="72"/>
        <v>"C:\Program Files (x86)\AstroGrep\AstroGrep.exe" /spath="%USERPROFILE%\AppData\Local\Temp\OnboardLogs" /stypes="*4026*20160812*" /stext=" 06:.+((SYSTEM_STATE.+slice.+state.+changed )|(ment ac)|(system.+state.+changed )|(\|lc)|(penalty)|(\[timeout)|(PRM\|1\|D)|(kpr)|(kdp))" /e /r /s</v>
      </c>
      <c r="AG147" s="1" t="str">
        <f t="shared" si="101"/>
        <v>EC</v>
      </c>
      <c r="AH147" s="109" t="str">
        <f t="shared" si="55"/>
        <v>"%USERPROFILE%\Documents\GitHub\eaglep3\Utilities\RefineRTDCRunTimes.py" --tripid 236-11 --locoid 4026 --swversion DE.1.0.7.0 --startMP 204:232998 --initTime 2016-08-11T23:21:39 --startdatetime 2016-08-11T23:22:55 --delay 1 --endMP 204:165 --enddatetime 2016-08-12T00:06:07 --enforcementcount 0</v>
      </c>
    </row>
    <row r="148" spans="1:34" x14ac:dyDescent="0.25">
      <c r="A148" s="42" t="s">
        <v>484</v>
      </c>
      <c r="B148" s="7">
        <v>4016</v>
      </c>
      <c r="C148" s="25" t="s">
        <v>130</v>
      </c>
      <c r="D148" s="25" t="s">
        <v>235</v>
      </c>
      <c r="E148" s="16">
        <v>42593.950659722221</v>
      </c>
      <c r="F148" s="16">
        <v>42593.951701388891</v>
      </c>
      <c r="G148" s="7">
        <v>1</v>
      </c>
      <c r="H148" s="16" t="s">
        <v>155</v>
      </c>
      <c r="I148" s="16">
        <v>42593.984976851854</v>
      </c>
      <c r="J148" s="7">
        <v>0</v>
      </c>
      <c r="K148" s="149" t="str">
        <f t="shared" si="44"/>
        <v>4015/4016</v>
      </c>
      <c r="L148" s="25" t="str">
        <f>VLOOKUP(A148,'Trips&amp;Operators'!$C$1:$E$10000,3,FALSE)</f>
        <v>LEVIN</v>
      </c>
      <c r="M148" s="6">
        <f t="shared" si="45"/>
        <v>3.3275462963501923E-2</v>
      </c>
      <c r="N148" s="7">
        <f t="shared" si="63"/>
        <v>47.916666667442769</v>
      </c>
      <c r="O148" s="7"/>
      <c r="P148" s="7"/>
      <c r="Q148" s="26"/>
      <c r="R148" s="26"/>
      <c r="S148" s="38">
        <f t="shared" si="46"/>
        <v>1</v>
      </c>
      <c r="T148" s="55" t="str">
        <f t="shared" si="47"/>
        <v>NorthBound</v>
      </c>
      <c r="U148" s="13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21:48:57-0600',mode:absolute,to:'2016-08-12 00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48" s="57" t="str">
        <f t="shared" si="49"/>
        <v>N</v>
      </c>
      <c r="X148" s="133">
        <f t="shared" si="60"/>
        <v>1</v>
      </c>
      <c r="Y148" s="72">
        <f t="shared" si="50"/>
        <v>4.5699999999999998E-2</v>
      </c>
      <c r="Z148" s="72">
        <f t="shared" si="51"/>
        <v>23.331499999999998</v>
      </c>
      <c r="AA148" s="72">
        <f t="shared" si="52"/>
        <v>23.285799999999998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si="53"/>
        <v>0237-11</v>
      </c>
      <c r="AE148" s="108" t="str">
        <f t="shared" si="71"/>
        <v>aws s3 cp s3://rtdc.mdm.uploadarchive/RTDC4016/2016-08-11/ "%USERPROFILE%\AppData\Local\Temp\OnboardLogs"\RTDC4016\2016-08-11 --recursive &amp; "%USERPROFILE%\Documents\GitHub\mrs-test-scripts\Headless Mode &amp; Sideloading\WalkAndUnGZ.bat" "%USERPROFILE%\AppData\Local\Temp\OnboardLogs"\RTDC4016\2016-08-11 &amp; aws s3 cp s3://rtdc.mdm.uploadarchive/RTDC4016/2016-08-12/ "%USERPROFILE%\AppData\Local\Temp\OnboardLogs"\RTDC4016\2016-08-12 --recursive &amp; "%USERPROFILE%\Documents\GitHub\mrs-test-scripts\Headless Mode &amp; Sideloading\WalkAndUnGZ.bat" "%USERPROFILE%\AppData\Local\Temp\OnboardLogs"\RTDC4016\2016-08-12</v>
      </c>
      <c r="AF148" s="105" t="str">
        <f t="shared" si="72"/>
        <v>"C:\Program Files (x86)\AstroGrep\AstroGrep.exe" /spath="%USERPROFILE%\AppData\Local\Temp\OnboardLogs" /stypes="*4016*20160812*" /stext=" 05:.+((SYSTEM_STATE.+slice.+state.+changed )|(ment ac)|(system.+state.+changed )|(\|lc)|(penalty)|(\[timeout)|(PRM\|1\|D)|(kpr)|(kdp))" /e /r /s</v>
      </c>
      <c r="AG148" s="1" t="str">
        <f t="shared" si="101"/>
        <v>EC</v>
      </c>
      <c r="AH148" s="109" t="str">
        <f t="shared" si="55"/>
        <v>"%USERPROFILE%\Documents\GitHub\eaglep3\Utilities\RefineRTDCRunTimes.py" --tripid 237-11 --locoid 4016 --swversion DE.1.0.7.0 --startMP 204:457 --initTime 2016-08-11T22:48:57 --startdatetime 2016-08-11T22:50:27 --delay 1 --endMP 204:233315 --enddatetime 2016-08-11T23:38:22 --enforcementcount 0</v>
      </c>
    </row>
    <row r="149" spans="1:34" x14ac:dyDescent="0.25">
      <c r="A149" s="42" t="s">
        <v>485</v>
      </c>
      <c r="B149" s="7">
        <v>4015</v>
      </c>
      <c r="C149" s="25" t="s">
        <v>130</v>
      </c>
      <c r="D149" s="25" t="s">
        <v>171</v>
      </c>
      <c r="E149" s="16">
        <v>42593.992118055554</v>
      </c>
      <c r="F149" s="16">
        <v>42593.993020833332</v>
      </c>
      <c r="G149" s="7">
        <v>1</v>
      </c>
      <c r="H149" s="16" t="s">
        <v>158</v>
      </c>
      <c r="I149" s="16">
        <v>42594.024745370371</v>
      </c>
      <c r="J149" s="7">
        <v>0</v>
      </c>
      <c r="K149" s="149" t="str">
        <f t="shared" si="44"/>
        <v>4015/4016</v>
      </c>
      <c r="L149" s="25" t="str">
        <f>VLOOKUP(A149,'Trips&amp;Operators'!$C$1:$E$10000,3,FALSE)</f>
        <v>LEVIN</v>
      </c>
      <c r="M149" s="6">
        <f t="shared" si="45"/>
        <v>3.1724537038826384E-2</v>
      </c>
      <c r="N149" s="7">
        <f t="shared" si="63"/>
        <v>45.683333335909992</v>
      </c>
      <c r="O149" s="7"/>
      <c r="P149" s="7"/>
      <c r="Q149" s="26"/>
      <c r="R149" s="26"/>
      <c r="S149" s="38">
        <f t="shared" si="46"/>
        <v>1</v>
      </c>
      <c r="T149" s="55" t="str">
        <f t="shared" si="47"/>
        <v>Southbound</v>
      </c>
      <c r="U149" s="13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22:48:39-0600',mode:absolute,to:'2016-08-12 01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49" s="57" t="str">
        <f t="shared" si="49"/>
        <v>N</v>
      </c>
      <c r="X149" s="133">
        <f t="shared" si="60"/>
        <v>1</v>
      </c>
      <c r="Y149" s="72">
        <f t="shared" si="50"/>
        <v>23.299600000000002</v>
      </c>
      <c r="Z149" s="72">
        <f t="shared" si="51"/>
        <v>1.47E-2</v>
      </c>
      <c r="AA149" s="72">
        <f t="shared" si="52"/>
        <v>23.2849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53"/>
        <v>0238-11</v>
      </c>
      <c r="AE149" s="108" t="str">
        <f t="shared" si="71"/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AF149" s="105" t="str">
        <f t="shared" si="72"/>
        <v>"C:\Program Files (x86)\AstroGrep\AstroGrep.exe" /spath="%USERPROFILE%\AppData\Local\Temp\OnboardLogs" /stypes="*4015*20160812*" /stext=" 06:.+((SYSTEM_STATE.+slice.+state.+changed )|(ment ac)|(system.+state.+changed )|(\|lc)|(penalty)|(\[timeout)|(PRM\|1\|D)|(kpr)|(kdp))" /e /r /s</v>
      </c>
      <c r="AG149" s="1" t="str">
        <f t="shared" si="101"/>
        <v>EC</v>
      </c>
      <c r="AH149" s="109" t="str">
        <f t="shared" si="55"/>
        <v>"%USERPROFILE%\Documents\GitHub\eaglep3\Utilities\RefineRTDCRunTimes.py" --tripid 238-11 --locoid 4015 --swversion DE.1.0.7.0 --startMP 204:232996 --initTime 2016-08-11T23:48:39 --startdatetime 2016-08-11T23:49:57 --delay 1 --endMP 204:147 --enddatetime 2016-08-12T00:35:38 --enforcementcount 0</v>
      </c>
    </row>
    <row r="150" spans="1:34" x14ac:dyDescent="0.25">
      <c r="A150" s="42" t="s">
        <v>486</v>
      </c>
      <c r="B150" s="7">
        <v>4014</v>
      </c>
      <c r="C150" s="25" t="s">
        <v>130</v>
      </c>
      <c r="D150" s="25" t="s">
        <v>156</v>
      </c>
      <c r="E150" s="16">
        <v>42593.971805555557</v>
      </c>
      <c r="F150" s="16">
        <v>42593.972905092596</v>
      </c>
      <c r="G150" s="7">
        <v>1</v>
      </c>
      <c r="H150" s="16" t="s">
        <v>124</v>
      </c>
      <c r="I150" s="16">
        <v>42594.00513888889</v>
      </c>
      <c r="J150" s="7">
        <v>0</v>
      </c>
      <c r="K150" s="149" t="str">
        <f t="shared" si="44"/>
        <v>4013/4014</v>
      </c>
      <c r="L150" s="25" t="str">
        <f>VLOOKUP(A150,'Trips&amp;Operators'!$C$1:$E$10000,3,FALSE)</f>
        <v>STURGEON</v>
      </c>
      <c r="M150" s="6">
        <f t="shared" si="45"/>
        <v>3.2233796293439809E-2</v>
      </c>
      <c r="N150" s="7">
        <f t="shared" si="63"/>
        <v>46.416666662553325</v>
      </c>
      <c r="O150" s="7"/>
      <c r="P150" s="7"/>
      <c r="Q150" s="26"/>
      <c r="R150" s="26"/>
      <c r="S150" s="38">
        <f t="shared" si="46"/>
        <v>1</v>
      </c>
      <c r="T150" s="55" t="str">
        <f t="shared" si="47"/>
        <v>NorthBound</v>
      </c>
      <c r="U150" s="13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22:19:24-0600',mode:absolute,to:'2016-08-12 01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50" s="57" t="str">
        <f t="shared" si="49"/>
        <v>N</v>
      </c>
      <c r="X150" s="133">
        <f t="shared" si="60"/>
        <v>1</v>
      </c>
      <c r="Y150" s="72">
        <f t="shared" si="50"/>
        <v>4.7100000000000003E-2</v>
      </c>
      <c r="Z150" s="72">
        <f t="shared" si="51"/>
        <v>23.3293</v>
      </c>
      <c r="AA150" s="72">
        <f t="shared" si="52"/>
        <v>23.2822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53"/>
        <v>0239-11</v>
      </c>
      <c r="AE150" s="108" t="str">
        <f t="shared" si="71"/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AF150" s="105" t="str">
        <f t="shared" si="72"/>
        <v>"C:\Program Files (x86)\AstroGrep\AstroGrep.exe" /spath="%USERPROFILE%\AppData\Local\Temp\OnboardLogs" /stypes="*4014*20160812*" /stext=" 06:.+((SYSTEM_STATE.+slice.+state.+changed )|(ment ac)|(system.+state.+changed )|(\|lc)|(penalty)|(\[timeout)|(PRM\|1\|D)|(kpr)|(kdp))" /e /r /s</v>
      </c>
      <c r="AG150" s="1" t="str">
        <f t="shared" si="101"/>
        <v>EC</v>
      </c>
      <c r="AH150" s="109" t="str">
        <f t="shared" si="55"/>
        <v>"%USERPROFILE%\Documents\GitHub\eaglep3\Utilities\RefineRTDCRunTimes.py" --tripid 239-11 --locoid 4014 --swversion DE.1.0.7.0 --startMP 204:471 --initTime 2016-08-11T23:19:24 --startdatetime 2016-08-11T23:20:59 --delay 1 --endMP 204:233293 --enddatetime 2016-08-12T00:07:24 --enforcementcount 0</v>
      </c>
    </row>
    <row r="151" spans="1:34" x14ac:dyDescent="0.25">
      <c r="A151" s="42" t="s">
        <v>487</v>
      </c>
      <c r="B151" s="7">
        <v>4013</v>
      </c>
      <c r="C151" s="25" t="s">
        <v>130</v>
      </c>
      <c r="D151" s="25" t="s">
        <v>362</v>
      </c>
      <c r="E151" s="16">
        <v>42594.011087962965</v>
      </c>
      <c r="F151" s="16">
        <v>42594.012349537035</v>
      </c>
      <c r="G151" s="7">
        <v>1</v>
      </c>
      <c r="H151" s="16" t="s">
        <v>287</v>
      </c>
      <c r="I151" s="16">
        <v>42594.046747685185</v>
      </c>
      <c r="J151" s="7">
        <v>0</v>
      </c>
      <c r="K151" s="149" t="str">
        <f t="shared" si="44"/>
        <v>4013/4014</v>
      </c>
      <c r="L151" s="25" t="str">
        <f>VLOOKUP(A151,'Trips&amp;Operators'!$C$1:$E$10000,3,FALSE)</f>
        <v>STURGEON</v>
      </c>
      <c r="M151" s="6">
        <f t="shared" si="45"/>
        <v>3.439814814919373E-2</v>
      </c>
      <c r="N151" s="7">
        <f t="shared" si="63"/>
        <v>49.533333334838971</v>
      </c>
      <c r="O151" s="7"/>
      <c r="P151" s="7"/>
      <c r="Q151" s="26"/>
      <c r="R151" s="26"/>
      <c r="S151" s="38">
        <f t="shared" si="46"/>
        <v>1</v>
      </c>
      <c r="T151" s="55" t="str">
        <f t="shared" si="47"/>
        <v>Southbound</v>
      </c>
      <c r="U151" s="13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23:15:58-0600',mode:absolute,to:'2016-08-12 02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51" s="57" t="str">
        <f t="shared" si="49"/>
        <v>N</v>
      </c>
      <c r="X151" s="133">
        <f t="shared" si="60"/>
        <v>1</v>
      </c>
      <c r="Y151" s="72">
        <f t="shared" si="50"/>
        <v>23.2972</v>
      </c>
      <c r="Z151" s="72">
        <f t="shared" si="51"/>
        <v>1.72E-2</v>
      </c>
      <c r="AA151" s="72">
        <f t="shared" si="52"/>
        <v>23.28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53"/>
        <v>0240-11</v>
      </c>
      <c r="AE151" s="108" t="str">
        <f t="shared" si="71"/>
        <v>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 &amp; aws s3 cp s3://rtdc.mdm.uploadarchive/RTDC4013/2016-08-13/ "%USERPROFILE%\AppData\Local\Temp\OnboardLogs"\RTDC4013\2016-08-13 --recursive &amp; "%USERPROFILE%\Documents\GitHub\mrs-test-scripts\Headless Mode &amp; Sideloading\WalkAndUnGZ.bat" "%USERPROFILE%\AppData\Local\Temp\OnboardLogs"\RTDC4013\2016-08-13</v>
      </c>
      <c r="AF151" s="105" t="str">
        <f t="shared" si="72"/>
        <v>"C:\Program Files (x86)\AstroGrep\AstroGrep.exe" /spath="%USERPROFILE%\AppData\Local\Temp\OnboardLogs" /stypes="*4013*20160812*" /stext=" 07:.+((SYSTEM_STATE.+slice.+state.+changed )|(ment ac)|(system.+state.+changed )|(\|lc)|(penalty)|(\[timeout)|(PRM\|1\|D)|(kpr)|(kdp))" /e /r /s</v>
      </c>
      <c r="AG151" s="1" t="str">
        <f t="shared" si="101"/>
        <v>EC</v>
      </c>
      <c r="AH151" s="109" t="str">
        <f t="shared" si="55"/>
        <v>"%USERPROFILE%\Documents\GitHub\eaglep3\Utilities\RefineRTDCRunTimes.py" --tripid 240-11 --locoid 4013 --swversion DE.1.0.7.0 --startMP 204:232972 --initTime 2016-08-12T00:15:58 --startdatetime 2016-08-12T00:17:47 --delay 1 --endMP 204:172 --enddatetime 2016-08-12T01:07:19 --enforcementcount 0</v>
      </c>
    </row>
    <row r="152" spans="1:34" x14ac:dyDescent="0.25">
      <c r="A152" s="42" t="s">
        <v>488</v>
      </c>
      <c r="B152" s="7">
        <v>4027</v>
      </c>
      <c r="C152" s="25" t="s">
        <v>130</v>
      </c>
      <c r="D152" s="25" t="s">
        <v>489</v>
      </c>
      <c r="E152" s="16">
        <v>42593.997233796297</v>
      </c>
      <c r="F152" s="16">
        <v>42593.99858796296</v>
      </c>
      <c r="G152" s="7">
        <v>1</v>
      </c>
      <c r="H152" s="16" t="s">
        <v>232</v>
      </c>
      <c r="I152" s="16">
        <v>42594.025625000002</v>
      </c>
      <c r="J152" s="7">
        <v>0</v>
      </c>
      <c r="K152" s="149" t="str">
        <f t="shared" si="44"/>
        <v>4027/4028</v>
      </c>
      <c r="L152" s="25" t="str">
        <f>VLOOKUP(A152,'Trips&amp;Operators'!$C$1:$E$10000,3,FALSE)</f>
        <v>STAMBAUGH</v>
      </c>
      <c r="M152" s="6">
        <f t="shared" si="45"/>
        <v>2.7037037041736767E-2</v>
      </c>
      <c r="N152" s="7">
        <f t="shared" si="63"/>
        <v>38.933333340100944</v>
      </c>
      <c r="O152" s="7"/>
      <c r="P152" s="7"/>
      <c r="Q152" s="26"/>
      <c r="R152" s="26"/>
      <c r="S152" s="38">
        <f t="shared" si="46"/>
        <v>1</v>
      </c>
      <c r="T152" s="55" t="str">
        <f t="shared" si="47"/>
        <v>NorthBound</v>
      </c>
      <c r="U152" s="13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22:56:01-0600',mode:absolute,to:'2016-08-12 01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52" s="57" t="str">
        <f t="shared" si="49"/>
        <v>N</v>
      </c>
      <c r="X152" s="133">
        <f t="shared" si="60"/>
        <v>1</v>
      </c>
      <c r="Y152" s="72">
        <f t="shared" si="50"/>
        <v>4.82E-2</v>
      </c>
      <c r="Z152" s="72">
        <f t="shared" si="51"/>
        <v>23.328800000000001</v>
      </c>
      <c r="AA152" s="72">
        <f t="shared" si="52"/>
        <v>23.2806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53"/>
        <v>0241-11</v>
      </c>
      <c r="AE152" s="108" t="str">
        <f t="shared" si="71"/>
        <v>aws s3 cp s3://rtdc.mdm.uploadarchive/RTDC4027/2016-08-11/ "%USERPROFILE%\AppData\Local\Temp\OnboardLogs"\RTDC4027\2016-08-11 --recursive &amp; "%USERPROFILE%\Documents\GitHub\mrs-test-scripts\Headless Mode &amp; Sideloading\WalkAndUnGZ.bat" "%USERPROFILE%\AppData\Local\Temp\OnboardLogs"\RTDC4027\2016-08-11 &amp; aws s3 cp s3://rtdc.mdm.uploadarchive/RTDC4027/2016-08-12/ "%USERPROFILE%\AppData\Local\Temp\OnboardLogs"\RTDC4027\2016-08-12 --recursive &amp; "%USERPROFILE%\Documents\GitHub\mrs-test-scripts\Headless Mode &amp; Sideloading\WalkAndUnGZ.bat" "%USERPROFILE%\AppData\Local\Temp\OnboardLogs"\RTDC4027\2016-08-12</v>
      </c>
      <c r="AF152" s="105" t="str">
        <f t="shared" si="72"/>
        <v>"C:\Program Files (x86)\AstroGrep\AstroGrep.exe" /spath="%USERPROFILE%\AppData\Local\Temp\OnboardLogs" /stypes="*4027*20160812*" /stext=" 06:.+((SYSTEM_STATE.+slice.+state.+changed )|(ment ac)|(system.+state.+changed )|(\|lc)|(penalty)|(\[timeout)|(PRM\|1\|D)|(kpr)|(kdp))" /e /r /s</v>
      </c>
      <c r="AG152" s="1" t="str">
        <f t="shared" si="101"/>
        <v>EC</v>
      </c>
      <c r="AH152" s="109" t="str">
        <f t="shared" si="55"/>
        <v>"%USERPROFILE%\Documents\GitHub\eaglep3\Utilities\RefineRTDCRunTimes.py" --tripid 241-11 --locoid 4027 --swversion DE.1.0.7.0 --startMP 204:482 --initTime 2016-08-11T23:56:01 --startdatetime 2016-08-11T23:57:58 --delay 1 --endMP 204:233288 --enddatetime 2016-08-12T00:36:54 --enforcementcount 0</v>
      </c>
    </row>
    <row r="153" spans="1:34" x14ac:dyDescent="0.25">
      <c r="A153" s="42" t="s">
        <v>490</v>
      </c>
      <c r="B153" s="7">
        <v>4028</v>
      </c>
      <c r="C153" s="25" t="s">
        <v>130</v>
      </c>
      <c r="D153" s="25" t="s">
        <v>233</v>
      </c>
      <c r="E153" s="16">
        <v>42594.036643518521</v>
      </c>
      <c r="F153" s="16">
        <v>42594.03765046296</v>
      </c>
      <c r="G153" s="7">
        <v>1</v>
      </c>
      <c r="H153" s="16" t="s">
        <v>193</v>
      </c>
      <c r="I153" s="16">
        <v>42594.065613425926</v>
      </c>
      <c r="J153" s="7">
        <v>0</v>
      </c>
      <c r="K153" s="149" t="str">
        <f t="shared" si="44"/>
        <v>4027/4028</v>
      </c>
      <c r="L153" s="25" t="str">
        <f>VLOOKUP(A153,'Trips&amp;Operators'!$C$1:$E$10000,3,FALSE)</f>
        <v>STAMBAUGH</v>
      </c>
      <c r="M153" s="6">
        <f t="shared" si="45"/>
        <v>2.7962962965830229E-2</v>
      </c>
      <c r="N153" s="7">
        <f t="shared" si="63"/>
        <v>40.26666667079553</v>
      </c>
      <c r="O153" s="7"/>
      <c r="P153" s="7"/>
      <c r="Q153" s="26"/>
      <c r="R153" s="26"/>
      <c r="S153" s="38">
        <f t="shared" si="46"/>
        <v>1</v>
      </c>
      <c r="T153" s="55" t="str">
        <f t="shared" si="47"/>
        <v>Southbound</v>
      </c>
      <c r="U153" s="13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5" t="str">
        <f t="shared" si="48"/>
        <v>https://search-rtdc-monitor-bjffxe2xuh6vdkpspy63sjmuny.us-east-1.es.amazonaws.com/_plugin/kibana/#/discover/Steve-Slow-Train-Analysis-(2080s-and-2083s)?_g=(refreshInterval:(display:Off,section:0,value:0),time:(from:'2016-08-11 23:52:46-0600',mode:absolute,to:'2016-08-12 02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53" s="57" t="str">
        <f t="shared" si="49"/>
        <v>N</v>
      </c>
      <c r="X153" s="133">
        <f t="shared" si="60"/>
        <v>1</v>
      </c>
      <c r="Y153" s="72">
        <f t="shared" si="50"/>
        <v>23.298999999999999</v>
      </c>
      <c r="Z153" s="72">
        <f t="shared" si="51"/>
        <v>1.67E-2</v>
      </c>
      <c r="AA153" s="72">
        <f t="shared" si="52"/>
        <v>23.282299999999999</v>
      </c>
      <c r="AB153" s="69" t="e">
        <f>VLOOKUP(A153,Enforcements!$C$7:$J$24,8,0)</f>
        <v>#N/A</v>
      </c>
      <c r="AC153" s="65" t="e">
        <f>VLOOKUP(A153,Enforcements!$C$7:$E$24,3,0)</f>
        <v>#N/A</v>
      </c>
      <c r="AD153" s="66" t="str">
        <f t="shared" si="53"/>
        <v>0242-11</v>
      </c>
      <c r="AE153" s="108" t="str">
        <f t="shared" ref="AE153:AE184" si="112">"aws s3 cp "&amp;s3_bucket&amp;"/RTDC"&amp;B153&amp;"/"&amp;TEXT(F153,"YYYY-MM-DD")&amp;"/ "&amp;search_path&amp;"\RTDC"&amp;B153&amp;"\"&amp;TEXT(F153,"YYYY-MM-DD")&amp;" --recursive &amp; """&amp;walkandungz&amp;""" "&amp;search_path&amp;"\RTDC"&amp;B153&amp;"\"&amp;TEXT(F153,"YYYY-MM-DD")
&amp;" &amp; "&amp;"aws s3 cp "&amp;s3_bucket&amp;"/RTDC"&amp;B153&amp;"/"&amp;TEXT(F153+1,"YYYY-MM-DD")&amp;"/ "&amp;search_path&amp;"\RTDC"&amp;B153&amp;"\"&amp;TEXT(F153+1,"YYYY-MM-DD")&amp;" --recursive &amp; """&amp;walkandungz&amp;""" "&amp;search_path&amp;"\RTDC"&amp;B153&amp;"\"&amp;TEXT(F153+1,"YYYY-MM-DD")</f>
        <v>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 &amp; aws s3 cp s3://rtdc.mdm.uploadarchive/RTDC4028/2016-08-13/ "%USERPROFILE%\AppData\Local\Temp\OnboardLogs"\RTDC4028\2016-08-13 --recursive &amp; "%USERPROFILE%\Documents\GitHub\mrs-test-scripts\Headless Mode &amp; Sideloading\WalkAndUnGZ.bat" "%USERPROFILE%\AppData\Local\Temp\OnboardLogs"\RTDC4028\2016-08-13</v>
      </c>
      <c r="AF153" s="105" t="str">
        <f t="shared" ref="AF153:AF184" si="113">astrogrep_path&amp;" /spath="&amp;search_path&amp;" /stypes=""*"&amp;B153&amp;"*"&amp;TEXT(I153-utc_offset/24,"YYYYMMDD")&amp;"*"" /stext="" "&amp;TEXT(I153-utc_offset/24,"HH")&amp;search_regexp&amp;""" /e /r /s"</f>
        <v>"C:\Program Files (x86)\AstroGrep\AstroGrep.exe" /spath="%USERPROFILE%\AppData\Local\Temp\OnboardLogs" /stypes="*4028*20160812*" /stext=" 07:.+((SYSTEM_STATE.+slice.+state.+changed )|(ment ac)|(system.+state.+changed )|(\|lc)|(penalty)|(\[timeout)|(PRM\|1\|D)|(kpr)|(kdp))" /e /r /s</v>
      </c>
      <c r="AG153" s="1" t="str">
        <f t="shared" si="101"/>
        <v>EC</v>
      </c>
      <c r="AH153" s="109" t="str">
        <f t="shared" si="55"/>
        <v>"%USERPROFILE%\Documents\GitHub\eaglep3\Utilities\RefineRTDCRunTimes.py" --tripid 242-11 --locoid 4028 --swversion DE.1.0.7.0 --startMP 204:232990 --initTime 2016-08-12T00:52:46 --startdatetime 2016-08-12T00:54:13 --delay 1 --endMP 204:167 --enddatetime 2016-08-12T01:34:29 --enforcementcount 0</v>
      </c>
    </row>
    <row r="154" spans="1:34" x14ac:dyDescent="0.25">
      <c r="A154" s="42" t="s">
        <v>491</v>
      </c>
      <c r="B154" s="7">
        <v>4025</v>
      </c>
      <c r="C154" s="25" t="s">
        <v>130</v>
      </c>
      <c r="D154" s="25" t="s">
        <v>196</v>
      </c>
      <c r="E154" s="16">
        <v>42594.016064814816</v>
      </c>
      <c r="F154" s="16">
        <v>42594.017337962963</v>
      </c>
      <c r="G154" s="7">
        <v>1</v>
      </c>
      <c r="H154" s="16" t="s">
        <v>172</v>
      </c>
      <c r="I154" s="16">
        <v>42594.046550925923</v>
      </c>
      <c r="J154" s="7">
        <v>0</v>
      </c>
      <c r="K154" s="149" t="str">
        <f t="shared" ref="K154:K208" si="114">IF(ISEVEN(B154),(B154-1)&amp;"/"&amp;B154,B154&amp;"/"&amp;(B154+1))</f>
        <v>4025/4026</v>
      </c>
      <c r="L154" s="25" t="str">
        <f>VLOOKUP(A154,'Trips&amp;Operators'!$C$1:$E$10000,3,FALSE)</f>
        <v>ISHMAEL</v>
      </c>
      <c r="M154" s="6">
        <f t="shared" ref="M154:M208" si="115">I154-F154</f>
        <v>2.9212962959718425E-2</v>
      </c>
      <c r="N154" s="7">
        <f t="shared" ref="N154:P208" si="116">24*60*SUM($M154:$M154)</f>
        <v>42.066666661994532</v>
      </c>
      <c r="O154" s="7"/>
      <c r="P154" s="7"/>
      <c r="Q154" s="26"/>
      <c r="R154" s="26"/>
      <c r="S154" s="38">
        <f t="shared" ref="S154:S208" si="117">SUM(U154:U154)/IF(AG154="EC",12,1)</f>
        <v>1</v>
      </c>
      <c r="T154" s="55" t="str">
        <f t="shared" ref="T154:T208" si="118">IF(ISEVEN(LEFT(AD154,4)),"Southbound","NorthBound")</f>
        <v>NorthBound</v>
      </c>
      <c r="U154" s="13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5" t="str">
        <f t="shared" ref="V154:V208" si="119"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https://search-rtdc-monitor-bjffxe2xuh6vdkpspy63sjmuny.us-east-1.es.amazonaws.com/_plugin/kibana/#/discover/Steve-Slow-Train-Analysis-(2080s-and-2083s)?_g=(refreshInterval:(display:Off,section:0,value:0),time:(from:'2016-08-11 23:23:08-0600',mode:absolute,to:'2016-08-12 02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54" s="57" t="str">
        <f t="shared" ref="W154:W208" si="120">IF(AA154&lt;IF(AG154="EC",23,5.65),"Y","N")</f>
        <v>N</v>
      </c>
      <c r="X154" s="133">
        <f t="shared" ref="X154:X208" si="121">VALUE(LEFT(AD154,4))-VALUE(LEFT(AD153,4))</f>
        <v>1</v>
      </c>
      <c r="Y154" s="72">
        <f t="shared" ref="Y154:Y208" si="122">RIGHT(D154,LEN(D154)-4)/10000</f>
        <v>4.6899999999999997E-2</v>
      </c>
      <c r="Z154" s="72">
        <f t="shared" ref="Z154:Z208" si="123">RIGHT(H154,LEN(H154)-4)/10000</f>
        <v>23.329899999999999</v>
      </c>
      <c r="AA154" s="72">
        <f t="shared" ref="AA154:AA208" si="124">ABS(Z154-Y154)</f>
        <v>23.282999999999998</v>
      </c>
      <c r="AB154" s="69" t="e">
        <f>VLOOKUP(A154,Enforcements!$C$7:$J$24,8,0)</f>
        <v>#N/A</v>
      </c>
      <c r="AC154" s="65" t="e">
        <f>VLOOKUP(A154,Enforcements!$C$7:$E$24,3,0)</f>
        <v>#N/A</v>
      </c>
      <c r="AD154" s="66" t="str">
        <f t="shared" ref="AD154:AD208" si="125">IF(LEN(A154)=6,"0"&amp;A154,A154)</f>
        <v>0243-11</v>
      </c>
      <c r="AE154" s="108" t="str">
        <f t="shared" si="112"/>
        <v>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 &amp; aws s3 cp s3://rtdc.mdm.uploadarchive/RTDC4025/2016-08-13/ "%USERPROFILE%\AppData\Local\Temp\OnboardLogs"\RTDC4025\2016-08-13 --recursive &amp; "%USERPROFILE%\Documents\GitHub\mrs-test-scripts\Headless Mode &amp; Sideloading\WalkAndUnGZ.bat" "%USERPROFILE%\AppData\Local\Temp\OnboardLogs"\RTDC4025\2016-08-13</v>
      </c>
      <c r="AF154" s="105" t="str">
        <f t="shared" si="113"/>
        <v>"C:\Program Files (x86)\AstroGrep\AstroGrep.exe" /spath="%USERPROFILE%\AppData\Local\Temp\OnboardLogs" /stypes="*4025*20160812*" /stext=" 07:.+((SYSTEM_STATE.+slice.+state.+changed )|(ment ac)|(system.+state.+changed )|(\|lc)|(penalty)|(\[timeout)|(PRM\|1\|D)|(kpr)|(kdp))" /e /r /s</v>
      </c>
      <c r="AG154" s="1" t="str">
        <f t="shared" si="101"/>
        <v>EC</v>
      </c>
      <c r="AH154" s="109" t="str">
        <f t="shared" ref="AH154:AH208" si="126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</f>
        <v>"%USERPROFILE%\Documents\GitHub\eaglep3\Utilities\RefineRTDCRunTimes.py" --tripid 243-11 --locoid 4025 --swversion DE.1.0.7.0 --startMP 204:469 --initTime 2016-08-12T00:23:08 --startdatetime 2016-08-12T00:24:58 --delay 1 --endMP 204:233299 --enddatetime 2016-08-12T01:07:02 --enforcementcount 0</v>
      </c>
    </row>
    <row r="155" spans="1:34" x14ac:dyDescent="0.25">
      <c r="A155" s="42" t="s">
        <v>492</v>
      </c>
      <c r="B155" s="7">
        <v>4026</v>
      </c>
      <c r="C155" s="25" t="s">
        <v>130</v>
      </c>
      <c r="D155" s="25" t="s">
        <v>207</v>
      </c>
      <c r="E155" s="16">
        <v>42594.056990740741</v>
      </c>
      <c r="F155" s="16">
        <v>42594.057986111111</v>
      </c>
      <c r="G155" s="7">
        <v>1</v>
      </c>
      <c r="H155" s="16" t="s">
        <v>287</v>
      </c>
      <c r="I155" s="16">
        <v>42594.086099537039</v>
      </c>
      <c r="J155" s="7">
        <v>0</v>
      </c>
      <c r="K155" s="149" t="str">
        <f t="shared" si="114"/>
        <v>4025/4026</v>
      </c>
      <c r="L155" s="25" t="str">
        <f>VLOOKUP(A155,'Trips&amp;Operators'!$C$1:$E$10000,3,FALSE)</f>
        <v>ISHMAEL</v>
      </c>
      <c r="M155" s="6">
        <f t="shared" si="115"/>
        <v>2.8113425927585922E-2</v>
      </c>
      <c r="N155" s="7">
        <f t="shared" si="116"/>
        <v>40.483333335723728</v>
      </c>
      <c r="O155" s="7"/>
      <c r="P155" s="7"/>
      <c r="Q155" s="26"/>
      <c r="R155" s="26"/>
      <c r="S155" s="38">
        <f t="shared" si="117"/>
        <v>1</v>
      </c>
      <c r="T155" s="55" t="str">
        <f t="shared" si="118"/>
        <v>Southbound</v>
      </c>
      <c r="U155" s="13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https://search-rtdc-monitor-bjffxe2xuh6vdkpspy63sjmuny.us-east-1.es.amazonaws.com/_plugin/kibana/#/discover/Steve-Slow-Train-Analysis-(2080s-and-2083s)?_g=(refreshInterval:(display:Off,section:0,value:0),time:(from:'2016-08-12 00:22:04-0600',mode:absolute,to:'2016-08-12 03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55" s="57" t="str">
        <f t="shared" si="120"/>
        <v>N</v>
      </c>
      <c r="X155" s="133">
        <f t="shared" si="121"/>
        <v>1</v>
      </c>
      <c r="Y155" s="72">
        <f t="shared" si="122"/>
        <v>23.297799999999999</v>
      </c>
      <c r="Z155" s="72">
        <f t="shared" si="123"/>
        <v>1.72E-2</v>
      </c>
      <c r="AA155" s="72">
        <f t="shared" si="124"/>
        <v>23.2806</v>
      </c>
      <c r="AB155" s="69" t="e">
        <f>VLOOKUP(A155,Enforcements!$C$7:$J$24,8,0)</f>
        <v>#N/A</v>
      </c>
      <c r="AC155" s="65" t="e">
        <f>VLOOKUP(A155,Enforcements!$C$7:$E$24,3,0)</f>
        <v>#N/A</v>
      </c>
      <c r="AD155" s="66" t="str">
        <f t="shared" si="125"/>
        <v>0244-11</v>
      </c>
      <c r="AE155" s="108" t="str">
        <f t="shared" si="112"/>
        <v>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 &amp; aws s3 cp s3://rtdc.mdm.uploadarchive/RTDC4026/2016-08-13/ "%USERPROFILE%\AppData\Local\Temp\OnboardLogs"\RTDC4026\2016-08-13 --recursive &amp; "%USERPROFILE%\Documents\GitHub\mrs-test-scripts\Headless Mode &amp; Sideloading\WalkAndUnGZ.bat" "%USERPROFILE%\AppData\Local\Temp\OnboardLogs"\RTDC4026\2016-08-13</v>
      </c>
      <c r="AF155" s="105" t="str">
        <f t="shared" si="113"/>
        <v>"C:\Program Files (x86)\AstroGrep\AstroGrep.exe" /spath="%USERPROFILE%\AppData\Local\Temp\OnboardLogs" /stypes="*4026*20160812*" /stext=" 08:.+((SYSTEM_STATE.+slice.+state.+changed )|(ment ac)|(system.+state.+changed )|(\|lc)|(penalty)|(\[timeout)|(PRM\|1\|D)|(kpr)|(kdp))" /e /r /s</v>
      </c>
      <c r="AG155" s="1" t="str">
        <f t="shared" si="101"/>
        <v>EC</v>
      </c>
      <c r="AH155" s="109" t="str">
        <f t="shared" si="126"/>
        <v>"%USERPROFILE%\Documents\GitHub\eaglep3\Utilities\RefineRTDCRunTimes.py" --tripid 244-11 --locoid 4026 --swversion DE.1.0.7.0 --startMP 204:232978 --initTime 2016-08-12T01:22:04 --startdatetime 2016-08-12T01:23:30 --delay 1 --endMP 204:172 --enddatetime 2016-08-12T02:03:59 --enforcementcount 0</v>
      </c>
    </row>
    <row r="156" spans="1:34" x14ac:dyDescent="0.25">
      <c r="A156" s="42" t="s">
        <v>505</v>
      </c>
      <c r="B156" s="7">
        <v>4004</v>
      </c>
      <c r="C156" s="25" t="s">
        <v>130</v>
      </c>
      <c r="D156" s="25" t="s">
        <v>506</v>
      </c>
      <c r="E156" s="16">
        <v>42593.211689814816</v>
      </c>
      <c r="F156" s="16">
        <v>42593.21303240741</v>
      </c>
      <c r="G156" s="7">
        <v>1</v>
      </c>
      <c r="H156" s="16" t="s">
        <v>507</v>
      </c>
      <c r="I156" s="16">
        <v>42593.225381944445</v>
      </c>
      <c r="J156" s="7">
        <v>0</v>
      </c>
      <c r="K156" s="149" t="str">
        <f t="shared" si="114"/>
        <v>4003/4004</v>
      </c>
      <c r="L156" s="25" t="str">
        <f>VLOOKUP(A156,'Trips&amp;Operators'!$C$1:$E$10000,3,FALSE)</f>
        <v>YORK</v>
      </c>
      <c r="M156" s="6">
        <f t="shared" si="115"/>
        <v>1.2349537035333924E-2</v>
      </c>
      <c r="N156" s="7">
        <f t="shared" si="116"/>
        <v>17.783333330880851</v>
      </c>
      <c r="O156" s="7"/>
      <c r="P156" s="7"/>
      <c r="Q156" s="26"/>
      <c r="R156" s="26"/>
      <c r="S156" s="38">
        <f t="shared" si="117"/>
        <v>1</v>
      </c>
      <c r="T156" s="55" t="str">
        <f t="shared" si="118"/>
        <v>Southbound</v>
      </c>
      <c r="U156" s="13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04:04:50-0600',mode:absolute,to:'2016-08-11 06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156" s="57" t="str">
        <f t="shared" si="120"/>
        <v>N</v>
      </c>
      <c r="X156" s="133">
        <f t="shared" si="121"/>
        <v>556</v>
      </c>
      <c r="Y156" s="72">
        <f t="shared" si="122"/>
        <v>5.8640999999999996</v>
      </c>
      <c r="Z156" s="72">
        <f t="shared" si="123"/>
        <v>8.3799999999999999E-2</v>
      </c>
      <c r="AA156" s="72">
        <f t="shared" si="124"/>
        <v>5.7802999999999995</v>
      </c>
      <c r="AB156" s="69" t="e">
        <f>VLOOKUP(A156,Enforcements!$C$7:$J$24,8,0)</f>
        <v>#N/A</v>
      </c>
      <c r="AC156" s="65" t="e">
        <f>VLOOKUP(A156,Enforcements!$C$7:$E$24,3,0)</f>
        <v>#N/A</v>
      </c>
      <c r="AD156" s="66" t="str">
        <f t="shared" si="125"/>
        <v>0800-11</v>
      </c>
      <c r="AE156" s="108" t="str">
        <f t="shared" si="112"/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AF156" s="105" t="str">
        <f t="shared" si="113"/>
        <v>"C:\Program Files (x86)\AstroGrep\AstroGrep.exe" /spath="%USERPROFILE%\AppData\Local\Temp\OnboardLogs" /stypes="*4004*20160811*" /stext=" 11:.+((SYSTEM_STATE.+slice.+state.+changed )|(ment ac)|(system.+state.+changed )|(\|lc)|(penalty)|(\[timeout)|(PRM\|1\|D)|(kpr)|(kdp))" /e /r /s</v>
      </c>
      <c r="AG156" s="1" t="str">
        <f t="shared" si="101"/>
        <v>NW</v>
      </c>
      <c r="AH156" s="109" t="str">
        <f t="shared" si="126"/>
        <v>"%USERPROFILE%\Documents\GitHub\eaglep3\Utilities\RefineRTDCRunTimes.py" --tripid 800-11 --locoid 4004 --swversion DE.1.0.7.0 --startMP 300:58641 --initTime 2016-08-11T05:04:50 --startdatetime 2016-08-11T05:06:46 --delay 1 --endMP 204:838 --enddatetime 2016-08-11T05:24:33 --enforcementcount 0</v>
      </c>
    </row>
    <row r="157" spans="1:34" x14ac:dyDescent="0.25">
      <c r="A157" s="42" t="s">
        <v>508</v>
      </c>
      <c r="B157" s="7">
        <v>4003</v>
      </c>
      <c r="C157" s="25" t="s">
        <v>130</v>
      </c>
      <c r="D157" s="25" t="s">
        <v>509</v>
      </c>
      <c r="E157" s="16">
        <v>42593.226944444446</v>
      </c>
      <c r="F157" s="16">
        <v>42593.228020833332</v>
      </c>
      <c r="G157" s="7">
        <v>1</v>
      </c>
      <c r="H157" s="16" t="s">
        <v>510</v>
      </c>
      <c r="I157" s="16">
        <v>42593.254444444443</v>
      </c>
      <c r="J157" s="7">
        <v>0</v>
      </c>
      <c r="K157" s="149" t="str">
        <f t="shared" si="114"/>
        <v>4003/4004</v>
      </c>
      <c r="L157" s="25" t="str">
        <f>VLOOKUP(A157,'Trips&amp;Operators'!$C$1:$E$10000,3,FALSE)</f>
        <v>YORK</v>
      </c>
      <c r="M157" s="6">
        <f t="shared" si="115"/>
        <v>2.6423611110658385E-2</v>
      </c>
      <c r="N157" s="7">
        <f t="shared" si="116"/>
        <v>38.049999999348074</v>
      </c>
      <c r="O157" s="7"/>
      <c r="P157" s="7"/>
      <c r="Q157" s="26"/>
      <c r="R157" s="26"/>
      <c r="S157" s="38">
        <f t="shared" si="117"/>
        <v>1</v>
      </c>
      <c r="T157" s="55" t="str">
        <f t="shared" si="118"/>
        <v>NorthBound</v>
      </c>
      <c r="U157" s="13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04:26:48-0600',mode:absolute,to:'2016-08-11 07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157" s="57" t="str">
        <f t="shared" si="120"/>
        <v>N</v>
      </c>
      <c r="X157" s="133">
        <f t="shared" si="121"/>
        <v>1</v>
      </c>
      <c r="Y157" s="72">
        <f t="shared" si="122"/>
        <v>0.1142</v>
      </c>
      <c r="Z157" s="72">
        <f t="shared" si="123"/>
        <v>5.8940999999999999</v>
      </c>
      <c r="AA157" s="72">
        <f t="shared" si="124"/>
        <v>5.7798999999999996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125"/>
        <v>0801-11</v>
      </c>
      <c r="AE157" s="108" t="str">
        <f t="shared" si="112"/>
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</c>
      <c r="AF157" s="105" t="str">
        <f t="shared" si="113"/>
        <v>"C:\Program Files (x86)\AstroGrep\AstroGrep.exe" /spath="%USERPROFILE%\AppData\Local\Temp\OnboardLogs" /stypes="*4003*20160811*" /stext=" 12:.+((SYSTEM_STATE.+slice.+state.+changed )|(ment ac)|(system.+state.+changed )|(\|lc)|(penalty)|(\[timeout)|(PRM\|1\|D)|(kpr)|(kdp))" /e /r /s</v>
      </c>
      <c r="AG157" s="1" t="str">
        <f t="shared" si="101"/>
        <v>NW</v>
      </c>
      <c r="AH157" s="109" t="str">
        <f t="shared" si="126"/>
        <v>"%USERPROFILE%\Documents\GitHub\eaglep3\Utilities\RefineRTDCRunTimes.py" --tripid 801-11 --locoid 4003 --swversion DE.1.0.7.0 --startMP 204:1142 --initTime 2016-08-11T05:26:48 --startdatetime 2016-08-11T05:28:21 --delay 1 --endMP 300:58941 --enddatetime 2016-08-11T06:06:24 --enforcementcount 0</v>
      </c>
    </row>
    <row r="158" spans="1:34" x14ac:dyDescent="0.25">
      <c r="A158" s="42" t="s">
        <v>511</v>
      </c>
      <c r="B158" s="7">
        <v>4004</v>
      </c>
      <c r="C158" s="25" t="s">
        <v>130</v>
      </c>
      <c r="D158" s="25" t="s">
        <v>512</v>
      </c>
      <c r="E158" s="16">
        <v>42593.255706018521</v>
      </c>
      <c r="F158" s="16">
        <v>42593.256597222222</v>
      </c>
      <c r="G158" s="7">
        <v>1</v>
      </c>
      <c r="H158" s="16" t="s">
        <v>513</v>
      </c>
      <c r="I158" s="16">
        <v>42593.267314814817</v>
      </c>
      <c r="J158" s="7">
        <v>0</v>
      </c>
      <c r="K158" s="149" t="str">
        <f t="shared" si="114"/>
        <v>4003/4004</v>
      </c>
      <c r="L158" s="25" t="str">
        <f>VLOOKUP(A158,'Trips&amp;Operators'!$C$1:$E$10000,3,FALSE)</f>
        <v>YORK</v>
      </c>
      <c r="M158" s="6">
        <f t="shared" si="115"/>
        <v>1.0717592595028691E-2</v>
      </c>
      <c r="N158" s="7">
        <f t="shared" si="116"/>
        <v>15.433333336841315</v>
      </c>
      <c r="O158" s="7"/>
      <c r="P158" s="7"/>
      <c r="Q158" s="26"/>
      <c r="R158" s="26"/>
      <c r="S158" s="38">
        <f t="shared" si="117"/>
        <v>1</v>
      </c>
      <c r="T158" s="55" t="str">
        <f t="shared" si="118"/>
        <v>Southbound</v>
      </c>
      <c r="U158" s="13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05:08:13-0600',mode:absolute,to:'2016-08-11 07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158" s="57" t="str">
        <f t="shared" si="120"/>
        <v>N</v>
      </c>
      <c r="X158" s="133">
        <f t="shared" si="121"/>
        <v>1</v>
      </c>
      <c r="Y158" s="72">
        <f t="shared" si="122"/>
        <v>5.8634000000000004</v>
      </c>
      <c r="Z158" s="72">
        <f t="shared" si="123"/>
        <v>8.0299999999999996E-2</v>
      </c>
      <c r="AA158" s="72">
        <f t="shared" si="124"/>
        <v>5.7831000000000001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125"/>
        <v>0802-11</v>
      </c>
      <c r="AE158" s="108" t="str">
        <f t="shared" si="112"/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AF158" s="105" t="str">
        <f t="shared" si="113"/>
        <v>"C:\Program Files (x86)\AstroGrep\AstroGrep.exe" /spath="%USERPROFILE%\AppData\Local\Temp\OnboardLogs" /stypes="*4004*20160811*" /stext=" 12:.+((SYSTEM_STATE.+slice.+state.+changed )|(ment ac)|(system.+state.+changed )|(\|lc)|(penalty)|(\[timeout)|(PRM\|1\|D)|(kpr)|(kdp))" /e /r /s</v>
      </c>
      <c r="AG158" s="1" t="str">
        <f t="shared" si="101"/>
        <v>NW</v>
      </c>
      <c r="AH158" s="109" t="str">
        <f t="shared" si="126"/>
        <v>"%USERPROFILE%\Documents\GitHub\eaglep3\Utilities\RefineRTDCRunTimes.py" --tripid 802-11 --locoid 4004 --swversion DE.1.0.7.0 --startMP 300:58634 --initTime 2016-08-11T06:08:13 --startdatetime 2016-08-11T06:09:30 --delay 1 --endMP 204:803 --enddatetime 2016-08-11T06:24:56 --enforcementcount 0</v>
      </c>
    </row>
    <row r="159" spans="1:34" x14ac:dyDescent="0.25">
      <c r="A159" s="42" t="s">
        <v>514</v>
      </c>
      <c r="B159" s="7">
        <v>4042</v>
      </c>
      <c r="C159" s="25" t="s">
        <v>130</v>
      </c>
      <c r="D159" s="25" t="s">
        <v>220</v>
      </c>
      <c r="E159" s="16">
        <v>42593.257870370369</v>
      </c>
      <c r="F159" s="16">
        <v>42593.259120370371</v>
      </c>
      <c r="G159" s="7">
        <v>1</v>
      </c>
      <c r="H159" s="16" t="s">
        <v>515</v>
      </c>
      <c r="I159" s="16">
        <v>42593.274861111109</v>
      </c>
      <c r="J159" s="7">
        <v>0</v>
      </c>
      <c r="K159" s="149" t="str">
        <f t="shared" si="114"/>
        <v>4041/4042</v>
      </c>
      <c r="L159" s="25" t="str">
        <f>VLOOKUP(A159,'Trips&amp;Operators'!$C$1:$E$10000,3,FALSE)</f>
        <v>OUN</v>
      </c>
      <c r="M159" s="6">
        <f t="shared" si="115"/>
        <v>1.5740740738692693E-2</v>
      </c>
      <c r="N159" s="7">
        <f t="shared" si="116"/>
        <v>22.666666663717479</v>
      </c>
      <c r="O159" s="7"/>
      <c r="P159" s="7"/>
      <c r="Q159" s="26"/>
      <c r="R159" s="26"/>
      <c r="S159" s="38">
        <f t="shared" si="117"/>
        <v>1</v>
      </c>
      <c r="T159" s="55" t="str">
        <f t="shared" si="118"/>
        <v>NorthBound</v>
      </c>
      <c r="U159" s="13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05:11:20-0600',mode:absolute,to:'2016-08-11 07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59" s="57" t="str">
        <f t="shared" si="120"/>
        <v>N</v>
      </c>
      <c r="X159" s="133">
        <f t="shared" si="121"/>
        <v>1</v>
      </c>
      <c r="Y159" s="72">
        <f t="shared" si="122"/>
        <v>9.7100000000000006E-2</v>
      </c>
      <c r="Z159" s="72">
        <f t="shared" si="123"/>
        <v>5.8887999999999998</v>
      </c>
      <c r="AA159" s="72">
        <f t="shared" si="124"/>
        <v>5.7916999999999996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125"/>
        <v>0803-11</v>
      </c>
      <c r="AE159" s="108" t="str">
        <f t="shared" si="112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59" s="105" t="str">
        <f t="shared" si="113"/>
        <v>"C:\Program Files (x86)\AstroGrep\AstroGrep.exe" /spath="%USERPROFILE%\AppData\Local\Temp\OnboardLogs" /stypes="*4042*20160811*" /stext=" 12:.+((SYSTEM_STATE.+slice.+state.+changed )|(ment ac)|(system.+state.+changed )|(\|lc)|(penalty)|(\[timeout)|(PRM\|1\|D)|(kpr)|(kdp))" /e /r /s</v>
      </c>
      <c r="AG159" s="1" t="str">
        <f t="shared" si="101"/>
        <v>NW</v>
      </c>
      <c r="AH159" s="109" t="str">
        <f t="shared" si="126"/>
        <v>"%USERPROFILE%\Documents\GitHub\eaglep3\Utilities\RefineRTDCRunTimes.py" --tripid 803-11 --locoid 4042 --swversion DE.1.0.7.0 --startMP 204:971 --initTime 2016-08-11T06:11:20 --startdatetime 2016-08-11T06:13:08 --delay 1 --endMP 300:58888 --enddatetime 2016-08-11T06:35:48 --enforcementcount 0</v>
      </c>
    </row>
    <row r="160" spans="1:34" x14ac:dyDescent="0.25">
      <c r="A160" s="42" t="s">
        <v>516</v>
      </c>
      <c r="B160" s="7">
        <v>4041</v>
      </c>
      <c r="C160" s="25" t="s">
        <v>130</v>
      </c>
      <c r="D160" s="25" t="s">
        <v>255</v>
      </c>
      <c r="E160" s="16">
        <v>42593.27652777778</v>
      </c>
      <c r="F160" s="16">
        <v>42593.277777777781</v>
      </c>
      <c r="G160" s="7">
        <v>1</v>
      </c>
      <c r="H160" s="16" t="s">
        <v>517</v>
      </c>
      <c r="I160" s="16">
        <v>42593.28869212963</v>
      </c>
      <c r="J160" s="7">
        <v>0</v>
      </c>
      <c r="K160" s="149" t="str">
        <f t="shared" si="114"/>
        <v>4041/4042</v>
      </c>
      <c r="L160" s="25" t="str">
        <f>VLOOKUP(A160,'Trips&amp;Operators'!$C$1:$E$10000,3,FALSE)</f>
        <v>OUN</v>
      </c>
      <c r="M160" s="6">
        <f t="shared" si="115"/>
        <v>1.0914351849351078E-2</v>
      </c>
      <c r="N160" s="7">
        <f t="shared" si="116"/>
        <v>15.716666663065553</v>
      </c>
      <c r="O160" s="7"/>
      <c r="P160" s="7"/>
      <c r="Q160" s="26"/>
      <c r="R160" s="26"/>
      <c r="S160" s="38">
        <f t="shared" si="117"/>
        <v>1</v>
      </c>
      <c r="T160" s="55" t="str">
        <f t="shared" si="118"/>
        <v>Southbound</v>
      </c>
      <c r="U160" s="13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05:38:12-0600',mode:absolute,to:'2016-08-11 07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0" s="57" t="str">
        <f t="shared" si="120"/>
        <v>N</v>
      </c>
      <c r="X160" s="133">
        <f t="shared" si="121"/>
        <v>1</v>
      </c>
      <c r="Y160" s="72">
        <f t="shared" si="122"/>
        <v>5.8585000000000003</v>
      </c>
      <c r="Z160" s="72">
        <f t="shared" si="123"/>
        <v>7.1300000000000002E-2</v>
      </c>
      <c r="AA160" s="72">
        <f t="shared" si="124"/>
        <v>5.7872000000000003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si="125"/>
        <v>0804-11</v>
      </c>
      <c r="AE160" s="108" t="str">
        <f t="shared" si="112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60" s="105" t="str">
        <f t="shared" si="113"/>
        <v>"C:\Program Files (x86)\AstroGrep\AstroGrep.exe" /spath="%USERPROFILE%\AppData\Local\Temp\OnboardLogs" /stypes="*4041*20160811*" /stext=" 12:.+((SYSTEM_STATE.+slice.+state.+changed )|(ment ac)|(system.+state.+changed )|(\|lc)|(penalty)|(\[timeout)|(PRM\|1\|D)|(kpr)|(kdp))" /e /r /s</v>
      </c>
      <c r="AG160" s="1" t="str">
        <f t="shared" si="101"/>
        <v>NW</v>
      </c>
      <c r="AH160" s="109" t="str">
        <f t="shared" si="126"/>
        <v>"%USERPROFILE%\Documents\GitHub\eaglep3\Utilities\RefineRTDCRunTimes.py" --tripid 804-11 --locoid 4041 --swversion DE.1.0.7.0 --startMP 300:58585 --initTime 2016-08-11T06:38:12 --startdatetime 2016-08-11T06:40:00 --delay 1 --endMP 204:713 --enddatetime 2016-08-11T06:55:43 --enforcementcount 0</v>
      </c>
    </row>
    <row r="161" spans="1:34" x14ac:dyDescent="0.25">
      <c r="A161" s="42" t="s">
        <v>518</v>
      </c>
      <c r="B161" s="7">
        <v>4003</v>
      </c>
      <c r="C161" s="25" t="s">
        <v>130</v>
      </c>
      <c r="D161" s="25" t="s">
        <v>519</v>
      </c>
      <c r="E161" s="16">
        <v>42593.26902777778</v>
      </c>
      <c r="F161" s="16">
        <v>42593.269652777781</v>
      </c>
      <c r="G161" s="7">
        <v>0</v>
      </c>
      <c r="H161" s="16" t="s">
        <v>520</v>
      </c>
      <c r="I161" s="16">
        <v>42593.29482638889</v>
      </c>
      <c r="J161" s="7">
        <v>0</v>
      </c>
      <c r="K161" s="149" t="str">
        <f t="shared" si="114"/>
        <v>4003/4004</v>
      </c>
      <c r="L161" s="25" t="str">
        <f>VLOOKUP(A161,'Trips&amp;Operators'!$C$1:$E$10000,3,FALSE)</f>
        <v>YORK</v>
      </c>
      <c r="M161" s="6">
        <f t="shared" si="115"/>
        <v>2.5173611109494232E-2</v>
      </c>
      <c r="N161" s="7">
        <f t="shared" si="116"/>
        <v>36.249999997671694</v>
      </c>
      <c r="O161" s="7"/>
      <c r="P161" s="7"/>
      <c r="Q161" s="26"/>
      <c r="R161" s="26"/>
      <c r="S161" s="38">
        <f t="shared" si="117"/>
        <v>1</v>
      </c>
      <c r="T161" s="55" t="str">
        <f t="shared" si="118"/>
        <v>NorthBound</v>
      </c>
      <c r="U161" s="13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05:27:24-0600',mode:absolute,to:'2016-08-11 08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161" s="57" t="str">
        <f t="shared" si="120"/>
        <v>N</v>
      </c>
      <c r="X161" s="133">
        <f t="shared" si="121"/>
        <v>1</v>
      </c>
      <c r="Y161" s="72">
        <f t="shared" si="122"/>
        <v>0.1091</v>
      </c>
      <c r="Z161" s="72">
        <f t="shared" si="123"/>
        <v>5.8944000000000001</v>
      </c>
      <c r="AA161" s="72">
        <f t="shared" si="124"/>
        <v>5.7853000000000003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125"/>
        <v>0805-11</v>
      </c>
      <c r="AE161" s="108" t="str">
        <f t="shared" si="112"/>
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</c>
      <c r="AF161" s="105" t="str">
        <f t="shared" si="113"/>
        <v>"C:\Program Files (x86)\AstroGrep\AstroGrep.exe" /spath="%USERPROFILE%\AppData\Local\Temp\OnboardLogs" /stypes="*4003*20160811*" /stext=" 13:.+((SYSTEM_STATE.+slice.+state.+changed )|(ment ac)|(system.+state.+changed )|(\|lc)|(penalty)|(\[timeout)|(PRM\|1\|D)|(kpr)|(kdp))" /e /r /s</v>
      </c>
      <c r="AG161" s="1" t="str">
        <f t="shared" si="101"/>
        <v>NW</v>
      </c>
      <c r="AH161" s="109" t="str">
        <f t="shared" si="126"/>
        <v>"%USERPROFILE%\Documents\GitHub\eaglep3\Utilities\RefineRTDCRunTimes.py" --tripid 805-11 --locoid 4003 --swversion DE.1.0.7.0 --startMP 204:1091 --initTime 2016-08-11T06:27:24 --startdatetime 2016-08-11T06:28:18 --delay 0 --endMP 300:58944 --enddatetime 2016-08-11T07:04:33 --enforcementcount 0</v>
      </c>
    </row>
    <row r="162" spans="1:34" x14ac:dyDescent="0.25">
      <c r="A162" s="42" t="s">
        <v>521</v>
      </c>
      <c r="B162" s="7">
        <v>4004</v>
      </c>
      <c r="C162" s="25" t="s">
        <v>130</v>
      </c>
      <c r="D162" s="25" t="s">
        <v>522</v>
      </c>
      <c r="E162" s="16">
        <v>42593.295856481483</v>
      </c>
      <c r="F162" s="16">
        <v>42593.296585648146</v>
      </c>
      <c r="G162" s="7">
        <v>1</v>
      </c>
      <c r="H162" s="16" t="s">
        <v>513</v>
      </c>
      <c r="I162" s="16">
        <v>42593.308854166666</v>
      </c>
      <c r="J162" s="7">
        <v>0</v>
      </c>
      <c r="K162" s="149" t="str">
        <f t="shared" si="114"/>
        <v>4003/4004</v>
      </c>
      <c r="L162" s="25" t="str">
        <f>VLOOKUP(A162,'Trips&amp;Operators'!$C$1:$E$10000,3,FALSE)</f>
        <v>YORK</v>
      </c>
      <c r="M162" s="6">
        <f t="shared" si="115"/>
        <v>1.226851851970423E-2</v>
      </c>
      <c r="N162" s="7">
        <f t="shared" si="116"/>
        <v>17.666666668374091</v>
      </c>
      <c r="O162" s="7"/>
      <c r="P162" s="7"/>
      <c r="Q162" s="26"/>
      <c r="R162" s="26"/>
      <c r="S162" s="38">
        <f t="shared" si="117"/>
        <v>1</v>
      </c>
      <c r="T162" s="55" t="str">
        <f t="shared" si="118"/>
        <v>Southbound</v>
      </c>
      <c r="U162" s="13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06:06:02-0600',mode:absolute,to:'2016-08-11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162" s="57" t="str">
        <f t="shared" si="120"/>
        <v>N</v>
      </c>
      <c r="X162" s="133">
        <f t="shared" si="121"/>
        <v>1</v>
      </c>
      <c r="Y162" s="72">
        <f t="shared" si="122"/>
        <v>5.8632</v>
      </c>
      <c r="Z162" s="72">
        <f t="shared" si="123"/>
        <v>8.0299999999999996E-2</v>
      </c>
      <c r="AA162" s="72">
        <f t="shared" si="124"/>
        <v>5.7828999999999997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125"/>
        <v>0806-11</v>
      </c>
      <c r="AE162" s="108" t="str">
        <f t="shared" si="112"/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AF162" s="105" t="str">
        <f t="shared" si="113"/>
        <v>"C:\Program Files (x86)\AstroGrep\AstroGrep.exe" /spath="%USERPROFILE%\AppData\Local\Temp\OnboardLogs" /stypes="*4004*20160811*" /stext=" 13:.+((SYSTEM_STATE.+slice.+state.+changed )|(ment ac)|(system.+state.+changed )|(\|lc)|(penalty)|(\[timeout)|(PRM\|1\|D)|(kpr)|(kdp))" /e /r /s</v>
      </c>
      <c r="AG162" s="1" t="str">
        <f t="shared" si="101"/>
        <v>NW</v>
      </c>
      <c r="AH162" s="109" t="str">
        <f t="shared" si="126"/>
        <v>"%USERPROFILE%\Documents\GitHub\eaglep3\Utilities\RefineRTDCRunTimes.py" --tripid 806-11 --locoid 4004 --swversion DE.1.0.7.0 --startMP 300:58632 --initTime 2016-08-11T07:06:02 --startdatetime 2016-08-11T07:07:05 --delay 1 --endMP 204:803 --enddatetime 2016-08-11T07:24:45 --enforcementcount 0</v>
      </c>
    </row>
    <row r="163" spans="1:34" x14ac:dyDescent="0.25">
      <c r="A163" s="42" t="s">
        <v>523</v>
      </c>
      <c r="B163" s="7">
        <v>4042</v>
      </c>
      <c r="C163" s="25" t="s">
        <v>130</v>
      </c>
      <c r="D163" s="25" t="s">
        <v>263</v>
      </c>
      <c r="E163" s="16">
        <v>42593.301979166667</v>
      </c>
      <c r="F163" s="16">
        <v>42593.30300925926</v>
      </c>
      <c r="G163" s="7">
        <v>1</v>
      </c>
      <c r="H163" s="16" t="s">
        <v>524</v>
      </c>
      <c r="I163" s="16">
        <v>42593.316504629627</v>
      </c>
      <c r="J163" s="7">
        <v>0</v>
      </c>
      <c r="K163" s="149" t="str">
        <f t="shared" si="114"/>
        <v>4041/4042</v>
      </c>
      <c r="L163" s="25" t="str">
        <f>VLOOKUP(A163,'Trips&amp;Operators'!$C$1:$E$10000,3,FALSE)</f>
        <v>OUN</v>
      </c>
      <c r="M163" s="6">
        <f t="shared" si="115"/>
        <v>1.3495370367309079E-2</v>
      </c>
      <c r="N163" s="7">
        <f t="shared" si="116"/>
        <v>19.433333328925073</v>
      </c>
      <c r="O163" s="7"/>
      <c r="P163" s="7"/>
      <c r="Q163" s="26"/>
      <c r="R163" s="26"/>
      <c r="S163" s="38">
        <f t="shared" si="117"/>
        <v>1</v>
      </c>
      <c r="T163" s="55" t="str">
        <f t="shared" si="118"/>
        <v>NorthBound</v>
      </c>
      <c r="U163" s="13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06:14:51-0600',mode:absolute,to:'2016-08-11 08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3" s="57" t="str">
        <f t="shared" si="120"/>
        <v>N</v>
      </c>
      <c r="X163" s="133">
        <f t="shared" si="121"/>
        <v>1</v>
      </c>
      <c r="Y163" s="72">
        <f t="shared" si="122"/>
        <v>9.7799999999999998E-2</v>
      </c>
      <c r="Z163" s="72">
        <f t="shared" si="123"/>
        <v>5.8921999999999999</v>
      </c>
      <c r="AA163" s="72">
        <f t="shared" si="124"/>
        <v>5.7943999999999996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125"/>
        <v>0807-11</v>
      </c>
      <c r="AE163" s="108" t="str">
        <f t="shared" si="112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63" s="105" t="str">
        <f t="shared" si="113"/>
        <v>"C:\Program Files (x86)\AstroGrep\AstroGrep.exe" /spath="%USERPROFILE%\AppData\Local\Temp\OnboardLogs" /stypes="*4042*20160811*" /stext=" 13:.+((SYSTEM_STATE.+slice.+state.+changed )|(ment ac)|(system.+state.+changed )|(\|lc)|(penalty)|(\[timeout)|(PRM\|1\|D)|(kpr)|(kdp))" /e /r /s</v>
      </c>
      <c r="AG163" s="1" t="str">
        <f t="shared" si="101"/>
        <v>NW</v>
      </c>
      <c r="AH163" s="109" t="str">
        <f t="shared" si="126"/>
        <v>"%USERPROFILE%\Documents\GitHub\eaglep3\Utilities\RefineRTDCRunTimes.py" --tripid 807-11 --locoid 4042 --swversion DE.1.0.7.0 --startMP 204:978 --initTime 2016-08-11T07:14:51 --startdatetime 2016-08-11T07:16:20 --delay 1 --endMP 300:58922 --enddatetime 2016-08-11T07:35:46 --enforcementcount 0</v>
      </c>
    </row>
    <row r="164" spans="1:34" x14ac:dyDescent="0.25">
      <c r="A164" s="42" t="s">
        <v>525</v>
      </c>
      <c r="B164" s="7">
        <v>4041</v>
      </c>
      <c r="C164" s="25" t="s">
        <v>130</v>
      </c>
      <c r="D164" s="25" t="s">
        <v>221</v>
      </c>
      <c r="E164" s="16">
        <v>42593.317858796298</v>
      </c>
      <c r="F164" s="16">
        <v>42593.31890046296</v>
      </c>
      <c r="G164" s="7">
        <v>1</v>
      </c>
      <c r="H164" s="16" t="s">
        <v>256</v>
      </c>
      <c r="I164" s="16">
        <v>42593.330196759256</v>
      </c>
      <c r="J164" s="7">
        <v>0</v>
      </c>
      <c r="K164" s="149" t="str">
        <f t="shared" si="114"/>
        <v>4041/4042</v>
      </c>
      <c r="L164" s="25" t="str">
        <f>VLOOKUP(A164,'Trips&amp;Operators'!$C$1:$E$10000,3,FALSE)</f>
        <v>OUN</v>
      </c>
      <c r="M164" s="6">
        <f t="shared" si="115"/>
        <v>1.1296296295768116E-2</v>
      </c>
      <c r="N164" s="7">
        <f t="shared" si="116"/>
        <v>16.266666665906087</v>
      </c>
      <c r="O164" s="7"/>
      <c r="P164" s="7"/>
      <c r="Q164" s="26"/>
      <c r="R164" s="26"/>
      <c r="S164" s="38">
        <f t="shared" si="117"/>
        <v>1</v>
      </c>
      <c r="T164" s="55" t="str">
        <f t="shared" si="118"/>
        <v>Southbound</v>
      </c>
      <c r="U164" s="13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06:37:43-0600',mode:absolute,to:'2016-08-11 08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4" s="57" t="str">
        <f t="shared" si="120"/>
        <v>N</v>
      </c>
      <c r="X164" s="133">
        <f t="shared" si="121"/>
        <v>1</v>
      </c>
      <c r="Y164" s="72">
        <f t="shared" si="122"/>
        <v>5.8608000000000002</v>
      </c>
      <c r="Z164" s="72">
        <f t="shared" si="123"/>
        <v>6.9400000000000003E-2</v>
      </c>
      <c r="AA164" s="72">
        <f t="shared" si="124"/>
        <v>5.7914000000000003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125"/>
        <v>0808-11</v>
      </c>
      <c r="AE164" s="108" t="str">
        <f t="shared" si="112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64" s="105" t="str">
        <f t="shared" si="113"/>
        <v>"C:\Program Files (x86)\AstroGrep\AstroGrep.exe" /spath="%USERPROFILE%\AppData\Local\Temp\OnboardLogs" /stypes="*4041*20160811*" /stext=" 13:.+((SYSTEM_STATE.+slice.+state.+changed )|(ment ac)|(system.+state.+changed )|(\|lc)|(penalty)|(\[timeout)|(PRM\|1\|D)|(kpr)|(kdp))" /e /r /s</v>
      </c>
      <c r="AG164" s="1" t="str">
        <f t="shared" si="101"/>
        <v>NW</v>
      </c>
      <c r="AH164" s="109" t="str">
        <f t="shared" si="126"/>
        <v>"%USERPROFILE%\Documents\GitHub\eaglep3\Utilities\RefineRTDCRunTimes.py" --tripid 808-11 --locoid 4041 --swversion DE.1.0.7.0 --startMP 300:58608 --initTime 2016-08-11T07:37:43 --startdatetime 2016-08-11T07:39:13 --delay 1 --endMP 204:694 --enddatetime 2016-08-11T07:55:29 --enforcementcount 0</v>
      </c>
    </row>
    <row r="165" spans="1:34" x14ac:dyDescent="0.25">
      <c r="A165" s="42" t="s">
        <v>526</v>
      </c>
      <c r="B165" s="7">
        <v>4003</v>
      </c>
      <c r="C165" s="25" t="s">
        <v>130</v>
      </c>
      <c r="D165" s="25" t="s">
        <v>519</v>
      </c>
      <c r="E165" s="16">
        <v>42593.310543981483</v>
      </c>
      <c r="F165" s="16">
        <v>42593.311284722222</v>
      </c>
      <c r="G165" s="7">
        <v>1</v>
      </c>
      <c r="H165" s="16" t="s">
        <v>178</v>
      </c>
      <c r="I165" s="16">
        <v>42593.336504629631</v>
      </c>
      <c r="J165" s="7">
        <v>0</v>
      </c>
      <c r="K165" s="149" t="str">
        <f t="shared" si="114"/>
        <v>4003/4004</v>
      </c>
      <c r="L165" s="25" t="str">
        <f>VLOOKUP(A165,'Trips&amp;Operators'!$C$1:$E$10000,3,FALSE)</f>
        <v>YORK</v>
      </c>
      <c r="M165" s="6">
        <f t="shared" si="115"/>
        <v>2.5219907409336884E-2</v>
      </c>
      <c r="N165" s="7">
        <f t="shared" si="116"/>
        <v>36.316666669445112</v>
      </c>
      <c r="O165" s="7"/>
      <c r="P165" s="7"/>
      <c r="Q165" s="26"/>
      <c r="R165" s="26"/>
      <c r="S165" s="38">
        <f t="shared" si="117"/>
        <v>1</v>
      </c>
      <c r="T165" s="55" t="str">
        <f t="shared" si="118"/>
        <v>NorthBound</v>
      </c>
      <c r="U165" s="13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06:27:11-0600',mode:absolute,to:'2016-08-11 09:04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165" s="57" t="str">
        <f t="shared" si="120"/>
        <v>N</v>
      </c>
      <c r="X165" s="133">
        <f t="shared" si="121"/>
        <v>1</v>
      </c>
      <c r="Y165" s="72">
        <f t="shared" si="122"/>
        <v>0.1091</v>
      </c>
      <c r="Z165" s="72">
        <f t="shared" si="123"/>
        <v>5.8929</v>
      </c>
      <c r="AA165" s="72">
        <f t="shared" si="124"/>
        <v>5.7838000000000003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125"/>
        <v>0809-11</v>
      </c>
      <c r="AE165" s="108" t="str">
        <f t="shared" si="112"/>
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</c>
      <c r="AF165" s="105" t="str">
        <f t="shared" si="113"/>
        <v>"C:\Program Files (x86)\AstroGrep\AstroGrep.exe" /spath="%USERPROFILE%\AppData\Local\Temp\OnboardLogs" /stypes="*4003*20160811*" /stext=" 14:.+((SYSTEM_STATE.+slice.+state.+changed )|(ment ac)|(system.+state.+changed )|(\|lc)|(penalty)|(\[timeout)|(PRM\|1\|D)|(kpr)|(kdp))" /e /r /s</v>
      </c>
      <c r="AG165" s="1" t="str">
        <f t="shared" si="101"/>
        <v>NW</v>
      </c>
      <c r="AH165" s="109" t="str">
        <f t="shared" si="126"/>
        <v>"%USERPROFILE%\Documents\GitHub\eaglep3\Utilities\RefineRTDCRunTimes.py" --tripid 809-11 --locoid 4003 --swversion DE.1.0.7.0 --startMP 204:1091 --initTime 2016-08-11T07:27:11 --startdatetime 2016-08-11T07:28:15 --delay 1 --endMP 300:58929 --enddatetime 2016-08-11T08:04:34 --enforcementcount 0</v>
      </c>
    </row>
    <row r="166" spans="1:34" x14ac:dyDescent="0.25">
      <c r="A166" s="42" t="s">
        <v>527</v>
      </c>
      <c r="B166" s="7">
        <v>4004</v>
      </c>
      <c r="C166" s="25" t="s">
        <v>130</v>
      </c>
      <c r="D166" s="25" t="s">
        <v>251</v>
      </c>
      <c r="E166" s="16">
        <v>42593.337291666663</v>
      </c>
      <c r="F166" s="16">
        <v>42593.338067129633</v>
      </c>
      <c r="G166" s="7">
        <v>1</v>
      </c>
      <c r="H166" s="16" t="s">
        <v>528</v>
      </c>
      <c r="I166" s="16">
        <v>42593.35087962963</v>
      </c>
      <c r="J166" s="7">
        <v>0</v>
      </c>
      <c r="K166" s="149" t="str">
        <f t="shared" si="114"/>
        <v>4003/4004</v>
      </c>
      <c r="L166" s="25" t="str">
        <f>VLOOKUP(A166,'Trips&amp;Operators'!$C$1:$E$10000,3,FALSE)</f>
        <v>YORK</v>
      </c>
      <c r="M166" s="6">
        <f t="shared" si="115"/>
        <v>1.2812499997380655E-2</v>
      </c>
      <c r="N166" s="7">
        <f t="shared" si="116"/>
        <v>18.449999996228144</v>
      </c>
      <c r="O166" s="7"/>
      <c r="P166" s="7"/>
      <c r="Q166" s="26"/>
      <c r="R166" s="26"/>
      <c r="S166" s="38">
        <f t="shared" si="117"/>
        <v>1</v>
      </c>
      <c r="T166" s="55" t="str">
        <f t="shared" si="118"/>
        <v>Southbound</v>
      </c>
      <c r="U166" s="13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07:05:42-0600',mode:absolute,to:'2016-08-11 09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166" s="57" t="str">
        <f t="shared" si="120"/>
        <v>N</v>
      </c>
      <c r="X166" s="133">
        <f t="shared" si="121"/>
        <v>1</v>
      </c>
      <c r="Y166" s="72">
        <f t="shared" si="122"/>
        <v>5.8615000000000004</v>
      </c>
      <c r="Z166" s="72">
        <f t="shared" si="123"/>
        <v>8.1299999999999997E-2</v>
      </c>
      <c r="AA166" s="72">
        <f t="shared" si="124"/>
        <v>5.7802000000000007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125"/>
        <v>0810-11</v>
      </c>
      <c r="AE166" s="108" t="str">
        <f t="shared" si="112"/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AF166" s="105" t="str">
        <f t="shared" si="113"/>
        <v>"C:\Program Files (x86)\AstroGrep\AstroGrep.exe" /spath="%USERPROFILE%\AppData\Local\Temp\OnboardLogs" /stypes="*4004*20160811*" /stext=" 14:.+((SYSTEM_STATE.+slice.+state.+changed )|(ment ac)|(system.+state.+changed )|(\|lc)|(penalty)|(\[timeout)|(PRM\|1\|D)|(kpr)|(kdp))" /e /r /s</v>
      </c>
      <c r="AG166" s="1" t="str">
        <f t="shared" si="101"/>
        <v>NW</v>
      </c>
      <c r="AH166" s="109" t="str">
        <f t="shared" si="126"/>
        <v>"%USERPROFILE%\Documents\GitHub\eaglep3\Utilities\RefineRTDCRunTimes.py" --tripid 810-11 --locoid 4004 --swversion DE.1.0.7.0 --startMP 300:58615 --initTime 2016-08-11T08:05:42 --startdatetime 2016-08-11T08:06:49 --delay 1 --endMP 204:813 --enddatetime 2016-08-11T08:25:16 --enforcementcount 0</v>
      </c>
    </row>
    <row r="167" spans="1:34" x14ac:dyDescent="0.25">
      <c r="A167" s="42" t="s">
        <v>529</v>
      </c>
      <c r="B167" s="7">
        <v>4042</v>
      </c>
      <c r="C167" s="25" t="s">
        <v>130</v>
      </c>
      <c r="D167" s="25" t="s">
        <v>530</v>
      </c>
      <c r="E167" s="16">
        <v>42593.343460648146</v>
      </c>
      <c r="F167" s="16">
        <v>42593.344467592593</v>
      </c>
      <c r="G167" s="7">
        <v>1</v>
      </c>
      <c r="H167" s="16" t="s">
        <v>531</v>
      </c>
      <c r="I167" s="16">
        <v>42593.359224537038</v>
      </c>
      <c r="J167" s="7">
        <v>0</v>
      </c>
      <c r="K167" s="149" t="str">
        <f t="shared" si="114"/>
        <v>4041/4042</v>
      </c>
      <c r="L167" s="25" t="str">
        <f>VLOOKUP(A167,'Trips&amp;Operators'!$C$1:$E$10000,3,FALSE)</f>
        <v>OUN</v>
      </c>
      <c r="M167" s="6">
        <f t="shared" si="115"/>
        <v>1.4756944445252884E-2</v>
      </c>
      <c r="N167" s="7">
        <f t="shared" si="116"/>
        <v>21.250000001164153</v>
      </c>
      <c r="O167" s="7"/>
      <c r="P167" s="7"/>
      <c r="Q167" s="26"/>
      <c r="R167" s="26"/>
      <c r="S167" s="38">
        <f t="shared" si="117"/>
        <v>1</v>
      </c>
      <c r="T167" s="55" t="str">
        <f t="shared" si="118"/>
        <v>NorthBound</v>
      </c>
      <c r="U167" s="13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07:14:35-0600',mode:absolute,to:'2016-08-11 09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7" s="57" t="str">
        <f t="shared" si="120"/>
        <v>N</v>
      </c>
      <c r="X167" s="133">
        <f t="shared" si="121"/>
        <v>1</v>
      </c>
      <c r="Y167" s="72">
        <f t="shared" si="122"/>
        <v>9.9299999999999999E-2</v>
      </c>
      <c r="Z167" s="72">
        <f t="shared" si="123"/>
        <v>5.8872999999999998</v>
      </c>
      <c r="AA167" s="72">
        <f t="shared" si="124"/>
        <v>5.7879999999999994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125"/>
        <v>0811-11</v>
      </c>
      <c r="AE167" s="108" t="str">
        <f t="shared" si="112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67" s="105" t="str">
        <f t="shared" si="113"/>
        <v>"C:\Program Files (x86)\AstroGrep\AstroGrep.exe" /spath="%USERPROFILE%\AppData\Local\Temp\OnboardLogs" /stypes="*4042*20160811*" /stext=" 14:.+((SYSTEM_STATE.+slice.+state.+changed )|(ment ac)|(system.+state.+changed )|(\|lc)|(penalty)|(\[timeout)|(PRM\|1\|D)|(kpr)|(kdp))" /e /r /s</v>
      </c>
      <c r="AG167" s="1" t="str">
        <f t="shared" si="101"/>
        <v>NW</v>
      </c>
      <c r="AH167" s="109" t="str">
        <f t="shared" si="126"/>
        <v>"%USERPROFILE%\Documents\GitHub\eaglep3\Utilities\RefineRTDCRunTimes.py" --tripid 811-11 --locoid 4042 --swversion DE.1.0.7.0 --startMP 204:993 --initTime 2016-08-11T08:14:35 --startdatetime 2016-08-11T08:16:02 --delay 1 --endMP 300:58873 --enddatetime 2016-08-11T08:37:17 --enforcementcount 0</v>
      </c>
    </row>
    <row r="168" spans="1:34" x14ac:dyDescent="0.25">
      <c r="A168" s="42" t="s">
        <v>532</v>
      </c>
      <c r="B168" s="7">
        <v>4041</v>
      </c>
      <c r="C168" s="25" t="s">
        <v>130</v>
      </c>
      <c r="D168" s="25" t="s">
        <v>533</v>
      </c>
      <c r="E168" s="16">
        <v>42593.360358796293</v>
      </c>
      <c r="F168" s="16">
        <v>42593.361111111109</v>
      </c>
      <c r="G168" s="7">
        <v>1</v>
      </c>
      <c r="H168" s="16" t="s">
        <v>534</v>
      </c>
      <c r="I168" s="16">
        <v>42593.363402777781</v>
      </c>
      <c r="J168" s="7">
        <v>0</v>
      </c>
      <c r="K168" s="149" t="str">
        <f t="shared" si="114"/>
        <v>4041/4042</v>
      </c>
      <c r="L168" s="25" t="str">
        <f>VLOOKUP(A168,'Trips&amp;Operators'!$C$1:$E$10000,3,FALSE)</f>
        <v>OUN</v>
      </c>
      <c r="M168" s="6">
        <f t="shared" si="115"/>
        <v>2.2916666712262668E-3</v>
      </c>
      <c r="N168" s="7"/>
      <c r="O168" s="7"/>
      <c r="P168" s="7">
        <f t="shared" si="116"/>
        <v>3.3000000065658242</v>
      </c>
      <c r="Q168" s="26"/>
      <c r="R168" s="26" t="s">
        <v>666</v>
      </c>
      <c r="S168" s="38">
        <f t="shared" si="117"/>
        <v>0</v>
      </c>
      <c r="T168" s="55" t="str">
        <f t="shared" si="118"/>
        <v>Southbound</v>
      </c>
      <c r="U168" s="13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07:38:55-0600',mode:absolute,to:'2016-08-11 09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68" s="57" t="str">
        <f t="shared" si="120"/>
        <v>Y</v>
      </c>
      <c r="X168" s="133">
        <f t="shared" si="121"/>
        <v>1</v>
      </c>
      <c r="Y168" s="72">
        <f t="shared" si="122"/>
        <v>5.8556999999999997</v>
      </c>
      <c r="Z168" s="72">
        <f t="shared" si="123"/>
        <v>5.7316000000000003</v>
      </c>
      <c r="AA168" s="72">
        <f t="shared" si="124"/>
        <v>0.12409999999999943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125"/>
        <v>0812-11</v>
      </c>
      <c r="AE168" s="108" t="str">
        <f t="shared" si="112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68" s="105" t="str">
        <f t="shared" si="113"/>
        <v>"C:\Program Files (x86)\AstroGrep\AstroGrep.exe" /spath="%USERPROFILE%\AppData\Local\Temp\OnboardLogs" /stypes="*4041*20160811*" /stext=" 14:.+((SYSTEM_STATE.+slice.+state.+changed )|(ment ac)|(system.+state.+changed )|(\|lc)|(penalty)|(\[timeout)|(PRM\|1\|D)|(kpr)|(kdp))" /e /r /s</v>
      </c>
      <c r="AG168" s="1" t="str">
        <f t="shared" si="101"/>
        <v>NW</v>
      </c>
      <c r="AH168" s="109" t="str">
        <f t="shared" si="126"/>
        <v>"%USERPROFILE%\Documents\GitHub\eaglep3\Utilities\RefineRTDCRunTimes.py" --tripid 812-11 --locoid 4041 --swversion DE.1.0.7.0 --startMP 300:58557 --initTime 2016-08-11T08:38:55 --startdatetime 2016-08-11T08:40:00 --delay 1 --endMP 300:57316 --enddatetime 2016-08-11T08:43:18 --enforcementcount 0</v>
      </c>
    </row>
    <row r="169" spans="1:34" x14ac:dyDescent="0.25">
      <c r="A169" s="42" t="s">
        <v>535</v>
      </c>
      <c r="B169" s="7">
        <v>4042</v>
      </c>
      <c r="C169" s="25" t="s">
        <v>130</v>
      </c>
      <c r="D169" s="25" t="s">
        <v>202</v>
      </c>
      <c r="E169" s="16">
        <v>42593.386076388888</v>
      </c>
      <c r="F169" s="16">
        <v>42593.387083333335</v>
      </c>
      <c r="G169" s="7">
        <v>1</v>
      </c>
      <c r="H169" s="16" t="s">
        <v>536</v>
      </c>
      <c r="I169" s="16">
        <v>42593.40016203704</v>
      </c>
      <c r="J169" s="7">
        <v>1</v>
      </c>
      <c r="K169" s="149" t="str">
        <f t="shared" si="114"/>
        <v>4041/4042</v>
      </c>
      <c r="L169" s="25" t="str">
        <f>VLOOKUP(A169,'Trips&amp;Operators'!$C$1:$E$10000,3,FALSE)</f>
        <v>OUN</v>
      </c>
      <c r="M169" s="6">
        <f t="shared" si="115"/>
        <v>1.3078703705104999E-2</v>
      </c>
      <c r="N169" s="7">
        <f t="shared" si="116"/>
        <v>18.833333335351199</v>
      </c>
      <c r="O169" s="7"/>
      <c r="P169" s="7"/>
      <c r="Q169" s="26"/>
      <c r="R169" s="26"/>
      <c r="S169" s="38">
        <f t="shared" si="117"/>
        <v>1</v>
      </c>
      <c r="T169" s="55" t="str">
        <f t="shared" si="118"/>
        <v>NorthBound</v>
      </c>
      <c r="U169" s="13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08:15:57-0600',mode:absolute,to:'2016-08-11 10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69" s="57" t="str">
        <f t="shared" si="120"/>
        <v>N</v>
      </c>
      <c r="X169" s="133">
        <f t="shared" si="121"/>
        <v>1</v>
      </c>
      <c r="Y169" s="72">
        <f t="shared" si="122"/>
        <v>9.7600000000000006E-2</v>
      </c>
      <c r="Z169" s="72">
        <f t="shared" si="123"/>
        <v>5.8902999999999999</v>
      </c>
      <c r="AA169" s="72">
        <f t="shared" si="124"/>
        <v>5.7927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125"/>
        <v>0813-11</v>
      </c>
      <c r="AE169" s="108" t="str">
        <f t="shared" si="112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69" s="105" t="str">
        <f t="shared" si="113"/>
        <v>"C:\Program Files (x86)\AstroGrep\AstroGrep.exe" /spath="%USERPROFILE%\AppData\Local\Temp\OnboardLogs" /stypes="*4042*20160811*" /stext=" 15:.+((SYSTEM_STATE.+slice.+state.+changed )|(ment ac)|(system.+state.+changed )|(\|lc)|(penalty)|(\[timeout)|(PRM\|1\|D)|(kpr)|(kdp))" /e /r /s</v>
      </c>
      <c r="AG169" s="1" t="str">
        <f t="shared" si="101"/>
        <v>NW</v>
      </c>
      <c r="AH169" s="109" t="str">
        <f t="shared" si="126"/>
        <v>"%USERPROFILE%\Documents\GitHub\eaglep3\Utilities\RefineRTDCRunTimes.py" --tripid 813-11 --locoid 4042 --swversion DE.1.0.7.0 --startMP 204:976 --initTime 2016-08-11T09:15:57 --startdatetime 2016-08-11T09:17:24 --delay 1 --endMP 300:58903 --enddatetime 2016-08-11T09:36:14 --enforcementcount 1</v>
      </c>
    </row>
    <row r="170" spans="1:34" x14ac:dyDescent="0.25">
      <c r="A170" s="42" t="s">
        <v>537</v>
      </c>
      <c r="B170" s="7">
        <v>4041</v>
      </c>
      <c r="C170" s="25" t="s">
        <v>130</v>
      </c>
      <c r="D170" s="25" t="s">
        <v>254</v>
      </c>
      <c r="E170" s="16">
        <v>42593.401342592595</v>
      </c>
      <c r="F170" s="16">
        <v>42593.402395833335</v>
      </c>
      <c r="G170" s="7">
        <v>1</v>
      </c>
      <c r="H170" s="16" t="s">
        <v>249</v>
      </c>
      <c r="I170" s="16">
        <v>42593.413472222222</v>
      </c>
      <c r="J170" s="7">
        <v>0</v>
      </c>
      <c r="K170" s="149" t="str">
        <f t="shared" si="114"/>
        <v>4041/4042</v>
      </c>
      <c r="L170" s="25" t="str">
        <f>VLOOKUP(A170,'Trips&amp;Operators'!$C$1:$E$10000,3,FALSE)</f>
        <v>OUN</v>
      </c>
      <c r="M170" s="6">
        <f t="shared" si="115"/>
        <v>1.1076388887886424E-2</v>
      </c>
      <c r="N170" s="7">
        <f t="shared" si="116"/>
        <v>15.94999999855645</v>
      </c>
      <c r="O170" s="7"/>
      <c r="P170" s="7"/>
      <c r="Q170" s="26"/>
      <c r="R170" s="26"/>
      <c r="S170" s="38">
        <f t="shared" si="117"/>
        <v>1</v>
      </c>
      <c r="T170" s="55" t="str">
        <f t="shared" si="118"/>
        <v>Southbound</v>
      </c>
      <c r="U170" s="13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08:37:56-0600',mode:absolute,to:'2016-08-11 10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0" s="57" t="str">
        <f t="shared" si="120"/>
        <v>N</v>
      </c>
      <c r="X170" s="133">
        <f t="shared" si="121"/>
        <v>1</v>
      </c>
      <c r="Y170" s="72">
        <f t="shared" si="122"/>
        <v>5.8586999999999998</v>
      </c>
      <c r="Z170" s="72">
        <f t="shared" si="123"/>
        <v>6.7500000000000004E-2</v>
      </c>
      <c r="AA170" s="72">
        <f t="shared" si="124"/>
        <v>5.7911999999999999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125"/>
        <v>0814-11</v>
      </c>
      <c r="AE170" s="108" t="str">
        <f t="shared" si="112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70" s="105" t="str">
        <f t="shared" si="113"/>
        <v>"C:\Program Files (x86)\AstroGrep\AstroGrep.exe" /spath="%USERPROFILE%\AppData\Local\Temp\OnboardLogs" /stypes="*4041*20160811*" /stext=" 15:.+((SYSTEM_STATE.+slice.+state.+changed )|(ment ac)|(system.+state.+changed )|(\|lc)|(penalty)|(\[timeout)|(PRM\|1\|D)|(kpr)|(kdp))" /e /r /s</v>
      </c>
      <c r="AG170" s="1" t="str">
        <f t="shared" si="101"/>
        <v>NW</v>
      </c>
      <c r="AH170" s="109" t="str">
        <f t="shared" si="126"/>
        <v>"%USERPROFILE%\Documents\GitHub\eaglep3\Utilities\RefineRTDCRunTimes.py" --tripid 814-11 --locoid 4041 --swversion DE.1.0.7.0 --startMP 300:58587 --initTime 2016-08-11T09:37:56 --startdatetime 2016-08-11T09:39:27 --delay 1 --endMP 204:675 --enddatetime 2016-08-11T09:55:24 --enforcementcount 0</v>
      </c>
    </row>
    <row r="171" spans="1:34" x14ac:dyDescent="0.25">
      <c r="A171" s="42" t="s">
        <v>538</v>
      </c>
      <c r="B171" s="7">
        <v>4042</v>
      </c>
      <c r="C171" s="25" t="s">
        <v>130</v>
      </c>
      <c r="D171" s="25" t="s">
        <v>250</v>
      </c>
      <c r="E171" s="16">
        <v>42593.427256944444</v>
      </c>
      <c r="F171" s="16">
        <v>42593.428391203706</v>
      </c>
      <c r="G171" s="7">
        <v>1</v>
      </c>
      <c r="H171" s="16" t="s">
        <v>223</v>
      </c>
      <c r="I171" s="16">
        <v>42593.441770833335</v>
      </c>
      <c r="J171" s="7">
        <v>1</v>
      </c>
      <c r="K171" s="149" t="str">
        <f t="shared" si="114"/>
        <v>4041/4042</v>
      </c>
      <c r="L171" s="25" t="str">
        <f>VLOOKUP(A171,'Trips&amp;Operators'!$C$1:$E$10000,3,FALSE)</f>
        <v>OUN</v>
      </c>
      <c r="M171" s="6">
        <f t="shared" si="115"/>
        <v>1.3379629628616385E-2</v>
      </c>
      <c r="N171" s="7">
        <f t="shared" si="116"/>
        <v>19.266666665207595</v>
      </c>
      <c r="O171" s="7"/>
      <c r="P171" s="7"/>
      <c r="Q171" s="26"/>
      <c r="R171" s="26"/>
      <c r="S171" s="38">
        <f t="shared" si="117"/>
        <v>1</v>
      </c>
      <c r="T171" s="55" t="str">
        <f t="shared" si="118"/>
        <v>NorthBound</v>
      </c>
      <c r="U171" s="13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09:15:15-0600',mode:absolute,to:'2016-08-11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1" s="57" t="str">
        <f t="shared" si="120"/>
        <v>N</v>
      </c>
      <c r="X171" s="133">
        <f t="shared" si="121"/>
        <v>1</v>
      </c>
      <c r="Y171" s="72">
        <f t="shared" si="122"/>
        <v>9.69E-2</v>
      </c>
      <c r="Z171" s="72">
        <f t="shared" si="123"/>
        <v>5.8910999999999998</v>
      </c>
      <c r="AA171" s="72">
        <f t="shared" si="124"/>
        <v>5.7942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si="125"/>
        <v>0815-11</v>
      </c>
      <c r="AE171" s="108" t="str">
        <f t="shared" si="112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71" s="105" t="str">
        <f t="shared" si="113"/>
        <v>"C:\Program Files (x86)\AstroGrep\AstroGrep.exe" /spath="%USERPROFILE%\AppData\Local\Temp\OnboardLogs" /stypes="*4042*20160811*" /stext=" 16:.+((SYSTEM_STATE.+slice.+state.+changed )|(ment ac)|(system.+state.+changed )|(\|lc)|(penalty)|(\[timeout)|(PRM\|1\|D)|(kpr)|(kdp))" /e /r /s</v>
      </c>
      <c r="AG171" s="1" t="str">
        <f t="shared" si="101"/>
        <v>NW</v>
      </c>
      <c r="AH171" s="109" t="str">
        <f t="shared" si="126"/>
        <v>"%USERPROFILE%\Documents\GitHub\eaglep3\Utilities\RefineRTDCRunTimes.py" --tripid 815-11 --locoid 4042 --swversion DE.1.0.7.0 --startMP 204:969 --initTime 2016-08-11T10:15:15 --startdatetime 2016-08-11T10:16:53 --delay 1 --endMP 300:58911 --enddatetime 2016-08-11T10:36:09 --enforcementcount 1</v>
      </c>
    </row>
    <row r="172" spans="1:34" x14ac:dyDescent="0.25">
      <c r="A172" s="42" t="s">
        <v>539</v>
      </c>
      <c r="B172" s="7">
        <v>4041</v>
      </c>
      <c r="C172" s="25" t="s">
        <v>130</v>
      </c>
      <c r="D172" s="25" t="s">
        <v>200</v>
      </c>
      <c r="E172" s="16">
        <v>42593.443240740744</v>
      </c>
      <c r="F172" s="16">
        <v>42593.444201388891</v>
      </c>
      <c r="G172" s="7">
        <v>1</v>
      </c>
      <c r="H172" s="16" t="s">
        <v>261</v>
      </c>
      <c r="I172" s="16">
        <v>42593.45548611111</v>
      </c>
      <c r="J172" s="7">
        <v>0</v>
      </c>
      <c r="K172" s="149" t="str">
        <f t="shared" si="114"/>
        <v>4041/4042</v>
      </c>
      <c r="L172" s="25" t="str">
        <f>VLOOKUP(A172,'Trips&amp;Operators'!$C$1:$E$10000,3,FALSE)</f>
        <v>OUN</v>
      </c>
      <c r="M172" s="6">
        <f t="shared" si="115"/>
        <v>1.1284722218988463E-2</v>
      </c>
      <c r="N172" s="7">
        <f t="shared" si="116"/>
        <v>16.249999995343387</v>
      </c>
      <c r="O172" s="7"/>
      <c r="P172" s="7"/>
      <c r="Q172" s="26"/>
      <c r="R172" s="26"/>
      <c r="S172" s="38">
        <f t="shared" si="117"/>
        <v>1</v>
      </c>
      <c r="T172" s="55" t="str">
        <f t="shared" si="118"/>
        <v>Southbound</v>
      </c>
      <c r="U172" s="13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09:38:16-0600',mode:absolute,to:'2016-08-11 11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2" s="57" t="str">
        <f t="shared" si="120"/>
        <v>N</v>
      </c>
      <c r="X172" s="133">
        <f t="shared" si="121"/>
        <v>1</v>
      </c>
      <c r="Y172" s="72">
        <f t="shared" si="122"/>
        <v>5.8596000000000004</v>
      </c>
      <c r="Z172" s="72">
        <f t="shared" si="123"/>
        <v>6.9800000000000001E-2</v>
      </c>
      <c r="AA172" s="72">
        <f t="shared" si="124"/>
        <v>5.7898000000000005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125"/>
        <v>0816-11</v>
      </c>
      <c r="AE172" s="108" t="str">
        <f t="shared" si="112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72" s="105" t="str">
        <f t="shared" si="113"/>
        <v>"C:\Program Files (x86)\AstroGrep\AstroGrep.exe" /spath="%USERPROFILE%\AppData\Local\Temp\OnboardLogs" /stypes="*4041*20160811*" /stext=" 16:.+((SYSTEM_STATE.+slice.+state.+changed )|(ment ac)|(system.+state.+changed )|(\|lc)|(penalty)|(\[timeout)|(PRM\|1\|D)|(kpr)|(kdp))" /e /r /s</v>
      </c>
      <c r="AG172" s="1" t="str">
        <f t="shared" si="101"/>
        <v>NW</v>
      </c>
      <c r="AH172" s="109" t="str">
        <f t="shared" si="126"/>
        <v>"%USERPROFILE%\Documents\GitHub\eaglep3\Utilities\RefineRTDCRunTimes.py" --tripid 816-11 --locoid 4041 --swversion DE.1.0.7.0 --startMP 300:58596 --initTime 2016-08-11T10:38:16 --startdatetime 2016-08-11T10:39:39 --delay 1 --endMP 204:698 --enddatetime 2016-08-11T10:55:54 --enforcementcount 0</v>
      </c>
    </row>
    <row r="173" spans="1:34" x14ac:dyDescent="0.25">
      <c r="A173" s="42" t="s">
        <v>540</v>
      </c>
      <c r="B173" s="7">
        <v>4042</v>
      </c>
      <c r="C173" s="25" t="s">
        <v>130</v>
      </c>
      <c r="D173" s="25" t="s">
        <v>541</v>
      </c>
      <c r="E173" s="16">
        <v>42593.470358796294</v>
      </c>
      <c r="F173" s="16">
        <v>42593.471215277779</v>
      </c>
      <c r="G173" s="7">
        <v>1</v>
      </c>
      <c r="H173" s="16" t="s">
        <v>223</v>
      </c>
      <c r="I173" s="16">
        <v>42593.483298611114</v>
      </c>
      <c r="J173" s="7">
        <v>0</v>
      </c>
      <c r="K173" s="149" t="str">
        <f t="shared" si="114"/>
        <v>4041/4042</v>
      </c>
      <c r="L173" s="25" t="str">
        <f>VLOOKUP(A173,'Trips&amp;Operators'!$C$1:$E$10000,3,FALSE)</f>
        <v>OUN</v>
      </c>
      <c r="M173" s="6">
        <f t="shared" si="115"/>
        <v>1.2083333334885538E-2</v>
      </c>
      <c r="N173" s="7">
        <f t="shared" si="116"/>
        <v>17.400000002235174</v>
      </c>
      <c r="O173" s="7"/>
      <c r="P173" s="7"/>
      <c r="Q173" s="26"/>
      <c r="R173" s="26"/>
      <c r="S173" s="38">
        <f t="shared" si="117"/>
        <v>1</v>
      </c>
      <c r="T173" s="55" t="str">
        <f t="shared" si="118"/>
        <v>NorthBound</v>
      </c>
      <c r="U173" s="13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10:17:19-0600',mode:absolute,to:'2016-08-11 12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3" s="57" t="str">
        <f t="shared" si="120"/>
        <v>N</v>
      </c>
      <c r="X173" s="133">
        <f t="shared" si="121"/>
        <v>1</v>
      </c>
      <c r="Y173" s="72">
        <f t="shared" si="122"/>
        <v>9.6199999999999994E-2</v>
      </c>
      <c r="Z173" s="72">
        <f t="shared" si="123"/>
        <v>5.8910999999999998</v>
      </c>
      <c r="AA173" s="72">
        <f t="shared" si="124"/>
        <v>5.7949000000000002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si="125"/>
        <v>0817-11</v>
      </c>
      <c r="AE173" s="108" t="str">
        <f t="shared" si="112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73" s="105" t="str">
        <f t="shared" si="113"/>
        <v>"C:\Program Files (x86)\AstroGrep\AstroGrep.exe" /spath="%USERPROFILE%\AppData\Local\Temp\OnboardLogs" /stypes="*4042*20160811*" /stext=" 17:.+((SYSTEM_STATE.+slice.+state.+changed )|(ment ac)|(system.+state.+changed )|(\|lc)|(penalty)|(\[timeout)|(PRM\|1\|D)|(kpr)|(kdp))" /e /r /s</v>
      </c>
      <c r="AG173" s="1" t="str">
        <f t="shared" si="101"/>
        <v>NW</v>
      </c>
      <c r="AH173" s="109" t="str">
        <f t="shared" si="126"/>
        <v>"%USERPROFILE%\Documents\GitHub\eaglep3\Utilities\RefineRTDCRunTimes.py" --tripid 817-11 --locoid 4042 --swversion DE.1.0.7.0 --startMP 204:962 --initTime 2016-08-11T11:17:19 --startdatetime 2016-08-11T11:18:33 --delay 1 --endMP 300:58911 --enddatetime 2016-08-11T11:35:57 --enforcementcount 0</v>
      </c>
    </row>
    <row r="174" spans="1:34" x14ac:dyDescent="0.25">
      <c r="A174" s="42" t="s">
        <v>542</v>
      </c>
      <c r="B174" s="7">
        <v>4041</v>
      </c>
      <c r="C174" s="25" t="s">
        <v>130</v>
      </c>
      <c r="D174" s="25" t="s">
        <v>543</v>
      </c>
      <c r="E174" s="16">
        <v>42593.484780092593</v>
      </c>
      <c r="F174" s="16">
        <v>42593.485763888886</v>
      </c>
      <c r="G174" s="7">
        <v>1</v>
      </c>
      <c r="H174" s="16" t="s">
        <v>544</v>
      </c>
      <c r="I174" s="16">
        <v>42593.486840277779</v>
      </c>
      <c r="J174" s="7">
        <v>0</v>
      </c>
      <c r="K174" s="149" t="str">
        <f t="shared" si="114"/>
        <v>4041/4042</v>
      </c>
      <c r="L174" s="25" t="str">
        <f>VLOOKUP(A174,'Trips&amp;Operators'!$C$1:$E$10000,3,FALSE)</f>
        <v>OUN</v>
      </c>
      <c r="M174" s="6">
        <f t="shared" si="115"/>
        <v>1.0763888931251131E-3</v>
      </c>
      <c r="N174" s="7"/>
      <c r="O174" s="7"/>
      <c r="P174" s="7">
        <f t="shared" si="116"/>
        <v>1.5500000061001629</v>
      </c>
      <c r="Q174" s="26"/>
      <c r="R174" s="26" t="s">
        <v>666</v>
      </c>
      <c r="S174" s="38">
        <f t="shared" si="117"/>
        <v>0</v>
      </c>
      <c r="T174" s="55" t="str">
        <f t="shared" si="118"/>
        <v>Southbound</v>
      </c>
      <c r="U174" s="13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10:38:05-0600',mode:absolute,to:'2016-08-11 12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4" s="57" t="str">
        <f t="shared" si="120"/>
        <v>Y</v>
      </c>
      <c r="X174" s="133">
        <f t="shared" si="121"/>
        <v>1</v>
      </c>
      <c r="Y174" s="72">
        <f t="shared" si="122"/>
        <v>5.8590999999999998</v>
      </c>
      <c r="Z174" s="72">
        <f t="shared" si="123"/>
        <v>5.7321999999999997</v>
      </c>
      <c r="AA174" s="72">
        <f t="shared" si="124"/>
        <v>0.12690000000000001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125"/>
        <v>0818-11</v>
      </c>
      <c r="AE174" s="108" t="str">
        <f t="shared" si="112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74" s="105" t="str">
        <f t="shared" si="113"/>
        <v>"C:\Program Files (x86)\AstroGrep\AstroGrep.exe" /spath="%USERPROFILE%\AppData\Local\Temp\OnboardLogs" /stypes="*4041*20160811*" /stext=" 17:.+((SYSTEM_STATE.+slice.+state.+changed )|(ment ac)|(system.+state.+changed )|(\|lc)|(penalty)|(\[timeout)|(PRM\|1\|D)|(kpr)|(kdp))" /e /r /s</v>
      </c>
      <c r="AG174" s="1" t="str">
        <f t="shared" si="101"/>
        <v>NW</v>
      </c>
      <c r="AH174" s="109" t="str">
        <f t="shared" si="126"/>
        <v>"%USERPROFILE%\Documents\GitHub\eaglep3\Utilities\RefineRTDCRunTimes.py" --tripid 818-11 --locoid 4041 --swversion DE.1.0.7.0 --startMP 300:58591 --initTime 2016-08-11T11:38:05 --startdatetime 2016-08-11T11:39:30 --delay 1 --endMP 300:57322 --enddatetime 2016-08-11T11:41:03 --enforcementcount 0</v>
      </c>
    </row>
    <row r="175" spans="1:34" x14ac:dyDescent="0.25">
      <c r="A175" s="42" t="s">
        <v>545</v>
      </c>
      <c r="B175" s="7">
        <v>4042</v>
      </c>
      <c r="C175" s="25" t="s">
        <v>130</v>
      </c>
      <c r="D175" s="25" t="s">
        <v>546</v>
      </c>
      <c r="E175" s="16">
        <v>42593.512546296297</v>
      </c>
      <c r="F175" s="16">
        <v>42593.513703703706</v>
      </c>
      <c r="G175" s="7">
        <v>1</v>
      </c>
      <c r="H175" s="16" t="s">
        <v>524</v>
      </c>
      <c r="I175" s="16">
        <v>42593.524930555555</v>
      </c>
      <c r="J175" s="7">
        <v>0</v>
      </c>
      <c r="K175" s="149" t="str">
        <f t="shared" si="114"/>
        <v>4041/4042</v>
      </c>
      <c r="L175" s="25" t="str">
        <f>VLOOKUP(A175,'Trips&amp;Operators'!$C$1:$E$10000,3,FALSE)</f>
        <v>OUN</v>
      </c>
      <c r="M175" s="6">
        <f t="shared" si="115"/>
        <v>1.1226851849642117E-2</v>
      </c>
      <c r="N175" s="7">
        <f t="shared" si="116"/>
        <v>16.166666663484648</v>
      </c>
      <c r="O175" s="7"/>
      <c r="P175" s="7"/>
      <c r="Q175" s="26"/>
      <c r="R175" s="26"/>
      <c r="S175" s="38">
        <f t="shared" si="117"/>
        <v>1</v>
      </c>
      <c r="T175" s="55" t="str">
        <f t="shared" si="118"/>
        <v>NorthBound</v>
      </c>
      <c r="U175" s="13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11:18:04-0600',mode:absolute,to:'2016-08-11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5" s="57" t="str">
        <f t="shared" si="120"/>
        <v>N</v>
      </c>
      <c r="X175" s="133">
        <f t="shared" si="121"/>
        <v>1</v>
      </c>
      <c r="Y175" s="72">
        <f t="shared" si="122"/>
        <v>9.8599999999999993E-2</v>
      </c>
      <c r="Z175" s="72">
        <f t="shared" si="123"/>
        <v>5.8921999999999999</v>
      </c>
      <c r="AA175" s="72">
        <f t="shared" si="124"/>
        <v>5.7935999999999996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125"/>
        <v>0819-11</v>
      </c>
      <c r="AE175" s="108" t="str">
        <f t="shared" si="112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75" s="105" t="str">
        <f t="shared" si="113"/>
        <v>"C:\Program Files (x86)\AstroGrep\AstroGrep.exe" /spath="%USERPROFILE%\AppData\Local\Temp\OnboardLogs" /stypes="*4042*20160811*" /stext=" 18:.+((SYSTEM_STATE.+slice.+state.+changed )|(ment ac)|(system.+state.+changed )|(\|lc)|(penalty)|(\[timeout)|(PRM\|1\|D)|(kpr)|(kdp))" /e /r /s</v>
      </c>
      <c r="AG175" s="1" t="str">
        <f t="shared" si="101"/>
        <v>NW</v>
      </c>
      <c r="AH175" s="109" t="str">
        <f t="shared" si="126"/>
        <v>"%USERPROFILE%\Documents\GitHub\eaglep3\Utilities\RefineRTDCRunTimes.py" --tripid 819-11 --locoid 4042 --swversion DE.1.0.7.0 --startMP 204:986 --initTime 2016-08-11T12:18:04 --startdatetime 2016-08-11T12:19:44 --delay 1 --endMP 300:58922 --enddatetime 2016-08-11T12:35:54 --enforcementcount 0</v>
      </c>
    </row>
    <row r="176" spans="1:34" x14ac:dyDescent="0.25">
      <c r="A176" s="42" t="s">
        <v>547</v>
      </c>
      <c r="B176" s="7">
        <v>4041</v>
      </c>
      <c r="C176" s="25" t="s">
        <v>130</v>
      </c>
      <c r="D176" s="25" t="s">
        <v>548</v>
      </c>
      <c r="E176" s="16">
        <v>42593.526053240741</v>
      </c>
      <c r="F176" s="16">
        <v>42593.526990740742</v>
      </c>
      <c r="G176" s="7">
        <v>1</v>
      </c>
      <c r="H176" s="16" t="s">
        <v>201</v>
      </c>
      <c r="I176" s="16">
        <v>42593.538460648146</v>
      </c>
      <c r="J176" s="7">
        <v>0</v>
      </c>
      <c r="K176" s="149" t="str">
        <f t="shared" si="114"/>
        <v>4041/4042</v>
      </c>
      <c r="L176" s="25" t="str">
        <f>VLOOKUP(A176,'Trips&amp;Operators'!$C$1:$E$10000,3,FALSE)</f>
        <v>OUN</v>
      </c>
      <c r="M176" s="6">
        <f t="shared" si="115"/>
        <v>1.1469907403807156E-2</v>
      </c>
      <c r="N176" s="7">
        <f t="shared" si="116"/>
        <v>16.516666661482304</v>
      </c>
      <c r="O176" s="7"/>
      <c r="P176" s="7"/>
      <c r="Q176" s="26"/>
      <c r="R176" s="26"/>
      <c r="S176" s="38">
        <f t="shared" si="117"/>
        <v>1</v>
      </c>
      <c r="T176" s="55" t="str">
        <f t="shared" si="118"/>
        <v>Southbound</v>
      </c>
      <c r="U176" s="13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11:37:31-0600',mode:absolute,to:'2016-08-11 13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6" s="57" t="str">
        <f t="shared" si="120"/>
        <v>N</v>
      </c>
      <c r="X176" s="133">
        <f t="shared" si="121"/>
        <v>1</v>
      </c>
      <c r="Y176" s="72">
        <f t="shared" si="122"/>
        <v>5.8601999999999999</v>
      </c>
      <c r="Z176" s="72">
        <f t="shared" si="123"/>
        <v>6.8400000000000002E-2</v>
      </c>
      <c r="AA176" s="72">
        <f t="shared" si="124"/>
        <v>5.7918000000000003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si="125"/>
        <v>0820-11</v>
      </c>
      <c r="AE176" s="108" t="str">
        <f t="shared" si="112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76" s="105" t="str">
        <f t="shared" si="113"/>
        <v>"C:\Program Files (x86)\AstroGrep\AstroGrep.exe" /spath="%USERPROFILE%\AppData\Local\Temp\OnboardLogs" /stypes="*4041*20160811*" /stext=" 18:.+((SYSTEM_STATE.+slice.+state.+changed )|(ment ac)|(system.+state.+changed )|(\|lc)|(penalty)|(\[timeout)|(PRM\|1\|D)|(kpr)|(kdp))" /e /r /s</v>
      </c>
      <c r="AG176" s="1" t="str">
        <f t="shared" si="101"/>
        <v>NW</v>
      </c>
      <c r="AH176" s="109" t="str">
        <f t="shared" si="126"/>
        <v>"%USERPROFILE%\Documents\GitHub\eaglep3\Utilities\RefineRTDCRunTimes.py" --tripid 820-11 --locoid 4041 --swversion DE.1.0.7.0 --startMP 300:58602 --initTime 2016-08-11T12:37:31 --startdatetime 2016-08-11T12:38:52 --delay 1 --endMP 204:684 --enddatetime 2016-08-11T12:55:23 --enforcementcount 0</v>
      </c>
    </row>
    <row r="177" spans="1:34" x14ac:dyDescent="0.25">
      <c r="A177" s="42" t="s">
        <v>550</v>
      </c>
      <c r="B177" s="7">
        <v>4042</v>
      </c>
      <c r="C177" s="25" t="s">
        <v>130</v>
      </c>
      <c r="D177" s="25" t="s">
        <v>551</v>
      </c>
      <c r="E177" s="16">
        <v>42593.591041666667</v>
      </c>
      <c r="F177" s="16">
        <v>42593.595300925925</v>
      </c>
      <c r="G177" s="7">
        <v>6</v>
      </c>
      <c r="H177" s="16" t="s">
        <v>552</v>
      </c>
      <c r="I177" s="16">
        <v>42593.608472222222</v>
      </c>
      <c r="J177" s="7">
        <v>0</v>
      </c>
      <c r="K177" s="149" t="str">
        <f t="shared" si="114"/>
        <v>4041/4042</v>
      </c>
      <c r="L177" s="25" t="str">
        <f>VLOOKUP(A177,'Trips&amp;Operators'!$C$1:$E$10000,3,FALSE)</f>
        <v>HELVIE</v>
      </c>
      <c r="M177" s="6">
        <f t="shared" si="115"/>
        <v>1.3171296297514345E-2</v>
      </c>
      <c r="N177" s="7">
        <f t="shared" si="116"/>
        <v>18.966666668420658</v>
      </c>
      <c r="O177" s="7"/>
      <c r="P177" s="7"/>
      <c r="Q177" s="26"/>
      <c r="R177" s="26"/>
      <c r="S177" s="38">
        <f t="shared" si="117"/>
        <v>1</v>
      </c>
      <c r="T177" s="55" t="str">
        <f t="shared" si="118"/>
        <v>NorthBound</v>
      </c>
      <c r="U177" s="13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13:11:06-0600',mode:absolute,to:'2016-08-11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7" s="57" t="str">
        <f t="shared" si="120"/>
        <v>N</v>
      </c>
      <c r="X177" s="133">
        <f t="shared" si="121"/>
        <v>3</v>
      </c>
      <c r="Y177" s="72">
        <f t="shared" si="122"/>
        <v>9.8100000000000007E-2</v>
      </c>
      <c r="Z177" s="72">
        <f t="shared" si="123"/>
        <v>5.8997000000000002</v>
      </c>
      <c r="AA177" s="72">
        <f t="shared" si="124"/>
        <v>5.8016000000000005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125"/>
        <v>0823-11</v>
      </c>
      <c r="AE177" s="108" t="str">
        <f t="shared" si="112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77" s="105" t="str">
        <f t="shared" si="113"/>
        <v>"C:\Program Files (x86)\AstroGrep\AstroGrep.exe" /spath="%USERPROFILE%\AppData\Local\Temp\OnboardLogs" /stypes="*4042*20160811*" /stext=" 20:.+((SYSTEM_STATE.+slice.+state.+changed )|(ment ac)|(system.+state.+changed )|(\|lc)|(penalty)|(\[timeout)|(PRM\|1\|D)|(kpr)|(kdp))" /e /r /s</v>
      </c>
      <c r="AG177" s="1" t="str">
        <f t="shared" si="101"/>
        <v>NW</v>
      </c>
      <c r="AH177" s="109" t="str">
        <f t="shared" si="126"/>
        <v>"%USERPROFILE%\Documents\GitHub\eaglep3\Utilities\RefineRTDCRunTimes.py" --tripid 823-11 --locoid 4042 --swversion DE.1.0.7.0 --startMP 204:981 --initTime 2016-08-11T14:11:06 --startdatetime 2016-08-11T14:17:14 --delay 6 --endMP 300:58997 --enddatetime 2016-08-11T14:36:12 --enforcementcount 0</v>
      </c>
    </row>
    <row r="178" spans="1:34" x14ac:dyDescent="0.25">
      <c r="A178" s="42" t="s">
        <v>553</v>
      </c>
      <c r="B178" s="7">
        <v>4041</v>
      </c>
      <c r="C178" s="25" t="s">
        <v>130</v>
      </c>
      <c r="D178" s="25" t="s">
        <v>554</v>
      </c>
      <c r="E178" s="16">
        <v>42593.609409722223</v>
      </c>
      <c r="F178" s="16">
        <v>42593.61109953704</v>
      </c>
      <c r="G178" s="7">
        <v>2</v>
      </c>
      <c r="H178" s="16" t="s">
        <v>555</v>
      </c>
      <c r="I178" s="16">
        <v>42593.617986111109</v>
      </c>
      <c r="J178" s="7">
        <v>1</v>
      </c>
      <c r="K178" s="149" t="str">
        <f t="shared" si="114"/>
        <v>4041/4042</v>
      </c>
      <c r="L178" s="25" t="str">
        <f>VLOOKUP(A178,'Trips&amp;Operators'!$C$1:$E$10000,3,FALSE)</f>
        <v>HELVIE</v>
      </c>
      <c r="M178" s="6">
        <f t="shared" si="115"/>
        <v>6.8865740686305799E-3</v>
      </c>
      <c r="N178" s="7"/>
      <c r="O178" s="7"/>
      <c r="P178" s="7">
        <f t="shared" si="116"/>
        <v>9.916666658828035</v>
      </c>
      <c r="Q178" s="26"/>
      <c r="R178" s="26" t="s">
        <v>661</v>
      </c>
      <c r="S178" s="38">
        <f t="shared" si="117"/>
        <v>0</v>
      </c>
      <c r="T178" s="55" t="str">
        <f t="shared" si="118"/>
        <v>Southbound</v>
      </c>
      <c r="U178" s="13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13:37:33-0600',mode:absolute,to:'2016-08-11 15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78" s="57" t="str">
        <f t="shared" si="120"/>
        <v>Y</v>
      </c>
      <c r="X178" s="133">
        <f t="shared" si="121"/>
        <v>1</v>
      </c>
      <c r="Y178" s="72">
        <f t="shared" si="122"/>
        <v>5.8666</v>
      </c>
      <c r="Z178" s="72">
        <f t="shared" si="123"/>
        <v>3.2219000000000002</v>
      </c>
      <c r="AA178" s="72">
        <f t="shared" si="124"/>
        <v>2.6446999999999998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125"/>
        <v>0824-11</v>
      </c>
      <c r="AE178" s="108" t="str">
        <f t="shared" si="112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78" s="105" t="str">
        <f t="shared" si="113"/>
        <v>"C:\Program Files (x86)\AstroGrep\AstroGrep.exe" /spath="%USERPROFILE%\AppData\Local\Temp\OnboardLogs" /stypes="*4041*20160811*" /stext=" 20:.+((SYSTEM_STATE.+slice.+state.+changed )|(ment ac)|(system.+state.+changed )|(\|lc)|(penalty)|(\[timeout)|(PRM\|1\|D)|(kpr)|(kdp))" /e /r /s</v>
      </c>
      <c r="AG178" s="1" t="str">
        <f t="shared" si="101"/>
        <v>NW</v>
      </c>
      <c r="AH178" s="109" t="str">
        <f t="shared" si="126"/>
        <v>"%USERPROFILE%\Documents\GitHub\eaglep3\Utilities\RefineRTDCRunTimes.py" --tripid 824-11 --locoid 4041 --swversion DE.1.0.7.0 --startMP 300:58666 --initTime 2016-08-11T14:37:33 --startdatetime 2016-08-11T14:39:59 --delay 2 --endMP 300:32219 --enddatetime 2016-08-11T14:49:54 --enforcementcount 1</v>
      </c>
    </row>
    <row r="179" spans="1:34" x14ac:dyDescent="0.25">
      <c r="A179" s="42" t="s">
        <v>556</v>
      </c>
      <c r="B179" s="7">
        <v>4042</v>
      </c>
      <c r="C179" s="25" t="s">
        <v>130</v>
      </c>
      <c r="D179" s="25" t="s">
        <v>557</v>
      </c>
      <c r="E179" s="16">
        <v>42593.637245370373</v>
      </c>
      <c r="F179" s="16">
        <v>42593.638541666667</v>
      </c>
      <c r="G179" s="7">
        <v>1</v>
      </c>
      <c r="H179" s="16" t="s">
        <v>558</v>
      </c>
      <c r="I179" s="16">
        <v>42593.649733796294</v>
      </c>
      <c r="J179" s="7">
        <v>0</v>
      </c>
      <c r="K179" s="149" t="str">
        <f t="shared" si="114"/>
        <v>4041/4042</v>
      </c>
      <c r="L179" s="25" t="str">
        <f>VLOOKUP(A179,'Trips&amp;Operators'!$C$1:$E$10000,3,FALSE)</f>
        <v>HELVIE</v>
      </c>
      <c r="M179" s="6">
        <f t="shared" si="115"/>
        <v>1.1192129626579117E-2</v>
      </c>
      <c r="N179" s="7">
        <f t="shared" si="116"/>
        <v>16.116666662273929</v>
      </c>
      <c r="O179" s="7"/>
      <c r="P179" s="7"/>
      <c r="Q179" s="26"/>
      <c r="R179" s="26"/>
      <c r="S179" s="38">
        <f t="shared" si="117"/>
        <v>1</v>
      </c>
      <c r="T179" s="55" t="str">
        <f t="shared" si="118"/>
        <v>NorthBound</v>
      </c>
      <c r="U179" s="13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14:17:38-0600',mode:absolute,to:'2016-08-11 16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79" s="57" t="str">
        <f t="shared" si="120"/>
        <v>N</v>
      </c>
      <c r="X179" s="133">
        <f t="shared" si="121"/>
        <v>1</v>
      </c>
      <c r="Y179" s="72">
        <f t="shared" si="122"/>
        <v>0.1065</v>
      </c>
      <c r="Z179" s="72">
        <f t="shared" si="123"/>
        <v>5.8993000000000002</v>
      </c>
      <c r="AA179" s="72">
        <f t="shared" si="124"/>
        <v>5.7928000000000006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125"/>
        <v>0825-11</v>
      </c>
      <c r="AE179" s="108" t="str">
        <f t="shared" si="112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79" s="105" t="str">
        <f t="shared" si="113"/>
        <v>"C:\Program Files (x86)\AstroGrep\AstroGrep.exe" /spath="%USERPROFILE%\AppData\Local\Temp\OnboardLogs" /stypes="*4042*20160811*" /stext=" 21:.+((SYSTEM_STATE.+slice.+state.+changed )|(ment ac)|(system.+state.+changed )|(\|lc)|(penalty)|(\[timeout)|(PRM\|1\|D)|(kpr)|(kdp))" /e /r /s</v>
      </c>
      <c r="AG179" s="1" t="str">
        <f t="shared" si="101"/>
        <v>NW</v>
      </c>
      <c r="AH179" s="109" t="str">
        <f t="shared" si="126"/>
        <v>"%USERPROFILE%\Documents\GitHub\eaglep3\Utilities\RefineRTDCRunTimes.py" --tripid 825-11 --locoid 4042 --swversion DE.1.0.7.0 --startMP 204:1065 --initTime 2016-08-11T15:17:38 --startdatetime 2016-08-11T15:19:30 --delay 1 --endMP 300:58993 --enddatetime 2016-08-11T15:35:37 --enforcementcount 0</v>
      </c>
    </row>
    <row r="180" spans="1:34" x14ac:dyDescent="0.25">
      <c r="A180" s="42" t="s">
        <v>559</v>
      </c>
      <c r="B180" s="7">
        <v>4041</v>
      </c>
      <c r="C180" s="25" t="s">
        <v>130</v>
      </c>
      <c r="D180" s="25" t="s">
        <v>560</v>
      </c>
      <c r="E180" s="16">
        <v>42593.650706018518</v>
      </c>
      <c r="F180" s="16">
        <v>42593.651666666665</v>
      </c>
      <c r="G180" s="7">
        <v>1</v>
      </c>
      <c r="H180" s="16" t="s">
        <v>507</v>
      </c>
      <c r="I180" s="16">
        <v>42593.66302083333</v>
      </c>
      <c r="J180" s="7">
        <v>0</v>
      </c>
      <c r="K180" s="149" t="str">
        <f t="shared" si="114"/>
        <v>4041/4042</v>
      </c>
      <c r="L180" s="25" t="str">
        <f>VLOOKUP(A180,'Trips&amp;Operators'!$C$1:$E$10000,3,FALSE)</f>
        <v>HELVIE</v>
      </c>
      <c r="M180" s="6">
        <f t="shared" si="115"/>
        <v>1.1354166665114462E-2</v>
      </c>
      <c r="N180" s="7">
        <f t="shared" si="116"/>
        <v>16.349999997764826</v>
      </c>
      <c r="O180" s="7"/>
      <c r="P180" s="7"/>
      <c r="Q180" s="26"/>
      <c r="R180" s="26"/>
      <c r="S180" s="38">
        <f t="shared" si="117"/>
        <v>1</v>
      </c>
      <c r="T180" s="55" t="str">
        <f t="shared" si="118"/>
        <v>Southbound</v>
      </c>
      <c r="U180" s="13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14:37:01-0600',mode:absolute,to:'2016-08-11 16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80" s="57" t="str">
        <f t="shared" si="120"/>
        <v>N</v>
      </c>
      <c r="X180" s="133">
        <f t="shared" si="121"/>
        <v>1</v>
      </c>
      <c r="Y180" s="72">
        <f t="shared" si="122"/>
        <v>5.867</v>
      </c>
      <c r="Z180" s="72">
        <f t="shared" si="123"/>
        <v>8.3799999999999999E-2</v>
      </c>
      <c r="AA180" s="72">
        <f t="shared" si="124"/>
        <v>5.7831999999999999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125"/>
        <v>0826-11</v>
      </c>
      <c r="AE180" s="108" t="str">
        <f t="shared" si="112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80" s="105" t="str">
        <f t="shared" si="113"/>
        <v>"C:\Program Files (x86)\AstroGrep\AstroGrep.exe" /spath="%USERPROFILE%\AppData\Local\Temp\OnboardLogs" /stypes="*4041*20160811*" /stext=" 21:.+((SYSTEM_STATE.+slice.+state.+changed )|(ment ac)|(system.+state.+changed )|(\|lc)|(penalty)|(\[timeout)|(PRM\|1\|D)|(kpr)|(kdp))" /e /r /s</v>
      </c>
      <c r="AG180" s="1" t="str">
        <f t="shared" ref="AG180:AG208" si="127">IF(VALUE(LEFT(AD180,2))&lt;=2,"EC",IF(OR(VALUE(LEFT(AD180,2))=8,VALUE(LEFT(AD180,2))=18),"NW","Other"))</f>
        <v>NW</v>
      </c>
      <c r="AH180" s="109" t="str">
        <f t="shared" si="126"/>
        <v>"%USERPROFILE%\Documents\GitHub\eaglep3\Utilities\RefineRTDCRunTimes.py" --tripid 826-11 --locoid 4041 --swversion DE.1.0.7.0 --startMP 300:58670 --initTime 2016-08-11T15:37:01 --startdatetime 2016-08-11T15:38:24 --delay 1 --endMP 204:838 --enddatetime 2016-08-11T15:54:45 --enforcementcount 0</v>
      </c>
    </row>
    <row r="181" spans="1:34" x14ac:dyDescent="0.25">
      <c r="A181" s="42" t="s">
        <v>561</v>
      </c>
      <c r="B181" s="7">
        <v>4003</v>
      </c>
      <c r="C181" s="25" t="s">
        <v>130</v>
      </c>
      <c r="D181" s="25" t="s">
        <v>220</v>
      </c>
      <c r="E181" s="16">
        <v>42593.655185185184</v>
      </c>
      <c r="F181" s="16">
        <v>42593.65625</v>
      </c>
      <c r="G181" s="7">
        <v>1</v>
      </c>
      <c r="H181" s="16" t="s">
        <v>562</v>
      </c>
      <c r="I181" s="16">
        <v>42593.67083333333</v>
      </c>
      <c r="J181" s="7">
        <v>0</v>
      </c>
      <c r="K181" s="149" t="str">
        <f t="shared" si="114"/>
        <v>4003/4004</v>
      </c>
      <c r="L181" s="25" t="str">
        <f>VLOOKUP(A181,'Trips&amp;Operators'!$C$1:$E$10000,3,FALSE)</f>
        <v>YORK</v>
      </c>
      <c r="M181" s="6">
        <f t="shared" si="115"/>
        <v>1.4583333329937886E-2</v>
      </c>
      <c r="N181" s="7">
        <f t="shared" si="116"/>
        <v>20.999999995110556</v>
      </c>
      <c r="O181" s="7"/>
      <c r="P181" s="7"/>
      <c r="Q181" s="26"/>
      <c r="R181" s="26"/>
      <c r="S181" s="38">
        <f t="shared" si="117"/>
        <v>1</v>
      </c>
      <c r="T181" s="55" t="str">
        <f t="shared" si="118"/>
        <v>NorthBound</v>
      </c>
      <c r="U181" s="13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14:43:28-0600',mode:absolute,to:'2016-08-11 17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181" s="57" t="str">
        <f t="shared" si="120"/>
        <v>N</v>
      </c>
      <c r="X181" s="133">
        <f t="shared" si="121"/>
        <v>1</v>
      </c>
      <c r="Y181" s="72">
        <f t="shared" si="122"/>
        <v>9.7100000000000006E-2</v>
      </c>
      <c r="Z181" s="72">
        <f t="shared" si="123"/>
        <v>5.8905000000000003</v>
      </c>
      <c r="AA181" s="72">
        <f t="shared" si="124"/>
        <v>5.7934000000000001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125"/>
        <v>0827-11</v>
      </c>
      <c r="AE181" s="108" t="str">
        <f t="shared" si="112"/>
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</c>
      <c r="AF181" s="105" t="str">
        <f t="shared" si="113"/>
        <v>"C:\Program Files (x86)\AstroGrep\AstroGrep.exe" /spath="%USERPROFILE%\AppData\Local\Temp\OnboardLogs" /stypes="*4003*20160811*" /stext=" 22:.+((SYSTEM_STATE.+slice.+state.+changed )|(ment ac)|(system.+state.+changed )|(\|lc)|(penalty)|(\[timeout)|(PRM\|1\|D)|(kpr)|(kdp))" /e /r /s</v>
      </c>
      <c r="AG181" s="1" t="str">
        <f t="shared" si="127"/>
        <v>NW</v>
      </c>
      <c r="AH181" s="109" t="str">
        <f t="shared" si="126"/>
        <v>"%USERPROFILE%\Documents\GitHub\eaglep3\Utilities\RefineRTDCRunTimes.py" --tripid 827-11 --locoid 4003 --swversion DE.1.0.7.0 --startMP 204:971 --initTime 2016-08-11T15:43:28 --startdatetime 2016-08-11T15:45:00 --delay 1 --endMP 300:58905 --enddatetime 2016-08-11T16:06:00 --enforcementcount 0</v>
      </c>
    </row>
    <row r="182" spans="1:34" x14ac:dyDescent="0.25">
      <c r="A182" s="42" t="s">
        <v>563</v>
      </c>
      <c r="B182" s="7">
        <v>4004</v>
      </c>
      <c r="C182" s="25" t="s">
        <v>130</v>
      </c>
      <c r="D182" s="25" t="s">
        <v>260</v>
      </c>
      <c r="E182" s="16">
        <v>42593.671574074076</v>
      </c>
      <c r="F182" s="16">
        <v>42593.672418981485</v>
      </c>
      <c r="G182" s="7">
        <v>1</v>
      </c>
      <c r="H182" s="16" t="s">
        <v>261</v>
      </c>
      <c r="I182" s="16">
        <v>42593.684930555559</v>
      </c>
      <c r="J182" s="7">
        <v>0</v>
      </c>
      <c r="K182" s="149" t="str">
        <f t="shared" si="114"/>
        <v>4003/4004</v>
      </c>
      <c r="L182" s="25" t="str">
        <f>VLOOKUP(A182,'Trips&amp;Operators'!$C$1:$E$10000,3,FALSE)</f>
        <v>ROBINSON</v>
      </c>
      <c r="M182" s="6">
        <f t="shared" si="115"/>
        <v>1.2511574073869269E-2</v>
      </c>
      <c r="N182" s="7">
        <f t="shared" si="116"/>
        <v>18.016666666371748</v>
      </c>
      <c r="O182" s="7"/>
      <c r="P182" s="7"/>
      <c r="Q182" s="26"/>
      <c r="R182" s="26"/>
      <c r="S182" s="38">
        <f t="shared" si="117"/>
        <v>1</v>
      </c>
      <c r="T182" s="55" t="str">
        <f t="shared" si="118"/>
        <v>Southbound</v>
      </c>
      <c r="U182" s="13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15:07:04-0600',mode:absolute,to:'2016-08-11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182" s="57" t="str">
        <f t="shared" si="120"/>
        <v>N</v>
      </c>
      <c r="X182" s="133">
        <f t="shared" si="121"/>
        <v>1</v>
      </c>
      <c r="Y182" s="72">
        <f t="shared" si="122"/>
        <v>5.8589000000000002</v>
      </c>
      <c r="Z182" s="72">
        <f t="shared" si="123"/>
        <v>6.9800000000000001E-2</v>
      </c>
      <c r="AA182" s="72">
        <f t="shared" si="124"/>
        <v>5.7891000000000004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125"/>
        <v>0828-11</v>
      </c>
      <c r="AE182" s="108" t="str">
        <f t="shared" si="112"/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AF182" s="105" t="str">
        <f t="shared" si="113"/>
        <v>"C:\Program Files (x86)\AstroGrep\AstroGrep.exe" /spath="%USERPROFILE%\AppData\Local\Temp\OnboardLogs" /stypes="*4004*20160811*" /stext=" 22:.+((SYSTEM_STATE.+slice.+state.+changed )|(ment ac)|(system.+state.+changed )|(\|lc)|(penalty)|(\[timeout)|(PRM\|1\|D)|(kpr)|(kdp))" /e /r /s</v>
      </c>
      <c r="AG182" s="1" t="str">
        <f t="shared" si="127"/>
        <v>NW</v>
      </c>
      <c r="AH182" s="109" t="str">
        <f t="shared" si="126"/>
        <v>"%USERPROFILE%\Documents\GitHub\eaglep3\Utilities\RefineRTDCRunTimes.py" --tripid 828-11 --locoid 4004 --swversion DE.1.0.7.0 --startMP 300:58589 --initTime 2016-08-11T16:07:04 --startdatetime 2016-08-11T16:08:17 --delay 1 --endMP 204:698 --enddatetime 2016-08-11T16:26:18 --enforcementcount 0</v>
      </c>
    </row>
    <row r="183" spans="1:34" x14ac:dyDescent="0.25">
      <c r="A183" s="42" t="s">
        <v>564</v>
      </c>
      <c r="B183" s="7">
        <v>4042</v>
      </c>
      <c r="C183" s="25" t="s">
        <v>130</v>
      </c>
      <c r="D183" s="25" t="s">
        <v>565</v>
      </c>
      <c r="E183" s="16">
        <v>42593.677870370368</v>
      </c>
      <c r="F183" s="16">
        <v>42593.678819444445</v>
      </c>
      <c r="G183" s="7">
        <v>1</v>
      </c>
      <c r="H183" s="16" t="s">
        <v>566</v>
      </c>
      <c r="I183" s="16">
        <v>42593.690763888888</v>
      </c>
      <c r="J183" s="7">
        <v>0</v>
      </c>
      <c r="K183" s="149" t="str">
        <f t="shared" si="114"/>
        <v>4041/4042</v>
      </c>
      <c r="L183" s="25" t="str">
        <f>VLOOKUP(A183,'Trips&amp;Operators'!$C$1:$E$10000,3,FALSE)</f>
        <v>HELVIE</v>
      </c>
      <c r="M183" s="6">
        <f t="shared" si="115"/>
        <v>1.1944444442633539E-2</v>
      </c>
      <c r="N183" s="7">
        <f t="shared" si="116"/>
        <v>17.199999997392297</v>
      </c>
      <c r="O183" s="7"/>
      <c r="P183" s="7"/>
      <c r="Q183" s="26"/>
      <c r="R183" s="26"/>
      <c r="S183" s="38">
        <f t="shared" si="117"/>
        <v>1</v>
      </c>
      <c r="T183" s="55" t="str">
        <f t="shared" si="118"/>
        <v>NorthBound</v>
      </c>
      <c r="U183" s="13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15:16:08-0600',mode:absolute,to:'2016-08-11 17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83" s="57" t="str">
        <f t="shared" si="120"/>
        <v>N</v>
      </c>
      <c r="X183" s="133">
        <f t="shared" si="121"/>
        <v>1</v>
      </c>
      <c r="Y183" s="72">
        <f t="shared" si="122"/>
        <v>0.1139</v>
      </c>
      <c r="Z183" s="72">
        <f t="shared" si="123"/>
        <v>5.8954000000000004</v>
      </c>
      <c r="AA183" s="72">
        <f t="shared" si="124"/>
        <v>5.7815000000000003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125"/>
        <v>0829-11</v>
      </c>
      <c r="AE183" s="108" t="str">
        <f t="shared" si="112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83" s="105" t="str">
        <f t="shared" si="113"/>
        <v>"C:\Program Files (x86)\AstroGrep\AstroGrep.exe" /spath="%USERPROFILE%\AppData\Local\Temp\OnboardLogs" /stypes="*4042*20160811*" /stext=" 22:.+((SYSTEM_STATE.+slice.+state.+changed )|(ment ac)|(system.+state.+changed )|(\|lc)|(penalty)|(\[timeout)|(PRM\|1\|D)|(kpr)|(kdp))" /e /r /s</v>
      </c>
      <c r="AG183" s="1" t="str">
        <f t="shared" si="127"/>
        <v>NW</v>
      </c>
      <c r="AH183" s="109" t="str">
        <f t="shared" si="126"/>
        <v>"%USERPROFILE%\Documents\GitHub\eaglep3\Utilities\RefineRTDCRunTimes.py" --tripid 829-11 --locoid 4042 --swversion DE.1.0.7.0 --startMP 204:1139 --initTime 2016-08-11T16:16:08 --startdatetime 2016-08-11T16:17:30 --delay 1 --endMP 300:58954 --enddatetime 2016-08-11T16:34:42 --enforcementcount 0</v>
      </c>
    </row>
    <row r="184" spans="1:34" x14ac:dyDescent="0.25">
      <c r="A184" s="42" t="s">
        <v>567</v>
      </c>
      <c r="B184" s="7">
        <v>4041</v>
      </c>
      <c r="C184" s="25" t="s">
        <v>130</v>
      </c>
      <c r="D184" s="25" t="s">
        <v>262</v>
      </c>
      <c r="E184" s="16">
        <v>42593.69189814815</v>
      </c>
      <c r="F184" s="16">
        <v>42593.692708333336</v>
      </c>
      <c r="G184" s="7">
        <v>1</v>
      </c>
      <c r="H184" s="16" t="s">
        <v>568</v>
      </c>
      <c r="I184" s="16">
        <v>42593.704606481479</v>
      </c>
      <c r="J184" s="7">
        <v>0</v>
      </c>
      <c r="K184" s="149" t="str">
        <f t="shared" si="114"/>
        <v>4041/4042</v>
      </c>
      <c r="L184" s="25" t="str">
        <f>VLOOKUP(A184,'Trips&amp;Operators'!$C$1:$E$10000,3,FALSE)</f>
        <v>HELVIE</v>
      </c>
      <c r="M184" s="6">
        <f t="shared" si="115"/>
        <v>1.1898148142790888E-2</v>
      </c>
      <c r="N184" s="7">
        <f t="shared" si="116"/>
        <v>17.133333325618878</v>
      </c>
      <c r="O184" s="7"/>
      <c r="P184" s="7"/>
      <c r="Q184" s="26"/>
      <c r="R184" s="26"/>
      <c r="S184" s="38">
        <f t="shared" si="117"/>
        <v>1</v>
      </c>
      <c r="T184" s="55" t="str">
        <f t="shared" si="118"/>
        <v>Southbound</v>
      </c>
      <c r="U184" s="13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15:36:20-0600',mode:absolute,to:'2016-08-11 17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84" s="57" t="str">
        <f t="shared" si="120"/>
        <v>N</v>
      </c>
      <c r="X184" s="133">
        <f t="shared" si="121"/>
        <v>1</v>
      </c>
      <c r="Y184" s="72">
        <f t="shared" si="122"/>
        <v>5.8635999999999999</v>
      </c>
      <c r="Z184" s="72">
        <f t="shared" si="123"/>
        <v>8.2500000000000004E-2</v>
      </c>
      <c r="AA184" s="72">
        <f t="shared" si="124"/>
        <v>5.7811000000000003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125"/>
        <v>0830-11</v>
      </c>
      <c r="AE184" s="108" t="str">
        <f t="shared" si="112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84" s="105" t="str">
        <f t="shared" si="113"/>
        <v>"C:\Program Files (x86)\AstroGrep\AstroGrep.exe" /spath="%USERPROFILE%\AppData\Local\Temp\OnboardLogs" /stypes="*4041*20160811*" /stext=" 22:.+((SYSTEM_STATE.+slice.+state.+changed )|(ment ac)|(system.+state.+changed )|(\|lc)|(penalty)|(\[timeout)|(PRM\|1\|D)|(kpr)|(kdp))" /e /r /s</v>
      </c>
      <c r="AG184" s="1" t="str">
        <f t="shared" si="127"/>
        <v>NW</v>
      </c>
      <c r="AH184" s="109" t="str">
        <f t="shared" si="126"/>
        <v>"%USERPROFILE%\Documents\GitHub\eaglep3\Utilities\RefineRTDCRunTimes.py" --tripid 830-11 --locoid 4041 --swversion DE.1.0.7.0 --startMP 300:58636 --initTime 2016-08-11T16:36:20 --startdatetime 2016-08-11T16:37:30 --delay 1 --endMP 204:825 --enddatetime 2016-08-11T16:54:38 --enforcementcount 0</v>
      </c>
    </row>
    <row r="185" spans="1:34" x14ac:dyDescent="0.25">
      <c r="A185" s="42" t="s">
        <v>569</v>
      </c>
      <c r="B185" s="7">
        <v>4003</v>
      </c>
      <c r="C185" s="25" t="s">
        <v>130</v>
      </c>
      <c r="D185" s="25" t="s">
        <v>570</v>
      </c>
      <c r="E185" s="16">
        <v>42593.697546296295</v>
      </c>
      <c r="F185" s="16">
        <v>42593.698541666665</v>
      </c>
      <c r="G185" s="7">
        <v>1</v>
      </c>
      <c r="H185" s="16" t="s">
        <v>571</v>
      </c>
      <c r="I185" s="16">
        <v>42593.712731481479</v>
      </c>
      <c r="J185" s="7">
        <v>0</v>
      </c>
      <c r="K185" s="149" t="str">
        <f t="shared" si="114"/>
        <v>4003/4004</v>
      </c>
      <c r="L185" s="25" t="str">
        <f>VLOOKUP(A185,'Trips&amp;Operators'!$C$1:$E$10000,3,FALSE)</f>
        <v>YORK</v>
      </c>
      <c r="M185" s="6">
        <f t="shared" si="115"/>
        <v>1.4189814814017154E-2</v>
      </c>
      <c r="N185" s="7">
        <f t="shared" si="116"/>
        <v>20.433333332184702</v>
      </c>
      <c r="O185" s="7"/>
      <c r="P185" s="7"/>
      <c r="Q185" s="26"/>
      <c r="R185" s="26"/>
      <c r="S185" s="38">
        <f t="shared" si="117"/>
        <v>1</v>
      </c>
      <c r="T185" s="55" t="str">
        <f t="shared" si="118"/>
        <v>NorthBound</v>
      </c>
      <c r="U185" s="13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15:44:28-0600',mode:absolute,to:'2016-08-11 18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185" s="57" t="str">
        <f t="shared" si="120"/>
        <v>N</v>
      </c>
      <c r="X185" s="133">
        <f t="shared" si="121"/>
        <v>1</v>
      </c>
      <c r="Y185" s="72">
        <f t="shared" si="122"/>
        <v>9.7199999999999995E-2</v>
      </c>
      <c r="Z185" s="72">
        <f t="shared" si="123"/>
        <v>5.8897000000000004</v>
      </c>
      <c r="AA185" s="72">
        <f t="shared" si="124"/>
        <v>5.7925000000000004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125"/>
        <v>0831-11</v>
      </c>
      <c r="AE185" s="108" t="str">
        <f t="shared" ref="AE185:AE208" si="128">"aws s3 cp "&amp;s3_bucket&amp;"/RTDC"&amp;B185&amp;"/"&amp;TEXT(F185,"YYYY-MM-DD")&amp;"/ "&amp;search_path&amp;"\RTDC"&amp;B185&amp;"\"&amp;TEXT(F185,"YYYY-MM-DD")&amp;" --recursive &amp; """&amp;walkandungz&amp;""" "&amp;search_path&amp;"\RTDC"&amp;B185&amp;"\"&amp;TEXT(F185,"YYYY-MM-DD")
&amp;" &amp; "&amp;"aws s3 cp "&amp;s3_bucket&amp;"/RTDC"&amp;B185&amp;"/"&amp;TEXT(F185+1,"YYYY-MM-DD")&amp;"/ "&amp;search_path&amp;"\RTDC"&amp;B185&amp;"\"&amp;TEXT(F185+1,"YYYY-MM-DD")&amp;" --recursive &amp; """&amp;walkandungz&amp;""" "&amp;search_path&amp;"\RTDC"&amp;B185&amp;"\"&amp;TEXT(F185+1,"YYYY-MM-DD")</f>
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</c>
      <c r="AF185" s="105" t="str">
        <f t="shared" ref="AF185:AF208" si="129">astrogrep_path&amp;" /spath="&amp;search_path&amp;" /stypes=""*"&amp;B185&amp;"*"&amp;TEXT(I185-utc_offset/24,"YYYYMMDD")&amp;"*"" /stext="" "&amp;TEXT(I185-utc_offset/24,"HH")&amp;search_regexp&amp;""" /e /r /s"</f>
        <v>"C:\Program Files (x86)\AstroGrep\AstroGrep.exe" /spath="%USERPROFILE%\AppData\Local\Temp\OnboardLogs" /stypes="*4003*20160811*" /stext=" 23:.+((SYSTEM_STATE.+slice.+state.+changed )|(ment ac)|(system.+state.+changed )|(\|lc)|(penalty)|(\[timeout)|(PRM\|1\|D)|(kpr)|(kdp))" /e /r /s</v>
      </c>
      <c r="AG185" s="1" t="str">
        <f t="shared" si="127"/>
        <v>NW</v>
      </c>
      <c r="AH185" s="109" t="str">
        <f t="shared" si="126"/>
        <v>"%USERPROFILE%\Documents\GitHub\eaglep3\Utilities\RefineRTDCRunTimes.py" --tripid 831-11 --locoid 4003 --swversion DE.1.0.7.0 --startMP 204:972 --initTime 2016-08-11T16:44:28 --startdatetime 2016-08-11T16:45:54 --delay 1 --endMP 300:58897 --enddatetime 2016-08-11T17:06:20 --enforcementcount 0</v>
      </c>
    </row>
    <row r="186" spans="1:34" x14ac:dyDescent="0.25">
      <c r="A186" s="42" t="s">
        <v>572</v>
      </c>
      <c r="B186" s="7">
        <v>4004</v>
      </c>
      <c r="C186" s="25" t="s">
        <v>130</v>
      </c>
      <c r="D186" s="25" t="s">
        <v>573</v>
      </c>
      <c r="E186" s="16">
        <v>42593.713750000003</v>
      </c>
      <c r="F186" s="16">
        <v>42593.714560185188</v>
      </c>
      <c r="G186" s="7">
        <v>1</v>
      </c>
      <c r="H186" s="16" t="s">
        <v>252</v>
      </c>
      <c r="I186" s="16">
        <v>42593.730891203704</v>
      </c>
      <c r="J186" s="7">
        <v>0</v>
      </c>
      <c r="K186" s="149" t="str">
        <f t="shared" si="114"/>
        <v>4003/4004</v>
      </c>
      <c r="L186" s="25" t="str">
        <f>VLOOKUP(A186,'Trips&amp;Operators'!$C$1:$E$10000,3,FALSE)</f>
        <v>ROBINSON</v>
      </c>
      <c r="M186" s="6">
        <f t="shared" si="115"/>
        <v>1.633101851621177E-2</v>
      </c>
      <c r="N186" s="7">
        <f t="shared" si="116"/>
        <v>23.516666663344949</v>
      </c>
      <c r="O186" s="7"/>
      <c r="P186" s="7"/>
      <c r="Q186" s="26"/>
      <c r="R186" s="26"/>
      <c r="S186" s="38">
        <f t="shared" si="117"/>
        <v>1</v>
      </c>
      <c r="T186" s="55" t="str">
        <f t="shared" si="118"/>
        <v>Southbound</v>
      </c>
      <c r="U186" s="13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16:07:48-0600',mode:absolute,to:'2016-08-11 18:32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186" s="57" t="str">
        <f t="shared" si="120"/>
        <v>N</v>
      </c>
      <c r="X186" s="133">
        <f t="shared" si="121"/>
        <v>1</v>
      </c>
      <c r="Y186" s="72">
        <f t="shared" si="122"/>
        <v>5.8578999999999999</v>
      </c>
      <c r="Z186" s="72">
        <f t="shared" si="123"/>
        <v>6.8900000000000003E-2</v>
      </c>
      <c r="AA186" s="72">
        <f t="shared" si="124"/>
        <v>5.7889999999999997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si="125"/>
        <v>0832-11</v>
      </c>
      <c r="AE186" s="108" t="str">
        <f t="shared" si="128"/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AF186" s="105" t="str">
        <f t="shared" si="129"/>
        <v>"C:\Program Files (x86)\AstroGrep\AstroGrep.exe" /spath="%USERPROFILE%\AppData\Local\Temp\OnboardLogs" /stypes="*4004*20160811*" /stext=" 23:.+((SYSTEM_STATE.+slice.+state.+changed )|(ment ac)|(system.+state.+changed )|(\|lc)|(penalty)|(\[timeout)|(PRM\|1\|D)|(kpr)|(kdp))" /e /r /s</v>
      </c>
      <c r="AG186" s="1" t="str">
        <f t="shared" si="127"/>
        <v>NW</v>
      </c>
      <c r="AH186" s="109" t="str">
        <f t="shared" si="126"/>
        <v>"%USERPROFILE%\Documents\GitHub\eaglep3\Utilities\RefineRTDCRunTimes.py" --tripid 832-11 --locoid 4004 --swversion DE.1.0.7.0 --startMP 300:58579 --initTime 2016-08-11T17:07:48 --startdatetime 2016-08-11T17:08:58 --delay 1 --endMP 204:689 --enddatetime 2016-08-11T17:32:29 --enforcementcount 0</v>
      </c>
    </row>
    <row r="187" spans="1:34" x14ac:dyDescent="0.25">
      <c r="A187" s="42" t="s">
        <v>574</v>
      </c>
      <c r="B187" s="7">
        <v>4042</v>
      </c>
      <c r="C187" s="25" t="s">
        <v>130</v>
      </c>
      <c r="D187" s="25" t="s">
        <v>575</v>
      </c>
      <c r="E187" s="16">
        <v>42593.716990740744</v>
      </c>
      <c r="F187" s="16">
        <v>42593.717951388891</v>
      </c>
      <c r="G187" s="7">
        <v>1</v>
      </c>
      <c r="H187" s="16" t="s">
        <v>222</v>
      </c>
      <c r="I187" s="16">
        <v>42593.737569444442</v>
      </c>
      <c r="J187" s="7">
        <v>0</v>
      </c>
      <c r="K187" s="149" t="str">
        <f t="shared" si="114"/>
        <v>4041/4042</v>
      </c>
      <c r="L187" s="25" t="str">
        <f>VLOOKUP(A187,'Trips&amp;Operators'!$C$1:$E$10000,3,FALSE)</f>
        <v>HELVIE</v>
      </c>
      <c r="M187" s="6">
        <f t="shared" si="115"/>
        <v>1.9618055550381541E-2</v>
      </c>
      <c r="N187" s="7">
        <f t="shared" si="116"/>
        <v>28.249999992549419</v>
      </c>
      <c r="O187" s="7"/>
      <c r="P187" s="7"/>
      <c r="Q187" s="26"/>
      <c r="R187" s="26"/>
      <c r="S187" s="38">
        <f t="shared" si="117"/>
        <v>1</v>
      </c>
      <c r="T187" s="55" t="str">
        <f t="shared" si="118"/>
        <v>NorthBound</v>
      </c>
      <c r="U187" s="13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16:12:28-0600',mode:absolute,to:'2016-08-11 18:42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87" s="57" t="str">
        <f t="shared" si="120"/>
        <v>N</v>
      </c>
      <c r="X187" s="133">
        <f t="shared" si="121"/>
        <v>1</v>
      </c>
      <c r="Y187" s="72">
        <f t="shared" si="122"/>
        <v>0.1119</v>
      </c>
      <c r="Z187" s="72">
        <f t="shared" si="123"/>
        <v>5.8914</v>
      </c>
      <c r="AA187" s="72">
        <f t="shared" si="124"/>
        <v>5.7794999999999996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125"/>
        <v>0833-11</v>
      </c>
      <c r="AE187" s="108" t="str">
        <f t="shared" si="128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87" s="105" t="str">
        <f t="shared" si="129"/>
        <v>"C:\Program Files (x86)\AstroGrep\AstroGrep.exe" /spath="%USERPROFILE%\AppData\Local\Temp\OnboardLogs" /stypes="*4042*20160811*" /stext=" 23:.+((SYSTEM_STATE.+slice.+state.+changed )|(ment ac)|(system.+state.+changed )|(\|lc)|(penalty)|(\[timeout)|(PRM\|1\|D)|(kpr)|(kdp))" /e /r /s</v>
      </c>
      <c r="AG187" s="1" t="str">
        <f t="shared" si="127"/>
        <v>NW</v>
      </c>
      <c r="AH187" s="109" t="str">
        <f t="shared" si="126"/>
        <v>"%USERPROFILE%\Documents\GitHub\eaglep3\Utilities\RefineRTDCRunTimes.py" --tripid 833-11 --locoid 4042 --swversion DE.1.0.7.0 --startMP 204:1119 --initTime 2016-08-11T17:12:28 --startdatetime 2016-08-11T17:13:51 --delay 1 --endMP 300:58914 --enddatetime 2016-08-11T17:42:06 --enforcementcount 0</v>
      </c>
    </row>
    <row r="188" spans="1:34" x14ac:dyDescent="0.25">
      <c r="A188" s="42" t="s">
        <v>576</v>
      </c>
      <c r="B188" s="7">
        <v>4041</v>
      </c>
      <c r="C188" s="25" t="s">
        <v>130</v>
      </c>
      <c r="D188" s="25" t="s">
        <v>257</v>
      </c>
      <c r="E188" s="16">
        <v>42593.738182870373</v>
      </c>
      <c r="F188" s="16">
        <v>42593.738888888889</v>
      </c>
      <c r="G188" s="7">
        <v>1</v>
      </c>
      <c r="H188" s="16" t="s">
        <v>577</v>
      </c>
      <c r="I188" s="16">
        <v>42593.747766203705</v>
      </c>
      <c r="J188" s="7">
        <v>0</v>
      </c>
      <c r="K188" s="149" t="str">
        <f t="shared" si="114"/>
        <v>4041/4042</v>
      </c>
      <c r="L188" s="25" t="str">
        <f>VLOOKUP(A188,'Trips&amp;Operators'!$C$1:$E$10000,3,FALSE)</f>
        <v>HELVIE</v>
      </c>
      <c r="M188" s="6">
        <f t="shared" si="115"/>
        <v>8.8773148163454607E-3</v>
      </c>
      <c r="N188" s="7">
        <f t="shared" si="116"/>
        <v>12.783333335537463</v>
      </c>
      <c r="O188" s="7"/>
      <c r="P188" s="7"/>
      <c r="Q188" s="26"/>
      <c r="R188" s="26"/>
      <c r="S188" s="38">
        <f t="shared" si="117"/>
        <v>1</v>
      </c>
      <c r="T188" s="55" t="str">
        <f t="shared" si="118"/>
        <v>Southbound</v>
      </c>
      <c r="U188" s="13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16:42:59-0600',mode:absolute,to:'2016-08-11 18:56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88" s="57" t="str">
        <f t="shared" si="120"/>
        <v>N</v>
      </c>
      <c r="X188" s="133">
        <f t="shared" si="121"/>
        <v>1</v>
      </c>
      <c r="Y188" s="72">
        <f t="shared" si="122"/>
        <v>5.8597999999999999</v>
      </c>
      <c r="Z188" s="72">
        <f t="shared" si="123"/>
        <v>8.4500000000000006E-2</v>
      </c>
      <c r="AA188" s="72">
        <f t="shared" si="124"/>
        <v>5.7752999999999997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125"/>
        <v>0834-11</v>
      </c>
      <c r="AE188" s="108" t="str">
        <f t="shared" si="128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88" s="105" t="str">
        <f t="shared" si="129"/>
        <v>"C:\Program Files (x86)\AstroGrep\AstroGrep.exe" /spath="%USERPROFILE%\AppData\Local\Temp\OnboardLogs" /stypes="*4041*20160811*" /stext=" 23:.+((SYSTEM_STATE.+slice.+state.+changed )|(ment ac)|(system.+state.+changed )|(\|lc)|(penalty)|(\[timeout)|(PRM\|1\|D)|(kpr)|(kdp))" /e /r /s</v>
      </c>
      <c r="AG188" s="1" t="str">
        <f t="shared" si="127"/>
        <v>NW</v>
      </c>
      <c r="AH188" s="109" t="str">
        <f t="shared" si="126"/>
        <v>"%USERPROFILE%\Documents\GitHub\eaglep3\Utilities\RefineRTDCRunTimes.py" --tripid 834-11 --locoid 4041 --swversion DE.1.0.7.0 --startMP 300:58598 --initTime 2016-08-11T17:42:59 --startdatetime 2016-08-11T17:44:00 --delay 1 --endMP 204:845 --enddatetime 2016-08-11T17:56:47 --enforcementcount 0</v>
      </c>
    </row>
    <row r="189" spans="1:34" x14ac:dyDescent="0.25">
      <c r="A189" s="42" t="s">
        <v>578</v>
      </c>
      <c r="B189" s="7">
        <v>4003</v>
      </c>
      <c r="C189" s="25" t="s">
        <v>130</v>
      </c>
      <c r="D189" s="25" t="s">
        <v>570</v>
      </c>
      <c r="E189" s="16">
        <v>42593.739837962959</v>
      </c>
      <c r="F189" s="16">
        <v>42593.740717592591</v>
      </c>
      <c r="G189" s="7">
        <v>1</v>
      </c>
      <c r="H189" s="16" t="s">
        <v>520</v>
      </c>
      <c r="I189" s="16">
        <v>42593.752847222226</v>
      </c>
      <c r="J189" s="7">
        <v>0</v>
      </c>
      <c r="K189" s="149" t="str">
        <f t="shared" si="114"/>
        <v>4003/4004</v>
      </c>
      <c r="L189" s="25" t="str">
        <f>VLOOKUP(A189,'Trips&amp;Operators'!$C$1:$E$10000,3,FALSE)</f>
        <v>YORK</v>
      </c>
      <c r="M189" s="6">
        <f t="shared" si="115"/>
        <v>1.212962963472819E-2</v>
      </c>
      <c r="N189" s="7">
        <f t="shared" si="116"/>
        <v>17.466666674008593</v>
      </c>
      <c r="O189" s="7"/>
      <c r="P189" s="7"/>
      <c r="Q189" s="26"/>
      <c r="R189" s="26"/>
      <c r="S189" s="38">
        <f t="shared" si="117"/>
        <v>1</v>
      </c>
      <c r="T189" s="55" t="str">
        <f t="shared" si="118"/>
        <v>NorthBound</v>
      </c>
      <c r="U189" s="13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16:45:22-0600',mode:absolute,to:'2016-08-11 19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189" s="57" t="str">
        <f t="shared" si="120"/>
        <v>N</v>
      </c>
      <c r="X189" s="133">
        <f t="shared" si="121"/>
        <v>1</v>
      </c>
      <c r="Y189" s="72">
        <f t="shared" si="122"/>
        <v>9.7199999999999995E-2</v>
      </c>
      <c r="Z189" s="72">
        <f t="shared" si="123"/>
        <v>5.8944000000000001</v>
      </c>
      <c r="AA189" s="72">
        <f t="shared" si="124"/>
        <v>5.7972000000000001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125"/>
        <v>0835-11</v>
      </c>
      <c r="AE189" s="108" t="str">
        <f t="shared" si="128"/>
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</c>
      <c r="AF189" s="105" t="str">
        <f t="shared" si="129"/>
        <v>"C:\Program Files (x86)\AstroGrep\AstroGrep.exe" /spath="%USERPROFILE%\AppData\Local\Temp\OnboardLogs" /stypes="*4003*20160812*" /stext=" 00:.+((SYSTEM_STATE.+slice.+state.+changed )|(ment ac)|(system.+state.+changed )|(\|lc)|(penalty)|(\[timeout)|(PRM\|1\|D)|(kpr)|(kdp))" /e /r /s</v>
      </c>
      <c r="AG189" s="1" t="str">
        <f t="shared" si="127"/>
        <v>NW</v>
      </c>
      <c r="AH189" s="109" t="str">
        <f t="shared" si="126"/>
        <v>"%USERPROFILE%\Documents\GitHub\eaglep3\Utilities\RefineRTDCRunTimes.py" --tripid 835-11 --locoid 4003 --swversion DE.1.0.7.0 --startMP 204:972 --initTime 2016-08-11T17:45:22 --startdatetime 2016-08-11T17:46:38 --delay 1 --endMP 300:58944 --enddatetime 2016-08-11T18:04:06 --enforcementcount 0</v>
      </c>
    </row>
    <row r="190" spans="1:34" x14ac:dyDescent="0.25">
      <c r="A190" s="42" t="s">
        <v>579</v>
      </c>
      <c r="B190" s="7">
        <v>4004</v>
      </c>
      <c r="C190" s="25" t="s">
        <v>130</v>
      </c>
      <c r="D190" s="25" t="s">
        <v>580</v>
      </c>
      <c r="E190" s="16">
        <v>42593.753611111111</v>
      </c>
      <c r="F190" s="16">
        <v>42593.754421296297</v>
      </c>
      <c r="G190" s="7">
        <v>1</v>
      </c>
      <c r="H190" s="16" t="s">
        <v>581</v>
      </c>
      <c r="I190" s="16">
        <v>42593.767361111109</v>
      </c>
      <c r="J190" s="7">
        <v>1</v>
      </c>
      <c r="K190" s="149" t="str">
        <f t="shared" si="114"/>
        <v>4003/4004</v>
      </c>
      <c r="L190" s="25" t="str">
        <f>VLOOKUP(A190,'Trips&amp;Operators'!$C$1:$E$10000,3,FALSE)</f>
        <v>ROBINSON</v>
      </c>
      <c r="M190" s="6">
        <f t="shared" si="115"/>
        <v>1.2939814812853001E-2</v>
      </c>
      <c r="N190" s="7">
        <f t="shared" si="116"/>
        <v>18.633333330508322</v>
      </c>
      <c r="O190" s="7"/>
      <c r="P190" s="7"/>
      <c r="Q190" s="26"/>
      <c r="R190" s="26"/>
      <c r="S190" s="38">
        <f t="shared" si="117"/>
        <v>1</v>
      </c>
      <c r="T190" s="55" t="str">
        <f t="shared" si="118"/>
        <v>Southbound</v>
      </c>
      <c r="U190" s="13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17:05:12-0600',mode:absolute,to:'2016-08-11 19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190" s="57" t="str">
        <f t="shared" si="120"/>
        <v>N</v>
      </c>
      <c r="X190" s="133">
        <f t="shared" si="121"/>
        <v>1</v>
      </c>
      <c r="Y190" s="72">
        <f t="shared" si="122"/>
        <v>5.8628</v>
      </c>
      <c r="Z190" s="72">
        <f t="shared" si="123"/>
        <v>6.3299999999999995E-2</v>
      </c>
      <c r="AA190" s="72">
        <f t="shared" si="124"/>
        <v>5.7995000000000001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125"/>
        <v>0836-11</v>
      </c>
      <c r="AE190" s="108" t="str">
        <f t="shared" si="128"/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AF190" s="105" t="str">
        <f t="shared" si="129"/>
        <v>"C:\Program Files (x86)\AstroGrep\AstroGrep.exe" /spath="%USERPROFILE%\AppData\Local\Temp\OnboardLogs" /stypes="*4004*20160812*" /stext=" 00:.+((SYSTEM_STATE.+slice.+state.+changed )|(ment ac)|(system.+state.+changed )|(\|lc)|(penalty)|(\[timeout)|(PRM\|1\|D)|(kpr)|(kdp))" /e /r /s</v>
      </c>
      <c r="AG190" s="1" t="str">
        <f t="shared" si="127"/>
        <v>NW</v>
      </c>
      <c r="AH190" s="109" t="str">
        <f t="shared" si="126"/>
        <v>"%USERPROFILE%\Documents\GitHub\eaglep3\Utilities\RefineRTDCRunTimes.py" --tripid 836-11 --locoid 4004 --swversion DE.1.0.7.0 --startMP 300:58628 --initTime 2016-08-11T18:05:12 --startdatetime 2016-08-11T18:06:22 --delay 1 --endMP 204:633 --enddatetime 2016-08-11T18:25:00 --enforcementcount 1</v>
      </c>
    </row>
    <row r="191" spans="1:34" x14ac:dyDescent="0.25">
      <c r="A191" s="42" t="s">
        <v>582</v>
      </c>
      <c r="B191" s="7">
        <v>4042</v>
      </c>
      <c r="C191" s="25" t="s">
        <v>130</v>
      </c>
      <c r="D191" s="25" t="s">
        <v>565</v>
      </c>
      <c r="E191" s="16">
        <v>42593.755520833336</v>
      </c>
      <c r="F191" s="16">
        <v>42593.756238425929</v>
      </c>
      <c r="G191" s="7">
        <v>1</v>
      </c>
      <c r="H191" s="16" t="s">
        <v>510</v>
      </c>
      <c r="I191" s="16">
        <v>42593.77447916667</v>
      </c>
      <c r="J191" s="7">
        <v>0</v>
      </c>
      <c r="K191" s="149" t="str">
        <f t="shared" si="114"/>
        <v>4041/4042</v>
      </c>
      <c r="L191" s="25" t="str">
        <f>VLOOKUP(A191,'Trips&amp;Operators'!$C$1:$E$10000,3,FALSE)</f>
        <v>HELVIE</v>
      </c>
      <c r="M191" s="6">
        <f t="shared" si="115"/>
        <v>1.8240740741021E-2</v>
      </c>
      <c r="N191" s="7">
        <f t="shared" si="116"/>
        <v>26.26666666707024</v>
      </c>
      <c r="O191" s="7"/>
      <c r="P191" s="7"/>
      <c r="Q191" s="26"/>
      <c r="R191" s="26"/>
      <c r="S191" s="38">
        <f t="shared" si="117"/>
        <v>1</v>
      </c>
      <c r="T191" s="55" t="str">
        <f t="shared" si="118"/>
        <v>NorthBound</v>
      </c>
      <c r="U191" s="13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17:07:57-0600',mode:absolute,to:'2016-08-11 19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91" s="57" t="str">
        <f t="shared" si="120"/>
        <v>N</v>
      </c>
      <c r="X191" s="133">
        <f t="shared" si="121"/>
        <v>1</v>
      </c>
      <c r="Y191" s="72">
        <f t="shared" si="122"/>
        <v>0.1139</v>
      </c>
      <c r="Z191" s="72">
        <f t="shared" si="123"/>
        <v>5.8940999999999999</v>
      </c>
      <c r="AA191" s="72">
        <f t="shared" si="124"/>
        <v>5.7801999999999998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125"/>
        <v>0837-11</v>
      </c>
      <c r="AE191" s="108" t="str">
        <f t="shared" si="128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91" s="105" t="str">
        <f t="shared" si="129"/>
        <v>"C:\Program Files (x86)\AstroGrep\AstroGrep.exe" /spath="%USERPROFILE%\AppData\Local\Temp\OnboardLogs" /stypes="*4042*20160812*" /stext=" 00:.+((SYSTEM_STATE.+slice.+state.+changed )|(ment ac)|(system.+state.+changed )|(\|lc)|(penalty)|(\[timeout)|(PRM\|1\|D)|(kpr)|(kdp))" /e /r /s</v>
      </c>
      <c r="AG191" s="1" t="str">
        <f t="shared" si="127"/>
        <v>NW</v>
      </c>
      <c r="AH191" s="109" t="str">
        <f t="shared" si="126"/>
        <v>"%USERPROFILE%\Documents\GitHub\eaglep3\Utilities\RefineRTDCRunTimes.py" --tripid 837-11 --locoid 4042 --swversion DE.1.0.7.0 --startMP 204:1139 --initTime 2016-08-11T18:07:57 --startdatetime 2016-08-11T18:08:59 --delay 1 --endMP 300:58941 --enddatetime 2016-08-11T18:35:15 --enforcementcount 0</v>
      </c>
    </row>
    <row r="192" spans="1:34" x14ac:dyDescent="0.25">
      <c r="A192" s="42" t="s">
        <v>583</v>
      </c>
      <c r="B192" s="7">
        <v>4041</v>
      </c>
      <c r="C192" s="25" t="s">
        <v>130</v>
      </c>
      <c r="D192" s="25" t="s">
        <v>584</v>
      </c>
      <c r="E192" s="16">
        <v>42593.775902777779</v>
      </c>
      <c r="F192" s="16">
        <v>42593.777106481481</v>
      </c>
      <c r="G192" s="7">
        <v>1</v>
      </c>
      <c r="H192" s="16" t="s">
        <v>585</v>
      </c>
      <c r="I192" s="16">
        <v>42593.787951388891</v>
      </c>
      <c r="J192" s="7">
        <v>0</v>
      </c>
      <c r="K192" s="149" t="str">
        <f t="shared" si="114"/>
        <v>4041/4042</v>
      </c>
      <c r="L192" s="25" t="str">
        <f>VLOOKUP(A192,'Trips&amp;Operators'!$C$1:$E$10000,3,FALSE)</f>
        <v>HELVIE</v>
      </c>
      <c r="M192" s="6">
        <f t="shared" si="115"/>
        <v>1.0844907410501037E-2</v>
      </c>
      <c r="N192" s="7">
        <f t="shared" si="116"/>
        <v>15.616666671121493</v>
      </c>
      <c r="O192" s="7"/>
      <c r="P192" s="7"/>
      <c r="Q192" s="26"/>
      <c r="R192" s="26"/>
      <c r="S192" s="38">
        <f t="shared" si="117"/>
        <v>1</v>
      </c>
      <c r="T192" s="55" t="str">
        <f t="shared" si="118"/>
        <v>Southbound</v>
      </c>
      <c r="U192" s="13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17:37:18-0600',mode:absolute,to:'2016-08-11 19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92" s="57" t="str">
        <f t="shared" si="120"/>
        <v>N</v>
      </c>
      <c r="X192" s="133">
        <f t="shared" si="121"/>
        <v>1</v>
      </c>
      <c r="Y192" s="72">
        <f t="shared" si="122"/>
        <v>5.8624000000000001</v>
      </c>
      <c r="Z192" s="72">
        <f t="shared" si="123"/>
        <v>8.5000000000000006E-2</v>
      </c>
      <c r="AA192" s="72">
        <f t="shared" si="124"/>
        <v>5.7774000000000001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125"/>
        <v>0838-11</v>
      </c>
      <c r="AE192" s="108" t="str">
        <f t="shared" si="128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92" s="105" t="str">
        <f t="shared" si="129"/>
        <v>"C:\Program Files (x86)\AstroGrep\AstroGrep.exe" /spath="%USERPROFILE%\AppData\Local\Temp\OnboardLogs" /stypes="*4041*20160812*" /stext=" 00:.+((SYSTEM_STATE.+slice.+state.+changed )|(ment ac)|(system.+state.+changed )|(\|lc)|(penalty)|(\[timeout)|(PRM\|1\|D)|(kpr)|(kdp))" /e /r /s</v>
      </c>
      <c r="AG192" s="1" t="str">
        <f t="shared" si="127"/>
        <v>NW</v>
      </c>
      <c r="AH192" s="109" t="str">
        <f t="shared" si="126"/>
        <v>"%USERPROFILE%\Documents\GitHub\eaglep3\Utilities\RefineRTDCRunTimes.py" --tripid 838-11 --locoid 4041 --swversion DE.1.0.7.0 --startMP 300:58624 --initTime 2016-08-11T18:37:18 --startdatetime 2016-08-11T18:39:02 --delay 1 --endMP 204:850 --enddatetime 2016-08-11T18:54:39 --enforcementcount 0</v>
      </c>
    </row>
    <row r="193" spans="1:34" x14ac:dyDescent="0.25">
      <c r="A193" s="42" t="s">
        <v>586</v>
      </c>
      <c r="B193" s="7">
        <v>4003</v>
      </c>
      <c r="C193" s="25" t="s">
        <v>130</v>
      </c>
      <c r="D193" s="25" t="s">
        <v>587</v>
      </c>
      <c r="E193" s="16">
        <v>42593.780891203707</v>
      </c>
      <c r="F193" s="16">
        <v>42593.782141203701</v>
      </c>
      <c r="G193" s="7">
        <v>1</v>
      </c>
      <c r="H193" s="16" t="s">
        <v>588</v>
      </c>
      <c r="I193" s="16">
        <v>42593.795393518521</v>
      </c>
      <c r="J193" s="7">
        <v>0</v>
      </c>
      <c r="K193" s="149" t="str">
        <f t="shared" si="114"/>
        <v>4003/4004</v>
      </c>
      <c r="L193" s="25" t="str">
        <f>VLOOKUP(A193,'Trips&amp;Operators'!$C$1:$E$10000,3,FALSE)</f>
        <v>YORK</v>
      </c>
      <c r="M193" s="6">
        <f t="shared" si="115"/>
        <v>1.3252314820419997E-2</v>
      </c>
      <c r="N193" s="7">
        <f t="shared" si="116"/>
        <v>19.083333341404796</v>
      </c>
      <c r="O193" s="7"/>
      <c r="P193" s="7"/>
      <c r="Q193" s="26"/>
      <c r="R193" s="26"/>
      <c r="S193" s="38">
        <f t="shared" si="117"/>
        <v>1</v>
      </c>
      <c r="T193" s="55" t="str">
        <f t="shared" si="118"/>
        <v>NorthBound</v>
      </c>
      <c r="U193" s="13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17:44:29-0600',mode:absolute,to:'2016-08-11 20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4003%22')),sort:!(Time,asc))</v>
      </c>
      <c r="W193" s="57" t="str">
        <f t="shared" si="120"/>
        <v>N</v>
      </c>
      <c r="X193" s="133">
        <f t="shared" si="121"/>
        <v>1</v>
      </c>
      <c r="Y193" s="72">
        <f t="shared" si="122"/>
        <v>9.2299999999999993E-2</v>
      </c>
      <c r="Z193" s="72">
        <f t="shared" si="123"/>
        <v>5.8960999999999997</v>
      </c>
      <c r="AA193" s="72">
        <f t="shared" si="124"/>
        <v>5.8037999999999998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si="125"/>
        <v>0839-11</v>
      </c>
      <c r="AE193" s="108" t="str">
        <f t="shared" si="128"/>
        <v>aws s3 cp s3://rtdc.mdm.uploadarchive/RTDC4003/2016-08-11/ "%USERPROFILE%\AppData\Local\Temp\OnboardLogs"\RTDC4003\2016-08-11 --recursive &amp; "%USERPROFILE%\Documents\GitHub\mrs-test-scripts\Headless Mode &amp; Sideloading\WalkAndUnGZ.bat" "%USERPROFILE%\AppData\Local\Temp\OnboardLogs"\RTDC4003\2016-08-11 &amp; aws s3 cp s3://rtdc.mdm.uploadarchive/RTDC4003/2016-08-12/ "%USERPROFILE%\AppData\Local\Temp\OnboardLogs"\RTDC4003\2016-08-12 --recursive &amp; "%USERPROFILE%\Documents\GitHub\mrs-test-scripts\Headless Mode &amp; Sideloading\WalkAndUnGZ.bat" "%USERPROFILE%\AppData\Local\Temp\OnboardLogs"\RTDC4003\2016-08-12</v>
      </c>
      <c r="AF193" s="105" t="str">
        <f t="shared" si="129"/>
        <v>"C:\Program Files (x86)\AstroGrep\AstroGrep.exe" /spath="%USERPROFILE%\AppData\Local\Temp\OnboardLogs" /stypes="*4003*20160812*" /stext=" 01:.+((SYSTEM_STATE.+slice.+state.+changed )|(ment ac)|(system.+state.+changed )|(\|lc)|(penalty)|(\[timeout)|(PRM\|1\|D)|(kpr)|(kdp))" /e /r /s</v>
      </c>
      <c r="AG193" s="1" t="str">
        <f t="shared" si="127"/>
        <v>NW</v>
      </c>
      <c r="AH193" s="109" t="str">
        <f t="shared" si="126"/>
        <v>"%USERPROFILE%\Documents\GitHub\eaglep3\Utilities\RefineRTDCRunTimes.py" --tripid 839-11 --locoid 4003 --swversion DE.1.0.7.0 --startMP 204:923 --initTime 2016-08-11T18:44:29 --startdatetime 2016-08-11T18:46:17 --delay 1 --endMP 300:58961 --enddatetime 2016-08-11T19:05:22 --enforcementcount 0</v>
      </c>
    </row>
    <row r="194" spans="1:34" x14ac:dyDescent="0.25">
      <c r="A194" s="42" t="s">
        <v>589</v>
      </c>
      <c r="B194" s="7">
        <v>4041</v>
      </c>
      <c r="C194" s="25" t="s">
        <v>130</v>
      </c>
      <c r="D194" s="25" t="s">
        <v>590</v>
      </c>
      <c r="E194" s="16">
        <v>42593.816574074073</v>
      </c>
      <c r="F194" s="16">
        <v>42593.817337962966</v>
      </c>
      <c r="G194" s="7">
        <v>1</v>
      </c>
      <c r="H194" s="16" t="s">
        <v>507</v>
      </c>
      <c r="I194" s="16">
        <v>42593.829444444447</v>
      </c>
      <c r="J194" s="7">
        <v>0</v>
      </c>
      <c r="K194" s="149" t="str">
        <f t="shared" si="114"/>
        <v>4041/4042</v>
      </c>
      <c r="L194" s="25" t="str">
        <f>VLOOKUP(A194,'Trips&amp;Operators'!$C$1:$E$10000,3,FALSE)</f>
        <v>HELVIE</v>
      </c>
      <c r="M194" s="6">
        <f t="shared" si="115"/>
        <v>1.2106481481168885E-2</v>
      </c>
      <c r="N194" s="7">
        <f t="shared" si="116"/>
        <v>17.433333332883194</v>
      </c>
      <c r="O194" s="7"/>
      <c r="P194" s="7"/>
      <c r="Q194" s="26"/>
      <c r="R194" s="26"/>
      <c r="S194" s="38">
        <f t="shared" si="117"/>
        <v>1</v>
      </c>
      <c r="T194" s="55" t="str">
        <f t="shared" si="118"/>
        <v>Southbound</v>
      </c>
      <c r="U194" s="13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18:35:52-0600',mode:absolute,to:'2016-08-11 20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94" s="57" t="str">
        <f t="shared" si="120"/>
        <v>N</v>
      </c>
      <c r="X194" s="133">
        <f t="shared" si="121"/>
        <v>1</v>
      </c>
      <c r="Y194" s="72">
        <f t="shared" si="122"/>
        <v>5.8620999999999999</v>
      </c>
      <c r="Z194" s="72">
        <f t="shared" si="123"/>
        <v>8.3799999999999999E-2</v>
      </c>
      <c r="AA194" s="72">
        <f t="shared" si="124"/>
        <v>5.7782999999999998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 t="shared" si="125"/>
        <v>0840-11</v>
      </c>
      <c r="AE194" s="108" t="str">
        <f t="shared" si="128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94" s="105" t="str">
        <f t="shared" si="129"/>
        <v>"C:\Program Files (x86)\AstroGrep\AstroGrep.exe" /spath="%USERPROFILE%\AppData\Local\Temp\OnboardLogs" /stypes="*4041*20160812*" /stext=" 01:.+((SYSTEM_STATE.+slice.+state.+changed )|(ment ac)|(system.+state.+changed )|(\|lc)|(penalty)|(\[timeout)|(PRM\|1\|D)|(kpr)|(kdp))" /e /r /s</v>
      </c>
      <c r="AG194" s="1" t="str">
        <f t="shared" si="127"/>
        <v>NW</v>
      </c>
      <c r="AH194" s="109" t="str">
        <f t="shared" si="126"/>
        <v>"%USERPROFILE%\Documents\GitHub\eaglep3\Utilities\RefineRTDCRunTimes.py" --tripid 840-11 --locoid 4041 --swversion DE.1.0.7.0 --startMP 300:58621 --initTime 2016-08-11T19:35:52 --startdatetime 2016-08-11T19:36:58 --delay 1 --endMP 204:838 --enddatetime 2016-08-11T19:54:24 --enforcementcount 0</v>
      </c>
    </row>
    <row r="195" spans="1:34" x14ac:dyDescent="0.25">
      <c r="A195" s="42" t="s">
        <v>591</v>
      </c>
      <c r="B195" s="7">
        <v>4042</v>
      </c>
      <c r="C195" s="25" t="s">
        <v>130</v>
      </c>
      <c r="D195" s="25" t="s">
        <v>592</v>
      </c>
      <c r="E195" s="16">
        <v>42593.801990740743</v>
      </c>
      <c r="F195" s="16">
        <v>42593.802800925929</v>
      </c>
      <c r="G195" s="7">
        <v>1</v>
      </c>
      <c r="H195" s="16" t="s">
        <v>593</v>
      </c>
      <c r="I195" s="16">
        <v>42593.815601851849</v>
      </c>
      <c r="J195" s="7">
        <v>0</v>
      </c>
      <c r="K195" s="149" t="str">
        <f t="shared" si="114"/>
        <v>4041/4042</v>
      </c>
      <c r="L195" s="25" t="str">
        <f>VLOOKUP(A195,'Trips&amp;Operators'!$C$1:$E$10000,3,FALSE)</f>
        <v>HELVIE</v>
      </c>
      <c r="M195" s="6">
        <f t="shared" si="115"/>
        <v>1.2800925920601003E-2</v>
      </c>
      <c r="N195" s="7">
        <f t="shared" si="116"/>
        <v>18.433333325665444</v>
      </c>
      <c r="O195" s="7"/>
      <c r="P195" s="7"/>
      <c r="Q195" s="26"/>
      <c r="R195" s="26"/>
      <c r="S195" s="38">
        <f t="shared" si="117"/>
        <v>1</v>
      </c>
      <c r="T195" s="55" t="str">
        <f t="shared" si="118"/>
        <v>NorthBound</v>
      </c>
      <c r="U195" s="13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18:14:52-0600',mode:absolute,to:'2016-08-11 20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95" s="57" t="str">
        <f t="shared" si="120"/>
        <v>N</v>
      </c>
      <c r="X195" s="133">
        <f t="shared" si="121"/>
        <v>1</v>
      </c>
      <c r="Y195" s="72">
        <f t="shared" si="122"/>
        <v>0.1128</v>
      </c>
      <c r="Z195" s="72">
        <f t="shared" si="123"/>
        <v>5.8930999999999996</v>
      </c>
      <c r="AA195" s="72">
        <f t="shared" si="124"/>
        <v>5.7802999999999995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 t="shared" si="125"/>
        <v>0841-11</v>
      </c>
      <c r="AE195" s="108" t="str">
        <f t="shared" si="128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95" s="105" t="str">
        <f t="shared" si="129"/>
        <v>"C:\Program Files (x86)\AstroGrep\AstroGrep.exe" /spath="%USERPROFILE%\AppData\Local\Temp\OnboardLogs" /stypes="*4042*20160812*" /stext=" 01:.+((SYSTEM_STATE.+slice.+state.+changed )|(ment ac)|(system.+state.+changed )|(\|lc)|(penalty)|(\[timeout)|(PRM\|1\|D)|(kpr)|(kdp))" /e /r /s</v>
      </c>
      <c r="AG195" s="1" t="str">
        <f t="shared" si="127"/>
        <v>NW</v>
      </c>
      <c r="AH195" s="109" t="str">
        <f t="shared" si="126"/>
        <v>"%USERPROFILE%\Documents\GitHub\eaglep3\Utilities\RefineRTDCRunTimes.py" --tripid 841-11 --locoid 4042 --swversion DE.1.0.7.0 --startMP 204:1128 --initTime 2016-08-11T19:14:52 --startdatetime 2016-08-11T19:16:02 --delay 1 --endMP 300:58931 --enddatetime 2016-08-11T19:34:28 --enforcementcount 0</v>
      </c>
    </row>
    <row r="196" spans="1:34" x14ac:dyDescent="0.25">
      <c r="A196" s="42" t="s">
        <v>594</v>
      </c>
      <c r="B196" s="7">
        <v>4041</v>
      </c>
      <c r="C196" s="25" t="s">
        <v>130</v>
      </c>
      <c r="D196" s="25" t="s">
        <v>595</v>
      </c>
      <c r="E196" s="16">
        <v>42593.858865740738</v>
      </c>
      <c r="F196" s="16">
        <v>42593.859780092593</v>
      </c>
      <c r="G196" s="7">
        <v>1</v>
      </c>
      <c r="H196" s="16" t="s">
        <v>585</v>
      </c>
      <c r="I196" s="16">
        <v>42593.871145833335</v>
      </c>
      <c r="J196" s="7">
        <v>0</v>
      </c>
      <c r="K196" s="149" t="str">
        <f t="shared" si="114"/>
        <v>4041/4042</v>
      </c>
      <c r="L196" s="25" t="str">
        <f>VLOOKUP(A196,'Trips&amp;Operators'!$C$1:$E$10000,3,FALSE)</f>
        <v>HELVIE</v>
      </c>
      <c r="M196" s="6">
        <f t="shared" si="115"/>
        <v>1.1365740741894115E-2</v>
      </c>
      <c r="N196" s="7">
        <f t="shared" si="116"/>
        <v>16.366666668327525</v>
      </c>
      <c r="O196" s="7"/>
      <c r="P196" s="7"/>
      <c r="Q196" s="26"/>
      <c r="R196" s="26"/>
      <c r="S196" s="38">
        <f t="shared" si="117"/>
        <v>1</v>
      </c>
      <c r="T196" s="55" t="str">
        <f t="shared" si="118"/>
        <v>Southbound</v>
      </c>
      <c r="U196" s="13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19:36:46-0600',mode:absolute,to:'2016-08-11 21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96" s="57" t="str">
        <f t="shared" si="120"/>
        <v>N</v>
      </c>
      <c r="X196" s="133">
        <f t="shared" si="121"/>
        <v>1</v>
      </c>
      <c r="Y196" s="72">
        <f t="shared" si="122"/>
        <v>5.8688000000000002</v>
      </c>
      <c r="Z196" s="72">
        <f t="shared" si="123"/>
        <v>8.5000000000000006E-2</v>
      </c>
      <c r="AA196" s="72">
        <f t="shared" si="124"/>
        <v>5.7838000000000003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 t="shared" si="125"/>
        <v>0842-11</v>
      </c>
      <c r="AE196" s="108" t="str">
        <f t="shared" si="128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96" s="105" t="str">
        <f t="shared" si="129"/>
        <v>"C:\Program Files (x86)\AstroGrep\AstroGrep.exe" /spath="%USERPROFILE%\AppData\Local\Temp\OnboardLogs" /stypes="*4041*20160812*" /stext=" 02:.+((SYSTEM_STATE.+slice.+state.+changed )|(ment ac)|(system.+state.+changed )|(\|lc)|(penalty)|(\[timeout)|(PRM\|1\|D)|(kpr)|(kdp))" /e /r /s</v>
      </c>
      <c r="AG196" s="1" t="str">
        <f t="shared" si="127"/>
        <v>NW</v>
      </c>
      <c r="AH196" s="109" t="str">
        <f t="shared" si="126"/>
        <v>"%USERPROFILE%\Documents\GitHub\eaglep3\Utilities\RefineRTDCRunTimes.py" --tripid 842-11 --locoid 4041 --swversion DE.1.0.7.0 --startMP 300:58688 --initTime 2016-08-11T20:36:46 --startdatetime 2016-08-11T20:38:05 --delay 1 --endMP 204:850 --enddatetime 2016-08-11T20:54:27 --enforcementcount 0</v>
      </c>
    </row>
    <row r="197" spans="1:34" x14ac:dyDescent="0.25">
      <c r="A197" s="42" t="s">
        <v>596</v>
      </c>
      <c r="B197" s="7">
        <v>4042</v>
      </c>
      <c r="C197" s="25" t="s">
        <v>130</v>
      </c>
      <c r="D197" s="25" t="s">
        <v>597</v>
      </c>
      <c r="E197" s="16">
        <v>42593.844085648147</v>
      </c>
      <c r="F197" s="16">
        <v>42593.845046296294</v>
      </c>
      <c r="G197" s="7">
        <v>1</v>
      </c>
      <c r="H197" s="16" t="s">
        <v>598</v>
      </c>
      <c r="I197" s="16">
        <v>42593.857673611114</v>
      </c>
      <c r="J197" s="7">
        <v>0</v>
      </c>
      <c r="K197" s="149" t="str">
        <f t="shared" si="114"/>
        <v>4041/4042</v>
      </c>
      <c r="L197" s="25" t="str">
        <f>VLOOKUP(A197,'Trips&amp;Operators'!$C$1:$E$10000,3,FALSE)</f>
        <v>HELVIE</v>
      </c>
      <c r="M197" s="6">
        <f t="shared" si="115"/>
        <v>1.262731481983792E-2</v>
      </c>
      <c r="N197" s="7">
        <f t="shared" si="116"/>
        <v>18.183333340566605</v>
      </c>
      <c r="O197" s="7"/>
      <c r="P197" s="7"/>
      <c r="Q197" s="26"/>
      <c r="R197" s="26"/>
      <c r="S197" s="38">
        <f t="shared" si="117"/>
        <v>1</v>
      </c>
      <c r="T197" s="55" t="str">
        <f t="shared" si="118"/>
        <v>NorthBound</v>
      </c>
      <c r="U197" s="13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19:15:29-0600',mode:absolute,to:'2016-08-11 21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97" s="57" t="str">
        <f t="shared" si="120"/>
        <v>N</v>
      </c>
      <c r="X197" s="133">
        <f t="shared" si="121"/>
        <v>1</v>
      </c>
      <c r="Y197" s="72">
        <f t="shared" si="122"/>
        <v>0.1123</v>
      </c>
      <c r="Z197" s="72">
        <f t="shared" si="123"/>
        <v>5.9009999999999998</v>
      </c>
      <c r="AA197" s="72">
        <f t="shared" si="124"/>
        <v>5.7886999999999995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 t="shared" si="125"/>
        <v>0843-11</v>
      </c>
      <c r="AE197" s="108" t="str">
        <f t="shared" si="128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97" s="105" t="str">
        <f t="shared" si="129"/>
        <v>"C:\Program Files (x86)\AstroGrep\AstroGrep.exe" /spath="%USERPROFILE%\AppData\Local\Temp\OnboardLogs" /stypes="*4042*20160812*" /stext=" 02:.+((SYSTEM_STATE.+slice.+state.+changed )|(ment ac)|(system.+state.+changed )|(\|lc)|(penalty)|(\[timeout)|(PRM\|1\|D)|(kpr)|(kdp))" /e /r /s</v>
      </c>
      <c r="AG197" s="1" t="str">
        <f t="shared" si="127"/>
        <v>NW</v>
      </c>
      <c r="AH197" s="109" t="str">
        <f t="shared" si="126"/>
        <v>"%USERPROFILE%\Documents\GitHub\eaglep3\Utilities\RefineRTDCRunTimes.py" --tripid 843-11 --locoid 4042 --swversion DE.1.0.7.0 --startMP 204:1123 --initTime 2016-08-11T20:15:29 --startdatetime 2016-08-11T20:16:52 --delay 1 --endMP 300:59010 --enddatetime 2016-08-11T20:35:03 --enforcementcount 0</v>
      </c>
    </row>
    <row r="198" spans="1:34" x14ac:dyDescent="0.25">
      <c r="A198" s="42" t="s">
        <v>599</v>
      </c>
      <c r="B198" s="7">
        <v>4041</v>
      </c>
      <c r="C198" s="25" t="s">
        <v>130</v>
      </c>
      <c r="D198" s="25" t="s">
        <v>573</v>
      </c>
      <c r="E198" s="16">
        <v>42593.90152777778</v>
      </c>
      <c r="F198" s="16">
        <v>42593.902280092596</v>
      </c>
      <c r="G198" s="7">
        <v>1</v>
      </c>
      <c r="H198" s="16" t="s">
        <v>600</v>
      </c>
      <c r="I198" s="16">
        <v>42593.904780092591</v>
      </c>
      <c r="J198" s="7">
        <v>1</v>
      </c>
      <c r="K198" s="149" t="str">
        <f t="shared" si="114"/>
        <v>4041/4042</v>
      </c>
      <c r="L198" s="25" t="str">
        <f>VLOOKUP(A198,'Trips&amp;Operators'!$C$1:$E$10000,3,FALSE)</f>
        <v>HELVIE</v>
      </c>
      <c r="M198" s="6">
        <f t="shared" si="115"/>
        <v>2.4999999950523488E-3</v>
      </c>
      <c r="N198" s="7"/>
      <c r="O198" s="7"/>
      <c r="P198" s="7">
        <f t="shared" si="116"/>
        <v>3.5999999928753823</v>
      </c>
      <c r="Q198" s="26"/>
      <c r="R198" s="26" t="s">
        <v>229</v>
      </c>
      <c r="S198" s="38">
        <f t="shared" si="117"/>
        <v>0</v>
      </c>
      <c r="T198" s="55" t="str">
        <f t="shared" si="118"/>
        <v>Southbound</v>
      </c>
      <c r="U198" s="13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20:38:12-0600',mode:absolute,to:'2016-08-11 22:42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98" s="57" t="str">
        <f t="shared" si="120"/>
        <v>Y</v>
      </c>
      <c r="X198" s="133">
        <f t="shared" si="121"/>
        <v>1</v>
      </c>
      <c r="Y198" s="72">
        <f t="shared" si="122"/>
        <v>5.8578999999999999</v>
      </c>
      <c r="Z198" s="72">
        <f t="shared" si="123"/>
        <v>5.7755000000000001</v>
      </c>
      <c r="AA198" s="72">
        <f t="shared" si="124"/>
        <v>8.2399999999999807E-2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 t="shared" si="125"/>
        <v>0844-11</v>
      </c>
      <c r="AE198" s="108" t="str">
        <f t="shared" si="128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198" s="105" t="str">
        <f t="shared" si="129"/>
        <v>"C:\Program Files (x86)\AstroGrep\AstroGrep.exe" /spath="%USERPROFILE%\AppData\Local\Temp\OnboardLogs" /stypes="*4041*20160812*" /stext=" 03:.+((SYSTEM_STATE.+slice.+state.+changed )|(ment ac)|(system.+state.+changed )|(\|lc)|(penalty)|(\[timeout)|(PRM\|1\|D)|(kpr)|(kdp))" /e /r /s</v>
      </c>
      <c r="AG198" s="1" t="str">
        <f t="shared" si="127"/>
        <v>NW</v>
      </c>
      <c r="AH198" s="109" t="str">
        <f t="shared" si="126"/>
        <v>"%USERPROFILE%\Documents\GitHub\eaglep3\Utilities\RefineRTDCRunTimes.py" --tripid 844-11 --locoid 4041 --swversion DE.1.0.7.0 --startMP 300:58579 --initTime 2016-08-11T21:38:12 --startdatetime 2016-08-11T21:39:17 --delay 1 --endMP 300:57755 --enddatetime 2016-08-11T21:42:53 --enforcementcount 1</v>
      </c>
    </row>
    <row r="199" spans="1:34" x14ac:dyDescent="0.25">
      <c r="A199" s="42" t="s">
        <v>601</v>
      </c>
      <c r="B199" s="7">
        <v>4042</v>
      </c>
      <c r="C199" s="25" t="s">
        <v>130</v>
      </c>
      <c r="D199" s="25" t="s">
        <v>509</v>
      </c>
      <c r="E199" s="16">
        <v>42593.879675925928</v>
      </c>
      <c r="F199" s="16">
        <v>42593.880798611113</v>
      </c>
      <c r="G199" s="7">
        <v>1</v>
      </c>
      <c r="H199" s="16" t="s">
        <v>562</v>
      </c>
      <c r="I199" s="16">
        <v>42593.900729166664</v>
      </c>
      <c r="J199" s="7">
        <v>0</v>
      </c>
      <c r="K199" s="149" t="str">
        <f t="shared" si="114"/>
        <v>4041/4042</v>
      </c>
      <c r="L199" s="25" t="str">
        <f>VLOOKUP(A199,'Trips&amp;Operators'!$C$1:$E$10000,3,FALSE)</f>
        <v>HELVIE</v>
      </c>
      <c r="M199" s="6">
        <f t="shared" si="115"/>
        <v>1.993055555067258E-2</v>
      </c>
      <c r="N199" s="7">
        <f t="shared" si="116"/>
        <v>28.699999992968515</v>
      </c>
      <c r="O199" s="7"/>
      <c r="P199" s="7"/>
      <c r="Q199" s="26"/>
      <c r="R199" s="26"/>
      <c r="S199" s="38">
        <f t="shared" si="117"/>
        <v>1</v>
      </c>
      <c r="T199" s="55" t="str">
        <f t="shared" si="118"/>
        <v>NorthBound</v>
      </c>
      <c r="U199" s="13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20:06:44-0600',mode:absolute,to:'2016-08-11 22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99" s="57" t="str">
        <f t="shared" si="120"/>
        <v>N</v>
      </c>
      <c r="X199" s="133">
        <f t="shared" si="121"/>
        <v>1</v>
      </c>
      <c r="Y199" s="72">
        <f t="shared" si="122"/>
        <v>0.1142</v>
      </c>
      <c r="Z199" s="72">
        <f t="shared" si="123"/>
        <v>5.8905000000000003</v>
      </c>
      <c r="AA199" s="72">
        <f t="shared" si="124"/>
        <v>5.7763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125"/>
        <v>0845-11</v>
      </c>
      <c r="AE199" s="108" t="str">
        <f t="shared" si="128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199" s="105" t="str">
        <f t="shared" si="129"/>
        <v>"C:\Program Files (x86)\AstroGrep\AstroGrep.exe" /spath="%USERPROFILE%\AppData\Local\Temp\OnboardLogs" /stypes="*4042*20160812*" /stext=" 03:.+((SYSTEM_STATE.+slice.+state.+changed )|(ment ac)|(system.+state.+changed )|(\|lc)|(penalty)|(\[timeout)|(PRM\|1\|D)|(kpr)|(kdp))" /e /r /s</v>
      </c>
      <c r="AG199" s="1" t="str">
        <f t="shared" si="127"/>
        <v>NW</v>
      </c>
      <c r="AH199" s="109" t="str">
        <f t="shared" si="126"/>
        <v>"%USERPROFILE%\Documents\GitHub\eaglep3\Utilities\RefineRTDCRunTimes.py" --tripid 845-11 --locoid 4042 --swversion DE.1.0.7.0 --startMP 204:1142 --initTime 2016-08-11T21:06:44 --startdatetime 2016-08-11T21:08:21 --delay 1 --endMP 300:58905 --enddatetime 2016-08-11T21:37:03 --enforcementcount 0</v>
      </c>
    </row>
    <row r="200" spans="1:34" x14ac:dyDescent="0.25">
      <c r="A200" s="42" t="s">
        <v>602</v>
      </c>
      <c r="B200" s="7">
        <v>4042</v>
      </c>
      <c r="C200" s="25" t="s">
        <v>130</v>
      </c>
      <c r="D200" s="25" t="s">
        <v>603</v>
      </c>
      <c r="E200" s="16">
        <v>42593.925023148149</v>
      </c>
      <c r="F200" s="16">
        <v>42593.926041666666</v>
      </c>
      <c r="G200" s="7">
        <v>1</v>
      </c>
      <c r="H200" s="16" t="s">
        <v>253</v>
      </c>
      <c r="I200" s="16">
        <v>42593.942650462966</v>
      </c>
      <c r="J200" s="7">
        <v>0</v>
      </c>
      <c r="K200" s="149" t="str">
        <f t="shared" si="114"/>
        <v>4041/4042</v>
      </c>
      <c r="L200" s="25" t="str">
        <f>VLOOKUP(A200,'Trips&amp;Operators'!$C$1:$E$10000,3,FALSE)</f>
        <v>HELVIE</v>
      </c>
      <c r="M200" s="6">
        <f t="shared" si="115"/>
        <v>1.6608796300715767E-2</v>
      </c>
      <c r="N200" s="7">
        <f t="shared" si="116"/>
        <v>23.916666673030704</v>
      </c>
      <c r="O200" s="7"/>
      <c r="P200" s="7"/>
      <c r="Q200" s="26"/>
      <c r="R200" s="26"/>
      <c r="S200" s="38">
        <f t="shared" si="117"/>
        <v>1</v>
      </c>
      <c r="T200" s="55" t="str">
        <f t="shared" si="118"/>
        <v>NorthBound</v>
      </c>
      <c r="U200" s="13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21:12:02-0600',mode:absolute,to:'2016-08-11 23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200" s="57" t="str">
        <f t="shared" si="120"/>
        <v>N</v>
      </c>
      <c r="X200" s="133">
        <f t="shared" si="121"/>
        <v>2</v>
      </c>
      <c r="Y200" s="72">
        <f t="shared" si="122"/>
        <v>9.5799999999999996E-2</v>
      </c>
      <c r="Z200" s="72">
        <f t="shared" si="123"/>
        <v>5.8936999999999999</v>
      </c>
      <c r="AA200" s="72">
        <f t="shared" si="124"/>
        <v>5.7979000000000003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125"/>
        <v>0847-11</v>
      </c>
      <c r="AE200" s="108" t="str">
        <f t="shared" si="128"/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AF200" s="105" t="str">
        <f t="shared" si="129"/>
        <v>"C:\Program Files (x86)\AstroGrep\AstroGrep.exe" /spath="%USERPROFILE%\AppData\Local\Temp\OnboardLogs" /stypes="*4042*20160812*" /stext=" 04:.+((SYSTEM_STATE.+slice.+state.+changed )|(ment ac)|(system.+state.+changed )|(\|lc)|(penalty)|(\[timeout)|(PRM\|1\|D)|(kpr)|(kdp))" /e /r /s</v>
      </c>
      <c r="AG200" s="1" t="str">
        <f t="shared" si="127"/>
        <v>NW</v>
      </c>
      <c r="AH200" s="109" t="str">
        <f t="shared" si="126"/>
        <v>"%USERPROFILE%\Documents\GitHub\eaglep3\Utilities\RefineRTDCRunTimes.py" --tripid 847-11 --locoid 4042 --swversion DE.1.0.7.0 --startMP 204:958 --initTime 2016-08-11T22:12:02 --startdatetime 2016-08-11T22:13:30 --delay 1 --endMP 300:58937 --enddatetime 2016-08-11T22:37:25 --enforcementcount 0</v>
      </c>
    </row>
    <row r="201" spans="1:34" x14ac:dyDescent="0.25">
      <c r="A201" s="42" t="s">
        <v>493</v>
      </c>
      <c r="B201" s="7">
        <v>4031</v>
      </c>
      <c r="C201" s="25" t="s">
        <v>130</v>
      </c>
      <c r="D201" s="25" t="s">
        <v>147</v>
      </c>
      <c r="E201" s="16">
        <v>42593.872337962966</v>
      </c>
      <c r="F201" s="16">
        <v>42593.876145833332</v>
      </c>
      <c r="G201" s="7">
        <v>5</v>
      </c>
      <c r="H201" s="16" t="s">
        <v>494</v>
      </c>
      <c r="I201" s="16">
        <v>42593.883310185185</v>
      </c>
      <c r="J201" s="7">
        <v>0</v>
      </c>
      <c r="K201" s="149" t="str">
        <f>IF(ISEVEN(B201),(B201-1)&amp;"/"&amp;B201,B201&amp;"/"&amp;(B201+1))</f>
        <v>4031/4032</v>
      </c>
      <c r="L201" s="25" t="str">
        <f>VLOOKUP(A201,'Trips&amp;Operators'!$C$1:$E$10000,3,FALSE)</f>
        <v>HAITHCOX</v>
      </c>
      <c r="M201" s="6">
        <f>I201-F201</f>
        <v>7.1643518531345762E-3</v>
      </c>
      <c r="N201" s="7">
        <f>24*60*SUM($M201:$M201)</f>
        <v>10.31666666851379</v>
      </c>
      <c r="O201" s="7"/>
      <c r="P201" s="7"/>
      <c r="Q201" s="26"/>
      <c r="R201" s="26"/>
      <c r="S201" s="38">
        <f>SUM(U201:U201)/IF(AG201="EC",12,1)</f>
        <v>0</v>
      </c>
      <c r="T201" s="55" t="str">
        <f>IF(ISEVEN(LEFT(AD201,4)),"Southbound","NorthBound")</f>
        <v>NorthBound</v>
      </c>
      <c r="U201" s="13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15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https://search-rtdc-monitor-bjffxe2xuh6vdkpspy63sjmuny.us-east-1.es.amazonaws.com/_plugin/kibana/#/discover/Steve-Slow-Train-Analysis-(2080s-and-2083s)?_g=(refreshInterval:(display:Off,section:0,value:0),time:(from:'2016-08-11 19:56:10-0600',mode:absolute,to:'2016-08-11 22:11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1" s="57" t="str">
        <f>IF(AA201&lt;IF(AG201="EC",23,5.65),"Y","N")</f>
        <v>Y</v>
      </c>
      <c r="X201" s="133">
        <f>VALUE(LEFT(AD201,4))-VALUE(LEFT(AD155,4))</f>
        <v>63</v>
      </c>
      <c r="Y201" s="72">
        <f>RIGHT(D201,LEN(D201)-4)/10000</f>
        <v>4.5499999999999999E-2</v>
      </c>
      <c r="Z201" s="72">
        <f>RIGHT(H201,LEN(H201)-4)/10000</f>
        <v>7.8100000000000003E-2</v>
      </c>
      <c r="AA201" s="72">
        <f>ABS(Z201-Y201)</f>
        <v>3.2600000000000004E-2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>IF(LEN(A201)=6,"0"&amp;A201,A201)</f>
        <v>0307-11</v>
      </c>
      <c r="AE201" s="108" t="str">
        <f t="shared" si="128"/>
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</c>
      <c r="AF201" s="105" t="str">
        <f t="shared" si="129"/>
        <v>"C:\Program Files (x86)\AstroGrep\AstroGrep.exe" /spath="%USERPROFILE%\AppData\Local\Temp\OnboardLogs" /stypes="*4031*20160812*" /stext=" 03:.+((SYSTEM_STATE.+slice.+state.+changed )|(ment ac)|(system.+state.+changed )|(\|lc)|(penalty)|(\[timeout)|(PRM\|1\|D)|(kpr)|(kdp))" /e /r /s</v>
      </c>
      <c r="AG201" s="1" t="str">
        <f>IF(VALUE(LEFT(AD201,2))&lt;=2,"EC",IF(OR(VALUE(LEFT(AD201,2))=8,VALUE(LEFT(AD201,2))=18),"NW","Other"))</f>
        <v>Other</v>
      </c>
      <c r="AH201" s="109" t="str">
        <f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</f>
        <v>"%USERPROFILE%\Documents\GitHub\eaglep3\Utilities\RefineRTDCRunTimes.py" --tripid 307-11 --locoid 4031 --swversion DE.1.0.7.0 --startMP 204:455 --initTime 2016-08-11T20:56:10 --startdatetime 2016-08-11T21:01:39 --delay 5 --endMP 204:781 --enddatetime 2016-08-11T21:11:58 --enforcementcount 0</v>
      </c>
    </row>
    <row r="202" spans="1:34" x14ac:dyDescent="0.25">
      <c r="A202" s="42" t="s">
        <v>495</v>
      </c>
      <c r="B202" s="7">
        <v>4014</v>
      </c>
      <c r="C202" s="25" t="s">
        <v>130</v>
      </c>
      <c r="D202" s="25" t="s">
        <v>199</v>
      </c>
      <c r="E202" s="16">
        <v>42594.049618055556</v>
      </c>
      <c r="F202" s="16">
        <v>42594.050717592596</v>
      </c>
      <c r="G202" s="7">
        <v>1</v>
      </c>
      <c r="H202" s="16" t="s">
        <v>496</v>
      </c>
      <c r="I202" s="16">
        <v>42594.059641203705</v>
      </c>
      <c r="J202" s="7">
        <v>0</v>
      </c>
      <c r="K202" s="149" t="str">
        <f>IF(ISEVEN(B202),(B202-1)&amp;"/"&amp;B202,B202&amp;"/"&amp;(B202+1))</f>
        <v>4013/4014</v>
      </c>
      <c r="L202" s="25" t="str">
        <f>VLOOKUP(A202,'Trips&amp;Operators'!$C$1:$E$10000,3,FALSE)</f>
        <v>STURGEON</v>
      </c>
      <c r="M202" s="6">
        <f>I202-F202</f>
        <v>8.923611108912155E-3</v>
      </c>
      <c r="N202" s="7">
        <f>24*60*SUM($M202:$M202)</f>
        <v>12.849999996833503</v>
      </c>
      <c r="O202" s="7"/>
      <c r="P202" s="7"/>
      <c r="Q202" s="26"/>
      <c r="R202" s="26"/>
      <c r="S202" s="38">
        <f>SUM(U202:U202)/IF(AG202="EC",12,1)</f>
        <v>1</v>
      </c>
      <c r="T202" s="55" t="str">
        <f>IF(ISEVEN(LEFT(AD202,4)),"Southbound","NorthBound")</f>
        <v>NorthBound</v>
      </c>
      <c r="U202" s="13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5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https://search-rtdc-monitor-bjffxe2xuh6vdkpspy63sjmuny.us-east-1.es.amazonaws.com/_plugin/kibana/#/discover/Steve-Slow-Train-Analysis-(2080s-and-2083s)?_g=(refreshInterval:(display:Off,section:0,value:0),time:(from:'2016-08-12 00:11:27-0600',mode:absolute,to:'2016-08-12 02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202" s="57" t="str">
        <f>IF(AA202&lt;IF(AG202="EC",23,5.65),"Y","N")</f>
        <v>Y</v>
      </c>
      <c r="X202" s="133">
        <f>VALUE(LEFT(AD202,4))-VALUE(LEFT(AD201,4))</f>
        <v>4</v>
      </c>
      <c r="Y202" s="72">
        <f>RIGHT(D202,LEN(D202)-4)/10000</f>
        <v>4.58E-2</v>
      </c>
      <c r="Z202" s="72">
        <f>RIGHT(H202,LEN(H202)-4)/10000</f>
        <v>2.2696999999999998</v>
      </c>
      <c r="AA202" s="72">
        <f>ABS(Z202-Y202)</f>
        <v>2.2239</v>
      </c>
      <c r="AB202" s="69" t="e">
        <f>VLOOKUP(A202,Enforcements!$C$7:$J$24,8,0)</f>
        <v>#N/A</v>
      </c>
      <c r="AC202" s="65" t="e">
        <f>VLOOKUP(A202,Enforcements!$C$7:$E$24,3,0)</f>
        <v>#N/A</v>
      </c>
      <c r="AD202" s="66" t="str">
        <f>IF(LEN(A202)=6,"0"&amp;A202,A202)</f>
        <v>0311-11</v>
      </c>
      <c r="AE202" s="108" t="str">
        <f t="shared" si="128"/>
        <v>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 &amp; aws s3 cp s3://rtdc.mdm.uploadarchive/RTDC4014/2016-08-13/ "%USERPROFILE%\AppData\Local\Temp\OnboardLogs"\RTDC4014\2016-08-13 --recursive &amp; "%USERPROFILE%\Documents\GitHub\mrs-test-scripts\Headless Mode &amp; Sideloading\WalkAndUnGZ.bat" "%USERPROFILE%\AppData\Local\Temp\OnboardLogs"\RTDC4014\2016-08-13</v>
      </c>
      <c r="AF202" s="105" t="str">
        <f t="shared" si="129"/>
        <v>"C:\Program Files (x86)\AstroGrep\AstroGrep.exe" /spath="%USERPROFILE%\AppData\Local\Temp\OnboardLogs" /stypes="*4014*20160812*" /stext=" 07:.+((SYSTEM_STATE.+slice.+state.+changed )|(ment ac)|(system.+state.+changed )|(\|lc)|(penalty)|(\[timeout)|(PRM\|1\|D)|(kpr)|(kdp))" /e /r /s</v>
      </c>
      <c r="AG202" s="1" t="str">
        <f>IF(VALUE(LEFT(AD202,2))&lt;=2,"EC",IF(OR(VALUE(LEFT(AD202,2))=8,VALUE(LEFT(AD202,2))=18),"NW","Other"))</f>
        <v>Other</v>
      </c>
      <c r="AH202" s="109" t="str">
        <f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</f>
        <v>"%USERPROFILE%\Documents\GitHub\eaglep3\Utilities\RefineRTDCRunTimes.py" --tripid 311-11 --locoid 4014 --swversion DE.1.0.7.0 --startMP 204:458 --initTime 2016-08-12T01:11:27 --startdatetime 2016-08-12T01:13:02 --delay 1 --endMP 300:22697 --enddatetime 2016-08-12T01:25:53 --enforcementcount 0</v>
      </c>
    </row>
    <row r="203" spans="1:34" x14ac:dyDescent="0.25">
      <c r="A203" s="42" t="s">
        <v>497</v>
      </c>
      <c r="B203" s="7">
        <v>4025</v>
      </c>
      <c r="C203" s="25" t="s">
        <v>130</v>
      </c>
      <c r="D203" s="25" t="s">
        <v>214</v>
      </c>
      <c r="E203" s="16">
        <v>42594.087685185186</v>
      </c>
      <c r="F203" s="16">
        <v>42594.089050925926</v>
      </c>
      <c r="G203" s="7">
        <v>1</v>
      </c>
      <c r="H203" s="16" t="s">
        <v>498</v>
      </c>
      <c r="I203" s="16">
        <v>42594.100300925929</v>
      </c>
      <c r="J203" s="7">
        <v>0</v>
      </c>
      <c r="K203" s="149" t="str">
        <f>IF(ISEVEN(B203),(B203-1)&amp;"/"&amp;B203,B203&amp;"/"&amp;(B203+1))</f>
        <v>4025/4026</v>
      </c>
      <c r="L203" s="25" t="str">
        <f>VLOOKUP(A203,'Trips&amp;Operators'!$C$1:$E$10000,3,FALSE)</f>
        <v>ISHMAE</v>
      </c>
      <c r="M203" s="6">
        <f>I203-F203</f>
        <v>1.1250000003201421E-2</v>
      </c>
      <c r="N203" s="7">
        <f>24*60*SUM($M203:$M203)</f>
        <v>16.200000004610047</v>
      </c>
      <c r="O203" s="7"/>
      <c r="P203" s="7"/>
      <c r="Q203" s="26"/>
      <c r="R203" s="26"/>
      <c r="S203" s="38">
        <f>SUM(U203:U203)/IF(AG203="EC",12,1)</f>
        <v>1</v>
      </c>
      <c r="T203" s="55" t="str">
        <f>IF(ISEVEN(LEFT(AD203,4)),"Southbound","NorthBound")</f>
        <v>NorthBound</v>
      </c>
      <c r="U203" s="13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5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https://search-rtdc-monitor-bjffxe2xuh6vdkpspy63sjmuny.us-east-1.es.amazonaws.com/_plugin/kibana/#/discover/Steve-Slow-Train-Analysis-(2080s-and-2083s)?_g=(refreshInterval:(display:Off,section:0,value:0),time:(from:'2016-08-12 01:06:16-0600',mode:absolute,to:'2016-08-12 03:24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203" s="57" t="str">
        <f>IF(AA203&lt;IF(AG203="EC",23,5.65),"Y","N")</f>
        <v>Y</v>
      </c>
      <c r="X203" s="133">
        <f>VALUE(LEFT(AD203,4))-VALUE(LEFT(AD202,4))</f>
        <v>4</v>
      </c>
      <c r="Y203" s="72">
        <f>RIGHT(D203,LEN(D203)-4)/10000</f>
        <v>4.8899999999999999E-2</v>
      </c>
      <c r="Z203" s="72">
        <f>RIGHT(H203,LEN(H203)-4)/10000</f>
        <v>2.3308</v>
      </c>
      <c r="AA203" s="72">
        <f>ABS(Z203-Y203)</f>
        <v>2.2818999999999998</v>
      </c>
      <c r="AB203" s="69" t="e">
        <f>VLOOKUP(A203,Enforcements!$C$7:$J$24,8,0)</f>
        <v>#N/A</v>
      </c>
      <c r="AC203" s="65" t="e">
        <f>VLOOKUP(A203,Enforcements!$C$7:$E$24,3,0)</f>
        <v>#N/A</v>
      </c>
      <c r="AD203" s="66" t="str">
        <f>IF(LEN(A203)=6,"0"&amp;A203,A203)</f>
        <v>0315-11</v>
      </c>
      <c r="AE203" s="108" t="str">
        <f t="shared" si="128"/>
        <v>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 &amp; aws s3 cp s3://rtdc.mdm.uploadarchive/RTDC4025/2016-08-13/ "%USERPROFILE%\AppData\Local\Temp\OnboardLogs"\RTDC4025\2016-08-13 --recursive &amp; "%USERPROFILE%\Documents\GitHub\mrs-test-scripts\Headless Mode &amp; Sideloading\WalkAndUnGZ.bat" "%USERPROFILE%\AppData\Local\Temp\OnboardLogs"\RTDC4025\2016-08-13</v>
      </c>
      <c r="AF203" s="105" t="str">
        <f t="shared" si="129"/>
        <v>"C:\Program Files (x86)\AstroGrep\AstroGrep.exe" /spath="%USERPROFILE%\AppData\Local\Temp\OnboardLogs" /stypes="*4025*20160812*" /stext=" 08:.+((SYSTEM_STATE.+slice.+state.+changed )|(ment ac)|(system.+state.+changed )|(\|lc)|(penalty)|(\[timeout)|(PRM\|1\|D)|(kpr)|(kdp))" /e /r /s</v>
      </c>
      <c r="AG203" s="1" t="str">
        <f>IF(VALUE(LEFT(AD203,2))&lt;=2,"EC",IF(OR(VALUE(LEFT(AD203,2))=8,VALUE(LEFT(AD203,2))=18),"NW","Other"))</f>
        <v>Other</v>
      </c>
      <c r="AH203" s="109" t="str">
        <f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</f>
        <v>"%USERPROFILE%\Documents\GitHub\eaglep3\Utilities\RefineRTDCRunTimes.py" --tripid 315-11 --locoid 4025 --swversion DE.1.0.7.0 --startMP 204:489 --initTime 2016-08-12T02:06:16 --startdatetime 2016-08-12T02:08:14 --delay 1 --endMP 300:23308 --enddatetime 2016-08-12T02:24:26 --enforcementcount 0</v>
      </c>
    </row>
    <row r="204" spans="1:34" x14ac:dyDescent="0.25">
      <c r="A204" s="42" t="s">
        <v>499</v>
      </c>
      <c r="B204" s="7">
        <v>4021</v>
      </c>
      <c r="C204" s="25" t="s">
        <v>130</v>
      </c>
      <c r="D204" s="25" t="s">
        <v>500</v>
      </c>
      <c r="E204" s="16">
        <v>42593.426168981481</v>
      </c>
      <c r="F204" s="16">
        <v>42593.430601851855</v>
      </c>
      <c r="G204" s="7">
        <v>6</v>
      </c>
      <c r="H204" s="16" t="s">
        <v>501</v>
      </c>
      <c r="I204" s="16">
        <v>42593.431956018518</v>
      </c>
      <c r="J204" s="7">
        <v>1</v>
      </c>
      <c r="K204" s="149" t="str">
        <f>IF(ISEVEN(B204),(B204-1)&amp;"/"&amp;B204,B204&amp;"/"&amp;(B204+1))</f>
        <v>4021/4022</v>
      </c>
      <c r="L204" s="25" t="str">
        <f>VLOOKUP(A204,'Trips&amp;Operators'!$C$1:$E$10000,3,FALSE)</f>
        <v>SWANSON</v>
      </c>
      <c r="M204" s="6">
        <f>I204-F204</f>
        <v>1.3541666630771942E-3</v>
      </c>
      <c r="N204" s="7">
        <f>24*60*SUM($M204:$M204)</f>
        <v>1.9499999948311597</v>
      </c>
      <c r="O204" s="7"/>
      <c r="P204" s="7"/>
      <c r="Q204" s="26"/>
      <c r="R204" s="26"/>
      <c r="S204" s="38">
        <f>SUM(U204:U204)/IF(AG204="EC",12,1)</f>
        <v>0</v>
      </c>
      <c r="T204" s="55" t="e">
        <f>IF(ISEVEN(LEFT(AD204,4)),"Southbound","NorthBound")</f>
        <v>#VALUE!</v>
      </c>
      <c r="U204" s="13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15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https://search-rtdc-monitor-bjffxe2xuh6vdkpspy63sjmuny.us-east-1.es.amazonaws.com/_plugin/kibana/#/discover/Steve-Slow-Train-Analysis-(2080s-and-2083s)?_g=(refreshInterval:(display:Off,section:0,value:0),time:(from:'2016-08-11 09:13:41-0600',mode:absolute,to:'2016-08-11 11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W204" s="57" t="str">
        <f>IF(AA204&lt;IF(AG204="EC",23,5.65),"Y","N")</f>
        <v>Y</v>
      </c>
      <c r="X204" s="133" t="e">
        <f>VALUE(LEFT(AD204,4))-VALUE(LEFT(AD203,4))</f>
        <v>#VALUE!</v>
      </c>
      <c r="Y204" s="72">
        <f>RIGHT(D204,LEN(D204)-4)/10000</f>
        <v>2.4559000000000002</v>
      </c>
      <c r="Z204" s="72">
        <f>RIGHT(H204,LEN(H204)-4)/10000</f>
        <v>2.4053</v>
      </c>
      <c r="AA204" s="72">
        <f>ABS(Z204-Y204)</f>
        <v>5.06000000000002E-2</v>
      </c>
      <c r="AB204" s="69" t="e">
        <f>VLOOKUP(A204,Enforcements!$C$7:$J$24,8,0)</f>
        <v>#N/A</v>
      </c>
      <c r="AC204" s="65" t="e">
        <f>VLOOKUP(A204,Enforcements!$C$7:$E$24,3,0)</f>
        <v>#N/A</v>
      </c>
      <c r="AD204" s="66" t="str">
        <f>IF(LEN(A204)=6,"0"&amp;A204,A204)</f>
        <v>50-11</v>
      </c>
      <c r="AE204" s="108" t="str">
        <f t="shared" si="128"/>
        <v>aws s3 cp s3://rtdc.mdm.uploadarchive/RTDC4021/2016-08-11/ "%USERPROFILE%\AppData\Local\Temp\OnboardLogs"\RTDC4021\2016-08-11 --recursive &amp; "%USERPROFILE%\Documents\GitHub\mrs-test-scripts\Headless Mode &amp; Sideloading\WalkAndUnGZ.bat" "%USERPROFILE%\AppData\Local\Temp\OnboardLogs"\RTDC4021\2016-08-11 &amp; 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</v>
      </c>
      <c r="AF204" s="105" t="str">
        <f t="shared" si="129"/>
        <v>"C:\Program Files (x86)\AstroGrep\AstroGrep.exe" /spath="%USERPROFILE%\AppData\Local\Temp\OnboardLogs" /stypes="*4021*20160811*" /stext=" 16:.+((SYSTEM_STATE.+slice.+state.+changed )|(ment ac)|(system.+state.+changed )|(\|lc)|(penalty)|(\[timeout)|(PRM\|1\|D)|(kpr)|(kdp))" /e /r /s</v>
      </c>
      <c r="AG204" s="1" t="str">
        <f>IF(VALUE(LEFT(AD204,2))&lt;=2,"EC",IF(OR(VALUE(LEFT(AD204,2))=8,VALUE(LEFT(AD204,2))=18),"NW","Other"))</f>
        <v>Other</v>
      </c>
      <c r="AH204" s="109" t="str">
        <f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</f>
        <v>"%USERPROFILE%\Documents\GitHub\eaglep3\Utilities\RefineRTDCRunTimes.py" --tripid 50-11 --locoid 4021 --swversion DE.1.0.7.0 --startMP 300:24559 --initTime 2016-08-11T10:13:41 --startdatetime 2016-08-11T10:20:04 --delay 6 --endMP 300:24053 --enddatetime 2016-08-11T10:22:01 --enforcementcount 1</v>
      </c>
    </row>
    <row r="205" spans="1:34" x14ac:dyDescent="0.25">
      <c r="A205" s="42" t="s">
        <v>502</v>
      </c>
      <c r="B205" s="7">
        <v>4021</v>
      </c>
      <c r="C205" s="25" t="s">
        <v>130</v>
      </c>
      <c r="D205" s="25" t="s">
        <v>503</v>
      </c>
      <c r="E205" s="16">
        <v>42593.503136574072</v>
      </c>
      <c r="F205" s="16">
        <v>42593.507187499999</v>
      </c>
      <c r="G205" s="7">
        <v>5</v>
      </c>
      <c r="H205" s="16" t="s">
        <v>504</v>
      </c>
      <c r="I205" s="16">
        <v>42593.507881944446</v>
      </c>
      <c r="J205" s="7">
        <v>1</v>
      </c>
      <c r="K205" s="149" t="str">
        <f>IF(ISEVEN(B205),(B205-1)&amp;"/"&amp;B205,B205&amp;"/"&amp;(B205+1))</f>
        <v>4021/4022</v>
      </c>
      <c r="L205" s="25" t="str">
        <f>VLOOKUP(A205,'Trips&amp;Operators'!$C$1:$E$10000,3,FALSE)</f>
        <v>HAITHCOX</v>
      </c>
      <c r="M205" s="6">
        <f>I205-F205</f>
        <v>6.944444467080757E-4</v>
      </c>
      <c r="N205" s="7">
        <f>24*60*SUM($M205:$M205)</f>
        <v>1.000000003259629</v>
      </c>
      <c r="O205" s="7"/>
      <c r="P205" s="7"/>
      <c r="Q205" s="26"/>
      <c r="R205" s="26"/>
      <c r="S205" s="38">
        <f>SUM(U205:U205)/IF(AG205="EC",12,1)</f>
        <v>0</v>
      </c>
      <c r="T205" s="55" t="e">
        <f>IF(ISEVEN(LEFT(AD205,4)),"Southbound","NorthBound")</f>
        <v>#VALUE!</v>
      </c>
      <c r="U205" s="13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15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https://search-rtdc-monitor-bjffxe2xuh6vdkpspy63sjmuny.us-east-1.es.amazonaws.com/_plugin/kibana/#/discover/Steve-Slow-Train-Analysis-(2080s-and-2083s)?_g=(refreshInterval:(display:Off,section:0,value:0),time:(from:'2016-08-11 11:04:31-0600',mode:absolute,to:'2016-08-11 13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W205" s="57" t="str">
        <f>IF(AA205&lt;IF(AG205="EC",23,5.65),"Y","N")</f>
        <v>Y</v>
      </c>
      <c r="X205" s="133" t="e">
        <f>VALUE(LEFT(AD205,4))-VALUE(LEFT(AD204,4))</f>
        <v>#VALUE!</v>
      </c>
      <c r="Y205" s="72">
        <f>RIGHT(D205,LEN(D205)-4)/10000</f>
        <v>2.4409000000000001</v>
      </c>
      <c r="Z205" s="72">
        <f>RIGHT(H205,LEN(H205)-4)/10000</f>
        <v>2.4281999999999999</v>
      </c>
      <c r="AA205" s="72">
        <f>ABS(Z205-Y205)</f>
        <v>1.2700000000000156E-2</v>
      </c>
      <c r="AB205" s="69" t="e">
        <f>VLOOKUP(A205,Enforcements!$C$7:$J$24,8,0)</f>
        <v>#N/A</v>
      </c>
      <c r="AC205" s="65" t="e">
        <f>VLOOKUP(A205,Enforcements!$C$7:$E$24,3,0)</f>
        <v>#N/A</v>
      </c>
      <c r="AD205" s="66" t="str">
        <f>IF(LEN(A205)=6,"0"&amp;A205,A205)</f>
        <v>52-11</v>
      </c>
      <c r="AE205" s="108" t="str">
        <f t="shared" si="128"/>
        <v>aws s3 cp s3://rtdc.mdm.uploadarchive/RTDC4021/2016-08-11/ "%USERPROFILE%\AppData\Local\Temp\OnboardLogs"\RTDC4021\2016-08-11 --recursive &amp; "%USERPROFILE%\Documents\GitHub\mrs-test-scripts\Headless Mode &amp; Sideloading\WalkAndUnGZ.bat" "%USERPROFILE%\AppData\Local\Temp\OnboardLogs"\RTDC4021\2016-08-11 &amp; 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</v>
      </c>
      <c r="AF205" s="105" t="str">
        <f t="shared" si="129"/>
        <v>"C:\Program Files (x86)\AstroGrep\AstroGrep.exe" /spath="%USERPROFILE%\AppData\Local\Temp\OnboardLogs" /stypes="*4021*20160811*" /stext=" 18:.+((SYSTEM_STATE.+slice.+state.+changed )|(ment ac)|(system.+state.+changed )|(\|lc)|(penalty)|(\[timeout)|(PRM\|1\|D)|(kpr)|(kdp))" /e /r /s</v>
      </c>
      <c r="AG205" s="1" t="str">
        <f>IF(VALUE(LEFT(AD205,2))&lt;=2,"EC",IF(OR(VALUE(LEFT(AD205,2))=8,VALUE(LEFT(AD205,2))=18),"NW","Other"))</f>
        <v>Other</v>
      </c>
      <c r="AH205" s="109" t="str">
        <f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</f>
        <v>"%USERPROFILE%\Documents\GitHub\eaglep3\Utilities\RefineRTDCRunTimes.py" --tripid 52-11 --locoid 4021 --swversion DE.1.0.7.0 --startMP 300:24409 --initTime 2016-08-11T12:04:31 --startdatetime 2016-08-11T12:10:21 --delay 5 --endMP 300:24282 --enddatetime 2016-08-11T12:11:21 --enforcementcount 1</v>
      </c>
    </row>
    <row r="206" spans="1:34" x14ac:dyDescent="0.25">
      <c r="A206" s="42" t="s">
        <v>604</v>
      </c>
      <c r="B206" s="7">
        <v>4004</v>
      </c>
      <c r="C206" s="25" t="s">
        <v>130</v>
      </c>
      <c r="D206" s="25" t="s">
        <v>605</v>
      </c>
      <c r="E206" s="16">
        <v>42593.634062500001</v>
      </c>
      <c r="F206" s="16">
        <v>42593.638518518521</v>
      </c>
      <c r="G206" s="7">
        <v>6</v>
      </c>
      <c r="H206" s="16" t="s">
        <v>606</v>
      </c>
      <c r="I206" s="16">
        <v>42593.645428240743</v>
      </c>
      <c r="J206" s="7">
        <v>0</v>
      </c>
      <c r="K206" s="149" t="str">
        <f t="shared" si="114"/>
        <v>4003/4004</v>
      </c>
      <c r="L206" s="25" t="str">
        <f>VLOOKUP(A206,'Trips&amp;Operators'!$C$1:$E$10000,3,FALSE)</f>
        <v>ROBINSON</v>
      </c>
      <c r="M206" s="6">
        <f t="shared" si="115"/>
        <v>6.9097222221898846E-3</v>
      </c>
      <c r="N206" s="7">
        <f t="shared" si="116"/>
        <v>9.9499999999534339</v>
      </c>
      <c r="O206" s="7"/>
      <c r="P206" s="7"/>
      <c r="Q206" s="26"/>
      <c r="R206" s="26"/>
      <c r="S206" s="38">
        <f t="shared" si="117"/>
        <v>1</v>
      </c>
      <c r="T206" s="55" t="str">
        <f t="shared" si="118"/>
        <v>Southbound</v>
      </c>
      <c r="U206" s="13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14:13:03-0600',mode:absolute,to:'2016-08-11 16:29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206" s="57" t="str">
        <f t="shared" si="120"/>
        <v>Y</v>
      </c>
      <c r="X206" s="133">
        <f>VALUE(LEFT(AD206,4))-VALUE(LEFT(AD200,4))</f>
        <v>57</v>
      </c>
      <c r="Y206" s="72">
        <f t="shared" si="122"/>
        <v>2.3569</v>
      </c>
      <c r="Z206" s="72">
        <f t="shared" si="123"/>
        <v>6.8199999999999997E-2</v>
      </c>
      <c r="AA206" s="72">
        <f t="shared" si="124"/>
        <v>2.2887</v>
      </c>
      <c r="AB206" s="69" t="e">
        <f>VLOOKUP(A206,Enforcements!$C$7:$J$24,8,0)</f>
        <v>#N/A</v>
      </c>
      <c r="AC206" s="65" t="e">
        <f>VLOOKUP(A206,Enforcements!$C$7:$E$24,3,0)</f>
        <v>#N/A</v>
      </c>
      <c r="AD206" s="66" t="str">
        <f t="shared" si="125"/>
        <v>0904-11</v>
      </c>
      <c r="AE206" s="108" t="str">
        <f t="shared" si="128"/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AF206" s="105" t="str">
        <f t="shared" si="129"/>
        <v>"C:\Program Files (x86)\AstroGrep\AstroGrep.exe" /spath="%USERPROFILE%\AppData\Local\Temp\OnboardLogs" /stypes="*4004*20160811*" /stext=" 21:.+((SYSTEM_STATE.+slice.+state.+changed )|(ment ac)|(system.+state.+changed )|(\|lc)|(penalty)|(\[timeout)|(PRM\|1\|D)|(kpr)|(kdp))" /e /r /s</v>
      </c>
      <c r="AG206" s="1" t="str">
        <f t="shared" si="127"/>
        <v>Other</v>
      </c>
      <c r="AH206" s="109" t="str">
        <f t="shared" si="126"/>
        <v>"%USERPROFILE%\Documents\GitHub\eaglep3\Utilities\RefineRTDCRunTimes.py" --tripid 904-11 --locoid 4004 --swversion DE.1.0.7.0 --startMP 300:23569 --initTime 2016-08-11T15:13:03 --startdatetime 2016-08-11T15:19:28 --delay 6 --endMP 204:682 --enddatetime 2016-08-11T15:29:25 --enforcementcount 0</v>
      </c>
    </row>
    <row r="207" spans="1:34" x14ac:dyDescent="0.25">
      <c r="A207" s="42" t="s">
        <v>607</v>
      </c>
      <c r="B207" s="7">
        <v>4004</v>
      </c>
      <c r="C207" s="25" t="s">
        <v>130</v>
      </c>
      <c r="D207" s="25" t="s">
        <v>258</v>
      </c>
      <c r="E207" s="16">
        <v>42593.796365740738</v>
      </c>
      <c r="F207" s="16">
        <v>42593.797256944446</v>
      </c>
      <c r="G207" s="7">
        <v>1</v>
      </c>
      <c r="H207" s="16" t="s">
        <v>608</v>
      </c>
      <c r="I207" s="16">
        <v>42593.802719907406</v>
      </c>
      <c r="J207" s="7">
        <v>0</v>
      </c>
      <c r="K207" s="149" t="str">
        <f t="shared" si="114"/>
        <v>4003/4004</v>
      </c>
      <c r="L207" s="25" t="str">
        <f>VLOOKUP(A207,'Trips&amp;Operators'!$C$1:$E$10000,3,FALSE)</f>
        <v>ROBINSON</v>
      </c>
      <c r="M207" s="6">
        <f t="shared" si="115"/>
        <v>5.4629629594273865E-3</v>
      </c>
      <c r="N207" s="7">
        <f t="shared" si="116"/>
        <v>7.8666666615754366</v>
      </c>
      <c r="O207" s="7"/>
      <c r="P207" s="7"/>
      <c r="Q207" s="26"/>
      <c r="R207" s="26"/>
      <c r="S207" s="38">
        <f t="shared" si="117"/>
        <v>0</v>
      </c>
      <c r="T207" s="55" t="str">
        <f t="shared" si="118"/>
        <v>Southbound</v>
      </c>
      <c r="U207" s="13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18:06:46-0600',mode:absolute,to:'2016-08-11 20:15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W207" s="57" t="str">
        <f t="shared" si="120"/>
        <v>Y</v>
      </c>
      <c r="X207" s="133">
        <f t="shared" si="121"/>
        <v>2</v>
      </c>
      <c r="Y207" s="72">
        <f t="shared" si="122"/>
        <v>5.8644999999999996</v>
      </c>
      <c r="Z207" s="72">
        <f t="shared" si="123"/>
        <v>2.8791000000000002</v>
      </c>
      <c r="AA207" s="72">
        <f t="shared" si="124"/>
        <v>2.9853999999999994</v>
      </c>
      <c r="AB207" s="69" t="e">
        <f>VLOOKUP(A207,Enforcements!$C$7:$J$24,8,0)</f>
        <v>#N/A</v>
      </c>
      <c r="AC207" s="65" t="e">
        <f>VLOOKUP(A207,Enforcements!$C$7:$E$24,3,0)</f>
        <v>#N/A</v>
      </c>
      <c r="AD207" s="66" t="str">
        <f t="shared" si="125"/>
        <v>0906-11</v>
      </c>
      <c r="AE207" s="108" t="str">
        <f t="shared" si="128"/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AF207" s="105" t="str">
        <f t="shared" si="129"/>
        <v>"C:\Program Files (x86)\AstroGrep\AstroGrep.exe" /spath="%USERPROFILE%\AppData\Local\Temp\OnboardLogs" /stypes="*4004*20160812*" /stext=" 01:.+((SYSTEM_STATE.+slice.+state.+changed )|(ment ac)|(system.+state.+changed )|(\|lc)|(penalty)|(\[timeout)|(PRM\|1\|D)|(kpr)|(kdp))" /e /r /s</v>
      </c>
      <c r="AG207" s="1" t="str">
        <f t="shared" si="127"/>
        <v>Other</v>
      </c>
      <c r="AH207" s="109" t="str">
        <f t="shared" si="126"/>
        <v>"%USERPROFILE%\Documents\GitHub\eaglep3\Utilities\RefineRTDCRunTimes.py" --tripid 906-11 --locoid 4004 --swversion DE.1.0.7.0 --startMP 300:58645 --initTime 2016-08-11T19:06:46 --startdatetime 2016-08-11T19:08:03 --delay 1 --endMP 300:28791 --enddatetime 2016-08-11T19:15:55 --enforcementcount 0</v>
      </c>
    </row>
    <row r="208" spans="1:34" x14ac:dyDescent="0.25">
      <c r="A208" s="42" t="s">
        <v>609</v>
      </c>
      <c r="B208" s="7">
        <v>4041</v>
      </c>
      <c r="C208" s="25" t="s">
        <v>130</v>
      </c>
      <c r="D208" s="25" t="s">
        <v>610</v>
      </c>
      <c r="E208" s="16">
        <v>42593.943773148145</v>
      </c>
      <c r="F208" s="16">
        <v>42593.944745370369</v>
      </c>
      <c r="G208" s="7">
        <v>1</v>
      </c>
      <c r="H208" s="16" t="s">
        <v>611</v>
      </c>
      <c r="I208" s="16">
        <v>42593.94972222222</v>
      </c>
      <c r="J208" s="7">
        <v>0</v>
      </c>
      <c r="K208" s="149" t="str">
        <f t="shared" si="114"/>
        <v>4041/4042</v>
      </c>
      <c r="L208" s="25" t="str">
        <f>VLOOKUP(A208,'Trips&amp;Operators'!$C$1:$E$10000,3,FALSE)</f>
        <v>ROBINSON</v>
      </c>
      <c r="M208" s="6">
        <f t="shared" si="115"/>
        <v>4.9768518510973081E-3</v>
      </c>
      <c r="N208" s="7">
        <f t="shared" si="116"/>
        <v>7.1666666655801237</v>
      </c>
      <c r="O208" s="7"/>
      <c r="P208" s="7"/>
      <c r="Q208" s="26"/>
      <c r="R208" s="26"/>
      <c r="S208" s="38">
        <f t="shared" si="117"/>
        <v>0</v>
      </c>
      <c r="T208" s="55" t="str">
        <f t="shared" si="118"/>
        <v>Southbound</v>
      </c>
      <c r="U208" s="13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15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https://search-rtdc-monitor-bjffxe2xuh6vdkpspy63sjmuny.us-east-1.es.amazonaws.com/_plugin/kibana/#/discover/Steve-Slow-Train-Analysis-(2080s-and-2083s)?_g=(refreshInterval:(display:Off,section:0,value:0),time:(from:'2016-08-11 21:39:02-0600',mode:absolute,to:'2016-08-11 23:47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208" s="57" t="str">
        <f t="shared" si="120"/>
        <v>Y</v>
      </c>
      <c r="X208" s="133">
        <f t="shared" si="121"/>
        <v>2</v>
      </c>
      <c r="Y208" s="72">
        <f t="shared" si="122"/>
        <v>5.8619000000000003</v>
      </c>
      <c r="Z208" s="72">
        <f t="shared" si="123"/>
        <v>2.1606000000000001</v>
      </c>
      <c r="AA208" s="72">
        <f t="shared" si="124"/>
        <v>3.7013000000000003</v>
      </c>
      <c r="AB208" s="69" t="e">
        <f>VLOOKUP(A208,Enforcements!$C$7:$J$24,8,0)</f>
        <v>#N/A</v>
      </c>
      <c r="AC208" s="65" t="e">
        <f>VLOOKUP(A208,Enforcements!$C$7:$E$24,3,0)</f>
        <v>#N/A</v>
      </c>
      <c r="AD208" s="66" t="str">
        <f t="shared" si="125"/>
        <v>0908-11</v>
      </c>
      <c r="AE208" s="108" t="str">
        <f t="shared" si="128"/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AF208" s="105" t="str">
        <f t="shared" si="129"/>
        <v>"C:\Program Files (x86)\AstroGrep\AstroGrep.exe" /spath="%USERPROFILE%\AppData\Local\Temp\OnboardLogs" /stypes="*4041*20160812*" /stext=" 04:.+((SYSTEM_STATE.+slice.+state.+changed )|(ment ac)|(system.+state.+changed )|(\|lc)|(penalty)|(\[timeout)|(PRM\|1\|D)|(kpr)|(kdp))" /e /r /s</v>
      </c>
      <c r="AG208" s="1" t="str">
        <f t="shared" si="127"/>
        <v>Other</v>
      </c>
      <c r="AH208" s="109" t="str">
        <f t="shared" si="126"/>
        <v>"%USERPROFILE%\Documents\GitHub\eaglep3\Utilities\RefineRTDCRunTimes.py" --tripid 908-11 --locoid 4041 --swversion DE.1.0.7.0 --startMP 300:58619 --initTime 2016-08-11T22:39:02 --startdatetime 2016-08-11T22:40:26 --delay 1 --endMP 300:21606 --enddatetime 2016-08-11T22:47:36 --enforcementcount 0</v>
      </c>
    </row>
  </sheetData>
  <autoFilter ref="A12:AG208"/>
  <sortState ref="A13:AH200">
    <sortCondition ref="AG13:AG200"/>
    <sortCondition ref="AD13:AD200"/>
  </sortState>
  <mergeCells count="1">
    <mergeCell ref="A11:P11"/>
  </mergeCells>
  <conditionalFormatting sqref="W11:W12 W13:X13 W143 W140:W141 X140:X143 W145:X145 W15:W19 X14:X19 W147:X1048576 W20:X139">
    <cfRule type="cellIs" dxfId="141" priority="189" operator="equal">
      <formula>"Y"</formula>
    </cfRule>
  </conditionalFormatting>
  <conditionalFormatting sqref="X145 X147:X1048576 X13:X143">
    <cfRule type="cellIs" dxfId="140" priority="172" operator="greaterThan">
      <formula>1</formula>
    </cfRule>
  </conditionalFormatting>
  <conditionalFormatting sqref="X145 X147:X1048576 X12:X143">
    <cfRule type="cellIs" dxfId="139" priority="169" operator="equal">
      <formula>0</formula>
    </cfRule>
  </conditionalFormatting>
  <conditionalFormatting sqref="A13:S13 A143:S143 A142:O142 A145:S145 A144:O144 A146:O146 A147:S208 A15:S141">
    <cfRule type="expression" dxfId="138" priority="165">
      <formula>$O13&gt;0</formula>
    </cfRule>
  </conditionalFormatting>
  <conditionalFormatting sqref="A13:S13 A143:S143 A142:O142 A145:S145 A144:O144 A146:O146 A147:S208 A15:S141">
    <cfRule type="expression" dxfId="137" priority="164">
      <formula>$P13&gt;0</formula>
    </cfRule>
  </conditionalFormatting>
  <conditionalFormatting sqref="W142">
    <cfRule type="cellIs" dxfId="136" priority="26" operator="equal">
      <formula>"Y"</formula>
    </cfRule>
  </conditionalFormatting>
  <conditionalFormatting sqref="P142:S142">
    <cfRule type="expression" dxfId="135" priority="23">
      <formula>$O142&gt;0</formula>
    </cfRule>
  </conditionalFormatting>
  <conditionalFormatting sqref="P142:S142">
    <cfRule type="expression" dxfId="134" priority="22">
      <formula>$P142&gt;0</formula>
    </cfRule>
  </conditionalFormatting>
  <conditionalFormatting sqref="X144">
    <cfRule type="cellIs" dxfId="133" priority="20" operator="equal">
      <formula>"Y"</formula>
    </cfRule>
  </conditionalFormatting>
  <conditionalFormatting sqref="X144">
    <cfRule type="cellIs" dxfId="132" priority="19" operator="greaterThan">
      <formula>1</formula>
    </cfRule>
  </conditionalFormatting>
  <conditionalFormatting sqref="X144">
    <cfRule type="cellIs" dxfId="131" priority="18" operator="equal">
      <formula>0</formula>
    </cfRule>
  </conditionalFormatting>
  <conditionalFormatting sqref="W144">
    <cfRule type="cellIs" dxfId="130" priority="17" operator="equal">
      <formula>"Y"</formula>
    </cfRule>
  </conditionalFormatting>
  <conditionalFormatting sqref="P144:S144">
    <cfRule type="expression" dxfId="129" priority="16">
      <formula>$O144&gt;0</formula>
    </cfRule>
  </conditionalFormatting>
  <conditionalFormatting sqref="P144:S144">
    <cfRule type="expression" dxfId="128" priority="15">
      <formula>$P144&gt;0</formula>
    </cfRule>
  </conditionalFormatting>
  <conditionalFormatting sqref="X146">
    <cfRule type="cellIs" dxfId="127" priority="13" operator="equal">
      <formula>"Y"</formula>
    </cfRule>
  </conditionalFormatting>
  <conditionalFormatting sqref="X146">
    <cfRule type="cellIs" dxfId="126" priority="12" operator="greaterThan">
      <formula>1</formula>
    </cfRule>
  </conditionalFormatting>
  <conditionalFormatting sqref="X146">
    <cfRule type="cellIs" dxfId="125" priority="11" operator="equal">
      <formula>0</formula>
    </cfRule>
  </conditionalFormatting>
  <conditionalFormatting sqref="W146">
    <cfRule type="cellIs" dxfId="124" priority="10" operator="equal">
      <formula>"Y"</formula>
    </cfRule>
  </conditionalFormatting>
  <conditionalFormatting sqref="P146:S146">
    <cfRule type="expression" dxfId="123" priority="9">
      <formula>$O146&gt;0</formula>
    </cfRule>
  </conditionalFormatting>
  <conditionalFormatting sqref="P146:S146">
    <cfRule type="expression" dxfId="122" priority="8">
      <formula>$P146&gt;0</formula>
    </cfRule>
  </conditionalFormatting>
  <conditionalFormatting sqref="W14">
    <cfRule type="cellIs" dxfId="121" priority="6" operator="equal">
      <formula>"Y"</formula>
    </cfRule>
  </conditionalFormatting>
  <conditionalFormatting sqref="A14:S14">
    <cfRule type="expression" dxfId="120" priority="3">
      <formula>$O14&gt;0</formula>
    </cfRule>
  </conditionalFormatting>
  <conditionalFormatting sqref="A14:S14">
    <cfRule type="expression" dxfId="119" priority="2">
      <formula>$P14&gt;0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A13:S13 A143:S143 A142:O142 A145:S145 A144:O144 A146:O146 A147:S208 A15:S141</xm:sqref>
        </x14:conditionalFormatting>
        <x14:conditionalFormatting xmlns:xm="http://schemas.microsoft.com/office/excel/2006/main">
          <x14:cfRule type="expression" priority="21" id="{E1E4970F-03F5-477B-BCE4-8C26FE110F0A}">
            <xm:f>IF($AG142="EC",$N142&gt;Variables!$C$2,$N142&gt;Variables!$D$2)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P142:S142</xm:sqref>
        </x14:conditionalFormatting>
        <x14:conditionalFormatting xmlns:xm="http://schemas.microsoft.com/office/excel/2006/main">
          <x14:cfRule type="expression" priority="14" id="{F0B01065-32C1-45CA-B90D-24191B991661}">
            <xm:f>IF($AG144="EC",$N144&gt;Variables!$C$2,$N144&gt;Variables!$D$2)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P144:S144</xm:sqref>
        </x14:conditionalFormatting>
        <x14:conditionalFormatting xmlns:xm="http://schemas.microsoft.com/office/excel/2006/main">
          <x14:cfRule type="expression" priority="7" id="{4686D4AC-A2F2-4136-9DC8-B21E7C0248C0}">
            <xm:f>IF($AG146="EC",$N146&gt;Variables!$C$2,$N146&gt;Variables!$D$2)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P146:S146</xm:sqref>
        </x14:conditionalFormatting>
        <x14:conditionalFormatting xmlns:xm="http://schemas.microsoft.com/office/excel/2006/main">
          <x14:cfRule type="expression" priority="1" id="{31EE8063-6E04-4071-BDD6-4E6F221D72AE}">
            <xm:f>IF($AG14="EC",$N14&gt;Variables!$C$2,$N14&gt;Variables!$D$2)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A14:S14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7"/>
  <sheetViews>
    <sheetView workbookViewId="0">
      <selection activeCell="N25" sqref="N25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7" customWidth="1"/>
    <col min="14" max="14" width="24.140625" customWidth="1"/>
    <col min="15" max="15" width="5" hidden="1" customWidth="1"/>
    <col min="16" max="16" width="5.7109375" style="106" customWidth="1"/>
    <col min="17" max="17" width="5.7109375" style="120" customWidth="1"/>
    <col min="18" max="18" width="6" style="103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7"/>
      <c r="P1" s="106"/>
      <c r="Q1" s="120"/>
      <c r="R1" s="103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92</v>
      </c>
      <c r="L2" s="75"/>
      <c r="M2" s="144">
        <f>COUNTIF($M$7:$M$442,"=Y")</f>
        <v>6</v>
      </c>
      <c r="P2" s="106"/>
      <c r="Q2" s="120"/>
      <c r="R2" s="103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93</v>
      </c>
      <c r="L3" s="76"/>
      <c r="M3" s="145">
        <f>COUNTA($M$7:$M$442)-M2</f>
        <v>35</v>
      </c>
      <c r="P3" s="106"/>
      <c r="Q3" s="120"/>
      <c r="R3" s="103"/>
      <c r="T3" s="53"/>
    </row>
    <row r="4" spans="1:22" s="24" customFormat="1" x14ac:dyDescent="0.25">
      <c r="A4" s="8"/>
      <c r="F4" s="2"/>
      <c r="G4" s="2"/>
      <c r="H4" s="2"/>
      <c r="J4" s="2"/>
      <c r="L4" s="31"/>
      <c r="M4" s="127"/>
      <c r="P4" s="106"/>
      <c r="Q4" s="120"/>
      <c r="R4" s="103"/>
      <c r="T4" s="53"/>
    </row>
    <row r="5" spans="1:22" s="12" customFormat="1" ht="15" customHeight="1" x14ac:dyDescent="0.25">
      <c r="A5" s="150" t="str">
        <f>"Eagle P3 Braking Events - "&amp;TEXT(Variables!$A$2,"YYYY-mm-dd")</f>
        <v>Eagle P3 Braking Events - 2016-08-11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3"/>
      <c r="P5" s="117"/>
      <c r="Q5" s="121"/>
      <c r="R5" s="124"/>
      <c r="T5" s="54"/>
    </row>
    <row r="6" spans="1:22" s="1" customFormat="1" ht="105" x14ac:dyDescent="0.25">
      <c r="A6" s="11" t="s">
        <v>38</v>
      </c>
      <c r="B6" s="77" t="s">
        <v>37</v>
      </c>
      <c r="C6" s="77" t="s">
        <v>36</v>
      </c>
      <c r="D6" s="77" t="s">
        <v>35</v>
      </c>
      <c r="E6" s="77" t="s">
        <v>34</v>
      </c>
      <c r="F6" s="78" t="s">
        <v>33</v>
      </c>
      <c r="G6" s="78" t="s">
        <v>32</v>
      </c>
      <c r="H6" s="78" t="s">
        <v>31</v>
      </c>
      <c r="I6" s="77" t="s">
        <v>30</v>
      </c>
      <c r="J6" s="78" t="s">
        <v>29</v>
      </c>
      <c r="K6" s="77" t="s">
        <v>28</v>
      </c>
      <c r="L6" s="17" t="s">
        <v>47</v>
      </c>
      <c r="M6" s="146" t="s">
        <v>27</v>
      </c>
      <c r="N6" s="77" t="s">
        <v>24</v>
      </c>
      <c r="O6" s="55"/>
      <c r="P6" s="118" t="s">
        <v>108</v>
      </c>
      <c r="Q6" s="122" t="s">
        <v>64</v>
      </c>
      <c r="R6" s="125" t="s">
        <v>107</v>
      </c>
      <c r="S6" s="77" t="s">
        <v>102</v>
      </c>
      <c r="T6" s="79" t="s">
        <v>103</v>
      </c>
      <c r="U6" s="55" t="s">
        <v>119</v>
      </c>
      <c r="V6" s="55" t="s">
        <v>122</v>
      </c>
    </row>
    <row r="7" spans="1:22" s="1" customFormat="1" x14ac:dyDescent="0.25">
      <c r="A7" s="41">
        <v>42593.391979166663</v>
      </c>
      <c r="B7" s="34" t="s">
        <v>129</v>
      </c>
      <c r="C7" s="34" t="s">
        <v>344</v>
      </c>
      <c r="D7" s="34" t="s">
        <v>123</v>
      </c>
      <c r="E7" s="34" t="s">
        <v>115</v>
      </c>
      <c r="F7" s="52">
        <v>0</v>
      </c>
      <c r="G7" s="52">
        <v>339</v>
      </c>
      <c r="H7" s="52">
        <v>33175</v>
      </c>
      <c r="I7" s="34" t="s">
        <v>116</v>
      </c>
      <c r="J7" s="52">
        <v>33137</v>
      </c>
      <c r="K7" s="34" t="s">
        <v>52</v>
      </c>
      <c r="L7" s="101" t="str">
        <f>VLOOKUP(C7,'Trips&amp;Operators'!$C$1:$E$9999,3,0)</f>
        <v>STARKS</v>
      </c>
      <c r="M7" s="147" t="s">
        <v>91</v>
      </c>
      <c r="N7" s="10" t="s">
        <v>174</v>
      </c>
      <c r="O7" s="34"/>
      <c r="P7" s="119" t="str">
        <f>VLOOKUP(C7,'Train Runs'!$A$13:$AE$339,31,0)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Q7" s="123" t="str">
        <f>VLOOKUP(C7,'Train Runs'!$A$13:$AE$339,22,0)</f>
        <v>https://search-rtdc-monitor-bjffxe2xuh6vdkpspy63sjmuny.us-east-1.es.amazonaws.com/_plugin/kibana/#/discover/Steve-Slow-Train-Analysis-(2080s-and-2083s)?_g=(refreshInterval:(display:Off,section:0,value:0),time:(from:'2016-08-11 08:12:31-0600',mode:absolute,to:'2016-08-11 10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7" s="126" t="str">
        <f t="shared" ref="R7:R47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/stypes="*4014*201608111*" /stext=" 15:.+((SYSTEM_STATE.+slice.+state.+changed )|(ment ac)|(system.+state.+changed )|(\|lc)|(penalty)|(\[timeout)|(PRM\|1\|D)|(kpr)|(kdp))" /e /r /s</v>
      </c>
      <c r="S7" s="9" t="str">
        <f t="shared" ref="S7:S47" si="1">MID(B7,13,4)</f>
        <v>4014</v>
      </c>
      <c r="T7" s="41">
        <f t="shared" ref="T7:T47" si="2">A7+6/24</f>
        <v>42593.641979166663</v>
      </c>
      <c r="U7" s="55" t="str">
        <f t="shared" ref="U7:U47" si="3">IF(VALUE(LEFT(IF(LEN(C7)=6,"0"&amp;C7,C7),2))&lt;=2,"EC",IF(OR(VALUE(LEFT(IF(LEN(C7)=6,"0"&amp;C7,C7),2))=8,VALUE(LEFT(IF(LEN(C7)=6,"0"&amp;C7,C7),2))=18),"NW","GL"))</f>
        <v>EC</v>
      </c>
      <c r="V7" s="55" t="str">
        <f t="shared" ref="V7:V47" si="4">IF(AND(E7="TRACK WARRANT AUTHORITY",G7&lt;10),"OMIT","KEEP")</f>
        <v>KEEP</v>
      </c>
    </row>
    <row r="8" spans="1:22" s="1" customFormat="1" x14ac:dyDescent="0.25">
      <c r="A8" s="41">
        <v>42593.403634259259</v>
      </c>
      <c r="B8" s="34" t="s">
        <v>97</v>
      </c>
      <c r="C8" s="34" t="s">
        <v>347</v>
      </c>
      <c r="D8" s="34" t="s">
        <v>123</v>
      </c>
      <c r="E8" s="34" t="s">
        <v>115</v>
      </c>
      <c r="F8" s="52">
        <v>0</v>
      </c>
      <c r="G8" s="52">
        <v>358</v>
      </c>
      <c r="H8" s="52">
        <v>33154</v>
      </c>
      <c r="I8" s="34" t="s">
        <v>116</v>
      </c>
      <c r="J8" s="52">
        <v>33137</v>
      </c>
      <c r="K8" s="34" t="s">
        <v>52</v>
      </c>
      <c r="L8" s="101" t="str">
        <f>VLOOKUP(C8,'Trips&amp;Operators'!$C$1:$E$9999,3,0)</f>
        <v>MALAVE</v>
      </c>
      <c r="M8" s="147" t="s">
        <v>91</v>
      </c>
      <c r="N8" s="10" t="s">
        <v>174</v>
      </c>
      <c r="O8" s="34"/>
      <c r="P8" s="119" t="str">
        <f>VLOOKUP(C8,'Train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8" s="123" t="str">
        <f>VLOOKUP(C8,'Train Runs'!$A$13:$AE$339,22,0)</f>
        <v>https://search-rtdc-monitor-bjffxe2xuh6vdkpspy63sjmuny.us-east-1.es.amazonaws.com/_plugin/kibana/#/discover/Steve-Slow-Train-Analysis-(2080s-and-2083s)?_g=(refreshInterval:(display:Off,section:0,value:0),time:(from:'2016-08-11 08:30:56-0600',mode:absolute,to:'2016-08-11 11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8" s="126" t="str">
        <f t="shared" si="0"/>
        <v>"C:\Program Files (x86)\AstroGrep\AstroGrep.exe" /spath="%USERPROFILE%\AppData\Local\Temp\OnboardLogs" /stypes="*4025*201608111*" /stext=" 15:.+((SYSTEM_STATE.+slice.+state.+changed )|(ment ac)|(system.+state.+changed )|(\|lc)|(penalty)|(\[timeout)|(PRM\|1\|D)|(kpr)|(kdp))" /e /r /s</v>
      </c>
      <c r="S8" s="9" t="str">
        <f t="shared" si="1"/>
        <v>4025</v>
      </c>
      <c r="T8" s="41">
        <f t="shared" si="2"/>
        <v>42593.653634259259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42593.300057870372</v>
      </c>
      <c r="B9" s="34" t="s">
        <v>96</v>
      </c>
      <c r="C9" s="34" t="s">
        <v>302</v>
      </c>
      <c r="D9" s="34" t="s">
        <v>49</v>
      </c>
      <c r="E9" s="34" t="s">
        <v>115</v>
      </c>
      <c r="F9" s="52">
        <v>620</v>
      </c>
      <c r="G9" s="52">
        <v>806</v>
      </c>
      <c r="H9" s="52">
        <v>46662</v>
      </c>
      <c r="I9" s="34" t="s">
        <v>116</v>
      </c>
      <c r="J9" s="52">
        <v>42961</v>
      </c>
      <c r="K9" s="34" t="s">
        <v>53</v>
      </c>
      <c r="L9" s="101" t="str">
        <f>VLOOKUP(C9,'Trips&amp;Operators'!$C$1:$E$9999,3,0)</f>
        <v>STARKS</v>
      </c>
      <c r="M9" s="147" t="s">
        <v>91</v>
      </c>
      <c r="N9" s="10" t="s">
        <v>174</v>
      </c>
      <c r="O9" s="34"/>
      <c r="P9" s="119" t="str">
        <f>VLOOKUP(C9,'Train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9" s="123" t="str">
        <f>VLOOKUP(C9,'Train Runs'!$A$13:$AE$339,22,0)</f>
        <v>https://search-rtdc-monitor-bjffxe2xuh6vdkpspy63sjmuny.us-east-1.es.amazonaws.com/_plugin/kibana/#/discover/Steve-Slow-Train-Analysis-(2080s-and-2083s)?_g=(refreshInterval:(display:Off,section:0,value:0),time:(from:'2016-08-11 05:37:27-0600',mode:absolute,to:'2016-08-11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9" s="126" t="str">
        <f t="shared" si="0"/>
        <v>"C:\Program Files (x86)\AstroGrep\AstroGrep.exe" /spath="%USERPROFILE%\AppData\Local\Temp\OnboardLogs" /stypes="*4013*201608111*" /stext=" 13:.+((SYSTEM_STATE.+slice.+state.+changed )|(ment ac)|(system.+state.+changed )|(\|lc)|(penalty)|(\[timeout)|(PRM\|1\|D)|(kpr)|(kdp))" /e /r /s</v>
      </c>
      <c r="S9" s="9" t="str">
        <f t="shared" si="1"/>
        <v>4013</v>
      </c>
      <c r="T9" s="41">
        <f t="shared" si="2"/>
        <v>42593.550057870372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42593.446053240739</v>
      </c>
      <c r="B10" s="34" t="s">
        <v>96</v>
      </c>
      <c r="C10" s="34" t="s">
        <v>345</v>
      </c>
      <c r="D10" s="34" t="s">
        <v>49</v>
      </c>
      <c r="E10" s="34" t="s">
        <v>115</v>
      </c>
      <c r="F10" s="52">
        <v>0</v>
      </c>
      <c r="G10" s="52">
        <v>444</v>
      </c>
      <c r="H10" s="52">
        <v>48336</v>
      </c>
      <c r="I10" s="34" t="s">
        <v>116</v>
      </c>
      <c r="J10" s="52">
        <v>48048</v>
      </c>
      <c r="K10" s="34" t="s">
        <v>53</v>
      </c>
      <c r="L10" s="101" t="str">
        <f>VLOOKUP(C10,'Trips&amp;Operators'!$C$1:$E$9999,3,0)</f>
        <v>STARKS</v>
      </c>
      <c r="M10" s="147" t="s">
        <v>91</v>
      </c>
      <c r="N10" s="10" t="s">
        <v>174</v>
      </c>
      <c r="O10" s="34"/>
      <c r="P10" s="119" t="str">
        <f>VLOOKUP(C10,'Train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10" s="123" t="str">
        <f>VLOOKUP(C10,'Train Runs'!$A$13:$AE$339,22,0)</f>
        <v>https://search-rtdc-monitor-bjffxe2xuh6vdkpspy63sjmuny.us-east-1.es.amazonaws.com/_plugin/kibana/#/discover/Steve-Slow-Train-Analysis-(2080s-and-2083s)?_g=(refreshInterval:(display:Off,section:0,value:0),time:(from:'2016-08-11 09:06:30-0600',mode:absolute,to:'2016-08-11 11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10" s="126" t="str">
        <f t="shared" si="0"/>
        <v>"C:\Program Files (x86)\AstroGrep\AstroGrep.exe" /spath="%USERPROFILE%\AppData\Local\Temp\OnboardLogs" /stypes="*4013*201608111*" /stext=" 16:.+((SYSTEM_STATE.+slice.+state.+changed )|(ment ac)|(system.+state.+changed )|(\|lc)|(penalty)|(\[timeout)|(PRM\|1\|D)|(kpr)|(kdp))" /e /r /s</v>
      </c>
      <c r="S10" s="9" t="str">
        <f t="shared" si="1"/>
        <v>4013</v>
      </c>
      <c r="T10" s="41">
        <f t="shared" si="2"/>
        <v>42593.696053240739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42593.520312499997</v>
      </c>
      <c r="B11" s="34" t="s">
        <v>95</v>
      </c>
      <c r="C11" s="34" t="s">
        <v>371</v>
      </c>
      <c r="D11" s="34" t="s">
        <v>49</v>
      </c>
      <c r="E11" s="34" t="s">
        <v>115</v>
      </c>
      <c r="F11" s="52">
        <v>560</v>
      </c>
      <c r="G11" s="52">
        <v>636</v>
      </c>
      <c r="H11" s="52">
        <v>106188</v>
      </c>
      <c r="I11" s="34" t="s">
        <v>116</v>
      </c>
      <c r="J11" s="52">
        <v>103800</v>
      </c>
      <c r="K11" s="34" t="s">
        <v>53</v>
      </c>
      <c r="L11" s="101" t="str">
        <f>VLOOKUP(C11,'Trips&amp;Operators'!$C$1:$E$9999,3,0)</f>
        <v>SHOOK</v>
      </c>
      <c r="M11" s="147" t="s">
        <v>91</v>
      </c>
      <c r="N11" s="10" t="s">
        <v>174</v>
      </c>
      <c r="O11" s="34"/>
      <c r="P11" s="119" t="str">
        <f>VLOOKUP(C11,'Train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11" s="123" t="str">
        <f>VLOOKUP(C11,'Train Runs'!$A$13:$AE$339,22,0)</f>
        <v>https://search-rtdc-monitor-bjffxe2xuh6vdkpspy63sjmuny.us-east-1.es.amazonaws.com/_plugin/kibana/#/discover/Steve-Slow-Train-Analysis-(2080s-and-2083s)?_g=(refreshInterval:(display:Off,section:0,value:0),time:(from:'2016-08-11 11:08:48-0600',mode:absolute,to:'2016-08-11 13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11" s="126" t="str">
        <f t="shared" si="0"/>
        <v>"C:\Program Files (x86)\AstroGrep\AstroGrep.exe" /spath="%USERPROFILE%\AppData\Local\Temp\OnboardLogs" /stypes="*4026*201608111*" /stext=" 18:.+((SYSTEM_STATE.+slice.+state.+changed )|(ment ac)|(system.+state.+changed )|(\|lc)|(penalty)|(\[timeout)|(PRM\|1\|D)|(kpr)|(kdp))" /e /r /s</v>
      </c>
      <c r="S11" s="9" t="str">
        <f t="shared" si="1"/>
        <v>4026</v>
      </c>
      <c r="T11" s="41">
        <f t="shared" si="2"/>
        <v>42593.770312499997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42593.26226851852</v>
      </c>
      <c r="B12" s="34" t="s">
        <v>265</v>
      </c>
      <c r="C12" s="34" t="s">
        <v>308</v>
      </c>
      <c r="D12" s="34" t="s">
        <v>123</v>
      </c>
      <c r="E12" s="34" t="s">
        <v>56</v>
      </c>
      <c r="F12" s="52">
        <v>150</v>
      </c>
      <c r="G12" s="52">
        <v>200</v>
      </c>
      <c r="H12" s="52">
        <v>4560</v>
      </c>
      <c r="I12" s="34" t="s">
        <v>57</v>
      </c>
      <c r="J12" s="52">
        <v>0</v>
      </c>
      <c r="K12" s="34" t="s">
        <v>52</v>
      </c>
      <c r="L12" s="101" t="str">
        <f>VLOOKUP(C12,'Trips&amp;Operators'!$C$1:$E$9999,3,0)</f>
        <v>STRICKLAND</v>
      </c>
      <c r="M12" s="147" t="s">
        <v>91</v>
      </c>
      <c r="N12" s="10"/>
      <c r="O12" s="34"/>
      <c r="P12" s="119" t="str">
        <f>VLOOKUP(C12,'Train Runs'!$A$13:$AE$339,31,0)</f>
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</c>
      <c r="Q12" s="123" t="str">
        <f>VLOOKUP(C12,'Train Runs'!$A$13:$AE$339,22,0)</f>
        <v>https://search-rtdc-monitor-bjffxe2xuh6vdkpspy63sjmuny.us-east-1.es.amazonaws.com/_plugin/kibana/#/discover/Steve-Slow-Train-Analysis-(2080s-and-2083s)?_g=(refreshInterval:(display:Off,section:0,value:0),time:(from:'2016-08-11 05:08:39-0600',mode:absolute,to:'2016-08-11 07:57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12" s="126" t="str">
        <f t="shared" si="0"/>
        <v>"C:\Program Files (x86)\AstroGrep\AstroGrep.exe" /spath="%USERPROFILE%\AppData\Local\Temp\OnboardLogs" /stypes="*4044*201608111*" /stext=" 12:.+((SYSTEM_STATE.+slice.+state.+changed )|(ment ac)|(system.+state.+changed )|(\|lc)|(penalty)|(\[timeout)|(PRM\|1\|D)|(kpr)|(kdp))" /e /r /s</v>
      </c>
      <c r="S12" s="9" t="str">
        <f t="shared" si="1"/>
        <v>4044</v>
      </c>
      <c r="T12" s="41">
        <f t="shared" si="2"/>
        <v>42593.51226851852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42593.320925925924</v>
      </c>
      <c r="B13" s="34" t="s">
        <v>264</v>
      </c>
      <c r="C13" s="34" t="s">
        <v>310</v>
      </c>
      <c r="D13" s="34" t="s">
        <v>49</v>
      </c>
      <c r="E13" s="34" t="s">
        <v>56</v>
      </c>
      <c r="F13" s="52">
        <v>200</v>
      </c>
      <c r="G13" s="52">
        <v>250</v>
      </c>
      <c r="H13" s="52">
        <v>30940</v>
      </c>
      <c r="I13" s="34" t="s">
        <v>57</v>
      </c>
      <c r="J13" s="52">
        <v>30562</v>
      </c>
      <c r="K13" s="34" t="s">
        <v>53</v>
      </c>
      <c r="L13" s="101" t="str">
        <f>VLOOKUP(C13,'Trips&amp;Operators'!$C$1:$E$9999,3,0)</f>
        <v>STRICKLAND</v>
      </c>
      <c r="M13" s="147" t="s">
        <v>91</v>
      </c>
      <c r="N13" s="10"/>
      <c r="O13" s="34"/>
      <c r="P13" s="119" t="str">
        <f>VLOOKUP(C13,'Train Runs'!$A$13:$AE$339,31,0)</f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Q13" s="123" t="str">
        <f>VLOOKUP(C13,'Train Runs'!$A$13:$AE$339,22,0)</f>
        <v>https://search-rtdc-monitor-bjffxe2xuh6vdkpspy63sjmuny.us-east-1.es.amazonaws.com/_plugin/kibana/#/discover/Steve-Slow-Train-Analysis-(2080s-and-2083s)?_g=(refreshInterval:(display:Off,section:0,value:0),time:(from:'2016-08-11 06:07:31-0600',mode:absolute,to:'2016-08-11 08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3" s="126" t="str">
        <f t="shared" si="0"/>
        <v>"C:\Program Files (x86)\AstroGrep\AstroGrep.exe" /spath="%USERPROFILE%\AppData\Local\Temp\OnboardLogs" /stypes="*4043*201608111*" /stext=" 13:.+((SYSTEM_STATE.+slice.+state.+changed )|(ment ac)|(system.+state.+changed )|(\|lc)|(penalty)|(\[timeout)|(PRM\|1\|D)|(kpr)|(kdp))" /e /r /s</v>
      </c>
      <c r="S13" s="9" t="str">
        <f t="shared" si="1"/>
        <v>4043</v>
      </c>
      <c r="T13" s="41">
        <f t="shared" si="2"/>
        <v>42593.570925925924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42593.401712962965</v>
      </c>
      <c r="B14" s="34" t="s">
        <v>129</v>
      </c>
      <c r="C14" s="34" t="s">
        <v>344</v>
      </c>
      <c r="D14" s="34" t="s">
        <v>49</v>
      </c>
      <c r="E14" s="34" t="s">
        <v>56</v>
      </c>
      <c r="F14" s="52">
        <v>400</v>
      </c>
      <c r="G14" s="52">
        <v>459</v>
      </c>
      <c r="H14" s="52">
        <v>116267</v>
      </c>
      <c r="I14" s="34" t="s">
        <v>57</v>
      </c>
      <c r="J14" s="52">
        <v>116838</v>
      </c>
      <c r="K14" s="34" t="s">
        <v>52</v>
      </c>
      <c r="L14" s="101" t="str">
        <f>VLOOKUP(C14,'Trips&amp;Operators'!$C$1:$E$9999,3,0)</f>
        <v>STARKS</v>
      </c>
      <c r="M14" s="147" t="s">
        <v>91</v>
      </c>
      <c r="N14" s="10"/>
      <c r="O14" s="34"/>
      <c r="P14" s="119" t="str">
        <f>VLOOKUP(C14,'Train Runs'!$A$13:$AE$339,31,0)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Q14" s="123" t="str">
        <f>VLOOKUP(C14,'Train Runs'!$A$13:$AE$339,22,0)</f>
        <v>https://search-rtdc-monitor-bjffxe2xuh6vdkpspy63sjmuny.us-east-1.es.amazonaws.com/_plugin/kibana/#/discover/Steve-Slow-Train-Analysis-(2080s-and-2083s)?_g=(refreshInterval:(display:Off,section:0,value:0),time:(from:'2016-08-11 08:12:31-0600',mode:absolute,to:'2016-08-11 10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14" s="126" t="str">
        <f t="shared" si="0"/>
        <v>"C:\Program Files (x86)\AstroGrep\AstroGrep.exe" /spath="%USERPROFILE%\AppData\Local\Temp\OnboardLogs" /stypes="*4014*201608111*" /stext=" 15:.+((SYSTEM_STATE.+slice.+state.+changed )|(ment ac)|(system.+state.+changed )|(\|lc)|(penalty)|(\[timeout)|(PRM\|1\|D)|(kpr)|(kdp))" /e /r /s</v>
      </c>
      <c r="S14" s="9" t="str">
        <f t="shared" si="1"/>
        <v>4014</v>
      </c>
      <c r="T14" s="41">
        <f t="shared" si="2"/>
        <v>42593.651712962965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42593.358738425923</v>
      </c>
      <c r="B15" s="34" t="s">
        <v>96</v>
      </c>
      <c r="C15" s="34" t="s">
        <v>324</v>
      </c>
      <c r="D15" s="34" t="s">
        <v>49</v>
      </c>
      <c r="E15" s="34" t="s">
        <v>56</v>
      </c>
      <c r="F15" s="52">
        <v>450</v>
      </c>
      <c r="G15" s="52">
        <v>597</v>
      </c>
      <c r="H15" s="52">
        <v>159057</v>
      </c>
      <c r="I15" s="34" t="s">
        <v>57</v>
      </c>
      <c r="J15" s="52">
        <v>156300</v>
      </c>
      <c r="K15" s="34" t="s">
        <v>53</v>
      </c>
      <c r="L15" s="101" t="str">
        <f>VLOOKUP(C15,'Trips&amp;Operators'!$C$1:$E$9999,3,0)</f>
        <v>STARKS</v>
      </c>
      <c r="M15" s="147" t="s">
        <v>91</v>
      </c>
      <c r="N15" s="10"/>
      <c r="O15" s="34"/>
      <c r="P15" s="119" t="str">
        <f>VLOOKUP(C15,'Train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15" s="123" t="str">
        <f>VLOOKUP(C15,'Train Runs'!$A$13:$AE$339,22,0)</f>
        <v>https://search-rtdc-monitor-bjffxe2xuh6vdkpspy63sjmuny.us-east-1.es.amazonaws.com/_plugin/kibana/#/discover/Steve-Slow-Train-Analysis-(2080s-and-2083s)?_g=(refreshInterval:(display:Off,section:0,value:0),time:(from:'2016-08-11 07:23:35-0600',mode:absolute,to:'2016-08-11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15" s="126" t="str">
        <f t="shared" si="0"/>
        <v>"C:\Program Files (x86)\AstroGrep\AstroGrep.exe" /spath="%USERPROFILE%\AppData\Local\Temp\OnboardLogs" /stypes="*4013*201608111*" /stext=" 14:.+((SYSTEM_STATE.+slice.+state.+changed )|(ment ac)|(system.+state.+changed )|(\|lc)|(penalty)|(\[timeout)|(PRM\|1\|D)|(kpr)|(kdp))" /e /r /s</v>
      </c>
      <c r="S15" s="9" t="str">
        <f t="shared" si="1"/>
        <v>4013</v>
      </c>
      <c r="T15" s="41">
        <f t="shared" si="2"/>
        <v>42593.608738425923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42593.282986111109</v>
      </c>
      <c r="B16" s="34" t="s">
        <v>265</v>
      </c>
      <c r="C16" s="34" t="s">
        <v>308</v>
      </c>
      <c r="D16" s="34" t="s">
        <v>123</v>
      </c>
      <c r="E16" s="34" t="s">
        <v>56</v>
      </c>
      <c r="F16" s="52">
        <v>600</v>
      </c>
      <c r="G16" s="52">
        <v>651</v>
      </c>
      <c r="H16" s="52">
        <v>187880</v>
      </c>
      <c r="I16" s="34" t="s">
        <v>57</v>
      </c>
      <c r="J16" s="52">
        <v>183829</v>
      </c>
      <c r="K16" s="34" t="s">
        <v>52</v>
      </c>
      <c r="L16" s="101" t="str">
        <f>VLOOKUP(C16,'Trips&amp;Operators'!$C$1:$E$9999,3,0)</f>
        <v>STRICKLAND</v>
      </c>
      <c r="M16" s="147" t="s">
        <v>91</v>
      </c>
      <c r="N16" s="10"/>
      <c r="O16" s="34"/>
      <c r="P16" s="119" t="str">
        <f>VLOOKUP(C16,'Train Runs'!$A$13:$AE$339,31,0)</f>
        <v>aws s3 cp s3://rtdc.mdm.uploadarchive/RTDC4044/2016-08-11/ "%USERPROFILE%\AppData\Local\Temp\OnboardLogs"\RTDC4044\2016-08-11 --recursive &amp; "%USERPROFILE%\Documents\GitHub\mrs-test-scripts\Headless Mode &amp; Sideloading\WalkAndUnGZ.bat" "%USERPROFILE%\AppData\Local\Temp\OnboardLogs"\RTDC4044\2016-08-11 &amp; aws s3 cp s3://rtdc.mdm.uploadarchive/RTDC4044/2016-08-12/ "%USERPROFILE%\AppData\Local\Temp\OnboardLogs"\RTDC4044\2016-08-12 --recursive &amp; "%USERPROFILE%\Documents\GitHub\mrs-test-scripts\Headless Mode &amp; Sideloading\WalkAndUnGZ.bat" "%USERPROFILE%\AppData\Local\Temp\OnboardLogs"\RTDC4044\2016-08-12</v>
      </c>
      <c r="Q16" s="123" t="str">
        <f>VLOOKUP(C16,'Train Runs'!$A$13:$AE$339,22,0)</f>
        <v>https://search-rtdc-monitor-bjffxe2xuh6vdkpspy63sjmuny.us-east-1.es.amazonaws.com/_plugin/kibana/#/discover/Steve-Slow-Train-Analysis-(2080s-and-2083s)?_g=(refreshInterval:(display:Off,section:0,value:0),time:(from:'2016-08-11 05:08:39-0600',mode:absolute,to:'2016-08-11 07:57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16" s="126" t="str">
        <f t="shared" si="0"/>
        <v>"C:\Program Files (x86)\AstroGrep\AstroGrep.exe" /spath="%USERPROFILE%\AppData\Local\Temp\OnboardLogs" /stypes="*4044*201608111*" /stext=" 12:.+((SYSTEM_STATE.+slice.+state.+changed )|(ment ac)|(system.+state.+changed )|(\|lc)|(penalty)|(\[timeout)|(PRM\|1\|D)|(kpr)|(kdp))" /e /r /s</v>
      </c>
      <c r="S16" s="9" t="str">
        <f t="shared" si="1"/>
        <v>4044</v>
      </c>
      <c r="T16" s="41">
        <f t="shared" si="2"/>
        <v>42593.532986111109</v>
      </c>
      <c r="U16" s="55" t="str">
        <f t="shared" si="3"/>
        <v>EC</v>
      </c>
      <c r="V16" s="55" t="str">
        <f t="shared" si="4"/>
        <v>KEEP</v>
      </c>
    </row>
    <row r="17" spans="1:24" s="1" customFormat="1" x14ac:dyDescent="0.25">
      <c r="A17" s="41">
        <v>42593.334097222221</v>
      </c>
      <c r="B17" s="34" t="s">
        <v>129</v>
      </c>
      <c r="C17" s="34" t="s">
        <v>323</v>
      </c>
      <c r="D17" s="34" t="s">
        <v>123</v>
      </c>
      <c r="E17" s="34" t="s">
        <v>56</v>
      </c>
      <c r="F17" s="52">
        <v>600</v>
      </c>
      <c r="G17" s="52">
        <v>650</v>
      </c>
      <c r="H17" s="52">
        <v>187208</v>
      </c>
      <c r="I17" s="34" t="s">
        <v>57</v>
      </c>
      <c r="J17" s="52">
        <v>183829</v>
      </c>
      <c r="K17" s="34" t="s">
        <v>52</v>
      </c>
      <c r="L17" s="101" t="str">
        <f>VLOOKUP(C17,'Trips&amp;Operators'!$C$1:$E$9999,3,0)</f>
        <v>STARKS</v>
      </c>
      <c r="M17" s="147" t="s">
        <v>91</v>
      </c>
      <c r="N17" s="10"/>
      <c r="O17" s="34"/>
      <c r="P17" s="119" t="str">
        <f>VLOOKUP(C17,'Train Runs'!$A$13:$AE$339,31,0)</f>
        <v>aws s3 cp s3://rtdc.mdm.uploadarchive/RTDC4014/2016-08-11/ "%USERPROFILE%\AppData\Local\Temp\OnboardLogs"\RTDC4014\2016-08-11 --recursive &amp; "%USERPROFILE%\Documents\GitHub\mrs-test-scripts\Headless Mode &amp; Sideloading\WalkAndUnGZ.bat" "%USERPROFILE%\AppData\Local\Temp\OnboardLogs"\RTDC4014\2016-08-11 &amp; aws s3 cp s3://rtdc.mdm.uploadarchive/RTDC4014/2016-08-12/ "%USERPROFILE%\AppData\Local\Temp\OnboardLogs"\RTDC4014\2016-08-12 --recursive &amp; "%USERPROFILE%\Documents\GitHub\mrs-test-scripts\Headless Mode &amp; Sideloading\WalkAndUnGZ.bat" "%USERPROFILE%\AppData\Local\Temp\OnboardLogs"\RTDC4014\2016-08-12</v>
      </c>
      <c r="Q17" s="123" t="str">
        <f>VLOOKUP(C17,'Train Runs'!$A$13:$AE$339,22,0)</f>
        <v>https://search-rtdc-monitor-bjffxe2xuh6vdkpspy63sjmuny.us-east-1.es.amazonaws.com/_plugin/kibana/#/discover/Steve-Slow-Train-Analysis-(2080s-and-2083s)?_g=(refreshInterval:(display:Off,section:0,value:0),time:(from:'2016-08-11 06:27:53-0600',mode:absolute,to:'2016-08-11 09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17" s="126" t="str">
        <f t="shared" si="0"/>
        <v>"C:\Program Files (x86)\AstroGrep\AstroGrep.exe" /spath="%USERPROFILE%\AppData\Local\Temp\OnboardLogs" /stypes="*4014*201608111*" /stext=" 14:.+((SYSTEM_STATE.+slice.+state.+changed )|(ment ac)|(system.+state.+changed )|(\|lc)|(penalty)|(\[timeout)|(PRM\|1\|D)|(kpr)|(kdp))" /e /r /s</v>
      </c>
      <c r="S17" s="9" t="str">
        <f t="shared" si="1"/>
        <v>4014</v>
      </c>
      <c r="T17" s="41">
        <f t="shared" si="2"/>
        <v>42593.584097222221</v>
      </c>
      <c r="U17" s="55" t="str">
        <f t="shared" si="3"/>
        <v>EC</v>
      </c>
      <c r="V17" s="55" t="str">
        <f t="shared" si="4"/>
        <v>KEEP</v>
      </c>
    </row>
    <row r="18" spans="1:24" s="1" customFormat="1" x14ac:dyDescent="0.25">
      <c r="A18" s="41">
        <v>42593.231458333335</v>
      </c>
      <c r="B18" s="34" t="s">
        <v>264</v>
      </c>
      <c r="C18" s="34" t="s">
        <v>286</v>
      </c>
      <c r="D18" s="34" t="s">
        <v>123</v>
      </c>
      <c r="E18" s="34" t="s">
        <v>56</v>
      </c>
      <c r="F18" s="52">
        <v>700</v>
      </c>
      <c r="G18" s="52">
        <v>753</v>
      </c>
      <c r="H18" s="52">
        <v>180188</v>
      </c>
      <c r="I18" s="34" t="s">
        <v>57</v>
      </c>
      <c r="J18" s="52">
        <v>183829</v>
      </c>
      <c r="K18" s="34" t="s">
        <v>53</v>
      </c>
      <c r="L18" s="101" t="str">
        <f>VLOOKUP(C18,'Trips&amp;Operators'!$C$1:$E$9999,3,0)</f>
        <v>STRICKLAND</v>
      </c>
      <c r="M18" s="147" t="s">
        <v>91</v>
      </c>
      <c r="N18" s="10"/>
      <c r="O18" s="34"/>
      <c r="P18" s="119" t="str">
        <f>VLOOKUP(C18,'Train Runs'!$A$13:$AE$339,31,0)</f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Q18" s="123" t="str">
        <f>VLOOKUP(C18,'Train Runs'!$A$13:$AE$339,22,0)</f>
        <v>https://search-rtdc-monitor-bjffxe2xuh6vdkpspy63sjmuny.us-east-1.es.amazonaws.com/_plugin/kibana/#/discover/Steve-Slow-Train-Analysis-(2080s-and-2083s)?_g=(refreshInterval:(display:Off,section:0,value:0),time:(from:'2016-08-11 04:18:20-0600',mode:absolute,to:'2016-08-11 07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8" s="126" t="str">
        <f t="shared" si="0"/>
        <v>"C:\Program Files (x86)\AstroGrep\AstroGrep.exe" /spath="%USERPROFILE%\AppData\Local\Temp\OnboardLogs" /stypes="*4043*201608111*" /stext=" 11:.+((SYSTEM_STATE.+slice.+state.+changed )|(ment ac)|(system.+state.+changed )|(\|lc)|(penalty)|(\[timeout)|(PRM\|1\|D)|(kpr)|(kdp))" /e /r /s</v>
      </c>
      <c r="S18" s="9" t="str">
        <f t="shared" si="1"/>
        <v>4043</v>
      </c>
      <c r="T18" s="41">
        <f t="shared" si="2"/>
        <v>42593.481458333335</v>
      </c>
      <c r="U18" s="55" t="str">
        <f t="shared" si="3"/>
        <v>EC</v>
      </c>
      <c r="V18" s="55" t="str">
        <f t="shared" si="4"/>
        <v>KEEP</v>
      </c>
    </row>
    <row r="19" spans="1:24" s="1" customFormat="1" x14ac:dyDescent="0.25">
      <c r="A19" s="41">
        <v>42593.430879629632</v>
      </c>
      <c r="B19" s="34" t="s">
        <v>96</v>
      </c>
      <c r="C19" s="34" t="s">
        <v>345</v>
      </c>
      <c r="D19" s="34" t="s">
        <v>123</v>
      </c>
      <c r="E19" s="34" t="s">
        <v>56</v>
      </c>
      <c r="F19" s="52">
        <v>600</v>
      </c>
      <c r="G19" s="52">
        <v>650</v>
      </c>
      <c r="H19" s="52">
        <v>184986</v>
      </c>
      <c r="I19" s="34" t="s">
        <v>57</v>
      </c>
      <c r="J19" s="52">
        <v>191104</v>
      </c>
      <c r="K19" s="34" t="s">
        <v>53</v>
      </c>
      <c r="L19" s="101" t="str">
        <f>VLOOKUP(C19,'Trips&amp;Operators'!$C$1:$E$9999,3,0)</f>
        <v>STARKS</v>
      </c>
      <c r="M19" s="147" t="s">
        <v>91</v>
      </c>
      <c r="N19" s="10"/>
      <c r="O19" s="34"/>
      <c r="P19" s="119" t="str">
        <f>VLOOKUP(C19,'Train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19" s="123" t="str">
        <f>VLOOKUP(C19,'Train Runs'!$A$13:$AE$339,22,0)</f>
        <v>https://search-rtdc-monitor-bjffxe2xuh6vdkpspy63sjmuny.us-east-1.es.amazonaws.com/_plugin/kibana/#/discover/Steve-Slow-Train-Analysis-(2080s-and-2083s)?_g=(refreshInterval:(display:Off,section:0,value:0),time:(from:'2016-08-11 09:06:30-0600',mode:absolute,to:'2016-08-11 11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19" s="126" t="str">
        <f t="shared" si="0"/>
        <v>"C:\Program Files (x86)\AstroGrep\AstroGrep.exe" /spath="%USERPROFILE%\AppData\Local\Temp\OnboardLogs" /stypes="*4013*201608111*" /stext=" 16:.+((SYSTEM_STATE.+slice.+state.+changed )|(ment ac)|(system.+state.+changed )|(\|lc)|(penalty)|(\[timeout)|(PRM\|1\|D)|(kpr)|(kdp))" /e /r /s</v>
      </c>
      <c r="S19" s="9" t="str">
        <f t="shared" si="1"/>
        <v>4013</v>
      </c>
      <c r="T19" s="41">
        <f t="shared" si="2"/>
        <v>42593.680879629632</v>
      </c>
      <c r="U19" s="55" t="str">
        <f t="shared" si="3"/>
        <v>EC</v>
      </c>
      <c r="V19" s="55" t="str">
        <f t="shared" si="4"/>
        <v>KEEP</v>
      </c>
    </row>
    <row r="20" spans="1:24" s="1" customFormat="1" x14ac:dyDescent="0.25">
      <c r="A20" s="41">
        <v>42593.421956018516</v>
      </c>
      <c r="B20" s="34" t="s">
        <v>97</v>
      </c>
      <c r="C20" s="34" t="s">
        <v>347</v>
      </c>
      <c r="D20" s="34" t="s">
        <v>49</v>
      </c>
      <c r="E20" s="34" t="s">
        <v>56</v>
      </c>
      <c r="F20" s="52">
        <v>450</v>
      </c>
      <c r="G20" s="52">
        <v>552</v>
      </c>
      <c r="H20" s="52">
        <v>217932</v>
      </c>
      <c r="I20" s="34" t="s">
        <v>57</v>
      </c>
      <c r="J20" s="52">
        <v>218954</v>
      </c>
      <c r="K20" s="34" t="s">
        <v>52</v>
      </c>
      <c r="L20" s="101" t="str">
        <f>VLOOKUP(C20,'Trips&amp;Operators'!$C$1:$E$9999,3,0)</f>
        <v>MALAVE</v>
      </c>
      <c r="M20" s="147" t="s">
        <v>91</v>
      </c>
      <c r="N20" s="10"/>
      <c r="O20" s="34"/>
      <c r="P20" s="119" t="str">
        <f>VLOOKUP(C20,'Train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20" s="123" t="str">
        <f>VLOOKUP(C20,'Train Runs'!$A$13:$AE$339,22,0)</f>
        <v>https://search-rtdc-monitor-bjffxe2xuh6vdkpspy63sjmuny.us-east-1.es.amazonaws.com/_plugin/kibana/#/discover/Steve-Slow-Train-Analysis-(2080s-and-2083s)?_g=(refreshInterval:(display:Off,section:0,value:0),time:(from:'2016-08-11 08:30:56-0600',mode:absolute,to:'2016-08-11 11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0" s="126" t="str">
        <f t="shared" si="0"/>
        <v>"C:\Program Files (x86)\AstroGrep\AstroGrep.exe" /spath="%USERPROFILE%\AppData\Local\Temp\OnboardLogs" /stypes="*4025*201608111*" /stext=" 16:.+((SYSTEM_STATE.+slice.+state.+changed )|(ment ac)|(system.+state.+changed )|(\|lc)|(penalty)|(\[timeout)|(PRM\|1\|D)|(kpr)|(kdp))" /e /r /s</v>
      </c>
      <c r="S20" s="9" t="str">
        <f t="shared" si="1"/>
        <v>4025</v>
      </c>
      <c r="T20" s="41">
        <f t="shared" si="2"/>
        <v>42593.671956018516</v>
      </c>
      <c r="U20" s="55" t="str">
        <f t="shared" si="3"/>
        <v>EC</v>
      </c>
      <c r="V20" s="55" t="str">
        <f t="shared" si="4"/>
        <v>KEEP</v>
      </c>
    </row>
    <row r="21" spans="1:24" s="1" customFormat="1" x14ac:dyDescent="0.25">
      <c r="A21" s="41">
        <v>42593.862847222219</v>
      </c>
      <c r="B21" s="34" t="s">
        <v>132</v>
      </c>
      <c r="C21" s="34" t="s">
        <v>469</v>
      </c>
      <c r="D21" s="34" t="s">
        <v>49</v>
      </c>
      <c r="E21" s="34" t="s">
        <v>54</v>
      </c>
      <c r="F21" s="52">
        <v>0</v>
      </c>
      <c r="G21" s="52">
        <v>141</v>
      </c>
      <c r="H21" s="52">
        <v>28779</v>
      </c>
      <c r="I21" s="34" t="s">
        <v>55</v>
      </c>
      <c r="J21" s="52">
        <v>28061</v>
      </c>
      <c r="K21" s="34" t="s">
        <v>53</v>
      </c>
      <c r="L21" s="101" t="str">
        <f>VLOOKUP(C21,'Trips&amp;Operators'!$C$1:$E$9999,3,0)</f>
        <v>HAITHCOX</v>
      </c>
      <c r="M21" s="147" t="s">
        <v>90</v>
      </c>
      <c r="N21" s="10" t="s">
        <v>229</v>
      </c>
      <c r="O21" s="34"/>
      <c r="P21" s="119" t="str">
        <f>VLOOKUP(C21,'Train Runs'!$A$13:$AE$339,31,0)</f>
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</c>
      <c r="Q21" s="123" t="str">
        <f>VLOOKUP(C21,'Train Runs'!$A$13:$AE$339,22,0)</f>
        <v>https://search-rtdc-monitor-bjffxe2xuh6vdkpspy63sjmuny.us-east-1.es.amazonaws.com/_plugin/kibana/#/discover/Steve-Slow-Train-Analysis-(2080s-and-2083s)?_g=(refreshInterval:(display:Off,section:0,value:0),time:(from:'2016-08-11 18:45:47-0600',mode:absolute,to:'2016-08-11 21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1" s="126" t="str">
        <f t="shared" si="0"/>
        <v>"C:\Program Files (x86)\AstroGrep\AstroGrep.exe" /spath="%USERPROFILE%\AppData\Local\Temp\OnboardLogs" /stypes="*4032*201608120*" /stext=" 02:.+((SYSTEM_STATE.+slice.+state.+changed )|(ment ac)|(system.+state.+changed )|(\|lc)|(penalty)|(\[timeout)|(PRM\|1\|D)|(kpr)|(kdp))" /e /r /s</v>
      </c>
      <c r="S21" s="9" t="str">
        <f t="shared" si="1"/>
        <v>4032</v>
      </c>
      <c r="T21" s="41">
        <f t="shared" si="2"/>
        <v>42594.112847222219</v>
      </c>
      <c r="U21" s="55" t="str">
        <f t="shared" si="3"/>
        <v>EC</v>
      </c>
      <c r="V21" s="55" t="str">
        <f t="shared" si="4"/>
        <v>KEEP</v>
      </c>
    </row>
    <row r="22" spans="1:24" s="1" customFormat="1" x14ac:dyDescent="0.25">
      <c r="A22" s="41">
        <v>42593.625543981485</v>
      </c>
      <c r="B22" s="34" t="s">
        <v>97</v>
      </c>
      <c r="C22" s="34" t="s">
        <v>416</v>
      </c>
      <c r="D22" s="34" t="s">
        <v>49</v>
      </c>
      <c r="E22" s="34" t="s">
        <v>54</v>
      </c>
      <c r="F22" s="52">
        <v>0</v>
      </c>
      <c r="G22" s="52">
        <v>468</v>
      </c>
      <c r="H22" s="52">
        <v>72721</v>
      </c>
      <c r="I22" s="34" t="s">
        <v>55</v>
      </c>
      <c r="J22" s="52">
        <v>75566</v>
      </c>
      <c r="K22" s="34" t="s">
        <v>52</v>
      </c>
      <c r="L22" s="101" t="str">
        <f>VLOOKUP(C22,'Trips&amp;Operators'!$C$1:$E$9999,3,0)</f>
        <v>SHOOK</v>
      </c>
      <c r="M22" s="147" t="s">
        <v>90</v>
      </c>
      <c r="N22" s="10" t="s">
        <v>229</v>
      </c>
      <c r="O22" s="34"/>
      <c r="P22" s="119" t="str">
        <f>VLOOKUP(C22,'Train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22" s="123" t="str">
        <f>VLOOKUP(C22,'Train Runs'!$A$13:$AE$339,22,0)</f>
        <v>https://search-rtdc-monitor-bjffxe2xuh6vdkpspy63sjmuny.us-east-1.es.amazonaws.com/_plugin/kibana/#/discover/Steve-Slow-Train-Analysis-(2080s-and-2083s)?_g=(refreshInterval:(display:Off,section:0,value:0),time:(from:'2016-08-11 13:40:41-0600',mode:absolute,to:'2016-08-11 16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2" s="126" t="str">
        <f t="shared" si="0"/>
        <v>"C:\Program Files (x86)\AstroGrep\AstroGrep.exe" /spath="%USERPROFILE%\AppData\Local\Temp\OnboardLogs" /stypes="*4025*201608112*" /stext=" 21:.+((SYSTEM_STATE.+slice.+state.+changed )|(ment ac)|(system.+state.+changed )|(\|lc)|(penalty)|(\[timeout)|(PRM\|1\|D)|(kpr)|(kdp))" /e /r /s</v>
      </c>
      <c r="S22" s="9" t="str">
        <f t="shared" si="1"/>
        <v>4025</v>
      </c>
      <c r="T22" s="41">
        <f t="shared" si="2"/>
        <v>42593.875543981485</v>
      </c>
      <c r="U22" s="55" t="str">
        <f t="shared" si="3"/>
        <v>EC</v>
      </c>
      <c r="V22" s="55" t="str">
        <f t="shared" si="4"/>
        <v>KEEP</v>
      </c>
    </row>
    <row r="23" spans="1:24" x14ac:dyDescent="0.25">
      <c r="A23" s="41">
        <v>42593.371724537035</v>
      </c>
      <c r="B23" s="34" t="s">
        <v>95</v>
      </c>
      <c r="C23" s="34" t="s">
        <v>326</v>
      </c>
      <c r="D23" s="34" t="s">
        <v>49</v>
      </c>
      <c r="E23" s="34" t="s">
        <v>54</v>
      </c>
      <c r="F23" s="52">
        <v>0</v>
      </c>
      <c r="G23" s="52">
        <v>141</v>
      </c>
      <c r="H23" s="52">
        <v>128084</v>
      </c>
      <c r="I23" s="34" t="s">
        <v>55</v>
      </c>
      <c r="J23" s="52">
        <v>127587</v>
      </c>
      <c r="K23" s="34" t="s">
        <v>53</v>
      </c>
      <c r="L23" s="101" t="str">
        <f>VLOOKUP(C23,'Trips&amp;Operators'!$C$1:$E$9999,3,0)</f>
        <v>MALAVE</v>
      </c>
      <c r="M23" s="147" t="s">
        <v>91</v>
      </c>
      <c r="N23" s="10" t="s">
        <v>662</v>
      </c>
      <c r="O23" s="34"/>
      <c r="P23" s="119" t="str">
        <f>VLOOKUP(C23,'Train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23" s="123" t="str">
        <f>VLOOKUP(C23,'Train Runs'!$A$13:$AE$339,22,0)</f>
        <v>https://search-rtdc-monitor-bjffxe2xuh6vdkpspy63sjmuny.us-east-1.es.amazonaws.com/_plugin/kibana/#/discover/Steve-Slow-Train-Analysis-(2080s-and-2083s)?_g=(refreshInterval:(display:Off,section:0,value:0),time:(from:'2016-08-11 07:38:58-0600',mode:absolute,to:'2016-08-11 10:28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23" s="126" t="str">
        <f t="shared" si="0"/>
        <v>"C:\Program Files (x86)\AstroGrep\AstroGrep.exe" /spath="%USERPROFILE%\AppData\Local\Temp\OnboardLogs" /stypes="*4026*201608111*" /stext=" 14:.+((SYSTEM_STATE.+slice.+state.+changed )|(ment ac)|(system.+state.+changed )|(\|lc)|(penalty)|(\[timeout)|(PRM\|1\|D)|(kpr)|(kdp))" /e /r /s</v>
      </c>
      <c r="S23" s="9" t="str">
        <f t="shared" si="1"/>
        <v>4026</v>
      </c>
      <c r="T23" s="41">
        <f t="shared" si="2"/>
        <v>42593.621724537035</v>
      </c>
      <c r="U23" s="55" t="str">
        <f t="shared" si="3"/>
        <v>EC</v>
      </c>
      <c r="V23" s="55" t="str">
        <f t="shared" si="4"/>
        <v>KEEP</v>
      </c>
    </row>
    <row r="24" spans="1:24" s="1" customFormat="1" x14ac:dyDescent="0.25">
      <c r="A24" s="41">
        <v>42593.633101851854</v>
      </c>
      <c r="B24" s="34" t="s">
        <v>97</v>
      </c>
      <c r="C24" s="34" t="s">
        <v>416</v>
      </c>
      <c r="D24" s="34" t="s">
        <v>49</v>
      </c>
      <c r="E24" s="34" t="s">
        <v>54</v>
      </c>
      <c r="F24" s="52">
        <v>0</v>
      </c>
      <c r="G24" s="52">
        <v>697</v>
      </c>
      <c r="H24" s="52">
        <v>143402</v>
      </c>
      <c r="I24" s="34" t="s">
        <v>55</v>
      </c>
      <c r="J24" s="52">
        <v>144300</v>
      </c>
      <c r="K24" s="34" t="s">
        <v>52</v>
      </c>
      <c r="L24" s="101" t="str">
        <f>VLOOKUP(C24,'Trips&amp;Operators'!$C$1:$E$9999,3,0)</f>
        <v>SHOOK</v>
      </c>
      <c r="M24" s="147" t="s">
        <v>90</v>
      </c>
      <c r="N24" s="10" t="s">
        <v>229</v>
      </c>
      <c r="O24" s="34"/>
      <c r="P24" s="119" t="str">
        <f>VLOOKUP(C24,'Train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24" s="123" t="str">
        <f>VLOOKUP(C24,'Train Runs'!$A$13:$AE$339,22,0)</f>
        <v>https://search-rtdc-monitor-bjffxe2xuh6vdkpspy63sjmuny.us-east-1.es.amazonaws.com/_plugin/kibana/#/discover/Steve-Slow-Train-Analysis-(2080s-and-2083s)?_g=(refreshInterval:(display:Off,section:0,value:0),time:(from:'2016-08-11 13:40:41-0600',mode:absolute,to:'2016-08-11 16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4" s="126" t="str">
        <f t="shared" si="0"/>
        <v>"C:\Program Files (x86)\AstroGrep\AstroGrep.exe" /spath="%USERPROFILE%\AppData\Local\Temp\OnboardLogs" /stypes="*4025*201608112*" /stext=" 21:.+((SYSTEM_STATE.+slice.+state.+changed )|(ment ac)|(system.+state.+changed )|(\|lc)|(penalty)|(\[timeout)|(PRM\|1\|D)|(kpr)|(kdp))" /e /r /s</v>
      </c>
      <c r="S24" s="9" t="str">
        <f t="shared" si="1"/>
        <v>4025</v>
      </c>
      <c r="T24" s="41">
        <f t="shared" si="2"/>
        <v>42593.883101851854</v>
      </c>
      <c r="U24" s="55" t="str">
        <f t="shared" si="3"/>
        <v>EC</v>
      </c>
      <c r="V24" s="55" t="str">
        <f t="shared" si="4"/>
        <v>KEEP</v>
      </c>
    </row>
    <row r="25" spans="1:24" x14ac:dyDescent="0.25">
      <c r="A25" s="41">
        <v>42593.567083333335</v>
      </c>
      <c r="B25" s="34" t="s">
        <v>97</v>
      </c>
      <c r="C25" s="34" t="s">
        <v>392</v>
      </c>
      <c r="D25" s="34" t="s">
        <v>49</v>
      </c>
      <c r="E25" s="34" t="s">
        <v>54</v>
      </c>
      <c r="F25" s="52">
        <v>0</v>
      </c>
      <c r="G25" s="52">
        <v>393</v>
      </c>
      <c r="H25" s="52">
        <v>147118</v>
      </c>
      <c r="I25" s="34" t="s">
        <v>55</v>
      </c>
      <c r="J25" s="52">
        <v>149694</v>
      </c>
      <c r="K25" s="34" t="s">
        <v>52</v>
      </c>
      <c r="L25" s="101" t="str">
        <f>VLOOKUP(C25,'Trips&amp;Operators'!$C$1:$E$9999,3,0)</f>
        <v>SHOOK</v>
      </c>
      <c r="M25" s="147" t="s">
        <v>91</v>
      </c>
      <c r="N25" s="10" t="s">
        <v>663</v>
      </c>
      <c r="O25" s="34"/>
      <c r="P25" s="119" t="str">
        <f>VLOOKUP(C25,'Train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25" s="123" t="str">
        <f>VLOOKUP(C25,'Train Runs'!$A$13:$AE$339,22,0)</f>
        <v>https://search-rtdc-monitor-bjffxe2xuh6vdkpspy63sjmuny.us-east-1.es.amazonaws.com/_plugin/kibana/#/discover/Steve-Slow-Train-Analysis-(2080s-and-2083s)?_g=(refreshInterval:(display:Off,section:0,value:0),time:(from:'2016-08-11 11:55:25-0600',mode:absolute,to:'2016-08-11 14:47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5" s="126" t="str">
        <f t="shared" si="0"/>
        <v>"C:\Program Files (x86)\AstroGrep\AstroGrep.exe" /spath="%USERPROFILE%\AppData\Local\Temp\OnboardLogs" /stypes="*4025*201608111*" /stext=" 19:.+((SYSTEM_STATE.+slice.+state.+changed )|(ment ac)|(system.+state.+changed )|(\|lc)|(penalty)|(\[timeout)|(PRM\|1\|D)|(kpr)|(kdp))" /e /r /s</v>
      </c>
      <c r="S25" s="9" t="str">
        <f t="shared" si="1"/>
        <v>4025</v>
      </c>
      <c r="T25" s="41">
        <f t="shared" si="2"/>
        <v>42593.817083333335</v>
      </c>
      <c r="U25" s="55" t="str">
        <f t="shared" si="3"/>
        <v>EC</v>
      </c>
      <c r="V25" s="55" t="str">
        <f t="shared" si="4"/>
        <v>KEEP</v>
      </c>
    </row>
    <row r="26" spans="1:24" x14ac:dyDescent="0.25">
      <c r="A26" s="41">
        <v>42593.51363425926</v>
      </c>
      <c r="B26" s="34" t="s">
        <v>131</v>
      </c>
      <c r="C26" s="34" t="s">
        <v>376</v>
      </c>
      <c r="D26" s="34" t="s">
        <v>49</v>
      </c>
      <c r="E26" s="34" t="s">
        <v>54</v>
      </c>
      <c r="F26" s="52">
        <v>0</v>
      </c>
      <c r="G26" s="52">
        <v>520</v>
      </c>
      <c r="H26" s="52">
        <v>152625</v>
      </c>
      <c r="I26" s="34" t="s">
        <v>55</v>
      </c>
      <c r="J26" s="52">
        <v>155600</v>
      </c>
      <c r="K26" s="34" t="s">
        <v>52</v>
      </c>
      <c r="L26" s="101" t="str">
        <f>VLOOKUP(C26,'Trips&amp;Operators'!$C$1:$E$9999,3,0)</f>
        <v>NEWELL</v>
      </c>
      <c r="M26" s="147" t="s">
        <v>91</v>
      </c>
      <c r="N26" s="10" t="s">
        <v>636</v>
      </c>
      <c r="O26" s="34"/>
      <c r="P26" s="119" t="str">
        <f>VLOOKUP(C26,'Train Runs'!$A$13:$AE$339,31,0)</f>
        <v>aws s3 cp s3://rtdc.mdm.uploadarchive/RTDC4031/2016-08-11/ "%USERPROFILE%\AppData\Local\Temp\OnboardLogs"\RTDC4031\2016-08-11 --recursive &amp; "%USERPROFILE%\Documents\GitHub\mrs-test-scripts\Headless Mode &amp; Sideloading\WalkAndUnGZ.bat" "%USERPROFILE%\AppData\Local\Temp\OnboardLogs"\RTDC4031\2016-08-11 &amp; aws s3 cp s3://rtdc.mdm.uploadarchive/RTDC4031/2016-08-12/ "%USERPROFILE%\AppData\Local\Temp\OnboardLogs"\RTDC4031\2016-08-12 --recursive &amp; "%USERPROFILE%\Documents\GitHub\mrs-test-scripts\Headless Mode &amp; Sideloading\WalkAndUnGZ.bat" "%USERPROFILE%\AppData\Local\Temp\OnboardLogs"\RTDC4031\2016-08-12</v>
      </c>
      <c r="Q26" s="123" t="str">
        <f>VLOOKUP(C26,'Train Runs'!$A$13:$AE$339,22,0)</f>
        <v>https://search-rtdc-monitor-bjffxe2xuh6vdkpspy63sjmuny.us-east-1.es.amazonaws.com/_plugin/kibana/#/discover/Steve-Slow-Train-Analysis-(2080s-and-2083s)?_g=(refreshInterval:(display:Off,section:0,value:0),time:(from:'2016-08-11 10:45:58-0600',mode:absolute,to:'2016-08-11 13:25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26" s="126" t="str">
        <f t="shared" si="0"/>
        <v>"C:\Program Files (x86)\AstroGrep\AstroGrep.exe" /spath="%USERPROFILE%\AppData\Local\Temp\OnboardLogs" /stypes="*4031*201608111*" /stext=" 18:.+((SYSTEM_STATE.+slice.+state.+changed )|(ment ac)|(system.+state.+changed )|(\|lc)|(penalty)|(\[timeout)|(PRM\|1\|D)|(kpr)|(kdp))" /e /r /s</v>
      </c>
      <c r="S26" s="9" t="str">
        <f t="shared" si="1"/>
        <v>4031</v>
      </c>
      <c r="T26" s="41">
        <f t="shared" si="2"/>
        <v>42593.76363425926</v>
      </c>
      <c r="U26" s="55" t="str">
        <f t="shared" si="3"/>
        <v>EC</v>
      </c>
      <c r="V26" s="55" t="str">
        <f t="shared" si="4"/>
        <v>KEEP</v>
      </c>
    </row>
    <row r="27" spans="1:24" x14ac:dyDescent="0.25">
      <c r="A27" s="41">
        <v>42593.37909722222</v>
      </c>
      <c r="B27" s="34" t="s">
        <v>264</v>
      </c>
      <c r="C27" s="34" t="s">
        <v>328</v>
      </c>
      <c r="D27" s="34" t="s">
        <v>49</v>
      </c>
      <c r="E27" s="34" t="s">
        <v>54</v>
      </c>
      <c r="F27" s="52">
        <v>0</v>
      </c>
      <c r="G27" s="52">
        <v>291</v>
      </c>
      <c r="H27" s="52">
        <v>158412</v>
      </c>
      <c r="I27" s="34" t="s">
        <v>55</v>
      </c>
      <c r="J27" s="52">
        <v>157300</v>
      </c>
      <c r="K27" s="34" t="s">
        <v>53</v>
      </c>
      <c r="L27" s="101" t="str">
        <f>VLOOKUP(C27,'Trips&amp;Operators'!$C$1:$E$9999,3,0)</f>
        <v>STRICKLAND</v>
      </c>
      <c r="M27" s="147" t="s">
        <v>91</v>
      </c>
      <c r="N27" s="10" t="s">
        <v>664</v>
      </c>
      <c r="O27" s="34"/>
      <c r="P27" s="119" t="str">
        <f>VLOOKUP(C27,'Train Runs'!$A$13:$AE$339,31,0)</f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Q27" s="123" t="str">
        <f>VLOOKUP(C27,'Train Runs'!$A$13:$AE$339,22,0)</f>
        <v>https://search-rtdc-monitor-bjffxe2xuh6vdkpspy63sjmuny.us-east-1.es.amazonaws.com/_plugin/kibana/#/discover/Steve-Slow-Train-Analysis-(2080s-and-2083s)?_g=(refreshInterval:(display:Off,section:0,value:0),time:(from:'2016-08-11 07:54:23-0600',mode:absolute,to:'2016-08-11 10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7" s="126" t="str">
        <f t="shared" si="0"/>
        <v>"C:\Program Files (x86)\AstroGrep\AstroGrep.exe" /spath="%USERPROFILE%\AppData\Local\Temp\OnboardLogs" /stypes="*4043*201608111*" /stext=" 15:.+((SYSTEM_STATE.+slice.+state.+changed )|(ment ac)|(system.+state.+changed )|(\|lc)|(penalty)|(\[timeout)|(PRM\|1\|D)|(kpr)|(kdp))" /e /r /s</v>
      </c>
      <c r="S27" s="9" t="str">
        <f t="shared" si="1"/>
        <v>4043</v>
      </c>
      <c r="T27" s="41">
        <f t="shared" si="2"/>
        <v>42593.62909722222</v>
      </c>
      <c r="U27" s="55" t="str">
        <f t="shared" si="3"/>
        <v>EC</v>
      </c>
      <c r="V27" s="55" t="str">
        <f t="shared" si="4"/>
        <v>KEEP</v>
      </c>
      <c r="W27" s="24"/>
    </row>
    <row r="28" spans="1:24" x14ac:dyDescent="0.25">
      <c r="A28" s="41">
        <v>42593.379930555559</v>
      </c>
      <c r="B28" s="34" t="s">
        <v>264</v>
      </c>
      <c r="C28" s="34" t="s">
        <v>328</v>
      </c>
      <c r="D28" s="34" t="s">
        <v>49</v>
      </c>
      <c r="E28" s="34" t="s">
        <v>54</v>
      </c>
      <c r="F28" s="52">
        <v>0</v>
      </c>
      <c r="G28" s="52">
        <v>93</v>
      </c>
      <c r="H28" s="52">
        <v>157738</v>
      </c>
      <c r="I28" s="34" t="s">
        <v>55</v>
      </c>
      <c r="J28" s="52">
        <v>157300</v>
      </c>
      <c r="K28" s="34" t="s">
        <v>53</v>
      </c>
      <c r="L28" s="101" t="str">
        <f>VLOOKUP(C28,'Trips&amp;Operators'!$C$1:$E$9999,3,0)</f>
        <v>STRICKLAND</v>
      </c>
      <c r="M28" s="147" t="s">
        <v>91</v>
      </c>
      <c r="N28" s="10" t="s">
        <v>664</v>
      </c>
      <c r="O28" s="34"/>
      <c r="P28" s="119" t="str">
        <f>VLOOKUP(C28,'Train Runs'!$A$13:$AE$339,31,0)</f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Q28" s="123" t="str">
        <f>VLOOKUP(C28,'Train Runs'!$A$13:$AE$339,22,0)</f>
        <v>https://search-rtdc-monitor-bjffxe2xuh6vdkpspy63sjmuny.us-east-1.es.amazonaws.com/_plugin/kibana/#/discover/Steve-Slow-Train-Analysis-(2080s-and-2083s)?_g=(refreshInterval:(display:Off,section:0,value:0),time:(from:'2016-08-11 07:54:23-0600',mode:absolute,to:'2016-08-11 10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8" s="126" t="str">
        <f t="shared" si="0"/>
        <v>"C:\Program Files (x86)\AstroGrep\AstroGrep.exe" /spath="%USERPROFILE%\AppData\Local\Temp\OnboardLogs" /stypes="*4043*201608111*" /stext=" 15:.+((SYSTEM_STATE.+slice.+state.+changed )|(ment ac)|(system.+state.+changed )|(\|lc)|(penalty)|(\[timeout)|(PRM\|1\|D)|(kpr)|(kdp))" /e /r /s</v>
      </c>
      <c r="S28" s="9" t="str">
        <f t="shared" si="1"/>
        <v>4043</v>
      </c>
      <c r="T28" s="41">
        <f t="shared" si="2"/>
        <v>42593.629930555559</v>
      </c>
      <c r="U28" s="55" t="str">
        <f t="shared" si="3"/>
        <v>EC</v>
      </c>
      <c r="V28" s="55" t="str">
        <f t="shared" si="4"/>
        <v>KEEP</v>
      </c>
      <c r="W28" s="24"/>
    </row>
    <row r="29" spans="1:24" x14ac:dyDescent="0.25">
      <c r="A29" s="41">
        <v>42593.382650462961</v>
      </c>
      <c r="B29" s="34" t="s">
        <v>264</v>
      </c>
      <c r="C29" s="34" t="s">
        <v>328</v>
      </c>
      <c r="D29" s="34" t="s">
        <v>123</v>
      </c>
      <c r="E29" s="34" t="s">
        <v>54</v>
      </c>
      <c r="F29" s="52">
        <v>200</v>
      </c>
      <c r="G29" s="52">
        <v>264</v>
      </c>
      <c r="H29" s="52">
        <v>153272</v>
      </c>
      <c r="I29" s="34" t="s">
        <v>55</v>
      </c>
      <c r="J29" s="52">
        <v>157300</v>
      </c>
      <c r="K29" s="34" t="s">
        <v>53</v>
      </c>
      <c r="L29" s="101" t="str">
        <f>VLOOKUP(C29,'Trips&amp;Operators'!$C$1:$E$9999,3,0)</f>
        <v>STRICKLAND</v>
      </c>
      <c r="M29" s="147" t="s">
        <v>91</v>
      </c>
      <c r="N29" s="10" t="s">
        <v>664</v>
      </c>
      <c r="O29" s="34"/>
      <c r="P29" s="119" t="str">
        <f>VLOOKUP(C29,'Train Runs'!$A$13:$AE$339,31,0)</f>
        <v>aws s3 cp s3://rtdc.mdm.uploadarchive/RTDC4043/2016-08-11/ "%USERPROFILE%\AppData\Local\Temp\OnboardLogs"\RTDC4043\2016-08-11 --recursive &amp; "%USERPROFILE%\Documents\GitHub\mrs-test-scripts\Headless Mode &amp; Sideloading\WalkAndUnGZ.bat" "%USERPROFILE%\AppData\Local\Temp\OnboardLogs"\RTDC4043\2016-08-11 &amp; aws s3 cp s3://rtdc.mdm.uploadarchive/RTDC4043/2016-08-12/ "%USERPROFILE%\AppData\Local\Temp\OnboardLogs"\RTDC4043\2016-08-12 --recursive &amp; "%USERPROFILE%\Documents\GitHub\mrs-test-scripts\Headless Mode &amp; Sideloading\WalkAndUnGZ.bat" "%USERPROFILE%\AppData\Local\Temp\OnboardLogs"\RTDC4043\2016-08-12</v>
      </c>
      <c r="Q29" s="123" t="str">
        <f>VLOOKUP(C29,'Train Runs'!$A$13:$AE$339,22,0)</f>
        <v>https://search-rtdc-monitor-bjffxe2xuh6vdkpspy63sjmuny.us-east-1.es.amazonaws.com/_plugin/kibana/#/discover/Steve-Slow-Train-Analysis-(2080s-and-2083s)?_g=(refreshInterval:(display:Off,section:0,value:0),time:(from:'2016-08-11 07:54:23-0600',mode:absolute,to:'2016-08-11 10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9" s="126" t="str">
        <f t="shared" si="0"/>
        <v>"C:\Program Files (x86)\AstroGrep\AstroGrep.exe" /spath="%USERPROFILE%\AppData\Local\Temp\OnboardLogs" /stypes="*4043*201608111*" /stext=" 15:.+((SYSTEM_STATE.+slice.+state.+changed )|(ment ac)|(system.+state.+changed )|(\|lc)|(penalty)|(\[timeout)|(PRM\|1\|D)|(kpr)|(kdp))" /e /r /s</v>
      </c>
      <c r="S29" s="9" t="str">
        <f t="shared" si="1"/>
        <v>4043</v>
      </c>
      <c r="T29" s="41">
        <f t="shared" si="2"/>
        <v>42593.632650462961</v>
      </c>
      <c r="U29" s="55" t="str">
        <f t="shared" si="3"/>
        <v>EC</v>
      </c>
      <c r="V29" s="55" t="str">
        <f t="shared" si="4"/>
        <v>KEEP</v>
      </c>
      <c r="W29" s="24"/>
      <c r="X29" s="24"/>
    </row>
    <row r="30" spans="1:24" x14ac:dyDescent="0.25">
      <c r="A30" s="41">
        <v>42593.644386574073</v>
      </c>
      <c r="B30" s="34" t="s">
        <v>95</v>
      </c>
      <c r="C30" s="34" t="s">
        <v>409</v>
      </c>
      <c r="D30" s="34" t="s">
        <v>123</v>
      </c>
      <c r="E30" s="34" t="s">
        <v>54</v>
      </c>
      <c r="F30" s="52">
        <v>200</v>
      </c>
      <c r="G30" s="52">
        <v>254</v>
      </c>
      <c r="H30" s="52">
        <v>153340</v>
      </c>
      <c r="I30" s="34" t="s">
        <v>55</v>
      </c>
      <c r="J30" s="52">
        <v>157300</v>
      </c>
      <c r="K30" s="34" t="s">
        <v>53</v>
      </c>
      <c r="L30" s="101" t="str">
        <f>VLOOKUP(C30,'Trips&amp;Operators'!$C$1:$E$9999,3,0)</f>
        <v>SHOOK</v>
      </c>
      <c r="M30" s="147" t="s">
        <v>91</v>
      </c>
      <c r="N30" s="10" t="s">
        <v>664</v>
      </c>
      <c r="O30" s="34"/>
      <c r="P30" s="119" t="str">
        <f>VLOOKUP(C30,'Train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30" s="123" t="str">
        <f>VLOOKUP(C30,'Train Runs'!$A$13:$AE$339,22,0)</f>
        <v>https://search-rtdc-monitor-bjffxe2xuh6vdkpspy63sjmuny.us-east-1.es.amazonaws.com/_plugin/kibana/#/discover/Steve-Slow-Train-Analysis-(2080s-and-2083s)?_g=(refreshInterval:(display:Off,section:0,value:0),time:(from:'2016-08-11 14:24:59-0600',mode:absolute,to:'2016-08-11 16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30" s="126" t="str">
        <f t="shared" si="0"/>
        <v>"C:\Program Files (x86)\AstroGrep\AstroGrep.exe" /spath="%USERPROFILE%\AppData\Local\Temp\OnboardLogs" /stypes="*4026*201608112*" /stext=" 21:.+((SYSTEM_STATE.+slice.+state.+changed )|(ment ac)|(system.+state.+changed )|(\|lc)|(penalty)|(\[timeout)|(PRM\|1\|D)|(kpr)|(kdp))" /e /r /s</v>
      </c>
      <c r="S30" s="9" t="str">
        <f t="shared" si="1"/>
        <v>4026</v>
      </c>
      <c r="T30" s="41">
        <f t="shared" si="2"/>
        <v>42593.894386574073</v>
      </c>
      <c r="U30" s="55" t="str">
        <f t="shared" si="3"/>
        <v>EC</v>
      </c>
      <c r="V30" s="55" t="str">
        <f t="shared" si="4"/>
        <v>KEEP</v>
      </c>
      <c r="W30" s="24"/>
      <c r="X30" s="24"/>
    </row>
    <row r="31" spans="1:24" x14ac:dyDescent="0.25">
      <c r="A31" s="41">
        <v>42593.243414351855</v>
      </c>
      <c r="B31" s="34" t="s">
        <v>612</v>
      </c>
      <c r="C31" s="34" t="s">
        <v>282</v>
      </c>
      <c r="D31" s="34" t="s">
        <v>49</v>
      </c>
      <c r="E31" s="34" t="s">
        <v>50</v>
      </c>
      <c r="F31" s="52">
        <v>0</v>
      </c>
      <c r="G31" s="52">
        <v>51</v>
      </c>
      <c r="H31" s="52">
        <v>158</v>
      </c>
      <c r="I31" s="34" t="s">
        <v>51</v>
      </c>
      <c r="J31" s="52">
        <v>1</v>
      </c>
      <c r="K31" s="34" t="s">
        <v>53</v>
      </c>
      <c r="L31" s="101" t="str">
        <f>VLOOKUP(C31,'Trips&amp;Operators'!$C$1:$E$9999,3,0)</f>
        <v>MALAVE</v>
      </c>
      <c r="M31" s="147" t="s">
        <v>91</v>
      </c>
      <c r="N31" s="10"/>
      <c r="O31" s="34"/>
      <c r="P31" s="119" t="str">
        <f>VLOOKUP(C31,'Train Runs'!$A$13:$AE$339,31,0)</f>
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</c>
      <c r="Q31" s="123" t="str">
        <f>VLOOKUP(C31,'Train Runs'!$A$13:$AE$339,22,0)</f>
        <v>https://search-rtdc-monitor-bjffxe2xuh6vdkpspy63sjmuny.us-east-1.es.amazonaws.com/_plugin/kibana/#/discover/Steve-Slow-Train-Analysis-(2080s-and-2083s)?_g=(refreshInterval:(display:Off,section:0,value:0),time:(from:'2016-08-11 04:06:48-0600',mode:absolute,to:'2016-08-11 06:50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1" s="126" t="str">
        <f t="shared" si="0"/>
        <v>"C:\Program Files (x86)\AstroGrep\AstroGrep.exe" /spath="%USERPROFILE%\AppData\Local\Temp\OnboardLogs" /stypes="*4028*201608111*" /stext=" 11:.+((SYSTEM_STATE.+slice.+state.+changed )|(ment ac)|(system.+state.+changed )|(\|lc)|(penalty)|(\[timeout)|(PRM\|1\|D)|(kpr)|(kdp))" /e /r /s</v>
      </c>
      <c r="S31" s="9" t="str">
        <f t="shared" si="1"/>
        <v>4028</v>
      </c>
      <c r="T31" s="41">
        <f t="shared" si="2"/>
        <v>42593.493414351855</v>
      </c>
      <c r="U31" s="55" t="str">
        <f t="shared" si="3"/>
        <v>EC</v>
      </c>
      <c r="V31" s="55" t="str">
        <f t="shared" si="4"/>
        <v>KEEP</v>
      </c>
    </row>
    <row r="32" spans="1:24" ht="15" hidden="1" customHeight="1" x14ac:dyDescent="0.25">
      <c r="A32" s="41">
        <v>42593.507256944446</v>
      </c>
      <c r="B32" s="34" t="s">
        <v>614</v>
      </c>
      <c r="C32" s="34" t="s">
        <v>502</v>
      </c>
      <c r="D32" s="34" t="s">
        <v>49</v>
      </c>
      <c r="E32" s="34" t="s">
        <v>54</v>
      </c>
      <c r="F32" s="52">
        <v>0</v>
      </c>
      <c r="G32" s="52">
        <v>75</v>
      </c>
      <c r="H32" s="52">
        <v>24294</v>
      </c>
      <c r="I32" s="34" t="s">
        <v>55</v>
      </c>
      <c r="J32" s="52">
        <v>24235</v>
      </c>
      <c r="K32" s="34" t="s">
        <v>53</v>
      </c>
      <c r="L32" s="101" t="str">
        <f>VLOOKUP(C32,'Trips&amp;Operators'!$C$1:$E$9999,3,0)</f>
        <v>HAITHCOX</v>
      </c>
      <c r="M32" s="147" t="s">
        <v>90</v>
      </c>
      <c r="N32" s="10"/>
      <c r="O32" s="34"/>
      <c r="P32" s="119" t="str">
        <f>VLOOKUP(C32,'Train Runs'!$A$13:$AE$339,31,0)</f>
        <v>aws s3 cp s3://rtdc.mdm.uploadarchive/RTDC4021/2016-08-11/ "%USERPROFILE%\AppData\Local\Temp\OnboardLogs"\RTDC4021\2016-08-11 --recursive &amp; "%USERPROFILE%\Documents\GitHub\mrs-test-scripts\Headless Mode &amp; Sideloading\WalkAndUnGZ.bat" "%USERPROFILE%\AppData\Local\Temp\OnboardLogs"\RTDC4021\2016-08-11 &amp; 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</v>
      </c>
      <c r="Q32" s="123" t="str">
        <f>VLOOKUP(C32,'Train Runs'!$A$13:$AE$339,22,0)</f>
        <v>https://search-rtdc-monitor-bjffxe2xuh6vdkpspy63sjmuny.us-east-1.es.amazonaws.com/_plugin/kibana/#/discover/Steve-Slow-Train-Analysis-(2080s-and-2083s)?_g=(refreshInterval:(display:Off,section:0,value:0),time:(from:'2016-08-11 11:04:31-0600',mode:absolute,to:'2016-08-11 13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R32" s="126" t="str">
        <f t="shared" si="0"/>
        <v>"C:\Program Files (x86)\AstroGrep\AstroGrep.exe" /spath="%USERPROFILE%\AppData\Local\Temp\OnboardLogs" /stypes="*4021*201608111*" /stext=" 18:.+((SYSTEM_STATE.+slice.+state.+changed )|(ment ac)|(system.+state.+changed )|(\|lc)|(penalty)|(\[timeout)|(PRM\|1\|D)|(kpr)|(kdp))" /e /r /s</v>
      </c>
      <c r="S32" s="9" t="str">
        <f t="shared" si="1"/>
        <v>4021</v>
      </c>
      <c r="T32" s="41">
        <f t="shared" si="2"/>
        <v>42593.757256944446</v>
      </c>
      <c r="U32" s="55" t="str">
        <f t="shared" si="3"/>
        <v>GL</v>
      </c>
      <c r="V32" s="55" t="str">
        <f t="shared" si="4"/>
        <v>KEEP</v>
      </c>
    </row>
    <row r="33" spans="1:22" x14ac:dyDescent="0.25">
      <c r="A33" s="41">
        <v>42593.274224537039</v>
      </c>
      <c r="B33" s="34" t="s">
        <v>127</v>
      </c>
      <c r="C33" s="34" t="s">
        <v>292</v>
      </c>
      <c r="D33" s="34" t="s">
        <v>49</v>
      </c>
      <c r="E33" s="34" t="s">
        <v>50</v>
      </c>
      <c r="F33" s="52">
        <v>0</v>
      </c>
      <c r="G33" s="52">
        <v>44</v>
      </c>
      <c r="H33" s="52">
        <v>141</v>
      </c>
      <c r="I33" s="34" t="s">
        <v>51</v>
      </c>
      <c r="J33" s="52">
        <v>1</v>
      </c>
      <c r="K33" s="34" t="s">
        <v>53</v>
      </c>
      <c r="L33" s="101" t="str">
        <f>VLOOKUP(C33,'Trips&amp;Operators'!$C$1:$E$9999,3,0)</f>
        <v>SANTIZO</v>
      </c>
      <c r="M33" s="147" t="s">
        <v>91</v>
      </c>
      <c r="N33" s="10"/>
      <c r="O33" s="34"/>
      <c r="P33" s="119" t="str">
        <f>VLOOKUP(C33,'Train Runs'!$A$13:$AE$339,31,0)</f>
        <v>aws s3 cp s3://rtdc.mdm.uploadarchive/RTDC4012/2016-08-11/ "%USERPROFILE%\AppData\Local\Temp\OnboardLogs"\RTDC4012\2016-08-11 --recursive &amp; "%USERPROFILE%\Documents\GitHub\mrs-test-scripts\Headless Mode &amp; Sideloading\WalkAndUnGZ.bat" "%USERPROFILE%\AppData\Local\Temp\OnboardLogs"\RTDC4012\2016-08-11 &amp; aws s3 cp s3://rtdc.mdm.uploadarchive/RTDC4012/2016-08-12/ "%USERPROFILE%\AppData\Local\Temp\OnboardLogs"\RTDC4012\2016-08-12 --recursive &amp; "%USERPROFILE%\Documents\GitHub\mrs-test-scripts\Headless Mode &amp; Sideloading\WalkAndUnGZ.bat" "%USERPROFILE%\AppData\Local\Temp\OnboardLogs"\RTDC4012\2016-08-12</v>
      </c>
      <c r="Q33" s="123" t="str">
        <f>VLOOKUP(C33,'Train Runs'!$A$13:$AE$339,22,0)</f>
        <v>https://search-rtdc-monitor-bjffxe2xuh6vdkpspy63sjmuny.us-east-1.es.amazonaws.com/_plugin/kibana/#/discover/Steve-Slow-Train-Analysis-(2080s-and-2083s)?_g=(refreshInterval:(display:Off,section:0,value:0),time:(from:'2016-08-11 04:52:43-0600',mode:absolute,to:'2016-08-11 07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33" s="126" t="str">
        <f t="shared" si="0"/>
        <v>"C:\Program Files (x86)\AstroGrep\AstroGrep.exe" /spath="%USERPROFILE%\AppData\Local\Temp\OnboardLogs" /stypes="*4012*201608111*" /stext=" 12:.+((SYSTEM_STATE.+slice.+state.+changed )|(ment ac)|(system.+state.+changed )|(\|lc)|(penalty)|(\[timeout)|(PRM\|1\|D)|(kpr)|(kdp))" /e /r /s</v>
      </c>
      <c r="S33" s="9" t="str">
        <f t="shared" si="1"/>
        <v>4012</v>
      </c>
      <c r="T33" s="41">
        <f t="shared" si="2"/>
        <v>42593.524224537039</v>
      </c>
      <c r="U33" s="55" t="str">
        <f t="shared" si="3"/>
        <v>EC</v>
      </c>
      <c r="V33" s="55" t="str">
        <f t="shared" si="4"/>
        <v>KEEP</v>
      </c>
    </row>
    <row r="34" spans="1:22" x14ac:dyDescent="0.25">
      <c r="A34" s="41">
        <v>42593.308564814812</v>
      </c>
      <c r="B34" s="34" t="s">
        <v>96</v>
      </c>
      <c r="C34" s="34" t="s">
        <v>302</v>
      </c>
      <c r="D34" s="34" t="s">
        <v>49</v>
      </c>
      <c r="E34" s="34" t="s">
        <v>50</v>
      </c>
      <c r="F34" s="52">
        <v>0</v>
      </c>
      <c r="G34" s="52">
        <v>61</v>
      </c>
      <c r="H34" s="52">
        <v>212</v>
      </c>
      <c r="I34" s="34" t="s">
        <v>51</v>
      </c>
      <c r="J34" s="52">
        <v>1</v>
      </c>
      <c r="K34" s="34" t="s">
        <v>53</v>
      </c>
      <c r="L34" s="101" t="str">
        <f>VLOOKUP(C34,'Trips&amp;Operators'!$C$1:$E$9999,3,0)</f>
        <v>STARKS</v>
      </c>
      <c r="M34" s="147" t="s">
        <v>91</v>
      </c>
      <c r="N34" s="10"/>
      <c r="O34" s="34"/>
      <c r="P34" s="119" t="str">
        <f>VLOOKUP(C34,'Train Runs'!$A$13:$AE$339,31,0)</f>
        <v>aws s3 cp s3://rtdc.mdm.uploadarchive/RTDC4013/2016-08-11/ "%USERPROFILE%\AppData\Local\Temp\OnboardLogs"\RTDC4013\2016-08-11 --recursive &amp; "%USERPROFILE%\Documents\GitHub\mrs-test-scripts\Headless Mode &amp; Sideloading\WalkAndUnGZ.bat" "%USERPROFILE%\AppData\Local\Temp\OnboardLogs"\RTDC4013\2016-08-11 &amp; aws s3 cp s3://rtdc.mdm.uploadarchive/RTDC4013/2016-08-12/ "%USERPROFILE%\AppData\Local\Temp\OnboardLogs"\RTDC4013\2016-08-12 --recursive &amp; "%USERPROFILE%\Documents\GitHub\mrs-test-scripts\Headless Mode &amp; Sideloading\WalkAndUnGZ.bat" "%USERPROFILE%\AppData\Local\Temp\OnboardLogs"\RTDC4013\2016-08-12</v>
      </c>
      <c r="Q34" s="123" t="str">
        <f>VLOOKUP(C34,'Train Runs'!$A$13:$AE$339,22,0)</f>
        <v>https://search-rtdc-monitor-bjffxe2xuh6vdkpspy63sjmuny.us-east-1.es.amazonaws.com/_plugin/kibana/#/discover/Steve-Slow-Train-Analysis-(2080s-and-2083s)?_g=(refreshInterval:(display:Off,section:0,value:0),time:(from:'2016-08-11 05:37:27-0600',mode:absolute,to:'2016-08-11 08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34" s="126" t="str">
        <f t="shared" si="0"/>
        <v>"C:\Program Files (x86)\AstroGrep\AstroGrep.exe" /spath="%USERPROFILE%\AppData\Local\Temp\OnboardLogs" /stypes="*4013*201608111*" /stext=" 13:.+((SYSTEM_STATE.+slice.+state.+changed )|(ment ac)|(system.+state.+changed )|(\|lc)|(penalty)|(\[timeout)|(PRM\|1\|D)|(kpr)|(kdp))" /e /r /s</v>
      </c>
      <c r="S34" s="9" t="str">
        <f t="shared" si="1"/>
        <v>4013</v>
      </c>
      <c r="T34" s="41">
        <f t="shared" si="2"/>
        <v>42593.558564814812</v>
      </c>
      <c r="U34" s="55" t="str">
        <f t="shared" si="3"/>
        <v>EC</v>
      </c>
      <c r="V34" s="55" t="str">
        <f t="shared" si="4"/>
        <v>KEEP</v>
      </c>
    </row>
    <row r="35" spans="1:22" x14ac:dyDescent="0.25">
      <c r="A35" s="41">
        <v>42593.358055555553</v>
      </c>
      <c r="B35" s="34" t="s">
        <v>269</v>
      </c>
      <c r="C35" s="34" t="s">
        <v>318</v>
      </c>
      <c r="D35" s="34" t="s">
        <v>49</v>
      </c>
      <c r="E35" s="34" t="s">
        <v>50</v>
      </c>
      <c r="F35" s="52">
        <v>0</v>
      </c>
      <c r="G35" s="52">
        <v>36</v>
      </c>
      <c r="H35" s="52">
        <v>130</v>
      </c>
      <c r="I35" s="34" t="s">
        <v>51</v>
      </c>
      <c r="J35" s="52">
        <v>1</v>
      </c>
      <c r="K35" s="34" t="s">
        <v>53</v>
      </c>
      <c r="L35" s="101" t="str">
        <f>VLOOKUP(C35,'Trips&amp;Operators'!$C$1:$E$9999,3,0)</f>
        <v>MAELZER</v>
      </c>
      <c r="M35" s="147" t="s">
        <v>91</v>
      </c>
      <c r="N35" s="10"/>
      <c r="O35" s="34"/>
      <c r="P35" s="119" t="str">
        <f>VLOOKUP(C35,'Train Runs'!$A$13:$AE$339,31,0)</f>
        <v>aws s3 cp s3://rtdc.mdm.uploadarchive/RTDC4037/2016-08-11/ "%USERPROFILE%\AppData\Local\Temp\OnboardLogs"\RTDC4037\2016-08-11 --recursive &amp; "%USERPROFILE%\Documents\GitHub\mrs-test-scripts\Headless Mode &amp; Sideloading\WalkAndUnGZ.bat" "%USERPROFILE%\AppData\Local\Temp\OnboardLogs"\RTDC4037\2016-08-11 &amp; aws s3 cp s3://rtdc.mdm.uploadarchive/RTDC4037/2016-08-12/ "%USERPROFILE%\AppData\Local\Temp\OnboardLogs"\RTDC4037\2016-08-12 --recursive &amp; "%USERPROFILE%\Documents\GitHub\mrs-test-scripts\Headless Mode &amp; Sideloading\WalkAndUnGZ.bat" "%USERPROFILE%\AppData\Local\Temp\OnboardLogs"\RTDC4037\2016-08-12</v>
      </c>
      <c r="Q35" s="123" t="str">
        <f>VLOOKUP(C35,'Train Runs'!$A$13:$AE$339,22,0)</f>
        <v>https://search-rtdc-monitor-bjffxe2xuh6vdkpspy63sjmuny.us-east-1.es.amazonaws.com/_plugin/kibana/#/discover/Steve-Slow-Train-Analysis-(2080s-and-2083s)?_g=(refreshInterval:(display:Off,section:0,value:0),time:(from:'2016-08-11 06:42:48-0600',mode:absolute,to:'2016-08-11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5" s="126" t="str">
        <f t="shared" si="0"/>
        <v>"C:\Program Files (x86)\AstroGrep\AstroGrep.exe" /spath="%USERPROFILE%\AppData\Local\Temp\OnboardLogs" /stypes="*4037*201608111*" /stext=" 14:.+((SYSTEM_STATE.+slice.+state.+changed )|(ment ac)|(system.+state.+changed )|(\|lc)|(penalty)|(\[timeout)|(PRM\|1\|D)|(kpr)|(kdp))" /e /r /s</v>
      </c>
      <c r="S35" s="9" t="str">
        <f t="shared" si="1"/>
        <v>4037</v>
      </c>
      <c r="T35" s="41">
        <f t="shared" si="2"/>
        <v>42593.608055555553</v>
      </c>
      <c r="U35" s="55" t="str">
        <f t="shared" si="3"/>
        <v>EC</v>
      </c>
      <c r="V35" s="55" t="str">
        <f t="shared" si="4"/>
        <v>KEEP</v>
      </c>
    </row>
    <row r="36" spans="1:22" x14ac:dyDescent="0.25">
      <c r="A36" s="41">
        <v>42593.394687499997</v>
      </c>
      <c r="B36" s="34" t="s">
        <v>95</v>
      </c>
      <c r="C36" s="34" t="s">
        <v>326</v>
      </c>
      <c r="D36" s="34" t="s">
        <v>49</v>
      </c>
      <c r="E36" s="34" t="s">
        <v>50</v>
      </c>
      <c r="F36" s="52">
        <v>0</v>
      </c>
      <c r="G36" s="52">
        <v>59</v>
      </c>
      <c r="H36" s="52">
        <v>218</v>
      </c>
      <c r="I36" s="34" t="s">
        <v>51</v>
      </c>
      <c r="J36" s="52">
        <v>1</v>
      </c>
      <c r="K36" s="34" t="s">
        <v>53</v>
      </c>
      <c r="L36" s="101" t="str">
        <f>VLOOKUP(C36,'Trips&amp;Operators'!$C$1:$E$9999,3,0)</f>
        <v>MALAVE</v>
      </c>
      <c r="M36" s="147" t="s">
        <v>91</v>
      </c>
      <c r="N36" s="10"/>
      <c r="O36" s="34"/>
      <c r="P36" s="119" t="str">
        <f>VLOOKUP(C36,'Train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36" s="123" t="str">
        <f>VLOOKUP(C36,'Train Runs'!$A$13:$AE$339,22,0)</f>
        <v>https://search-rtdc-monitor-bjffxe2xuh6vdkpspy63sjmuny.us-east-1.es.amazonaws.com/_plugin/kibana/#/discover/Steve-Slow-Train-Analysis-(2080s-and-2083s)?_g=(refreshInterval:(display:Off,section:0,value:0),time:(from:'2016-08-11 07:38:58-0600',mode:absolute,to:'2016-08-11 10:28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36" s="126" t="str">
        <f t="shared" si="0"/>
        <v>"C:\Program Files (x86)\AstroGrep\AstroGrep.exe" /spath="%USERPROFILE%\AppData\Local\Temp\OnboardLogs" /stypes="*4026*201608111*" /stext=" 15:.+((SYSTEM_STATE.+slice.+state.+changed )|(ment ac)|(system.+state.+changed )|(\|lc)|(penalty)|(\[timeout)|(PRM\|1\|D)|(kpr)|(kdp))" /e /r /s</v>
      </c>
      <c r="S36" s="9" t="str">
        <f t="shared" si="1"/>
        <v>4026</v>
      </c>
      <c r="T36" s="41">
        <f t="shared" si="2"/>
        <v>42593.644687499997</v>
      </c>
      <c r="U36" s="55" t="str">
        <f t="shared" si="3"/>
        <v>EC</v>
      </c>
      <c r="V36" s="55" t="str">
        <f t="shared" si="4"/>
        <v>KEEP</v>
      </c>
    </row>
    <row r="37" spans="1:22" x14ac:dyDescent="0.25">
      <c r="A37" s="41">
        <v>42593.759282407409</v>
      </c>
      <c r="B37" s="34" t="s">
        <v>117</v>
      </c>
      <c r="C37" s="34" t="s">
        <v>442</v>
      </c>
      <c r="D37" s="34" t="s">
        <v>49</v>
      </c>
      <c r="E37" s="34" t="s">
        <v>50</v>
      </c>
      <c r="F37" s="52">
        <v>0</v>
      </c>
      <c r="G37" s="52">
        <v>87</v>
      </c>
      <c r="H37" s="52">
        <v>313</v>
      </c>
      <c r="I37" s="34" t="s">
        <v>51</v>
      </c>
      <c r="J37" s="52">
        <v>1</v>
      </c>
      <c r="K37" s="34" t="s">
        <v>53</v>
      </c>
      <c r="L37" s="101" t="str">
        <f>VLOOKUP(C37,'Trips&amp;Operators'!$C$1:$E$9999,3,0)</f>
        <v>MOSES</v>
      </c>
      <c r="M37" s="147" t="s">
        <v>91</v>
      </c>
      <c r="N37" s="10"/>
      <c r="O37" s="34"/>
      <c r="P37" s="119" t="str">
        <f>VLOOKUP(C37,'Train Runs'!$A$13:$AE$339,31,0)</f>
        <v>aws s3 cp s3://rtdc.mdm.uploadarchive/RTDC4015/2016-08-11/ "%USERPROFILE%\AppData\Local\Temp\OnboardLogs"\RTDC4015\2016-08-11 --recursive &amp; "%USERPROFILE%\Documents\GitHub\mrs-test-scripts\Headless Mode &amp; Sideloading\WalkAndUnGZ.bat" "%USERPROFILE%\AppData\Local\Temp\OnboardLogs"\RTDC4015\2016-08-11 &amp; aws s3 cp s3://rtdc.mdm.uploadarchive/RTDC4015/2016-08-12/ "%USERPROFILE%\AppData\Local\Temp\OnboardLogs"\RTDC4015\2016-08-12 --recursive &amp; "%USERPROFILE%\Documents\GitHub\mrs-test-scripts\Headless Mode &amp; Sideloading\WalkAndUnGZ.bat" "%USERPROFILE%\AppData\Local\Temp\OnboardLogs"\RTDC4015\2016-08-12</v>
      </c>
      <c r="Q37" s="123" t="str">
        <f>VLOOKUP(C37,'Train Runs'!$A$13:$AE$339,22,0)</f>
        <v>https://search-rtdc-monitor-bjffxe2xuh6vdkpspy63sjmuny.us-east-1.es.amazonaws.com/_plugin/kibana/#/discover/Steve-Slow-Train-Analysis-(2080s-and-2083s)?_g=(refreshInterval:(display:Off,section:0,value:0),time:(from:'2016-08-11 16:24:24-0600',mode:absolute,to:'2016-08-11 19:13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7" s="126" t="str">
        <f t="shared" si="0"/>
        <v>"C:\Program Files (x86)\AstroGrep\AstroGrep.exe" /spath="%USERPROFILE%\AppData\Local\Temp\OnboardLogs" /stypes="*4015*201608120*" /stext=" 00:.+((SYSTEM_STATE.+slice.+state.+changed )|(ment ac)|(system.+state.+changed )|(\|lc)|(penalty)|(\[timeout)|(PRM\|1\|D)|(kpr)|(kdp))" /e /r /s</v>
      </c>
      <c r="S37" s="9" t="str">
        <f t="shared" si="1"/>
        <v>4015</v>
      </c>
      <c r="T37" s="41">
        <f t="shared" si="2"/>
        <v>42594.009282407409</v>
      </c>
      <c r="U37" s="55" t="str">
        <f t="shared" si="3"/>
        <v>EC</v>
      </c>
      <c r="V37" s="55" t="str">
        <f t="shared" si="4"/>
        <v>KEEP</v>
      </c>
    </row>
    <row r="38" spans="1:22" x14ac:dyDescent="0.25">
      <c r="A38" s="41">
        <v>42593.851689814815</v>
      </c>
      <c r="B38" s="34" t="s">
        <v>95</v>
      </c>
      <c r="C38" s="34" t="s">
        <v>466</v>
      </c>
      <c r="D38" s="34" t="s">
        <v>49</v>
      </c>
      <c r="E38" s="34" t="s">
        <v>50</v>
      </c>
      <c r="F38" s="52">
        <v>0</v>
      </c>
      <c r="G38" s="52">
        <v>60</v>
      </c>
      <c r="H38" s="52">
        <v>214</v>
      </c>
      <c r="I38" s="34" t="s">
        <v>51</v>
      </c>
      <c r="J38" s="52">
        <v>1</v>
      </c>
      <c r="K38" s="34" t="s">
        <v>53</v>
      </c>
      <c r="L38" s="101" t="str">
        <f>VLOOKUP(C38,'Trips&amp;Operators'!$C$1:$E$9999,3,0)</f>
        <v>COOLAHAN</v>
      </c>
      <c r="M38" s="147" t="s">
        <v>91</v>
      </c>
      <c r="N38" s="10"/>
      <c r="O38" s="34"/>
      <c r="P38" s="119" t="str">
        <f>VLOOKUP(C38,'Train Runs'!$A$13:$AE$339,31,0)</f>
        <v>aws s3 cp s3://rtdc.mdm.uploadarchive/RTDC4026/2016-08-11/ "%USERPROFILE%\AppData\Local\Temp\OnboardLogs"\RTDC4026\2016-08-11 --recursive &amp; "%USERPROFILE%\Documents\GitHub\mrs-test-scripts\Headless Mode &amp; Sideloading\WalkAndUnGZ.bat" "%USERPROFILE%\AppData\Local\Temp\OnboardLogs"\RTDC4026\2016-08-11 &amp; aws s3 cp s3://rtdc.mdm.uploadarchive/RTDC4026/2016-08-12/ "%USERPROFILE%\AppData\Local\Temp\OnboardLogs"\RTDC4026\2016-08-12 --recursive &amp; "%USERPROFILE%\Documents\GitHub\mrs-test-scripts\Headless Mode &amp; Sideloading\WalkAndUnGZ.bat" "%USERPROFILE%\AppData\Local\Temp\OnboardLogs"\RTDC4026\2016-08-12</v>
      </c>
      <c r="Q38" s="123" t="str">
        <f>VLOOKUP(C38,'Train Runs'!$A$13:$AE$339,22,0)</f>
        <v>https://search-rtdc-monitor-bjffxe2xuh6vdkpspy63sjmuny.us-east-1.es.amazonaws.com/_plugin/kibana/#/discover/Steve-Slow-Train-Analysis-(2080s-and-2083s)?_g=(refreshInterval:(display:Off,section:0,value:0),time:(from:'2016-08-11 18:36:51-0600',mode:absolute,to:'2016-08-11 21:26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38" s="126" t="str">
        <f t="shared" si="0"/>
        <v>"C:\Program Files (x86)\AstroGrep\AstroGrep.exe" /spath="%USERPROFILE%\AppData\Local\Temp\OnboardLogs" /stypes="*4026*201608120*" /stext=" 02:.+((SYSTEM_STATE.+slice.+state.+changed )|(ment ac)|(system.+state.+changed )|(\|lc)|(penalty)|(\[timeout)|(PRM\|1\|D)|(kpr)|(kdp))" /e /r /s</v>
      </c>
      <c r="S38" s="9" t="str">
        <f t="shared" si="1"/>
        <v>4026</v>
      </c>
      <c r="T38" s="41">
        <f t="shared" si="2"/>
        <v>42594.101689814815</v>
      </c>
      <c r="U38" s="55" t="str">
        <f t="shared" si="3"/>
        <v>EC</v>
      </c>
      <c r="V38" s="55" t="str">
        <f t="shared" si="4"/>
        <v>KEEP</v>
      </c>
    </row>
    <row r="39" spans="1:22" x14ac:dyDescent="0.25">
      <c r="A39" s="41">
        <v>42593.869641203702</v>
      </c>
      <c r="B39" s="34" t="s">
        <v>132</v>
      </c>
      <c r="C39" s="34" t="s">
        <v>469</v>
      </c>
      <c r="D39" s="34" t="s">
        <v>49</v>
      </c>
      <c r="E39" s="34" t="s">
        <v>50</v>
      </c>
      <c r="F39" s="52">
        <v>0</v>
      </c>
      <c r="G39" s="52">
        <v>50</v>
      </c>
      <c r="H39" s="52">
        <v>167</v>
      </c>
      <c r="I39" s="34" t="s">
        <v>51</v>
      </c>
      <c r="J39" s="52">
        <v>1</v>
      </c>
      <c r="K39" s="34" t="s">
        <v>53</v>
      </c>
      <c r="L39" s="101" t="str">
        <f>VLOOKUP(C39,'Trips&amp;Operators'!$C$1:$E$9999,3,0)</f>
        <v>HAITHCOX</v>
      </c>
      <c r="M39" s="147" t="s">
        <v>91</v>
      </c>
      <c r="N39" s="10"/>
      <c r="O39" s="34"/>
      <c r="P39" s="119" t="str">
        <f>VLOOKUP(C39,'Train Runs'!$A$13:$AE$339,31,0)</f>
        <v>aws s3 cp s3://rtdc.mdm.uploadarchive/RTDC4032/2016-08-11/ "%USERPROFILE%\AppData\Local\Temp\OnboardLogs"\RTDC4032\2016-08-11 --recursive &amp; "%USERPROFILE%\Documents\GitHub\mrs-test-scripts\Headless Mode &amp; Sideloading\WalkAndUnGZ.bat" "%USERPROFILE%\AppData\Local\Temp\OnboardLogs"\RTDC4032\2016-08-11 &amp; aws s3 cp s3://rtdc.mdm.uploadarchive/RTDC4032/2016-08-12/ "%USERPROFILE%\AppData\Local\Temp\OnboardLogs"\RTDC4032\2016-08-12 --recursive &amp; "%USERPROFILE%\Documents\GitHub\mrs-test-scripts\Headless Mode &amp; Sideloading\WalkAndUnGZ.bat" "%USERPROFILE%\AppData\Local\Temp\OnboardLogs"\RTDC4032\2016-08-12</v>
      </c>
      <c r="Q39" s="123" t="str">
        <f>VLOOKUP(C39,'Train Runs'!$A$13:$AE$339,22,0)</f>
        <v>https://search-rtdc-monitor-bjffxe2xuh6vdkpspy63sjmuny.us-east-1.es.amazonaws.com/_plugin/kibana/#/discover/Steve-Slow-Train-Analysis-(2080s-and-2083s)?_g=(refreshInterval:(display:Off,section:0,value:0),time:(from:'2016-08-11 18:45:47-0600',mode:absolute,to:'2016-08-11 21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9" s="126" t="str">
        <f t="shared" si="0"/>
        <v>"C:\Program Files (x86)\AstroGrep\AstroGrep.exe" /spath="%USERPROFILE%\AppData\Local\Temp\OnboardLogs" /stypes="*4032*201608120*" /stext=" 02:.+((SYSTEM_STATE.+slice.+state.+changed )|(ment ac)|(system.+state.+changed )|(\|lc)|(penalty)|(\[timeout)|(PRM\|1\|D)|(kpr)|(kdp))" /e /r /s</v>
      </c>
      <c r="S39" s="9" t="str">
        <f t="shared" si="1"/>
        <v>4032</v>
      </c>
      <c r="T39" s="41">
        <f t="shared" si="2"/>
        <v>42594.119641203702</v>
      </c>
      <c r="U39" s="55" t="str">
        <f t="shared" si="3"/>
        <v>EC</v>
      </c>
      <c r="V39" s="55" t="str">
        <f t="shared" si="4"/>
        <v>KEEP</v>
      </c>
    </row>
    <row r="40" spans="1:22" x14ac:dyDescent="0.25">
      <c r="A40" s="41">
        <v>42593.920613425929</v>
      </c>
      <c r="B40" s="34" t="s">
        <v>612</v>
      </c>
      <c r="C40" s="34" t="s">
        <v>477</v>
      </c>
      <c r="D40" s="34" t="s">
        <v>49</v>
      </c>
      <c r="E40" s="34" t="s">
        <v>50</v>
      </c>
      <c r="F40" s="52">
        <v>0</v>
      </c>
      <c r="G40" s="52">
        <v>74</v>
      </c>
      <c r="H40" s="52">
        <v>267</v>
      </c>
      <c r="I40" s="34" t="s">
        <v>51</v>
      </c>
      <c r="J40" s="52">
        <v>1</v>
      </c>
      <c r="K40" s="34" t="s">
        <v>182</v>
      </c>
      <c r="L40" s="101" t="str">
        <f>VLOOKUP(C40,'Trips&amp;Operators'!$C$1:$E$9999,3,0)</f>
        <v>STAMBAUGH</v>
      </c>
      <c r="M40" s="147" t="s">
        <v>91</v>
      </c>
      <c r="N40" s="10"/>
      <c r="O40" s="34"/>
      <c r="P40" s="119" t="str">
        <f>VLOOKUP(C40,'Train Runs'!$A$13:$AE$339,31,0)</f>
        <v>aws s3 cp s3://rtdc.mdm.uploadarchive/RTDC4028/2016-08-11/ "%USERPROFILE%\AppData\Local\Temp\OnboardLogs"\RTDC4028\2016-08-11 --recursive &amp; "%USERPROFILE%\Documents\GitHub\mrs-test-scripts\Headless Mode &amp; Sideloading\WalkAndUnGZ.bat" "%USERPROFILE%\AppData\Local\Temp\OnboardLogs"\RTDC4028\2016-08-11 &amp; aws s3 cp s3://rtdc.mdm.uploadarchive/RTDC4028/2016-08-12/ "%USERPROFILE%\AppData\Local\Temp\OnboardLogs"\RTDC4028\2016-08-12 --recursive &amp; "%USERPROFILE%\Documents\GitHub\mrs-test-scripts\Headless Mode &amp; Sideloading\WalkAndUnGZ.bat" "%USERPROFILE%\AppData\Local\Temp\OnboardLogs"\RTDC4028\2016-08-12</v>
      </c>
      <c r="Q40" s="123" t="str">
        <f>VLOOKUP(C40,'Train Runs'!$A$13:$AE$339,22,0)</f>
        <v>https://search-rtdc-monitor-bjffxe2xuh6vdkpspy63sjmuny.us-east-1.es.amazonaws.com/_plugin/kibana/#/discover/Steve-Slow-Train-Analysis-(2080s-and-2083s)?_g=(refreshInterval:(display:Off,section:0,value:0),time:(from:'2016-08-11 20:21:49-0600',mode:absolute,to:'2016-08-11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0" s="126" t="str">
        <f t="shared" si="0"/>
        <v>"C:\Program Files (x86)\AstroGrep\AstroGrep.exe" /spath="%USERPROFILE%\AppData\Local\Temp\OnboardLogs" /stypes="*4028*201608120*" /stext=" 04:.+((SYSTEM_STATE.+slice.+state.+changed )|(ment ac)|(system.+state.+changed )|(\|lc)|(penalty)|(\[timeout)|(PRM\|1\|D)|(kpr)|(kdp))" /e /r /s</v>
      </c>
      <c r="S40" s="9" t="str">
        <f t="shared" si="1"/>
        <v>4028</v>
      </c>
      <c r="T40" s="41">
        <f t="shared" si="2"/>
        <v>42594.170613425929</v>
      </c>
      <c r="U40" s="55" t="str">
        <f t="shared" si="3"/>
        <v>EC</v>
      </c>
      <c r="V40" s="55" t="str">
        <f t="shared" si="4"/>
        <v>KEEP</v>
      </c>
    </row>
    <row r="41" spans="1:22" x14ac:dyDescent="0.25">
      <c r="A41" s="41">
        <v>42593.778402777774</v>
      </c>
      <c r="B41" s="34" t="s">
        <v>97</v>
      </c>
      <c r="C41" s="34" t="s">
        <v>455</v>
      </c>
      <c r="D41" s="34" t="s">
        <v>49</v>
      </c>
      <c r="E41" s="34" t="s">
        <v>50</v>
      </c>
      <c r="F41" s="52">
        <v>0</v>
      </c>
      <c r="G41" s="52">
        <v>68</v>
      </c>
      <c r="H41" s="52">
        <v>233251</v>
      </c>
      <c r="I41" s="34" t="s">
        <v>51</v>
      </c>
      <c r="J41" s="52">
        <v>233491</v>
      </c>
      <c r="K41" s="34" t="s">
        <v>52</v>
      </c>
      <c r="L41" s="101" t="str">
        <f>VLOOKUP(C41,'Trips&amp;Operators'!$C$1:$E$9999,3,0)</f>
        <v>COOLAHAN</v>
      </c>
      <c r="M41" s="147" t="s">
        <v>91</v>
      </c>
      <c r="N41" s="10"/>
      <c r="O41" s="34"/>
      <c r="P41" s="119" t="str">
        <f>VLOOKUP(C41,'Train Runs'!$A$13:$AE$339,31,0)</f>
        <v>aws s3 cp s3://rtdc.mdm.uploadarchive/RTDC4025/2016-08-11/ "%USERPROFILE%\AppData\Local\Temp\OnboardLogs"\RTDC4025\2016-08-11 --recursive &amp; "%USERPROFILE%\Documents\GitHub\mrs-test-scripts\Headless Mode &amp; Sideloading\WalkAndUnGZ.bat" "%USERPROFILE%\AppData\Local\Temp\OnboardLogs"\RTDC4025\2016-08-11 &amp; aws s3 cp s3://rtdc.mdm.uploadarchive/RTDC4025/2016-08-12/ "%USERPROFILE%\AppData\Local\Temp\OnboardLogs"\RTDC4025\2016-08-12 --recursive &amp; "%USERPROFILE%\Documents\GitHub\mrs-test-scripts\Headless Mode &amp; Sideloading\WalkAndUnGZ.bat" "%USERPROFILE%\AppData\Local\Temp\OnboardLogs"\RTDC4025\2016-08-12</v>
      </c>
      <c r="Q41" s="123" t="str">
        <f>VLOOKUP(C41,'Train Runs'!$A$13:$AE$339,22,0)</f>
        <v>https://search-rtdc-monitor-bjffxe2xuh6vdkpspy63sjmuny.us-east-1.es.amazonaws.com/_plugin/kibana/#/discover/Steve-Slow-Train-Analysis-(2080s-and-2083s)?_g=(refreshInterval:(display:Off,section:0,value:0),time:(from:'2016-08-11 16:38:03-0600',mode:absolute,to:'2016-08-11 19:41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41" s="126" t="str">
        <f t="shared" si="0"/>
        <v>"C:\Program Files (x86)\AstroGrep\AstroGrep.exe" /spath="%USERPROFILE%\AppData\Local\Temp\OnboardLogs" /stypes="*4025*201608120*" /stext=" 00:.+((SYSTEM_STATE.+slice.+state.+changed )|(ment ac)|(system.+state.+changed )|(\|lc)|(penalty)|(\[timeout)|(PRM\|1\|D)|(kpr)|(kdp))" /e /r /s</v>
      </c>
      <c r="S41" s="9" t="str">
        <f t="shared" si="1"/>
        <v>4025</v>
      </c>
      <c r="T41" s="41">
        <f t="shared" si="2"/>
        <v>42594.028402777774</v>
      </c>
      <c r="U41" s="55" t="str">
        <f t="shared" si="3"/>
        <v>EC</v>
      </c>
      <c r="V41" s="55" t="str">
        <f t="shared" si="4"/>
        <v>KEEP</v>
      </c>
    </row>
    <row r="42" spans="1:22" hidden="1" x14ac:dyDescent="0.25">
      <c r="A42" s="41">
        <v>42593.430810185186</v>
      </c>
      <c r="B42" s="34" t="s">
        <v>614</v>
      </c>
      <c r="C42" s="34" t="s">
        <v>499</v>
      </c>
      <c r="D42" s="34" t="s">
        <v>123</v>
      </c>
      <c r="E42" s="34" t="s">
        <v>54</v>
      </c>
      <c r="F42" s="52">
        <v>0</v>
      </c>
      <c r="G42" s="52">
        <v>92</v>
      </c>
      <c r="H42" s="52">
        <v>24133</v>
      </c>
      <c r="I42" s="34" t="s">
        <v>55</v>
      </c>
      <c r="J42" s="52">
        <v>24235</v>
      </c>
      <c r="K42" s="34" t="s">
        <v>53</v>
      </c>
      <c r="L42" s="101" t="str">
        <f>VLOOKUP(C42,'Trips&amp;Operators'!$C$1:$E$9999,3,0)</f>
        <v>SWANSON</v>
      </c>
      <c r="M42" s="147" t="s">
        <v>90</v>
      </c>
      <c r="N42" s="10"/>
      <c r="O42" s="34"/>
      <c r="P42" s="119" t="str">
        <f>VLOOKUP(C42,'Train Runs'!$A$13:$AE$339,31,0)</f>
        <v>aws s3 cp s3://rtdc.mdm.uploadarchive/RTDC4021/2016-08-11/ "%USERPROFILE%\AppData\Local\Temp\OnboardLogs"\RTDC4021\2016-08-11 --recursive &amp; "%USERPROFILE%\Documents\GitHub\mrs-test-scripts\Headless Mode &amp; Sideloading\WalkAndUnGZ.bat" "%USERPROFILE%\AppData\Local\Temp\OnboardLogs"\RTDC4021\2016-08-11 &amp; aws s3 cp s3://rtdc.mdm.uploadarchive/RTDC4021/2016-08-12/ "%USERPROFILE%\AppData\Local\Temp\OnboardLogs"\RTDC4021\2016-08-12 --recursive &amp; "%USERPROFILE%\Documents\GitHub\mrs-test-scripts\Headless Mode &amp; Sideloading\WalkAndUnGZ.bat" "%USERPROFILE%\AppData\Local\Temp\OnboardLogs"\RTDC4021\2016-08-12</v>
      </c>
      <c r="Q42" s="123" t="str">
        <f>VLOOKUP(C42,'Train Runs'!$A$13:$AE$339,22,0)</f>
        <v>https://search-rtdc-monitor-bjffxe2xuh6vdkpspy63sjmuny.us-east-1.es.amazonaws.com/_plugin/kibana/#/discover/Steve-Slow-Train-Analysis-(2080s-and-2083s)?_g=(refreshInterval:(display:Off,section:0,value:0),time:(from:'2016-08-11 09:13:41-0600',mode:absolute,to:'2016-08-11 11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4021%22')),sort:!(Time,asc))</v>
      </c>
      <c r="R42" s="126" t="str">
        <f t="shared" si="0"/>
        <v>"C:\Program Files (x86)\AstroGrep\AstroGrep.exe" /spath="%USERPROFILE%\AppData\Local\Temp\OnboardLogs" /stypes="*4021*201608111*" /stext=" 16:.+((SYSTEM_STATE.+slice.+state.+changed )|(ment ac)|(system.+state.+changed )|(\|lc)|(penalty)|(\[timeout)|(PRM\|1\|D)|(kpr)|(kdp))" /e /r /s</v>
      </c>
      <c r="S42" s="9" t="str">
        <f t="shared" si="1"/>
        <v>4021</v>
      </c>
      <c r="T42" s="41">
        <f t="shared" si="2"/>
        <v>42593.680810185186</v>
      </c>
      <c r="U42" s="55" t="str">
        <f t="shared" si="3"/>
        <v>GL</v>
      </c>
      <c r="V42" s="55" t="str">
        <f t="shared" si="4"/>
        <v>KEEP</v>
      </c>
    </row>
    <row r="43" spans="1:22" x14ac:dyDescent="0.25">
      <c r="A43" s="41">
        <v>42593.393831018519</v>
      </c>
      <c r="B43" s="34" t="s">
        <v>613</v>
      </c>
      <c r="C43" s="34" t="s">
        <v>535</v>
      </c>
      <c r="D43" s="34" t="s">
        <v>49</v>
      </c>
      <c r="E43" s="34" t="s">
        <v>56</v>
      </c>
      <c r="F43" s="52">
        <v>300</v>
      </c>
      <c r="G43" s="52">
        <v>353</v>
      </c>
      <c r="H43" s="52">
        <v>20651</v>
      </c>
      <c r="I43" s="34" t="s">
        <v>57</v>
      </c>
      <c r="J43" s="52">
        <v>21314</v>
      </c>
      <c r="K43" s="34" t="s">
        <v>52</v>
      </c>
      <c r="L43" s="101" t="str">
        <f>VLOOKUP(C43,'Trips&amp;Operators'!$C$1:$E$9999,3,0)</f>
        <v>OUN</v>
      </c>
      <c r="M43" s="147" t="s">
        <v>91</v>
      </c>
      <c r="N43" s="10"/>
      <c r="O43" s="34"/>
      <c r="P43" s="119" t="str">
        <f>VLOOKUP(C43,'Train Runs'!$A$13:$AE$339,31,0)</f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Q43" s="123" t="str">
        <f>VLOOKUP(C43,'Train Runs'!$A$13:$AE$339,22,0)</f>
        <v>https://search-rtdc-monitor-bjffxe2xuh6vdkpspy63sjmuny.us-east-1.es.amazonaws.com/_plugin/kibana/#/discover/Steve-Slow-Train-Analysis-(2080s-and-2083s)?_g=(refreshInterval:(display:Off,section:0,value:0),time:(from:'2016-08-11 08:15:57-0600',mode:absolute,to:'2016-08-11 10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3" s="126" t="str">
        <f t="shared" si="0"/>
        <v>"C:\Program Files (x86)\AstroGrep\AstroGrep.exe" /spath="%USERPROFILE%\AppData\Local\Temp\OnboardLogs" /stypes="*4042*201608111*" /stext=" 15:.+((SYSTEM_STATE.+slice.+state.+changed )|(ment ac)|(system.+state.+changed )|(\|lc)|(penalty)|(\[timeout)|(PRM\|1\|D)|(kpr)|(kdp))" /e /r /s</v>
      </c>
      <c r="S43" s="9" t="str">
        <f t="shared" si="1"/>
        <v>4042</v>
      </c>
      <c r="T43" s="41">
        <f t="shared" si="2"/>
        <v>42593.643831018519</v>
      </c>
      <c r="U43" s="55" t="str">
        <f t="shared" si="3"/>
        <v>NW</v>
      </c>
      <c r="V43" s="55" t="str">
        <f t="shared" si="4"/>
        <v>KEEP</v>
      </c>
    </row>
    <row r="44" spans="1:22" x14ac:dyDescent="0.25">
      <c r="A44" s="41">
        <v>42593.439560185187</v>
      </c>
      <c r="B44" s="34" t="s">
        <v>613</v>
      </c>
      <c r="C44" s="34" t="s">
        <v>538</v>
      </c>
      <c r="D44" s="34" t="s">
        <v>49</v>
      </c>
      <c r="E44" s="34" t="s">
        <v>56</v>
      </c>
      <c r="F44" s="52">
        <v>150</v>
      </c>
      <c r="G44" s="52">
        <v>450</v>
      </c>
      <c r="H44" s="52">
        <v>54818</v>
      </c>
      <c r="I44" s="34" t="s">
        <v>57</v>
      </c>
      <c r="J44" s="52">
        <v>57008</v>
      </c>
      <c r="K44" s="34" t="s">
        <v>52</v>
      </c>
      <c r="L44" s="101" t="str">
        <f>VLOOKUP(C44,'Trips&amp;Operators'!$C$1:$E$9999,3,0)</f>
        <v>OUN</v>
      </c>
      <c r="M44" s="147" t="s">
        <v>91</v>
      </c>
      <c r="N44" s="10"/>
      <c r="O44" s="34"/>
      <c r="P44" s="119" t="str">
        <f>VLOOKUP(C44,'Train Runs'!$A$13:$AE$339,31,0)</f>
        <v>aws s3 cp s3://rtdc.mdm.uploadarchive/RTDC4042/2016-08-11/ "%USERPROFILE%\AppData\Local\Temp\OnboardLogs"\RTDC4042\2016-08-11 --recursive &amp; "%USERPROFILE%\Documents\GitHub\mrs-test-scripts\Headless Mode &amp; Sideloading\WalkAndUnGZ.bat" "%USERPROFILE%\AppData\Local\Temp\OnboardLogs"\RTDC4042\2016-08-11 &amp; aws s3 cp s3://rtdc.mdm.uploadarchive/RTDC4042/2016-08-12/ "%USERPROFILE%\AppData\Local\Temp\OnboardLogs"\RTDC4042\2016-08-12 --recursive &amp; "%USERPROFILE%\Documents\GitHub\mrs-test-scripts\Headless Mode &amp; Sideloading\WalkAndUnGZ.bat" "%USERPROFILE%\AppData\Local\Temp\OnboardLogs"\RTDC4042\2016-08-12</v>
      </c>
      <c r="Q44" s="123" t="str">
        <f>VLOOKUP(C44,'Train Runs'!$A$13:$AE$339,22,0)</f>
        <v>https://search-rtdc-monitor-bjffxe2xuh6vdkpspy63sjmuny.us-east-1.es.amazonaws.com/_plugin/kibana/#/discover/Steve-Slow-Train-Analysis-(2080s-and-2083s)?_g=(refreshInterval:(display:Off,section:0,value:0),time:(from:'2016-08-11 09:15:15-0600',mode:absolute,to:'2016-08-11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R44" s="126" t="str">
        <f t="shared" si="0"/>
        <v>"C:\Program Files (x86)\AstroGrep\AstroGrep.exe" /spath="%USERPROFILE%\AppData\Local\Temp\OnboardLogs" /stypes="*4042*201608111*" /stext=" 16:.+((SYSTEM_STATE.+slice.+state.+changed )|(ment ac)|(system.+state.+changed )|(\|lc)|(penalty)|(\[timeout)|(PRM\|1\|D)|(kpr)|(kdp))" /e /r /s</v>
      </c>
      <c r="S44" s="9" t="str">
        <f t="shared" si="1"/>
        <v>4042</v>
      </c>
      <c r="T44" s="41">
        <f t="shared" si="2"/>
        <v>42593.689560185187</v>
      </c>
      <c r="U44" s="55" t="str">
        <f t="shared" si="3"/>
        <v>NW</v>
      </c>
      <c r="V44" s="55" t="str">
        <f t="shared" si="4"/>
        <v>KEEP</v>
      </c>
    </row>
    <row r="45" spans="1:22" x14ac:dyDescent="0.25">
      <c r="A45" s="41">
        <v>42593.759432870371</v>
      </c>
      <c r="B45" s="34" t="s">
        <v>616</v>
      </c>
      <c r="C45" s="34" t="s">
        <v>579</v>
      </c>
      <c r="D45" s="34" t="s">
        <v>123</v>
      </c>
      <c r="E45" s="34" t="s">
        <v>56</v>
      </c>
      <c r="F45" s="52">
        <v>150</v>
      </c>
      <c r="G45" s="52">
        <v>212</v>
      </c>
      <c r="H45" s="52">
        <v>56986</v>
      </c>
      <c r="I45" s="34" t="s">
        <v>57</v>
      </c>
      <c r="J45" s="52">
        <v>59050</v>
      </c>
      <c r="K45" s="34" t="s">
        <v>53</v>
      </c>
      <c r="L45" s="101" t="str">
        <f>VLOOKUP(C45,'Trips&amp;Operators'!$C$1:$E$9999,3,0)</f>
        <v>ROBINSON</v>
      </c>
      <c r="M45" s="147" t="s">
        <v>91</v>
      </c>
      <c r="N45" s="10"/>
      <c r="O45" s="34"/>
      <c r="P45" s="119" t="str">
        <f>VLOOKUP(C45,'Train Runs'!$A$13:$AE$339,31,0)</f>
        <v>aws s3 cp s3://rtdc.mdm.uploadarchive/RTDC4004/2016-08-11/ "%USERPROFILE%\AppData\Local\Temp\OnboardLogs"\RTDC4004\2016-08-11 --recursive &amp; "%USERPROFILE%\Documents\GitHub\mrs-test-scripts\Headless Mode &amp; Sideloading\WalkAndUnGZ.bat" "%USERPROFILE%\AppData\Local\Temp\OnboardLogs"\RTDC4004\2016-08-11 &amp; aws s3 cp s3://rtdc.mdm.uploadarchive/RTDC4004/2016-08-12/ "%USERPROFILE%\AppData\Local\Temp\OnboardLogs"\RTDC4004\2016-08-12 --recursive &amp; "%USERPROFILE%\Documents\GitHub\mrs-test-scripts\Headless Mode &amp; Sideloading\WalkAndUnGZ.bat" "%USERPROFILE%\AppData\Local\Temp\OnboardLogs"\RTDC4004\2016-08-12</v>
      </c>
      <c r="Q45" s="123" t="str">
        <f>VLOOKUP(C45,'Train Runs'!$A$13:$AE$339,22,0)</f>
        <v>https://search-rtdc-monitor-bjffxe2xuh6vdkpspy63sjmuny.us-east-1.es.amazonaws.com/_plugin/kibana/#/discover/Steve-Slow-Train-Analysis-(2080s-and-2083s)?_g=(refreshInterval:(display:Off,section:0,value:0),time:(from:'2016-08-11 17:05:12-0600',mode:absolute,to:'2016-08-11 19:25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4004%22')),sort:!(Time,asc))</v>
      </c>
      <c r="R45" s="126" t="str">
        <f t="shared" si="0"/>
        <v>"C:\Program Files (x86)\AstroGrep\AstroGrep.exe" /spath="%USERPROFILE%\AppData\Local\Temp\OnboardLogs" /stypes="*4004*201608120*" /stext=" 00:.+((SYSTEM_STATE.+slice.+state.+changed )|(ment ac)|(system.+state.+changed )|(\|lc)|(penalty)|(\[timeout)|(PRM\|1\|D)|(kpr)|(kdp))" /e /r /s</v>
      </c>
      <c r="S45" s="9" t="str">
        <f t="shared" si="1"/>
        <v>4004</v>
      </c>
      <c r="T45" s="41">
        <f t="shared" si="2"/>
        <v>42594.009432870371</v>
      </c>
      <c r="U45" s="55" t="str">
        <f t="shared" si="3"/>
        <v>NW</v>
      </c>
      <c r="V45" s="55" t="str">
        <f t="shared" si="4"/>
        <v>KEEP</v>
      </c>
    </row>
    <row r="46" spans="1:22" x14ac:dyDescent="0.25">
      <c r="A46" s="41">
        <v>42593.616423611114</v>
      </c>
      <c r="B46" s="34" t="s">
        <v>615</v>
      </c>
      <c r="C46" s="34" t="s">
        <v>553</v>
      </c>
      <c r="D46" s="34" t="s">
        <v>49</v>
      </c>
      <c r="E46" s="34" t="s">
        <v>54</v>
      </c>
      <c r="F46" s="52">
        <v>0</v>
      </c>
      <c r="G46" s="52">
        <v>268</v>
      </c>
      <c r="H46" s="52">
        <v>34784</v>
      </c>
      <c r="I46" s="34" t="s">
        <v>55</v>
      </c>
      <c r="J46" s="52">
        <v>33251</v>
      </c>
      <c r="K46" s="34" t="s">
        <v>53</v>
      </c>
      <c r="L46" s="101" t="str">
        <f>VLOOKUP(C46,'Trips&amp;Operators'!$C$1:$E$9999,3,0)</f>
        <v>HELVIE</v>
      </c>
      <c r="M46" s="147" t="s">
        <v>91</v>
      </c>
      <c r="N46" s="10" t="s">
        <v>665</v>
      </c>
      <c r="O46" s="34"/>
      <c r="P46" s="119" t="str">
        <f>VLOOKUP(C46,'Train Runs'!$A$13:$AE$339,31,0)</f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Q46" s="123" t="str">
        <f>VLOOKUP(C46,'Train Runs'!$A$13:$AE$339,22,0)</f>
        <v>https://search-rtdc-monitor-bjffxe2xuh6vdkpspy63sjmuny.us-east-1.es.amazonaws.com/_plugin/kibana/#/discover/Steve-Slow-Train-Analysis-(2080s-and-2083s)?_g=(refreshInterval:(display:Off,section:0,value:0),time:(from:'2016-08-11 13:37:33-0600',mode:absolute,to:'2016-08-11 15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46" s="126" t="str">
        <f t="shared" si="0"/>
        <v>"C:\Program Files (x86)\AstroGrep\AstroGrep.exe" /spath="%USERPROFILE%\AppData\Local\Temp\OnboardLogs" /stypes="*4041*201608112*" /stext=" 20:.+((SYSTEM_STATE.+slice.+state.+changed )|(ment ac)|(system.+state.+changed )|(\|lc)|(penalty)|(\[timeout)|(PRM\|1\|D)|(kpr)|(kdp))" /e /r /s</v>
      </c>
      <c r="S46" s="9" t="str">
        <f t="shared" si="1"/>
        <v>4041</v>
      </c>
      <c r="T46" s="41">
        <f t="shared" si="2"/>
        <v>42593.866423611114</v>
      </c>
      <c r="U46" s="55" t="str">
        <f t="shared" si="3"/>
        <v>NW</v>
      </c>
      <c r="V46" s="55" t="str">
        <f t="shared" si="4"/>
        <v>KEEP</v>
      </c>
    </row>
    <row r="47" spans="1:22" x14ac:dyDescent="0.25">
      <c r="A47" s="41">
        <v>42593.904409722221</v>
      </c>
      <c r="B47" s="34" t="s">
        <v>615</v>
      </c>
      <c r="C47" s="34" t="s">
        <v>599</v>
      </c>
      <c r="D47" s="34" t="s">
        <v>123</v>
      </c>
      <c r="E47" s="34" t="s">
        <v>54</v>
      </c>
      <c r="F47" s="52">
        <v>0</v>
      </c>
      <c r="G47" s="52">
        <v>99</v>
      </c>
      <c r="H47" s="52">
        <v>58010</v>
      </c>
      <c r="I47" s="34" t="s">
        <v>55</v>
      </c>
      <c r="J47" s="52">
        <v>48761</v>
      </c>
      <c r="K47" s="34" t="s">
        <v>52</v>
      </c>
      <c r="L47" s="101" t="str">
        <f>VLOOKUP(C47,'Trips&amp;Operators'!$C$1:$E$9999,3,0)</f>
        <v>HELVIE</v>
      </c>
      <c r="M47" s="147" t="s">
        <v>90</v>
      </c>
      <c r="N47" s="10" t="s">
        <v>229</v>
      </c>
      <c r="O47" s="34"/>
      <c r="P47" s="119" t="str">
        <f>VLOOKUP(C47,'Train Runs'!$A$13:$AE$339,31,0)</f>
        <v>aws s3 cp s3://rtdc.mdm.uploadarchive/RTDC4041/2016-08-11/ "%USERPROFILE%\AppData\Local\Temp\OnboardLogs"\RTDC4041\2016-08-11 --recursive &amp; "%USERPROFILE%\Documents\GitHub\mrs-test-scripts\Headless Mode &amp; Sideloading\WalkAndUnGZ.bat" "%USERPROFILE%\AppData\Local\Temp\OnboardLogs"\RTDC4041\2016-08-11 &amp; aws s3 cp s3://rtdc.mdm.uploadarchive/RTDC4041/2016-08-12/ "%USERPROFILE%\AppData\Local\Temp\OnboardLogs"\RTDC4041\2016-08-12 --recursive &amp; "%USERPROFILE%\Documents\GitHub\mrs-test-scripts\Headless Mode &amp; Sideloading\WalkAndUnGZ.bat" "%USERPROFILE%\AppData\Local\Temp\OnboardLogs"\RTDC4041\2016-08-12</v>
      </c>
      <c r="Q47" s="123" t="str">
        <f>VLOOKUP(C47,'Train Runs'!$A$13:$AE$339,22,0)</f>
        <v>https://search-rtdc-monitor-bjffxe2xuh6vdkpspy63sjmuny.us-east-1.es.amazonaws.com/_plugin/kibana/#/discover/Steve-Slow-Train-Analysis-(2080s-and-2083s)?_g=(refreshInterval:(display:Off,section:0,value:0),time:(from:'2016-08-11 20:38:12-0600',mode:absolute,to:'2016-08-11 22:42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47" s="126" t="str">
        <f t="shared" si="0"/>
        <v>"C:\Program Files (x86)\AstroGrep\AstroGrep.exe" /spath="%USERPROFILE%\AppData\Local\Temp\OnboardLogs" /stypes="*4041*201608120*" /stext=" 03:.+((SYSTEM_STATE.+slice.+state.+changed )|(ment ac)|(system.+state.+changed )|(\|lc)|(penalty)|(\[timeout)|(PRM\|1\|D)|(kpr)|(kdp))" /e /r /s</v>
      </c>
      <c r="S47" s="9" t="str">
        <f t="shared" si="1"/>
        <v>4041</v>
      </c>
      <c r="T47" s="41">
        <f t="shared" si="2"/>
        <v>42594.154409722221</v>
      </c>
      <c r="U47" s="55" t="str">
        <f t="shared" si="3"/>
        <v>NW</v>
      </c>
      <c r="V47" s="55" t="str">
        <f t="shared" si="4"/>
        <v>KEEP</v>
      </c>
    </row>
    <row r="48" spans="1:22" x14ac:dyDescent="0.25">
      <c r="A48" s="41"/>
      <c r="B48" s="34"/>
      <c r="C48" s="34"/>
      <c r="D48" s="34"/>
      <c r="E48" s="34"/>
      <c r="F48" s="52"/>
      <c r="G48" s="52"/>
      <c r="H48" s="52"/>
      <c r="I48" s="34"/>
      <c r="J48" s="52"/>
      <c r="K48" s="34"/>
      <c r="L48" s="101"/>
      <c r="M48" s="147"/>
      <c r="N48" s="10"/>
      <c r="O48" s="34"/>
      <c r="P48" s="119"/>
      <c r="Q48" s="123"/>
      <c r="R48" s="126"/>
      <c r="S48" s="9"/>
      <c r="T48" s="41"/>
      <c r="U48" s="55"/>
      <c r="V48" s="55"/>
    </row>
    <row r="49" spans="1:22" x14ac:dyDescent="0.25">
      <c r="A49" s="41"/>
      <c r="B49" s="34"/>
      <c r="C49" s="34"/>
      <c r="D49" s="34"/>
      <c r="E49" s="34"/>
      <c r="F49" s="52"/>
      <c r="G49" s="52"/>
      <c r="H49" s="52"/>
      <c r="I49" s="34"/>
      <c r="J49" s="52"/>
      <c r="K49" s="34"/>
      <c r="L49" s="101"/>
      <c r="M49" s="147"/>
      <c r="N49" s="10"/>
      <c r="O49" s="34"/>
      <c r="P49" s="119"/>
      <c r="Q49" s="123"/>
      <c r="R49" s="126"/>
      <c r="S49" s="9"/>
      <c r="T49" s="41"/>
      <c r="U49" s="55"/>
      <c r="V49" s="55"/>
    </row>
    <row r="50" spans="1:22" x14ac:dyDescent="0.25">
      <c r="A50" s="41"/>
      <c r="B50" s="34"/>
      <c r="C50" s="34"/>
      <c r="D50" s="34"/>
      <c r="E50" s="34"/>
      <c r="F50" s="52"/>
      <c r="G50" s="52"/>
      <c r="H50" s="52"/>
      <c r="I50" s="34"/>
      <c r="J50" s="52"/>
      <c r="K50" s="34"/>
      <c r="L50" s="101"/>
      <c r="M50" s="147"/>
      <c r="N50" s="10"/>
      <c r="O50" s="34"/>
      <c r="P50" s="119"/>
      <c r="Q50" s="123"/>
      <c r="R50" s="126"/>
      <c r="S50" s="9"/>
      <c r="T50" s="41"/>
      <c r="U50" s="55"/>
      <c r="V50" s="55"/>
    </row>
    <row r="51" spans="1:22" x14ac:dyDescent="0.25">
      <c r="A51" s="41"/>
      <c r="B51" s="34"/>
      <c r="C51" s="34"/>
      <c r="D51" s="34"/>
      <c r="E51" s="34"/>
      <c r="F51" s="52"/>
      <c r="G51" s="52"/>
      <c r="H51" s="52"/>
      <c r="I51" s="34"/>
      <c r="J51" s="52"/>
      <c r="K51" s="34"/>
      <c r="L51" s="101"/>
      <c r="M51" s="147"/>
      <c r="N51" s="10"/>
      <c r="O51" s="34"/>
      <c r="P51" s="119"/>
      <c r="Q51" s="123"/>
      <c r="R51" s="126"/>
      <c r="S51" s="9"/>
      <c r="T51" s="41"/>
      <c r="U51" s="55"/>
      <c r="V51" s="55"/>
    </row>
    <row r="52" spans="1:22" x14ac:dyDescent="0.25">
      <c r="A52" s="41"/>
      <c r="B52" s="34"/>
      <c r="C52" s="34"/>
      <c r="D52" s="34"/>
      <c r="E52" s="34"/>
      <c r="F52" s="52"/>
      <c r="G52" s="52"/>
      <c r="H52" s="52"/>
      <c r="I52" s="34"/>
      <c r="J52" s="52"/>
      <c r="K52" s="34"/>
      <c r="L52" s="101"/>
      <c r="M52" s="147"/>
      <c r="N52" s="10"/>
      <c r="O52" s="34"/>
      <c r="P52" s="119"/>
      <c r="Q52" s="123"/>
      <c r="R52" s="126"/>
      <c r="S52" s="9"/>
      <c r="T52" s="41"/>
      <c r="U52" s="55"/>
      <c r="V52" s="55"/>
    </row>
    <row r="53" spans="1:22" x14ac:dyDescent="0.25">
      <c r="A53" s="41"/>
      <c r="B53" s="34"/>
      <c r="C53" s="34"/>
      <c r="D53" s="34"/>
      <c r="E53" s="34"/>
      <c r="F53" s="52"/>
      <c r="G53" s="52"/>
      <c r="H53" s="52"/>
      <c r="I53" s="34"/>
      <c r="J53" s="52"/>
      <c r="K53" s="34"/>
      <c r="L53" s="101"/>
      <c r="M53" s="147"/>
      <c r="N53" s="10"/>
      <c r="O53" s="34"/>
      <c r="P53" s="119"/>
      <c r="Q53" s="123"/>
      <c r="R53" s="126"/>
      <c r="S53" s="9"/>
      <c r="T53" s="41"/>
      <c r="U53" s="55"/>
      <c r="V53" s="55"/>
    </row>
    <row r="54" spans="1:22" x14ac:dyDescent="0.25">
      <c r="A54" s="41"/>
      <c r="B54" s="34"/>
      <c r="C54" s="34"/>
      <c r="D54" s="34"/>
      <c r="E54" s="34"/>
      <c r="F54" s="52"/>
      <c r="G54" s="52"/>
      <c r="H54" s="52"/>
      <c r="I54" s="34"/>
      <c r="J54" s="52"/>
      <c r="K54" s="34"/>
      <c r="L54" s="101"/>
      <c r="M54" s="147"/>
      <c r="N54" s="10"/>
      <c r="O54" s="34"/>
      <c r="P54" s="119"/>
      <c r="Q54" s="123"/>
      <c r="R54" s="126"/>
      <c r="S54" s="9"/>
      <c r="T54" s="41"/>
      <c r="U54" s="55"/>
      <c r="V54" s="55"/>
    </row>
    <row r="55" spans="1:22" x14ac:dyDescent="0.25">
      <c r="A55" s="41"/>
      <c r="B55" s="34"/>
      <c r="C55" s="34"/>
      <c r="D55" s="34"/>
      <c r="E55" s="34"/>
      <c r="F55" s="52"/>
      <c r="G55" s="52"/>
      <c r="H55" s="52"/>
      <c r="I55" s="34"/>
      <c r="J55" s="52"/>
      <c r="K55" s="34"/>
      <c r="L55" s="101"/>
      <c r="M55" s="147"/>
      <c r="N55" s="10"/>
      <c r="O55" s="34"/>
      <c r="P55" s="119"/>
      <c r="Q55" s="123"/>
      <c r="R55" s="126"/>
      <c r="S55" s="9"/>
      <c r="T55" s="41"/>
      <c r="U55" s="55"/>
      <c r="V55" s="55"/>
    </row>
    <row r="56" spans="1:22" x14ac:dyDescent="0.25">
      <c r="A56" s="41"/>
      <c r="B56" s="34"/>
      <c r="C56" s="34"/>
      <c r="D56" s="34"/>
      <c r="E56" s="34"/>
      <c r="F56" s="52"/>
      <c r="G56" s="52"/>
      <c r="H56" s="52"/>
      <c r="I56" s="34"/>
      <c r="J56" s="52"/>
      <c r="K56" s="34"/>
      <c r="L56" s="101"/>
      <c r="M56" s="147"/>
      <c r="N56" s="10"/>
      <c r="O56" s="34"/>
      <c r="P56" s="119"/>
      <c r="Q56" s="123"/>
      <c r="R56" s="126"/>
      <c r="S56" s="9"/>
      <c r="T56" s="41"/>
      <c r="U56" s="55"/>
      <c r="V56" s="55"/>
    </row>
    <row r="57" spans="1:22" x14ac:dyDescent="0.25">
      <c r="A57" s="41"/>
      <c r="B57" s="34"/>
      <c r="C57" s="34"/>
      <c r="D57" s="34"/>
      <c r="E57" s="34"/>
      <c r="F57" s="52"/>
      <c r="G57" s="52"/>
      <c r="H57" s="52"/>
      <c r="I57" s="34"/>
      <c r="J57" s="52"/>
      <c r="K57" s="34"/>
      <c r="L57" s="101"/>
      <c r="M57" s="147"/>
      <c r="N57" s="10"/>
      <c r="O57" s="34"/>
      <c r="P57" s="119"/>
      <c r="Q57" s="123"/>
      <c r="R57" s="126"/>
      <c r="S57" s="9"/>
      <c r="T57" s="41"/>
      <c r="U57" s="55"/>
      <c r="V57" s="55"/>
    </row>
    <row r="58" spans="1:22" x14ac:dyDescent="0.25">
      <c r="A58" s="41"/>
      <c r="B58" s="34"/>
      <c r="C58" s="34"/>
      <c r="D58" s="34"/>
      <c r="E58" s="34"/>
      <c r="F58" s="52"/>
      <c r="G58" s="52"/>
      <c r="H58" s="52"/>
      <c r="I58" s="34"/>
      <c r="J58" s="52"/>
      <c r="K58" s="34"/>
      <c r="L58" s="101"/>
      <c r="M58" s="147"/>
      <c r="N58" s="10"/>
      <c r="O58" s="34"/>
      <c r="P58" s="119"/>
      <c r="Q58" s="123"/>
      <c r="R58" s="126"/>
      <c r="S58" s="9"/>
      <c r="T58" s="41"/>
      <c r="U58" s="55"/>
      <c r="V58" s="55"/>
    </row>
    <row r="59" spans="1:22" x14ac:dyDescent="0.25">
      <c r="A59" s="41"/>
      <c r="B59" s="34"/>
      <c r="C59" s="34"/>
      <c r="D59" s="34"/>
      <c r="E59" s="34"/>
      <c r="F59" s="52"/>
      <c r="G59" s="52"/>
      <c r="H59" s="52"/>
      <c r="I59" s="34"/>
      <c r="J59" s="52"/>
      <c r="K59" s="34"/>
      <c r="L59" s="101"/>
      <c r="M59" s="147"/>
      <c r="N59" s="10"/>
      <c r="O59" s="34"/>
      <c r="P59" s="119"/>
      <c r="Q59" s="123"/>
      <c r="R59" s="126"/>
      <c r="S59" s="9"/>
      <c r="T59" s="41"/>
      <c r="U59" s="55"/>
      <c r="V59" s="55"/>
    </row>
    <row r="60" spans="1:22" x14ac:dyDescent="0.25">
      <c r="A60" s="41"/>
      <c r="B60" s="34"/>
      <c r="C60" s="34"/>
      <c r="D60" s="34"/>
      <c r="E60" s="34"/>
      <c r="F60" s="52"/>
      <c r="G60" s="52"/>
      <c r="H60" s="52"/>
      <c r="I60" s="34"/>
      <c r="J60" s="52"/>
      <c r="K60" s="34"/>
      <c r="L60" s="101"/>
      <c r="M60" s="147"/>
      <c r="N60" s="10"/>
      <c r="O60" s="34"/>
      <c r="P60" s="119"/>
      <c r="Q60" s="123"/>
      <c r="R60" s="126"/>
      <c r="S60" s="9"/>
      <c r="T60" s="41"/>
      <c r="U60" s="55"/>
      <c r="V60" s="55"/>
    </row>
    <row r="61" spans="1:22" x14ac:dyDescent="0.25">
      <c r="A61" s="41"/>
      <c r="B61" s="34"/>
      <c r="C61" s="34"/>
      <c r="D61" s="34"/>
      <c r="E61" s="34"/>
      <c r="F61" s="52"/>
      <c r="G61" s="52"/>
      <c r="H61" s="52"/>
      <c r="I61" s="34"/>
      <c r="J61" s="52"/>
      <c r="K61" s="34"/>
      <c r="L61" s="101"/>
      <c r="M61" s="147"/>
      <c r="N61" s="10"/>
      <c r="O61" s="34"/>
      <c r="P61" s="119"/>
      <c r="Q61" s="123"/>
      <c r="R61" s="126"/>
      <c r="S61" s="9"/>
      <c r="T61" s="41"/>
      <c r="U61" s="55"/>
      <c r="V61" s="55"/>
    </row>
    <row r="62" spans="1:22" x14ac:dyDescent="0.25">
      <c r="A62" s="41"/>
      <c r="B62" s="34"/>
      <c r="C62" s="34"/>
      <c r="D62" s="34"/>
      <c r="E62" s="34"/>
      <c r="F62" s="52"/>
      <c r="G62" s="52"/>
      <c r="H62" s="52"/>
      <c r="I62" s="34"/>
      <c r="J62" s="52"/>
      <c r="K62" s="34"/>
      <c r="L62" s="101"/>
      <c r="M62" s="147"/>
      <c r="N62" s="10"/>
      <c r="O62" s="34"/>
      <c r="P62" s="119"/>
      <c r="Q62" s="123"/>
      <c r="R62" s="126"/>
      <c r="S62" s="9"/>
      <c r="T62" s="41"/>
      <c r="U62" s="55"/>
      <c r="V62" s="55"/>
    </row>
    <row r="63" spans="1:22" x14ac:dyDescent="0.25">
      <c r="A63" s="41"/>
      <c r="B63" s="34"/>
      <c r="C63" s="34"/>
      <c r="D63" s="34"/>
      <c r="E63" s="34"/>
      <c r="F63" s="52"/>
      <c r="G63" s="52"/>
      <c r="H63" s="52"/>
      <c r="I63" s="34"/>
      <c r="J63" s="52"/>
      <c r="K63" s="34"/>
      <c r="L63" s="101"/>
      <c r="M63" s="147"/>
      <c r="N63" s="10"/>
      <c r="O63" s="34"/>
      <c r="P63" s="119"/>
      <c r="Q63" s="123"/>
      <c r="R63" s="126"/>
      <c r="S63" s="9"/>
      <c r="T63" s="41"/>
      <c r="U63" s="55"/>
      <c r="V63" s="55"/>
    </row>
    <row r="64" spans="1:22" x14ac:dyDescent="0.25">
      <c r="A64" s="41"/>
      <c r="B64" s="34"/>
      <c r="C64" s="34"/>
      <c r="D64" s="34"/>
      <c r="E64" s="34"/>
      <c r="F64" s="52"/>
      <c r="G64" s="52"/>
      <c r="H64" s="52"/>
      <c r="I64" s="34"/>
      <c r="J64" s="52"/>
      <c r="K64" s="34"/>
      <c r="L64" s="101"/>
      <c r="M64" s="147"/>
      <c r="N64" s="10"/>
      <c r="O64" s="34"/>
      <c r="P64" s="119"/>
      <c r="Q64" s="123"/>
      <c r="R64" s="126"/>
      <c r="S64" s="9"/>
      <c r="T64" s="41"/>
      <c r="U64" s="55"/>
      <c r="V64" s="55"/>
    </row>
    <row r="65" spans="1:22" x14ac:dyDescent="0.25">
      <c r="A65" s="41"/>
      <c r="B65" s="34"/>
      <c r="C65" s="34"/>
      <c r="D65" s="34"/>
      <c r="E65" s="34"/>
      <c r="F65" s="52"/>
      <c r="G65" s="52"/>
      <c r="H65" s="52"/>
      <c r="I65" s="34"/>
      <c r="J65" s="52"/>
      <c r="K65" s="34"/>
      <c r="L65" s="101"/>
      <c r="M65" s="147"/>
      <c r="N65" s="10"/>
      <c r="O65" s="34"/>
      <c r="P65" s="119"/>
      <c r="Q65" s="123"/>
      <c r="R65" s="126"/>
      <c r="S65" s="9"/>
      <c r="T65" s="41"/>
      <c r="U65" s="55"/>
      <c r="V65" s="55"/>
    </row>
    <row r="66" spans="1:22" x14ac:dyDescent="0.25">
      <c r="A66" s="41"/>
      <c r="B66" s="34"/>
      <c r="C66" s="34"/>
      <c r="D66" s="34"/>
      <c r="E66" s="34"/>
      <c r="F66" s="52"/>
      <c r="G66" s="52"/>
      <c r="H66" s="52"/>
      <c r="I66" s="34"/>
      <c r="J66" s="52"/>
      <c r="K66" s="34"/>
      <c r="L66" s="101"/>
      <c r="M66" s="147"/>
      <c r="N66" s="10"/>
      <c r="O66" s="34"/>
      <c r="P66" s="119"/>
      <c r="Q66" s="123"/>
      <c r="R66" s="126"/>
      <c r="S66" s="9"/>
      <c r="T66" s="41"/>
      <c r="U66" s="55"/>
      <c r="V66" s="55"/>
    </row>
    <row r="67" spans="1:22" x14ac:dyDescent="0.25">
      <c r="A67" s="41"/>
      <c r="B67" s="34"/>
      <c r="C67" s="34"/>
      <c r="D67" s="34"/>
      <c r="E67" s="34"/>
      <c r="F67" s="52"/>
      <c r="G67" s="52"/>
      <c r="H67" s="52"/>
      <c r="I67" s="34"/>
      <c r="J67" s="52"/>
      <c r="K67" s="34"/>
      <c r="L67" s="101"/>
      <c r="M67" s="147"/>
      <c r="N67" s="10"/>
      <c r="O67" s="34"/>
      <c r="P67" s="119"/>
      <c r="Q67" s="123"/>
      <c r="R67" s="126"/>
      <c r="S67" s="9"/>
      <c r="T67" s="41"/>
      <c r="U67" s="55"/>
      <c r="V67" s="55"/>
    </row>
  </sheetData>
  <autoFilter ref="A6:V67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113" priority="14" operator="equal">
      <formula>"Y"</formula>
    </cfRule>
  </conditionalFormatting>
  <conditionalFormatting sqref="A7:N67">
    <cfRule type="expression" dxfId="112" priority="7">
      <formula>$M7="Y"</formula>
    </cfRule>
  </conditionalFormatting>
  <conditionalFormatting sqref="M2:M3">
    <cfRule type="cellIs" dxfId="111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A3" sqref="A3:A5"/>
    </sheetView>
  </sheetViews>
  <sheetFormatPr defaultRowHeight="15" x14ac:dyDescent="0.25"/>
  <cols>
    <col min="1" max="1" width="9.140625" style="73" customWidth="1"/>
    <col min="2" max="2" width="8" style="143" bestFit="1" customWidth="1"/>
    <col min="3" max="3" width="9.85546875" style="134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1" t="str">
        <f>"Trips that did not appear in PTC Data "&amp;TEXT(Variables!$A$2,"YYYY-mm-dd")</f>
        <v>Trips that did not appear in PTC Data 2016-08-11</v>
      </c>
      <c r="B1" s="151"/>
      <c r="C1" s="151"/>
      <c r="D1" s="151"/>
      <c r="E1" s="151"/>
    </row>
    <row r="2" spans="1:10" s="27" customFormat="1" ht="45" x14ac:dyDescent="0.25">
      <c r="A2" s="116" t="s">
        <v>68</v>
      </c>
      <c r="B2" s="140" t="s">
        <v>69</v>
      </c>
      <c r="C2" s="141" t="s">
        <v>70</v>
      </c>
      <c r="D2" s="27" t="s">
        <v>66</v>
      </c>
      <c r="E2" s="27" t="s">
        <v>67</v>
      </c>
      <c r="F2" s="27" t="s">
        <v>71</v>
      </c>
      <c r="G2" s="32" t="s">
        <v>72</v>
      </c>
      <c r="H2" s="32" t="s">
        <v>141</v>
      </c>
    </row>
    <row r="3" spans="1:10" x14ac:dyDescent="0.25">
      <c r="A3" s="81" t="s">
        <v>658</v>
      </c>
      <c r="B3" s="142">
        <v>1</v>
      </c>
      <c r="C3" s="142">
        <v>4042</v>
      </c>
      <c r="D3" s="55" t="s">
        <v>660</v>
      </c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22822-11%22)),sort:!(Time,asc))</v>
      </c>
      <c r="I3" s="24"/>
      <c r="J3" s="24"/>
    </row>
    <row r="4" spans="1:10" x14ac:dyDescent="0.25">
      <c r="A4" s="81" t="s">
        <v>549</v>
      </c>
      <c r="B4" s="142">
        <v>1</v>
      </c>
      <c r="C4" s="142">
        <v>4042</v>
      </c>
      <c r="D4" s="55" t="s">
        <v>659</v>
      </c>
      <c r="E4" s="25" t="str">
        <f>VLOOKUP(A4,'Trips&amp;Operators'!$C$2:$E$10000,3,FALSE)</f>
        <v>HELVIE</v>
      </c>
      <c r="F4" s="25" t="str">
        <f>VLOOKUP(A4,'Trips&amp;Operators'!$C$1:$F$10000,4,FALSE)</f>
        <v>rtdc.l.rtdc.4042:itc</v>
      </c>
      <c r="G4" s="33">
        <f>VLOOKUP(A4,'Trips&amp;Operators'!$C$1:$H$10000,5,FALSE)</f>
        <v>42593.548645833333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22821-11%22)),sort:!(Time,asc))</v>
      </c>
      <c r="I4" s="24"/>
      <c r="J4" s="24"/>
    </row>
    <row r="5" spans="1:10" x14ac:dyDescent="0.25">
      <c r="A5" s="81" t="s">
        <v>457</v>
      </c>
      <c r="B5" s="142">
        <v>1</v>
      </c>
      <c r="C5" s="142">
        <v>4037</v>
      </c>
      <c r="D5" s="55" t="s">
        <v>667</v>
      </c>
      <c r="E5" s="25" t="str">
        <f>VLOOKUP(A5,'Trips&amp;Operators'!$C$2:$E$10000,3,FALSE)</f>
        <v>YOUNG</v>
      </c>
      <c r="F5" s="25" t="str">
        <f>VLOOKUP(A5,'Trips&amp;Operators'!$C$1:$F$10000,4,FALSE)</f>
        <v>rtdc.l.rtdc.4037:itc</v>
      </c>
      <c r="G5" s="33">
        <f>VLOOKUP(A5,'Trips&amp;Operators'!$C$1:$H$10000,5,FALSE)</f>
        <v>42593.779120370367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22214-11%22)),sort:!(Time,asc))</v>
      </c>
      <c r="I5" s="24"/>
      <c r="J5" s="24"/>
    </row>
    <row r="6" spans="1:10" x14ac:dyDescent="0.25">
      <c r="A6" s="81"/>
      <c r="B6" s="142"/>
      <c r="C6" s="142"/>
      <c r="D6" s="55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81"/>
      <c r="B7" s="142"/>
      <c r="C7" s="142"/>
      <c r="D7" s="55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81"/>
      <c r="B8" s="142"/>
      <c r="C8" s="142"/>
      <c r="D8" s="55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27"/>
      <c r="C9" s="127"/>
      <c r="H9" s="24"/>
      <c r="I9" s="24"/>
      <c r="J9" s="24"/>
    </row>
    <row r="10" spans="1:10" x14ac:dyDescent="0.25">
      <c r="B10" s="127"/>
      <c r="C10" s="127"/>
      <c r="H10" s="24"/>
      <c r="I10" s="24"/>
      <c r="J10" s="24"/>
    </row>
    <row r="11" spans="1:10" x14ac:dyDescent="0.25">
      <c r="B11" s="127"/>
      <c r="C11" s="127"/>
      <c r="H11" s="24"/>
      <c r="I11" s="24"/>
      <c r="J11" s="24"/>
    </row>
    <row r="12" spans="1:10" x14ac:dyDescent="0.25">
      <c r="B12" s="127"/>
      <c r="C12" s="127"/>
      <c r="H12" s="24"/>
      <c r="I12" s="24"/>
      <c r="J12" s="24"/>
    </row>
    <row r="13" spans="1:10" x14ac:dyDescent="0.25">
      <c r="B13" s="127"/>
      <c r="C13" s="127"/>
      <c r="H13" s="24"/>
      <c r="I13" s="24"/>
      <c r="J13" s="24"/>
    </row>
    <row r="14" spans="1:10" x14ac:dyDescent="0.25">
      <c r="B14" s="127"/>
      <c r="C14" s="127"/>
      <c r="H14" s="24"/>
      <c r="I14" s="24"/>
      <c r="J14" s="24"/>
    </row>
    <row r="15" spans="1:10" x14ac:dyDescent="0.25">
      <c r="B15" s="127"/>
      <c r="C15" s="127"/>
      <c r="H15" s="24"/>
      <c r="I15" s="24"/>
      <c r="J15" s="24"/>
    </row>
    <row r="16" spans="1:10" x14ac:dyDescent="0.25">
      <c r="B16" s="127"/>
      <c r="C16" s="127"/>
      <c r="H16" s="24"/>
      <c r="I16" s="24"/>
      <c r="J16" s="24"/>
    </row>
    <row r="17" spans="2:10" x14ac:dyDescent="0.25">
      <c r="B17" s="127"/>
      <c r="C17" s="127"/>
      <c r="H17" s="24"/>
      <c r="I17" s="24"/>
      <c r="J17" s="24"/>
    </row>
    <row r="18" spans="2:10" x14ac:dyDescent="0.25">
      <c r="B18" s="127"/>
      <c r="C18" s="127"/>
      <c r="H18" s="24"/>
      <c r="I18" s="24"/>
      <c r="J18" s="24"/>
    </row>
    <row r="19" spans="2:10" x14ac:dyDescent="0.25">
      <c r="B19" s="127"/>
      <c r="C19" s="127"/>
      <c r="H19" s="24"/>
      <c r="I19" s="24"/>
      <c r="J19" s="24"/>
    </row>
    <row r="20" spans="2:10" x14ac:dyDescent="0.25">
      <c r="B20" s="127"/>
      <c r="C20" s="127"/>
      <c r="H20" s="24"/>
      <c r="I20" s="24"/>
      <c r="J20" s="24"/>
    </row>
    <row r="21" spans="2:10" x14ac:dyDescent="0.25">
      <c r="B21" s="127"/>
      <c r="C21" s="127"/>
      <c r="H21" s="24"/>
      <c r="I21" s="24"/>
      <c r="J21" s="24"/>
    </row>
    <row r="22" spans="2:10" x14ac:dyDescent="0.25">
      <c r="B22" s="127"/>
      <c r="C22" s="127"/>
      <c r="H22" s="24"/>
      <c r="I22" s="24"/>
      <c r="J22" s="24"/>
    </row>
    <row r="23" spans="2:10" x14ac:dyDescent="0.25">
      <c r="B23" s="127"/>
      <c r="C23" s="127"/>
      <c r="H23" s="24"/>
      <c r="I23" s="24"/>
      <c r="J23" s="24"/>
    </row>
    <row r="24" spans="2:10" x14ac:dyDescent="0.25">
      <c r="B24" s="127"/>
      <c r="C24" s="127"/>
      <c r="H24" s="24"/>
      <c r="I24" s="24"/>
      <c r="J24" s="24"/>
    </row>
    <row r="25" spans="2:10" x14ac:dyDescent="0.25">
      <c r="B25" s="127"/>
      <c r="C25" s="127"/>
      <c r="H25" s="24"/>
      <c r="I25" s="24"/>
      <c r="J25" s="24"/>
    </row>
    <row r="26" spans="2:10" x14ac:dyDescent="0.25">
      <c r="B26" s="127"/>
      <c r="C26" s="127"/>
      <c r="H26" s="24"/>
      <c r="I26" s="24"/>
      <c r="J26" s="24"/>
    </row>
    <row r="27" spans="2:10" x14ac:dyDescent="0.25">
      <c r="B27" s="127"/>
      <c r="C27" s="127"/>
      <c r="H27" s="24"/>
      <c r="I27" s="24"/>
      <c r="J27" s="24"/>
    </row>
    <row r="28" spans="2:10" x14ac:dyDescent="0.25">
      <c r="B28" s="127"/>
      <c r="C28" s="127"/>
      <c r="H28" s="24"/>
      <c r="I28" s="24"/>
      <c r="J28" s="24"/>
    </row>
    <row r="29" spans="2:10" x14ac:dyDescent="0.25">
      <c r="B29" s="127"/>
      <c r="C29" s="127"/>
      <c r="H29" s="24"/>
      <c r="I29" s="24"/>
      <c r="J29" s="24"/>
    </row>
    <row r="30" spans="2:10" x14ac:dyDescent="0.25">
      <c r="B30" s="127"/>
      <c r="C30" s="127"/>
      <c r="H30" s="24"/>
      <c r="I30" s="24"/>
      <c r="J30" s="24"/>
    </row>
    <row r="31" spans="2:10" x14ac:dyDescent="0.25">
      <c r="B31" s="127"/>
      <c r="C31" s="127"/>
      <c r="H31" s="24"/>
      <c r="I31" s="24"/>
      <c r="J31" s="24"/>
    </row>
    <row r="32" spans="2:10" x14ac:dyDescent="0.25">
      <c r="B32" s="127"/>
      <c r="C32" s="127"/>
      <c r="H32" s="24"/>
      <c r="I32" s="24"/>
      <c r="J32" s="24"/>
    </row>
    <row r="33" spans="2:10" x14ac:dyDescent="0.25">
      <c r="B33" s="127"/>
      <c r="C33" s="127"/>
      <c r="H33" s="24"/>
      <c r="I33" s="24"/>
      <c r="J33" s="24"/>
    </row>
    <row r="34" spans="2:10" x14ac:dyDescent="0.25">
      <c r="B34" s="127"/>
      <c r="C34" s="127"/>
      <c r="H34" s="24"/>
      <c r="I34" s="24"/>
      <c r="J34" s="24"/>
    </row>
    <row r="35" spans="2:10" x14ac:dyDescent="0.25">
      <c r="B35" s="127"/>
      <c r="C35" s="127"/>
      <c r="H35" s="24"/>
      <c r="I35" s="24"/>
      <c r="J35" s="24"/>
    </row>
    <row r="36" spans="2:10" x14ac:dyDescent="0.25">
      <c r="B36" s="127"/>
      <c r="C36" s="127"/>
      <c r="H36" s="24"/>
      <c r="I36" s="24"/>
      <c r="J36" s="24"/>
    </row>
    <row r="37" spans="2:10" x14ac:dyDescent="0.25">
      <c r="B37" s="127"/>
      <c r="C37" s="127"/>
      <c r="H37" s="24"/>
      <c r="I37" s="24"/>
      <c r="J37" s="24"/>
    </row>
    <row r="38" spans="2:10" x14ac:dyDescent="0.25">
      <c r="B38" s="127"/>
      <c r="C38" s="127"/>
      <c r="H38" s="24"/>
      <c r="I38" s="24"/>
      <c r="J38" s="24"/>
    </row>
    <row r="39" spans="2:10" x14ac:dyDescent="0.25">
      <c r="B39" s="127"/>
      <c r="C39" s="127"/>
      <c r="H39" s="24"/>
      <c r="I39" s="24"/>
      <c r="J39" s="24"/>
    </row>
    <row r="40" spans="2:10" x14ac:dyDescent="0.25">
      <c r="B40" s="127"/>
      <c r="C40" s="127"/>
      <c r="H40" s="24"/>
      <c r="I40" s="24"/>
      <c r="J40" s="24"/>
    </row>
    <row r="41" spans="2:10" x14ac:dyDescent="0.25">
      <c r="B41" s="127"/>
      <c r="C41" s="127"/>
      <c r="H41" s="24"/>
      <c r="I41" s="24"/>
      <c r="J41" s="24"/>
    </row>
    <row r="42" spans="2:10" x14ac:dyDescent="0.25">
      <c r="B42" s="127"/>
      <c r="C42" s="127"/>
      <c r="H42" s="24"/>
      <c r="I42" s="24"/>
      <c r="J42" s="24"/>
    </row>
    <row r="43" spans="2:10" x14ac:dyDescent="0.25">
      <c r="B43" s="127"/>
      <c r="C43" s="127"/>
      <c r="H43" s="24"/>
      <c r="I43" s="24"/>
      <c r="J43" s="24"/>
    </row>
    <row r="44" spans="2:10" x14ac:dyDescent="0.25">
      <c r="B44" s="127"/>
      <c r="C44" s="127"/>
      <c r="H44" s="24"/>
      <c r="I44" s="24"/>
      <c r="J44" s="24"/>
    </row>
    <row r="45" spans="2:10" x14ac:dyDescent="0.25">
      <c r="B45" s="127"/>
      <c r="C45" s="127"/>
      <c r="H45" s="24"/>
      <c r="I45" s="24"/>
      <c r="J45" s="24"/>
    </row>
    <row r="46" spans="2:10" x14ac:dyDescent="0.25">
      <c r="B46" s="127"/>
      <c r="C46" s="127"/>
      <c r="H46" s="24"/>
      <c r="I46" s="24"/>
      <c r="J46" s="24"/>
    </row>
    <row r="47" spans="2:10" x14ac:dyDescent="0.25">
      <c r="B47" s="127"/>
      <c r="C47" s="127"/>
      <c r="H47" s="24"/>
      <c r="I47" s="24"/>
      <c r="J47" s="24"/>
    </row>
    <row r="48" spans="2:10" x14ac:dyDescent="0.25">
      <c r="B48" s="127"/>
      <c r="C48" s="127"/>
      <c r="H48" s="24"/>
      <c r="I48" s="24"/>
      <c r="J48" s="24"/>
    </row>
    <row r="49" spans="2:10" x14ac:dyDescent="0.25">
      <c r="B49" s="127"/>
      <c r="C49" s="127"/>
      <c r="H49" s="24"/>
      <c r="I49" s="24"/>
      <c r="J49" s="24"/>
    </row>
    <row r="50" spans="2:10" x14ac:dyDescent="0.25">
      <c r="B50" s="127"/>
      <c r="C50" s="127"/>
      <c r="H50" s="24"/>
      <c r="I50" s="24"/>
      <c r="J50" s="24"/>
    </row>
    <row r="51" spans="2:10" x14ac:dyDescent="0.25">
      <c r="B51" s="127"/>
      <c r="C51" s="127"/>
      <c r="H51" s="24"/>
      <c r="I51" s="24"/>
      <c r="J51" s="24"/>
    </row>
    <row r="52" spans="2:10" x14ac:dyDescent="0.25">
      <c r="B52" s="127"/>
      <c r="C52" s="127"/>
      <c r="H52" s="24"/>
      <c r="I52" s="24"/>
      <c r="J52" s="24"/>
    </row>
    <row r="53" spans="2:10" x14ac:dyDescent="0.25">
      <c r="B53" s="127"/>
      <c r="C53" s="127"/>
      <c r="H53" s="24"/>
      <c r="I53" s="24"/>
      <c r="J53" s="24"/>
    </row>
    <row r="54" spans="2:10" x14ac:dyDescent="0.25">
      <c r="B54" s="127"/>
      <c r="C54" s="127"/>
      <c r="H54" s="24"/>
      <c r="I54" s="24"/>
      <c r="J54" s="24"/>
    </row>
    <row r="55" spans="2:10" x14ac:dyDescent="0.25">
      <c r="B55" s="127"/>
      <c r="C55" s="127"/>
      <c r="H55" s="24"/>
      <c r="I55" s="24"/>
      <c r="J55" s="24"/>
    </row>
    <row r="56" spans="2:10" x14ac:dyDescent="0.25">
      <c r="B56" s="127"/>
      <c r="C56" s="127"/>
      <c r="H56" s="24"/>
      <c r="I56" s="24"/>
      <c r="J56" s="24"/>
    </row>
    <row r="57" spans="2:10" x14ac:dyDescent="0.25">
      <c r="B57" s="127"/>
      <c r="C57" s="127"/>
      <c r="H57" s="24"/>
      <c r="I57" s="24"/>
      <c r="J57" s="24"/>
    </row>
    <row r="58" spans="2:10" x14ac:dyDescent="0.25">
      <c r="B58" s="127"/>
      <c r="C58" s="127"/>
      <c r="H58" s="24"/>
      <c r="I58" s="24"/>
      <c r="J58" s="24"/>
    </row>
    <row r="59" spans="2:10" x14ac:dyDescent="0.25">
      <c r="B59" s="127"/>
      <c r="C59" s="127"/>
      <c r="H59" s="24"/>
      <c r="I59" s="24"/>
      <c r="J59" s="24"/>
    </row>
    <row r="60" spans="2:10" x14ac:dyDescent="0.25">
      <c r="B60" s="127"/>
      <c r="C60" s="127"/>
      <c r="H60" s="24"/>
      <c r="I60" s="24"/>
      <c r="J60" s="24"/>
    </row>
    <row r="61" spans="2:10" x14ac:dyDescent="0.25">
      <c r="B61" s="127"/>
      <c r="C61" s="127"/>
      <c r="H61" s="24"/>
      <c r="I61" s="24"/>
      <c r="J61" s="24"/>
    </row>
    <row r="62" spans="2:10" x14ac:dyDescent="0.25">
      <c r="B62" s="127"/>
      <c r="C62" s="127"/>
      <c r="H62" s="24"/>
      <c r="I62" s="24"/>
      <c r="J62" s="24"/>
    </row>
    <row r="63" spans="2:10" x14ac:dyDescent="0.25">
      <c r="B63" s="127"/>
      <c r="C63" s="127"/>
      <c r="H63" s="24"/>
      <c r="I63" s="24"/>
      <c r="J63" s="24"/>
    </row>
    <row r="64" spans="2:10" x14ac:dyDescent="0.25">
      <c r="B64" s="127"/>
      <c r="C64" s="127"/>
      <c r="H64" s="24"/>
      <c r="I64" s="24"/>
      <c r="J64" s="24"/>
    </row>
    <row r="65" spans="2:10" x14ac:dyDescent="0.25">
      <c r="B65" s="127"/>
      <c r="C65" s="127"/>
      <c r="H65" s="24"/>
      <c r="I65" s="24"/>
      <c r="J65" s="24"/>
    </row>
    <row r="66" spans="2:10" x14ac:dyDescent="0.25">
      <c r="B66" s="127"/>
      <c r="C66" s="127"/>
      <c r="H66" s="24"/>
      <c r="I66" s="24"/>
      <c r="J66" s="24"/>
    </row>
    <row r="67" spans="2:10" x14ac:dyDescent="0.25">
      <c r="B67" s="127"/>
      <c r="C67" s="127"/>
      <c r="H67" s="24"/>
      <c r="I67" s="24"/>
      <c r="J67" s="24"/>
    </row>
    <row r="68" spans="2:10" x14ac:dyDescent="0.25">
      <c r="B68" s="127"/>
      <c r="C68" s="127"/>
      <c r="H68" s="24"/>
      <c r="I68" s="24"/>
      <c r="J68" s="24"/>
    </row>
    <row r="69" spans="2:10" x14ac:dyDescent="0.25">
      <c r="B69" s="127"/>
      <c r="C69" s="127"/>
      <c r="H69" s="24"/>
      <c r="I69" s="24"/>
      <c r="J69" s="24"/>
    </row>
    <row r="70" spans="2:10" x14ac:dyDescent="0.25">
      <c r="B70" s="127"/>
      <c r="C70" s="127"/>
      <c r="H70" s="24"/>
      <c r="I70" s="24"/>
      <c r="J70" s="24"/>
    </row>
    <row r="71" spans="2:10" x14ac:dyDescent="0.25">
      <c r="B71" s="127"/>
      <c r="C71" s="127"/>
      <c r="H71" s="24"/>
      <c r="I71" s="24"/>
      <c r="J71" s="24"/>
    </row>
    <row r="72" spans="2:10" x14ac:dyDescent="0.25">
      <c r="B72" s="127"/>
      <c r="C72" s="127"/>
      <c r="H72" s="24"/>
      <c r="I72" s="24"/>
      <c r="J72" s="24"/>
    </row>
    <row r="73" spans="2:10" x14ac:dyDescent="0.25">
      <c r="B73" s="127"/>
      <c r="C73" s="127"/>
      <c r="H73" s="24"/>
      <c r="I73" s="24"/>
      <c r="J73" s="24"/>
    </row>
    <row r="74" spans="2:10" x14ac:dyDescent="0.25">
      <c r="B74" s="127"/>
      <c r="C74" s="127"/>
      <c r="H74" s="24"/>
      <c r="I74" s="24"/>
      <c r="J74" s="24"/>
    </row>
    <row r="75" spans="2:10" x14ac:dyDescent="0.25">
      <c r="B75" s="127"/>
      <c r="C75" s="127"/>
      <c r="H75" s="24"/>
      <c r="I75" s="24"/>
      <c r="J75" s="24"/>
    </row>
    <row r="76" spans="2:10" x14ac:dyDescent="0.25">
      <c r="B76" s="127"/>
      <c r="C76" s="127"/>
      <c r="H76" s="24"/>
      <c r="I76" s="24"/>
      <c r="J76" s="24"/>
    </row>
    <row r="77" spans="2:10" x14ac:dyDescent="0.25">
      <c r="B77" s="127"/>
      <c r="C77" s="127"/>
      <c r="H77" s="24"/>
      <c r="I77" s="24"/>
      <c r="J77" s="24"/>
    </row>
    <row r="78" spans="2:10" x14ac:dyDescent="0.25">
      <c r="B78" s="127"/>
      <c r="C78" s="127"/>
      <c r="H78" s="24"/>
      <c r="I78" s="24"/>
      <c r="J78" s="24"/>
    </row>
    <row r="79" spans="2:10" x14ac:dyDescent="0.25">
      <c r="B79" s="127"/>
      <c r="C79" s="127"/>
      <c r="H79" s="24"/>
      <c r="I79" s="24"/>
      <c r="J79" s="24"/>
    </row>
    <row r="80" spans="2:10" x14ac:dyDescent="0.25">
      <c r="B80" s="127"/>
      <c r="C80" s="127"/>
      <c r="H80" s="24"/>
      <c r="I80" s="24"/>
      <c r="J80" s="24"/>
    </row>
    <row r="81" spans="2:10" x14ac:dyDescent="0.25">
      <c r="B81" s="127"/>
      <c r="C81" s="127"/>
      <c r="H81" s="24"/>
      <c r="I81" s="24"/>
      <c r="J81" s="24"/>
    </row>
    <row r="82" spans="2:10" x14ac:dyDescent="0.25">
      <c r="B82" s="127"/>
      <c r="C82" s="127"/>
      <c r="H82" s="24"/>
      <c r="I82" s="24"/>
      <c r="J82" s="24"/>
    </row>
    <row r="83" spans="2:10" x14ac:dyDescent="0.25">
      <c r="B83" s="127"/>
      <c r="C83" s="127"/>
      <c r="H83" s="24"/>
      <c r="I83" s="24"/>
      <c r="J83" s="24"/>
    </row>
    <row r="84" spans="2:10" x14ac:dyDescent="0.25">
      <c r="B84" s="127"/>
      <c r="C84" s="127"/>
      <c r="H84" s="24"/>
      <c r="I84" s="24"/>
      <c r="J84" s="24"/>
    </row>
    <row r="85" spans="2:10" x14ac:dyDescent="0.25">
      <c r="B85" s="127"/>
      <c r="C85" s="127"/>
      <c r="H85" s="24"/>
      <c r="I85" s="24"/>
      <c r="J85" s="24"/>
    </row>
    <row r="86" spans="2:10" x14ac:dyDescent="0.25">
      <c r="B86" s="127"/>
      <c r="C86" s="127"/>
      <c r="H86" s="24"/>
      <c r="I86" s="24"/>
      <c r="J86" s="24"/>
    </row>
    <row r="87" spans="2:10" x14ac:dyDescent="0.25">
      <c r="B87" s="127"/>
      <c r="C87" s="127"/>
      <c r="H87" s="24"/>
      <c r="I87" s="24"/>
      <c r="J87" s="24"/>
    </row>
    <row r="88" spans="2:10" x14ac:dyDescent="0.25">
      <c r="B88" s="127"/>
      <c r="C88" s="127"/>
      <c r="H88" s="24"/>
      <c r="I88" s="24"/>
      <c r="J88" s="24"/>
    </row>
    <row r="89" spans="2:10" x14ac:dyDescent="0.25">
      <c r="B89" s="127"/>
      <c r="C89" s="127"/>
      <c r="H89" s="24"/>
      <c r="I89" s="24"/>
      <c r="J89" s="24"/>
    </row>
    <row r="90" spans="2:10" x14ac:dyDescent="0.25">
      <c r="B90" s="127"/>
      <c r="C90" s="127"/>
      <c r="H90" s="24"/>
      <c r="I90" s="24"/>
      <c r="J90" s="24"/>
    </row>
    <row r="91" spans="2:10" x14ac:dyDescent="0.25">
      <c r="B91" s="127"/>
      <c r="C91" s="127"/>
      <c r="H91" s="24"/>
      <c r="I91" s="24"/>
      <c r="J91" s="24"/>
    </row>
    <row r="92" spans="2:10" x14ac:dyDescent="0.25">
      <c r="B92" s="127"/>
      <c r="C92" s="127"/>
      <c r="H92" s="24"/>
      <c r="I92" s="24"/>
      <c r="J92" s="24"/>
    </row>
    <row r="93" spans="2:10" x14ac:dyDescent="0.25">
      <c r="B93" s="127"/>
      <c r="C93" s="127"/>
      <c r="H93" s="24"/>
      <c r="I93" s="24"/>
      <c r="J93" s="24"/>
    </row>
    <row r="94" spans="2:10" x14ac:dyDescent="0.25">
      <c r="B94" s="127"/>
      <c r="C94" s="127"/>
      <c r="H94" s="24"/>
      <c r="I94" s="24"/>
      <c r="J94" s="24"/>
    </row>
    <row r="95" spans="2:10" x14ac:dyDescent="0.25">
      <c r="B95" s="127"/>
      <c r="C95" s="127"/>
      <c r="H95" s="24"/>
      <c r="I95" s="24"/>
      <c r="J95" s="24"/>
    </row>
    <row r="96" spans="2:10" x14ac:dyDescent="0.25">
      <c r="B96" s="127"/>
      <c r="C96" s="127"/>
      <c r="H96" s="24"/>
      <c r="I96" s="24"/>
      <c r="J96" s="24"/>
    </row>
    <row r="97" spans="2:10" x14ac:dyDescent="0.25">
      <c r="B97" s="127"/>
      <c r="C97" s="127"/>
      <c r="H97" s="24"/>
      <c r="I97" s="24"/>
      <c r="J97" s="24"/>
    </row>
    <row r="98" spans="2:10" x14ac:dyDescent="0.25">
      <c r="B98" s="127"/>
      <c r="C98" s="127"/>
      <c r="H98" s="24"/>
      <c r="I98" s="24"/>
      <c r="J98" s="24"/>
    </row>
    <row r="99" spans="2:10" x14ac:dyDescent="0.25">
      <c r="B99" s="127"/>
      <c r="C99" s="127"/>
      <c r="H99" s="24"/>
      <c r="I99" s="24"/>
      <c r="J99" s="24"/>
    </row>
    <row r="100" spans="2:10" x14ac:dyDescent="0.25">
      <c r="B100" s="127"/>
      <c r="C100" s="127"/>
      <c r="H100" s="24"/>
      <c r="I100" s="24"/>
      <c r="J100" s="24"/>
    </row>
    <row r="101" spans="2:10" x14ac:dyDescent="0.25">
      <c r="B101" s="127"/>
      <c r="C101" s="127"/>
      <c r="H101" s="24"/>
      <c r="I101" s="24"/>
      <c r="J101" s="24"/>
    </row>
    <row r="102" spans="2:10" x14ac:dyDescent="0.25">
      <c r="B102" s="127"/>
      <c r="C102" s="127"/>
      <c r="H102" s="24"/>
      <c r="I102" s="24"/>
      <c r="J102" s="24"/>
    </row>
    <row r="103" spans="2:10" x14ac:dyDescent="0.25">
      <c r="B103" s="127"/>
      <c r="C103" s="127"/>
      <c r="H103" s="24"/>
      <c r="I103" s="24"/>
      <c r="J103" s="24"/>
    </row>
    <row r="104" spans="2:10" x14ac:dyDescent="0.25">
      <c r="B104" s="127"/>
      <c r="C104" s="127"/>
      <c r="H104" s="24"/>
      <c r="I104" s="24"/>
      <c r="J104" s="24"/>
    </row>
    <row r="105" spans="2:10" x14ac:dyDescent="0.25">
      <c r="B105" s="127"/>
      <c r="C105" s="127"/>
      <c r="H105" s="24"/>
      <c r="I105" s="24"/>
      <c r="J105" s="24"/>
    </row>
    <row r="106" spans="2:10" x14ac:dyDescent="0.25">
      <c r="B106" s="127"/>
      <c r="C106" s="127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42593.154745370368</v>
      </c>
      <c r="B1" s="24" t="s">
        <v>98</v>
      </c>
      <c r="C1" s="24" t="s">
        <v>617</v>
      </c>
      <c r="D1" s="24">
        <v>1110000</v>
      </c>
      <c r="E1" s="24" t="s">
        <v>618</v>
      </c>
      <c r="F1" s="24" t="str">
        <f>B1</f>
        <v>rtdc.l.rtdc.4029:itc</v>
      </c>
      <c r="G1" s="8">
        <f>A1</f>
        <v>42593.154745370368</v>
      </c>
    </row>
    <row r="2" spans="1:7" x14ac:dyDescent="0.25">
      <c r="A2" s="8">
        <v>42593.178599537037</v>
      </c>
      <c r="B2" s="24" t="s">
        <v>269</v>
      </c>
      <c r="C2" s="24" t="s">
        <v>276</v>
      </c>
      <c r="D2" s="24">
        <v>2010000</v>
      </c>
      <c r="E2" s="24" t="s">
        <v>267</v>
      </c>
      <c r="F2" s="24" t="str">
        <f t="shared" ref="F2:F65" si="0">B2</f>
        <v>rtdc.l.rtdc.4037:itc</v>
      </c>
      <c r="G2" s="8">
        <f t="shared" ref="G2:G65" si="1">A2</f>
        <v>42593.178599537037</v>
      </c>
    </row>
    <row r="3" spans="1:7" x14ac:dyDescent="0.25">
      <c r="A3" s="8">
        <v>42593.178981481484</v>
      </c>
      <c r="B3" s="24" t="s">
        <v>97</v>
      </c>
      <c r="C3" s="24" t="s">
        <v>280</v>
      </c>
      <c r="D3" s="24">
        <v>1310000</v>
      </c>
      <c r="E3" s="24" t="s">
        <v>619</v>
      </c>
      <c r="F3" s="24" t="str">
        <f t="shared" si="0"/>
        <v>rtdc.l.rtdc.4025:itc</v>
      </c>
      <c r="G3" s="8">
        <f t="shared" si="1"/>
        <v>42593.178981481484</v>
      </c>
    </row>
    <row r="4" spans="1:7" x14ac:dyDescent="0.25">
      <c r="A4" s="8">
        <v>42593.179201388892</v>
      </c>
      <c r="B4" s="24" t="s">
        <v>265</v>
      </c>
      <c r="C4" s="24" t="s">
        <v>284</v>
      </c>
      <c r="D4" s="24">
        <v>1760000</v>
      </c>
      <c r="E4" s="24" t="s">
        <v>620</v>
      </c>
      <c r="F4" s="24" t="str">
        <f t="shared" si="0"/>
        <v>rtdc.l.rtdc.4044:itc</v>
      </c>
      <c r="G4" s="8">
        <f t="shared" si="1"/>
        <v>42593.179201388892</v>
      </c>
    </row>
    <row r="5" spans="1:7" x14ac:dyDescent="0.25">
      <c r="A5" s="8">
        <v>42593.179930555554</v>
      </c>
      <c r="B5" s="24" t="s">
        <v>97</v>
      </c>
      <c r="C5" s="24" t="s">
        <v>280</v>
      </c>
      <c r="D5" s="24">
        <v>1310000</v>
      </c>
      <c r="E5" s="24" t="s">
        <v>619</v>
      </c>
      <c r="F5" s="24" t="str">
        <f t="shared" si="0"/>
        <v>rtdc.l.rtdc.4025:itc</v>
      </c>
      <c r="G5" s="8">
        <f t="shared" si="1"/>
        <v>42593.179930555554</v>
      </c>
    </row>
    <row r="6" spans="1:7" x14ac:dyDescent="0.25">
      <c r="A6" s="8">
        <v>42593.192303240743</v>
      </c>
      <c r="B6" s="24" t="s">
        <v>96</v>
      </c>
      <c r="C6" s="24" t="s">
        <v>278</v>
      </c>
      <c r="D6" s="24">
        <v>1110000</v>
      </c>
      <c r="E6" s="24" t="s">
        <v>618</v>
      </c>
      <c r="F6" s="24" t="str">
        <f t="shared" si="0"/>
        <v>rtdc.l.rtdc.4013:itc</v>
      </c>
      <c r="G6" s="8">
        <f t="shared" si="1"/>
        <v>42593.192303240743</v>
      </c>
    </row>
    <row r="7" spans="1:7" x14ac:dyDescent="0.25">
      <c r="A7" s="8">
        <v>42593.194201388891</v>
      </c>
      <c r="B7" s="24" t="s">
        <v>118</v>
      </c>
      <c r="C7" s="24" t="s">
        <v>288</v>
      </c>
      <c r="D7" s="24">
        <v>900000</v>
      </c>
      <c r="E7" s="24" t="s">
        <v>224</v>
      </c>
      <c r="F7" s="24" t="str">
        <f t="shared" si="0"/>
        <v>rtdc.l.rtdc.4016:itc</v>
      </c>
      <c r="G7" s="8">
        <f t="shared" si="1"/>
        <v>42593.194201388891</v>
      </c>
    </row>
    <row r="8" spans="1:7" x14ac:dyDescent="0.25">
      <c r="A8" s="8">
        <v>42593.194432870368</v>
      </c>
      <c r="B8" s="24" t="s">
        <v>96</v>
      </c>
      <c r="C8" s="24" t="s">
        <v>278</v>
      </c>
      <c r="D8" s="24">
        <v>1110000</v>
      </c>
      <c r="E8" s="24" t="s">
        <v>618</v>
      </c>
      <c r="F8" s="24" t="str">
        <f t="shared" si="0"/>
        <v>rtdc.l.rtdc.4013:itc</v>
      </c>
      <c r="G8" s="8">
        <f t="shared" si="1"/>
        <v>42593.194432870368</v>
      </c>
    </row>
    <row r="9" spans="1:7" ht="15.75" thickBot="1" x14ac:dyDescent="0.3">
      <c r="A9" s="28">
        <v>42593.195208333331</v>
      </c>
      <c r="B9" s="24" t="s">
        <v>96</v>
      </c>
      <c r="C9" s="24" t="s">
        <v>278</v>
      </c>
      <c r="D9" s="24">
        <v>1110000</v>
      </c>
      <c r="E9" s="24" t="s">
        <v>618</v>
      </c>
      <c r="F9" s="24" t="str">
        <f t="shared" si="0"/>
        <v>rtdc.l.rtdc.4013:itc</v>
      </c>
      <c r="G9" s="8">
        <f t="shared" si="1"/>
        <v>42593.195208333331</v>
      </c>
    </row>
    <row r="10" spans="1:7" x14ac:dyDescent="0.25">
      <c r="A10" s="8">
        <v>42593.210034722222</v>
      </c>
      <c r="B10" s="24" t="s">
        <v>126</v>
      </c>
      <c r="C10" s="24" t="s">
        <v>291</v>
      </c>
      <c r="D10" s="24">
        <v>1360000</v>
      </c>
      <c r="E10" s="24" t="s">
        <v>621</v>
      </c>
      <c r="F10" s="24" t="str">
        <f t="shared" si="0"/>
        <v>rtdc.l.rtdc.4011:itc</v>
      </c>
      <c r="G10" s="8">
        <f t="shared" si="1"/>
        <v>42593.210034722222</v>
      </c>
    </row>
    <row r="11" spans="1:7" x14ac:dyDescent="0.25">
      <c r="A11" s="8">
        <v>42593.212546296294</v>
      </c>
      <c r="B11" s="24" t="s">
        <v>616</v>
      </c>
      <c r="C11" s="24" t="s">
        <v>505</v>
      </c>
      <c r="D11" s="24">
        <v>1830000</v>
      </c>
      <c r="E11" s="24" t="s">
        <v>622</v>
      </c>
      <c r="F11" s="24" t="str">
        <f t="shared" si="0"/>
        <v>rtdc.l.rtdc.4004:itc</v>
      </c>
      <c r="G11" s="8">
        <f t="shared" si="1"/>
        <v>42593.212546296294</v>
      </c>
    </row>
    <row r="12" spans="1:7" x14ac:dyDescent="0.25">
      <c r="A12" s="8">
        <v>42593.212604166663</v>
      </c>
      <c r="B12" s="24" t="s">
        <v>612</v>
      </c>
      <c r="C12" s="24" t="s">
        <v>282</v>
      </c>
      <c r="D12" s="24">
        <v>1310000</v>
      </c>
      <c r="E12" s="24" t="s">
        <v>619</v>
      </c>
      <c r="F12" s="24" t="str">
        <f t="shared" si="0"/>
        <v>rtdc.l.rtdc.4028:itc</v>
      </c>
      <c r="G12" s="8">
        <f t="shared" si="1"/>
        <v>42593.212604166663</v>
      </c>
    </row>
    <row r="13" spans="1:7" x14ac:dyDescent="0.25">
      <c r="A13" s="8">
        <v>42593.213333333333</v>
      </c>
      <c r="B13" s="24" t="s">
        <v>612</v>
      </c>
      <c r="C13" s="24" t="s">
        <v>282</v>
      </c>
      <c r="D13" s="24">
        <v>1310000</v>
      </c>
      <c r="E13" s="24" t="s">
        <v>619</v>
      </c>
      <c r="F13" s="24" t="str">
        <f t="shared" si="0"/>
        <v>rtdc.l.rtdc.4028:itc</v>
      </c>
      <c r="G13" s="8">
        <f t="shared" si="1"/>
        <v>42593.213333333333</v>
      </c>
    </row>
    <row r="14" spans="1:7" x14ac:dyDescent="0.25">
      <c r="A14" s="8">
        <v>42593.213958333334</v>
      </c>
      <c r="B14" s="24" t="s">
        <v>623</v>
      </c>
      <c r="C14" s="24" t="s">
        <v>294</v>
      </c>
      <c r="D14" s="24">
        <v>2010000</v>
      </c>
      <c r="E14" s="24" t="s">
        <v>267</v>
      </c>
      <c r="F14" s="24" t="str">
        <f t="shared" si="0"/>
        <v>rtdc.l.rtdc.4038:itc</v>
      </c>
      <c r="G14" s="8">
        <f t="shared" si="1"/>
        <v>42593.213958333334</v>
      </c>
    </row>
    <row r="15" spans="1:7" x14ac:dyDescent="0.25">
      <c r="A15" s="8">
        <v>42593.221747685187</v>
      </c>
      <c r="B15" s="24" t="s">
        <v>264</v>
      </c>
      <c r="C15" s="24" t="s">
        <v>286</v>
      </c>
      <c r="D15" s="24">
        <v>1760000</v>
      </c>
      <c r="E15" s="24" t="s">
        <v>620</v>
      </c>
      <c r="F15" s="24" t="str">
        <f t="shared" si="0"/>
        <v>rtdc.l.rtdc.4043:itc</v>
      </c>
      <c r="G15" s="8">
        <f t="shared" si="1"/>
        <v>42593.221747685187</v>
      </c>
    </row>
    <row r="16" spans="1:7" x14ac:dyDescent="0.25">
      <c r="A16" s="8">
        <v>42593.22760416667</v>
      </c>
      <c r="B16" s="24" t="s">
        <v>624</v>
      </c>
      <c r="C16" s="24" t="s">
        <v>508</v>
      </c>
      <c r="D16" s="24">
        <v>1830000</v>
      </c>
      <c r="E16" s="24" t="s">
        <v>622</v>
      </c>
      <c r="F16" s="24" t="str">
        <f t="shared" si="0"/>
        <v>rtdc.l.rtdc.4003:itc</v>
      </c>
      <c r="G16" s="8">
        <f t="shared" si="1"/>
        <v>42593.22760416667</v>
      </c>
    </row>
    <row r="17" spans="1:7" x14ac:dyDescent="0.25">
      <c r="A17" s="8">
        <v>42593.227638888886</v>
      </c>
      <c r="B17" s="24" t="s">
        <v>98</v>
      </c>
      <c r="C17" s="24" t="s">
        <v>296</v>
      </c>
      <c r="D17" s="24">
        <v>1190000</v>
      </c>
      <c r="E17" s="24" t="s">
        <v>225</v>
      </c>
      <c r="F17" s="24" t="str">
        <f t="shared" si="0"/>
        <v>rtdc.l.rtdc.4029:itc</v>
      </c>
      <c r="G17" s="8">
        <f t="shared" si="1"/>
        <v>42593.227638888886</v>
      </c>
    </row>
    <row r="18" spans="1:7" x14ac:dyDescent="0.25">
      <c r="A18" s="8">
        <v>42593.228784722225</v>
      </c>
      <c r="B18" s="24" t="s">
        <v>98</v>
      </c>
      <c r="C18" s="24" t="s">
        <v>296</v>
      </c>
      <c r="D18" s="24">
        <v>1190000</v>
      </c>
      <c r="E18" s="24" t="s">
        <v>225</v>
      </c>
      <c r="F18" s="24" t="str">
        <f t="shared" si="0"/>
        <v>rtdc.l.rtdc.4029:itc</v>
      </c>
      <c r="G18" s="8">
        <f t="shared" si="1"/>
        <v>42593.228784722225</v>
      </c>
    </row>
    <row r="19" spans="1:7" x14ac:dyDescent="0.25">
      <c r="A19" s="8">
        <v>42593.234884259262</v>
      </c>
      <c r="B19" s="24" t="s">
        <v>117</v>
      </c>
      <c r="C19" s="24" t="s">
        <v>289</v>
      </c>
      <c r="D19" s="24">
        <v>900000</v>
      </c>
      <c r="E19" s="24" t="s">
        <v>224</v>
      </c>
      <c r="F19" s="24" t="str">
        <f t="shared" si="0"/>
        <v>rtdc.l.rtdc.4015:itc</v>
      </c>
      <c r="G19" s="8">
        <f t="shared" si="1"/>
        <v>42593.234884259262</v>
      </c>
    </row>
    <row r="20" spans="1:7" x14ac:dyDescent="0.25">
      <c r="A20" s="8">
        <v>42593.237233796295</v>
      </c>
      <c r="B20" s="24" t="s">
        <v>129</v>
      </c>
      <c r="C20" s="24" t="s">
        <v>299</v>
      </c>
      <c r="D20" s="24">
        <v>1110000</v>
      </c>
      <c r="E20" s="24" t="s">
        <v>618</v>
      </c>
      <c r="F20" s="24" t="str">
        <f t="shared" si="0"/>
        <v>rtdc.l.rtdc.4014:itc</v>
      </c>
      <c r="G20" s="8">
        <f t="shared" si="1"/>
        <v>42593.237233796295</v>
      </c>
    </row>
    <row r="21" spans="1:7" x14ac:dyDescent="0.25">
      <c r="A21" s="8">
        <v>42593.245439814818</v>
      </c>
      <c r="B21" s="24" t="s">
        <v>127</v>
      </c>
      <c r="C21" s="24" t="s">
        <v>292</v>
      </c>
      <c r="D21" s="24">
        <v>1360000</v>
      </c>
      <c r="E21" s="24" t="s">
        <v>621</v>
      </c>
      <c r="F21" s="24" t="str">
        <f t="shared" si="0"/>
        <v>rtdc.l.rtdc.4012:itc</v>
      </c>
      <c r="G21" s="8">
        <f t="shared" si="1"/>
        <v>42593.245439814818</v>
      </c>
    </row>
    <row r="22" spans="1:7" x14ac:dyDescent="0.25">
      <c r="A22" s="30">
        <v>42593.247743055559</v>
      </c>
      <c r="B22" s="24" t="s">
        <v>97</v>
      </c>
      <c r="C22" s="24" t="s">
        <v>304</v>
      </c>
      <c r="D22" s="24">
        <v>1310000</v>
      </c>
      <c r="E22" s="24" t="s">
        <v>619</v>
      </c>
      <c r="F22" s="24" t="str">
        <f t="shared" si="0"/>
        <v>rtdc.l.rtdc.4025:itc</v>
      </c>
      <c r="G22" s="8">
        <f t="shared" si="1"/>
        <v>42593.247743055559</v>
      </c>
    </row>
    <row r="23" spans="1:7" x14ac:dyDescent="0.25">
      <c r="A23" s="8">
        <v>42593.250185185185</v>
      </c>
      <c r="B23" s="24" t="s">
        <v>269</v>
      </c>
      <c r="C23" s="24" t="s">
        <v>295</v>
      </c>
      <c r="D23" s="24">
        <v>2010000</v>
      </c>
      <c r="E23" s="24" t="s">
        <v>267</v>
      </c>
      <c r="F23" s="24" t="str">
        <f t="shared" si="0"/>
        <v>rtdc.l.rtdc.4037:itc</v>
      </c>
      <c r="G23" s="8">
        <f t="shared" si="1"/>
        <v>42593.250185185185</v>
      </c>
    </row>
    <row r="24" spans="1:7" x14ac:dyDescent="0.25">
      <c r="A24" s="8">
        <v>42593.25613425926</v>
      </c>
      <c r="B24" s="24" t="s">
        <v>616</v>
      </c>
      <c r="C24" s="24" t="s">
        <v>511</v>
      </c>
      <c r="D24" s="24">
        <v>1830000</v>
      </c>
      <c r="E24" s="24" t="s">
        <v>622</v>
      </c>
      <c r="F24" s="24" t="str">
        <f t="shared" si="0"/>
        <v>rtdc.l.rtdc.4004:itc</v>
      </c>
      <c r="G24" s="8">
        <f t="shared" si="1"/>
        <v>42593.25613425926</v>
      </c>
    </row>
    <row r="25" spans="1:7" x14ac:dyDescent="0.25">
      <c r="A25" s="8">
        <v>42593.256608796299</v>
      </c>
      <c r="B25" s="24" t="s">
        <v>265</v>
      </c>
      <c r="C25" s="24" t="s">
        <v>308</v>
      </c>
      <c r="D25" s="24">
        <v>1760000</v>
      </c>
      <c r="E25" s="24" t="s">
        <v>620</v>
      </c>
      <c r="F25" s="24" t="str">
        <f t="shared" si="0"/>
        <v>rtdc.l.rtdc.4044:itc</v>
      </c>
      <c r="G25" s="8">
        <f t="shared" si="1"/>
        <v>42593.256608796299</v>
      </c>
    </row>
    <row r="26" spans="1:7" x14ac:dyDescent="0.25">
      <c r="A26" s="8">
        <v>42593.258622685185</v>
      </c>
      <c r="B26" s="24" t="s">
        <v>613</v>
      </c>
      <c r="C26" s="24" t="s">
        <v>514</v>
      </c>
      <c r="D26" s="24">
        <v>2110000</v>
      </c>
      <c r="E26" s="24" t="s">
        <v>183</v>
      </c>
      <c r="F26" s="24" t="str">
        <f t="shared" si="0"/>
        <v>rtdc.l.rtdc.4042:itc</v>
      </c>
      <c r="G26" s="8">
        <f t="shared" si="1"/>
        <v>42593.258622685185</v>
      </c>
    </row>
    <row r="27" spans="1:7" x14ac:dyDescent="0.25">
      <c r="A27" s="8">
        <v>42593.261805555558</v>
      </c>
      <c r="B27" s="24" t="s">
        <v>99</v>
      </c>
      <c r="C27" s="24" t="s">
        <v>298</v>
      </c>
      <c r="D27" s="24">
        <v>1190000</v>
      </c>
      <c r="E27" s="24" t="s">
        <v>225</v>
      </c>
      <c r="F27" s="24" t="str">
        <f t="shared" si="0"/>
        <v>rtdc.l.rtdc.4030:itc</v>
      </c>
      <c r="G27" s="8">
        <f t="shared" si="1"/>
        <v>42593.261805555558</v>
      </c>
    </row>
    <row r="28" spans="1:7" x14ac:dyDescent="0.25">
      <c r="A28" s="8">
        <v>42593.26934027778</v>
      </c>
      <c r="B28" s="24" t="s">
        <v>624</v>
      </c>
      <c r="C28" s="24" t="s">
        <v>518</v>
      </c>
      <c r="D28" s="24">
        <v>1830000</v>
      </c>
      <c r="E28" s="24" t="s">
        <v>622</v>
      </c>
      <c r="F28" s="24" t="str">
        <f t="shared" si="0"/>
        <v>rtdc.l.rtdc.4003:itc</v>
      </c>
      <c r="G28" s="8">
        <f t="shared" si="1"/>
        <v>42593.26934027778</v>
      </c>
    </row>
    <row r="29" spans="1:7" x14ac:dyDescent="0.25">
      <c r="A29" s="8">
        <v>42593.27008101852</v>
      </c>
      <c r="B29" s="24" t="s">
        <v>118</v>
      </c>
      <c r="C29" s="24" t="s">
        <v>311</v>
      </c>
      <c r="D29" s="24">
        <v>900000</v>
      </c>
      <c r="E29" s="24" t="s">
        <v>224</v>
      </c>
      <c r="F29" s="24" t="str">
        <f t="shared" si="0"/>
        <v>rtdc.l.rtdc.4016:itc</v>
      </c>
      <c r="G29" s="8">
        <f t="shared" si="1"/>
        <v>42593.27008101852</v>
      </c>
    </row>
    <row r="30" spans="1:7" x14ac:dyDescent="0.25">
      <c r="A30" s="8">
        <v>42593.276469907411</v>
      </c>
      <c r="B30" s="24" t="s">
        <v>96</v>
      </c>
      <c r="C30" s="24" t="s">
        <v>302</v>
      </c>
      <c r="D30" s="24">
        <v>1110000</v>
      </c>
      <c r="E30" s="24" t="s">
        <v>618</v>
      </c>
      <c r="F30" s="24" t="str">
        <f t="shared" si="0"/>
        <v>rtdc.l.rtdc.4013:itc</v>
      </c>
      <c r="G30" s="8">
        <f t="shared" si="1"/>
        <v>42593.276469907411</v>
      </c>
    </row>
    <row r="31" spans="1:7" x14ac:dyDescent="0.25">
      <c r="A31" s="8">
        <v>42593.277303240742</v>
      </c>
      <c r="B31" s="24" t="s">
        <v>615</v>
      </c>
      <c r="C31" s="24" t="s">
        <v>516</v>
      </c>
      <c r="D31" s="24">
        <v>2110000</v>
      </c>
      <c r="E31" s="24" t="s">
        <v>183</v>
      </c>
      <c r="F31" s="24" t="str">
        <f t="shared" si="0"/>
        <v>rtdc.l.rtdc.4041:itc</v>
      </c>
      <c r="G31" s="8">
        <f t="shared" si="1"/>
        <v>42593.277303240742</v>
      </c>
    </row>
    <row r="32" spans="1:7" x14ac:dyDescent="0.25">
      <c r="A32" s="8">
        <v>42593.278495370374</v>
      </c>
      <c r="B32" s="24" t="s">
        <v>126</v>
      </c>
      <c r="C32" s="24" t="s">
        <v>313</v>
      </c>
      <c r="D32" s="24">
        <v>1360000</v>
      </c>
      <c r="E32" s="24" t="s">
        <v>621</v>
      </c>
      <c r="F32" s="24" t="str">
        <f t="shared" si="0"/>
        <v>rtdc.l.rtdc.4011:itc</v>
      </c>
      <c r="G32" s="8">
        <f t="shared" si="1"/>
        <v>42593.278495370374</v>
      </c>
    </row>
    <row r="33" spans="1:7" x14ac:dyDescent="0.25">
      <c r="A33" s="8">
        <v>42593.287175925929</v>
      </c>
      <c r="B33" s="24" t="s">
        <v>95</v>
      </c>
      <c r="C33" s="24" t="s">
        <v>307</v>
      </c>
      <c r="D33" s="24">
        <v>1310000</v>
      </c>
      <c r="E33" s="24" t="s">
        <v>619</v>
      </c>
      <c r="F33" s="24" t="str">
        <f t="shared" si="0"/>
        <v>rtdc.l.rtdc.4026:itc</v>
      </c>
      <c r="G33" s="8">
        <f t="shared" si="1"/>
        <v>42593.287175925929</v>
      </c>
    </row>
    <row r="34" spans="1:7" x14ac:dyDescent="0.25">
      <c r="A34" s="8">
        <v>42593.287511574075</v>
      </c>
      <c r="B34" s="24" t="s">
        <v>623</v>
      </c>
      <c r="C34" s="24" t="s">
        <v>316</v>
      </c>
      <c r="D34" s="24">
        <v>2010000</v>
      </c>
      <c r="E34" s="24" t="s">
        <v>267</v>
      </c>
      <c r="F34" s="24" t="str">
        <f t="shared" si="0"/>
        <v>rtdc.l.rtdc.4038:itc</v>
      </c>
      <c r="G34" s="8">
        <f t="shared" si="1"/>
        <v>42593.287511574075</v>
      </c>
    </row>
    <row r="35" spans="1:7" x14ac:dyDescent="0.25">
      <c r="A35" s="8">
        <v>42593.296168981484</v>
      </c>
      <c r="B35" s="24" t="s">
        <v>616</v>
      </c>
      <c r="C35" s="24" t="s">
        <v>521</v>
      </c>
      <c r="D35" s="24">
        <v>1830000</v>
      </c>
      <c r="E35" s="24" t="s">
        <v>622</v>
      </c>
      <c r="F35" s="24" t="str">
        <f t="shared" si="0"/>
        <v>rtdc.l.rtdc.4004:itc</v>
      </c>
      <c r="G35" s="8">
        <f t="shared" si="1"/>
        <v>42593.296168981484</v>
      </c>
    </row>
    <row r="36" spans="1:7" x14ac:dyDescent="0.25">
      <c r="A36" s="8">
        <v>42593.297083333331</v>
      </c>
      <c r="B36" s="24" t="s">
        <v>98</v>
      </c>
      <c r="C36" s="24" t="s">
        <v>320</v>
      </c>
      <c r="D36" s="24">
        <v>1190000</v>
      </c>
      <c r="E36" s="24" t="s">
        <v>225</v>
      </c>
      <c r="F36" s="24" t="str">
        <f t="shared" si="0"/>
        <v>rtdc.l.rtdc.4029:itc</v>
      </c>
      <c r="G36" s="8">
        <f t="shared" si="1"/>
        <v>42593.297083333331</v>
      </c>
    </row>
    <row r="37" spans="1:7" x14ac:dyDescent="0.25">
      <c r="A37" s="8">
        <v>42593.297349537039</v>
      </c>
      <c r="B37" s="24" t="s">
        <v>264</v>
      </c>
      <c r="C37" s="24" t="s">
        <v>310</v>
      </c>
      <c r="D37" s="24">
        <v>1760000</v>
      </c>
      <c r="E37" s="24" t="s">
        <v>620</v>
      </c>
      <c r="F37" s="24" t="str">
        <f t="shared" si="0"/>
        <v>rtdc.l.rtdc.4043:itc</v>
      </c>
      <c r="G37" s="8">
        <f t="shared" si="1"/>
        <v>42593.297349537039</v>
      </c>
    </row>
    <row r="38" spans="1:7" x14ac:dyDescent="0.25">
      <c r="A38" s="8">
        <v>42593.302615740744</v>
      </c>
      <c r="B38" s="24" t="s">
        <v>613</v>
      </c>
      <c r="C38" s="24" t="s">
        <v>523</v>
      </c>
      <c r="D38" s="24">
        <v>2110000</v>
      </c>
      <c r="E38" s="24" t="s">
        <v>183</v>
      </c>
      <c r="F38" s="24" t="str">
        <f t="shared" si="0"/>
        <v>rtdc.l.rtdc.4042:itc</v>
      </c>
      <c r="G38" s="8">
        <f t="shared" si="1"/>
        <v>42593.302615740744</v>
      </c>
    </row>
    <row r="39" spans="1:7" x14ac:dyDescent="0.25">
      <c r="A39" s="8">
        <v>42593.308032407411</v>
      </c>
      <c r="B39" s="24" t="s">
        <v>127</v>
      </c>
      <c r="C39" s="24" t="s">
        <v>314</v>
      </c>
      <c r="D39" s="24">
        <v>1360000</v>
      </c>
      <c r="E39" s="24" t="s">
        <v>621</v>
      </c>
      <c r="F39" s="24" t="str">
        <f t="shared" si="0"/>
        <v>rtdc.l.rtdc.4012:itc</v>
      </c>
      <c r="G39" s="8">
        <f t="shared" si="1"/>
        <v>42593.308032407411</v>
      </c>
    </row>
    <row r="40" spans="1:7" x14ac:dyDescent="0.25">
      <c r="A40" s="8">
        <v>42593.309131944443</v>
      </c>
      <c r="B40" s="29" t="s">
        <v>117</v>
      </c>
      <c r="C40" s="24" t="s">
        <v>312</v>
      </c>
      <c r="D40" s="24">
        <v>900000</v>
      </c>
      <c r="E40" s="24" t="s">
        <v>224</v>
      </c>
      <c r="F40" s="24" t="str">
        <f t="shared" si="0"/>
        <v>rtdc.l.rtdc.4015:itc</v>
      </c>
      <c r="G40" s="8">
        <f t="shared" si="1"/>
        <v>42593.309131944443</v>
      </c>
    </row>
    <row r="41" spans="1:7" x14ac:dyDescent="0.25">
      <c r="A41" s="8">
        <v>42593.310833333337</v>
      </c>
      <c r="B41" s="24" t="s">
        <v>624</v>
      </c>
      <c r="C41" s="24" t="s">
        <v>526</v>
      </c>
      <c r="D41" s="24">
        <v>1830000</v>
      </c>
      <c r="E41" s="24" t="s">
        <v>622</v>
      </c>
      <c r="F41" s="24" t="str">
        <f t="shared" si="0"/>
        <v>rtdc.l.rtdc.4003:itc</v>
      </c>
      <c r="G41" s="8">
        <f t="shared" si="1"/>
        <v>42593.310833333337</v>
      </c>
    </row>
    <row r="42" spans="1:7" x14ac:dyDescent="0.25">
      <c r="A42" s="8">
        <v>42593.311342592591</v>
      </c>
      <c r="B42" s="24" t="s">
        <v>129</v>
      </c>
      <c r="C42" s="24" t="s">
        <v>323</v>
      </c>
      <c r="D42" s="24">
        <v>1110000</v>
      </c>
      <c r="E42" s="24" t="s">
        <v>618</v>
      </c>
      <c r="F42" s="24" t="str">
        <f t="shared" si="0"/>
        <v>rtdc.l.rtdc.4014:itc</v>
      </c>
      <c r="G42" s="8">
        <f t="shared" si="1"/>
        <v>42593.311342592591</v>
      </c>
    </row>
    <row r="43" spans="1:7" x14ac:dyDescent="0.25">
      <c r="A43" s="8">
        <v>42593.318356481483</v>
      </c>
      <c r="B43" s="24" t="s">
        <v>615</v>
      </c>
      <c r="C43" s="24" t="s">
        <v>525</v>
      </c>
      <c r="D43" s="24">
        <v>2110000</v>
      </c>
      <c r="E43" s="24" t="s">
        <v>183</v>
      </c>
      <c r="F43" s="24" t="str">
        <f t="shared" si="0"/>
        <v>rtdc.l.rtdc.4041:itc</v>
      </c>
      <c r="G43" s="8">
        <f t="shared" si="1"/>
        <v>42593.318356481483</v>
      </c>
    </row>
    <row r="44" spans="1:7" x14ac:dyDescent="0.25">
      <c r="A44" s="8">
        <v>42593.321793981479</v>
      </c>
      <c r="B44" s="24" t="s">
        <v>97</v>
      </c>
      <c r="C44" s="24" t="s">
        <v>325</v>
      </c>
      <c r="D44" s="24">
        <v>1310000</v>
      </c>
      <c r="E44" s="24" t="s">
        <v>619</v>
      </c>
      <c r="F44" s="24" t="str">
        <f t="shared" si="0"/>
        <v>rtdc.l.rtdc.4025:itc</v>
      </c>
      <c r="G44" s="8">
        <f t="shared" si="1"/>
        <v>42593.321793981479</v>
      </c>
    </row>
    <row r="45" spans="1:7" x14ac:dyDescent="0.25">
      <c r="A45" s="8">
        <v>42593.321886574071</v>
      </c>
      <c r="B45" s="24" t="s">
        <v>269</v>
      </c>
      <c r="C45" s="24" t="s">
        <v>318</v>
      </c>
      <c r="D45" s="24">
        <v>2010000</v>
      </c>
      <c r="E45" s="24" t="s">
        <v>267</v>
      </c>
      <c r="F45" s="24" t="str">
        <f t="shared" si="0"/>
        <v>rtdc.l.rtdc.4037:itc</v>
      </c>
      <c r="G45" s="8">
        <f t="shared" si="1"/>
        <v>42593.321886574071</v>
      </c>
    </row>
    <row r="46" spans="1:7" x14ac:dyDescent="0.25">
      <c r="A46" s="8">
        <v>42593.322789351849</v>
      </c>
      <c r="B46" s="24" t="s">
        <v>97</v>
      </c>
      <c r="C46" s="24" t="s">
        <v>325</v>
      </c>
      <c r="D46" s="24">
        <v>1310000</v>
      </c>
      <c r="E46" s="24" t="s">
        <v>619</v>
      </c>
      <c r="F46" s="24" t="str">
        <f t="shared" si="0"/>
        <v>rtdc.l.rtdc.4025:itc</v>
      </c>
      <c r="G46" s="8">
        <f t="shared" si="1"/>
        <v>42593.322789351849</v>
      </c>
    </row>
    <row r="47" spans="1:7" x14ac:dyDescent="0.25">
      <c r="A47" s="8">
        <v>42593.329513888886</v>
      </c>
      <c r="B47" s="24" t="s">
        <v>265</v>
      </c>
      <c r="C47" s="24" t="s">
        <v>327</v>
      </c>
      <c r="D47" s="24">
        <v>1760000</v>
      </c>
      <c r="E47" s="24" t="s">
        <v>620</v>
      </c>
      <c r="F47" s="24" t="str">
        <f t="shared" si="0"/>
        <v>rtdc.l.rtdc.4044:itc</v>
      </c>
      <c r="G47" s="8">
        <f t="shared" si="1"/>
        <v>42593.329513888886</v>
      </c>
    </row>
    <row r="48" spans="1:7" x14ac:dyDescent="0.25">
      <c r="A48" s="8">
        <v>42593.335486111115</v>
      </c>
      <c r="B48" s="24" t="s">
        <v>99</v>
      </c>
      <c r="C48" s="24" t="s">
        <v>321</v>
      </c>
      <c r="D48" s="24">
        <v>1190000</v>
      </c>
      <c r="E48" s="24" t="s">
        <v>225</v>
      </c>
      <c r="F48" s="24" t="str">
        <f t="shared" si="0"/>
        <v>rtdc.l.rtdc.4030:itc</v>
      </c>
      <c r="G48" s="8">
        <f t="shared" si="1"/>
        <v>42593.335486111115</v>
      </c>
    </row>
    <row r="49" spans="1:7" x14ac:dyDescent="0.25">
      <c r="A49" s="8">
        <v>42593.337638888886</v>
      </c>
      <c r="B49" s="24" t="s">
        <v>616</v>
      </c>
      <c r="C49" s="24" t="s">
        <v>527</v>
      </c>
      <c r="D49" s="24">
        <v>1830000</v>
      </c>
      <c r="E49" s="24" t="s">
        <v>622</v>
      </c>
      <c r="F49" s="24" t="str">
        <f t="shared" si="0"/>
        <v>rtdc.l.rtdc.4004:itc</v>
      </c>
      <c r="G49" s="8">
        <f t="shared" si="1"/>
        <v>42593.337638888886</v>
      </c>
    </row>
    <row r="50" spans="1:7" x14ac:dyDescent="0.25">
      <c r="A50" s="8">
        <v>42593.33935185185</v>
      </c>
      <c r="B50" s="24" t="s">
        <v>118</v>
      </c>
      <c r="C50" s="24" t="s">
        <v>331</v>
      </c>
      <c r="D50" s="24">
        <v>900000</v>
      </c>
      <c r="E50" s="24" t="s">
        <v>224</v>
      </c>
      <c r="F50" s="24" t="str">
        <f t="shared" si="0"/>
        <v>rtdc.l.rtdc.4016:itc</v>
      </c>
      <c r="G50" s="8">
        <f t="shared" si="1"/>
        <v>42593.33935185185</v>
      </c>
    </row>
    <row r="51" spans="1:7" x14ac:dyDescent="0.25">
      <c r="A51" s="8">
        <v>42593.343923611108</v>
      </c>
      <c r="B51" s="24" t="s">
        <v>613</v>
      </c>
      <c r="C51" s="24" t="s">
        <v>529</v>
      </c>
      <c r="D51" s="24">
        <v>2110000</v>
      </c>
      <c r="E51" s="24" t="s">
        <v>183</v>
      </c>
      <c r="F51" s="24" t="str">
        <f t="shared" si="0"/>
        <v>rtdc.l.rtdc.4042:itc</v>
      </c>
      <c r="G51" s="8">
        <f t="shared" si="1"/>
        <v>42593.343923611108</v>
      </c>
    </row>
    <row r="52" spans="1:7" x14ac:dyDescent="0.25">
      <c r="A52" s="8">
        <v>42593.350092592591</v>
      </c>
      <c r="B52" s="24" t="s">
        <v>96</v>
      </c>
      <c r="C52" s="24" t="s">
        <v>324</v>
      </c>
      <c r="D52" s="24">
        <v>1110000</v>
      </c>
      <c r="E52" s="24" t="s">
        <v>618</v>
      </c>
      <c r="F52" s="24" t="str">
        <f t="shared" si="0"/>
        <v>rtdc.l.rtdc.4013:itc</v>
      </c>
      <c r="G52" s="8">
        <f t="shared" si="1"/>
        <v>42593.350092592591</v>
      </c>
    </row>
    <row r="53" spans="1:7" x14ac:dyDescent="0.25">
      <c r="A53" s="8">
        <v>42593.350925925923</v>
      </c>
      <c r="B53" s="24" t="s">
        <v>126</v>
      </c>
      <c r="C53" s="24" t="s">
        <v>333</v>
      </c>
      <c r="D53" s="24">
        <v>1360000</v>
      </c>
      <c r="E53" s="24" t="s">
        <v>621</v>
      </c>
      <c r="F53" s="24" t="str">
        <f t="shared" si="0"/>
        <v>rtdc.l.rtdc.4011:itc</v>
      </c>
      <c r="G53" s="8">
        <f t="shared" si="1"/>
        <v>42593.350925925923</v>
      </c>
    </row>
    <row r="54" spans="1:7" x14ac:dyDescent="0.25">
      <c r="A54" s="8">
        <v>42593.3596412037</v>
      </c>
      <c r="B54" s="24" t="s">
        <v>95</v>
      </c>
      <c r="C54" s="24" t="s">
        <v>326</v>
      </c>
      <c r="D54" s="24">
        <v>1310000</v>
      </c>
      <c r="E54" s="24" t="s">
        <v>619</v>
      </c>
      <c r="F54" s="24" t="str">
        <f t="shared" si="0"/>
        <v>rtdc.l.rtdc.4026:itc</v>
      </c>
      <c r="G54" s="8">
        <f t="shared" si="1"/>
        <v>42593.3596412037</v>
      </c>
    </row>
    <row r="55" spans="1:7" x14ac:dyDescent="0.25">
      <c r="A55" s="8">
        <v>42593.360706018517</v>
      </c>
      <c r="B55" s="24" t="s">
        <v>95</v>
      </c>
      <c r="C55" s="24" t="s">
        <v>326</v>
      </c>
      <c r="D55" s="24">
        <v>1310000</v>
      </c>
      <c r="E55" s="24" t="s">
        <v>619</v>
      </c>
      <c r="F55" s="24" t="str">
        <f t="shared" si="0"/>
        <v>rtdc.l.rtdc.4026:itc</v>
      </c>
      <c r="G55" s="8">
        <f t="shared" si="1"/>
        <v>42593.360706018517</v>
      </c>
    </row>
    <row r="56" spans="1:7" x14ac:dyDescent="0.25">
      <c r="A56" s="8">
        <v>42593.360752314817</v>
      </c>
      <c r="B56" s="24" t="s">
        <v>615</v>
      </c>
      <c r="C56" s="24" t="s">
        <v>532</v>
      </c>
      <c r="D56" s="24">
        <v>2110000</v>
      </c>
      <c r="E56" s="24" t="s">
        <v>183</v>
      </c>
      <c r="F56" s="24" t="str">
        <f t="shared" si="0"/>
        <v>rtdc.l.rtdc.4041:itc</v>
      </c>
      <c r="G56" s="8">
        <f t="shared" si="1"/>
        <v>42593.360752314817</v>
      </c>
    </row>
    <row r="57" spans="1:7" x14ac:dyDescent="0.25">
      <c r="A57" s="8">
        <v>42593.360937500001</v>
      </c>
      <c r="B57" s="24" t="s">
        <v>623</v>
      </c>
      <c r="C57" s="24" t="s">
        <v>337</v>
      </c>
      <c r="D57" s="24">
        <v>2010000</v>
      </c>
      <c r="E57" s="24" t="s">
        <v>267</v>
      </c>
      <c r="F57" s="24" t="str">
        <f t="shared" si="0"/>
        <v>rtdc.l.rtdc.4038:itc</v>
      </c>
      <c r="G57" s="8">
        <f t="shared" si="1"/>
        <v>42593.360937500001</v>
      </c>
    </row>
    <row r="58" spans="1:7" x14ac:dyDescent="0.25">
      <c r="A58" s="8">
        <v>42593.369016203702</v>
      </c>
      <c r="B58" s="24" t="s">
        <v>98</v>
      </c>
      <c r="C58" s="24" t="s">
        <v>341</v>
      </c>
      <c r="D58" s="24">
        <v>1190000</v>
      </c>
      <c r="E58" s="24" t="s">
        <v>225</v>
      </c>
      <c r="F58" s="24" t="str">
        <f t="shared" si="0"/>
        <v>rtdc.l.rtdc.4029:itc</v>
      </c>
      <c r="G58" s="8">
        <f t="shared" si="1"/>
        <v>42593.369016203702</v>
      </c>
    </row>
    <row r="59" spans="1:7" x14ac:dyDescent="0.25">
      <c r="A59" s="8">
        <v>42593.369062500002</v>
      </c>
      <c r="B59" s="24" t="s">
        <v>264</v>
      </c>
      <c r="C59" s="24" t="s">
        <v>351</v>
      </c>
      <c r="D59" s="24">
        <v>1760000</v>
      </c>
      <c r="E59" s="24" t="s">
        <v>620</v>
      </c>
      <c r="F59" s="24" t="str">
        <f t="shared" si="0"/>
        <v>rtdc.l.rtdc.4043:itc</v>
      </c>
      <c r="G59" s="8">
        <f t="shared" si="1"/>
        <v>42593.369062500002</v>
      </c>
    </row>
    <row r="60" spans="1:7" x14ac:dyDescent="0.25">
      <c r="A60" s="8">
        <v>42593.370312500003</v>
      </c>
      <c r="B60" s="24" t="s">
        <v>264</v>
      </c>
      <c r="C60" s="24" t="s">
        <v>351</v>
      </c>
      <c r="D60" s="24">
        <v>1760000</v>
      </c>
      <c r="E60" s="24" t="s">
        <v>620</v>
      </c>
      <c r="F60" s="24" t="str">
        <f t="shared" si="0"/>
        <v>rtdc.l.rtdc.4043:itc</v>
      </c>
      <c r="G60" s="8">
        <f t="shared" si="1"/>
        <v>42593.370312500003</v>
      </c>
    </row>
    <row r="61" spans="1:7" x14ac:dyDescent="0.25">
      <c r="A61" s="8">
        <v>42593.371574074074</v>
      </c>
      <c r="B61" s="24" t="s">
        <v>264</v>
      </c>
      <c r="C61" s="24" t="s">
        <v>328</v>
      </c>
      <c r="D61" s="24">
        <v>1760000</v>
      </c>
      <c r="E61" s="24" t="s">
        <v>620</v>
      </c>
      <c r="F61" s="24" t="str">
        <f t="shared" si="0"/>
        <v>rtdc.l.rtdc.4043:itc</v>
      </c>
      <c r="G61" s="8">
        <f t="shared" si="1"/>
        <v>42593.371574074074</v>
      </c>
    </row>
    <row r="62" spans="1:7" x14ac:dyDescent="0.25">
      <c r="A62" s="8">
        <v>42593.381550925929</v>
      </c>
      <c r="B62" s="24" t="s">
        <v>264</v>
      </c>
      <c r="C62" s="24" t="s">
        <v>328</v>
      </c>
      <c r="D62" s="24">
        <v>1760000</v>
      </c>
      <c r="E62" s="24" t="s">
        <v>620</v>
      </c>
      <c r="F62" s="24" t="str">
        <f t="shared" si="0"/>
        <v>rtdc.l.rtdc.4043:itc</v>
      </c>
      <c r="G62" s="8">
        <f t="shared" si="1"/>
        <v>42593.381550925929</v>
      </c>
    </row>
    <row r="63" spans="1:7" x14ac:dyDescent="0.25">
      <c r="A63" s="8">
        <v>42593.382523148146</v>
      </c>
      <c r="B63" s="24" t="s">
        <v>117</v>
      </c>
      <c r="C63" s="24" t="s">
        <v>332</v>
      </c>
      <c r="D63" s="24">
        <v>900000</v>
      </c>
      <c r="E63" s="24" t="s">
        <v>224</v>
      </c>
      <c r="F63" s="24" t="str">
        <f t="shared" si="0"/>
        <v>rtdc.l.rtdc.4015:itc</v>
      </c>
      <c r="G63" s="8">
        <f t="shared" si="1"/>
        <v>42593.382523148146</v>
      </c>
    </row>
    <row r="64" spans="1:7" x14ac:dyDescent="0.25">
      <c r="A64" s="30">
        <v>42593.384120370371</v>
      </c>
      <c r="B64" s="24" t="s">
        <v>129</v>
      </c>
      <c r="C64" s="24" t="s">
        <v>344</v>
      </c>
      <c r="D64" s="24">
        <v>1110000</v>
      </c>
      <c r="E64" s="24" t="s">
        <v>618</v>
      </c>
      <c r="F64" s="24" t="str">
        <f t="shared" si="0"/>
        <v>rtdc.l.rtdc.4014:itc</v>
      </c>
      <c r="G64" s="8">
        <f t="shared" si="1"/>
        <v>42593.384120370371</v>
      </c>
    </row>
    <row r="65" spans="1:7" x14ac:dyDescent="0.25">
      <c r="A65" s="8">
        <v>42593.386666666665</v>
      </c>
      <c r="B65" s="24" t="s">
        <v>613</v>
      </c>
      <c r="C65" s="24" t="s">
        <v>535</v>
      </c>
      <c r="D65" s="24">
        <v>2110000</v>
      </c>
      <c r="E65" s="24" t="s">
        <v>183</v>
      </c>
      <c r="F65" s="24" t="str">
        <f t="shared" si="0"/>
        <v>rtdc.l.rtdc.4042:itc</v>
      </c>
      <c r="G65" s="8">
        <f t="shared" si="1"/>
        <v>42593.386666666665</v>
      </c>
    </row>
    <row r="66" spans="1:7" x14ac:dyDescent="0.25">
      <c r="A66" s="8">
        <v>42593.392430555556</v>
      </c>
      <c r="B66" s="24" t="s">
        <v>127</v>
      </c>
      <c r="C66" s="24" t="s">
        <v>335</v>
      </c>
      <c r="D66" s="24">
        <v>1360000</v>
      </c>
      <c r="E66" s="24" t="s">
        <v>621</v>
      </c>
      <c r="F66" s="24" t="str">
        <f t="shared" ref="F66:F129" si="2">B66</f>
        <v>rtdc.l.rtdc.4012:itc</v>
      </c>
      <c r="G66" s="8">
        <f t="shared" ref="G66:G129" si="3">A66</f>
        <v>42593.392430555556</v>
      </c>
    </row>
    <row r="67" spans="1:7" x14ac:dyDescent="0.25">
      <c r="A67" s="8">
        <v>42593.396921296298</v>
      </c>
      <c r="B67" s="24" t="s">
        <v>97</v>
      </c>
      <c r="C67" s="24" t="s">
        <v>347</v>
      </c>
      <c r="D67" s="24">
        <v>1310000</v>
      </c>
      <c r="E67" s="24" t="s">
        <v>619</v>
      </c>
      <c r="F67" s="24" t="str">
        <f t="shared" si="2"/>
        <v>rtdc.l.rtdc.4025:itc</v>
      </c>
      <c r="G67" s="8">
        <f t="shared" si="3"/>
        <v>42593.396921296298</v>
      </c>
    </row>
    <row r="68" spans="1:7" x14ac:dyDescent="0.25">
      <c r="A68" s="8">
        <v>42593.398761574077</v>
      </c>
      <c r="B68" s="24" t="s">
        <v>269</v>
      </c>
      <c r="C68" s="24" t="s">
        <v>338</v>
      </c>
      <c r="D68" s="24">
        <v>2010000</v>
      </c>
      <c r="E68" s="24" t="s">
        <v>267</v>
      </c>
      <c r="F68" s="24" t="str">
        <f t="shared" si="2"/>
        <v>rtdc.l.rtdc.4037:itc</v>
      </c>
      <c r="G68" s="8">
        <f t="shared" si="3"/>
        <v>42593.398761574077</v>
      </c>
    </row>
    <row r="69" spans="1:7" x14ac:dyDescent="0.25">
      <c r="A69" s="8">
        <v>42593.401875000003</v>
      </c>
      <c r="B69" s="24" t="s">
        <v>615</v>
      </c>
      <c r="C69" s="24" t="s">
        <v>537</v>
      </c>
      <c r="D69" s="24">
        <v>2110000</v>
      </c>
      <c r="E69" s="24" t="s">
        <v>183</v>
      </c>
      <c r="F69" s="24" t="str">
        <f t="shared" si="2"/>
        <v>rtdc.l.rtdc.4041:itc</v>
      </c>
      <c r="G69" s="8">
        <f t="shared" si="3"/>
        <v>42593.401875000003</v>
      </c>
    </row>
    <row r="70" spans="1:7" x14ac:dyDescent="0.25">
      <c r="A70" s="8">
        <v>42593.405185185184</v>
      </c>
      <c r="B70" s="24" t="s">
        <v>265</v>
      </c>
      <c r="C70" s="24" t="s">
        <v>351</v>
      </c>
      <c r="D70" s="24">
        <v>1760000</v>
      </c>
      <c r="E70" s="24" t="s">
        <v>620</v>
      </c>
      <c r="F70" s="24" t="str">
        <f t="shared" si="2"/>
        <v>rtdc.l.rtdc.4044:itc</v>
      </c>
      <c r="G70" s="8">
        <f t="shared" si="3"/>
        <v>42593.405185185184</v>
      </c>
    </row>
    <row r="71" spans="1:7" x14ac:dyDescent="0.25">
      <c r="A71" s="8">
        <v>42593.40729166667</v>
      </c>
      <c r="B71" s="24" t="s">
        <v>99</v>
      </c>
      <c r="C71" s="24" t="s">
        <v>343</v>
      </c>
      <c r="D71" s="24">
        <v>1190000</v>
      </c>
      <c r="E71" s="24" t="s">
        <v>225</v>
      </c>
      <c r="F71" s="24" t="str">
        <f t="shared" si="2"/>
        <v>rtdc.l.rtdc.4030:itc</v>
      </c>
      <c r="G71" s="8">
        <f t="shared" si="3"/>
        <v>42593.40729166667</v>
      </c>
    </row>
    <row r="72" spans="1:7" x14ac:dyDescent="0.25">
      <c r="A72" s="8">
        <v>42593.416631944441</v>
      </c>
      <c r="B72" s="24" t="s">
        <v>131</v>
      </c>
      <c r="C72" s="24" t="s">
        <v>353</v>
      </c>
      <c r="D72" s="24">
        <v>900000</v>
      </c>
      <c r="E72" s="24" t="s">
        <v>224</v>
      </c>
      <c r="F72" s="24" t="str">
        <f t="shared" si="2"/>
        <v>rtdc.l.rtdc.4031:itc</v>
      </c>
      <c r="G72" s="8">
        <f t="shared" si="3"/>
        <v>42593.416631944441</v>
      </c>
    </row>
    <row r="73" spans="1:7" x14ac:dyDescent="0.25">
      <c r="A73" s="8">
        <v>42593.421666666669</v>
      </c>
      <c r="B73" s="24" t="s">
        <v>96</v>
      </c>
      <c r="C73" s="24" t="s">
        <v>345</v>
      </c>
      <c r="D73" s="24">
        <v>1110000</v>
      </c>
      <c r="E73" s="24" t="s">
        <v>618</v>
      </c>
      <c r="F73" s="24" t="str">
        <f t="shared" si="2"/>
        <v>rtdc.l.rtdc.4013:itc</v>
      </c>
      <c r="G73" s="8">
        <f t="shared" si="3"/>
        <v>42593.421666666669</v>
      </c>
    </row>
    <row r="74" spans="1:7" x14ac:dyDescent="0.25">
      <c r="A74" s="8">
        <v>42593.425046296295</v>
      </c>
      <c r="B74" s="24" t="s">
        <v>126</v>
      </c>
      <c r="C74" s="24" t="s">
        <v>357</v>
      </c>
      <c r="D74" s="24">
        <v>1360000</v>
      </c>
      <c r="E74" s="24" t="s">
        <v>621</v>
      </c>
      <c r="F74" s="24" t="str">
        <f t="shared" si="2"/>
        <v>rtdc.l.rtdc.4011:itc</v>
      </c>
      <c r="G74" s="8">
        <f t="shared" si="3"/>
        <v>42593.425046296295</v>
      </c>
    </row>
    <row r="75" spans="1:7" x14ac:dyDescent="0.25">
      <c r="A75" s="8">
        <v>42593.42796296296</v>
      </c>
      <c r="B75" s="24" t="s">
        <v>613</v>
      </c>
      <c r="C75" s="24" t="s">
        <v>538</v>
      </c>
      <c r="D75" s="24">
        <v>2110000</v>
      </c>
      <c r="E75" s="24" t="s">
        <v>183</v>
      </c>
      <c r="F75" s="24" t="str">
        <f t="shared" si="2"/>
        <v>rtdc.l.rtdc.4042:itc</v>
      </c>
      <c r="G75" s="8">
        <f t="shared" si="3"/>
        <v>42593.42796296296</v>
      </c>
    </row>
    <row r="76" spans="1:7" x14ac:dyDescent="0.25">
      <c r="A76" s="8">
        <v>42593.428946759261</v>
      </c>
      <c r="B76" s="24" t="s">
        <v>614</v>
      </c>
      <c r="C76" s="24" t="s">
        <v>499</v>
      </c>
      <c r="D76" s="24">
        <v>2150000</v>
      </c>
      <c r="E76" s="24" t="s">
        <v>186</v>
      </c>
      <c r="F76" s="24" t="str">
        <f t="shared" si="2"/>
        <v>rtdc.l.rtdc.4021:itc</v>
      </c>
      <c r="G76" s="8">
        <f t="shared" si="3"/>
        <v>42593.428946759261</v>
      </c>
    </row>
    <row r="77" spans="1:7" x14ac:dyDescent="0.25">
      <c r="A77" s="8">
        <v>42593.434756944444</v>
      </c>
      <c r="B77" s="24" t="s">
        <v>95</v>
      </c>
      <c r="C77" s="24" t="s">
        <v>348</v>
      </c>
      <c r="D77" s="24">
        <v>1310000</v>
      </c>
      <c r="E77" s="24" t="s">
        <v>619</v>
      </c>
      <c r="F77" s="24" t="str">
        <f t="shared" si="2"/>
        <v>rtdc.l.rtdc.4026:itc</v>
      </c>
      <c r="G77" s="8">
        <f t="shared" si="3"/>
        <v>42593.434756944444</v>
      </c>
    </row>
    <row r="78" spans="1:7" x14ac:dyDescent="0.25">
      <c r="A78" s="8">
        <v>42593.435208333336</v>
      </c>
      <c r="B78" s="24" t="s">
        <v>623</v>
      </c>
      <c r="C78" s="24" t="s">
        <v>358</v>
      </c>
      <c r="D78" s="24">
        <v>1830000</v>
      </c>
      <c r="E78" s="24" t="s">
        <v>622</v>
      </c>
      <c r="F78" s="24" t="str">
        <f t="shared" si="2"/>
        <v>rtdc.l.rtdc.4038:itc</v>
      </c>
      <c r="G78" s="8">
        <f t="shared" si="3"/>
        <v>42593.435208333336</v>
      </c>
    </row>
    <row r="79" spans="1:7" x14ac:dyDescent="0.25">
      <c r="A79" s="8">
        <v>42593.443738425929</v>
      </c>
      <c r="B79" s="24" t="s">
        <v>615</v>
      </c>
      <c r="C79" s="24" t="s">
        <v>539</v>
      </c>
      <c r="D79" s="24">
        <v>2110000</v>
      </c>
      <c r="E79" s="24" t="s">
        <v>183</v>
      </c>
      <c r="F79" s="24" t="str">
        <f t="shared" si="2"/>
        <v>rtdc.l.rtdc.4041:itc</v>
      </c>
      <c r="G79" s="8">
        <f t="shared" si="3"/>
        <v>42593.443738425929</v>
      </c>
    </row>
    <row r="80" spans="1:7" x14ac:dyDescent="0.25">
      <c r="A80" s="8">
        <v>42593.445868055554</v>
      </c>
      <c r="B80" s="24" t="s">
        <v>98</v>
      </c>
      <c r="C80" s="24" t="s">
        <v>360</v>
      </c>
      <c r="D80" s="24">
        <v>1190000</v>
      </c>
      <c r="E80" s="24" t="s">
        <v>225</v>
      </c>
      <c r="F80" s="24" t="str">
        <f t="shared" si="2"/>
        <v>rtdc.l.rtdc.4029:itc</v>
      </c>
      <c r="G80" s="8">
        <f t="shared" si="3"/>
        <v>42593.445868055554</v>
      </c>
    </row>
    <row r="81" spans="1:7" x14ac:dyDescent="0.25">
      <c r="A81" s="8">
        <v>42593.454664351855</v>
      </c>
      <c r="B81" s="24" t="s">
        <v>132</v>
      </c>
      <c r="C81" s="24" t="s">
        <v>355</v>
      </c>
      <c r="D81" s="24">
        <v>900000</v>
      </c>
      <c r="E81" s="24" t="s">
        <v>224</v>
      </c>
      <c r="F81" s="24" t="str">
        <f t="shared" si="2"/>
        <v>rtdc.l.rtdc.4032:itc</v>
      </c>
      <c r="G81" s="8">
        <f t="shared" si="3"/>
        <v>42593.454664351855</v>
      </c>
    </row>
    <row r="82" spans="1:7" x14ac:dyDescent="0.25">
      <c r="A82" s="8">
        <v>42593.458472222221</v>
      </c>
      <c r="B82" s="24" t="s">
        <v>129</v>
      </c>
      <c r="C82" s="24" t="s">
        <v>364</v>
      </c>
      <c r="D82" s="24">
        <v>2150000</v>
      </c>
      <c r="E82" s="24" t="s">
        <v>186</v>
      </c>
      <c r="F82" s="24" t="str">
        <f t="shared" si="2"/>
        <v>rtdc.l.rtdc.4014:itc</v>
      </c>
      <c r="G82" s="8">
        <f t="shared" si="3"/>
        <v>42593.458472222221</v>
      </c>
    </row>
    <row r="83" spans="1:7" x14ac:dyDescent="0.25">
      <c r="A83" s="8">
        <v>42593.470775462964</v>
      </c>
      <c r="B83" s="24" t="s">
        <v>613</v>
      </c>
      <c r="C83" s="24" t="s">
        <v>540</v>
      </c>
      <c r="D83" s="24">
        <v>2110000</v>
      </c>
      <c r="E83" s="24" t="s">
        <v>183</v>
      </c>
      <c r="F83" s="24" t="str">
        <f t="shared" si="2"/>
        <v>rtdc.l.rtdc.4042:itc</v>
      </c>
      <c r="G83" s="8">
        <f t="shared" si="3"/>
        <v>42593.470775462964</v>
      </c>
    </row>
    <row r="84" spans="1:7" x14ac:dyDescent="0.25">
      <c r="A84" s="8">
        <v>42593.472962962966</v>
      </c>
      <c r="B84" s="24" t="s">
        <v>97</v>
      </c>
      <c r="C84" s="24" t="s">
        <v>369</v>
      </c>
      <c r="D84" s="24">
        <v>2020000</v>
      </c>
      <c r="E84" s="24" t="s">
        <v>625</v>
      </c>
      <c r="F84" s="24" t="str">
        <f t="shared" si="2"/>
        <v>rtdc.l.rtdc.4025:itc</v>
      </c>
      <c r="G84" s="8">
        <f t="shared" si="3"/>
        <v>42593.472962962966</v>
      </c>
    </row>
    <row r="85" spans="1:7" x14ac:dyDescent="0.25">
      <c r="A85" s="8">
        <v>42593.474340277775</v>
      </c>
      <c r="B85" s="24" t="s">
        <v>269</v>
      </c>
      <c r="C85" s="24" t="s">
        <v>359</v>
      </c>
      <c r="D85" s="24">
        <v>1830000</v>
      </c>
      <c r="E85" s="24" t="s">
        <v>622</v>
      </c>
      <c r="F85" s="24" t="str">
        <f t="shared" si="2"/>
        <v>rtdc.l.rtdc.4037:itc</v>
      </c>
      <c r="G85" s="8">
        <f t="shared" si="3"/>
        <v>42593.474340277775</v>
      </c>
    </row>
    <row r="86" spans="1:7" x14ac:dyDescent="0.25">
      <c r="A86" s="8">
        <v>42593.485335648147</v>
      </c>
      <c r="B86" s="24" t="s">
        <v>615</v>
      </c>
      <c r="C86" s="24" t="s">
        <v>542</v>
      </c>
      <c r="D86" s="24">
        <v>2110000</v>
      </c>
      <c r="E86" s="24" t="s">
        <v>183</v>
      </c>
      <c r="F86" s="24" t="str">
        <f t="shared" si="2"/>
        <v>rtdc.l.rtdc.4041:itc</v>
      </c>
      <c r="G86" s="8">
        <f t="shared" si="3"/>
        <v>42593.485335648147</v>
      </c>
    </row>
    <row r="87" spans="1:7" x14ac:dyDescent="0.25">
      <c r="A87" s="8">
        <v>42593.492893518516</v>
      </c>
      <c r="B87" s="24" t="s">
        <v>96</v>
      </c>
      <c r="C87" s="24" t="s">
        <v>367</v>
      </c>
      <c r="D87" s="24">
        <v>2150000</v>
      </c>
      <c r="E87" s="24" t="s">
        <v>186</v>
      </c>
      <c r="F87" s="24" t="str">
        <f t="shared" si="2"/>
        <v>rtdc.l.rtdc.4013:itc</v>
      </c>
      <c r="G87" s="8">
        <f t="shared" si="3"/>
        <v>42593.492893518516</v>
      </c>
    </row>
    <row r="88" spans="1:7" x14ac:dyDescent="0.25">
      <c r="A88" s="8">
        <v>42593.493668981479</v>
      </c>
      <c r="B88" s="24" t="s">
        <v>131</v>
      </c>
      <c r="C88" s="24" t="s">
        <v>376</v>
      </c>
      <c r="D88" s="24">
        <v>1810000</v>
      </c>
      <c r="E88" s="24" t="s">
        <v>626</v>
      </c>
      <c r="F88" s="24" t="str">
        <f t="shared" si="2"/>
        <v>rtdc.l.rtdc.4031:itc</v>
      </c>
      <c r="G88" s="8">
        <f t="shared" si="3"/>
        <v>42593.493668981479</v>
      </c>
    </row>
    <row r="89" spans="1:7" x14ac:dyDescent="0.25">
      <c r="A89" s="8">
        <v>42593.499027777776</v>
      </c>
      <c r="B89" s="24" t="s">
        <v>118</v>
      </c>
      <c r="C89" s="24" t="s">
        <v>381</v>
      </c>
      <c r="D89" s="24">
        <v>2040000</v>
      </c>
      <c r="E89" s="24" t="s">
        <v>270</v>
      </c>
      <c r="F89" s="24" t="str">
        <f t="shared" si="2"/>
        <v>rtdc.l.rtdc.4016:itc</v>
      </c>
      <c r="G89" s="8">
        <f t="shared" si="3"/>
        <v>42593.499027777776</v>
      </c>
    </row>
    <row r="90" spans="1:7" x14ac:dyDescent="0.25">
      <c r="A90" s="8">
        <v>42593.503622685188</v>
      </c>
      <c r="B90" s="24" t="s">
        <v>614</v>
      </c>
      <c r="C90" s="24" t="s">
        <v>502</v>
      </c>
      <c r="D90" s="24">
        <v>2090000</v>
      </c>
      <c r="E90" s="24" t="s">
        <v>188</v>
      </c>
      <c r="F90" s="24" t="str">
        <f t="shared" si="2"/>
        <v>rtdc.l.rtdc.4021:itc</v>
      </c>
      <c r="G90" s="8">
        <f t="shared" si="3"/>
        <v>42593.503622685188</v>
      </c>
    </row>
    <row r="91" spans="1:7" x14ac:dyDescent="0.25">
      <c r="A91" s="8">
        <v>42593.503900462965</v>
      </c>
      <c r="B91" s="24" t="s">
        <v>99</v>
      </c>
      <c r="C91" s="24" t="s">
        <v>361</v>
      </c>
      <c r="D91" s="24">
        <v>1190000</v>
      </c>
      <c r="E91" s="24" t="s">
        <v>225</v>
      </c>
      <c r="F91" s="24" t="str">
        <f t="shared" si="2"/>
        <v>rtdc.l.rtdc.4030:itc</v>
      </c>
      <c r="G91" s="8">
        <f t="shared" si="3"/>
        <v>42593.503900462965</v>
      </c>
    </row>
    <row r="92" spans="1:7" x14ac:dyDescent="0.25">
      <c r="A92" s="8">
        <v>42593.506620370368</v>
      </c>
      <c r="B92" s="24" t="s">
        <v>95</v>
      </c>
      <c r="C92" s="24" t="s">
        <v>371</v>
      </c>
      <c r="D92" s="24">
        <v>2020000</v>
      </c>
      <c r="E92" s="24" t="s">
        <v>625</v>
      </c>
      <c r="F92" s="24" t="str">
        <f t="shared" si="2"/>
        <v>rtdc.l.rtdc.4026:itc</v>
      </c>
      <c r="G92" s="8">
        <f t="shared" si="3"/>
        <v>42593.506620370368</v>
      </c>
    </row>
    <row r="93" spans="1:7" x14ac:dyDescent="0.25">
      <c r="A93" s="8">
        <v>42593.513275462959</v>
      </c>
      <c r="B93" s="24" t="s">
        <v>613</v>
      </c>
      <c r="C93" s="24" t="s">
        <v>545</v>
      </c>
      <c r="D93" s="24">
        <v>2110000</v>
      </c>
      <c r="E93" s="24" t="s">
        <v>183</v>
      </c>
      <c r="F93" s="24" t="str">
        <f t="shared" si="2"/>
        <v>rtdc.l.rtdc.4042:itc</v>
      </c>
      <c r="G93" s="8">
        <f t="shared" si="3"/>
        <v>42593.513275462959</v>
      </c>
    </row>
    <row r="94" spans="1:7" x14ac:dyDescent="0.25">
      <c r="A94" s="8">
        <v>42593.515115740738</v>
      </c>
      <c r="B94" s="24" t="s">
        <v>129</v>
      </c>
      <c r="C94" s="24" t="s">
        <v>390</v>
      </c>
      <c r="D94" s="24">
        <v>2150000</v>
      </c>
      <c r="E94" s="24" t="s">
        <v>186</v>
      </c>
      <c r="F94" s="24" t="str">
        <f t="shared" si="2"/>
        <v>rtdc.l.rtdc.4014:itc</v>
      </c>
      <c r="G94" s="8">
        <f t="shared" si="3"/>
        <v>42593.515115740738</v>
      </c>
    </row>
    <row r="95" spans="1:7" x14ac:dyDescent="0.25">
      <c r="A95" s="8">
        <v>42593.515370370369</v>
      </c>
      <c r="B95" s="24" t="s">
        <v>127</v>
      </c>
      <c r="C95" s="24" t="s">
        <v>373</v>
      </c>
      <c r="D95" s="24">
        <v>1360000</v>
      </c>
      <c r="E95" s="24" t="s">
        <v>621</v>
      </c>
      <c r="F95" s="24" t="str">
        <f t="shared" si="2"/>
        <v>rtdc.l.rtdc.4012:itc</v>
      </c>
      <c r="G95" s="8">
        <f t="shared" si="3"/>
        <v>42593.515370370369</v>
      </c>
    </row>
    <row r="96" spans="1:7" x14ac:dyDescent="0.25">
      <c r="A96" s="8">
        <v>42593.516932870371</v>
      </c>
      <c r="B96" s="24" t="s">
        <v>129</v>
      </c>
      <c r="C96" s="24" t="s">
        <v>388</v>
      </c>
      <c r="D96" s="24">
        <v>2150000</v>
      </c>
      <c r="E96" s="24" t="s">
        <v>186</v>
      </c>
      <c r="F96" s="24" t="str">
        <f t="shared" si="2"/>
        <v>rtdc.l.rtdc.4014:itc</v>
      </c>
      <c r="G96" s="8">
        <f t="shared" si="3"/>
        <v>42593.516932870371</v>
      </c>
    </row>
    <row r="97" spans="1:7" x14ac:dyDescent="0.25">
      <c r="A97" s="8">
        <v>42593.519571759258</v>
      </c>
      <c r="B97" s="24" t="s">
        <v>132</v>
      </c>
      <c r="C97" s="24" t="s">
        <v>378</v>
      </c>
      <c r="D97" s="24">
        <v>1810000</v>
      </c>
      <c r="E97" s="24" t="s">
        <v>626</v>
      </c>
      <c r="F97" s="24" t="str">
        <f t="shared" si="2"/>
        <v>rtdc.l.rtdc.4032:itc</v>
      </c>
      <c r="G97" s="8">
        <f t="shared" si="3"/>
        <v>42593.519571759258</v>
      </c>
    </row>
    <row r="98" spans="1:7" x14ac:dyDescent="0.25">
      <c r="A98" s="8">
        <v>42593.526516203703</v>
      </c>
      <c r="B98" s="24" t="s">
        <v>615</v>
      </c>
      <c r="C98" s="24" t="s">
        <v>547</v>
      </c>
      <c r="D98" s="24">
        <v>2110000</v>
      </c>
      <c r="E98" s="24" t="s">
        <v>183</v>
      </c>
      <c r="F98" s="24" t="str">
        <f t="shared" si="2"/>
        <v>rtdc.l.rtdc.4041:itc</v>
      </c>
      <c r="G98" s="8">
        <f t="shared" si="3"/>
        <v>42593.526516203703</v>
      </c>
    </row>
    <row r="99" spans="1:7" x14ac:dyDescent="0.25">
      <c r="A99" s="8">
        <v>42593.529803240737</v>
      </c>
      <c r="B99" s="24" t="s">
        <v>623</v>
      </c>
      <c r="C99" s="24" t="s">
        <v>390</v>
      </c>
      <c r="D99" s="24">
        <v>1140000</v>
      </c>
      <c r="E99" s="24" t="s">
        <v>133</v>
      </c>
      <c r="F99" s="24" t="str">
        <f t="shared" si="2"/>
        <v>rtdc.l.rtdc.4038:itc</v>
      </c>
      <c r="G99" s="8">
        <f t="shared" si="3"/>
        <v>42593.529803240737</v>
      </c>
    </row>
    <row r="100" spans="1:7" x14ac:dyDescent="0.25">
      <c r="A100" s="8">
        <v>42593.530856481484</v>
      </c>
      <c r="B100" s="24" t="s">
        <v>117</v>
      </c>
      <c r="C100" s="24" t="s">
        <v>384</v>
      </c>
      <c r="D100" s="24">
        <v>2040000</v>
      </c>
      <c r="E100" s="24" t="s">
        <v>270</v>
      </c>
      <c r="F100" s="24" t="str">
        <f t="shared" si="2"/>
        <v>rtdc.l.rtdc.4015:itc</v>
      </c>
      <c r="G100" s="8">
        <f t="shared" si="3"/>
        <v>42593.530856481484</v>
      </c>
    </row>
    <row r="101" spans="1:7" x14ac:dyDescent="0.25">
      <c r="A101" s="8">
        <v>42593.531990740739</v>
      </c>
      <c r="B101" s="24" t="s">
        <v>117</v>
      </c>
      <c r="C101" s="24" t="s">
        <v>384</v>
      </c>
      <c r="D101" s="24">
        <v>2040000</v>
      </c>
      <c r="E101" s="24" t="s">
        <v>270</v>
      </c>
      <c r="F101" s="24" t="str">
        <f t="shared" si="2"/>
        <v>rtdc.l.rtdc.4015:itc</v>
      </c>
      <c r="G101" s="8">
        <f t="shared" si="3"/>
        <v>42593.531990740739</v>
      </c>
    </row>
    <row r="102" spans="1:7" x14ac:dyDescent="0.25">
      <c r="A102" s="8">
        <v>42593.535798611112</v>
      </c>
      <c r="B102" s="24" t="s">
        <v>614</v>
      </c>
      <c r="C102" s="24" t="s">
        <v>627</v>
      </c>
      <c r="D102" s="24">
        <v>1540000</v>
      </c>
      <c r="E102" s="24" t="s">
        <v>187</v>
      </c>
      <c r="F102" s="24" t="str">
        <f t="shared" si="2"/>
        <v>rtdc.l.rtdc.4021:itc</v>
      </c>
      <c r="G102" s="8">
        <f t="shared" si="3"/>
        <v>42593.535798611112</v>
      </c>
    </row>
    <row r="103" spans="1:7" x14ac:dyDescent="0.25">
      <c r="A103" s="8">
        <v>42593.539351851854</v>
      </c>
      <c r="B103" s="24" t="s">
        <v>97</v>
      </c>
      <c r="C103" s="24" t="s">
        <v>392</v>
      </c>
      <c r="D103" s="24">
        <v>2020000</v>
      </c>
      <c r="E103" s="24" t="s">
        <v>625</v>
      </c>
      <c r="F103" s="24" t="str">
        <f t="shared" si="2"/>
        <v>rtdc.l.rtdc.4025:itc</v>
      </c>
      <c r="G103" s="8">
        <f t="shared" si="3"/>
        <v>42593.539351851854</v>
      </c>
    </row>
    <row r="104" spans="1:7" x14ac:dyDescent="0.25">
      <c r="A104" s="8">
        <v>42593.548645833333</v>
      </c>
      <c r="B104" s="24" t="s">
        <v>613</v>
      </c>
      <c r="C104" s="24" t="s">
        <v>549</v>
      </c>
      <c r="D104" s="24">
        <v>1540000</v>
      </c>
      <c r="E104" s="24" t="s">
        <v>187</v>
      </c>
      <c r="F104" s="24" t="str">
        <f t="shared" si="2"/>
        <v>rtdc.l.rtdc.4042:itc</v>
      </c>
      <c r="G104" s="8">
        <f t="shared" si="3"/>
        <v>42593.548645833333</v>
      </c>
    </row>
    <row r="105" spans="1:7" x14ac:dyDescent="0.25">
      <c r="A105" s="8">
        <v>42593.549849537034</v>
      </c>
      <c r="B105" s="24" t="s">
        <v>96</v>
      </c>
      <c r="C105" s="24" t="s">
        <v>386</v>
      </c>
      <c r="D105" s="24">
        <v>2150000</v>
      </c>
      <c r="E105" s="24" t="s">
        <v>186</v>
      </c>
      <c r="F105" s="24" t="str">
        <f t="shared" si="2"/>
        <v>rtdc.l.rtdc.4013:itc</v>
      </c>
      <c r="G105" s="8">
        <f t="shared" si="3"/>
        <v>42593.549849537034</v>
      </c>
    </row>
    <row r="106" spans="1:7" x14ac:dyDescent="0.25">
      <c r="A106" s="8">
        <v>42593.550428240742</v>
      </c>
      <c r="B106" s="24" t="s">
        <v>131</v>
      </c>
      <c r="C106" s="24" t="s">
        <v>396</v>
      </c>
      <c r="D106" s="24">
        <v>1810000</v>
      </c>
      <c r="E106" s="24" t="s">
        <v>626</v>
      </c>
      <c r="F106" s="24" t="str">
        <f t="shared" si="2"/>
        <v>rtdc.l.rtdc.4031:itc</v>
      </c>
      <c r="G106" s="8">
        <f t="shared" si="3"/>
        <v>42593.550428240742</v>
      </c>
    </row>
    <row r="107" spans="1:7" x14ac:dyDescent="0.25">
      <c r="A107" s="8">
        <v>42593.563692129632</v>
      </c>
      <c r="B107" s="24" t="s">
        <v>118</v>
      </c>
      <c r="C107" s="24" t="s">
        <v>401</v>
      </c>
      <c r="D107" s="24">
        <v>2040000</v>
      </c>
      <c r="E107" s="24" t="s">
        <v>270</v>
      </c>
      <c r="F107" s="24" t="str">
        <f t="shared" si="2"/>
        <v>rtdc.l.rtdc.4016:itc</v>
      </c>
      <c r="G107" s="8">
        <f t="shared" si="3"/>
        <v>42593.563692129632</v>
      </c>
    </row>
    <row r="108" spans="1:7" x14ac:dyDescent="0.25">
      <c r="A108" s="8">
        <v>42593.572638888887</v>
      </c>
      <c r="B108" s="24" t="s">
        <v>269</v>
      </c>
      <c r="C108" s="24" t="s">
        <v>391</v>
      </c>
      <c r="D108" s="24">
        <v>1140000</v>
      </c>
      <c r="E108" s="24" t="s">
        <v>133</v>
      </c>
      <c r="F108" s="24" t="str">
        <f t="shared" si="2"/>
        <v>rtdc.l.rtdc.4037:itc</v>
      </c>
      <c r="G108" s="8">
        <f t="shared" si="3"/>
        <v>42593.572638888887</v>
      </c>
    </row>
    <row r="109" spans="1:7" x14ac:dyDescent="0.25">
      <c r="A109" s="8">
        <v>42593.58252314815</v>
      </c>
      <c r="B109" s="24" t="s">
        <v>129</v>
      </c>
      <c r="C109" s="24" t="s">
        <v>405</v>
      </c>
      <c r="D109" s="24">
        <v>2150000</v>
      </c>
      <c r="E109" s="24" t="s">
        <v>186</v>
      </c>
      <c r="F109" s="24" t="str">
        <f t="shared" si="2"/>
        <v>rtdc.l.rtdc.4014:itc</v>
      </c>
      <c r="G109" s="8">
        <f t="shared" si="3"/>
        <v>42593.58252314815</v>
      </c>
    </row>
    <row r="110" spans="1:7" x14ac:dyDescent="0.25">
      <c r="A110" s="8">
        <v>42593.582569444443</v>
      </c>
      <c r="B110" s="24" t="s">
        <v>95</v>
      </c>
      <c r="C110" s="24" t="s">
        <v>394</v>
      </c>
      <c r="D110" s="24">
        <v>2020000</v>
      </c>
      <c r="E110" s="24" t="s">
        <v>625</v>
      </c>
      <c r="F110" s="24" t="str">
        <f t="shared" si="2"/>
        <v>rtdc.l.rtdc.4026:itc</v>
      </c>
      <c r="G110" s="8">
        <f t="shared" si="3"/>
        <v>42593.582569444443</v>
      </c>
    </row>
    <row r="111" spans="1:7" x14ac:dyDescent="0.25">
      <c r="A111" s="8">
        <v>42593.587812500002</v>
      </c>
      <c r="B111" s="24" t="s">
        <v>132</v>
      </c>
      <c r="C111" s="24" t="s">
        <v>398</v>
      </c>
      <c r="D111" s="24">
        <v>1810000</v>
      </c>
      <c r="E111" s="24" t="s">
        <v>626</v>
      </c>
      <c r="F111" s="24" t="str">
        <f t="shared" si="2"/>
        <v>rtdc.l.rtdc.4032:itc</v>
      </c>
      <c r="G111" s="8">
        <f t="shared" si="3"/>
        <v>42593.587812500002</v>
      </c>
    </row>
    <row r="112" spans="1:7" x14ac:dyDescent="0.25">
      <c r="A112" s="8">
        <v>42593.591550925928</v>
      </c>
      <c r="B112" s="24" t="s">
        <v>613</v>
      </c>
      <c r="C112" s="24" t="s">
        <v>550</v>
      </c>
      <c r="D112" s="24">
        <v>1540000</v>
      </c>
      <c r="E112" s="24" t="s">
        <v>187</v>
      </c>
      <c r="F112" s="24" t="str">
        <f t="shared" si="2"/>
        <v>rtdc.l.rtdc.4042:itc</v>
      </c>
      <c r="G112" s="8">
        <f t="shared" si="3"/>
        <v>42593.591550925928</v>
      </c>
    </row>
    <row r="113" spans="1:7" x14ac:dyDescent="0.25">
      <c r="A113" s="8">
        <v>42593.594525462962</v>
      </c>
      <c r="B113" s="24" t="s">
        <v>117</v>
      </c>
      <c r="C113" s="24" t="s">
        <v>403</v>
      </c>
      <c r="D113" s="24">
        <v>2040000</v>
      </c>
      <c r="E113" s="24" t="s">
        <v>270</v>
      </c>
      <c r="F113" s="24" t="str">
        <f t="shared" si="2"/>
        <v>rtdc.l.rtdc.4015:itc</v>
      </c>
      <c r="G113" s="8">
        <f t="shared" si="3"/>
        <v>42593.594525462962</v>
      </c>
    </row>
    <row r="114" spans="1:7" x14ac:dyDescent="0.25">
      <c r="A114" s="8">
        <v>42593.600682870368</v>
      </c>
      <c r="B114" s="24" t="s">
        <v>623</v>
      </c>
      <c r="C114" s="24" t="s">
        <v>411</v>
      </c>
      <c r="D114" s="24">
        <v>1140000</v>
      </c>
      <c r="E114" s="24" t="s">
        <v>133</v>
      </c>
      <c r="F114" s="24" t="str">
        <f t="shared" si="2"/>
        <v>rtdc.l.rtdc.4038:itc</v>
      </c>
      <c r="G114" s="8">
        <f t="shared" si="3"/>
        <v>42593.600682870368</v>
      </c>
    </row>
    <row r="115" spans="1:7" x14ac:dyDescent="0.25">
      <c r="A115" s="8">
        <v>42593.610138888886</v>
      </c>
      <c r="B115" s="24" t="s">
        <v>615</v>
      </c>
      <c r="C115" s="24" t="s">
        <v>553</v>
      </c>
      <c r="D115" s="24">
        <v>1540000</v>
      </c>
      <c r="E115" s="24" t="s">
        <v>187</v>
      </c>
      <c r="F115" s="24" t="str">
        <f t="shared" si="2"/>
        <v>rtdc.l.rtdc.4041:itc</v>
      </c>
      <c r="G115" s="8">
        <f t="shared" si="3"/>
        <v>42593.610138888886</v>
      </c>
    </row>
    <row r="116" spans="1:7" x14ac:dyDescent="0.25">
      <c r="A116" s="8">
        <v>42593.610706018517</v>
      </c>
      <c r="B116" s="24" t="s">
        <v>96</v>
      </c>
      <c r="C116" s="24" t="s">
        <v>628</v>
      </c>
      <c r="D116" s="24">
        <v>2150000</v>
      </c>
      <c r="E116" s="24" t="s">
        <v>186</v>
      </c>
      <c r="F116" s="24" t="str">
        <f t="shared" si="2"/>
        <v>rtdc.l.rtdc.4013:itc</v>
      </c>
      <c r="G116" s="8">
        <f t="shared" si="3"/>
        <v>42593.610706018517</v>
      </c>
    </row>
    <row r="117" spans="1:7" x14ac:dyDescent="0.25">
      <c r="A117" s="8">
        <v>42593.611284722225</v>
      </c>
      <c r="B117" s="24" t="s">
        <v>96</v>
      </c>
      <c r="C117" s="24" t="s">
        <v>628</v>
      </c>
      <c r="D117" s="24">
        <v>2150000</v>
      </c>
      <c r="E117" s="24" t="s">
        <v>186</v>
      </c>
      <c r="F117" s="24" t="str">
        <f t="shared" si="2"/>
        <v>rtdc.l.rtdc.4013:itc</v>
      </c>
      <c r="G117" s="8">
        <f t="shared" si="3"/>
        <v>42593.611284722225</v>
      </c>
    </row>
    <row r="118" spans="1:7" x14ac:dyDescent="0.25">
      <c r="A118" s="8">
        <v>42593.611990740741</v>
      </c>
      <c r="B118" s="24" t="s">
        <v>97</v>
      </c>
      <c r="C118" s="24" t="s">
        <v>416</v>
      </c>
      <c r="D118" s="24">
        <v>2020000</v>
      </c>
      <c r="E118" s="24" t="s">
        <v>625</v>
      </c>
      <c r="F118" s="24" t="str">
        <f t="shared" si="2"/>
        <v>rtdc.l.rtdc.4025:itc</v>
      </c>
      <c r="G118" s="8">
        <f t="shared" si="3"/>
        <v>42593.611990740741</v>
      </c>
    </row>
    <row r="119" spans="1:7" x14ac:dyDescent="0.25">
      <c r="A119" s="8">
        <v>42593.614351851851</v>
      </c>
      <c r="B119" s="24" t="s">
        <v>96</v>
      </c>
      <c r="C119" s="24" t="s">
        <v>628</v>
      </c>
      <c r="D119" s="24">
        <v>2150000</v>
      </c>
      <c r="E119" s="24" t="s">
        <v>186</v>
      </c>
      <c r="F119" s="24" t="str">
        <f t="shared" si="2"/>
        <v>rtdc.l.rtdc.4013:itc</v>
      </c>
      <c r="G119" s="8">
        <f t="shared" si="3"/>
        <v>42593.614351851851</v>
      </c>
    </row>
    <row r="120" spans="1:7" x14ac:dyDescent="0.25">
      <c r="A120" s="8">
        <v>42593.615081018521</v>
      </c>
      <c r="B120" s="24" t="s">
        <v>96</v>
      </c>
      <c r="C120" s="24" t="s">
        <v>628</v>
      </c>
      <c r="D120" s="24">
        <v>2150000</v>
      </c>
      <c r="E120" s="24" t="s">
        <v>186</v>
      </c>
      <c r="F120" s="24" t="str">
        <f t="shared" si="2"/>
        <v>rtdc.l.rtdc.4013:itc</v>
      </c>
      <c r="G120" s="8">
        <f t="shared" si="3"/>
        <v>42593.615081018521</v>
      </c>
    </row>
    <row r="121" spans="1:7" x14ac:dyDescent="0.25">
      <c r="A121" s="8">
        <v>42593.619062500002</v>
      </c>
      <c r="B121" s="24" t="s">
        <v>131</v>
      </c>
      <c r="C121" s="24" t="s">
        <v>420</v>
      </c>
      <c r="D121" s="24">
        <v>1810000</v>
      </c>
      <c r="E121" s="24" t="s">
        <v>626</v>
      </c>
      <c r="F121" s="24" t="str">
        <f t="shared" si="2"/>
        <v>rtdc.l.rtdc.4031:itc</v>
      </c>
      <c r="G121" s="8">
        <f t="shared" si="3"/>
        <v>42593.619062500002</v>
      </c>
    </row>
    <row r="122" spans="1:7" x14ac:dyDescent="0.25">
      <c r="A122" s="8">
        <v>42593.620150462964</v>
      </c>
      <c r="B122" s="29" t="s">
        <v>131</v>
      </c>
      <c r="C122" s="24" t="s">
        <v>420</v>
      </c>
      <c r="D122" s="24">
        <v>1810000</v>
      </c>
      <c r="E122" s="24" t="s">
        <v>626</v>
      </c>
      <c r="F122" s="24" t="str">
        <f t="shared" si="2"/>
        <v>rtdc.l.rtdc.4031:itc</v>
      </c>
      <c r="G122" s="8">
        <f t="shared" si="3"/>
        <v>42593.620150462964</v>
      </c>
    </row>
    <row r="123" spans="1:7" x14ac:dyDescent="0.25">
      <c r="A123" s="8">
        <v>42593.62945601852</v>
      </c>
      <c r="B123" s="24" t="s">
        <v>269</v>
      </c>
      <c r="C123" s="24" t="s">
        <v>407</v>
      </c>
      <c r="D123" s="24">
        <v>1140000</v>
      </c>
      <c r="E123" s="24" t="s">
        <v>133</v>
      </c>
      <c r="F123" s="24" t="str">
        <f t="shared" si="2"/>
        <v>rtdc.l.rtdc.4037:itc</v>
      </c>
      <c r="G123" s="8">
        <f t="shared" si="3"/>
        <v>42593.62945601852</v>
      </c>
    </row>
    <row r="124" spans="1:7" x14ac:dyDescent="0.25">
      <c r="A124" s="8">
        <v>42593.634814814817</v>
      </c>
      <c r="B124" s="24" t="s">
        <v>118</v>
      </c>
      <c r="C124" s="24" t="s">
        <v>425</v>
      </c>
      <c r="D124" s="24">
        <v>2040000</v>
      </c>
      <c r="E124" s="24" t="s">
        <v>270</v>
      </c>
      <c r="F124" s="24" t="str">
        <f t="shared" si="2"/>
        <v>rtdc.l.rtdc.4016:itc</v>
      </c>
      <c r="G124" s="8">
        <f t="shared" si="3"/>
        <v>42593.634814814817</v>
      </c>
    </row>
    <row r="125" spans="1:7" x14ac:dyDescent="0.25">
      <c r="A125" s="8">
        <v>42593.634942129633</v>
      </c>
      <c r="B125" s="24" t="s">
        <v>616</v>
      </c>
      <c r="C125" s="24" t="s">
        <v>604</v>
      </c>
      <c r="D125" s="24">
        <v>2140000</v>
      </c>
      <c r="E125" s="24" t="s">
        <v>227</v>
      </c>
      <c r="F125" s="24" t="str">
        <f t="shared" si="2"/>
        <v>rtdc.l.rtdc.4004:itc</v>
      </c>
      <c r="G125" s="8">
        <f t="shared" si="3"/>
        <v>42593.634942129633</v>
      </c>
    </row>
    <row r="126" spans="1:7" x14ac:dyDescent="0.25">
      <c r="A126" s="8">
        <v>42593.637928240743</v>
      </c>
      <c r="B126" s="24" t="s">
        <v>613</v>
      </c>
      <c r="C126" s="24" t="s">
        <v>556</v>
      </c>
      <c r="D126" s="24">
        <v>1540000</v>
      </c>
      <c r="E126" s="24" t="s">
        <v>187</v>
      </c>
      <c r="F126" s="24" t="str">
        <f t="shared" si="2"/>
        <v>rtdc.l.rtdc.4042:itc</v>
      </c>
      <c r="G126" s="8">
        <f t="shared" si="3"/>
        <v>42593.637928240743</v>
      </c>
    </row>
    <row r="127" spans="1:7" x14ac:dyDescent="0.25">
      <c r="A127" s="8">
        <v>42593.639849537038</v>
      </c>
      <c r="B127" s="24" t="s">
        <v>95</v>
      </c>
      <c r="C127" s="24" t="s">
        <v>409</v>
      </c>
      <c r="D127" s="24">
        <v>2020000</v>
      </c>
      <c r="E127" s="24" t="s">
        <v>625</v>
      </c>
      <c r="F127" s="24" t="str">
        <f t="shared" si="2"/>
        <v>rtdc.l.rtdc.4026:itc</v>
      </c>
      <c r="G127" s="8">
        <f t="shared" si="3"/>
        <v>42593.639849537038</v>
      </c>
    </row>
    <row r="128" spans="1:7" x14ac:dyDescent="0.25">
      <c r="A128" s="8">
        <v>42593.643472222226</v>
      </c>
      <c r="B128" s="24" t="s">
        <v>95</v>
      </c>
      <c r="C128" s="24" t="s">
        <v>409</v>
      </c>
      <c r="D128" s="24">
        <v>2020000</v>
      </c>
      <c r="E128" s="24" t="s">
        <v>625</v>
      </c>
      <c r="F128" s="24" t="str">
        <f t="shared" si="2"/>
        <v>rtdc.l.rtdc.4026:itc</v>
      </c>
      <c r="G128" s="8">
        <f t="shared" si="3"/>
        <v>42593.643472222226</v>
      </c>
    </row>
    <row r="129" spans="1:7" x14ac:dyDescent="0.25">
      <c r="A129" s="8">
        <v>42593.643865740742</v>
      </c>
      <c r="B129" s="24" t="s">
        <v>129</v>
      </c>
      <c r="C129" s="24" t="s">
        <v>426</v>
      </c>
      <c r="D129" s="24">
        <v>2150000</v>
      </c>
      <c r="E129" s="24" t="s">
        <v>186</v>
      </c>
      <c r="F129" s="24" t="str">
        <f t="shared" si="2"/>
        <v>rtdc.l.rtdc.4014:itc</v>
      </c>
      <c r="G129" s="8">
        <f t="shared" si="3"/>
        <v>42593.643865740742</v>
      </c>
    </row>
    <row r="130" spans="1:7" x14ac:dyDescent="0.25">
      <c r="A130" s="8">
        <v>42593.647199074076</v>
      </c>
      <c r="B130" s="24" t="s">
        <v>132</v>
      </c>
      <c r="C130" s="24" t="s">
        <v>423</v>
      </c>
      <c r="D130" s="24">
        <v>1810000</v>
      </c>
      <c r="E130" s="24" t="s">
        <v>626</v>
      </c>
      <c r="F130" s="24" t="str">
        <f t="shared" ref="F130:F193" si="4">B130</f>
        <v>rtdc.l.rtdc.4032:itc</v>
      </c>
      <c r="G130" s="8">
        <f t="shared" ref="G130:G193" si="5">A130</f>
        <v>42593.647199074076</v>
      </c>
    </row>
    <row r="131" spans="1:7" x14ac:dyDescent="0.25">
      <c r="A131" s="8">
        <v>42593.65047453704</v>
      </c>
      <c r="B131" s="24" t="s">
        <v>132</v>
      </c>
      <c r="C131" s="24" t="s">
        <v>413</v>
      </c>
      <c r="D131" s="24">
        <v>1810000</v>
      </c>
      <c r="E131" s="24" t="s">
        <v>626</v>
      </c>
      <c r="F131" s="24" t="str">
        <f t="shared" si="4"/>
        <v>rtdc.l.rtdc.4032:itc</v>
      </c>
      <c r="G131" s="8">
        <f t="shared" si="5"/>
        <v>42593.65047453704</v>
      </c>
    </row>
    <row r="132" spans="1:7" x14ac:dyDescent="0.25">
      <c r="A132" s="8">
        <v>42593.651087962964</v>
      </c>
      <c r="B132" s="24" t="s">
        <v>615</v>
      </c>
      <c r="C132" s="24" t="s">
        <v>559</v>
      </c>
      <c r="D132" s="24">
        <v>1540000</v>
      </c>
      <c r="E132" s="24" t="s">
        <v>187</v>
      </c>
      <c r="F132" s="24" t="str">
        <f t="shared" si="4"/>
        <v>rtdc.l.rtdc.4041:itc</v>
      </c>
      <c r="G132" s="8">
        <f t="shared" si="5"/>
        <v>42593.651087962964</v>
      </c>
    </row>
    <row r="133" spans="1:7" x14ac:dyDescent="0.25">
      <c r="A133" s="8">
        <v>42593.655775462961</v>
      </c>
      <c r="B133" s="24" t="s">
        <v>624</v>
      </c>
      <c r="C133" s="24" t="s">
        <v>561</v>
      </c>
      <c r="D133" s="24">
        <v>1830000</v>
      </c>
      <c r="E133" s="24" t="s">
        <v>622</v>
      </c>
      <c r="F133" s="24" t="str">
        <f t="shared" si="4"/>
        <v>rtdc.l.rtdc.4003:itc</v>
      </c>
      <c r="G133" s="8">
        <f t="shared" si="5"/>
        <v>42593.655775462961</v>
      </c>
    </row>
    <row r="134" spans="1:7" x14ac:dyDescent="0.25">
      <c r="A134" s="8">
        <v>42593.656342592592</v>
      </c>
      <c r="B134" s="24" t="s">
        <v>623</v>
      </c>
      <c r="C134" s="24" t="s">
        <v>430</v>
      </c>
      <c r="D134" s="24">
        <v>1140000</v>
      </c>
      <c r="E134" s="24" t="s">
        <v>133</v>
      </c>
      <c r="F134" s="24" t="str">
        <f t="shared" si="4"/>
        <v>rtdc.l.rtdc.4038:itc</v>
      </c>
      <c r="G134" s="8">
        <f t="shared" si="5"/>
        <v>42593.656342592592</v>
      </c>
    </row>
    <row r="135" spans="1:7" x14ac:dyDescent="0.25">
      <c r="A135" s="8">
        <v>42593.662488425929</v>
      </c>
      <c r="B135" s="24" t="s">
        <v>117</v>
      </c>
      <c r="C135" s="24" t="s">
        <v>418</v>
      </c>
      <c r="D135" s="24">
        <v>2040000</v>
      </c>
      <c r="E135" s="24" t="s">
        <v>270</v>
      </c>
      <c r="F135" s="24" t="str">
        <f t="shared" si="4"/>
        <v>rtdc.l.rtdc.4015:itc</v>
      </c>
      <c r="G135" s="8">
        <f t="shared" si="5"/>
        <v>42593.662488425929</v>
      </c>
    </row>
    <row r="136" spans="1:7" x14ac:dyDescent="0.25">
      <c r="A136" s="8">
        <v>42593.666585648149</v>
      </c>
      <c r="B136" s="24" t="s">
        <v>97</v>
      </c>
      <c r="C136" s="24" t="s">
        <v>435</v>
      </c>
      <c r="D136" s="24">
        <v>2020000</v>
      </c>
      <c r="E136" s="24" t="s">
        <v>625</v>
      </c>
      <c r="F136" s="24" t="str">
        <f t="shared" si="4"/>
        <v>rtdc.l.rtdc.4025:itc</v>
      </c>
      <c r="G136" s="8">
        <f t="shared" si="5"/>
        <v>42593.666585648149</v>
      </c>
    </row>
    <row r="137" spans="1:7" x14ac:dyDescent="0.25">
      <c r="A137" s="8">
        <v>42593.669537037036</v>
      </c>
      <c r="B137" s="24" t="s">
        <v>96</v>
      </c>
      <c r="C137" s="24" t="s">
        <v>367</v>
      </c>
      <c r="D137" s="24">
        <v>2150000</v>
      </c>
      <c r="E137" s="24" t="s">
        <v>186</v>
      </c>
      <c r="F137" s="24" t="str">
        <f t="shared" si="4"/>
        <v>rtdc.l.rtdc.4013:itc</v>
      </c>
      <c r="G137" s="8">
        <f t="shared" si="5"/>
        <v>42593.669537037036</v>
      </c>
    </row>
    <row r="138" spans="1:7" x14ac:dyDescent="0.25">
      <c r="A138" s="8">
        <v>42593.671990740739</v>
      </c>
      <c r="B138" s="24" t="s">
        <v>616</v>
      </c>
      <c r="C138" s="24" t="s">
        <v>563</v>
      </c>
      <c r="D138" s="24">
        <v>2140000</v>
      </c>
      <c r="E138" s="24" t="s">
        <v>227</v>
      </c>
      <c r="F138" s="24" t="str">
        <f t="shared" si="4"/>
        <v>rtdc.l.rtdc.4004:itc</v>
      </c>
      <c r="G138" s="8">
        <f t="shared" si="5"/>
        <v>42593.671990740739</v>
      </c>
    </row>
    <row r="139" spans="1:7" x14ac:dyDescent="0.25">
      <c r="A139" s="8">
        <v>42593.673773148148</v>
      </c>
      <c r="B139" s="24" t="s">
        <v>131</v>
      </c>
      <c r="C139" s="24" t="s">
        <v>437</v>
      </c>
      <c r="D139" s="24">
        <v>1810000</v>
      </c>
      <c r="E139" s="24" t="s">
        <v>626</v>
      </c>
      <c r="F139" s="24" t="str">
        <f t="shared" si="4"/>
        <v>rtdc.l.rtdc.4031:itc</v>
      </c>
      <c r="G139" s="8">
        <f t="shared" si="5"/>
        <v>42593.673773148148</v>
      </c>
    </row>
    <row r="140" spans="1:7" x14ac:dyDescent="0.25">
      <c r="A140" s="8">
        <v>42593.675810185188</v>
      </c>
      <c r="B140" s="24" t="s">
        <v>131</v>
      </c>
      <c r="C140" s="24" t="s">
        <v>437</v>
      </c>
      <c r="D140" s="24">
        <v>1810000</v>
      </c>
      <c r="E140" s="24" t="s">
        <v>626</v>
      </c>
      <c r="F140" s="24" t="str">
        <f t="shared" si="4"/>
        <v>rtdc.l.rtdc.4031:itc</v>
      </c>
      <c r="G140" s="8">
        <f t="shared" si="5"/>
        <v>42593.675810185188</v>
      </c>
    </row>
    <row r="141" spans="1:7" x14ac:dyDescent="0.25">
      <c r="A141" s="8">
        <v>42593.678437499999</v>
      </c>
      <c r="B141" s="24" t="s">
        <v>613</v>
      </c>
      <c r="C141" s="24" t="s">
        <v>564</v>
      </c>
      <c r="D141" s="24">
        <v>1540000</v>
      </c>
      <c r="E141" s="24" t="s">
        <v>187</v>
      </c>
      <c r="F141" s="24" t="str">
        <f t="shared" si="4"/>
        <v>rtdc.l.rtdc.4042:itc</v>
      </c>
      <c r="G141" s="8">
        <f t="shared" si="5"/>
        <v>42593.678437499999</v>
      </c>
    </row>
    <row r="142" spans="1:7" x14ac:dyDescent="0.25">
      <c r="A142" s="8">
        <v>42593.680810185186</v>
      </c>
      <c r="B142" s="24" t="s">
        <v>269</v>
      </c>
      <c r="C142" s="24" t="s">
        <v>432</v>
      </c>
      <c r="D142" s="24">
        <v>1140000</v>
      </c>
      <c r="E142" s="24" t="s">
        <v>133</v>
      </c>
      <c r="F142" s="24" t="str">
        <f t="shared" si="4"/>
        <v>rtdc.l.rtdc.4037:itc</v>
      </c>
      <c r="G142" s="8">
        <f t="shared" si="5"/>
        <v>42593.680810185186</v>
      </c>
    </row>
    <row r="143" spans="1:7" x14ac:dyDescent="0.25">
      <c r="A143" s="8">
        <v>42593.68650462963</v>
      </c>
      <c r="B143" s="24" t="s">
        <v>118</v>
      </c>
      <c r="C143" s="24" t="s">
        <v>440</v>
      </c>
      <c r="D143" s="24">
        <v>2040000</v>
      </c>
      <c r="E143" s="24" t="s">
        <v>270</v>
      </c>
      <c r="F143" s="24" t="str">
        <f t="shared" si="4"/>
        <v>rtdc.l.rtdc.4016:itc</v>
      </c>
      <c r="G143" s="8">
        <f t="shared" si="5"/>
        <v>42593.68650462963</v>
      </c>
    </row>
    <row r="144" spans="1:7" x14ac:dyDescent="0.25">
      <c r="A144" s="8">
        <v>42593.691354166665</v>
      </c>
      <c r="B144" s="24" t="s">
        <v>95</v>
      </c>
      <c r="C144" s="24" t="s">
        <v>428</v>
      </c>
      <c r="D144" s="24">
        <v>2020000</v>
      </c>
      <c r="E144" s="24" t="s">
        <v>625</v>
      </c>
      <c r="F144" s="24" t="str">
        <f t="shared" si="4"/>
        <v>rtdc.l.rtdc.4026:itc</v>
      </c>
      <c r="G144" s="8">
        <f t="shared" si="5"/>
        <v>42593.691354166665</v>
      </c>
    </row>
    <row r="145" spans="1:7" x14ac:dyDescent="0.25">
      <c r="A145" s="8">
        <v>42593.692314814813</v>
      </c>
      <c r="B145" s="24" t="s">
        <v>615</v>
      </c>
      <c r="C145" s="24" t="s">
        <v>567</v>
      </c>
      <c r="D145" s="24">
        <v>1540000</v>
      </c>
      <c r="E145" s="24" t="s">
        <v>187</v>
      </c>
      <c r="F145" s="24" t="str">
        <f t="shared" si="4"/>
        <v>rtdc.l.rtdc.4041:itc</v>
      </c>
      <c r="G145" s="8">
        <f t="shared" si="5"/>
        <v>42593.692314814813</v>
      </c>
    </row>
    <row r="146" spans="1:7" x14ac:dyDescent="0.25">
      <c r="A146" s="8">
        <v>42593.695717592593</v>
      </c>
      <c r="B146" s="24" t="s">
        <v>129</v>
      </c>
      <c r="C146" s="24" t="s">
        <v>444</v>
      </c>
      <c r="D146" s="24">
        <v>2150000</v>
      </c>
      <c r="E146" s="24" t="s">
        <v>186</v>
      </c>
      <c r="F146" s="24" t="str">
        <f t="shared" si="4"/>
        <v>rtdc.l.rtdc.4014:itc</v>
      </c>
      <c r="G146" s="8">
        <f t="shared" si="5"/>
        <v>42593.695717592593</v>
      </c>
    </row>
    <row r="147" spans="1:7" x14ac:dyDescent="0.25">
      <c r="A147" s="8">
        <v>42593.697974537034</v>
      </c>
      <c r="B147" s="24" t="s">
        <v>624</v>
      </c>
      <c r="C147" s="24" t="s">
        <v>569</v>
      </c>
      <c r="D147" s="24">
        <v>1830000</v>
      </c>
      <c r="E147" s="24" t="s">
        <v>622</v>
      </c>
      <c r="F147" s="24" t="str">
        <f t="shared" si="4"/>
        <v>rtdc.l.rtdc.4003:itc</v>
      </c>
      <c r="G147" s="8">
        <f t="shared" si="5"/>
        <v>42593.697974537034</v>
      </c>
    </row>
    <row r="148" spans="1:7" x14ac:dyDescent="0.25">
      <c r="A148" s="8">
        <v>42593.705138888887</v>
      </c>
      <c r="B148" s="24" t="s">
        <v>98</v>
      </c>
      <c r="C148" s="24" t="s">
        <v>447</v>
      </c>
      <c r="D148" s="24">
        <v>910000</v>
      </c>
      <c r="E148" s="24" t="s">
        <v>629</v>
      </c>
      <c r="F148" s="24" t="str">
        <f t="shared" si="4"/>
        <v>rtdc.l.rtdc.4029:itc</v>
      </c>
      <c r="G148" s="8">
        <f t="shared" si="5"/>
        <v>42593.705138888887</v>
      </c>
    </row>
    <row r="149" spans="1:7" x14ac:dyDescent="0.25">
      <c r="A149" s="8">
        <v>42593.714178240742</v>
      </c>
      <c r="B149" s="24" t="s">
        <v>616</v>
      </c>
      <c r="C149" s="24" t="s">
        <v>572</v>
      </c>
      <c r="D149" s="24">
        <v>2140000</v>
      </c>
      <c r="E149" s="24" t="s">
        <v>227</v>
      </c>
      <c r="F149" s="24" t="str">
        <f t="shared" si="4"/>
        <v>rtdc.l.rtdc.4004:itc</v>
      </c>
      <c r="G149" s="8">
        <f t="shared" si="5"/>
        <v>42593.714178240742</v>
      </c>
    </row>
    <row r="150" spans="1:7" x14ac:dyDescent="0.25">
      <c r="A150" s="8">
        <v>42593.71607638889</v>
      </c>
      <c r="B150" s="24" t="s">
        <v>100</v>
      </c>
      <c r="C150" s="24" t="s">
        <v>449</v>
      </c>
      <c r="D150" s="24">
        <v>2000000</v>
      </c>
      <c r="E150" s="24" t="s">
        <v>268</v>
      </c>
      <c r="F150" s="24" t="str">
        <f t="shared" si="4"/>
        <v>rtdc.l.rtdc.4027:itc</v>
      </c>
      <c r="G150" s="8">
        <f t="shared" si="5"/>
        <v>42593.71607638889</v>
      </c>
    </row>
    <row r="151" spans="1:7" x14ac:dyDescent="0.25">
      <c r="A151" s="8">
        <v>42593.717442129629</v>
      </c>
      <c r="B151" s="24" t="s">
        <v>613</v>
      </c>
      <c r="C151" s="24" t="s">
        <v>574</v>
      </c>
      <c r="D151" s="24">
        <v>1540000</v>
      </c>
      <c r="E151" s="24" t="s">
        <v>187</v>
      </c>
      <c r="F151" s="24" t="str">
        <f t="shared" si="4"/>
        <v>rtdc.l.rtdc.4042:itc</v>
      </c>
      <c r="G151" s="8">
        <f t="shared" si="5"/>
        <v>42593.717442129629</v>
      </c>
    </row>
    <row r="152" spans="1:7" x14ac:dyDescent="0.25">
      <c r="A152" s="8">
        <v>42593.719965277778</v>
      </c>
      <c r="B152" s="24" t="s">
        <v>623</v>
      </c>
      <c r="C152" s="24" t="s">
        <v>451</v>
      </c>
      <c r="D152" s="24">
        <v>1140000</v>
      </c>
      <c r="E152" s="24" t="s">
        <v>133</v>
      </c>
      <c r="F152" s="24" t="str">
        <f t="shared" si="4"/>
        <v>rtdc.l.rtdc.4038:itc</v>
      </c>
      <c r="G152" s="8">
        <f t="shared" si="5"/>
        <v>42593.719965277778</v>
      </c>
    </row>
    <row r="153" spans="1:7" x14ac:dyDescent="0.25">
      <c r="A153" s="8">
        <v>42593.725671296299</v>
      </c>
      <c r="B153" s="24" t="s">
        <v>117</v>
      </c>
      <c r="C153" s="24" t="s">
        <v>442</v>
      </c>
      <c r="D153" s="24">
        <v>2040000</v>
      </c>
      <c r="E153" s="24" t="s">
        <v>270</v>
      </c>
      <c r="F153" s="24" t="str">
        <f t="shared" si="4"/>
        <v>rtdc.l.rtdc.4015:itc</v>
      </c>
      <c r="G153" s="8">
        <f t="shared" si="5"/>
        <v>42593.725671296299</v>
      </c>
    </row>
    <row r="154" spans="1:7" x14ac:dyDescent="0.25">
      <c r="A154" s="8">
        <v>42593.733587962961</v>
      </c>
      <c r="B154" s="24" t="s">
        <v>96</v>
      </c>
      <c r="C154" s="24" t="s">
        <v>446</v>
      </c>
      <c r="D154" s="24">
        <v>2150000</v>
      </c>
      <c r="E154" s="24" t="s">
        <v>186</v>
      </c>
      <c r="F154" s="24" t="str">
        <f t="shared" si="4"/>
        <v>rtdc.l.rtdc.4013:itc</v>
      </c>
      <c r="G154" s="8">
        <f t="shared" si="5"/>
        <v>42593.733587962961</v>
      </c>
    </row>
    <row r="155" spans="1:7" x14ac:dyDescent="0.25">
      <c r="A155" s="8">
        <v>42593.73542824074</v>
      </c>
      <c r="B155" s="24" t="s">
        <v>97</v>
      </c>
      <c r="C155" s="24" t="s">
        <v>455</v>
      </c>
      <c r="D155" s="24">
        <v>1290000</v>
      </c>
      <c r="E155" s="24" t="s">
        <v>125</v>
      </c>
      <c r="F155" s="24" t="str">
        <f t="shared" si="4"/>
        <v>rtdc.l.rtdc.4025:itc</v>
      </c>
      <c r="G155" s="8">
        <f t="shared" si="5"/>
        <v>42593.73542824074</v>
      </c>
    </row>
    <row r="156" spans="1:7" x14ac:dyDescent="0.25">
      <c r="A156" s="8">
        <v>42593.738518518519</v>
      </c>
      <c r="B156" s="24" t="s">
        <v>615</v>
      </c>
      <c r="C156" s="24" t="s">
        <v>576</v>
      </c>
      <c r="D156" s="24">
        <v>1540000</v>
      </c>
      <c r="E156" s="24" t="s">
        <v>187</v>
      </c>
      <c r="F156" s="24" t="str">
        <f t="shared" si="4"/>
        <v>rtdc.l.rtdc.4041:itc</v>
      </c>
      <c r="G156" s="8">
        <f t="shared" si="5"/>
        <v>42593.738518518519</v>
      </c>
    </row>
    <row r="157" spans="1:7" x14ac:dyDescent="0.25">
      <c r="A157" s="8">
        <v>42593.740266203706</v>
      </c>
      <c r="B157" s="24" t="s">
        <v>624</v>
      </c>
      <c r="C157" s="24" t="s">
        <v>578</v>
      </c>
      <c r="D157" s="24">
        <v>1830000</v>
      </c>
      <c r="E157" s="24" t="s">
        <v>622</v>
      </c>
      <c r="F157" s="24" t="str">
        <f t="shared" si="4"/>
        <v>rtdc.l.rtdc.4003:itc</v>
      </c>
      <c r="G157" s="8">
        <f t="shared" si="5"/>
        <v>42593.740266203706</v>
      </c>
    </row>
    <row r="158" spans="1:7" x14ac:dyDescent="0.25">
      <c r="A158" s="8">
        <v>42593.743425925924</v>
      </c>
      <c r="B158" s="24" t="s">
        <v>131</v>
      </c>
      <c r="C158" s="24" t="s">
        <v>458</v>
      </c>
      <c r="D158" s="24">
        <v>950000</v>
      </c>
      <c r="E158" s="24" t="s">
        <v>630</v>
      </c>
      <c r="F158" s="24" t="str">
        <f t="shared" si="4"/>
        <v>rtdc.l.rtdc.4031:itc</v>
      </c>
      <c r="G158" s="8">
        <f t="shared" si="5"/>
        <v>42593.743425925924</v>
      </c>
    </row>
    <row r="159" spans="1:7" x14ac:dyDescent="0.25">
      <c r="A159" s="8">
        <v>42593.74490740741</v>
      </c>
      <c r="B159" s="24" t="s">
        <v>131</v>
      </c>
      <c r="C159" s="24" t="s">
        <v>458</v>
      </c>
      <c r="D159" s="24">
        <v>950000</v>
      </c>
      <c r="E159" s="24" t="s">
        <v>630</v>
      </c>
      <c r="F159" s="24" t="str">
        <f t="shared" si="4"/>
        <v>rtdc.l.rtdc.4031:itc</v>
      </c>
      <c r="G159" s="8">
        <f t="shared" si="5"/>
        <v>42593.74490740741</v>
      </c>
    </row>
    <row r="160" spans="1:7" x14ac:dyDescent="0.25">
      <c r="A160" s="8">
        <v>42593.752303240741</v>
      </c>
      <c r="B160" s="24" t="s">
        <v>99</v>
      </c>
      <c r="C160" s="24" t="s">
        <v>631</v>
      </c>
      <c r="D160" s="24">
        <v>910000</v>
      </c>
      <c r="E160" s="24" t="s">
        <v>629</v>
      </c>
      <c r="F160" s="24" t="str">
        <f t="shared" si="4"/>
        <v>rtdc.l.rtdc.4030:itc</v>
      </c>
      <c r="G160" s="8">
        <f t="shared" si="5"/>
        <v>42593.752303240741</v>
      </c>
    </row>
    <row r="161" spans="1:7" x14ac:dyDescent="0.25">
      <c r="A161" s="8">
        <v>42593.753240740742</v>
      </c>
      <c r="B161" s="24" t="s">
        <v>99</v>
      </c>
      <c r="C161" s="24" t="s">
        <v>631</v>
      </c>
      <c r="D161" s="24">
        <v>910000</v>
      </c>
      <c r="E161" s="24" t="s">
        <v>629</v>
      </c>
      <c r="F161" s="24" t="str">
        <f t="shared" si="4"/>
        <v>rtdc.l.rtdc.4030:itc</v>
      </c>
      <c r="G161" s="8">
        <f t="shared" si="5"/>
        <v>42593.753240740742</v>
      </c>
    </row>
    <row r="162" spans="1:7" x14ac:dyDescent="0.25">
      <c r="A162" s="8">
        <v>42593.753993055558</v>
      </c>
      <c r="B162" s="24" t="s">
        <v>616</v>
      </c>
      <c r="C162" s="24" t="s">
        <v>579</v>
      </c>
      <c r="D162" s="24">
        <v>2140000</v>
      </c>
      <c r="E162" s="24" t="s">
        <v>227</v>
      </c>
      <c r="F162" s="24" t="str">
        <f t="shared" si="4"/>
        <v>rtdc.l.rtdc.4004:itc</v>
      </c>
      <c r="G162" s="8">
        <f t="shared" si="5"/>
        <v>42593.753993055558</v>
      </c>
    </row>
    <row r="163" spans="1:7" x14ac:dyDescent="0.25">
      <c r="A163" s="8">
        <v>42593.754444444443</v>
      </c>
      <c r="B163" s="24" t="s">
        <v>99</v>
      </c>
      <c r="C163" s="24" t="s">
        <v>631</v>
      </c>
      <c r="D163" s="24">
        <v>910000</v>
      </c>
      <c r="E163" s="24" t="s">
        <v>629</v>
      </c>
      <c r="F163" s="24" t="str">
        <f t="shared" si="4"/>
        <v>rtdc.l.rtdc.4030:itc</v>
      </c>
      <c r="G163" s="8">
        <f t="shared" si="5"/>
        <v>42593.754444444443</v>
      </c>
    </row>
    <row r="164" spans="1:7" x14ac:dyDescent="0.25">
      <c r="A164" s="8">
        <v>42593.755428240744</v>
      </c>
      <c r="B164" s="24" t="s">
        <v>99</v>
      </c>
      <c r="C164" s="24" t="s">
        <v>631</v>
      </c>
      <c r="D164" s="24">
        <v>910000</v>
      </c>
      <c r="E164" s="24" t="s">
        <v>629</v>
      </c>
      <c r="F164" s="24" t="str">
        <f t="shared" si="4"/>
        <v>rtdc.l.rtdc.4030:itc</v>
      </c>
      <c r="G164" s="8">
        <f t="shared" si="5"/>
        <v>42593.755428240744</v>
      </c>
    </row>
    <row r="165" spans="1:7" x14ac:dyDescent="0.25">
      <c r="A165" s="8">
        <v>42593.755868055552</v>
      </c>
      <c r="B165" s="24" t="s">
        <v>613</v>
      </c>
      <c r="C165" s="24" t="s">
        <v>582</v>
      </c>
      <c r="D165" s="24">
        <v>1540000</v>
      </c>
      <c r="E165" s="24" t="s">
        <v>187</v>
      </c>
      <c r="F165" s="24" t="str">
        <f t="shared" si="4"/>
        <v>rtdc.l.rtdc.4042:itc</v>
      </c>
      <c r="G165" s="8">
        <f t="shared" si="5"/>
        <v>42593.755868055552</v>
      </c>
    </row>
    <row r="166" spans="1:7" x14ac:dyDescent="0.25">
      <c r="A166" s="8">
        <v>42593.762523148151</v>
      </c>
      <c r="B166" s="24" t="s">
        <v>118</v>
      </c>
      <c r="C166" s="24" t="s">
        <v>462</v>
      </c>
      <c r="D166" s="24">
        <v>1300000</v>
      </c>
      <c r="E166" s="24" t="s">
        <v>226</v>
      </c>
      <c r="F166" s="24" t="str">
        <f t="shared" si="4"/>
        <v>rtdc.l.rtdc.4016:itc</v>
      </c>
      <c r="G166" s="8">
        <f t="shared" si="5"/>
        <v>42593.762523148151</v>
      </c>
    </row>
    <row r="167" spans="1:7" x14ac:dyDescent="0.25">
      <c r="A167" s="8">
        <v>42593.767071759263</v>
      </c>
      <c r="B167" s="24" t="s">
        <v>99</v>
      </c>
      <c r="C167" s="24" t="s">
        <v>631</v>
      </c>
      <c r="D167" s="24">
        <v>910000</v>
      </c>
      <c r="E167" s="24" t="s">
        <v>629</v>
      </c>
      <c r="F167" s="24" t="str">
        <f t="shared" si="4"/>
        <v>rtdc.l.rtdc.4030:itc</v>
      </c>
      <c r="G167" s="8">
        <f t="shared" si="5"/>
        <v>42593.767071759263</v>
      </c>
    </row>
    <row r="168" spans="1:7" x14ac:dyDescent="0.25">
      <c r="A168" s="8">
        <v>42593.768009259256</v>
      </c>
      <c r="B168" s="24" t="s">
        <v>612</v>
      </c>
      <c r="C168" s="24" t="s">
        <v>454</v>
      </c>
      <c r="D168" s="24">
        <v>2000000</v>
      </c>
      <c r="E168" s="24" t="s">
        <v>268</v>
      </c>
      <c r="F168" s="24" t="str">
        <f t="shared" si="4"/>
        <v>rtdc.l.rtdc.4028:itc</v>
      </c>
      <c r="G168" s="8">
        <f t="shared" si="5"/>
        <v>42593.768009259256</v>
      </c>
    </row>
    <row r="169" spans="1:7" x14ac:dyDescent="0.25">
      <c r="A169" s="8">
        <v>42593.768518518518</v>
      </c>
      <c r="B169" s="24" t="s">
        <v>99</v>
      </c>
      <c r="C169" s="24" t="s">
        <v>631</v>
      </c>
      <c r="D169" s="24">
        <v>910000</v>
      </c>
      <c r="E169" s="24" t="s">
        <v>629</v>
      </c>
      <c r="F169" s="24" t="str">
        <f t="shared" si="4"/>
        <v>rtdc.l.rtdc.4030:itc</v>
      </c>
      <c r="G169" s="8">
        <f t="shared" si="5"/>
        <v>42593.768518518518</v>
      </c>
    </row>
    <row r="170" spans="1:7" x14ac:dyDescent="0.25">
      <c r="A170" s="8">
        <v>42593.77648148148</v>
      </c>
      <c r="B170" s="24" t="s">
        <v>615</v>
      </c>
      <c r="C170" s="24" t="s">
        <v>583</v>
      </c>
      <c r="D170" s="24">
        <v>1540000</v>
      </c>
      <c r="E170" s="24" t="s">
        <v>187</v>
      </c>
      <c r="F170" s="24" t="str">
        <f t="shared" si="4"/>
        <v>rtdc.l.rtdc.4041:itc</v>
      </c>
      <c r="G170" s="8">
        <f t="shared" si="5"/>
        <v>42593.77648148148</v>
      </c>
    </row>
    <row r="171" spans="1:7" x14ac:dyDescent="0.25">
      <c r="A171" s="8">
        <v>42593.776886574073</v>
      </c>
      <c r="B171" s="24" t="s">
        <v>129</v>
      </c>
      <c r="C171" s="24" t="s">
        <v>464</v>
      </c>
      <c r="D171" s="24">
        <v>1480000</v>
      </c>
      <c r="E171" s="24" t="s">
        <v>184</v>
      </c>
      <c r="F171" s="24" t="str">
        <f t="shared" si="4"/>
        <v>rtdc.l.rtdc.4014:itc</v>
      </c>
      <c r="G171" s="8">
        <f t="shared" si="5"/>
        <v>42593.776886574073</v>
      </c>
    </row>
    <row r="172" spans="1:7" x14ac:dyDescent="0.25">
      <c r="A172" s="8">
        <v>42593.779120370367</v>
      </c>
      <c r="B172" s="24" t="s">
        <v>269</v>
      </c>
      <c r="C172" s="24" t="s">
        <v>457</v>
      </c>
      <c r="D172" s="24">
        <v>1140000</v>
      </c>
      <c r="E172" s="24" t="s">
        <v>133</v>
      </c>
      <c r="F172" s="24" t="str">
        <f t="shared" si="4"/>
        <v>rtdc.l.rtdc.4037:itc</v>
      </c>
      <c r="G172" s="8">
        <f t="shared" si="5"/>
        <v>42593.779120370367</v>
      </c>
    </row>
    <row r="173" spans="1:7" x14ac:dyDescent="0.25">
      <c r="A173" s="8">
        <v>42593.781643518516</v>
      </c>
      <c r="B173" s="24" t="s">
        <v>624</v>
      </c>
      <c r="C173" s="24" t="s">
        <v>586</v>
      </c>
      <c r="D173" s="24">
        <v>1830000</v>
      </c>
      <c r="E173" s="24" t="s">
        <v>622</v>
      </c>
      <c r="F173" s="24" t="str">
        <f t="shared" si="4"/>
        <v>rtdc.l.rtdc.4003:itc</v>
      </c>
      <c r="G173" s="8">
        <f t="shared" si="5"/>
        <v>42593.781643518516</v>
      </c>
    </row>
    <row r="174" spans="1:7" x14ac:dyDescent="0.25">
      <c r="A174" s="8">
        <v>42593.781898148147</v>
      </c>
      <c r="B174" s="24" t="s">
        <v>269</v>
      </c>
      <c r="C174" s="24" t="s">
        <v>461</v>
      </c>
      <c r="D174" s="24">
        <v>1140000</v>
      </c>
      <c r="E174" s="24" t="s">
        <v>133</v>
      </c>
      <c r="F174" s="24" t="str">
        <f t="shared" si="4"/>
        <v>rtdc.l.rtdc.4037:itc</v>
      </c>
      <c r="G174" s="8">
        <f t="shared" si="5"/>
        <v>42593.781898148147</v>
      </c>
    </row>
    <row r="175" spans="1:7" x14ac:dyDescent="0.25">
      <c r="A175" s="8">
        <v>42593.796851851854</v>
      </c>
      <c r="B175" s="24" t="s">
        <v>616</v>
      </c>
      <c r="C175" s="24" t="s">
        <v>607</v>
      </c>
      <c r="D175" s="24">
        <v>2140000</v>
      </c>
      <c r="E175" s="24" t="s">
        <v>227</v>
      </c>
      <c r="F175" s="24" t="str">
        <f t="shared" si="4"/>
        <v>rtdc.l.rtdc.4004:itc</v>
      </c>
      <c r="G175" s="8">
        <f t="shared" si="5"/>
        <v>42593.796851851854</v>
      </c>
    </row>
    <row r="176" spans="1:7" x14ac:dyDescent="0.25">
      <c r="A176" s="8">
        <v>42593.802442129629</v>
      </c>
      <c r="B176" s="24" t="s">
        <v>613</v>
      </c>
      <c r="C176" s="24" t="s">
        <v>591</v>
      </c>
      <c r="D176" s="24">
        <v>1540000</v>
      </c>
      <c r="E176" s="24" t="s">
        <v>187</v>
      </c>
      <c r="F176" s="24" t="str">
        <f t="shared" si="4"/>
        <v>rtdc.l.rtdc.4042:itc</v>
      </c>
      <c r="G176" s="8">
        <f t="shared" si="5"/>
        <v>42593.802442129629</v>
      </c>
    </row>
    <row r="177" spans="1:7" x14ac:dyDescent="0.25">
      <c r="A177" s="8">
        <v>42593.802708333336</v>
      </c>
      <c r="B177" s="24" t="s">
        <v>98</v>
      </c>
      <c r="C177" s="24" t="s">
        <v>471</v>
      </c>
      <c r="D177" s="24">
        <v>910000</v>
      </c>
      <c r="E177" s="24" t="s">
        <v>629</v>
      </c>
      <c r="F177" s="24" t="str">
        <f t="shared" si="4"/>
        <v>rtdc.l.rtdc.4029:itc</v>
      </c>
      <c r="G177" s="8">
        <f t="shared" si="5"/>
        <v>42593.802708333336</v>
      </c>
    </row>
    <row r="178" spans="1:7" x14ac:dyDescent="0.25">
      <c r="A178" s="8">
        <v>42593.816944444443</v>
      </c>
      <c r="B178" s="24" t="s">
        <v>615</v>
      </c>
      <c r="C178" s="24" t="s">
        <v>589</v>
      </c>
      <c r="D178" s="24">
        <v>1540000</v>
      </c>
      <c r="E178" s="24" t="s">
        <v>187</v>
      </c>
      <c r="F178" s="24" t="str">
        <f t="shared" si="4"/>
        <v>rtdc.l.rtdc.4041:itc</v>
      </c>
      <c r="G178" s="8">
        <f t="shared" si="5"/>
        <v>42593.816944444443</v>
      </c>
    </row>
    <row r="179" spans="1:7" x14ac:dyDescent="0.25">
      <c r="A179" s="8">
        <v>42593.817847222221</v>
      </c>
      <c r="B179" s="24" t="s">
        <v>95</v>
      </c>
      <c r="C179" s="24" t="s">
        <v>466</v>
      </c>
      <c r="D179" s="24">
        <v>1290000</v>
      </c>
      <c r="E179" s="24" t="s">
        <v>125</v>
      </c>
      <c r="F179" s="24" t="str">
        <f t="shared" si="4"/>
        <v>rtdc.l.rtdc.4026:itc</v>
      </c>
      <c r="G179" s="8">
        <f t="shared" si="5"/>
        <v>42593.817847222221</v>
      </c>
    </row>
    <row r="180" spans="1:7" x14ac:dyDescent="0.25">
      <c r="A180" s="8">
        <v>42593.824108796296</v>
      </c>
      <c r="B180" s="24" t="s">
        <v>132</v>
      </c>
      <c r="C180" s="24" t="s">
        <v>469</v>
      </c>
      <c r="D180" s="24">
        <v>2090000</v>
      </c>
      <c r="E180" s="24" t="s">
        <v>188</v>
      </c>
      <c r="F180" s="24" t="str">
        <f t="shared" si="4"/>
        <v>rtdc.l.rtdc.4032:itc</v>
      </c>
      <c r="G180" s="8">
        <f t="shared" si="5"/>
        <v>42593.824108796296</v>
      </c>
    </row>
    <row r="181" spans="1:7" x14ac:dyDescent="0.25">
      <c r="A181" s="8">
        <v>42593.828634259262</v>
      </c>
      <c r="B181" s="24" t="s">
        <v>100</v>
      </c>
      <c r="C181" s="24" t="s">
        <v>474</v>
      </c>
      <c r="D181" s="24">
        <v>2000000</v>
      </c>
      <c r="E181" s="24" t="s">
        <v>268</v>
      </c>
      <c r="F181" s="24" t="str">
        <f t="shared" si="4"/>
        <v>rtdc.l.rtdc.4027:itc</v>
      </c>
      <c r="G181" s="8">
        <f t="shared" si="5"/>
        <v>42593.828634259262</v>
      </c>
    </row>
    <row r="182" spans="1:7" x14ac:dyDescent="0.25">
      <c r="A182" s="8">
        <v>42593.829861111109</v>
      </c>
      <c r="B182" s="24" t="s">
        <v>100</v>
      </c>
      <c r="C182" s="24" t="s">
        <v>474</v>
      </c>
      <c r="D182" s="24">
        <v>2000000</v>
      </c>
      <c r="E182" s="24" t="s">
        <v>268</v>
      </c>
      <c r="F182" s="24" t="str">
        <f t="shared" si="4"/>
        <v>rtdc.l.rtdc.4027:itc</v>
      </c>
      <c r="G182" s="8">
        <f t="shared" si="5"/>
        <v>42593.829861111109</v>
      </c>
    </row>
    <row r="183" spans="1:7" x14ac:dyDescent="0.25">
      <c r="A183" s="8">
        <v>42593.844571759262</v>
      </c>
      <c r="B183" s="24" t="s">
        <v>613</v>
      </c>
      <c r="C183" s="24" t="s">
        <v>596</v>
      </c>
      <c r="D183" s="24">
        <v>1540000</v>
      </c>
      <c r="E183" s="24" t="s">
        <v>187</v>
      </c>
      <c r="F183" s="24" t="str">
        <f t="shared" si="4"/>
        <v>rtdc.l.rtdc.4042:itc</v>
      </c>
      <c r="G183" s="8">
        <f t="shared" si="5"/>
        <v>42593.844571759262</v>
      </c>
    </row>
    <row r="184" spans="1:7" x14ac:dyDescent="0.25">
      <c r="A184" s="8">
        <v>42593.844606481478</v>
      </c>
      <c r="B184" s="24" t="s">
        <v>117</v>
      </c>
      <c r="C184" s="24" t="s">
        <v>473</v>
      </c>
      <c r="D184" s="24">
        <v>1300000</v>
      </c>
      <c r="E184" s="24" t="s">
        <v>226</v>
      </c>
      <c r="F184" s="24" t="str">
        <f t="shared" si="4"/>
        <v>rtdc.l.rtdc.4015:itc</v>
      </c>
      <c r="G184" s="8">
        <f t="shared" si="5"/>
        <v>42593.844606481478</v>
      </c>
    </row>
    <row r="185" spans="1:7" x14ac:dyDescent="0.25">
      <c r="A185" s="8">
        <v>42593.856273148151</v>
      </c>
      <c r="B185" s="24" t="s">
        <v>97</v>
      </c>
      <c r="C185" s="24" t="s">
        <v>476</v>
      </c>
      <c r="D185" s="24">
        <v>1290000</v>
      </c>
      <c r="E185" s="24" t="s">
        <v>125</v>
      </c>
      <c r="F185" s="24" t="str">
        <f t="shared" si="4"/>
        <v>rtdc.l.rtdc.4025:itc</v>
      </c>
      <c r="G185" s="8">
        <f t="shared" si="5"/>
        <v>42593.856273148151</v>
      </c>
    </row>
    <row r="186" spans="1:7" x14ac:dyDescent="0.25">
      <c r="A186" s="8">
        <v>42593.859224537038</v>
      </c>
      <c r="B186" s="24" t="s">
        <v>615</v>
      </c>
      <c r="C186" s="24" t="s">
        <v>594</v>
      </c>
      <c r="D186" s="24">
        <v>1540000</v>
      </c>
      <c r="E186" s="24" t="s">
        <v>187</v>
      </c>
      <c r="F186" s="24" t="str">
        <f t="shared" si="4"/>
        <v>rtdc.l.rtdc.4041:itc</v>
      </c>
      <c r="G186" s="8">
        <f t="shared" si="5"/>
        <v>42593.859224537038</v>
      </c>
    </row>
    <row r="187" spans="1:7" x14ac:dyDescent="0.25">
      <c r="A187" s="8">
        <v>42593.865034722221</v>
      </c>
      <c r="B187" s="24" t="s">
        <v>96</v>
      </c>
      <c r="C187" s="24" t="s">
        <v>475</v>
      </c>
      <c r="D187" s="24">
        <v>1480000</v>
      </c>
      <c r="E187" s="24" t="s">
        <v>184</v>
      </c>
      <c r="F187" s="24" t="str">
        <f t="shared" si="4"/>
        <v>rtdc.l.rtdc.4013:itc</v>
      </c>
      <c r="G187" s="8">
        <f t="shared" si="5"/>
        <v>42593.865034722221</v>
      </c>
    </row>
    <row r="188" spans="1:7" x14ac:dyDescent="0.25">
      <c r="A188" s="8">
        <v>42593.87295138889</v>
      </c>
      <c r="B188" s="24" t="s">
        <v>131</v>
      </c>
      <c r="C188" s="24" t="s">
        <v>493</v>
      </c>
      <c r="D188" s="24">
        <v>2090000</v>
      </c>
      <c r="E188" s="24" t="s">
        <v>188</v>
      </c>
      <c r="F188" s="24" t="str">
        <f t="shared" si="4"/>
        <v>rtdc.l.rtdc.4031:itc</v>
      </c>
      <c r="G188" s="8">
        <f t="shared" si="5"/>
        <v>42593.87295138889</v>
      </c>
    </row>
    <row r="189" spans="1:7" x14ac:dyDescent="0.25">
      <c r="A189" s="8">
        <v>42593.878819444442</v>
      </c>
      <c r="B189" s="24" t="s">
        <v>266</v>
      </c>
      <c r="C189" s="24" t="s">
        <v>632</v>
      </c>
      <c r="D189" s="24">
        <v>890000</v>
      </c>
      <c r="E189" s="24" t="s">
        <v>633</v>
      </c>
      <c r="F189" s="24" t="str">
        <f t="shared" si="4"/>
        <v>rtdc.l.rtdc.4009:itc</v>
      </c>
      <c r="G189" s="8">
        <f t="shared" si="5"/>
        <v>42593.878819444442</v>
      </c>
    </row>
    <row r="190" spans="1:7" x14ac:dyDescent="0.25">
      <c r="A190" s="8">
        <v>42593.879340277781</v>
      </c>
      <c r="B190" s="24" t="s">
        <v>118</v>
      </c>
      <c r="C190" s="24" t="s">
        <v>479</v>
      </c>
      <c r="D190" s="24">
        <v>1300000</v>
      </c>
      <c r="E190" s="24" t="s">
        <v>226</v>
      </c>
      <c r="F190" s="24" t="str">
        <f t="shared" si="4"/>
        <v>rtdc.l.rtdc.4016:itc</v>
      </c>
      <c r="G190" s="8">
        <f t="shared" si="5"/>
        <v>42593.879340277781</v>
      </c>
    </row>
    <row r="191" spans="1:7" x14ac:dyDescent="0.25">
      <c r="A191" s="8">
        <v>42593.880277777775</v>
      </c>
      <c r="B191" s="24" t="s">
        <v>613</v>
      </c>
      <c r="C191" s="24" t="s">
        <v>601</v>
      </c>
      <c r="D191" s="24">
        <v>1540000</v>
      </c>
      <c r="E191" s="24" t="s">
        <v>187</v>
      </c>
      <c r="F191" s="24" t="str">
        <f t="shared" si="4"/>
        <v>rtdc.l.rtdc.4042:itc</v>
      </c>
      <c r="G191" s="8">
        <f t="shared" si="5"/>
        <v>42593.880277777775</v>
      </c>
    </row>
    <row r="192" spans="1:7" x14ac:dyDescent="0.25">
      <c r="A192" s="8">
        <v>42593.889131944445</v>
      </c>
      <c r="B192" s="24" t="s">
        <v>98</v>
      </c>
      <c r="C192" s="24" t="s">
        <v>634</v>
      </c>
      <c r="D192" s="24">
        <v>910000</v>
      </c>
      <c r="E192" s="24" t="s">
        <v>629</v>
      </c>
      <c r="F192" s="24" t="str">
        <f t="shared" si="4"/>
        <v>rtdc.l.rtdc.4029:itc</v>
      </c>
      <c r="G192" s="8">
        <f t="shared" si="5"/>
        <v>42593.889131944445</v>
      </c>
    </row>
    <row r="193" spans="1:7" x14ac:dyDescent="0.25">
      <c r="A193" s="8">
        <v>42593.891631944447</v>
      </c>
      <c r="B193" s="24" t="s">
        <v>612</v>
      </c>
      <c r="C193" s="24" t="s">
        <v>477</v>
      </c>
      <c r="D193" s="24">
        <v>2000000</v>
      </c>
      <c r="E193" s="24" t="s">
        <v>268</v>
      </c>
      <c r="F193" s="24" t="str">
        <f t="shared" si="4"/>
        <v>rtdc.l.rtdc.4028:itc</v>
      </c>
      <c r="G193" s="8">
        <f t="shared" si="5"/>
        <v>42593.891631944447</v>
      </c>
    </row>
    <row r="194" spans="1:7" x14ac:dyDescent="0.25">
      <c r="A194" s="8">
        <v>42593.901921296296</v>
      </c>
      <c r="B194" s="24" t="s">
        <v>615</v>
      </c>
      <c r="C194" s="24" t="s">
        <v>599</v>
      </c>
      <c r="D194" s="24">
        <v>1540000</v>
      </c>
      <c r="E194" s="24" t="s">
        <v>187</v>
      </c>
      <c r="F194" s="24" t="str">
        <f t="shared" ref="F194:F235" si="6">B194</f>
        <v>rtdc.l.rtdc.4041:itc</v>
      </c>
      <c r="G194" s="8">
        <f t="shared" ref="G194:G235" si="7">A194</f>
        <v>42593.901921296296</v>
      </c>
    </row>
    <row r="195" spans="1:7" x14ac:dyDescent="0.25">
      <c r="A195" s="8">
        <v>42593.909618055557</v>
      </c>
      <c r="B195" s="24" t="s">
        <v>117</v>
      </c>
      <c r="C195" s="24" t="s">
        <v>480</v>
      </c>
      <c r="D195" s="24">
        <v>1300000</v>
      </c>
      <c r="E195" s="24" t="s">
        <v>226</v>
      </c>
      <c r="F195" s="24" t="str">
        <f t="shared" si="6"/>
        <v>rtdc.l.rtdc.4015:itc</v>
      </c>
      <c r="G195" s="8">
        <f t="shared" si="7"/>
        <v>42593.909618055557</v>
      </c>
    </row>
    <row r="196" spans="1:7" x14ac:dyDescent="0.25">
      <c r="A196" s="8">
        <v>42593.92559027778</v>
      </c>
      <c r="B196" s="24" t="s">
        <v>613</v>
      </c>
      <c r="C196" s="24" t="s">
        <v>602</v>
      </c>
      <c r="D196" s="24">
        <v>1540000</v>
      </c>
      <c r="E196" s="24" t="s">
        <v>187</v>
      </c>
      <c r="F196" s="24" t="str">
        <f t="shared" si="6"/>
        <v>rtdc.l.rtdc.4042:itc</v>
      </c>
      <c r="G196" s="8">
        <f t="shared" si="7"/>
        <v>42593.92559027778</v>
      </c>
    </row>
    <row r="197" spans="1:7" x14ac:dyDescent="0.25">
      <c r="A197" s="8">
        <v>42593.935810185183</v>
      </c>
      <c r="B197" s="24" t="s">
        <v>96</v>
      </c>
      <c r="C197" s="24" t="s">
        <v>481</v>
      </c>
      <c r="D197" s="24">
        <v>1480000</v>
      </c>
      <c r="E197" s="24" t="s">
        <v>184</v>
      </c>
      <c r="F197" s="24" t="str">
        <f t="shared" si="6"/>
        <v>rtdc.l.rtdc.4013:itc</v>
      </c>
      <c r="G197" s="8">
        <f t="shared" si="7"/>
        <v>42593.935810185183</v>
      </c>
    </row>
    <row r="198" spans="1:7" x14ac:dyDescent="0.25">
      <c r="A198" s="8">
        <v>42593.944178240738</v>
      </c>
      <c r="B198" s="24" t="s">
        <v>615</v>
      </c>
      <c r="C198" s="24" t="s">
        <v>609</v>
      </c>
      <c r="D198" s="24">
        <v>2140000</v>
      </c>
      <c r="E198" s="24" t="s">
        <v>227</v>
      </c>
      <c r="F198" s="24" t="str">
        <f t="shared" si="6"/>
        <v>rtdc.l.rtdc.4041:itc</v>
      </c>
      <c r="G198" s="8">
        <f t="shared" si="7"/>
        <v>42593.944178240738</v>
      </c>
    </row>
    <row r="199" spans="1:7" x14ac:dyDescent="0.25">
      <c r="A199" s="8">
        <v>42593.95113425926</v>
      </c>
      <c r="B199" s="24" t="s">
        <v>118</v>
      </c>
      <c r="C199" s="24" t="s">
        <v>484</v>
      </c>
      <c r="D199" s="24">
        <v>1300000</v>
      </c>
      <c r="E199" s="24" t="s">
        <v>226</v>
      </c>
      <c r="F199" s="24" t="str">
        <f t="shared" si="6"/>
        <v>rtdc.l.rtdc.4016:itc</v>
      </c>
      <c r="G199" s="8">
        <f t="shared" si="7"/>
        <v>42593.95113425926</v>
      </c>
    </row>
    <row r="200" spans="1:7" x14ac:dyDescent="0.25">
      <c r="A200" s="8">
        <v>42593.95548611111</v>
      </c>
      <c r="B200" s="24" t="s">
        <v>612</v>
      </c>
      <c r="C200" s="24" t="s">
        <v>482</v>
      </c>
      <c r="D200" s="24">
        <v>2000000</v>
      </c>
      <c r="E200" s="24" t="s">
        <v>268</v>
      </c>
      <c r="F200" s="24" t="str">
        <f t="shared" si="6"/>
        <v>rtdc.l.rtdc.4028:itc</v>
      </c>
      <c r="G200" s="8">
        <f t="shared" si="7"/>
        <v>42593.95548611111</v>
      </c>
    </row>
    <row r="201" spans="1:7" x14ac:dyDescent="0.25">
      <c r="A201" s="8">
        <v>42593.972557870373</v>
      </c>
      <c r="B201" s="24" t="s">
        <v>129</v>
      </c>
      <c r="C201" s="24" t="s">
        <v>486</v>
      </c>
      <c r="D201" s="24">
        <v>1480000</v>
      </c>
      <c r="E201" s="24" t="s">
        <v>184</v>
      </c>
      <c r="F201" s="24" t="str">
        <f t="shared" si="6"/>
        <v>rtdc.l.rtdc.4014:itc</v>
      </c>
      <c r="G201" s="8">
        <f t="shared" si="7"/>
        <v>42593.972557870373</v>
      </c>
    </row>
    <row r="202" spans="1:7" x14ac:dyDescent="0.25">
      <c r="A202" s="30">
        <v>42593.973877314813</v>
      </c>
      <c r="B202" s="24" t="s">
        <v>95</v>
      </c>
      <c r="C202" s="24" t="s">
        <v>483</v>
      </c>
      <c r="D202" s="24">
        <v>2100000</v>
      </c>
      <c r="E202" s="24" t="s">
        <v>189</v>
      </c>
      <c r="F202" s="24" t="str">
        <f t="shared" si="6"/>
        <v>rtdc.l.rtdc.4026:itc</v>
      </c>
      <c r="G202" s="8">
        <f t="shared" si="7"/>
        <v>42593.973877314813</v>
      </c>
    </row>
    <row r="203" spans="1:7" x14ac:dyDescent="0.25">
      <c r="A203" s="8">
        <v>42593.992546296293</v>
      </c>
      <c r="B203" s="24" t="s">
        <v>117</v>
      </c>
      <c r="C203" s="24" t="s">
        <v>485</v>
      </c>
      <c r="D203" s="24">
        <v>1300000</v>
      </c>
      <c r="E203" s="24" t="s">
        <v>226</v>
      </c>
      <c r="F203" s="24" t="str">
        <f t="shared" si="6"/>
        <v>rtdc.l.rtdc.4015:itc</v>
      </c>
      <c r="G203" s="8">
        <f t="shared" si="7"/>
        <v>42593.992546296293</v>
      </c>
    </row>
    <row r="204" spans="1:7" x14ac:dyDescent="0.25">
      <c r="A204" s="8">
        <v>42593.997800925928</v>
      </c>
      <c r="B204" s="24" t="s">
        <v>100</v>
      </c>
      <c r="C204" s="24" t="s">
        <v>488</v>
      </c>
      <c r="D204" s="24">
        <v>2000000</v>
      </c>
      <c r="E204" s="24" t="s">
        <v>268</v>
      </c>
      <c r="F204" s="24" t="str">
        <f t="shared" si="6"/>
        <v>rtdc.l.rtdc.4027:itc</v>
      </c>
      <c r="G204" s="8">
        <f t="shared" si="7"/>
        <v>42593.997800925928</v>
      </c>
    </row>
    <row r="205" spans="1:7" x14ac:dyDescent="0.25">
      <c r="A205" s="8">
        <v>42594.01189814815</v>
      </c>
      <c r="B205" s="24" t="s">
        <v>96</v>
      </c>
      <c r="C205" s="24" t="s">
        <v>487</v>
      </c>
      <c r="D205" s="24">
        <v>1480000</v>
      </c>
      <c r="E205" s="24" t="s">
        <v>184</v>
      </c>
      <c r="F205" s="24" t="str">
        <f t="shared" si="6"/>
        <v>rtdc.l.rtdc.4013:itc</v>
      </c>
      <c r="G205" s="8">
        <f t="shared" si="7"/>
        <v>42594.01189814815</v>
      </c>
    </row>
    <row r="206" spans="1:7" x14ac:dyDescent="0.25">
      <c r="A206" s="8">
        <v>42594.016770833332</v>
      </c>
      <c r="B206" s="24" t="s">
        <v>97</v>
      </c>
      <c r="C206" s="24" t="s">
        <v>491</v>
      </c>
      <c r="D206" s="24">
        <v>2100000</v>
      </c>
      <c r="E206" s="24" t="s">
        <v>189</v>
      </c>
      <c r="F206" s="24" t="str">
        <f t="shared" si="6"/>
        <v>rtdc.l.rtdc.4025:itc</v>
      </c>
      <c r="G206" s="8">
        <f t="shared" si="7"/>
        <v>42594.016770833332</v>
      </c>
    </row>
    <row r="207" spans="1:7" x14ac:dyDescent="0.25">
      <c r="A207" s="8">
        <v>42594.037106481483</v>
      </c>
      <c r="B207" s="24" t="s">
        <v>612</v>
      </c>
      <c r="C207" s="24" t="s">
        <v>490</v>
      </c>
      <c r="D207" s="24">
        <v>2000000</v>
      </c>
      <c r="E207" s="24" t="s">
        <v>268</v>
      </c>
      <c r="F207" s="24" t="str">
        <f t="shared" si="6"/>
        <v>rtdc.l.rtdc.4028:itc</v>
      </c>
      <c r="G207" s="8">
        <f t="shared" si="7"/>
        <v>42594.037106481483</v>
      </c>
    </row>
    <row r="208" spans="1:7" x14ac:dyDescent="0.25">
      <c r="A208" s="8">
        <v>42594.050092592595</v>
      </c>
      <c r="B208" s="24" t="s">
        <v>129</v>
      </c>
      <c r="C208" s="24" t="s">
        <v>495</v>
      </c>
      <c r="D208" s="24">
        <v>1480000</v>
      </c>
      <c r="E208" s="24" t="s">
        <v>184</v>
      </c>
      <c r="F208" s="24" t="str">
        <f t="shared" si="6"/>
        <v>rtdc.l.rtdc.4014:itc</v>
      </c>
      <c r="G208" s="8">
        <f t="shared" si="7"/>
        <v>42594.050092592595</v>
      </c>
    </row>
    <row r="209" spans="1:7" x14ac:dyDescent="0.25">
      <c r="A209" s="8">
        <v>42594.057476851849</v>
      </c>
      <c r="B209" s="24" t="s">
        <v>95</v>
      </c>
      <c r="C209" s="24" t="s">
        <v>492</v>
      </c>
      <c r="D209" s="24">
        <v>2100000</v>
      </c>
      <c r="E209" s="24" t="s">
        <v>189</v>
      </c>
      <c r="F209" s="24" t="str">
        <f t="shared" si="6"/>
        <v>rtdc.l.rtdc.4026:itc</v>
      </c>
      <c r="G209" s="8">
        <f t="shared" si="7"/>
        <v>42594.057476851849</v>
      </c>
    </row>
    <row r="210" spans="1:7" x14ac:dyDescent="0.25">
      <c r="A210" s="8">
        <v>42594.06790509259</v>
      </c>
      <c r="B210" s="24" t="s">
        <v>100</v>
      </c>
      <c r="C210" s="24" t="s">
        <v>635</v>
      </c>
      <c r="D210" s="24">
        <v>2000000</v>
      </c>
      <c r="E210" s="24" t="s">
        <v>268</v>
      </c>
      <c r="F210" s="24" t="str">
        <f t="shared" si="6"/>
        <v>rtdc.l.rtdc.4027:itc</v>
      </c>
      <c r="G210" s="8">
        <f t="shared" si="7"/>
        <v>42594.06790509259</v>
      </c>
    </row>
    <row r="211" spans="1:7" x14ac:dyDescent="0.25">
      <c r="A211" s="8">
        <v>42594.088125000002</v>
      </c>
      <c r="B211" s="24" t="s">
        <v>97</v>
      </c>
      <c r="C211" s="24" t="s">
        <v>497</v>
      </c>
      <c r="D211" s="24">
        <v>2100000</v>
      </c>
      <c r="E211" s="24" t="s">
        <v>271</v>
      </c>
      <c r="F211" s="24" t="str">
        <f t="shared" si="6"/>
        <v>rtdc.l.rtdc.4025:itc</v>
      </c>
      <c r="G211" s="8">
        <f t="shared" si="7"/>
        <v>42594.088125000002</v>
      </c>
    </row>
    <row r="212" spans="1:7" x14ac:dyDescent="0.25">
      <c r="A212" s="8">
        <v>42592.014756944445</v>
      </c>
      <c r="B212" s="24" t="s">
        <v>127</v>
      </c>
      <c r="C212" s="24" t="s">
        <v>212</v>
      </c>
      <c r="D212" s="24">
        <v>1290000</v>
      </c>
      <c r="E212" s="24" t="s">
        <v>125</v>
      </c>
      <c r="F212" s="24" t="str">
        <f t="shared" si="6"/>
        <v>rtdc.l.rtdc.4012:itc</v>
      </c>
      <c r="G212" s="8">
        <f t="shared" si="7"/>
        <v>42592.014756944445</v>
      </c>
    </row>
    <row r="213" spans="1:7" x14ac:dyDescent="0.25">
      <c r="A213" s="8">
        <v>42592.016018518516</v>
      </c>
      <c r="B213" s="24" t="s">
        <v>131</v>
      </c>
      <c r="C213" s="24" t="s">
        <v>213</v>
      </c>
      <c r="D213" s="24">
        <v>1800000</v>
      </c>
      <c r="E213" s="24" t="s">
        <v>134</v>
      </c>
      <c r="F213" s="24" t="str">
        <f t="shared" si="6"/>
        <v>rtdc.l.rtdc.4031:itc</v>
      </c>
      <c r="G213" s="8">
        <f t="shared" si="7"/>
        <v>42592.016018518516</v>
      </c>
    </row>
    <row r="214" spans="1:7" x14ac:dyDescent="0.25">
      <c r="A214" s="8">
        <v>42592.027962962966</v>
      </c>
      <c r="B214" s="24" t="s">
        <v>95</v>
      </c>
      <c r="C214" s="24" t="s">
        <v>203</v>
      </c>
      <c r="D214" s="24">
        <v>1740000</v>
      </c>
      <c r="E214" s="24" t="s">
        <v>173</v>
      </c>
      <c r="F214" s="24" t="str">
        <f t="shared" si="6"/>
        <v>rtdc.l.rtdc.4026:itc</v>
      </c>
      <c r="G214" s="8">
        <f t="shared" si="7"/>
        <v>42592.027962962966</v>
      </c>
    </row>
    <row r="215" spans="1:7" x14ac:dyDescent="0.25">
      <c r="A215" s="8">
        <v>42592.031319444446</v>
      </c>
      <c r="B215" s="24" t="s">
        <v>185</v>
      </c>
      <c r="C215" s="24" t="s">
        <v>216</v>
      </c>
      <c r="D215" s="24">
        <v>2100000</v>
      </c>
      <c r="E215" s="24" t="s">
        <v>189</v>
      </c>
      <c r="F215" s="24" t="str">
        <f t="shared" si="6"/>
        <v>rtdc.l.rtdc.4040:itc</v>
      </c>
      <c r="G215" s="8">
        <f t="shared" si="7"/>
        <v>42592.031319444446</v>
      </c>
    </row>
    <row r="216" spans="1:7" x14ac:dyDescent="0.25">
      <c r="A216" s="8">
        <v>42592.032870370371</v>
      </c>
      <c r="B216" s="24" t="s">
        <v>185</v>
      </c>
      <c r="C216" s="24" t="s">
        <v>216</v>
      </c>
      <c r="D216" s="24">
        <v>2100000</v>
      </c>
      <c r="E216" s="24" t="s">
        <v>189</v>
      </c>
      <c r="F216" s="24" t="str">
        <f t="shared" si="6"/>
        <v>rtdc.l.rtdc.4040:itc</v>
      </c>
      <c r="G216" s="8">
        <f t="shared" si="7"/>
        <v>42592.032870370371</v>
      </c>
    </row>
    <row r="217" spans="1:7" x14ac:dyDescent="0.25">
      <c r="A217" s="8">
        <v>42592.047685185185</v>
      </c>
      <c r="B217" s="24" t="s">
        <v>126</v>
      </c>
      <c r="C217" s="24" t="s">
        <v>217</v>
      </c>
      <c r="D217" s="24">
        <v>1290000</v>
      </c>
      <c r="E217" s="24" t="s">
        <v>125</v>
      </c>
      <c r="F217" s="24" t="str">
        <f t="shared" si="6"/>
        <v>rtdc.l.rtdc.4011:itc</v>
      </c>
      <c r="G217" s="8">
        <f t="shared" si="7"/>
        <v>42592.047685185185</v>
      </c>
    </row>
    <row r="218" spans="1:7" x14ac:dyDescent="0.25">
      <c r="A218" s="8">
        <v>42592.049062500002</v>
      </c>
      <c r="B218" s="24" t="s">
        <v>126</v>
      </c>
      <c r="C218" s="24" t="s">
        <v>217</v>
      </c>
      <c r="D218" s="24">
        <v>1290000</v>
      </c>
      <c r="E218" s="24" t="s">
        <v>125</v>
      </c>
      <c r="F218" s="24" t="str">
        <f t="shared" si="6"/>
        <v>rtdc.l.rtdc.4011:itc</v>
      </c>
      <c r="G218" s="8">
        <f t="shared" si="7"/>
        <v>42592.049062500002</v>
      </c>
    </row>
    <row r="219" spans="1:7" x14ac:dyDescent="0.25">
      <c r="A219" s="8">
        <v>42592.058333333334</v>
      </c>
      <c r="B219" s="24" t="s">
        <v>132</v>
      </c>
      <c r="C219" s="24" t="s">
        <v>215</v>
      </c>
      <c r="D219" s="24">
        <v>1800000</v>
      </c>
      <c r="E219" s="24" t="s">
        <v>134</v>
      </c>
      <c r="F219" s="24" t="str">
        <f t="shared" si="6"/>
        <v>rtdc.l.rtdc.4032:itc</v>
      </c>
      <c r="G219" s="8">
        <f t="shared" si="7"/>
        <v>42592.058333333334</v>
      </c>
    </row>
    <row r="220" spans="1:7" x14ac:dyDescent="0.25">
      <c r="A220" s="8">
        <v>42592.068819444445</v>
      </c>
      <c r="B220" s="24" t="s">
        <v>97</v>
      </c>
      <c r="C220" s="24" t="s">
        <v>218</v>
      </c>
      <c r="D220" s="24">
        <v>1740000</v>
      </c>
      <c r="E220" s="24" t="s">
        <v>173</v>
      </c>
      <c r="F220" s="24" t="str">
        <f t="shared" si="6"/>
        <v>rtdc.l.rtdc.4025:itc</v>
      </c>
      <c r="G220" s="8">
        <f t="shared" si="7"/>
        <v>42592.068819444445</v>
      </c>
    </row>
    <row r="221" spans="1:7" x14ac:dyDescent="0.25">
      <c r="A221" s="8">
        <v>42592.089930555558</v>
      </c>
      <c r="B221" s="24" t="s">
        <v>131</v>
      </c>
      <c r="C221" s="24" t="s">
        <v>219</v>
      </c>
      <c r="D221" s="24">
        <v>1800000</v>
      </c>
      <c r="E221" s="24" t="s">
        <v>134</v>
      </c>
      <c r="F221" s="24" t="str">
        <f t="shared" si="6"/>
        <v>rtdc.l.rtdc.4031:itc</v>
      </c>
      <c r="G221" s="8">
        <f t="shared" si="7"/>
        <v>42592.089930555558</v>
      </c>
    </row>
    <row r="222" spans="1:7" x14ac:dyDescent="0.25">
      <c r="A222" s="8">
        <v>42592.091122685182</v>
      </c>
      <c r="B222" s="24" t="s">
        <v>131</v>
      </c>
      <c r="C222" s="24" t="s">
        <v>219</v>
      </c>
      <c r="D222" s="24">
        <v>1800000</v>
      </c>
      <c r="E222" s="24" t="s">
        <v>228</v>
      </c>
      <c r="F222" s="24" t="str">
        <f t="shared" si="6"/>
        <v>rtdc.l.rtdc.4031:itc</v>
      </c>
      <c r="G222" s="8">
        <f t="shared" si="7"/>
        <v>42592.091122685182</v>
      </c>
    </row>
    <row r="223" spans="1:7" x14ac:dyDescent="0.25">
      <c r="A223" s="8">
        <v>42591.08902777778</v>
      </c>
      <c r="B223" s="24" t="s">
        <v>100</v>
      </c>
      <c r="C223" s="24" t="s">
        <v>190</v>
      </c>
      <c r="D223" s="24">
        <v>1740000</v>
      </c>
      <c r="E223" s="24" t="s">
        <v>173</v>
      </c>
      <c r="F223" s="24" t="str">
        <f t="shared" si="6"/>
        <v>rtdc.l.rtdc.4027:itc</v>
      </c>
      <c r="G223" s="8">
        <f t="shared" si="7"/>
        <v>42591.08902777778</v>
      </c>
    </row>
    <row r="224" spans="1:7" x14ac:dyDescent="0.25">
      <c r="A224" s="8">
        <v>42591.089687500003</v>
      </c>
      <c r="B224" t="s">
        <v>100</v>
      </c>
      <c r="C224" t="s">
        <v>190</v>
      </c>
      <c r="D224">
        <v>1740000</v>
      </c>
      <c r="E224" t="s">
        <v>173</v>
      </c>
      <c r="F224" s="24" t="str">
        <f t="shared" si="6"/>
        <v>rtdc.l.rtdc.4027:itc</v>
      </c>
      <c r="G224" s="8">
        <f t="shared" si="7"/>
        <v>42591.089687500003</v>
      </c>
    </row>
    <row r="225" spans="1:7" x14ac:dyDescent="0.25">
      <c r="A225" s="8">
        <v>42591.11451388889</v>
      </c>
      <c r="B225" t="s">
        <v>65</v>
      </c>
      <c r="C225" t="s">
        <v>191</v>
      </c>
      <c r="D225">
        <v>2030000</v>
      </c>
      <c r="E225" t="s">
        <v>192</v>
      </c>
      <c r="F225" s="24" t="str">
        <f t="shared" si="6"/>
        <v>rtdc.l.rtdc.4017:itc</v>
      </c>
      <c r="G225" s="8">
        <f t="shared" si="7"/>
        <v>42591.11451388889</v>
      </c>
    </row>
    <row r="226" spans="1:7" x14ac:dyDescent="0.25">
      <c r="F226" s="24">
        <f t="shared" si="6"/>
        <v>0</v>
      </c>
      <c r="G226" s="8">
        <f t="shared" si="7"/>
        <v>0</v>
      </c>
    </row>
    <row r="227" spans="1:7" x14ac:dyDescent="0.25">
      <c r="F227" s="24">
        <f t="shared" si="6"/>
        <v>0</v>
      </c>
      <c r="G227" s="8">
        <f t="shared" si="7"/>
        <v>0</v>
      </c>
    </row>
    <row r="228" spans="1:7" x14ac:dyDescent="0.25">
      <c r="F228" s="24">
        <f t="shared" si="6"/>
        <v>0</v>
      </c>
      <c r="G228" s="8">
        <f t="shared" si="7"/>
        <v>0</v>
      </c>
    </row>
    <row r="229" spans="1:7" x14ac:dyDescent="0.25">
      <c r="F229" s="24">
        <f t="shared" si="6"/>
        <v>0</v>
      </c>
      <c r="G229" s="8">
        <f t="shared" si="7"/>
        <v>0</v>
      </c>
    </row>
    <row r="230" spans="1:7" x14ac:dyDescent="0.25">
      <c r="F230" s="24">
        <f t="shared" si="6"/>
        <v>0</v>
      </c>
      <c r="G230" s="8">
        <f t="shared" si="7"/>
        <v>0</v>
      </c>
    </row>
    <row r="231" spans="1:7" x14ac:dyDescent="0.25">
      <c r="F231" s="24">
        <f t="shared" si="6"/>
        <v>0</v>
      </c>
      <c r="G231" s="8">
        <f t="shared" si="7"/>
        <v>0</v>
      </c>
    </row>
    <row r="232" spans="1:7" x14ac:dyDescent="0.25">
      <c r="F232" s="24">
        <f t="shared" si="6"/>
        <v>0</v>
      </c>
      <c r="G232" s="8">
        <f t="shared" si="7"/>
        <v>0</v>
      </c>
    </row>
    <row r="233" spans="1:7" x14ac:dyDescent="0.25">
      <c r="F233" s="24">
        <f t="shared" si="6"/>
        <v>0</v>
      </c>
      <c r="G233" s="8">
        <f t="shared" si="7"/>
        <v>0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F235" s="24">
        <f t="shared" si="6"/>
        <v>0</v>
      </c>
      <c r="G235" s="8">
        <f t="shared" si="7"/>
        <v>0</v>
      </c>
    </row>
    <row r="236" spans="1:7" x14ac:dyDescent="0.25">
      <c r="F236" s="24">
        <f t="shared" ref="F236:F265" si="8">B236</f>
        <v>0</v>
      </c>
      <c r="G236" s="8">
        <f t="shared" ref="G236:G265" si="9">A236</f>
        <v>0</v>
      </c>
    </row>
    <row r="237" spans="1:7" x14ac:dyDescent="0.25">
      <c r="F237" s="24">
        <f t="shared" si="8"/>
        <v>0</v>
      </c>
      <c r="G237" s="8">
        <f t="shared" si="9"/>
        <v>0</v>
      </c>
    </row>
    <row r="238" spans="1:7" x14ac:dyDescent="0.25">
      <c r="F238" s="24">
        <f t="shared" si="8"/>
        <v>0</v>
      </c>
      <c r="G238" s="8">
        <f t="shared" si="9"/>
        <v>0</v>
      </c>
    </row>
    <row r="239" spans="1:7" x14ac:dyDescent="0.25">
      <c r="F239" s="24">
        <f t="shared" si="8"/>
        <v>0</v>
      </c>
      <c r="G239" s="8">
        <f t="shared" si="9"/>
        <v>0</v>
      </c>
    </row>
    <row r="240" spans="1:7" x14ac:dyDescent="0.25">
      <c r="F240" s="24">
        <f t="shared" si="8"/>
        <v>0</v>
      </c>
      <c r="G240" s="8">
        <f t="shared" si="9"/>
        <v>0</v>
      </c>
    </row>
    <row r="241" spans="6:7" x14ac:dyDescent="0.25">
      <c r="F241" s="24">
        <f t="shared" si="8"/>
        <v>0</v>
      </c>
      <c r="G241" s="8">
        <f t="shared" si="9"/>
        <v>0</v>
      </c>
    </row>
    <row r="242" spans="6:7" x14ac:dyDescent="0.25">
      <c r="F242" s="24">
        <f t="shared" si="8"/>
        <v>0</v>
      </c>
      <c r="G242" s="8">
        <f t="shared" si="9"/>
        <v>0</v>
      </c>
    </row>
    <row r="243" spans="6:7" x14ac:dyDescent="0.25">
      <c r="F243" s="24">
        <f t="shared" si="8"/>
        <v>0</v>
      </c>
      <c r="G243" s="8">
        <f t="shared" si="9"/>
        <v>0</v>
      </c>
    </row>
    <row r="244" spans="6:7" x14ac:dyDescent="0.25">
      <c r="F244" s="24">
        <f t="shared" si="8"/>
        <v>0</v>
      </c>
      <c r="G244" s="8">
        <f t="shared" si="9"/>
        <v>0</v>
      </c>
    </row>
    <row r="245" spans="6:7" x14ac:dyDescent="0.25">
      <c r="F245" s="24">
        <f t="shared" si="8"/>
        <v>0</v>
      </c>
      <c r="G245" s="8">
        <f t="shared" si="9"/>
        <v>0</v>
      </c>
    </row>
    <row r="246" spans="6:7" x14ac:dyDescent="0.25">
      <c r="F246" s="24">
        <f t="shared" si="8"/>
        <v>0</v>
      </c>
      <c r="G246" s="8">
        <f t="shared" si="9"/>
        <v>0</v>
      </c>
    </row>
    <row r="247" spans="6:7" x14ac:dyDescent="0.25">
      <c r="F247" s="24">
        <f t="shared" si="8"/>
        <v>0</v>
      </c>
      <c r="G247" s="8">
        <f t="shared" si="9"/>
        <v>0</v>
      </c>
    </row>
    <row r="248" spans="6:7" x14ac:dyDescent="0.25">
      <c r="F248" s="24">
        <f t="shared" si="8"/>
        <v>0</v>
      </c>
      <c r="G248" s="8">
        <f t="shared" si="9"/>
        <v>0</v>
      </c>
    </row>
    <row r="249" spans="6:7" x14ac:dyDescent="0.25">
      <c r="F249" s="24">
        <f t="shared" si="8"/>
        <v>0</v>
      </c>
      <c r="G249" s="8">
        <f t="shared" si="9"/>
        <v>0</v>
      </c>
    </row>
    <row r="250" spans="6:7" x14ac:dyDescent="0.25">
      <c r="F250" s="24">
        <f t="shared" si="8"/>
        <v>0</v>
      </c>
      <c r="G250" s="8">
        <f t="shared" si="9"/>
        <v>0</v>
      </c>
    </row>
    <row r="251" spans="6:7" x14ac:dyDescent="0.25">
      <c r="F251" s="24">
        <f t="shared" si="8"/>
        <v>0</v>
      </c>
      <c r="G251" s="8">
        <f t="shared" si="9"/>
        <v>0</v>
      </c>
    </row>
    <row r="252" spans="6:7" x14ac:dyDescent="0.25">
      <c r="F252" s="24">
        <f t="shared" si="8"/>
        <v>0</v>
      </c>
      <c r="G252" s="8">
        <f t="shared" si="9"/>
        <v>0</v>
      </c>
    </row>
    <row r="253" spans="6:7" x14ac:dyDescent="0.25">
      <c r="F253" s="24">
        <f t="shared" si="8"/>
        <v>0</v>
      </c>
      <c r="G253" s="8">
        <f t="shared" si="9"/>
        <v>0</v>
      </c>
    </row>
    <row r="254" spans="6:7" x14ac:dyDescent="0.25">
      <c r="F254" s="24">
        <f t="shared" si="8"/>
        <v>0</v>
      </c>
      <c r="G254" s="8">
        <f t="shared" si="9"/>
        <v>0</v>
      </c>
    </row>
    <row r="255" spans="6:7" x14ac:dyDescent="0.25">
      <c r="F255" s="24">
        <f t="shared" si="8"/>
        <v>0</v>
      </c>
      <c r="G255" s="8">
        <f t="shared" si="9"/>
        <v>0</v>
      </c>
    </row>
    <row r="256" spans="6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3" bestFit="1" customWidth="1"/>
  </cols>
  <sheetData>
    <row r="1" spans="1:16" ht="45.75" x14ac:dyDescent="0.3">
      <c r="A1" s="14" t="s">
        <v>25</v>
      </c>
      <c r="C1" s="82" t="s">
        <v>136</v>
      </c>
      <c r="D1" s="83" t="s">
        <v>137</v>
      </c>
      <c r="J1" s="35" t="s">
        <v>138</v>
      </c>
      <c r="K1" s="35" t="s">
        <v>76</v>
      </c>
      <c r="L1" s="35" t="s">
        <v>77</v>
      </c>
      <c r="O1" s="86" t="s">
        <v>139</v>
      </c>
    </row>
    <row r="2" spans="1:16" ht="15.75" thickBot="1" x14ac:dyDescent="0.3">
      <c r="A2" s="15">
        <v>42593</v>
      </c>
      <c r="B2" s="4"/>
      <c r="C2" s="84">
        <v>50</v>
      </c>
      <c r="D2" s="85">
        <v>25</v>
      </c>
      <c r="F2" t="s">
        <v>272</v>
      </c>
      <c r="J2" s="35"/>
      <c r="K2" s="35" t="s">
        <v>76</v>
      </c>
      <c r="L2" s="35" t="s">
        <v>77</v>
      </c>
    </row>
    <row r="3" spans="1:16" x14ac:dyDescent="0.25">
      <c r="F3" t="s">
        <v>59</v>
      </c>
      <c r="J3" s="36" t="s">
        <v>78</v>
      </c>
      <c r="K3" s="37">
        <v>2.7052</v>
      </c>
      <c r="L3" s="37">
        <v>2.7349999999999999</v>
      </c>
      <c r="M3" s="73">
        <f t="shared" ref="M3:M14" si="0">AVERAGE(K3:L3)</f>
        <v>2.7201</v>
      </c>
      <c r="O3" t="s">
        <v>140</v>
      </c>
      <c r="P3" s="73">
        <f>AVERAGE(1.0714,1.1016)</f>
        <v>1.0865</v>
      </c>
    </row>
    <row r="4" spans="1:16" x14ac:dyDescent="0.25">
      <c r="F4" t="s">
        <v>60</v>
      </c>
      <c r="J4" s="36" t="s">
        <v>79</v>
      </c>
      <c r="K4" s="37">
        <v>3.0830000000000002</v>
      </c>
      <c r="L4" s="37">
        <v>3.097</v>
      </c>
      <c r="M4" s="73">
        <f t="shared" si="0"/>
        <v>3.09</v>
      </c>
    </row>
    <row r="5" spans="1:16" x14ac:dyDescent="0.25">
      <c r="J5" s="36" t="s">
        <v>80</v>
      </c>
      <c r="K5" s="37">
        <v>3.3136000000000001</v>
      </c>
      <c r="L5" s="37">
        <v>3.3256999999999999</v>
      </c>
      <c r="M5" s="73">
        <f t="shared" si="0"/>
        <v>3.3196500000000002</v>
      </c>
    </row>
    <row r="6" spans="1:16" x14ac:dyDescent="0.25">
      <c r="F6" t="s">
        <v>273</v>
      </c>
      <c r="J6" s="36" t="s">
        <v>81</v>
      </c>
      <c r="K6" s="37">
        <v>4.2778999999999998</v>
      </c>
      <c r="L6" s="37">
        <v>4.2961</v>
      </c>
      <c r="M6" s="73">
        <f t="shared" si="0"/>
        <v>4.2869999999999999</v>
      </c>
    </row>
    <row r="7" spans="1:16" x14ac:dyDescent="0.25">
      <c r="F7" t="s">
        <v>274</v>
      </c>
      <c r="J7" s="36" t="s">
        <v>82</v>
      </c>
      <c r="K7" s="37">
        <v>4.7865000000000002</v>
      </c>
      <c r="L7" s="37">
        <v>4.8048000000000002</v>
      </c>
      <c r="M7" s="73">
        <f t="shared" si="0"/>
        <v>4.7956500000000002</v>
      </c>
    </row>
    <row r="8" spans="1:16" x14ac:dyDescent="0.25">
      <c r="F8" t="s">
        <v>275</v>
      </c>
      <c r="J8" s="36" t="s">
        <v>83</v>
      </c>
      <c r="K8" s="37">
        <v>5.3155000000000001</v>
      </c>
      <c r="L8" s="37">
        <v>5.3277000000000001</v>
      </c>
      <c r="M8" s="73">
        <f t="shared" si="0"/>
        <v>5.3216000000000001</v>
      </c>
    </row>
    <row r="9" spans="1:16" x14ac:dyDescent="0.25">
      <c r="J9" s="36" t="s">
        <v>84</v>
      </c>
      <c r="K9" s="37">
        <v>5.8117000000000001</v>
      </c>
      <c r="L9" s="37">
        <v>5.8300999999999998</v>
      </c>
      <c r="M9" s="73">
        <f t="shared" si="0"/>
        <v>5.8209</v>
      </c>
    </row>
    <row r="10" spans="1:16" x14ac:dyDescent="0.25">
      <c r="J10" s="36" t="s">
        <v>85</v>
      </c>
      <c r="K10" s="37">
        <v>5.8783000000000003</v>
      </c>
      <c r="L10" s="37">
        <v>5.8903999999999996</v>
      </c>
      <c r="M10" s="73">
        <f t="shared" si="0"/>
        <v>5.8843499999999995</v>
      </c>
    </row>
    <row r="11" spans="1:16" x14ac:dyDescent="0.25">
      <c r="J11" s="36" t="s">
        <v>86</v>
      </c>
      <c r="K11" s="37">
        <v>6.3068</v>
      </c>
      <c r="L11" s="37">
        <v>6.3308999999999997</v>
      </c>
      <c r="M11" s="73">
        <f t="shared" si="0"/>
        <v>6.3188499999999994</v>
      </c>
    </row>
    <row r="12" spans="1:16" x14ac:dyDescent="0.25">
      <c r="J12" s="36" t="s">
        <v>87</v>
      </c>
      <c r="K12" s="37">
        <v>7.8349000000000002</v>
      </c>
      <c r="L12" s="37">
        <v>7.8468999999999998</v>
      </c>
      <c r="M12" s="73">
        <f t="shared" si="0"/>
        <v>7.8408999999999995</v>
      </c>
    </row>
    <row r="13" spans="1:16" x14ac:dyDescent="0.25">
      <c r="J13" s="36" t="s">
        <v>88</v>
      </c>
      <c r="K13" s="37">
        <v>10.373799999999999</v>
      </c>
      <c r="L13" s="37">
        <v>10.38</v>
      </c>
      <c r="M13" s="73">
        <f t="shared" si="0"/>
        <v>10.376899999999999</v>
      </c>
    </row>
    <row r="14" spans="1:16" x14ac:dyDescent="0.25">
      <c r="J14" s="36" t="s">
        <v>89</v>
      </c>
      <c r="K14" s="37">
        <v>10.8954</v>
      </c>
      <c r="L14" s="37">
        <v>10.913500000000001</v>
      </c>
      <c r="M14" s="73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104</v>
      </c>
      <c r="K18" s="37"/>
      <c r="L18" s="37"/>
      <c r="M18" s="73" t="str">
        <f>"""C:\Program Files (x86)\AstroGrep\AstroGrep.exe"""</f>
        <v>"C:\Program Files (x86)\AstroGrep\AstroGrep.exe"</v>
      </c>
    </row>
    <row r="19" spans="10:13" x14ac:dyDescent="0.25">
      <c r="J19" s="36" t="s">
        <v>105</v>
      </c>
      <c r="K19" s="37"/>
      <c r="L19" s="37"/>
      <c r="M19" s="73" t="s">
        <v>153</v>
      </c>
    </row>
    <row r="20" spans="10:13" x14ac:dyDescent="0.25">
      <c r="J20" t="s">
        <v>106</v>
      </c>
      <c r="M20" s="73" t="s">
        <v>148</v>
      </c>
    </row>
    <row r="21" spans="10:13" x14ac:dyDescent="0.25">
      <c r="J21" s="24" t="s">
        <v>109</v>
      </c>
      <c r="K21" s="24" t="s">
        <v>110</v>
      </c>
      <c r="M21" s="73" t="s">
        <v>110</v>
      </c>
    </row>
    <row r="22" spans="10:13" x14ac:dyDescent="0.25">
      <c r="J22" s="24" t="s">
        <v>111</v>
      </c>
      <c r="K22" s="24" t="s">
        <v>112</v>
      </c>
      <c r="M22" s="73" t="s">
        <v>152</v>
      </c>
    </row>
    <row r="23" spans="10:13" x14ac:dyDescent="0.25">
      <c r="J23" s="32" t="s">
        <v>114</v>
      </c>
      <c r="K23" s="24"/>
      <c r="M23" s="73">
        <v>-6</v>
      </c>
    </row>
    <row r="24" spans="10:13" x14ac:dyDescent="0.25">
      <c r="J24" s="24" t="s">
        <v>149</v>
      </c>
      <c r="K24" s="24"/>
      <c r="M24" s="73" t="s">
        <v>151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2016-08-15T16:56:18Z</dcterms:modified>
</cp:coreProperties>
</file>