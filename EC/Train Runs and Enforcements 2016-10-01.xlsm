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Enforcements!$A$6:$AC$68</definedName>
    <definedName name="_xlnm._FilterDatabase" localSheetId="2" hidden="1">'Missing Trips'!$B$2:$I$2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8" i="3" l="1"/>
  <c r="AC8" i="3"/>
  <c r="Y9" i="3"/>
  <c r="AC9" i="3"/>
  <c r="Y10" i="3"/>
  <c r="AC10" i="3"/>
  <c r="Y11" i="3"/>
  <c r="AC11" i="3"/>
  <c r="Y12" i="3"/>
  <c r="AC12" i="3"/>
  <c r="Y13" i="3"/>
  <c r="AC13" i="3"/>
  <c r="Y14" i="3"/>
  <c r="AC14" i="3"/>
  <c r="Y15" i="3"/>
  <c r="AC15" i="3"/>
  <c r="Y16" i="3"/>
  <c r="AC16" i="3"/>
  <c r="Y17" i="3"/>
  <c r="AC17" i="3"/>
  <c r="Y18" i="3"/>
  <c r="AC18" i="3"/>
  <c r="Y19" i="3"/>
  <c r="AC19" i="3"/>
  <c r="Y20" i="3"/>
  <c r="AC20" i="3"/>
  <c r="Y21" i="3"/>
  <c r="AC21" i="3"/>
  <c r="Y22" i="3"/>
  <c r="AC22" i="3"/>
  <c r="Y23" i="3"/>
  <c r="AC23" i="3"/>
  <c r="Y24" i="3"/>
  <c r="AC24" i="3"/>
  <c r="Y25" i="3"/>
  <c r="AC25" i="3"/>
  <c r="Y26" i="3"/>
  <c r="AC26" i="3"/>
  <c r="Y27" i="3"/>
  <c r="AC27" i="3"/>
  <c r="Y28" i="3"/>
  <c r="AC28" i="3"/>
  <c r="Y29" i="3"/>
  <c r="AC29" i="3"/>
  <c r="Y30" i="3"/>
  <c r="AC30" i="3"/>
  <c r="Y31" i="3"/>
  <c r="AC31" i="3"/>
  <c r="Y32" i="3"/>
  <c r="AC32" i="3"/>
  <c r="Y33" i="3"/>
  <c r="AC33" i="3"/>
  <c r="Y34" i="3"/>
  <c r="AC34" i="3"/>
  <c r="Y35" i="3"/>
  <c r="AC35" i="3"/>
  <c r="Y36" i="3"/>
  <c r="AC36" i="3"/>
  <c r="Y37" i="3"/>
  <c r="AC37" i="3"/>
  <c r="Y38" i="3"/>
  <c r="AC38" i="3"/>
  <c r="Y39" i="3"/>
  <c r="AC39" i="3"/>
  <c r="Y40" i="3"/>
  <c r="AC40" i="3"/>
  <c r="Y41" i="3"/>
  <c r="AC41" i="3"/>
  <c r="Y42" i="3"/>
  <c r="AC42" i="3"/>
  <c r="Y43" i="3"/>
  <c r="AC43" i="3"/>
  <c r="Y44" i="3"/>
  <c r="AC44" i="3"/>
  <c r="Y45" i="3"/>
  <c r="AC45" i="3"/>
  <c r="Y46" i="3"/>
  <c r="AC46" i="3"/>
  <c r="Y47" i="3"/>
  <c r="AC47" i="3"/>
  <c r="X200" i="1"/>
  <c r="X201" i="1"/>
  <c r="X202" i="1"/>
  <c r="X203" i="1"/>
  <c r="M18" i="3"/>
  <c r="N18" i="3"/>
  <c r="U18" i="3"/>
  <c r="T18" i="3" s="1"/>
  <c r="V18" i="3"/>
  <c r="W18" i="3"/>
  <c r="X18" i="3"/>
  <c r="M29" i="3"/>
  <c r="N29" i="3"/>
  <c r="U29" i="3"/>
  <c r="T29" i="3" s="1"/>
  <c r="V29" i="3"/>
  <c r="W29" i="3"/>
  <c r="X29" i="3"/>
  <c r="M14" i="3"/>
  <c r="N14" i="3"/>
  <c r="U14" i="3"/>
  <c r="T14" i="3" s="1"/>
  <c r="V14" i="3"/>
  <c r="W14" i="3"/>
  <c r="X14" i="3"/>
  <c r="M27" i="3"/>
  <c r="N27" i="3"/>
  <c r="U27" i="3"/>
  <c r="T27" i="3" s="1"/>
  <c r="V27" i="3"/>
  <c r="W27" i="3"/>
  <c r="X27" i="3"/>
  <c r="M10" i="3"/>
  <c r="N10" i="3"/>
  <c r="U10" i="3"/>
  <c r="T10" i="3" s="1"/>
  <c r="V10" i="3"/>
  <c r="W10" i="3"/>
  <c r="X10" i="3"/>
  <c r="M11" i="3"/>
  <c r="N11" i="3"/>
  <c r="U11" i="3"/>
  <c r="T11" i="3" s="1"/>
  <c r="V11" i="3"/>
  <c r="W11" i="3"/>
  <c r="X11" i="3"/>
  <c r="M13" i="3"/>
  <c r="N13" i="3"/>
  <c r="U13" i="3"/>
  <c r="T13" i="3" s="1"/>
  <c r="V13" i="3"/>
  <c r="W13" i="3"/>
  <c r="X13" i="3"/>
  <c r="M9" i="3"/>
  <c r="N9" i="3"/>
  <c r="U9" i="3"/>
  <c r="T9" i="3" s="1"/>
  <c r="V9" i="3"/>
  <c r="W9" i="3"/>
  <c r="X9" i="3"/>
  <c r="M21" i="3"/>
  <c r="N21" i="3"/>
  <c r="U21" i="3"/>
  <c r="T21" i="3" s="1"/>
  <c r="V21" i="3"/>
  <c r="W21" i="3"/>
  <c r="X21" i="3"/>
  <c r="M33" i="3"/>
  <c r="N33" i="3"/>
  <c r="U33" i="3"/>
  <c r="T33" i="3" s="1"/>
  <c r="V33" i="3"/>
  <c r="W33" i="3"/>
  <c r="X33" i="3"/>
  <c r="M12" i="3"/>
  <c r="N12" i="3"/>
  <c r="R12" i="3"/>
  <c r="U12" i="3"/>
  <c r="T12" i="3" s="1"/>
  <c r="V12" i="3"/>
  <c r="W12" i="3"/>
  <c r="X12" i="3"/>
  <c r="M24" i="3"/>
  <c r="N24" i="3"/>
  <c r="U24" i="3"/>
  <c r="T24" i="3" s="1"/>
  <c r="V24" i="3"/>
  <c r="W24" i="3"/>
  <c r="X24" i="3"/>
  <c r="M20" i="3"/>
  <c r="N20" i="3"/>
  <c r="U20" i="3"/>
  <c r="T20" i="3" s="1"/>
  <c r="V20" i="3"/>
  <c r="W20" i="3"/>
  <c r="X20" i="3"/>
  <c r="M15" i="3"/>
  <c r="N15" i="3"/>
  <c r="U15" i="3"/>
  <c r="T15" i="3" s="1"/>
  <c r="V15" i="3"/>
  <c r="W15" i="3"/>
  <c r="X15" i="3"/>
  <c r="M26" i="3"/>
  <c r="N26" i="3"/>
  <c r="U26" i="3"/>
  <c r="T26" i="3" s="1"/>
  <c r="V26" i="3"/>
  <c r="W26" i="3"/>
  <c r="X26" i="3"/>
  <c r="M42" i="3"/>
  <c r="N42" i="3"/>
  <c r="U42" i="3"/>
  <c r="T42" i="3" s="1"/>
  <c r="V42" i="3"/>
  <c r="W42" i="3"/>
  <c r="X42" i="3"/>
  <c r="M30" i="3"/>
  <c r="N30" i="3"/>
  <c r="U30" i="3"/>
  <c r="T30" i="3" s="1"/>
  <c r="V30" i="3"/>
  <c r="W30" i="3"/>
  <c r="X30" i="3"/>
  <c r="M28" i="3"/>
  <c r="N28" i="3"/>
  <c r="U28" i="3"/>
  <c r="T28" i="3" s="1"/>
  <c r="V28" i="3"/>
  <c r="W28" i="3"/>
  <c r="X28" i="3"/>
  <c r="M31" i="3"/>
  <c r="N31" i="3"/>
  <c r="U31" i="3"/>
  <c r="T31" i="3" s="1"/>
  <c r="V31" i="3"/>
  <c r="W31" i="3"/>
  <c r="X31" i="3"/>
  <c r="M37" i="3"/>
  <c r="N37" i="3"/>
  <c r="U37" i="3"/>
  <c r="T37" i="3" s="1"/>
  <c r="V37" i="3"/>
  <c r="W37" i="3"/>
  <c r="X37" i="3"/>
  <c r="M19" i="3"/>
  <c r="N19" i="3"/>
  <c r="U19" i="3"/>
  <c r="T19" i="3" s="1"/>
  <c r="V19" i="3"/>
  <c r="W19" i="3"/>
  <c r="X19" i="3"/>
  <c r="M7" i="3"/>
  <c r="N7" i="3"/>
  <c r="U7" i="3"/>
  <c r="T7" i="3" s="1"/>
  <c r="V7" i="3"/>
  <c r="W7" i="3"/>
  <c r="X7" i="3"/>
  <c r="M8" i="3"/>
  <c r="N8" i="3"/>
  <c r="U8" i="3"/>
  <c r="T8" i="3" s="1"/>
  <c r="V8" i="3"/>
  <c r="W8" i="3"/>
  <c r="X8" i="3"/>
  <c r="M40" i="3"/>
  <c r="N40" i="3"/>
  <c r="U40" i="3"/>
  <c r="T40" i="3" s="1"/>
  <c r="V40" i="3"/>
  <c r="W40" i="3"/>
  <c r="X40" i="3"/>
  <c r="M23" i="3"/>
  <c r="N23" i="3"/>
  <c r="U23" i="3"/>
  <c r="T23" i="3" s="1"/>
  <c r="V23" i="3"/>
  <c r="W23" i="3"/>
  <c r="X23" i="3"/>
  <c r="M32" i="3"/>
  <c r="N32" i="3"/>
  <c r="U32" i="3"/>
  <c r="T32" i="3" s="1"/>
  <c r="V32" i="3"/>
  <c r="W32" i="3"/>
  <c r="X32" i="3"/>
  <c r="M34" i="3"/>
  <c r="N34" i="3"/>
  <c r="U34" i="3"/>
  <c r="T34" i="3" s="1"/>
  <c r="V34" i="3"/>
  <c r="W34" i="3"/>
  <c r="X34" i="3"/>
  <c r="M36" i="3"/>
  <c r="N36" i="3"/>
  <c r="U36" i="3"/>
  <c r="T36" i="3" s="1"/>
  <c r="V36" i="3"/>
  <c r="W36" i="3"/>
  <c r="X36" i="3"/>
  <c r="M35" i="3"/>
  <c r="N35" i="3"/>
  <c r="U35" i="3"/>
  <c r="T35" i="3" s="1"/>
  <c r="V35" i="3"/>
  <c r="W35" i="3"/>
  <c r="X35" i="3"/>
  <c r="M25" i="3"/>
  <c r="N25" i="3"/>
  <c r="U25" i="3"/>
  <c r="T25" i="3" s="1"/>
  <c r="V25" i="3"/>
  <c r="W25" i="3"/>
  <c r="X25" i="3"/>
  <c r="M46" i="3"/>
  <c r="N46" i="3"/>
  <c r="U46" i="3"/>
  <c r="T46" i="3" s="1"/>
  <c r="V46" i="3"/>
  <c r="W46" i="3"/>
  <c r="X46" i="3"/>
  <c r="M45" i="3"/>
  <c r="N45" i="3"/>
  <c r="U45" i="3"/>
  <c r="T45" i="3" s="1"/>
  <c r="V45" i="3"/>
  <c r="W45" i="3"/>
  <c r="X45" i="3"/>
  <c r="M38" i="3"/>
  <c r="N38" i="3"/>
  <c r="U38" i="3"/>
  <c r="T38" i="3" s="1"/>
  <c r="V38" i="3"/>
  <c r="W38" i="3"/>
  <c r="X38" i="3"/>
  <c r="M47" i="3"/>
  <c r="N47" i="3"/>
  <c r="U47" i="3"/>
  <c r="T47" i="3" s="1"/>
  <c r="V47" i="3"/>
  <c r="W47" i="3"/>
  <c r="X47" i="3"/>
  <c r="M22" i="3"/>
  <c r="N22" i="3"/>
  <c r="U22" i="3"/>
  <c r="T22" i="3" s="1"/>
  <c r="V22" i="3"/>
  <c r="W22" i="3"/>
  <c r="X22" i="3"/>
  <c r="M43" i="3"/>
  <c r="N43" i="3"/>
  <c r="U43" i="3"/>
  <c r="T43" i="3" s="1"/>
  <c r="V43" i="3"/>
  <c r="W43" i="3"/>
  <c r="X43" i="3"/>
  <c r="M39" i="3"/>
  <c r="N39" i="3"/>
  <c r="U39" i="3"/>
  <c r="T39" i="3" s="1"/>
  <c r="V39" i="3"/>
  <c r="W39" i="3"/>
  <c r="X39" i="3"/>
  <c r="M44" i="3"/>
  <c r="N44" i="3"/>
  <c r="U44" i="3"/>
  <c r="T44" i="3" s="1"/>
  <c r="V44" i="3"/>
  <c r="W44" i="3"/>
  <c r="X44" i="3"/>
  <c r="M41" i="3"/>
  <c r="N41" i="3"/>
  <c r="U41" i="3"/>
  <c r="T41" i="3" s="1"/>
  <c r="V41" i="3"/>
  <c r="W41" i="3"/>
  <c r="X41" i="3"/>
  <c r="M16" i="3"/>
  <c r="N16" i="3"/>
  <c r="U16" i="3"/>
  <c r="T16" i="3" s="1"/>
  <c r="V16" i="3"/>
  <c r="W16" i="3"/>
  <c r="X16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S29" i="3" s="1"/>
  <c r="Y28" i="1"/>
  <c r="Z28" i="1"/>
  <c r="AB28" i="1"/>
  <c r="AC28" i="1"/>
  <c r="AD28" i="1"/>
  <c r="T28" i="1" s="1"/>
  <c r="AE28" i="1"/>
  <c r="R18" i="3" s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V36" i="1"/>
  <c r="S10" i="3" s="1"/>
  <c r="Y36" i="1"/>
  <c r="Z36" i="1"/>
  <c r="AB36" i="1"/>
  <c r="AC36" i="1"/>
  <c r="AD36" i="1"/>
  <c r="T36" i="1" s="1"/>
  <c r="AE36" i="1"/>
  <c r="R10" i="3" s="1"/>
  <c r="AF36" i="1"/>
  <c r="K37" i="1"/>
  <c r="L37" i="1"/>
  <c r="M37" i="1"/>
  <c r="V37" i="1"/>
  <c r="Y37" i="1"/>
  <c r="Z37" i="1"/>
  <c r="AB37" i="1"/>
  <c r="AC37" i="1"/>
  <c r="AD37" i="1"/>
  <c r="AG37" i="1" s="1"/>
  <c r="AI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S14" i="3" s="1"/>
  <c r="Y40" i="1"/>
  <c r="Z40" i="1"/>
  <c r="AB40" i="1"/>
  <c r="AC40" i="1"/>
  <c r="AD40" i="1"/>
  <c r="T40" i="1" s="1"/>
  <c r="AE40" i="1"/>
  <c r="R14" i="3" s="1"/>
  <c r="AF40" i="1"/>
  <c r="K41" i="1"/>
  <c r="L41" i="1"/>
  <c r="M41" i="1"/>
  <c r="N41" i="1" s="1"/>
  <c r="V41" i="1"/>
  <c r="S12" i="3" s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S21" i="3" s="1"/>
  <c r="Y42" i="1"/>
  <c r="Z42" i="1"/>
  <c r="AB42" i="1"/>
  <c r="AC42" i="1"/>
  <c r="AD42" i="1"/>
  <c r="AG42" i="1" s="1"/>
  <c r="AE42" i="1"/>
  <c r="R21" i="3" s="1"/>
  <c r="AF42" i="1"/>
  <c r="K43" i="1"/>
  <c r="L43" i="1"/>
  <c r="M43" i="1"/>
  <c r="N43" i="1" s="1"/>
  <c r="V43" i="1"/>
  <c r="S24" i="3" s="1"/>
  <c r="Y43" i="1"/>
  <c r="Z43" i="1"/>
  <c r="AB43" i="1"/>
  <c r="AC43" i="1"/>
  <c r="AD43" i="1"/>
  <c r="AE43" i="1"/>
  <c r="R24" i="3" s="1"/>
  <c r="AF43" i="1"/>
  <c r="K44" i="1"/>
  <c r="L44" i="1"/>
  <c r="M44" i="1"/>
  <c r="N44" i="1" s="1"/>
  <c r="V44" i="1"/>
  <c r="S9" i="3" s="1"/>
  <c r="Y44" i="1"/>
  <c r="Z44" i="1"/>
  <c r="AB44" i="1"/>
  <c r="AC44" i="1"/>
  <c r="AD44" i="1"/>
  <c r="T44" i="1" s="1"/>
  <c r="AE44" i="1"/>
  <c r="R9" i="3" s="1"/>
  <c r="AF44" i="1"/>
  <c r="K45" i="1"/>
  <c r="L45" i="1"/>
  <c r="M45" i="1"/>
  <c r="N45" i="1" s="1"/>
  <c r="T45" i="1"/>
  <c r="V45" i="1"/>
  <c r="S20" i="3" s="1"/>
  <c r="Y45" i="1"/>
  <c r="Z45" i="1"/>
  <c r="AB45" i="1"/>
  <c r="AC45" i="1"/>
  <c r="AD45" i="1"/>
  <c r="AG45" i="1" s="1"/>
  <c r="AE45" i="1"/>
  <c r="R20" i="3" s="1"/>
  <c r="AF45" i="1"/>
  <c r="K46" i="1"/>
  <c r="L46" i="1"/>
  <c r="M46" i="1"/>
  <c r="N46" i="1" s="1"/>
  <c r="T46" i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S30" i="3" s="1"/>
  <c r="Y53" i="1"/>
  <c r="Z53" i="1"/>
  <c r="AB53" i="1"/>
  <c r="AC53" i="1"/>
  <c r="AD53" i="1"/>
  <c r="AE53" i="1"/>
  <c r="R30" i="3" s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S15" i="3" s="1"/>
  <c r="Y56" i="1"/>
  <c r="Z56" i="1"/>
  <c r="AB56" i="1"/>
  <c r="AC56" i="1"/>
  <c r="AD56" i="1"/>
  <c r="T56" i="1" s="1"/>
  <c r="AE56" i="1"/>
  <c r="R15" i="3" s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V59" i="1"/>
  <c r="S28" i="3" s="1"/>
  <c r="Y59" i="1"/>
  <c r="Z59" i="1"/>
  <c r="AB59" i="1"/>
  <c r="AC59" i="1"/>
  <c r="AD59" i="1"/>
  <c r="AE59" i="1"/>
  <c r="R28" i="3" s="1"/>
  <c r="AF59" i="1"/>
  <c r="K60" i="1"/>
  <c r="L60" i="1"/>
  <c r="M60" i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V62" i="1"/>
  <c r="Y62" i="1"/>
  <c r="Z62" i="1"/>
  <c r="AB62" i="1"/>
  <c r="AC62" i="1"/>
  <c r="AD62" i="1"/>
  <c r="AE62" i="1"/>
  <c r="AF62" i="1"/>
  <c r="K63" i="1"/>
  <c r="L63" i="1"/>
  <c r="M63" i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P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V66" i="1"/>
  <c r="Y66" i="1"/>
  <c r="Z66" i="1"/>
  <c r="AB66" i="1"/>
  <c r="AC66" i="1"/>
  <c r="AD66" i="1"/>
  <c r="AE66" i="1"/>
  <c r="AF66" i="1"/>
  <c r="K67" i="1"/>
  <c r="L67" i="1"/>
  <c r="M67" i="1"/>
  <c r="P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K69" i="1"/>
  <c r="L69" i="1"/>
  <c r="M69" i="1"/>
  <c r="V69" i="1"/>
  <c r="Y69" i="1"/>
  <c r="Z69" i="1"/>
  <c r="AB69" i="1"/>
  <c r="AC69" i="1"/>
  <c r="AD69" i="1"/>
  <c r="AG69" i="1" s="1"/>
  <c r="AE69" i="1"/>
  <c r="AF69" i="1"/>
  <c r="K70" i="1"/>
  <c r="L70" i="1"/>
  <c r="M70" i="1"/>
  <c r="P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V71" i="1"/>
  <c r="Y71" i="1"/>
  <c r="Z71" i="1"/>
  <c r="AB71" i="1"/>
  <c r="AC71" i="1"/>
  <c r="AD71" i="1"/>
  <c r="T71" i="1" s="1"/>
  <c r="AE71" i="1"/>
  <c r="AF71" i="1"/>
  <c r="K72" i="1"/>
  <c r="L72" i="1"/>
  <c r="M72" i="1"/>
  <c r="V72" i="1"/>
  <c r="Y72" i="1"/>
  <c r="Z72" i="1"/>
  <c r="AB72" i="1"/>
  <c r="AC72" i="1"/>
  <c r="AD72" i="1"/>
  <c r="T72" i="1" s="1"/>
  <c r="AE72" i="1"/>
  <c r="AF72" i="1"/>
  <c r="K73" i="1"/>
  <c r="L73" i="1"/>
  <c r="M73" i="1"/>
  <c r="P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V74" i="1"/>
  <c r="Y74" i="1"/>
  <c r="Z74" i="1"/>
  <c r="AB74" i="1"/>
  <c r="AC74" i="1"/>
  <c r="AD74" i="1"/>
  <c r="AE74" i="1"/>
  <c r="AF74" i="1"/>
  <c r="K75" i="1"/>
  <c r="L75" i="1"/>
  <c r="M75" i="1"/>
  <c r="V75" i="1"/>
  <c r="Y75" i="1"/>
  <c r="Z75" i="1"/>
  <c r="AB75" i="1"/>
  <c r="AC75" i="1"/>
  <c r="AD75" i="1"/>
  <c r="AE75" i="1"/>
  <c r="AF75" i="1"/>
  <c r="K76" i="1"/>
  <c r="L76" i="1"/>
  <c r="M76" i="1"/>
  <c r="V76" i="1"/>
  <c r="Y76" i="1"/>
  <c r="Z76" i="1"/>
  <c r="AB76" i="1"/>
  <c r="AC76" i="1"/>
  <c r="AD76" i="1"/>
  <c r="T76" i="1" s="1"/>
  <c r="AE76" i="1"/>
  <c r="AF76" i="1"/>
  <c r="K77" i="1"/>
  <c r="L77" i="1"/>
  <c r="M77" i="1"/>
  <c r="P77" i="1" s="1"/>
  <c r="V77" i="1"/>
  <c r="Y77" i="1"/>
  <c r="Z77" i="1"/>
  <c r="AB77" i="1"/>
  <c r="AC77" i="1"/>
  <c r="AD77" i="1"/>
  <c r="AE77" i="1"/>
  <c r="AF77" i="1"/>
  <c r="K78" i="1"/>
  <c r="L78" i="1"/>
  <c r="M78" i="1"/>
  <c r="V78" i="1"/>
  <c r="S31" i="3" s="1"/>
  <c r="Y78" i="1"/>
  <c r="Z78" i="1"/>
  <c r="AB78" i="1"/>
  <c r="AC78" i="1"/>
  <c r="AD78" i="1"/>
  <c r="AG78" i="1" s="1"/>
  <c r="AE78" i="1"/>
  <c r="R31" i="3" s="1"/>
  <c r="AF78" i="1"/>
  <c r="K79" i="1"/>
  <c r="L79" i="1"/>
  <c r="M79" i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P81" i="1" s="1"/>
  <c r="V81" i="1"/>
  <c r="Y81" i="1"/>
  <c r="Z81" i="1"/>
  <c r="AB81" i="1"/>
  <c r="AC81" i="1"/>
  <c r="AD81" i="1"/>
  <c r="AE81" i="1"/>
  <c r="AF81" i="1"/>
  <c r="K82" i="1"/>
  <c r="L82" i="1"/>
  <c r="M82" i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P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S19" i="3" s="1"/>
  <c r="Y86" i="1"/>
  <c r="Z86" i="1"/>
  <c r="AB86" i="1"/>
  <c r="AC86" i="1"/>
  <c r="AD86" i="1"/>
  <c r="AE86" i="1"/>
  <c r="R19" i="3" s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S7" i="3" s="1"/>
  <c r="Y96" i="1"/>
  <c r="Z96" i="1"/>
  <c r="AB96" i="1"/>
  <c r="AC96" i="1"/>
  <c r="AD96" i="1"/>
  <c r="AG96" i="1" s="1"/>
  <c r="AE96" i="1"/>
  <c r="R7" i="3" s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S8" i="3" s="1"/>
  <c r="Y98" i="1"/>
  <c r="Z98" i="1"/>
  <c r="AB98" i="1"/>
  <c r="AC98" i="1"/>
  <c r="AD98" i="1"/>
  <c r="T98" i="1" s="1"/>
  <c r="AE98" i="1"/>
  <c r="R8" i="3" s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S42" i="3" s="1"/>
  <c r="Y176" i="1"/>
  <c r="Z176" i="1"/>
  <c r="AB176" i="1"/>
  <c r="AC176" i="1"/>
  <c r="AD176" i="1"/>
  <c r="T176" i="1" s="1"/>
  <c r="AE176" i="1"/>
  <c r="R42" i="3" s="1"/>
  <c r="AF176" i="1"/>
  <c r="K177" i="1"/>
  <c r="L177" i="1"/>
  <c r="M177" i="1"/>
  <c r="N177" i="1" s="1"/>
  <c r="V177" i="1"/>
  <c r="Y177" i="1"/>
  <c r="Z177" i="1"/>
  <c r="AI177" i="1" s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S37" i="3" s="1"/>
  <c r="Y183" i="1"/>
  <c r="Z183" i="1"/>
  <c r="AB183" i="1"/>
  <c r="AC183" i="1"/>
  <c r="AD183" i="1"/>
  <c r="T183" i="1" s="1"/>
  <c r="AE183" i="1"/>
  <c r="R37" i="3" s="1"/>
  <c r="AF183" i="1"/>
  <c r="K184" i="1"/>
  <c r="L184" i="1"/>
  <c r="M184" i="1"/>
  <c r="N184" i="1" s="1"/>
  <c r="T184" i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S40" i="3" s="1"/>
  <c r="Y187" i="1"/>
  <c r="Z187" i="1"/>
  <c r="AB187" i="1"/>
  <c r="AC187" i="1"/>
  <c r="AD187" i="1"/>
  <c r="AG187" i="1" s="1"/>
  <c r="AE187" i="1"/>
  <c r="R40" i="3" s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04" i="1"/>
  <c r="L104" i="1"/>
  <c r="M104" i="1"/>
  <c r="N104" i="1" s="1"/>
  <c r="V104" i="1"/>
  <c r="S32" i="3" s="1"/>
  <c r="Y104" i="1"/>
  <c r="Z104" i="1"/>
  <c r="AB104" i="1"/>
  <c r="AC104" i="1"/>
  <c r="AD104" i="1"/>
  <c r="AG104" i="1" s="1"/>
  <c r="AE104" i="1"/>
  <c r="R32" i="3" s="1"/>
  <c r="AF104" i="1"/>
  <c r="K189" i="1"/>
  <c r="L189" i="1"/>
  <c r="M189" i="1"/>
  <c r="N189" i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S36" i="3" s="1"/>
  <c r="Y191" i="1"/>
  <c r="Z191" i="1"/>
  <c r="AB191" i="1"/>
  <c r="AC191" i="1"/>
  <c r="AD191" i="1"/>
  <c r="AG191" i="1" s="1"/>
  <c r="AE191" i="1"/>
  <c r="R36" i="3" s="1"/>
  <c r="AF191" i="1"/>
  <c r="K192" i="1"/>
  <c r="L192" i="1"/>
  <c r="M192" i="1"/>
  <c r="N192" i="1" s="1"/>
  <c r="V192" i="1"/>
  <c r="S38" i="3" s="1"/>
  <c r="Y192" i="1"/>
  <c r="Z192" i="1"/>
  <c r="AB192" i="1"/>
  <c r="AC192" i="1"/>
  <c r="AD192" i="1"/>
  <c r="AG192" i="1" s="1"/>
  <c r="AE192" i="1"/>
  <c r="R38" i="3" s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X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S43" i="3" s="1"/>
  <c r="Y196" i="1"/>
  <c r="Z196" i="1"/>
  <c r="AB196" i="1"/>
  <c r="AC196" i="1"/>
  <c r="AD196" i="1"/>
  <c r="AE196" i="1"/>
  <c r="R43" i="3" s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S39" i="3" s="1"/>
  <c r="Y200" i="1"/>
  <c r="Z200" i="1"/>
  <c r="AB200" i="1"/>
  <c r="AC200" i="1"/>
  <c r="AD200" i="1"/>
  <c r="AE200" i="1"/>
  <c r="R39" i="3" s="1"/>
  <c r="AF200" i="1"/>
  <c r="K201" i="1"/>
  <c r="L201" i="1"/>
  <c r="M201" i="1"/>
  <c r="N201" i="1" s="1"/>
  <c r="V201" i="1"/>
  <c r="S41" i="3" s="1"/>
  <c r="Y201" i="1"/>
  <c r="Z201" i="1"/>
  <c r="AB201" i="1"/>
  <c r="AC201" i="1"/>
  <c r="AD201" i="1"/>
  <c r="T201" i="1" s="1"/>
  <c r="AE201" i="1"/>
  <c r="R41" i="3" s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S23" i="3" s="1"/>
  <c r="Y108" i="1"/>
  <c r="Z108" i="1"/>
  <c r="AB108" i="1"/>
  <c r="AC108" i="1"/>
  <c r="AD108" i="1"/>
  <c r="T108" i="1" s="1"/>
  <c r="AE108" i="1"/>
  <c r="R23" i="3" s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S34" i="3" s="1"/>
  <c r="Y121" i="1"/>
  <c r="Z121" i="1"/>
  <c r="AB121" i="1"/>
  <c r="AC121" i="1"/>
  <c r="AD121" i="1"/>
  <c r="AG121" i="1" s="1"/>
  <c r="AE121" i="1"/>
  <c r="R34" i="3" s="1"/>
  <c r="AF121" i="1"/>
  <c r="K122" i="1"/>
  <c r="L122" i="1"/>
  <c r="M122" i="1"/>
  <c r="N122" i="1" s="1"/>
  <c r="V122" i="1"/>
  <c r="S25" i="3" s="1"/>
  <c r="Y122" i="1"/>
  <c r="Z122" i="1"/>
  <c r="AB122" i="1"/>
  <c r="AC122" i="1"/>
  <c r="AD122" i="1"/>
  <c r="AE122" i="1"/>
  <c r="R25" i="3" s="1"/>
  <c r="AF122" i="1"/>
  <c r="K123" i="1"/>
  <c r="L123" i="1"/>
  <c r="M123" i="1"/>
  <c r="N123" i="1" s="1"/>
  <c r="V123" i="1"/>
  <c r="S35" i="3" s="1"/>
  <c r="Y123" i="1"/>
  <c r="Z123" i="1"/>
  <c r="AB123" i="1"/>
  <c r="AC123" i="1"/>
  <c r="AD123" i="1"/>
  <c r="AG123" i="1" s="1"/>
  <c r="AE123" i="1"/>
  <c r="R35" i="3" s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S22" i="3" s="1"/>
  <c r="Y143" i="1"/>
  <c r="Z143" i="1"/>
  <c r="AB143" i="1"/>
  <c r="AC143" i="1"/>
  <c r="AD143" i="1"/>
  <c r="AG143" i="1" s="1"/>
  <c r="AE143" i="1"/>
  <c r="R22" i="3" s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S16" i="3" s="1"/>
  <c r="Y167" i="1"/>
  <c r="Z167" i="1"/>
  <c r="AB167" i="1"/>
  <c r="AC167" i="1"/>
  <c r="AD167" i="1"/>
  <c r="AG167" i="1" s="1"/>
  <c r="AE167" i="1"/>
  <c r="R16" i="3" s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/>
  <c r="V215" i="1"/>
  <c r="S46" i="3" s="1"/>
  <c r="Y215" i="1"/>
  <c r="Z215" i="1"/>
  <c r="AB215" i="1"/>
  <c r="AC215" i="1"/>
  <c r="AD215" i="1"/>
  <c r="T215" i="1" s="1"/>
  <c r="AE215" i="1"/>
  <c r="R45" i="3" s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S47" i="3" s="1"/>
  <c r="Y217" i="1"/>
  <c r="Z217" i="1"/>
  <c r="AB217" i="1"/>
  <c r="AC217" i="1"/>
  <c r="AD217" i="1"/>
  <c r="T217" i="1" s="1"/>
  <c r="AE217" i="1"/>
  <c r="R47" i="3" s="1"/>
  <c r="AF217" i="1"/>
  <c r="X170" i="1" l="1"/>
  <c r="AA131" i="1"/>
  <c r="W131" i="1" s="1"/>
  <c r="X169" i="1"/>
  <c r="P71" i="1"/>
  <c r="P62" i="1"/>
  <c r="P59" i="1"/>
  <c r="AA50" i="1"/>
  <c r="X168" i="1"/>
  <c r="AA113" i="1"/>
  <c r="X171" i="1"/>
  <c r="X167" i="1"/>
  <c r="AA214" i="1"/>
  <c r="AA167" i="1"/>
  <c r="W167" i="1" s="1"/>
  <c r="AA157" i="1"/>
  <c r="AA128" i="1"/>
  <c r="W128" i="1" s="1"/>
  <c r="X105" i="1"/>
  <c r="AI174" i="1"/>
  <c r="AA174" i="1"/>
  <c r="P78" i="1"/>
  <c r="P74" i="1"/>
  <c r="AA64" i="1"/>
  <c r="P37" i="1"/>
  <c r="X129" i="1"/>
  <c r="AA139" i="1"/>
  <c r="W139" i="1" s="1"/>
  <c r="AA184" i="1"/>
  <c r="W184" i="1" s="1"/>
  <c r="AA95" i="1"/>
  <c r="P68" i="1"/>
  <c r="S33" i="3"/>
  <c r="X128" i="1"/>
  <c r="X213" i="1"/>
  <c r="AA172" i="1"/>
  <c r="W172" i="1" s="1"/>
  <c r="AI94" i="1"/>
  <c r="AI90" i="1"/>
  <c r="AA90" i="1"/>
  <c r="X61" i="1"/>
  <c r="AA123" i="1"/>
  <c r="AA195" i="1"/>
  <c r="W195" i="1" s="1"/>
  <c r="AA170" i="1"/>
  <c r="AA92" i="1"/>
  <c r="X20" i="1"/>
  <c r="AA147" i="1"/>
  <c r="W147" i="1" s="1"/>
  <c r="AA142" i="1"/>
  <c r="AA212" i="1"/>
  <c r="W212" i="1" s="1"/>
  <c r="AA191" i="1"/>
  <c r="W191" i="1" s="1"/>
  <c r="AA81" i="1"/>
  <c r="AA61" i="1"/>
  <c r="W61" i="1" s="1"/>
  <c r="AA18" i="1"/>
  <c r="AA14" i="1"/>
  <c r="X81" i="1"/>
  <c r="AA80" i="1"/>
  <c r="X77" i="1"/>
  <c r="AI70" i="1"/>
  <c r="AG68" i="1"/>
  <c r="AI68" i="1" s="1"/>
  <c r="AA54" i="1"/>
  <c r="X49" i="1"/>
  <c r="S13" i="3"/>
  <c r="S18" i="3"/>
  <c r="S26" i="3"/>
  <c r="S11" i="3"/>
  <c r="AA204" i="1"/>
  <c r="AA136" i="1"/>
  <c r="W136" i="1" s="1"/>
  <c r="AG134" i="1"/>
  <c r="AI134" i="1" s="1"/>
  <c r="X126" i="1"/>
  <c r="AA202" i="1"/>
  <c r="W202" i="1" s="1"/>
  <c r="X193" i="1"/>
  <c r="AA132" i="1"/>
  <c r="AA124" i="1"/>
  <c r="W124" i="1" s="1"/>
  <c r="AI190" i="1"/>
  <c r="AA93" i="1"/>
  <c r="AG82" i="1"/>
  <c r="AI82" i="1" s="1"/>
  <c r="X82" i="1"/>
  <c r="AA77" i="1"/>
  <c r="AA73" i="1"/>
  <c r="AI46" i="1"/>
  <c r="R46" i="3"/>
  <c r="S27" i="3"/>
  <c r="AA164" i="1"/>
  <c r="AG149" i="1"/>
  <c r="U149" i="1" s="1"/>
  <c r="S149" i="1" s="1"/>
  <c r="X149" i="1"/>
  <c r="AA117" i="1"/>
  <c r="T105" i="1"/>
  <c r="AA197" i="1"/>
  <c r="AA169" i="1"/>
  <c r="W169" i="1" s="1"/>
  <c r="T81" i="1"/>
  <c r="AA79" i="1"/>
  <c r="AA78" i="1"/>
  <c r="W78" i="1" s="1"/>
  <c r="AA74" i="1"/>
  <c r="AI69" i="1"/>
  <c r="AI61" i="1"/>
  <c r="AA38" i="1"/>
  <c r="W38" i="1" s="1"/>
  <c r="AA37" i="1"/>
  <c r="W37" i="1" s="1"/>
  <c r="AA25" i="1"/>
  <c r="R27" i="3"/>
  <c r="AA154" i="1"/>
  <c r="W154" i="1" s="1"/>
  <c r="AG64" i="1"/>
  <c r="AG60" i="1"/>
  <c r="AI60" i="1" s="1"/>
  <c r="AG54" i="1"/>
  <c r="U54" i="1" s="1"/>
  <c r="AG40" i="1"/>
  <c r="X21" i="1"/>
  <c r="AA21" i="1"/>
  <c r="AG19" i="1"/>
  <c r="AI19" i="1" s="1"/>
  <c r="R26" i="3"/>
  <c r="R33" i="3"/>
  <c r="R13" i="3"/>
  <c r="R11" i="3"/>
  <c r="R29" i="3"/>
  <c r="AG203" i="1"/>
  <c r="U203" i="1" s="1"/>
  <c r="S203" i="1" s="1"/>
  <c r="AG158" i="1"/>
  <c r="U158" i="1" s="1"/>
  <c r="S158" i="1" s="1"/>
  <c r="X158" i="1"/>
  <c r="X155" i="1"/>
  <c r="AG98" i="1"/>
  <c r="AI98" i="1" s="1"/>
  <c r="X90" i="1"/>
  <c r="X64" i="1"/>
  <c r="AG142" i="1"/>
  <c r="W142" i="1" s="1"/>
  <c r="X142" i="1"/>
  <c r="AA119" i="1"/>
  <c r="AG115" i="1"/>
  <c r="AI115" i="1" s="1"/>
  <c r="X115" i="1"/>
  <c r="AG107" i="1"/>
  <c r="AG201" i="1"/>
  <c r="AI201" i="1" s="1"/>
  <c r="AG105" i="1"/>
  <c r="AI105" i="1" s="1"/>
  <c r="AI178" i="1"/>
  <c r="T172" i="1"/>
  <c r="U172" i="1" s="1"/>
  <c r="S172" i="1" s="1"/>
  <c r="AG101" i="1"/>
  <c r="U101" i="1" s="1"/>
  <c r="AA94" i="1"/>
  <c r="W94" i="1" s="1"/>
  <c r="X93" i="1"/>
  <c r="T89" i="1"/>
  <c r="X86" i="1"/>
  <c r="AI47" i="1"/>
  <c r="AA46" i="1"/>
  <c r="W46" i="1" s="1"/>
  <c r="AA33" i="1"/>
  <c r="AG25" i="1"/>
  <c r="S44" i="3"/>
  <c r="X116" i="1"/>
  <c r="AA108" i="1"/>
  <c r="AA177" i="1"/>
  <c r="W177" i="1" s="1"/>
  <c r="AA203" i="1"/>
  <c r="AG165" i="1"/>
  <c r="U165" i="1" s="1"/>
  <c r="S165" i="1" s="1"/>
  <c r="X165" i="1"/>
  <c r="AA155" i="1"/>
  <c r="W155" i="1" s="1"/>
  <c r="T154" i="1"/>
  <c r="U154" i="1" s="1"/>
  <c r="S154" i="1" s="1"/>
  <c r="AA151" i="1"/>
  <c r="W151" i="1" s="1"/>
  <c r="AA148" i="1"/>
  <c r="AA143" i="1"/>
  <c r="W143" i="1" s="1"/>
  <c r="AA138" i="1"/>
  <c r="AI135" i="1"/>
  <c r="T131" i="1"/>
  <c r="U131" i="1" s="1"/>
  <c r="S131" i="1" s="1"/>
  <c r="AA121" i="1"/>
  <c r="W121" i="1" s="1"/>
  <c r="AG118" i="1"/>
  <c r="AI118" i="1" s="1"/>
  <c r="AA106" i="1"/>
  <c r="AA196" i="1"/>
  <c r="AA194" i="1"/>
  <c r="AG186" i="1"/>
  <c r="AI186" i="1" s="1"/>
  <c r="X186" i="1"/>
  <c r="X103" i="1"/>
  <c r="X94" i="1"/>
  <c r="AA89" i="1"/>
  <c r="T77" i="1"/>
  <c r="AA75" i="1"/>
  <c r="X74" i="1"/>
  <c r="AA70" i="1"/>
  <c r="W70" i="1" s="1"/>
  <c r="AA68" i="1"/>
  <c r="AI65" i="1"/>
  <c r="AA63" i="1"/>
  <c r="AA60" i="1"/>
  <c r="AA49" i="1"/>
  <c r="AG32" i="1"/>
  <c r="U32" i="1" s="1"/>
  <c r="S32" i="1" s="1"/>
  <c r="X29" i="1"/>
  <c r="AA19" i="1"/>
  <c r="X17" i="1"/>
  <c r="AG15" i="1"/>
  <c r="U15" i="1" s="1"/>
  <c r="S15" i="1" s="1"/>
  <c r="R44" i="3"/>
  <c r="S45" i="3"/>
  <c r="W123" i="1"/>
  <c r="X217" i="1"/>
  <c r="AA213" i="1"/>
  <c r="AA211" i="1"/>
  <c r="AA210" i="1"/>
  <c r="AA209" i="1"/>
  <c r="W209" i="1" s="1"/>
  <c r="AG208" i="1"/>
  <c r="U208" i="1" s="1"/>
  <c r="S208" i="1" s="1"/>
  <c r="X208" i="1"/>
  <c r="AA162" i="1"/>
  <c r="AA161" i="1"/>
  <c r="AA160" i="1"/>
  <c r="AA159" i="1"/>
  <c r="W159" i="1" s="1"/>
  <c r="T159" i="1"/>
  <c r="U159" i="1" s="1"/>
  <c r="S159" i="1" s="1"/>
  <c r="X154" i="1"/>
  <c r="AG150" i="1"/>
  <c r="U150" i="1" s="1"/>
  <c r="S150" i="1" s="1"/>
  <c r="T147" i="1"/>
  <c r="U147" i="1" s="1"/>
  <c r="S147" i="1" s="1"/>
  <c r="AA146" i="1"/>
  <c r="AA141" i="1"/>
  <c r="AI139" i="1"/>
  <c r="AA134" i="1"/>
  <c r="W134" i="1" s="1"/>
  <c r="AA127" i="1"/>
  <c r="T123" i="1"/>
  <c r="AA115" i="1"/>
  <c r="X109" i="1"/>
  <c r="AA199" i="1"/>
  <c r="W199" i="1" s="1"/>
  <c r="AA104" i="1"/>
  <c r="AA188" i="1"/>
  <c r="AA187" i="1"/>
  <c r="W187" i="1" s="1"/>
  <c r="AA185" i="1"/>
  <c r="AG176" i="1"/>
  <c r="U176" i="1" s="1"/>
  <c r="S176" i="1" s="1"/>
  <c r="AA102" i="1"/>
  <c r="AA99" i="1"/>
  <c r="AG89" i="1"/>
  <c r="AA87" i="1"/>
  <c r="AA86" i="1"/>
  <c r="AA82" i="1"/>
  <c r="X73" i="1"/>
  <c r="X65" i="1"/>
  <c r="AG63" i="1"/>
  <c r="U63" i="1" s="1"/>
  <c r="X63" i="1"/>
  <c r="AA62" i="1"/>
  <c r="AG55" i="1"/>
  <c r="X55" i="1"/>
  <c r="AG52" i="1"/>
  <c r="U52" i="1" s="1"/>
  <c r="S52" i="1" s="1"/>
  <c r="X38" i="1"/>
  <c r="AA17" i="1"/>
  <c r="AA180" i="1"/>
  <c r="W180" i="1" s="1"/>
  <c r="T180" i="1"/>
  <c r="U180" i="1" s="1"/>
  <c r="S180" i="1" s="1"/>
  <c r="AA178" i="1"/>
  <c r="W178" i="1" s="1"/>
  <c r="AA91" i="1"/>
  <c r="AA71" i="1"/>
  <c r="U68" i="1"/>
  <c r="AA66" i="1"/>
  <c r="AA56" i="1"/>
  <c r="AA42" i="1"/>
  <c r="W42" i="1" s="1"/>
  <c r="X40" i="1"/>
  <c r="AA35" i="1"/>
  <c r="W35" i="1" s="1"/>
  <c r="AG21" i="1"/>
  <c r="AG211" i="1"/>
  <c r="U211" i="1" s="1"/>
  <c r="S211" i="1" s="1"/>
  <c r="X209" i="1"/>
  <c r="AA205" i="1"/>
  <c r="AA166" i="1"/>
  <c r="AA163" i="1"/>
  <c r="W163" i="1" s="1"/>
  <c r="AG161" i="1"/>
  <c r="U161" i="1" s="1"/>
  <c r="S161" i="1" s="1"/>
  <c r="X159" i="1"/>
  <c r="AI156" i="1"/>
  <c r="AI151" i="1"/>
  <c r="AA150" i="1"/>
  <c r="AG145" i="1"/>
  <c r="AI143" i="1"/>
  <c r="AA135" i="1"/>
  <c r="W135" i="1" s="1"/>
  <c r="AG133" i="1"/>
  <c r="U133" i="1" s="1"/>
  <c r="S133" i="1" s="1"/>
  <c r="X133" i="1"/>
  <c r="AG130" i="1"/>
  <c r="AI130" i="1" s="1"/>
  <c r="AG127" i="1"/>
  <c r="AI127" i="1" s="1"/>
  <c r="X118" i="1"/>
  <c r="AG112" i="1"/>
  <c r="U112" i="1" s="1"/>
  <c r="S112" i="1" s="1"/>
  <c r="AA109" i="1"/>
  <c r="W109" i="1" s="1"/>
  <c r="AA201" i="1"/>
  <c r="AA190" i="1"/>
  <c r="W190" i="1" s="1"/>
  <c r="AA183" i="1"/>
  <c r="X131" i="1"/>
  <c r="X123" i="1"/>
  <c r="AI114" i="1"/>
  <c r="X180" i="1"/>
  <c r="AG84" i="1"/>
  <c r="AG81" i="1"/>
  <c r="X78" i="1"/>
  <c r="AG71" i="1"/>
  <c r="AI71" i="1" s="1"/>
  <c r="X71" i="1"/>
  <c r="AG67" i="1"/>
  <c r="AI67" i="1" s="1"/>
  <c r="AG56" i="1"/>
  <c r="U56" i="1" s="1"/>
  <c r="S56" i="1" s="1"/>
  <c r="AA52" i="1"/>
  <c r="AA47" i="1"/>
  <c r="AA41" i="1"/>
  <c r="AI38" i="1"/>
  <c r="AG33" i="1"/>
  <c r="AI33" i="1" s="1"/>
  <c r="X33" i="1"/>
  <c r="AA30" i="1"/>
  <c r="AA29" i="1"/>
  <c r="W166" i="1"/>
  <c r="T213" i="1"/>
  <c r="AA207" i="1"/>
  <c r="AA206" i="1"/>
  <c r="X205" i="1"/>
  <c r="AG204" i="1"/>
  <c r="U204" i="1" s="1"/>
  <c r="X204" i="1"/>
  <c r="AA168" i="1"/>
  <c r="W168" i="1" s="1"/>
  <c r="T166" i="1"/>
  <c r="U166" i="1" s="1"/>
  <c r="S166" i="1" s="1"/>
  <c r="AI163" i="1"/>
  <c r="AG162" i="1"/>
  <c r="AI162" i="1" s="1"/>
  <c r="X162" i="1"/>
  <c r="T146" i="1"/>
  <c r="X146" i="1"/>
  <c r="AG146" i="1"/>
  <c r="AI146" i="1" s="1"/>
  <c r="AA217" i="1"/>
  <c r="AG216" i="1"/>
  <c r="T214" i="1"/>
  <c r="U214" i="1" s="1"/>
  <c r="S214" i="1" s="1"/>
  <c r="AG217" i="1"/>
  <c r="U217" i="1" s="1"/>
  <c r="S217" i="1" s="1"/>
  <c r="T209" i="1"/>
  <c r="U209" i="1" s="1"/>
  <c r="S209" i="1" s="1"/>
  <c r="AA216" i="1"/>
  <c r="AA215" i="1"/>
  <c r="X214" i="1"/>
  <c r="AG213" i="1"/>
  <c r="AA208" i="1"/>
  <c r="AG207" i="1"/>
  <c r="U207" i="1" s="1"/>
  <c r="S207" i="1" s="1"/>
  <c r="T205" i="1"/>
  <c r="U205" i="1" s="1"/>
  <c r="S205" i="1" s="1"/>
  <c r="AI167" i="1"/>
  <c r="T163" i="1"/>
  <c r="U163" i="1" s="1"/>
  <c r="S163" i="1" s="1"/>
  <c r="AI159" i="1"/>
  <c r="AI155" i="1"/>
  <c r="AI147" i="1"/>
  <c r="X157" i="1"/>
  <c r="AA156" i="1"/>
  <c r="W156" i="1" s="1"/>
  <c r="AA152" i="1"/>
  <c r="W152" i="1" s="1"/>
  <c r="X141" i="1"/>
  <c r="AA140" i="1"/>
  <c r="W140" i="1" s="1"/>
  <c r="AG138" i="1"/>
  <c r="U138" i="1" s="1"/>
  <c r="S138" i="1" s="1"/>
  <c r="AA130" i="1"/>
  <c r="AG129" i="1"/>
  <c r="AI129" i="1" s="1"/>
  <c r="T128" i="1"/>
  <c r="U128" i="1" s="1"/>
  <c r="S128" i="1" s="1"/>
  <c r="X127" i="1"/>
  <c r="AA126" i="1"/>
  <c r="AA120" i="1"/>
  <c r="W120" i="1" s="1"/>
  <c r="AG119" i="1"/>
  <c r="AI119" i="1" s="1"/>
  <c r="AA116" i="1"/>
  <c r="W116" i="1" s="1"/>
  <c r="T116" i="1"/>
  <c r="U116" i="1" s="1"/>
  <c r="S116" i="1" s="1"/>
  <c r="AA112" i="1"/>
  <c r="W112" i="1" s="1"/>
  <c r="AG111" i="1"/>
  <c r="AG108" i="1"/>
  <c r="U108" i="1" s="1"/>
  <c r="S108" i="1" s="1"/>
  <c r="X108" i="1"/>
  <c r="T202" i="1"/>
  <c r="U202" i="1" s="1"/>
  <c r="S202" i="1" s="1"/>
  <c r="AA200" i="1"/>
  <c r="AA105" i="1"/>
  <c r="AG198" i="1"/>
  <c r="AG194" i="1"/>
  <c r="X194" i="1"/>
  <c r="AA193" i="1"/>
  <c r="T190" i="1"/>
  <c r="U190" i="1" s="1"/>
  <c r="S190" i="1" s="1"/>
  <c r="T187" i="1"/>
  <c r="U187" i="1" s="1"/>
  <c r="S187" i="1" s="1"/>
  <c r="AG183" i="1"/>
  <c r="U183" i="1" s="1"/>
  <c r="X183" i="1"/>
  <c r="AG182" i="1"/>
  <c r="AI182" i="1" s="1"/>
  <c r="X179" i="1"/>
  <c r="AG179" i="1"/>
  <c r="AA179" i="1"/>
  <c r="X177" i="1"/>
  <c r="AA176" i="1"/>
  <c r="W176" i="1" s="1"/>
  <c r="X97" i="1"/>
  <c r="X98" i="1"/>
  <c r="AA145" i="1"/>
  <c r="W145" i="1" s="1"/>
  <c r="AA144" i="1"/>
  <c r="X143" i="1"/>
  <c r="X138" i="1"/>
  <c r="X130" i="1"/>
  <c r="AA125" i="1"/>
  <c r="W125" i="1" s="1"/>
  <c r="U123" i="1"/>
  <c r="S123" i="1" s="1"/>
  <c r="X212" i="1"/>
  <c r="X112" i="1"/>
  <c r="T109" i="1"/>
  <c r="U109" i="1" s="1"/>
  <c r="S109" i="1" s="1"/>
  <c r="X199" i="1"/>
  <c r="U105" i="1"/>
  <c r="S105" i="1" s="1"/>
  <c r="T195" i="1"/>
  <c r="W104" i="1"/>
  <c r="W174" i="1"/>
  <c r="T102" i="1"/>
  <c r="U102" i="1" s="1"/>
  <c r="S102" i="1" s="1"/>
  <c r="X102" i="1"/>
  <c r="AG102" i="1"/>
  <c r="AI102" i="1" s="1"/>
  <c r="AI78" i="1"/>
  <c r="AA158" i="1"/>
  <c r="W158" i="1" s="1"/>
  <c r="AA129" i="1"/>
  <c r="W129" i="1" s="1"/>
  <c r="AA110" i="1"/>
  <c r="AA198" i="1"/>
  <c r="X191" i="1"/>
  <c r="AA182" i="1"/>
  <c r="AA181" i="1"/>
  <c r="T143" i="1"/>
  <c r="U143" i="1" s="1"/>
  <c r="S143" i="1" s="1"/>
  <c r="U127" i="1"/>
  <c r="S127" i="1" s="1"/>
  <c r="T212" i="1"/>
  <c r="U212" i="1" s="1"/>
  <c r="S212" i="1" s="1"/>
  <c r="T199" i="1"/>
  <c r="U199" i="1" s="1"/>
  <c r="S199" i="1" s="1"/>
  <c r="W183" i="1"/>
  <c r="AG99" i="1"/>
  <c r="AI99" i="1" s="1"/>
  <c r="X99" i="1"/>
  <c r="W90" i="1"/>
  <c r="W47" i="1"/>
  <c r="T86" i="1"/>
  <c r="T74" i="1"/>
  <c r="T49" i="1"/>
  <c r="T29" i="1"/>
  <c r="U25" i="1"/>
  <c r="S25" i="1" s="1"/>
  <c r="AA22" i="1"/>
  <c r="T21" i="1"/>
  <c r="AA20" i="1"/>
  <c r="T20" i="1"/>
  <c r="AG17" i="1"/>
  <c r="AG16" i="1"/>
  <c r="AI16" i="1" s="1"/>
  <c r="X16" i="1"/>
  <c r="T94" i="1"/>
  <c r="U94" i="1" s="1"/>
  <c r="S94" i="1" s="1"/>
  <c r="T93" i="1"/>
  <c r="T90" i="1"/>
  <c r="U90" i="1" s="1"/>
  <c r="S90" i="1" s="1"/>
  <c r="AG86" i="1"/>
  <c r="AG85" i="1"/>
  <c r="X85" i="1"/>
  <c r="T78" i="1"/>
  <c r="U78" i="1" s="1"/>
  <c r="AG76" i="1"/>
  <c r="U76" i="1" s="1"/>
  <c r="AG74" i="1"/>
  <c r="AG72" i="1"/>
  <c r="T69" i="1"/>
  <c r="U69" i="1" s="1"/>
  <c r="AA65" i="1"/>
  <c r="W65" i="1" s="1"/>
  <c r="T65" i="1"/>
  <c r="U65" i="1" s="1"/>
  <c r="AG62" i="1"/>
  <c r="AI62" i="1" s="1"/>
  <c r="T61" i="1"/>
  <c r="U61" i="1" s="1"/>
  <c r="S61" i="1" s="1"/>
  <c r="X56" i="1"/>
  <c r="AG49" i="1"/>
  <c r="AG48" i="1"/>
  <c r="AI48" i="1" s="1"/>
  <c r="X48" i="1"/>
  <c r="AI42" i="1"/>
  <c r="AG41" i="1"/>
  <c r="X41" i="1"/>
  <c r="T37" i="1"/>
  <c r="U37" i="1" s="1"/>
  <c r="S37" i="1" s="1"/>
  <c r="AG29" i="1"/>
  <c r="AG28" i="1"/>
  <c r="X28" i="1"/>
  <c r="X25" i="1"/>
  <c r="AG24" i="1"/>
  <c r="U24" i="1" s="1"/>
  <c r="S24" i="1" s="1"/>
  <c r="AA103" i="1"/>
  <c r="AA173" i="1"/>
  <c r="AG171" i="1"/>
  <c r="AI171" i="1" s="1"/>
  <c r="AA101" i="1"/>
  <c r="AA100" i="1"/>
  <c r="AA98" i="1"/>
  <c r="AG93" i="1"/>
  <c r="AG92" i="1"/>
  <c r="U92" i="1" s="1"/>
  <c r="AG88" i="1"/>
  <c r="U88" i="1" s="1"/>
  <c r="S88" i="1" s="1"/>
  <c r="AA83" i="1"/>
  <c r="AG80" i="1"/>
  <c r="U80" i="1" s="1"/>
  <c r="AG77" i="1"/>
  <c r="W77" i="1" s="1"/>
  <c r="AG73" i="1"/>
  <c r="AA69" i="1"/>
  <c r="W69" i="1" s="1"/>
  <c r="AA58" i="1"/>
  <c r="W58" i="1" s="1"/>
  <c r="AA55" i="1"/>
  <c r="W55" i="1" s="1"/>
  <c r="AA53" i="1"/>
  <c r="AA45" i="1"/>
  <c r="W45" i="1" s="1"/>
  <c r="AA43" i="1"/>
  <c r="X42" i="1"/>
  <c r="AA40" i="1"/>
  <c r="AA39" i="1"/>
  <c r="W39" i="1" s="1"/>
  <c r="AA34" i="1"/>
  <c r="AA27" i="1"/>
  <c r="W27" i="1" s="1"/>
  <c r="AG20" i="1"/>
  <c r="AI20" i="1" s="1"/>
  <c r="AA16" i="1"/>
  <c r="T169" i="1"/>
  <c r="U169" i="1" s="1"/>
  <c r="S169" i="1" s="1"/>
  <c r="U98" i="1"/>
  <c r="S98" i="1" s="1"/>
  <c r="AA97" i="1"/>
  <c r="AA85" i="1"/>
  <c r="AA76" i="1"/>
  <c r="W76" i="1" s="1"/>
  <c r="AA72" i="1"/>
  <c r="AA57" i="1"/>
  <c r="AA51" i="1"/>
  <c r="W51" i="1" s="1"/>
  <c r="AA48" i="1"/>
  <c r="T38" i="1"/>
  <c r="AA28" i="1"/>
  <c r="W28" i="1" s="1"/>
  <c r="AA26" i="1"/>
  <c r="W214" i="1"/>
  <c r="U216" i="1"/>
  <c r="S216" i="1" s="1"/>
  <c r="AI214" i="1"/>
  <c r="W205" i="1"/>
  <c r="U145" i="1"/>
  <c r="T144" i="1"/>
  <c r="X144" i="1"/>
  <c r="X59" i="1"/>
  <c r="AG59" i="1"/>
  <c r="X60" i="1"/>
  <c r="T59" i="1"/>
  <c r="U40" i="1"/>
  <c r="S40" i="1" s="1"/>
  <c r="T31" i="1"/>
  <c r="X31" i="1"/>
  <c r="AG31" i="1"/>
  <c r="X32" i="1"/>
  <c r="X216" i="1"/>
  <c r="X211" i="1"/>
  <c r="AG210" i="1"/>
  <c r="AI210" i="1" s="1"/>
  <c r="X163" i="1"/>
  <c r="AG153" i="1"/>
  <c r="AI153" i="1" s="1"/>
  <c r="X153" i="1"/>
  <c r="AI187" i="1"/>
  <c r="T148" i="1"/>
  <c r="X148" i="1"/>
  <c r="AG144" i="1"/>
  <c r="T141" i="1"/>
  <c r="AG137" i="1"/>
  <c r="AI137" i="1" s="1"/>
  <c r="X137" i="1"/>
  <c r="T135" i="1"/>
  <c r="U135" i="1" s="1"/>
  <c r="S135" i="1" s="1"/>
  <c r="U134" i="1"/>
  <c r="S134" i="1" s="1"/>
  <c r="T132" i="1"/>
  <c r="X132" i="1"/>
  <c r="T126" i="1"/>
  <c r="AG122" i="1"/>
  <c r="AI122" i="1" s="1"/>
  <c r="X122" i="1"/>
  <c r="T120" i="1"/>
  <c r="U120" i="1" s="1"/>
  <c r="S120" i="1" s="1"/>
  <c r="U119" i="1"/>
  <c r="S119" i="1" s="1"/>
  <c r="T117" i="1"/>
  <c r="X117" i="1"/>
  <c r="T106" i="1"/>
  <c r="X106" i="1"/>
  <c r="AG106" i="1"/>
  <c r="AI106" i="1" s="1"/>
  <c r="AI128" i="1"/>
  <c r="X190" i="1"/>
  <c r="X189" i="1"/>
  <c r="AG189" i="1"/>
  <c r="AI189" i="1" s="1"/>
  <c r="T181" i="1"/>
  <c r="X181" i="1"/>
  <c r="X182" i="1"/>
  <c r="AG181" i="1"/>
  <c r="AI181" i="1" s="1"/>
  <c r="AG173" i="1"/>
  <c r="AI173" i="1" s="1"/>
  <c r="X173" i="1"/>
  <c r="T173" i="1"/>
  <c r="AI96" i="1"/>
  <c r="T87" i="1"/>
  <c r="X87" i="1"/>
  <c r="AG87" i="1"/>
  <c r="U162" i="1"/>
  <c r="S162" i="1" s="1"/>
  <c r="T160" i="1"/>
  <c r="X160" i="1"/>
  <c r="T153" i="1"/>
  <c r="AI184" i="1"/>
  <c r="T137" i="1"/>
  <c r="U130" i="1"/>
  <c r="S130" i="1" s="1"/>
  <c r="T122" i="1"/>
  <c r="AI149" i="1"/>
  <c r="AI145" i="1"/>
  <c r="T110" i="1"/>
  <c r="X110" i="1"/>
  <c r="AG110" i="1"/>
  <c r="AI110" i="1" s="1"/>
  <c r="AG215" i="1"/>
  <c r="AI209" i="1"/>
  <c r="X207" i="1"/>
  <c r="AG206" i="1"/>
  <c r="AI205" i="1"/>
  <c r="S204" i="1"/>
  <c r="AI202" i="1"/>
  <c r="T167" i="1"/>
  <c r="U167" i="1" s="1"/>
  <c r="S167" i="1" s="1"/>
  <c r="T164" i="1"/>
  <c r="X164" i="1"/>
  <c r="AG160" i="1"/>
  <c r="AI160" i="1" s="1"/>
  <c r="T157" i="1"/>
  <c r="T151" i="1"/>
  <c r="U151" i="1" s="1"/>
  <c r="S151" i="1" s="1"/>
  <c r="X147" i="1"/>
  <c r="AI216" i="1"/>
  <c r="X215" i="1"/>
  <c r="AI212" i="1"/>
  <c r="X210" i="1"/>
  <c r="X206" i="1"/>
  <c r="AI204" i="1"/>
  <c r="T168" i="1"/>
  <c r="U168" i="1" s="1"/>
  <c r="S168" i="1" s="1"/>
  <c r="X166" i="1"/>
  <c r="AA165" i="1"/>
  <c r="W165" i="1" s="1"/>
  <c r="AG164" i="1"/>
  <c r="AI164" i="1" s="1"/>
  <c r="AG157" i="1"/>
  <c r="W157" i="1" s="1"/>
  <c r="AI191" i="1"/>
  <c r="T155" i="1"/>
  <c r="U155" i="1" s="1"/>
  <c r="S155" i="1" s="1"/>
  <c r="T152" i="1"/>
  <c r="U152" i="1" s="1"/>
  <c r="S152" i="1" s="1"/>
  <c r="X152" i="1"/>
  <c r="X151" i="1"/>
  <c r="X150" i="1"/>
  <c r="AA149" i="1"/>
  <c r="AG148" i="1"/>
  <c r="AG141" i="1"/>
  <c r="AI141" i="1" s="1"/>
  <c r="T139" i="1"/>
  <c r="U139" i="1" s="1"/>
  <c r="S139" i="1" s="1"/>
  <c r="T136" i="1"/>
  <c r="U136" i="1" s="1"/>
  <c r="S136" i="1" s="1"/>
  <c r="X136" i="1"/>
  <c r="X135" i="1"/>
  <c r="X134" i="1"/>
  <c r="AA133" i="1"/>
  <c r="AG132" i="1"/>
  <c r="W132" i="1" s="1"/>
  <c r="AI166" i="1"/>
  <c r="AG126" i="1"/>
  <c r="T124" i="1"/>
  <c r="U124" i="1" s="1"/>
  <c r="S124" i="1" s="1"/>
  <c r="T121" i="1"/>
  <c r="U121" i="1" s="1"/>
  <c r="S121" i="1" s="1"/>
  <c r="X121" i="1"/>
  <c r="X120" i="1"/>
  <c r="X119" i="1"/>
  <c r="AA118" i="1"/>
  <c r="AG117" i="1"/>
  <c r="AI117" i="1" s="1"/>
  <c r="AI150" i="1"/>
  <c r="U115" i="1"/>
  <c r="S115" i="1" s="1"/>
  <c r="AA114" i="1"/>
  <c r="W114" i="1" s="1"/>
  <c r="T113" i="1"/>
  <c r="X113" i="1"/>
  <c r="AG113" i="1"/>
  <c r="AA111" i="1"/>
  <c r="U107" i="1"/>
  <c r="S107" i="1" s="1"/>
  <c r="T200" i="1"/>
  <c r="AG200" i="1"/>
  <c r="AI200" i="1" s="1"/>
  <c r="AI121" i="1"/>
  <c r="S183" i="1"/>
  <c r="AI72" i="1"/>
  <c r="U72" i="1"/>
  <c r="X161" i="1"/>
  <c r="T156" i="1"/>
  <c r="U156" i="1" s="1"/>
  <c r="S156" i="1" s="1"/>
  <c r="X156" i="1"/>
  <c r="AA153" i="1"/>
  <c r="W153" i="1" s="1"/>
  <c r="S145" i="1"/>
  <c r="AI180" i="1"/>
  <c r="X145" i="1"/>
  <c r="T140" i="1"/>
  <c r="U140" i="1" s="1"/>
  <c r="S140" i="1" s="1"/>
  <c r="X140" i="1"/>
  <c r="X139" i="1"/>
  <c r="AA137" i="1"/>
  <c r="AI169" i="1"/>
  <c r="T125" i="1"/>
  <c r="U125" i="1" s="1"/>
  <c r="S125" i="1" s="1"/>
  <c r="X125" i="1"/>
  <c r="X124" i="1"/>
  <c r="AA122" i="1"/>
  <c r="AI154" i="1"/>
  <c r="W115" i="1"/>
  <c r="T114" i="1"/>
  <c r="U114" i="1" s="1"/>
  <c r="S114" i="1" s="1"/>
  <c r="X114" i="1"/>
  <c r="AA107" i="1"/>
  <c r="W107" i="1" s="1"/>
  <c r="T197" i="1"/>
  <c r="X197" i="1"/>
  <c r="AG197" i="1"/>
  <c r="AI197" i="1" s="1"/>
  <c r="T196" i="1"/>
  <c r="X196" i="1"/>
  <c r="AG196" i="1"/>
  <c r="AI196" i="1" s="1"/>
  <c r="AA192" i="1"/>
  <c r="W192" i="1" s="1"/>
  <c r="T189" i="1"/>
  <c r="AG188" i="1"/>
  <c r="X188" i="1"/>
  <c r="T188" i="1"/>
  <c r="U179" i="1"/>
  <c r="S179" i="1" s="1"/>
  <c r="AI112" i="1"/>
  <c r="X176" i="1"/>
  <c r="X175" i="1"/>
  <c r="AG175" i="1"/>
  <c r="AI175" i="1" s="1"/>
  <c r="T100" i="1"/>
  <c r="X100" i="1"/>
  <c r="X101" i="1"/>
  <c r="AG100" i="1"/>
  <c r="X111" i="1"/>
  <c r="X107" i="1"/>
  <c r="X198" i="1"/>
  <c r="T193" i="1"/>
  <c r="AI124" i="1"/>
  <c r="T185" i="1"/>
  <c r="X185" i="1"/>
  <c r="X184" i="1"/>
  <c r="T103" i="1"/>
  <c r="T170" i="1"/>
  <c r="T97" i="1"/>
  <c r="AI84" i="1"/>
  <c r="T83" i="1"/>
  <c r="X83" i="1"/>
  <c r="AG83" i="1"/>
  <c r="T66" i="1"/>
  <c r="X66" i="1"/>
  <c r="AG66" i="1"/>
  <c r="W66" i="1" s="1"/>
  <c r="X67" i="1"/>
  <c r="AG57" i="1"/>
  <c r="X57" i="1"/>
  <c r="T57" i="1"/>
  <c r="AI55" i="1"/>
  <c r="U55" i="1"/>
  <c r="S55" i="1" s="1"/>
  <c r="U19" i="1"/>
  <c r="S19" i="1" s="1"/>
  <c r="U195" i="1"/>
  <c r="S195" i="1" s="1"/>
  <c r="AG193" i="1"/>
  <c r="AI193" i="1" s="1"/>
  <c r="T191" i="1"/>
  <c r="U191" i="1" s="1"/>
  <c r="S191" i="1" s="1"/>
  <c r="T104" i="1"/>
  <c r="U104" i="1" s="1"/>
  <c r="S104" i="1" s="1"/>
  <c r="X104" i="1"/>
  <c r="X187" i="1"/>
  <c r="AA186" i="1"/>
  <c r="W186" i="1" s="1"/>
  <c r="AG185" i="1"/>
  <c r="AI185" i="1" s="1"/>
  <c r="AG103" i="1"/>
  <c r="AI103" i="1" s="1"/>
  <c r="T177" i="1"/>
  <c r="U177" i="1" s="1"/>
  <c r="S177" i="1" s="1"/>
  <c r="T174" i="1"/>
  <c r="U174" i="1" s="1"/>
  <c r="S174" i="1" s="1"/>
  <c r="X174" i="1"/>
  <c r="X172" i="1"/>
  <c r="AA171" i="1"/>
  <c r="AG170" i="1"/>
  <c r="AI170" i="1" s="1"/>
  <c r="AG97" i="1"/>
  <c r="AA96" i="1"/>
  <c r="W96" i="1" s="1"/>
  <c r="T95" i="1"/>
  <c r="X95" i="1"/>
  <c r="AG95" i="1"/>
  <c r="AA88" i="1"/>
  <c r="U84" i="1"/>
  <c r="S84" i="1" s="1"/>
  <c r="S80" i="1"/>
  <c r="AI80" i="1"/>
  <c r="T79" i="1"/>
  <c r="X79" i="1"/>
  <c r="AG79" i="1"/>
  <c r="W72" i="1"/>
  <c r="T192" i="1"/>
  <c r="U192" i="1" s="1"/>
  <c r="S192" i="1" s="1"/>
  <c r="X192" i="1"/>
  <c r="AA189" i="1"/>
  <c r="U184" i="1"/>
  <c r="S184" i="1" s="1"/>
  <c r="T178" i="1"/>
  <c r="U178" i="1" s="1"/>
  <c r="S178" i="1" s="1"/>
  <c r="X178" i="1"/>
  <c r="AA175" i="1"/>
  <c r="S101" i="1"/>
  <c r="T96" i="1"/>
  <c r="U96" i="1" s="1"/>
  <c r="S96" i="1" s="1"/>
  <c r="X96" i="1"/>
  <c r="AI93" i="1"/>
  <c r="S92" i="1"/>
  <c r="AI92" i="1"/>
  <c r="T91" i="1"/>
  <c r="X91" i="1"/>
  <c r="AG91" i="1"/>
  <c r="AA84" i="1"/>
  <c r="W84" i="1" s="1"/>
  <c r="T75" i="1"/>
  <c r="X75" i="1"/>
  <c r="AG75" i="1"/>
  <c r="AG50" i="1"/>
  <c r="X50" i="1"/>
  <c r="T50" i="1"/>
  <c r="U85" i="1"/>
  <c r="S85" i="1" s="1"/>
  <c r="U64" i="1"/>
  <c r="S64" i="1" s="1"/>
  <c r="T62" i="1"/>
  <c r="U62" i="1" s="1"/>
  <c r="S62" i="1" s="1"/>
  <c r="X62" i="1"/>
  <c r="AA59" i="1"/>
  <c r="U45" i="1"/>
  <c r="S45" i="1" s="1"/>
  <c r="T43" i="1"/>
  <c r="X43" i="1"/>
  <c r="AG43" i="1"/>
  <c r="AI35" i="1"/>
  <c r="AI23" i="1"/>
  <c r="T18" i="1"/>
  <c r="X18" i="1"/>
  <c r="AG18" i="1"/>
  <c r="X92" i="1"/>
  <c r="AI89" i="1"/>
  <c r="X88" i="1"/>
  <c r="AI85" i="1"/>
  <c r="X84" i="1"/>
  <c r="AI81" i="1"/>
  <c r="X80" i="1"/>
  <c r="X76" i="1"/>
  <c r="X72" i="1"/>
  <c r="T70" i="1"/>
  <c r="U70" i="1" s="1"/>
  <c r="S70" i="1" s="1"/>
  <c r="X70" i="1"/>
  <c r="X69" i="1"/>
  <c r="X68" i="1"/>
  <c r="AA67" i="1"/>
  <c r="AI64" i="1"/>
  <c r="AI58" i="1"/>
  <c r="W54" i="1"/>
  <c r="AI51" i="1"/>
  <c r="AI27" i="1"/>
  <c r="AI63" i="1"/>
  <c r="T58" i="1"/>
  <c r="U58" i="1" s="1"/>
  <c r="S58" i="1" s="1"/>
  <c r="X58" i="1"/>
  <c r="S54" i="1"/>
  <c r="T53" i="1"/>
  <c r="X53" i="1"/>
  <c r="AG53" i="1"/>
  <c r="W53" i="1" s="1"/>
  <c r="AI45" i="1"/>
  <c r="AI39" i="1"/>
  <c r="X36" i="1"/>
  <c r="AG36" i="1"/>
  <c r="X37" i="1"/>
  <c r="T34" i="1"/>
  <c r="X34" i="1"/>
  <c r="AG34" i="1"/>
  <c r="AI28" i="1"/>
  <c r="U28" i="1"/>
  <c r="S28" i="1" s="1"/>
  <c r="X52" i="1"/>
  <c r="U46" i="1"/>
  <c r="S46" i="1" s="1"/>
  <c r="AG44" i="1"/>
  <c r="X44" i="1"/>
  <c r="T42" i="1"/>
  <c r="U42" i="1" s="1"/>
  <c r="S42" i="1" s="1"/>
  <c r="U41" i="1"/>
  <c r="S41" i="1" s="1"/>
  <c r="T39" i="1"/>
  <c r="U39" i="1" s="1"/>
  <c r="S39" i="1" s="1"/>
  <c r="X39" i="1"/>
  <c r="AA36" i="1"/>
  <c r="AA32" i="1"/>
  <c r="W32" i="1" s="1"/>
  <c r="AA31" i="1"/>
  <c r="T30" i="1"/>
  <c r="X30" i="1"/>
  <c r="AG30" i="1"/>
  <c r="W30" i="1" s="1"/>
  <c r="T27" i="1"/>
  <c r="U27" i="1" s="1"/>
  <c r="S27" i="1" s="1"/>
  <c r="X27" i="1"/>
  <c r="X24" i="1"/>
  <c r="T22" i="1"/>
  <c r="X22" i="1"/>
  <c r="AG22" i="1"/>
  <c r="AA15" i="1"/>
  <c r="X54" i="1"/>
  <c r="T47" i="1"/>
  <c r="U47" i="1" s="1"/>
  <c r="S47" i="1" s="1"/>
  <c r="X47" i="1"/>
  <c r="X46" i="1"/>
  <c r="X45" i="1"/>
  <c r="AA44" i="1"/>
  <c r="AI41" i="1"/>
  <c r="U38" i="1"/>
  <c r="S38" i="1" s="1"/>
  <c r="AA24" i="1"/>
  <c r="AA23" i="1"/>
  <c r="W23" i="1" s="1"/>
  <c r="T14" i="1"/>
  <c r="AG14" i="1"/>
  <c r="T51" i="1"/>
  <c r="U51" i="1" s="1"/>
  <c r="S51" i="1" s="1"/>
  <c r="X51" i="1"/>
  <c r="AI40" i="1"/>
  <c r="T35" i="1"/>
  <c r="U35" i="1" s="1"/>
  <c r="S35" i="1" s="1"/>
  <c r="X35" i="1"/>
  <c r="T26" i="1"/>
  <c r="X26" i="1"/>
  <c r="AG26" i="1"/>
  <c r="T23" i="1"/>
  <c r="U23" i="1" s="1"/>
  <c r="S23" i="1" s="1"/>
  <c r="X23" i="1"/>
  <c r="X19" i="1"/>
  <c r="X15" i="1"/>
  <c r="M17" i="3"/>
  <c r="N17" i="3"/>
  <c r="U17" i="3"/>
  <c r="T17" i="3" s="1"/>
  <c r="V17" i="3"/>
  <c r="W17" i="3"/>
  <c r="X17" i="3"/>
  <c r="W198" i="1" l="1"/>
  <c r="U89" i="1"/>
  <c r="S89" i="1" s="1"/>
  <c r="U81" i="1"/>
  <c r="W150" i="1"/>
  <c r="W162" i="1"/>
  <c r="W81" i="1"/>
  <c r="W64" i="1"/>
  <c r="U16" i="1"/>
  <c r="S16" i="1" s="1"/>
  <c r="AI133" i="1"/>
  <c r="W48" i="1"/>
  <c r="AI158" i="1"/>
  <c r="U21" i="1"/>
  <c r="S21" i="1" s="1"/>
  <c r="W87" i="1"/>
  <c r="W203" i="1"/>
  <c r="W73" i="1"/>
  <c r="U60" i="1"/>
  <c r="U201" i="1"/>
  <c r="S201" i="1" s="1"/>
  <c r="W60" i="1"/>
  <c r="U99" i="1"/>
  <c r="S99" i="1" s="1"/>
  <c r="AI52" i="1"/>
  <c r="U146" i="1"/>
  <c r="S146" i="1" s="1"/>
  <c r="W52" i="1"/>
  <c r="W75" i="1"/>
  <c r="AI165" i="1"/>
  <c r="U186" i="1"/>
  <c r="S186" i="1" s="1"/>
  <c r="W130" i="1"/>
  <c r="U213" i="1"/>
  <c r="S213" i="1" s="1"/>
  <c r="S68" i="1"/>
  <c r="W161" i="1"/>
  <c r="W15" i="1"/>
  <c r="AI108" i="1"/>
  <c r="AI142" i="1"/>
  <c r="AI88" i="1"/>
  <c r="W43" i="1"/>
  <c r="W41" i="1"/>
  <c r="U129" i="1"/>
  <c r="S129" i="1" s="1"/>
  <c r="W201" i="1"/>
  <c r="W102" i="1"/>
  <c r="W108" i="1"/>
  <c r="W25" i="1"/>
  <c r="W83" i="1"/>
  <c r="W82" i="1"/>
  <c r="U82" i="1"/>
  <c r="S81" i="1" s="1"/>
  <c r="W68" i="1"/>
  <c r="U67" i="1"/>
  <c r="S67" i="1" s="1"/>
  <c r="W67" i="1"/>
  <c r="W33" i="1"/>
  <c r="W22" i="1"/>
  <c r="AI213" i="1"/>
  <c r="U171" i="1"/>
  <c r="S171" i="1" s="1"/>
  <c r="W19" i="1"/>
  <c r="AI15" i="1"/>
  <c r="AI32" i="1"/>
  <c r="W175" i="1"/>
  <c r="W88" i="1"/>
  <c r="W171" i="1"/>
  <c r="W182" i="1"/>
  <c r="AI138" i="1"/>
  <c r="U182" i="1"/>
  <c r="S182" i="1" s="1"/>
  <c r="U33" i="1"/>
  <c r="S33" i="1" s="1"/>
  <c r="AI25" i="1"/>
  <c r="W40" i="1"/>
  <c r="W101" i="1"/>
  <c r="U142" i="1"/>
  <c r="S142" i="1" s="1"/>
  <c r="W146" i="1"/>
  <c r="W24" i="1"/>
  <c r="AI24" i="1"/>
  <c r="W105" i="1"/>
  <c r="W31" i="1"/>
  <c r="AI73" i="1"/>
  <c r="U73" i="1"/>
  <c r="S73" i="1" s="1"/>
  <c r="AI76" i="1"/>
  <c r="AI101" i="1"/>
  <c r="W189" i="1"/>
  <c r="W149" i="1"/>
  <c r="W106" i="1"/>
  <c r="AI217" i="1"/>
  <c r="AI21" i="1"/>
  <c r="AI54" i="1"/>
  <c r="W49" i="1"/>
  <c r="W62" i="1"/>
  <c r="W89" i="1"/>
  <c r="W63" i="1"/>
  <c r="W194" i="1"/>
  <c r="W34" i="1"/>
  <c r="U48" i="1"/>
  <c r="S48" i="1" s="1"/>
  <c r="W206" i="1"/>
  <c r="U20" i="1"/>
  <c r="S20" i="1" s="1"/>
  <c r="AI56" i="1"/>
  <c r="W119" i="1"/>
  <c r="W208" i="1"/>
  <c r="W26" i="1"/>
  <c r="W71" i="1"/>
  <c r="AI77" i="1"/>
  <c r="U77" i="1"/>
  <c r="S77" i="1" s="1"/>
  <c r="U71" i="1"/>
  <c r="S71" i="1" s="1"/>
  <c r="W110" i="1"/>
  <c r="W111" i="1"/>
  <c r="U118" i="1"/>
  <c r="S118" i="1" s="1"/>
  <c r="W118" i="1"/>
  <c r="W133" i="1"/>
  <c r="W85" i="1"/>
  <c r="W98" i="1"/>
  <c r="W99" i="1"/>
  <c r="W21" i="1"/>
  <c r="AI208" i="1"/>
  <c r="W160" i="1"/>
  <c r="W181" i="1"/>
  <c r="W16" i="1"/>
  <c r="W80" i="1"/>
  <c r="W211" i="1"/>
  <c r="W216" i="1"/>
  <c r="W36" i="1"/>
  <c r="W56" i="1"/>
  <c r="W127" i="1"/>
  <c r="W204" i="1"/>
  <c r="W197" i="1"/>
  <c r="U29" i="1"/>
  <c r="S29" i="1" s="1"/>
  <c r="AI29" i="1"/>
  <c r="U74" i="1"/>
  <c r="AI74" i="1"/>
  <c r="W29" i="1"/>
  <c r="W207" i="1"/>
  <c r="W126" i="1"/>
  <c r="AI126" i="1"/>
  <c r="U17" i="1"/>
  <c r="S17" i="1" s="1"/>
  <c r="AI17" i="1"/>
  <c r="U194" i="1"/>
  <c r="S194" i="1" s="1"/>
  <c r="AI194" i="1"/>
  <c r="U111" i="1"/>
  <c r="S111" i="1" s="1"/>
  <c r="AI111" i="1"/>
  <c r="W217" i="1"/>
  <c r="W44" i="1"/>
  <c r="W173" i="1"/>
  <c r="U93" i="1"/>
  <c r="S93" i="1" s="1"/>
  <c r="U86" i="1"/>
  <c r="S86" i="1" s="1"/>
  <c r="AI86" i="1"/>
  <c r="W17" i="1"/>
  <c r="W93" i="1"/>
  <c r="U198" i="1"/>
  <c r="S198" i="1" s="1"/>
  <c r="AI198" i="1"/>
  <c r="AI206" i="1"/>
  <c r="U49" i="1"/>
  <c r="S49" i="1" s="1"/>
  <c r="AI49" i="1"/>
  <c r="W20" i="1"/>
  <c r="W74" i="1"/>
  <c r="W92" i="1"/>
  <c r="W86" i="1"/>
  <c r="W179" i="1"/>
  <c r="W138" i="1"/>
  <c r="W213" i="1"/>
  <c r="U50" i="1"/>
  <c r="S50" i="1" s="1"/>
  <c r="AI50" i="1"/>
  <c r="U193" i="1"/>
  <c r="S193" i="1" s="1"/>
  <c r="U188" i="1"/>
  <c r="S188" i="1" s="1"/>
  <c r="AI123" i="1"/>
  <c r="AI211" i="1"/>
  <c r="U210" i="1"/>
  <c r="S210" i="1" s="1"/>
  <c r="AI18" i="1"/>
  <c r="U18" i="1"/>
  <c r="S18" i="1" s="1"/>
  <c r="W59" i="1"/>
  <c r="U75" i="1"/>
  <c r="AI75" i="1"/>
  <c r="U91" i="1"/>
  <c r="S91" i="1" s="1"/>
  <c r="AI91" i="1"/>
  <c r="U79" i="1"/>
  <c r="S78" i="1" s="1"/>
  <c r="AI79" i="1"/>
  <c r="W91" i="1"/>
  <c r="W137" i="1"/>
  <c r="W188" i="1"/>
  <c r="AI176" i="1"/>
  <c r="U141" i="1"/>
  <c r="S141" i="1" s="1"/>
  <c r="U87" i="1"/>
  <c r="S87" i="1" s="1"/>
  <c r="AI87" i="1"/>
  <c r="AI125" i="1"/>
  <c r="U189" i="1"/>
  <c r="S189" i="1" s="1"/>
  <c r="AI140" i="1"/>
  <c r="U106" i="1"/>
  <c r="S106" i="1" s="1"/>
  <c r="AI188" i="1"/>
  <c r="U153" i="1"/>
  <c r="S153" i="1" s="1"/>
  <c r="AI36" i="1"/>
  <c r="U36" i="1"/>
  <c r="U170" i="1"/>
  <c r="S170" i="1" s="1"/>
  <c r="AI104" i="1"/>
  <c r="AI100" i="1"/>
  <c r="U100" i="1"/>
  <c r="S100" i="1" s="1"/>
  <c r="W100" i="1"/>
  <c r="U117" i="1"/>
  <c r="S117" i="1" s="1"/>
  <c r="AI152" i="1"/>
  <c r="AI183" i="1"/>
  <c r="U148" i="1"/>
  <c r="S148" i="1" s="1"/>
  <c r="AI195" i="1"/>
  <c r="U160" i="1"/>
  <c r="S160" i="1" s="1"/>
  <c r="W170" i="1"/>
  <c r="AI116" i="1"/>
  <c r="U181" i="1"/>
  <c r="S181" i="1" s="1"/>
  <c r="AI157" i="1"/>
  <c r="U122" i="1"/>
  <c r="S122" i="1" s="1"/>
  <c r="AI172" i="1"/>
  <c r="U137" i="1"/>
  <c r="S137" i="1" s="1"/>
  <c r="AI59" i="1"/>
  <c r="U59" i="1"/>
  <c r="S59" i="1" s="1"/>
  <c r="W148" i="1"/>
  <c r="W210" i="1"/>
  <c r="U26" i="1"/>
  <c r="S26" i="1" s="1"/>
  <c r="AI26" i="1"/>
  <c r="U185" i="1"/>
  <c r="S185" i="1" s="1"/>
  <c r="AI120" i="1"/>
  <c r="W185" i="1"/>
  <c r="AI14" i="1"/>
  <c r="U14" i="1"/>
  <c r="S14" i="1" s="1"/>
  <c r="W18" i="1"/>
  <c r="AI44" i="1"/>
  <c r="U44" i="1"/>
  <c r="S44" i="1" s="1"/>
  <c r="U95" i="1"/>
  <c r="S95" i="1" s="1"/>
  <c r="AI95" i="1"/>
  <c r="W95" i="1"/>
  <c r="AI97" i="1"/>
  <c r="U97" i="1"/>
  <c r="S97" i="1" s="1"/>
  <c r="W14" i="1"/>
  <c r="AI66" i="1"/>
  <c r="U66" i="1"/>
  <c r="S65" i="1" s="1"/>
  <c r="W79" i="1"/>
  <c r="AI109" i="1"/>
  <c r="U175" i="1"/>
  <c r="S175" i="1" s="1"/>
  <c r="AI132" i="1"/>
  <c r="U197" i="1"/>
  <c r="S197" i="1" s="1"/>
  <c r="AI136" i="1"/>
  <c r="U200" i="1"/>
  <c r="S200" i="1" s="1"/>
  <c r="U113" i="1"/>
  <c r="S113" i="1" s="1"/>
  <c r="AI148" i="1"/>
  <c r="AI168" i="1"/>
  <c r="U132" i="1"/>
  <c r="S132" i="1" s="1"/>
  <c r="U164" i="1"/>
  <c r="S164" i="1" s="1"/>
  <c r="AI199" i="1"/>
  <c r="AI203" i="1"/>
  <c r="AI207" i="1"/>
  <c r="U206" i="1"/>
  <c r="S206" i="1" s="1"/>
  <c r="AI144" i="1"/>
  <c r="U110" i="1"/>
  <c r="S110" i="1" s="1"/>
  <c r="W141" i="1"/>
  <c r="W193" i="1"/>
  <c r="W113" i="1"/>
  <c r="AI31" i="1"/>
  <c r="U31" i="1"/>
  <c r="S31" i="1" s="1"/>
  <c r="W164" i="1"/>
  <c r="W117" i="1"/>
  <c r="U34" i="1"/>
  <c r="S34" i="1" s="1"/>
  <c r="AI34" i="1"/>
  <c r="AI22" i="1"/>
  <c r="U22" i="1"/>
  <c r="S22" i="1" s="1"/>
  <c r="U30" i="1"/>
  <c r="S30" i="1" s="1"/>
  <c r="AI30" i="1"/>
  <c r="U53" i="1"/>
  <c r="S53" i="1" s="1"/>
  <c r="AI53" i="1"/>
  <c r="AI43" i="1"/>
  <c r="U43" i="1"/>
  <c r="S43" i="1" s="1"/>
  <c r="W50" i="1"/>
  <c r="AI113" i="1"/>
  <c r="U103" i="1"/>
  <c r="S103" i="1" s="1"/>
  <c r="U57" i="1"/>
  <c r="S57" i="1" s="1"/>
  <c r="AI57" i="1"/>
  <c r="U83" i="1"/>
  <c r="S83" i="1" s="1"/>
  <c r="AI83" i="1"/>
  <c r="W103" i="1"/>
  <c r="AI131" i="1"/>
  <c r="U196" i="1"/>
  <c r="S196" i="1" s="1"/>
  <c r="W122" i="1"/>
  <c r="W196" i="1"/>
  <c r="AI161" i="1"/>
  <c r="U126" i="1"/>
  <c r="S126" i="1" s="1"/>
  <c r="AI192" i="1"/>
  <c r="U157" i="1"/>
  <c r="S157" i="1" s="1"/>
  <c r="AI215" i="1"/>
  <c r="U215" i="1"/>
  <c r="S215" i="1" s="1"/>
  <c r="W57" i="1"/>
  <c r="W97" i="1"/>
  <c r="U173" i="1"/>
  <c r="S173" i="1" s="1"/>
  <c r="AI107" i="1"/>
  <c r="W200" i="1"/>
  <c r="AI179" i="1"/>
  <c r="U144" i="1"/>
  <c r="S144" i="1" s="1"/>
  <c r="W144" i="1"/>
  <c r="W215" i="1"/>
  <c r="S17" i="3"/>
  <c r="S74" i="1" l="1"/>
  <c r="R17" i="3"/>
  <c r="AE13" i="1"/>
  <c r="Y7" i="3" l="1"/>
  <c r="AC7" i="3"/>
  <c r="B3" i="6" l="1"/>
  <c r="G3" i="6" s="1"/>
  <c r="B4" i="6"/>
  <c r="F4" i="6" s="1"/>
  <c r="B5" i="6"/>
  <c r="H5" i="6" s="1"/>
  <c r="B6" i="6"/>
  <c r="H6" i="6" s="1"/>
  <c r="B7" i="6"/>
  <c r="G7" i="6" s="1"/>
  <c r="I4" i="6" l="1"/>
  <c r="G5" i="6"/>
  <c r="H4" i="6"/>
  <c r="F5" i="6"/>
  <c r="G4" i="6"/>
  <c r="F6" i="6"/>
  <c r="I6" i="6"/>
  <c r="I5" i="6"/>
  <c r="I7" i="6"/>
  <c r="F7" i="6"/>
  <c r="G6" i="6"/>
  <c r="F3" i="6"/>
  <c r="I3" i="6"/>
  <c r="H7" i="6"/>
  <c r="H3" i="6"/>
  <c r="AF13" i="1" l="1"/>
  <c r="V13" i="1" l="1"/>
  <c r="K13" i="1" l="1"/>
  <c r="L13" i="1"/>
  <c r="M13" i="1"/>
  <c r="N13" i="1" s="1"/>
  <c r="Y13" i="1"/>
  <c r="Z13" i="1"/>
  <c r="AB13" i="1"/>
  <c r="AC13" i="1"/>
  <c r="AD13" i="1"/>
  <c r="X14" i="1" s="1"/>
  <c r="T13" i="1" l="1"/>
  <c r="X13" i="1"/>
  <c r="AA13" i="1"/>
  <c r="AG13" i="1"/>
  <c r="M26" i="5"/>
  <c r="AH15" i="1" l="1"/>
  <c r="AH16" i="1"/>
  <c r="AH27" i="1"/>
  <c r="AH28" i="1"/>
  <c r="AH29" i="1"/>
  <c r="AH30" i="1"/>
  <c r="AH31" i="1"/>
  <c r="AH43" i="1"/>
  <c r="AH44" i="1"/>
  <c r="AH53" i="1"/>
  <c r="AH61" i="1"/>
  <c r="AH68" i="1"/>
  <c r="AH69" i="1"/>
  <c r="AH70" i="1"/>
  <c r="AH71" i="1"/>
  <c r="AH72" i="1"/>
  <c r="AH81" i="1"/>
  <c r="AH90" i="1"/>
  <c r="AH109" i="1"/>
  <c r="AH110" i="1"/>
  <c r="AH111" i="1"/>
  <c r="AH112" i="1"/>
  <c r="AH113" i="1"/>
  <c r="AH127" i="1"/>
  <c r="AH141" i="1"/>
  <c r="AH142" i="1"/>
  <c r="AH143" i="1"/>
  <c r="AH144" i="1"/>
  <c r="AH145" i="1"/>
  <c r="AH146" i="1"/>
  <c r="AH147" i="1"/>
  <c r="AH156" i="1"/>
  <c r="AH157" i="1"/>
  <c r="AH158" i="1"/>
  <c r="AH163" i="1"/>
  <c r="AH164" i="1"/>
  <c r="AH165" i="1"/>
  <c r="AH166" i="1"/>
  <c r="AH189" i="1"/>
  <c r="AH199" i="1"/>
  <c r="AH201" i="1"/>
  <c r="AH151" i="1"/>
  <c r="AH180" i="1"/>
  <c r="AH17" i="1"/>
  <c r="AH18" i="1"/>
  <c r="AH32" i="1"/>
  <c r="AH33" i="1"/>
  <c r="AH34" i="1"/>
  <c r="AH35" i="1"/>
  <c r="AH36" i="1"/>
  <c r="AH37" i="1"/>
  <c r="AH45" i="1"/>
  <c r="AH54" i="1"/>
  <c r="AH55" i="1"/>
  <c r="AH56" i="1"/>
  <c r="AH57" i="1"/>
  <c r="AH62" i="1"/>
  <c r="AH63" i="1"/>
  <c r="AH73" i="1"/>
  <c r="AH74" i="1"/>
  <c r="AH75" i="1"/>
  <c r="AH76" i="1"/>
  <c r="AH91" i="1"/>
  <c r="AH92" i="1"/>
  <c r="AH93" i="1"/>
  <c r="AH98" i="1"/>
  <c r="AH106" i="1"/>
  <c r="AH107" i="1"/>
  <c r="AH114" i="1"/>
  <c r="AH115" i="1"/>
  <c r="AH116" i="1"/>
  <c r="AH117" i="1"/>
  <c r="AH118" i="1"/>
  <c r="AH128" i="1"/>
  <c r="AH129" i="1"/>
  <c r="AH134" i="1"/>
  <c r="AH135" i="1"/>
  <c r="AH138" i="1"/>
  <c r="AH150" i="1"/>
  <c r="AH167" i="1"/>
  <c r="AH168" i="1"/>
  <c r="AH171" i="1"/>
  <c r="AH172" i="1"/>
  <c r="AH173" i="1"/>
  <c r="AH174" i="1"/>
  <c r="AH177" i="1"/>
  <c r="AH202" i="1"/>
  <c r="AH203" i="1"/>
  <c r="AH214" i="1"/>
  <c r="AH19" i="1"/>
  <c r="AH20" i="1"/>
  <c r="AH21" i="1"/>
  <c r="AH22" i="1"/>
  <c r="AH23" i="1"/>
  <c r="AH24" i="1"/>
  <c r="AH38" i="1"/>
  <c r="AH39" i="1"/>
  <c r="AH46" i="1"/>
  <c r="AH58" i="1"/>
  <c r="AH59" i="1"/>
  <c r="AH77" i="1"/>
  <c r="AH78" i="1"/>
  <c r="AH82" i="1"/>
  <c r="AH83" i="1"/>
  <c r="AH84" i="1"/>
  <c r="AH85" i="1"/>
  <c r="AH86" i="1"/>
  <c r="AH87" i="1"/>
  <c r="AH88" i="1"/>
  <c r="AH94" i="1"/>
  <c r="AH99" i="1"/>
  <c r="AH100" i="1"/>
  <c r="AH108" i="1"/>
  <c r="AH121" i="1"/>
  <c r="AH122" i="1"/>
  <c r="AH123" i="1"/>
  <c r="AH124" i="1"/>
  <c r="AH130" i="1"/>
  <c r="AH131" i="1"/>
  <c r="AH132" i="1"/>
  <c r="AH133" i="1"/>
  <c r="AH136" i="1"/>
  <c r="AH148" i="1"/>
  <c r="AH152" i="1"/>
  <c r="AH159" i="1"/>
  <c r="AH178" i="1"/>
  <c r="AH179" i="1"/>
  <c r="AH14" i="1"/>
  <c r="AH25" i="1"/>
  <c r="AH26" i="1"/>
  <c r="AH40" i="1"/>
  <c r="AH41" i="1"/>
  <c r="AH42" i="1"/>
  <c r="AH47" i="1"/>
  <c r="AH48" i="1"/>
  <c r="AH49" i="1"/>
  <c r="AH50" i="1"/>
  <c r="AH51" i="1"/>
  <c r="AH52" i="1"/>
  <c r="AH60" i="1"/>
  <c r="AH64" i="1"/>
  <c r="AH65" i="1"/>
  <c r="AH66" i="1"/>
  <c r="AH67" i="1"/>
  <c r="AH79" i="1"/>
  <c r="AH80" i="1"/>
  <c r="AH89" i="1"/>
  <c r="AH95" i="1"/>
  <c r="AH96" i="1"/>
  <c r="AH97" i="1"/>
  <c r="AH101" i="1"/>
  <c r="AH102" i="1"/>
  <c r="AH103" i="1"/>
  <c r="AH104" i="1"/>
  <c r="AH105" i="1"/>
  <c r="AH119" i="1"/>
  <c r="AH120" i="1"/>
  <c r="AH125" i="1"/>
  <c r="AH126" i="1"/>
  <c r="AH169" i="1"/>
  <c r="AH170" i="1"/>
  <c r="AH175" i="1"/>
  <c r="AH176" i="1"/>
  <c r="AH182" i="1"/>
  <c r="AH183" i="1"/>
  <c r="AH187" i="1"/>
  <c r="AH188" i="1"/>
  <c r="AH215" i="1"/>
  <c r="AH216" i="1"/>
  <c r="AH149" i="1"/>
  <c r="AH190" i="1"/>
  <c r="AH194" i="1"/>
  <c r="AH195" i="1"/>
  <c r="AH197" i="1"/>
  <c r="AH204" i="1"/>
  <c r="AH206" i="1"/>
  <c r="AH217" i="1"/>
  <c r="AH153" i="1"/>
  <c r="AH154" i="1"/>
  <c r="AH160" i="1"/>
  <c r="AH161" i="1"/>
  <c r="AH181" i="1"/>
  <c r="AH184" i="1"/>
  <c r="AH186" i="1"/>
  <c r="AH191" i="1"/>
  <c r="AH198" i="1"/>
  <c r="AH207" i="1"/>
  <c r="AH209" i="1"/>
  <c r="AH210" i="1"/>
  <c r="AH212" i="1"/>
  <c r="AH213" i="1"/>
  <c r="AH139" i="1"/>
  <c r="AH140" i="1"/>
  <c r="AH193" i="1"/>
  <c r="AH196" i="1"/>
  <c r="AH200" i="1"/>
  <c r="AH205" i="1"/>
  <c r="AH137" i="1"/>
  <c r="AH155" i="1"/>
  <c r="AH162" i="1"/>
  <c r="AH185" i="1"/>
  <c r="AH192" i="1"/>
  <c r="AH208" i="1"/>
  <c r="AH211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<sst xmlns="http://schemas.openxmlformats.org/spreadsheetml/2006/main" count="2190" uniqueCount="757">
  <si>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</si>
  <si>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</si>
  <si>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</si>
  <si>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</si>
  <si>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</si>
  <si>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</si>
  <si>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</si>
  <si>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</si>
  <si>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</si>
  <si>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</si>
  <si>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</si>
  <si>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</si>
  <si>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</si>
  <si>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</si>
  <si>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</si>
  <si>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</si>
  <si>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</si>
  <si>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</si>
  <si>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</si>
  <si>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</si>
  <si>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</si>
  <si>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</si>
  <si>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</si>
  <si>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</si>
  <si>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</si>
  <si>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</si>
  <si>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</si>
  <si>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</si>
  <si>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</si>
  <si>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</si>
  <si>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</si>
  <si>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</si>
  <si>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</si>
  <si>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</si>
  <si>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</si>
  <si>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</si>
  <si>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</si>
  <si>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</si>
  <si>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</si>
  <si>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</si>
  <si>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</si>
  <si>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</si>
  <si>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</si>
  <si>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</si>
  <si>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</si>
  <si>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</si>
  <si>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</si>
  <si>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</si>
  <si>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</si>
  <si>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</si>
  <si>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</si>
  <si>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</si>
  <si>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</si>
  <si>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</si>
  <si>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</si>
  <si>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</si>
  <si>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</si>
  <si>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</si>
  <si>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</si>
  <si>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</si>
  <si>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</si>
  <si>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</si>
  <si>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</si>
  <si>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</si>
  <si>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</si>
  <si>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</si>
  <si>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</si>
  <si>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</si>
  <si>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</si>
  <si>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</si>
  <si>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</si>
  <si>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</si>
  <si>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</si>
  <si>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</si>
  <si>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</si>
  <si>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</si>
  <si>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</si>
  <si>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</si>
  <si>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</si>
  <si>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</si>
  <si>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</si>
  <si>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</si>
  <si>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</si>
  <si>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</si>
  <si>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</si>
  <si>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</si>
  <si>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</si>
  <si>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</si>
  <si>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</si>
  <si>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</si>
  <si>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</si>
  <si>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</si>
  <si>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</si>
  <si>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</si>
  <si>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</si>
  <si>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</si>
  <si>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</si>
  <si>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</si>
  <si>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</si>
  <si>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</si>
  <si>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</si>
  <si>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</si>
  <si>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</si>
  <si>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</si>
  <si>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</si>
  <si>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</si>
  <si>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</si>
  <si>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</si>
  <si>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</si>
  <si>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</si>
  <si>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</si>
  <si>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</si>
  <si>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</si>
  <si>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</si>
  <si>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</si>
  <si>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</si>
  <si>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</si>
  <si>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</si>
  <si>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</si>
  <si>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</si>
  <si>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</si>
  <si>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</si>
  <si>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</si>
  <si>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</si>
  <si>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</si>
  <si>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</si>
  <si>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</si>
  <si>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</si>
  <si>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</si>
  <si>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</si>
  <si>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</si>
  <si>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</si>
  <si>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</si>
  <si>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</si>
  <si>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</si>
  <si>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</si>
  <si>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</si>
  <si>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</si>
  <si>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</si>
  <si>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</si>
  <si>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</si>
  <si>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</si>
  <si>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</si>
  <si>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</si>
  <si>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</si>
  <si>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</si>
  <si>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</si>
  <si>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</si>
  <si>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</si>
  <si>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</si>
  <si>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</si>
  <si>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</si>
  <si>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</si>
  <si>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</si>
  <si>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</si>
  <si>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</si>
  <si>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</si>
  <si>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</si>
  <si>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</si>
  <si>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</si>
  <si>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</si>
  <si>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</si>
  <si>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</si>
  <si>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</si>
  <si>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</si>
  <si>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</si>
  <si>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</si>
  <si>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</si>
  <si>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</si>
  <si>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</si>
  <si>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</si>
  <si>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</si>
  <si>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</si>
  <si>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</si>
  <si>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</si>
  <si>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</si>
  <si>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</si>
  <si>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</si>
  <si>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240-07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</si>
  <si>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</si>
  <si>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</si>
  <si>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</si>
  <si>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</si>
  <si>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</si>
  <si>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</si>
  <si>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</si>
  <si>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</si>
  <si>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</si>
  <si>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</si>
  <si>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</si>
  <si>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</si>
  <si>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</si>
  <si>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</si>
  <si>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</si>
  <si>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</si>
  <si>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</si>
  <si>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</si>
  <si>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</si>
  <si>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</si>
  <si>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</si>
  <si>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</si>
  <si>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</si>
  <si>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</si>
  <si>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</si>
  <si>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</si>
  <si>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</si>
  <si>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</si>
  <si>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</si>
  <si>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</si>
  <si>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</si>
  <si>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</si>
  <si>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</si>
  <si>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</si>
  <si>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204:460</t>
  </si>
  <si>
    <t>human_readable_time</t>
  </si>
  <si>
    <t>204:138</t>
  </si>
  <si>
    <t>204:462</t>
  </si>
  <si>
    <t>rtdc.l.rtdc.4044:itc</t>
  </si>
  <si>
    <t>rtdc.l.rtdc.4043:itc</t>
  </si>
  <si>
    <t>Loco - PTC</t>
  </si>
  <si>
    <t>Power</t>
  </si>
  <si>
    <t>204:156</t>
  </si>
  <si>
    <t>rtdc.l.rtdc.4012:itc</t>
  </si>
  <si>
    <t>204:233314</t>
  </si>
  <si>
    <t>CLI Grep</t>
  </si>
  <si>
    <t>204:233295</t>
  </si>
  <si>
    <t>204:145</t>
  </si>
  <si>
    <t>204:233000</t>
  </si>
  <si>
    <t>204:141</t>
  </si>
  <si>
    <t>204:233312</t>
  </si>
  <si>
    <t>Early arrival</t>
  </si>
  <si>
    <t>rtdc.l.rtdc.4014:itc</t>
  </si>
  <si>
    <t>204:446</t>
  </si>
  <si>
    <t>204:233300</t>
  </si>
  <si>
    <t>Time (US/Mountain)</t>
  </si>
  <si>
    <t>Source</t>
  </si>
  <si>
    <t>Employee Identifier</t>
  </si>
  <si>
    <t>Employee Last Name</t>
  </si>
  <si>
    <t>204:464</t>
  </si>
  <si>
    <t>rtdc.l.rtdc.4029:itc</t>
  </si>
  <si>
    <t>204:143</t>
  </si>
  <si>
    <t>204:232977</t>
  </si>
  <si>
    <t>204:438</t>
  </si>
  <si>
    <t>clear-night</t>
  </si>
  <si>
    <t>Clear</t>
  </si>
  <si>
    <t>rtdc.l.rtdc.4017:itc</t>
  </si>
  <si>
    <t>rtdc.l.rtdc.4018:itc</t>
  </si>
  <si>
    <t>204:473</t>
  </si>
  <si>
    <t>204:233305</t>
  </si>
  <si>
    <t>Reactive Warning (1)</t>
  </si>
  <si>
    <t>204:444</t>
  </si>
  <si>
    <t>300:23306</t>
  </si>
  <si>
    <t>LEVERE</t>
  </si>
  <si>
    <t>204:233293</t>
  </si>
  <si>
    <t>204:233307</t>
  </si>
  <si>
    <t>204:232981</t>
  </si>
  <si>
    <t>204:232983</t>
  </si>
  <si>
    <t>300:58609</t>
  </si>
  <si>
    <t>rtdc.l.rtdc.4045:itc</t>
  </si>
  <si>
    <t>rtdc.l.rtdc.4013:itc</t>
  </si>
  <si>
    <t>STORY</t>
  </si>
  <si>
    <t>rtdc.l.rtdc.4005:itc</t>
  </si>
  <si>
    <t>rtdc.l.rtdc.4006:itc</t>
  </si>
  <si>
    <t>204:233288</t>
  </si>
  <si>
    <t>204:232988</t>
  </si>
  <si>
    <t>204:232991</t>
  </si>
  <si>
    <t>204:233309</t>
  </si>
  <si>
    <t>204:233317</t>
  </si>
  <si>
    <t>204:440</t>
  </si>
  <si>
    <t>300:58933</t>
  </si>
  <si>
    <t>:.+((SYSTEM_STATE.+slice.+state.+changed )|(ment ac)|(system.+state.+changed )|(\[timeout)|(PRM\|1\|D)|(kpr)|(kdp)|(\|lc)|(penalty))</t>
  </si>
  <si>
    <t>Onboard in-route failure</t>
  </si>
  <si>
    <t>partly-cloudy-day</t>
  </si>
  <si>
    <t>Partly Cloudy</t>
  </si>
  <si>
    <t>MAELZER</t>
  </si>
  <si>
    <t>rtdc.l.rtdc.4001:itc</t>
  </si>
  <si>
    <t>rtdc.l.rtdc.4039:itc</t>
  </si>
  <si>
    <t>MOSES</t>
  </si>
  <si>
    <t>STURGEON</t>
  </si>
  <si>
    <t>204:232984</t>
  </si>
  <si>
    <t>204:433</t>
  </si>
  <si>
    <t>204:232982</t>
  </si>
  <si>
    <t>204:139</t>
  </si>
  <si>
    <t>204:233299</t>
  </si>
  <si>
    <t>204:232978</t>
  </si>
  <si>
    <t>204:232968</t>
  </si>
  <si>
    <t>204:232986</t>
  </si>
  <si>
    <t>204:161</t>
  </si>
  <si>
    <t>204:232990</t>
  </si>
  <si>
    <t>204:477</t>
  </si>
  <si>
    <t>204:442</t>
  </si>
  <si>
    <t>300:58662</t>
  </si>
  <si>
    <t>s3://rtdc.mdm.uploadarchive.raw</t>
  </si>
  <si>
    <t>Y</t>
  </si>
  <si>
    <t>MALAVE</t>
  </si>
  <si>
    <t>YORK</t>
  </si>
  <si>
    <t>rtdc.l.rtdc.4011:itc</t>
  </si>
  <si>
    <t>GEBRETEKLE</t>
  </si>
  <si>
    <t>ISHMAEL</t>
  </si>
  <si>
    <t>NEWELL</t>
  </si>
  <si>
    <t>SHOOK</t>
  </si>
  <si>
    <t>POLLOCK</t>
  </si>
  <si>
    <t>SMITH</t>
  </si>
  <si>
    <t>309-29</t>
  </si>
  <si>
    <t>242-29</t>
  </si>
  <si>
    <t>311-29</t>
  </si>
  <si>
    <t>244-29</t>
  </si>
  <si>
    <t>313-29</t>
  </si>
  <si>
    <t>partly-cloudy-night</t>
  </si>
  <si>
    <t>204:449</t>
  </si>
  <si>
    <t>204:232980</t>
  </si>
  <si>
    <t>204:233284</t>
  </si>
  <si>
    <t>204:232985</t>
  </si>
  <si>
    <t>204:232996</t>
  </si>
  <si>
    <t>204:233338</t>
  </si>
  <si>
    <t>204:165</t>
  </si>
  <si>
    <t>300:23308</t>
  </si>
  <si>
    <t>300:58935</t>
  </si>
  <si>
    <t>300:58941</t>
  </si>
  <si>
    <t>300:58624</t>
  </si>
  <si>
    <t>204:743</t>
  </si>
  <si>
    <t>204:755</t>
  </si>
  <si>
    <t>204:233353</t>
  </si>
  <si>
    <t>204:233280</t>
  </si>
  <si>
    <t>204:232987</t>
  </si>
  <si>
    <t>204:482</t>
  </si>
  <si>
    <t>204:232953</t>
  </si>
  <si>
    <t>204:136</t>
  </si>
  <si>
    <t>204:232969</t>
  </si>
  <si>
    <t>204:134</t>
  </si>
  <si>
    <t>204:233255</t>
  </si>
  <si>
    <t>204:232989</t>
  </si>
  <si>
    <t>204:205</t>
  </si>
  <si>
    <t>204:233004</t>
  </si>
  <si>
    <t>204:233002</t>
  </si>
  <si>
    <t>204:233286</t>
  </si>
  <si>
    <t>204:233011</t>
  </si>
  <si>
    <t>204:233376</t>
  </si>
  <si>
    <t>204:233332</t>
  </si>
  <si>
    <t>204:233306</t>
  </si>
  <si>
    <t>226-30</t>
  </si>
  <si>
    <t>228-30</t>
  </si>
  <si>
    <t>229-30</t>
  </si>
  <si>
    <t>230-30</t>
  </si>
  <si>
    <t>231-30</t>
  </si>
  <si>
    <t>204:233274</t>
  </si>
  <si>
    <t>232-30</t>
  </si>
  <si>
    <t>233-30</t>
  </si>
  <si>
    <t>234-30</t>
  </si>
  <si>
    <t>204:232961</t>
  </si>
  <si>
    <t>235-30</t>
  </si>
  <si>
    <t>236-30</t>
  </si>
  <si>
    <t>237-30</t>
  </si>
  <si>
    <t>238-30</t>
  </si>
  <si>
    <t>239-30</t>
  </si>
  <si>
    <t>240-30</t>
  </si>
  <si>
    <t>241-30</t>
  </si>
  <si>
    <t>242-30</t>
  </si>
  <si>
    <t>243-30</t>
  </si>
  <si>
    <t>204:489</t>
  </si>
  <si>
    <t>244-30</t>
  </si>
  <si>
    <t>245-30</t>
  </si>
  <si>
    <t>246-30</t>
  </si>
  <si>
    <t>309-30</t>
  </si>
  <si>
    <t>311-30</t>
  </si>
  <si>
    <t>313-30</t>
  </si>
  <si>
    <t>315-30</t>
  </si>
  <si>
    <t>204:779</t>
  </si>
  <si>
    <t>204:759</t>
  </si>
  <si>
    <t>204:1048</t>
  </si>
  <si>
    <t>204:1058</t>
  </si>
  <si>
    <t>300:58617</t>
  </si>
  <si>
    <t>204:694</t>
  </si>
  <si>
    <t>300:58621</t>
  </si>
  <si>
    <t>204:698</t>
  </si>
  <si>
    <t>204:1037</t>
  </si>
  <si>
    <t>204:1046</t>
  </si>
  <si>
    <t>204:965</t>
  </si>
  <si>
    <t>300:58926</t>
  </si>
  <si>
    <t>204:967</t>
  </si>
  <si>
    <t>204:1034</t>
  </si>
  <si>
    <t>204:964</t>
  </si>
  <si>
    <t>300:58615</t>
  </si>
  <si>
    <t>300:58931</t>
  </si>
  <si>
    <t>300:58623</t>
  </si>
  <si>
    <t>844-30</t>
  </si>
  <si>
    <t>845-30</t>
  </si>
  <si>
    <t>847-30</t>
  </si>
  <si>
    <t>908-30</t>
  </si>
  <si>
    <t>rtdc.l.rtdc.4010:itc</t>
  </si>
  <si>
    <t>rtdc.l.rtdc.4015:itc</t>
  </si>
  <si>
    <t>rtdc.l.rtdc.4016:itc</t>
  </si>
  <si>
    <t>rtdc.l.rtdc.4054:itc</t>
  </si>
  <si>
    <t>rtdc.l.rtdc.4032:itc</t>
  </si>
  <si>
    <t>rtdc.l.rtdc.4031:itc</t>
  </si>
  <si>
    <t>rtdc.l.rtdc.4053:itc</t>
  </si>
  <si>
    <t>STEWART</t>
  </si>
  <si>
    <t>CLARK</t>
  </si>
  <si>
    <t>SWANSON</t>
  </si>
  <si>
    <t>rtdc.l.rtdc.4009:itc</t>
  </si>
  <si>
    <t>ARVIDSON</t>
  </si>
  <si>
    <t>CHANDLER</t>
  </si>
  <si>
    <t>HILLS</t>
  </si>
  <si>
    <t>precipType</t>
  </si>
  <si>
    <t>rain</t>
  </si>
  <si>
    <t>204:233347</t>
  </si>
  <si>
    <t>204:233030</t>
  </si>
  <si>
    <t>204:233308</t>
  </si>
  <si>
    <t>204:233276</t>
  </si>
  <si>
    <t>101-01</t>
  </si>
  <si>
    <t>204:719</t>
  </si>
  <si>
    <t>204:233341</t>
  </si>
  <si>
    <t>102-01</t>
  </si>
  <si>
    <t>204:232692</t>
  </si>
  <si>
    <t>103-01</t>
  </si>
  <si>
    <t>104-01</t>
  </si>
  <si>
    <t>204:232633</t>
  </si>
  <si>
    <t>105-01</t>
  </si>
  <si>
    <t>204:637</t>
  </si>
  <si>
    <t>204:233393</t>
  </si>
  <si>
    <t>106-01</t>
  </si>
  <si>
    <t>204:232729</t>
  </si>
  <si>
    <t>107-01</t>
  </si>
  <si>
    <t>204:233302</t>
  </si>
  <si>
    <t>108-01</t>
  </si>
  <si>
    <t>109-01</t>
  </si>
  <si>
    <t>110-01</t>
  </si>
  <si>
    <t>204:232971</t>
  </si>
  <si>
    <t>111-01</t>
  </si>
  <si>
    <t>112-01</t>
  </si>
  <si>
    <t>113-01</t>
  </si>
  <si>
    <t>204:233330</t>
  </si>
  <si>
    <t>114-01</t>
  </si>
  <si>
    <t>115-01</t>
  </si>
  <si>
    <t>116-01</t>
  </si>
  <si>
    <t>117-01</t>
  </si>
  <si>
    <t>118-01</t>
  </si>
  <si>
    <t>119-01</t>
  </si>
  <si>
    <t>204:732</t>
  </si>
  <si>
    <t>120-01</t>
  </si>
  <si>
    <t>121-01</t>
  </si>
  <si>
    <t>122-01</t>
  </si>
  <si>
    <t>204:172</t>
  </si>
  <si>
    <t>123-01</t>
  </si>
  <si>
    <t>204:467</t>
  </si>
  <si>
    <t>124-01</t>
  </si>
  <si>
    <t>204:109143</t>
  </si>
  <si>
    <t>204:86351</t>
  </si>
  <si>
    <t>204:130</t>
  </si>
  <si>
    <t>125-01</t>
  </si>
  <si>
    <t>126-01</t>
  </si>
  <si>
    <t>127-01</t>
  </si>
  <si>
    <t>128-01</t>
  </si>
  <si>
    <t>129-01</t>
  </si>
  <si>
    <t>204:233327</t>
  </si>
  <si>
    <t>130-01</t>
  </si>
  <si>
    <t>204:233023</t>
  </si>
  <si>
    <t>131-01</t>
  </si>
  <si>
    <t>204:233289</t>
  </si>
  <si>
    <t>132-01</t>
  </si>
  <si>
    <t>133-01</t>
  </si>
  <si>
    <t>204:435</t>
  </si>
  <si>
    <t>204:233334</t>
  </si>
  <si>
    <t>134-01</t>
  </si>
  <si>
    <t>204:127</t>
  </si>
  <si>
    <t>135-01</t>
  </si>
  <si>
    <t>204:233344</t>
  </si>
  <si>
    <t>136-01</t>
  </si>
  <si>
    <t>137-01</t>
  </si>
  <si>
    <t>138-01</t>
  </si>
  <si>
    <t>204:232967</t>
  </si>
  <si>
    <t>139-01</t>
  </si>
  <si>
    <t>140-01</t>
  </si>
  <si>
    <t>141-01</t>
  </si>
  <si>
    <t>142-01</t>
  </si>
  <si>
    <t>143-01</t>
  </si>
  <si>
    <t>144-01</t>
  </si>
  <si>
    <t>204:233006</t>
  </si>
  <si>
    <t>145-01</t>
  </si>
  <si>
    <t>204:233257</t>
  </si>
  <si>
    <t>146-01</t>
  </si>
  <si>
    <t>204:121656</t>
  </si>
  <si>
    <t>204:232942</t>
  </si>
  <si>
    <t>204:157704</t>
  </si>
  <si>
    <t>147-01</t>
  </si>
  <si>
    <t>148-01</t>
  </si>
  <si>
    <t>204:127854</t>
  </si>
  <si>
    <t>204:159923</t>
  </si>
  <si>
    <t>149-01</t>
  </si>
  <si>
    <t>204:475</t>
  </si>
  <si>
    <t>150-01</t>
  </si>
  <si>
    <t>204:127857</t>
  </si>
  <si>
    <t>204:158179</t>
  </si>
  <si>
    <t>151-01</t>
  </si>
  <si>
    <t>204:154415</t>
  </si>
  <si>
    <t>152-01</t>
  </si>
  <si>
    <t>204:232972</t>
  </si>
  <si>
    <t>204:158992</t>
  </si>
  <si>
    <t>204:86359</t>
  </si>
  <si>
    <t>153-01</t>
  </si>
  <si>
    <t>204:154451</t>
  </si>
  <si>
    <t>154-01</t>
  </si>
  <si>
    <t>204:160528</t>
  </si>
  <si>
    <t>155-01</t>
  </si>
  <si>
    <t>204:154400</t>
  </si>
  <si>
    <t>156-01</t>
  </si>
  <si>
    <t>204:192842</t>
  </si>
  <si>
    <t>204:64186</t>
  </si>
  <si>
    <t>204:86354</t>
  </si>
  <si>
    <t>204:85469</t>
  </si>
  <si>
    <t>157-01</t>
  </si>
  <si>
    <t>204:154457</t>
  </si>
  <si>
    <t>158-01</t>
  </si>
  <si>
    <t>204:127852</t>
  </si>
  <si>
    <t>204:158391</t>
  </si>
  <si>
    <t>159-01</t>
  </si>
  <si>
    <t>204:480</t>
  </si>
  <si>
    <t>204:154422</t>
  </si>
  <si>
    <t>160-01</t>
  </si>
  <si>
    <t>204:127855</t>
  </si>
  <si>
    <t>204:232966</t>
  </si>
  <si>
    <t>204:193706</t>
  </si>
  <si>
    <t>161-01</t>
  </si>
  <si>
    <t>204:154419</t>
  </si>
  <si>
    <t>162-01</t>
  </si>
  <si>
    <t>163-01</t>
  </si>
  <si>
    <t>204:154427</t>
  </si>
  <si>
    <t>164-01</t>
  </si>
  <si>
    <t>165-01</t>
  </si>
  <si>
    <t>166-01</t>
  </si>
  <si>
    <t>204:233042</t>
  </si>
  <si>
    <t>167-01</t>
  </si>
  <si>
    <t>168-01</t>
  </si>
  <si>
    <t>169-01</t>
  </si>
  <si>
    <t>204:233268</t>
  </si>
  <si>
    <t>170-01</t>
  </si>
  <si>
    <t>204:232957</t>
  </si>
  <si>
    <t>204:170</t>
  </si>
  <si>
    <t>171-01</t>
  </si>
  <si>
    <t>172-01</t>
  </si>
  <si>
    <t>204:233027</t>
  </si>
  <si>
    <t>204:119</t>
  </si>
  <si>
    <t>173-01</t>
  </si>
  <si>
    <t>204:447</t>
  </si>
  <si>
    <t>174-01</t>
  </si>
  <si>
    <t>175-01</t>
  </si>
  <si>
    <t>204:233329</t>
  </si>
  <si>
    <t>176-01</t>
  </si>
  <si>
    <t>204:163</t>
  </si>
  <si>
    <t>177-01</t>
  </si>
  <si>
    <t>178-01</t>
  </si>
  <si>
    <t>179-01</t>
  </si>
  <si>
    <t>180-01</t>
  </si>
  <si>
    <t>1800-01</t>
  </si>
  <si>
    <t>204:773</t>
  </si>
  <si>
    <t>1801-01</t>
  </si>
  <si>
    <t>1802-01</t>
  </si>
  <si>
    <t>204:780</t>
  </si>
  <si>
    <t>1803-01</t>
  </si>
  <si>
    <t>204:1069</t>
  </si>
  <si>
    <t>1804-01</t>
  </si>
  <si>
    <t>204:771</t>
  </si>
  <si>
    <t>1805-01</t>
  </si>
  <si>
    <t>1806-01</t>
  </si>
  <si>
    <t>204:761</t>
  </si>
  <si>
    <t>1807-01</t>
  </si>
  <si>
    <t>204:1039</t>
  </si>
  <si>
    <t>300:58920</t>
  </si>
  <si>
    <t>1808-01</t>
  </si>
  <si>
    <t>204:752</t>
  </si>
  <si>
    <t>1809-01</t>
  </si>
  <si>
    <t>181-01</t>
  </si>
  <si>
    <t>204:233326</t>
  </si>
  <si>
    <t>1810-01</t>
  </si>
  <si>
    <t>1811-01</t>
  </si>
  <si>
    <t>1812-01</t>
  </si>
  <si>
    <t>204:747</t>
  </si>
  <si>
    <t>1813-01</t>
  </si>
  <si>
    <t>204:1025</t>
  </si>
  <si>
    <t>1814-01</t>
  </si>
  <si>
    <t>1815-01</t>
  </si>
  <si>
    <t>1816-01</t>
  </si>
  <si>
    <t>1817-01</t>
  </si>
  <si>
    <t>300:58988</t>
  </si>
  <si>
    <t>1818-01</t>
  </si>
  <si>
    <t>300:58670</t>
  </si>
  <si>
    <t>1819-01</t>
  </si>
  <si>
    <t>204:990</t>
  </si>
  <si>
    <t>300:58984</t>
  </si>
  <si>
    <t>182-01</t>
  </si>
  <si>
    <t>204:233019</t>
  </si>
  <si>
    <t>1820-01</t>
  </si>
  <si>
    <t>300:58677</t>
  </si>
  <si>
    <t>1821-01</t>
  </si>
  <si>
    <t>204:1006</t>
  </si>
  <si>
    <t>1822-01</t>
  </si>
  <si>
    <t>204:671</t>
  </si>
  <si>
    <t>1823-01</t>
  </si>
  <si>
    <t>300:58969</t>
  </si>
  <si>
    <t>1824-01</t>
  </si>
  <si>
    <t>300:58660</t>
  </si>
  <si>
    <t>204:675</t>
  </si>
  <si>
    <t>1825-01</t>
  </si>
  <si>
    <t>300:58986</t>
  </si>
  <si>
    <t>1826-01</t>
  </si>
  <si>
    <t>300:58668</t>
  </si>
  <si>
    <t>204:701</t>
  </si>
  <si>
    <t>1827-01</t>
  </si>
  <si>
    <t>204:1018</t>
  </si>
  <si>
    <t>300:58911</t>
  </si>
  <si>
    <t>1828-01</t>
  </si>
  <si>
    <t>300:58589</t>
  </si>
  <si>
    <t>204:687</t>
  </si>
  <si>
    <t>1829-01</t>
  </si>
  <si>
    <t>204:988</t>
  </si>
  <si>
    <t>183-01</t>
  </si>
  <si>
    <t>1830-01</t>
  </si>
  <si>
    <t>1831-01</t>
  </si>
  <si>
    <t>300:58967</t>
  </si>
  <si>
    <t>300:23301</t>
  </si>
  <si>
    <t>1832-01</t>
  </si>
  <si>
    <t>300:58656</t>
  </si>
  <si>
    <t>1833-01</t>
  </si>
  <si>
    <t>204:1364</t>
  </si>
  <si>
    <t>184-01</t>
  </si>
  <si>
    <t>185-01</t>
  </si>
  <si>
    <t>186-01</t>
  </si>
  <si>
    <t>204:233005</t>
  </si>
  <si>
    <t>204:125</t>
  </si>
  <si>
    <t>187-01</t>
  </si>
  <si>
    <t>188-01</t>
  </si>
  <si>
    <t>189-01</t>
  </si>
  <si>
    <t>190-01</t>
  </si>
  <si>
    <t>1902-01</t>
  </si>
  <si>
    <t>300:58634</t>
  </si>
  <si>
    <t>300:20892</t>
  </si>
  <si>
    <t>191-01</t>
  </si>
  <si>
    <t>204:233321</t>
  </si>
  <si>
    <t>192-01</t>
  </si>
  <si>
    <t>193-01</t>
  </si>
  <si>
    <t>194-01</t>
  </si>
  <si>
    <t>195-01</t>
  </si>
  <si>
    <t>204:511</t>
  </si>
  <si>
    <t>196-01</t>
  </si>
  <si>
    <t>204:233036</t>
  </si>
  <si>
    <t>197-01</t>
  </si>
  <si>
    <t>198-01</t>
  </si>
  <si>
    <t>199-01</t>
  </si>
  <si>
    <t>204:233232</t>
  </si>
  <si>
    <t>200-01</t>
  </si>
  <si>
    <t>204:232921</t>
  </si>
  <si>
    <t>201-01</t>
  </si>
  <si>
    <t>202-01</t>
  </si>
  <si>
    <t>203-01</t>
  </si>
  <si>
    <t>204-01</t>
  </si>
  <si>
    <t>205-01</t>
  </si>
  <si>
    <t>206-01</t>
  </si>
  <si>
    <t>207-01</t>
  </si>
  <si>
    <t>208-01</t>
  </si>
  <si>
    <t>204:233034</t>
  </si>
  <si>
    <t>209-01</t>
  </si>
  <si>
    <t>210-01</t>
  </si>
  <si>
    <t>211-01</t>
  </si>
  <si>
    <t>204:233287</t>
  </si>
  <si>
    <t>212-01</t>
  </si>
  <si>
    <t>204:192</t>
  </si>
  <si>
    <t>213-01</t>
  </si>
  <si>
    <t>214-01</t>
  </si>
  <si>
    <t>215-01</t>
  </si>
  <si>
    <t>216-01</t>
  </si>
  <si>
    <t>204:232976</t>
  </si>
  <si>
    <t>204:176</t>
  </si>
  <si>
    <t>217-01</t>
  </si>
  <si>
    <t>218-01</t>
  </si>
  <si>
    <t>219-01</t>
  </si>
  <si>
    <t>220-01</t>
  </si>
  <si>
    <t>221-01</t>
  </si>
  <si>
    <t>222-01</t>
  </si>
  <si>
    <t>223-01</t>
  </si>
  <si>
    <t>224-01</t>
  </si>
  <si>
    <t>225-01</t>
  </si>
  <si>
    <t>226-01</t>
  </si>
  <si>
    <t>227-01</t>
  </si>
  <si>
    <t>228-01</t>
  </si>
  <si>
    <t>229-01</t>
  </si>
  <si>
    <t>204:233340</t>
  </si>
  <si>
    <t>230-01</t>
  </si>
  <si>
    <t>204:233010</t>
  </si>
  <si>
    <t>231-01</t>
  </si>
  <si>
    <t>232-01</t>
  </si>
  <si>
    <t>233-01</t>
  </si>
  <si>
    <t>234-01</t>
  </si>
  <si>
    <t>235-01</t>
  </si>
  <si>
    <t>236-01</t>
  </si>
  <si>
    <t>237-01</t>
  </si>
  <si>
    <t>204:233339</t>
  </si>
  <si>
    <t>238-01</t>
  </si>
  <si>
    <t>204:233009</t>
  </si>
  <si>
    <t>204:129</t>
  </si>
  <si>
    <t>239-01</t>
  </si>
  <si>
    <t>240-01</t>
  </si>
  <si>
    <t>241-01</t>
  </si>
  <si>
    <t>204:233272</t>
  </si>
  <si>
    <t>242-01</t>
  </si>
  <si>
    <t>243-01</t>
  </si>
  <si>
    <t>204:233282</t>
  </si>
  <si>
    <t>244-01</t>
  </si>
  <si>
    <t>245-01</t>
  </si>
  <si>
    <t>204:488</t>
  </si>
  <si>
    <t>246-01</t>
  </si>
  <si>
    <t>303-01</t>
  </si>
  <si>
    <t>305-01</t>
  </si>
  <si>
    <t>204:500</t>
  </si>
  <si>
    <t>300:23299</t>
  </si>
  <si>
    <t>307-01</t>
  </si>
  <si>
    <t>204:509</t>
  </si>
  <si>
    <t>300:23302</t>
  </si>
  <si>
    <t>309-01</t>
  </si>
  <si>
    <t>311-01</t>
  </si>
  <si>
    <t>300:22204</t>
  </si>
  <si>
    <t>313-01</t>
  </si>
  <si>
    <t>300:23316</t>
  </si>
  <si>
    <t>315-01</t>
  </si>
  <si>
    <t>50-01</t>
  </si>
  <si>
    <t>300:22060</t>
  </si>
  <si>
    <t>51-01</t>
  </si>
  <si>
    <t>204:357</t>
  </si>
  <si>
    <t>300:24258</t>
  </si>
  <si>
    <t>63-01</t>
  </si>
  <si>
    <t>204:1509</t>
  </si>
  <si>
    <t>204:1738</t>
  </si>
  <si>
    <t>204:1729</t>
  </si>
  <si>
    <t>66-01</t>
  </si>
  <si>
    <t>300:22140</t>
  </si>
  <si>
    <t>204:879</t>
  </si>
  <si>
    <t>rtdc.l.rtdc.4003:itc</t>
  </si>
  <si>
    <t>rtdc.l.rtdc.4004:itc</t>
  </si>
  <si>
    <t>rtdc.l.rtdc.4030:itc</t>
  </si>
  <si>
    <t>rtdc.l.rtdc.4040:itc</t>
  </si>
  <si>
    <t>ACKERMAN</t>
  </si>
  <si>
    <t>DE LA ROSA</t>
  </si>
  <si>
    <t>KILLION</t>
  </si>
  <si>
    <t>BARTLETT</t>
  </si>
  <si>
    <t>clear-day</t>
  </si>
  <si>
    <t>Summary for DUS 2016-10-01: Partly cloudy starting in the afternoon, continuing until evening.</t>
  </si>
  <si>
    <t>Primary slice change right as operator pressed PROTECTED button for a XING ACTIVATION FAILURE</t>
  </si>
  <si>
    <t>CP 61st main/standby transfer issue</t>
  </si>
  <si>
    <t>Onboard in-route failure delayed departure</t>
  </si>
  <si>
    <t>Multiple CPU faults at 17:41:13</t>
  </si>
  <si>
    <t>Form C</t>
  </si>
  <si>
    <t>40th 4S STOP, cleared afterward</t>
  </si>
  <si>
    <t>http://stevetu21.github.io/eaglep3/load_kml.html?kml=http://rtdc.gmaps-snips.s3.amazonaws.com/2f743044-cfe1-4d42-9f04-61481b6596a9.kml</t>
  </si>
  <si>
    <t>Wi-MAX outage</t>
  </si>
  <si>
    <t>Chambers 2N STOP, cleared afterward</t>
  </si>
  <si>
    <t>Early arrival - Ped XING enabled</t>
  </si>
  <si>
    <t>Poor GPS under I-25 bridge</t>
  </si>
  <si>
    <t>Poor GPS signal under I-25 bridge caused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</si>
</sst>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2f743044-cfe1-4d42-9f04-61481b6596a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topLeftCell="A61" workbookViewId="0">
      <selection activeCell="R67" sqref="R6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42644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42644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34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COUNTIFS($N$13:$N$9384,"&gt;0",$AG$13:$AG$9384,I1)</f>
        <v>132</v>
      </c>
      <c r="K5" s="46"/>
      <c r="L5" s="46"/>
      <c r="M5" s="47">
        <f>AVERAGEIFS($N$13:$N$9384,$AG$13:$AG$9384,I1)</f>
        <v>39.245075757763431</v>
      </c>
      <c r="N5" s="45">
        <f t="array" ref="N5">MIN(IF($AG$13:$AG$9384=I1,IF(ISNUMBER($N$13:$N$9384),IF($N$13:$N$9384&gt;0,$N$13:$N$9384))))</f>
        <v>31.999999999534339</v>
      </c>
      <c r="O5" s="3">
        <f t="array" ref="O5">MAX(IF($AG$13:$AG$9384=I1,IF(ISNUMBER($N$13:$N$9384),IF($N$13:$N$9384&gt;0,$N$13:$N$9384))))</f>
        <v>49.016666673123837</v>
      </c>
      <c r="P5" s="2"/>
      <c r="R5" s="83" t="s">
        <v>17</v>
      </c>
      <c r="S5" s="57">
        <f>COUNTIFS($N$13:$N$9384,"&gt;0",$AG$13:$AG$9384,R1)</f>
        <v>34</v>
      </c>
      <c r="T5" s="46"/>
      <c r="U5" s="156"/>
      <c r="V5" s="47">
        <f>AVERAGEIFS($N$13:$N$9384,$AG$13:$AG$9384,R1)</f>
        <v>14.62401960767559</v>
      </c>
      <c r="W5" s="45">
        <f t="array" ref="W5">MIN(IF($AG$13:$AG$9384=R1,IF(ISNUMBER($N$13:$N$9384),IF($N$13:$N$9384&gt;0,$N$13:$N$9384))))</f>
        <v>12.316666664555669</v>
      </c>
      <c r="X5" s="161">
        <f t="array" ref="X5">MAX(IF($AG$13:$AG$9384=R1,IF(ISNUMBER($N$13:$N$9384),IF($N$13:$N$9384&gt;0,$N$13:$N$9384))))</f>
        <v>19.199999993434176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COUNT($O$13:$O$159)</f>
        <v>0</v>
      </c>
      <c r="K6" s="46"/>
      <c r="L6" s="46"/>
      <c r="M6" s="47">
        <f>IFERROR(AVERAGE($O$13:$O$159),0)</f>
        <v>0</v>
      </c>
      <c r="N6" s="45">
        <f>MIN($O$13:$O$159)</f>
        <v>0</v>
      </c>
      <c r="O6" s="3">
        <f>MAX($O$13:$O$159)</f>
        <v>0</v>
      </c>
      <c r="P6" s="2"/>
      <c r="R6" s="84" t="s">
        <v>43</v>
      </c>
      <c r="S6" s="57">
        <f>COUNT($O$13:$O$159)</f>
        <v>0</v>
      </c>
      <c r="T6" s="46"/>
      <c r="U6" s="156"/>
      <c r="V6" s="47">
        <f>IFERROR(AVERAGE($O$13:$O$159),0)</f>
        <v>0</v>
      </c>
      <c r="W6" s="45">
        <f>MIN($O$13:$O$159)</f>
        <v>0</v>
      </c>
      <c r="X6" s="161">
        <f>MAX($O$13:$O$159)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COUNTIFS($P$13:$P$9384,"&gt;0",$AG$13:$AG$9384,I1)</f>
        <v>14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COUNTIFS($P$13:$P$9384,"&gt;0",$AG$13:$AG$9384,R1)</f>
        <v>0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132</v>
      </c>
      <c r="K8" s="46"/>
      <c r="L8" s="46"/>
      <c r="M8" s="47">
        <f>M5</f>
        <v>39.245075757763431</v>
      </c>
      <c r="N8" s="45">
        <f>N5</f>
        <v>31.999999999534339</v>
      </c>
      <c r="O8" s="3">
        <f>O5</f>
        <v>49.016666673123837</v>
      </c>
      <c r="P8" s="2"/>
      <c r="R8" s="83" t="s">
        <v>16</v>
      </c>
      <c r="S8" s="57">
        <f>S5</f>
        <v>34</v>
      </c>
      <c r="T8" s="46"/>
      <c r="U8" s="156"/>
      <c r="V8" s="47">
        <f>V5</f>
        <v>14.62401960767559</v>
      </c>
      <c r="W8" s="45">
        <f>W5</f>
        <v>12.316666664555669</v>
      </c>
      <c r="X8" s="161">
        <f>X5</f>
        <v>19.199999993434176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0.90410958904109584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1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0" t="str">
        <f>"Eagle P3 System Performance - "&amp;TEXT(Variables!A2,"yyyy-mm-dd")</f>
        <v>Eagle P3 System Performance - 2016-10-01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S11" s="72">
        <f>AVERAGE(S13:S110)</f>
        <v>0.99337121212121204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158</v>
      </c>
      <c r="AJ12" s="53" t="s">
        <v>159</v>
      </c>
      <c r="AK12" s="53" t="s">
        <v>132</v>
      </c>
      <c r="AL12" s="53" t="s">
        <v>160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409</v>
      </c>
      <c r="B13" s="7">
        <v>4040</v>
      </c>
      <c r="C13" s="24" t="s">
        <v>106</v>
      </c>
      <c r="D13" s="24" t="s">
        <v>410</v>
      </c>
      <c r="E13" s="15">
        <v>42644.130972222221</v>
      </c>
      <c r="F13" s="15">
        <v>42644.135868055557</v>
      </c>
      <c r="G13" s="7">
        <v>2</v>
      </c>
      <c r="H13" s="15" t="s">
        <v>411</v>
      </c>
      <c r="I13" s="15">
        <v>42644.163136574076</v>
      </c>
      <c r="J13" s="7">
        <v>0</v>
      </c>
      <c r="K13" s="117" t="str">
        <f t="shared" ref="K13:K76" si="0">IF(ISEVEN(B13),(B13-1)&amp;"/"&amp;B13,B13&amp;"/"&amp;(B13+1))</f>
        <v>4039/4040</v>
      </c>
      <c r="L13" s="24" t="str">
        <f>VLOOKUP(A13,'Trips&amp;Operators'!$C$1:$E$10000,3,FALSE)</f>
        <v>MAELZER</v>
      </c>
      <c r="M13" s="6">
        <f t="shared" ref="M13:M76" si="1">I13-F13</f>
        <v>2.7268518519122154E-2</v>
      </c>
      <c r="N13" s="7">
        <f t="shared" ref="N13:N35" si="2">24*60*SUM($M13:$M13)</f>
        <v>39.266666667535901</v>
      </c>
      <c r="O13" s="7"/>
      <c r="P13" s="7"/>
      <c r="Q13" s="25"/>
      <c r="R13" s="25"/>
      <c r="S13" s="37">
        <f t="shared" ref="S13:S35" si="3">SUM(U13:U13)/IF(AG13="EC",12,1)</f>
        <v>1</v>
      </c>
      <c r="T13" s="52" t="str">
        <f t="shared" ref="T13:T76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https://search-rtdc-monitor-bjffxe2xuh6vdkpspy63sjmuny.us-east-1.es.amazonaws.com/_plugin/kibana/#/discover/Steve-Slow-Train-Analysis-(2080s-and-2083s)?_g=(refreshInterval:(display:Off,section:0,value:0),time:(from:'2016-10-01 02:08:36-0600',mode:absolute,to:'2016-10-01 04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" s="54" t="str">
        <f t="shared" ref="W13:W76" si="6">IF(AA13&lt;IF(AG13="EC",23,5.65),"Y","N")</f>
        <v>N</v>
      </c>
      <c r="X13" s="164" t="e">
        <f t="shared" ref="X13:X44" si="7">VALUE(LEFT(AD13,4))-VALUE(LEFT(AD12,4))</f>
        <v>#VALUE!</v>
      </c>
      <c r="Y13" s="69">
        <f t="shared" ref="Y13:Y76" si="8">RIGHT(D13,LEN(D13)-4)/10000</f>
        <v>7.1900000000000006E-2</v>
      </c>
      <c r="Z13" s="69">
        <f t="shared" ref="Z13:Z76" si="9">RIGHT(H13,LEN(H13)-4)/10000</f>
        <v>23.334099999999999</v>
      </c>
      <c r="AA13" s="69">
        <f t="shared" ref="AA13:AA76" si="10">ABS(Z13-Y13)</f>
        <v>23.2622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0101-01</v>
      </c>
      <c r="AE13" s="9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 &amp; aws s3 cp s3://rtdc.mdm.uploadarchive.raw/RTDC4040/ "%USERPROFILE%\AppData\Local\Temp\OnboardLogs"\RTDC4040\2016-10-02 --exclude "*" --recursive --include "*20161002*" &amp; "%USERPROFILE%\Documents\GitHub\mrs-test-scripts\Headless Mode &amp; Sideloading\WalkAndUnGZ.bat" "%USERPROFILE%\AppData\Local\Temp\OnboardLogs"\RTDC4040\2016-10-02</v>
      </c>
      <c r="AF13" s="9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/stypes="app*4040*20161001*"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4040 --swversion DE.1.0.7.0 --startMP 204:719 --initTime 2016-10-01T03:08:36 --startdatetime 2016-10-01T03:15:39 --delay 2 --endMP 204:233341 --enddatetime 2016-10-01T03:54:55 --enforcementcount 0 &gt;&gt;C:\Users\stu\Documents\GitHub\eaglep3-reporting\EC\2016-10-01-refined-times.txt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{"issue":{"subject":"","project_id":79,"tracker_id":40,"status_id":1,"priority_id":2,"assigned_to_id":23,"start_date":"2016-10-01","description":"","custom_fields":[{"id":1,"name":"Subdivision","value":"EC"},{"id":4,"name":"Milepost","value":"23.3341"},{"id":17,"name":"Train ID","value":"101-01"},{"id":16,"name":"Locomotive ID","value":"4040"},{"id":130,"name":"Impact","value":""},{"id":150,"name":"Time of Event (Mountain Time)","value":"03:54:55"},{"id":151,"name":"Denver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412</v>
      </c>
      <c r="B14" s="7">
        <v>4004</v>
      </c>
      <c r="C14" s="24" t="s">
        <v>106</v>
      </c>
      <c r="D14" s="24" t="s">
        <v>413</v>
      </c>
      <c r="E14" s="15">
        <v>42644.169965277775</v>
      </c>
      <c r="F14" s="15">
        <v>42644.174583333333</v>
      </c>
      <c r="G14" s="7">
        <v>1</v>
      </c>
      <c r="H14" s="15" t="s">
        <v>203</v>
      </c>
      <c r="I14" s="15">
        <v>42644.201412037037</v>
      </c>
      <c r="J14" s="7">
        <v>0</v>
      </c>
      <c r="K14" s="117" t="str">
        <f t="shared" si="0"/>
        <v>4003/4004</v>
      </c>
      <c r="L14" s="24" t="str">
        <f>VLOOKUP(A14,'Trips&amp;Operators'!$C$1:$E$10000,3,FALSE)</f>
        <v>MAELZER</v>
      </c>
      <c r="M14" s="6">
        <f t="shared" si="1"/>
        <v>2.6828703703358769E-2</v>
      </c>
      <c r="N14" s="7">
        <f t="shared" si="2"/>
        <v>38.633333332836628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03:04:45-0600',mode:absolute,to:'2016-10-01 05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23.269200000000001</v>
      </c>
      <c r="Z14" s="69">
        <f t="shared" si="9"/>
        <v>1.47E-2</v>
      </c>
      <c r="AA14" s="69">
        <f t="shared" si="10"/>
        <v>23.2545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0102-01</v>
      </c>
      <c r="AE14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14" s="92" t="str">
        <f t="shared" si="13"/>
        <v>"C:\Program Files (x86)\AstroGrep\AstroGrep.exe" /spath="%USERPROFILE%\AppData\Local\Temp\OnboardLogs" /stypes="app*4004*20161001*"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4004 --swversion DE.1.0.7.0 --startMP 204:232692 --initTime 2016-10-01T04:04:45 --startdatetime 2016-10-01T04:11:24 --delay 1 --endMP 204:147 --enddatetime 2016-10-01T04:50:02 --enforcementcount 0 &gt;&gt;C:\Users\stu\Documents\GitHub\eaglep3-reporting\EC\2016-10-01-refined-times.txt</v>
      </c>
      <c r="AI14" s="130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{"issue":{"subject":"","project_id":79,"tracker_id":40,"status_id":1,"priority_id":2,"assigned_to_id":23,"start_date":"2016-10-01","description":"","custom_fields":[{"id":1,"name":"Subdivision","value":"EC"},{"id":4,"name":"Milepost","value":"0.0147"},{"id":17,"name":"Train ID","value":"102-01"},{"id":16,"name":"Locomotive ID","value":"4004"},{"id":130,"name":"Impact","value":""},{"id":150,"name":"Time of Event (Mountain Time)","value":"04:50:02"},{"id":151,"name":"Denver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414</v>
      </c>
      <c r="B15" s="7">
        <v>4011</v>
      </c>
      <c r="C15" s="24" t="s">
        <v>106</v>
      </c>
      <c r="D15" s="24" t="s">
        <v>320</v>
      </c>
      <c r="E15" s="15">
        <v>42644.155532407407</v>
      </c>
      <c r="F15" s="15">
        <v>42644.156539351854</v>
      </c>
      <c r="G15" s="7">
        <v>1</v>
      </c>
      <c r="H15" s="15" t="s">
        <v>263</v>
      </c>
      <c r="I15" s="15">
        <v>42644.182534722226</v>
      </c>
      <c r="J15" s="7">
        <v>0</v>
      </c>
      <c r="K15" s="117" t="str">
        <f t="shared" si="0"/>
        <v>4011/4012</v>
      </c>
      <c r="L15" s="24" t="str">
        <f>VLOOKUP(A15,'Trips&amp;Operators'!$C$1:$E$10000,3,FALSE)</f>
        <v>MALAVE</v>
      </c>
      <c r="M15" s="6">
        <f t="shared" si="1"/>
        <v>2.5995370371674653E-2</v>
      </c>
      <c r="N15" s="7">
        <f t="shared" si="2"/>
        <v>37.433333335211501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02:43:58-0600',mode:absolute,to:'2016-10-01 05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7.4300000000000005E-2</v>
      </c>
      <c r="Z15" s="69">
        <f t="shared" si="9"/>
        <v>23.328800000000001</v>
      </c>
      <c r="AA15" s="69">
        <f t="shared" si="10"/>
        <v>23.2545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0103-01</v>
      </c>
      <c r="AE15" s="95" t="str">
        <f t="shared" si="1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5" s="92" t="str">
        <f t="shared" si="13"/>
        <v>"C:\Program Files (x86)\AstroGrep\AstroGrep.exe" /spath="%USERPROFILE%\AppData\Local\Temp\OnboardLogs" /stypes="app*4011*20161001*"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103-01 --locoid 4011 --swversion DE.1.0.7.0 --startMP 204:743 --initTime 2016-10-01T03:43:58 --startdatetime 2016-10-01T03:45:25 --delay 1 --endMP 204:233288 --enddatetime 2016-10-01T04:22:51 --enforcementcount 0 &gt;&gt;C:\Users\stu\Documents\GitHub\eaglep3-reporting\EC\2016-10-01-refined-times.txt</v>
      </c>
      <c r="AI1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{"issue":{"subject":"","project_id":79,"tracker_id":40,"status_id":1,"priority_id":2,"assigned_to_id":23,"start_date":"2016-10-01","description":"","custom_fields":[{"id":1,"name":"Subdivision","value":"EC"},{"id":4,"name":"Milepost","value":"23.3288"},{"id":17,"name":"Train ID","value":"103-01"},{"id":16,"name":"Locomotive ID","value":"4011"},{"id":130,"name":"Impact","value":""},{"id":150,"name":"Time of Event (Mountain Time)","value":"04:22:51"},{"id":151,"name":"Denver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415</v>
      </c>
      <c r="B16" s="7">
        <v>4045</v>
      </c>
      <c r="C16" s="24" t="s">
        <v>106</v>
      </c>
      <c r="D16" s="24" t="s">
        <v>416</v>
      </c>
      <c r="E16" s="15">
        <v>42644.193726851852</v>
      </c>
      <c r="F16" s="15">
        <v>42644.1953587963</v>
      </c>
      <c r="G16" s="7">
        <v>1</v>
      </c>
      <c r="H16" s="15" t="s">
        <v>240</v>
      </c>
      <c r="I16" s="15">
        <v>42644.224456018521</v>
      </c>
      <c r="J16" s="7">
        <v>0</v>
      </c>
      <c r="K16" s="117" t="str">
        <f t="shared" si="0"/>
        <v>4045/4046</v>
      </c>
      <c r="L16" s="24" t="str">
        <f>VLOOKUP(A16,'Trips&amp;Operators'!$C$1:$E$10000,3,FALSE)</f>
        <v>MALAVE</v>
      </c>
      <c r="M16" s="6">
        <f t="shared" si="1"/>
        <v>2.9097222221025731E-2</v>
      </c>
      <c r="N16" s="7">
        <f t="shared" si="2"/>
        <v>41.899999998277053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03:38:58-0600',mode:absolute,to:'2016-10-01 06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23.263300000000001</v>
      </c>
      <c r="Z16" s="69">
        <f t="shared" si="9"/>
        <v>1.43E-2</v>
      </c>
      <c r="AA16" s="69">
        <f t="shared" si="10"/>
        <v>23.249000000000002</v>
      </c>
      <c r="AB16" s="66" t="str">
        <f>VLOOKUP(A16,Enforcements!$C$7:$K$21,8,0)</f>
        <v>Speed (6)</v>
      </c>
      <c r="AC16" s="62" t="str">
        <f>VLOOKUP(A16,Enforcements!$C$7:$E$21,3,0)</f>
        <v>PERMANENT SPEED RESTRICTION</v>
      </c>
      <c r="AD16" s="63" t="str">
        <f t="shared" si="11"/>
        <v>0104-01</v>
      </c>
      <c r="AE16" s="95" t="str">
        <f t="shared" si="1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16" s="92" t="str">
        <f t="shared" si="13"/>
        <v>"C:\Program Files (x86)\AstroGrep\AstroGrep.exe" /spath="%USERPROFILE%\AppData\Local\Temp\OnboardLogs" /stypes="app*4045*20161001*"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104-01 --locoid 4045 --swversion DE.1.0.7.0 --startMP 204:232633 --initTime 2016-10-01T04:38:58 --startdatetime 2016-10-01T04:41:19 --delay 1 --endMP 204:143 --enddatetime 2016-10-01T05:23:13 --enforcementcount 0 &gt;&gt;C:\Users\stu\Documents\GitHub\eaglep3-reporting\EC\2016-10-01-refined-times.txt</v>
      </c>
      <c r="AI1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{"issue":{"subject":"","project_id":79,"tracker_id":40,"status_id":1,"priority_id":2,"assigned_to_id":23,"start_date":"2016-10-01","description":"","custom_fields":[{"id":1,"name":"Subdivision","value":"EC"},{"id":4,"name":"Milepost","value":"0.0143"},{"id":17,"name":"Train ID","value":"104-01"},{"id":16,"name":"Locomotive ID","value":"4045"},{"id":130,"name":"Impact","value":""},{"id":150,"name":"Time of Event (Mountain Time)","value":"05:23:13"},{"id":151,"name":"Denver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417</v>
      </c>
      <c r="B17" s="7">
        <v>4018</v>
      </c>
      <c r="C17" s="24" t="s">
        <v>106</v>
      </c>
      <c r="D17" s="24" t="s">
        <v>418</v>
      </c>
      <c r="E17" s="15">
        <v>42644.171435185184</v>
      </c>
      <c r="F17" s="15">
        <v>42644.17732638889</v>
      </c>
      <c r="G17" s="7">
        <v>1</v>
      </c>
      <c r="H17" s="15" t="s">
        <v>419</v>
      </c>
      <c r="I17" s="15">
        <v>42644.202847222223</v>
      </c>
      <c r="J17" s="7">
        <v>0</v>
      </c>
      <c r="K17" s="117" t="str">
        <f t="shared" si="0"/>
        <v>4017/4018</v>
      </c>
      <c r="L17" s="24" t="str">
        <f>VLOOKUP(A17,'Trips&amp;Operators'!$C$1:$E$10000,3,FALSE)</f>
        <v>ACKERMAN</v>
      </c>
      <c r="M17" s="6">
        <f t="shared" si="1"/>
        <v>2.5520833332848269E-2</v>
      </c>
      <c r="N17" s="7">
        <f t="shared" si="2"/>
        <v>36.749999999301508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03:06:52-0600',mode:absolute,to:'2016-10-01 05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6.3700000000000007E-2</v>
      </c>
      <c r="Z17" s="69">
        <f t="shared" si="9"/>
        <v>23.339300000000001</v>
      </c>
      <c r="AA17" s="69">
        <f t="shared" si="10"/>
        <v>23.275600000000001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0105-01</v>
      </c>
      <c r="AE17" s="95" t="str">
        <f t="shared" si="1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7" s="92" t="str">
        <f t="shared" si="13"/>
        <v>"C:\Program Files (x86)\AstroGrep\AstroGrep.exe" /spath="%USERPROFILE%\AppData\Local\Temp\OnboardLogs" /stypes="app*4018*20161001*"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105-01 --locoid 4018 --swversion DE.1.0.7.0 --startMP 204:637 --initTime 2016-10-01T04:06:52 --startdatetime 2016-10-01T04:15:21 --delay 1 --endMP 204:233393 --enddatetime 2016-10-01T04:52:06 --enforcementcount 0 &gt;&gt;C:\Users\stu\Documents\GitHub\eaglep3-reporting\EC\2016-10-01-refined-times.txt</v>
      </c>
      <c r="AI17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{"issue":{"subject":"","project_id":79,"tracker_id":40,"status_id":1,"priority_id":2,"assigned_to_id":23,"start_date":"2016-10-01","description":"","custom_fields":[{"id":1,"name":"Subdivision","value":"EC"},{"id":4,"name":"Milepost","value":"23.3393"},{"id":17,"name":"Train ID","value":"105-01"},{"id":16,"name":"Locomotive ID","value":"4018"},{"id":130,"name":"Impact","value":""},{"id":150,"name":"Time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420</v>
      </c>
      <c r="B18" s="7">
        <v>4030</v>
      </c>
      <c r="C18" s="24" t="s">
        <v>106</v>
      </c>
      <c r="D18" s="24" t="s">
        <v>421</v>
      </c>
      <c r="E18" s="15">
        <v>42644.211030092592</v>
      </c>
      <c r="F18" s="15">
        <v>42644.216192129628</v>
      </c>
      <c r="G18" s="7">
        <v>1</v>
      </c>
      <c r="H18" s="15" t="s">
        <v>203</v>
      </c>
      <c r="I18" s="15">
        <v>42644.243275462963</v>
      </c>
      <c r="J18" s="7">
        <v>0</v>
      </c>
      <c r="K18" s="117" t="str">
        <f t="shared" si="0"/>
        <v>4029/4030</v>
      </c>
      <c r="L18" s="24" t="str">
        <f>VLOOKUP(A18,'Trips&amp;Operators'!$C$1:$E$10000,3,FALSE)</f>
        <v>ACKERMAN</v>
      </c>
      <c r="M18" s="6">
        <f t="shared" si="1"/>
        <v>2.7083333334303461E-2</v>
      </c>
      <c r="N18" s="7">
        <f t="shared" si="2"/>
        <v>39.000000001396984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04:03:53-0600',mode:absolute,to:'2016-10-01 06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23.2729</v>
      </c>
      <c r="Z18" s="69">
        <f t="shared" si="9"/>
        <v>1.47E-2</v>
      </c>
      <c r="AA18" s="69">
        <f t="shared" si="10"/>
        <v>23.258199999999999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0106-01</v>
      </c>
      <c r="AE18" s="95" t="str">
        <f t="shared" si="12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8" s="92" t="str">
        <f t="shared" si="13"/>
        <v>"C:\Program Files (x86)\AstroGrep\AstroGrep.exe" /spath="%USERPROFILE%\AppData\Local\Temp\OnboardLogs" /stypes="app*4030*20161001*"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106-01 --locoid 4030 --swversion DE.1.0.7.0 --startMP 204:232729 --initTime 2016-10-01T05:03:53 --startdatetime 2016-10-01T05:11:19 --delay 1 --endMP 204:147 --enddatetime 2016-10-01T05:50:19 --enforcementcount 0 &gt;&gt;C:\Users\stu\Documents\GitHub\eaglep3-reporting\EC\2016-10-01-refined-times.txt</v>
      </c>
      <c r="AI18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{"issue":{"subject":"","project_id":79,"tracker_id":40,"status_id":1,"priority_id":2,"assigned_to_id":23,"start_date":"2016-10-01","description":"","custom_fields":[{"id":1,"name":"Subdivision","value":"EC"},{"id":4,"name":"Milepost","value":"0.0147"},{"id":17,"name":"Train ID","value":"106-01"},{"id":16,"name":"Locomotive ID","value":"4030"},{"id":130,"name":"Impact","value":""},{"id":150,"name":"Time of Event (Mountain Time)","value":"05:50:19"},{"id":151,"name":"Denver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422</v>
      </c>
      <c r="B19" s="7">
        <v>4009</v>
      </c>
      <c r="C19" s="24" t="s">
        <v>106</v>
      </c>
      <c r="D19" s="24" t="s">
        <v>250</v>
      </c>
      <c r="E19" s="15">
        <v>42644.180844907409</v>
      </c>
      <c r="F19" s="15">
        <v>42644.187696759262</v>
      </c>
      <c r="G19" s="7">
        <v>1</v>
      </c>
      <c r="H19" s="15" t="s">
        <v>423</v>
      </c>
      <c r="I19" s="15">
        <v>42644.212546296294</v>
      </c>
      <c r="J19" s="7">
        <v>0</v>
      </c>
      <c r="K19" s="117" t="str">
        <f t="shared" si="0"/>
        <v>4009/4010</v>
      </c>
      <c r="L19" s="24" t="str">
        <f>VLOOKUP(A19,'Trips&amp;Operators'!$C$1:$E$10000,3,FALSE)</f>
        <v>DE LA ROSA</v>
      </c>
      <c r="M19" s="6">
        <f t="shared" si="1"/>
        <v>2.4849537032423541E-2</v>
      </c>
      <c r="N19" s="7">
        <f t="shared" si="2"/>
        <v>35.783333326689899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03:20:25-0600',mode:absolute,to:'2016-10-01 06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4.4400000000000002E-2</v>
      </c>
      <c r="Z19" s="69">
        <f t="shared" si="9"/>
        <v>23.330200000000001</v>
      </c>
      <c r="AA19" s="69">
        <f t="shared" si="10"/>
        <v>23.285800000000002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0107-01</v>
      </c>
      <c r="AE19" s="95" t="str">
        <f t="shared" si="1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9" s="92" t="str">
        <f t="shared" si="13"/>
        <v>"C:\Program Files (x86)\AstroGrep\AstroGrep.exe" /spath="%USERPROFILE%\AppData\Local\Temp\OnboardLogs" /stypes="app*4009*20161001*"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107-01 --locoid 4009 --swversion DE.1.0.7.0 --startMP 204:444 --initTime 2016-10-01T04:20:25 --startdatetime 2016-10-01T04:30:17 --delay 1 --endMP 204:233302 --enddatetime 2016-10-01T05:06:04 --enforcementcount 0 &gt;&gt;C:\Users\stu\Documents\GitHub\eaglep3-reporting\EC\2016-10-01-refined-times.txt</v>
      </c>
      <c r="AI19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{"issue":{"subject":"","project_id":79,"tracker_id":40,"status_id":1,"priority_id":2,"assigned_to_id":23,"start_date":"2016-10-01","description":"","custom_fields":[{"id":1,"name":"Subdivision","value":"EC"},{"id":4,"name":"Milepost","value":"23.3302"},{"id":17,"name":"Train ID","value":"107-01"},{"id":16,"name":"Locomotive ID","value":"4009"},{"id":130,"name":"Impact","value":""},{"id":150,"name":"Time of Event (Mountain Time)","value":"05:06:04"},{"id":151,"name":"Denver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424</v>
      </c>
      <c r="B20" s="7">
        <v>4010</v>
      </c>
      <c r="C20" s="24" t="s">
        <v>106</v>
      </c>
      <c r="D20" s="24" t="s">
        <v>333</v>
      </c>
      <c r="E20" s="15">
        <v>42644.222268518519</v>
      </c>
      <c r="F20" s="15">
        <v>42644.226736111108</v>
      </c>
      <c r="G20" s="7">
        <v>1</v>
      </c>
      <c r="H20" s="15" t="s">
        <v>228</v>
      </c>
      <c r="I20" s="15">
        <v>42644.252870370372</v>
      </c>
      <c r="J20" s="7">
        <v>0</v>
      </c>
      <c r="K20" s="117" t="str">
        <f t="shared" si="0"/>
        <v>4009/4010</v>
      </c>
      <c r="L20" s="24" t="str">
        <f>VLOOKUP(A20,'Trips&amp;Operators'!$C$1:$E$10000,3,FALSE)</f>
        <v>DE LA ROSA</v>
      </c>
      <c r="M20" s="6">
        <f t="shared" si="1"/>
        <v>2.6134259263926651E-2</v>
      </c>
      <c r="N20" s="7">
        <f t="shared" si="2"/>
        <v>37.633333340054378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04:20:04-0600',mode:absolute,to:'2016-10-01 07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23.3004</v>
      </c>
      <c r="Z20" s="69">
        <f t="shared" si="9"/>
        <v>1.41E-2</v>
      </c>
      <c r="AA20" s="69">
        <f t="shared" si="10"/>
        <v>23.286300000000001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0108-01</v>
      </c>
      <c r="AE20" s="95" t="str">
        <f t="shared" si="1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20" s="92" t="str">
        <f t="shared" si="13"/>
        <v>"C:\Program Files (x86)\AstroGrep\AstroGrep.exe" /spath="%USERPROFILE%\AppData\Local\Temp\OnboardLogs" /stypes="app*4010*20161001*"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108-01 --locoid 4010 --swversion DE.1.0.7.0 --startMP 204:233004 --initTime 2016-10-01T05:20:04 --startdatetime 2016-10-01T05:26:30 --delay 1 --endMP 204:141 --enddatetime 2016-10-01T06:04:08 --enforcementcount 0 &gt;&gt;C:\Users\stu\Documents\GitHub\eaglep3-reporting\EC\2016-10-01-refined-times.txt</v>
      </c>
      <c r="AI20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ID","value":"108-01"},{"id":16,"name":"Locomotive ID","value":"4010"},{"id":130,"name":"Impact","value":""},{"id":150,"name":"Time of Event (Mountain Time)","value":"06:04:08"},{"id":151,"name":"Denver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425</v>
      </c>
      <c r="B21" s="7">
        <v>4014</v>
      </c>
      <c r="C21" s="24" t="s">
        <v>106</v>
      </c>
      <c r="D21" s="24" t="s">
        <v>213</v>
      </c>
      <c r="E21" s="15">
        <v>42644.187638888892</v>
      </c>
      <c r="F21" s="15">
        <v>42644.198159722226</v>
      </c>
      <c r="G21" s="7">
        <v>1</v>
      </c>
      <c r="H21" s="15" t="s">
        <v>311</v>
      </c>
      <c r="I21" s="15">
        <v>42644.223136574074</v>
      </c>
      <c r="J21" s="7">
        <v>0</v>
      </c>
      <c r="K21" s="117" t="str">
        <f t="shared" si="0"/>
        <v>4013/4014</v>
      </c>
      <c r="L21" s="24" t="str">
        <f>VLOOKUP(A21,'Trips&amp;Operators'!$C$1:$E$10000,3,FALSE)</f>
        <v>KILLION</v>
      </c>
      <c r="M21" s="6">
        <f t="shared" si="1"/>
        <v>2.4976851847895887E-2</v>
      </c>
      <c r="N21" s="7">
        <f t="shared" si="2"/>
        <v>35.966666660970077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03:30:12-0600',mode:absolute,to:'2016-10-01 06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4.5999999999999999E-2</v>
      </c>
      <c r="Z21" s="69">
        <f t="shared" si="9"/>
        <v>23.328399999999998</v>
      </c>
      <c r="AA21" s="69">
        <f t="shared" si="10"/>
        <v>23.282399999999999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0109-01</v>
      </c>
      <c r="AE21" s="95" t="str">
        <f t="shared" si="1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21" s="92" t="str">
        <f t="shared" si="13"/>
        <v>"C:\Program Files (x86)\AstroGrep\AstroGrep.exe" /spath="%USERPROFILE%\AppData\Local\Temp\OnboardLogs" /stypes="app*4014*20161001*"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109-01 --locoid 4014 --swversion DE.1.0.7.0 --startMP 204:460 --initTime 2016-10-01T04:30:12 --startdatetime 2016-10-01T04:45:21 --delay 1 --endMP 204:233284 --enddatetime 2016-10-01T05:21:19 --enforcementcount 0 &gt;&gt;C:\Users\stu\Documents\GitHub\eaglep3-reporting\EC\2016-10-01-refined-times.txt</v>
      </c>
      <c r="AI21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{"issue":{"subject":"","project_id":79,"tracker_id":40,"status_id":1,"priority_id":2,"assigned_to_id":23,"start_date":"2016-10-01","description":"","custom_fields":[{"id":1,"name":"Subdivision","value":"EC"},{"id":4,"name":"Milepost","value":"23.3284"},{"id":17,"name":"Train ID","value":"109-01"},{"id":16,"name":"Locomotive ID","value":"4014"},{"id":130,"name":"Impact","value":""},{"id":150,"name":"Time of Event (Mountain Time)","value":"05:21:19"},{"id":151,"name":"Denver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426</v>
      </c>
      <c r="B22" s="7">
        <v>4013</v>
      </c>
      <c r="C22" s="24" t="s">
        <v>106</v>
      </c>
      <c r="D22" s="24" t="s">
        <v>427</v>
      </c>
      <c r="E22" s="15">
        <v>42644.229386574072</v>
      </c>
      <c r="F22" s="15">
        <v>42644.236990740741</v>
      </c>
      <c r="G22" s="7">
        <v>1</v>
      </c>
      <c r="H22" s="15" t="s">
        <v>329</v>
      </c>
      <c r="I22" s="15">
        <v>42644.263599537036</v>
      </c>
      <c r="J22" s="7">
        <v>0</v>
      </c>
      <c r="K22" s="117" t="str">
        <f t="shared" si="0"/>
        <v>4013/4014</v>
      </c>
      <c r="L22" s="24" t="str">
        <f>VLOOKUP(A22,'Trips&amp;Operators'!$C$1:$E$10000,3,FALSE)</f>
        <v>KILLION</v>
      </c>
      <c r="M22" s="6">
        <f t="shared" si="1"/>
        <v>2.6608796295477077E-2</v>
      </c>
      <c r="N22" s="7">
        <f t="shared" si="2"/>
        <v>38.316666665486991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04:30:19-0600',mode:absolute,to:'2016-10-01 07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23.2971</v>
      </c>
      <c r="Z22" s="69">
        <f t="shared" si="9"/>
        <v>1.34E-2</v>
      </c>
      <c r="AA22" s="69">
        <f t="shared" si="10"/>
        <v>23.2837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0110-01</v>
      </c>
      <c r="AE22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22" s="92" t="str">
        <f t="shared" si="13"/>
        <v>"C:\Program Files (x86)\AstroGrep\AstroGrep.exe" /spath="%USERPROFILE%\AppData\Local\Temp\OnboardLogs" /stypes="app*4013*20161001*"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110-01 --locoid 4013 --swversion DE.1.0.7.0 --startMP 204:232971 --initTime 2016-10-01T05:30:19 --startdatetime 2016-10-01T05:41:16 --delay 1 --endMP 204:134 --enddatetime 2016-10-01T06:19:35 --enforcementcount 0 &gt;&gt;C:\Users\stu\Documents\GitHub\eaglep3-reporting\EC\2016-10-01-refined-times.txt</v>
      </c>
      <c r="AI22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{"issue":{"subject":"","project_id":79,"tracker_id":40,"status_id":1,"priority_id":2,"assigned_to_id":23,"start_date":"2016-10-01","description":"","custom_fields":[{"id":1,"name":"Subdivision","value":"EC"},{"id":4,"name":"Milepost","value":"0.0134"},{"id":17,"name":"Train ID","value":"110-01"},{"id":16,"name":"Locomotive ID","value":"4013"},{"id":130,"name":"Impact","value":""},{"id":150,"name":"Time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428</v>
      </c>
      <c r="B23" s="7">
        <v>4040</v>
      </c>
      <c r="C23" s="24" t="s">
        <v>106</v>
      </c>
      <c r="D23" s="24" t="s">
        <v>368</v>
      </c>
      <c r="E23" s="15">
        <v>42644.203796296293</v>
      </c>
      <c r="F23" s="15">
        <v>42644.208506944444</v>
      </c>
      <c r="G23" s="7">
        <v>6</v>
      </c>
      <c r="H23" s="15" t="s">
        <v>267</v>
      </c>
      <c r="I23" s="15">
        <v>42644.233784722222</v>
      </c>
      <c r="J23" s="7">
        <v>0</v>
      </c>
      <c r="K23" s="117" t="str">
        <f t="shared" si="0"/>
        <v>4039/4040</v>
      </c>
      <c r="L23" s="24" t="str">
        <f>VLOOKUP(A23,'Trips&amp;Operators'!$C$1:$E$10000,3,FALSE)</f>
        <v>GEBRETEKLE</v>
      </c>
      <c r="M23" s="6">
        <f t="shared" si="1"/>
        <v>2.527777777868323E-2</v>
      </c>
      <c r="N23" s="7">
        <f t="shared" si="2"/>
        <v>36.400000001303852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03:53:28-0600',mode:absolute,to:'2016-10-01 06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7.5899999999999995E-2</v>
      </c>
      <c r="Z23" s="69">
        <f t="shared" si="9"/>
        <v>23.331700000000001</v>
      </c>
      <c r="AA23" s="69">
        <f t="shared" si="10"/>
        <v>23.255800000000001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0111-01</v>
      </c>
      <c r="AE23" s="95" t="str">
        <f t="shared" si="12"/>
        <v>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 &amp; aws s3 cp s3://rtdc.mdm.uploadarchive.raw/RTDC4040/ "%USERPROFILE%\AppData\Local\Temp\OnboardLogs"\RTDC4040\2016-10-02 --exclude "*" --recursive --include "*20161002*" &amp; "%USERPROFILE%\Documents\GitHub\mrs-test-scripts\Headless Mode &amp; Sideloading\WalkAndUnGZ.bat" "%USERPROFILE%\AppData\Local\Temp\OnboardLogs"\RTDC4040\2016-10-02</v>
      </c>
      <c r="AF23" s="92" t="str">
        <f t="shared" si="13"/>
        <v>"C:\Program Files (x86)\AstroGrep\AstroGrep.exe" /spath="%USERPROFILE%\AppData\Local\Temp\OnboardLogs" /stypes="app*4040*20161001*"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111-01 --locoid 4040 --swversion DE.1.0.7.0 --startMP 204:759 --initTime 2016-10-01T04:53:28 --startdatetime 2016-10-01T05:00:15 --delay 6 --endMP 204:233317 --enddatetime 2016-10-01T05:36:39 --enforcementcount 0 &gt;&gt;C:\Users\stu\Documents\GitHub\eaglep3-reporting\EC\2016-10-01-refined-times.txt</v>
      </c>
      <c r="AI23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{"issue":{"subject":"","project_id":79,"tracker_id":40,"status_id":1,"priority_id":2,"assigned_to_id":23,"start_date":"2016-10-01","description":"","custom_fields":[{"id":1,"name":"Subdivision","value":"EC"},{"id":4,"name":"Milepost","value":"23.3317"},{"id":17,"name":"Train ID","value":"111-01"},{"id":16,"name":"Locomotive ID","value":"4040"},{"id":130,"name":"Impact","value":""},{"id":150,"name":"Time of Event (Mountain Time)","value":"05:36:39"},{"id":151,"name":"Denver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429</v>
      </c>
      <c r="B24" s="7">
        <v>4039</v>
      </c>
      <c r="C24" s="24" t="s">
        <v>106</v>
      </c>
      <c r="D24" s="24" t="s">
        <v>312</v>
      </c>
      <c r="E24" s="15">
        <v>42644.244560185187</v>
      </c>
      <c r="F24" s="15">
        <v>42644.247499999998</v>
      </c>
      <c r="G24" s="7">
        <v>2</v>
      </c>
      <c r="H24" s="15" t="s">
        <v>203</v>
      </c>
      <c r="I24" s="15">
        <v>42644.273958333331</v>
      </c>
      <c r="J24" s="7">
        <v>0</v>
      </c>
      <c r="K24" s="117" t="str">
        <f t="shared" si="0"/>
        <v>4039/4040</v>
      </c>
      <c r="L24" s="24" t="str">
        <f>VLOOKUP(A24,'Trips&amp;Operators'!$C$1:$E$10000,3,FALSE)</f>
        <v>GEBRETEKLE</v>
      </c>
      <c r="M24" s="6">
        <f t="shared" si="1"/>
        <v>2.6458333333721384E-2</v>
      </c>
      <c r="N24" s="7">
        <f t="shared" si="2"/>
        <v>38.100000000558794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04:52:10-0600',mode:absolute,to:'2016-10-01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23.298500000000001</v>
      </c>
      <c r="Z24" s="69">
        <f t="shared" si="9"/>
        <v>1.47E-2</v>
      </c>
      <c r="AA24" s="69">
        <f t="shared" si="10"/>
        <v>23.283799999999999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0112-01</v>
      </c>
      <c r="AE24" s="95" t="str">
        <f t="shared" si="12"/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AF24" s="92" t="str">
        <f t="shared" si="13"/>
        <v>"C:\Program Files (x86)\AstroGrep\AstroGrep.exe" /spath="%USERPROFILE%\AppData\Local\Temp\OnboardLogs" /stypes="app*4039*20161001*"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112-01 --locoid 4039 --swversion DE.1.0.7.0 --startMP 204:232985 --initTime 2016-10-01T05:52:10 --startdatetime 2016-10-01T05:56:24 --delay 2 --endMP 204:147 --enddatetime 2016-10-01T06:34:30 --enforcementcount 0 &gt;&gt;C:\Users\stu\Documents\GitHub\eaglep3-reporting\EC\2016-10-01-refined-times.txt</v>
      </c>
      <c r="AI24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{"issue":{"subject":"","project_id":79,"tracker_id":40,"status_id":1,"priority_id":2,"assigned_to_id":23,"start_date":"2016-10-01","description":"","custom_fields":[{"id":1,"name":"Subdivision","value":"EC"},{"id":4,"name":"Milepost","value":"0.0147"},{"id":17,"name":"Train ID","value":"112-01"},{"id":16,"name":"Locomotive ID","value":"4039"},{"id":130,"name":"Impact","value":""},{"id":150,"name":"Time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430</v>
      </c>
      <c r="B25" s="7">
        <v>4003</v>
      </c>
      <c r="C25" s="24" t="s">
        <v>106</v>
      </c>
      <c r="D25" s="24" t="s">
        <v>232</v>
      </c>
      <c r="E25" s="15">
        <v>42644.206909722219</v>
      </c>
      <c r="F25" s="15">
        <v>42644.219224537039</v>
      </c>
      <c r="G25" s="7">
        <v>1</v>
      </c>
      <c r="H25" s="15" t="s">
        <v>431</v>
      </c>
      <c r="I25" s="15">
        <v>42644.244513888887</v>
      </c>
      <c r="J25" s="7">
        <v>0</v>
      </c>
      <c r="K25" s="117" t="str">
        <f t="shared" si="0"/>
        <v>4003/4004</v>
      </c>
      <c r="L25" s="24" t="str">
        <f>VLOOKUP(A25,'Trips&amp;Operators'!$C$1:$E$10000,3,FALSE)</f>
        <v>MAELZER</v>
      </c>
      <c r="M25" s="6">
        <f t="shared" si="1"/>
        <v>2.5289351848186925E-2</v>
      </c>
      <c r="N25" s="7">
        <f t="shared" si="2"/>
        <v>36.416666661389172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03:57:57-0600',mode:absolute,to:'2016-10-01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4.4600000000000001E-2</v>
      </c>
      <c r="Z25" s="69">
        <f t="shared" si="9"/>
        <v>23.332999999999998</v>
      </c>
      <c r="AA25" s="69">
        <f t="shared" si="10"/>
        <v>23.288399999999999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0113-01</v>
      </c>
      <c r="AE25" s="95" t="str">
        <f t="shared" si="1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25" s="92" t="str">
        <f t="shared" si="13"/>
        <v>"C:\Program Files (x86)\AstroGrep\AstroGrep.exe" /spath="%USERPROFILE%\AppData\Local\Temp\OnboardLogs" /stypes="app*4003*20161001*"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113-01 --locoid 4003 --swversion DE.1.0.7.0 --startMP 204:446 --initTime 2016-10-01T04:57:57 --startdatetime 2016-10-01T05:15:41 --delay 1 --endMP 204:233330 --enddatetime 2016-10-01T05:52:06 --enforcementcount 0 &gt;&gt;C:\Users\stu\Documents\GitHub\eaglep3-reporting\EC\2016-10-01-refined-times.txt</v>
      </c>
      <c r="AI2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{"issue":{"subject":"","project_id":79,"tracker_id":40,"status_id":1,"priority_id":2,"assigned_to_id":23,"start_date":"2016-10-01","description":"","custom_fields":[{"id":1,"name":"Subdivision","value":"EC"},{"id":4,"name":"Milepost","value":"23.333"},{"id":17,"name":"Train ID","value":"113-01"},{"id":16,"name":"Locomotive ID","value":"4003"},{"id":130,"name":"Impact","value":""},{"id":150,"name":"Time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432</v>
      </c>
      <c r="B26" s="7">
        <v>4004</v>
      </c>
      <c r="C26" s="24" t="s">
        <v>106</v>
      </c>
      <c r="D26" s="24" t="s">
        <v>281</v>
      </c>
      <c r="E26" s="15">
        <v>42644.249282407407</v>
      </c>
      <c r="F26" s="15">
        <v>42644.258067129631</v>
      </c>
      <c r="G26" s="7">
        <v>1</v>
      </c>
      <c r="H26" s="15" t="s">
        <v>202</v>
      </c>
      <c r="I26" s="15">
        <v>42644.284560185188</v>
      </c>
      <c r="J26" s="7">
        <v>0</v>
      </c>
      <c r="K26" s="117" t="str">
        <f t="shared" si="0"/>
        <v>4003/4004</v>
      </c>
      <c r="L26" s="24" t="str">
        <f>VLOOKUP(A26,'Trips&amp;Operators'!$C$1:$E$10000,3,FALSE)</f>
        <v>MAELZER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04:58:58-0600',mode:absolute,to:'2016-10-01 07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23.298200000000001</v>
      </c>
      <c r="Z26" s="69">
        <f t="shared" si="9"/>
        <v>1.5800000000000002E-2</v>
      </c>
      <c r="AA26" s="69">
        <f t="shared" si="10"/>
        <v>23.282400000000003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0114-01</v>
      </c>
      <c r="AE26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26" s="92" t="str">
        <f t="shared" si="13"/>
        <v>"C:\Program Files (x86)\AstroGrep\AstroGrep.exe" /spath="%USERPROFILE%\AppData\Local\Temp\OnboardLogs" /stypes="app*4004*20161001*"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114-01 --locoid 4004 --swversion DE.1.0.7.0 --startMP 204:232982 --initTime 2016-10-01T05:58:58 --startdatetime 2016-10-01T06:11:37 --delay 1 --endMP 204:158 --enddatetime 2016-10-01T06:49:46 --enforcementcount 0 &gt;&gt;C:\Users\stu\Documents\GitHub\eaglep3-reporting\EC\2016-10-01-refined-times.txt</v>
      </c>
      <c r="AI2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{"issue":{"subject":"","project_id":79,"tracker_id":40,"status_id":1,"priority_id":2,"assigned_to_id":23,"start_date":"2016-10-01","description":"","custom_fields":[{"id":1,"name":"Subdivision","value":"EC"},{"id":4,"name":"Milepost","value":"0.0158"},{"id":17,"name":"Train ID","value":"114-01"},{"id":16,"name":"Locomotive ID","value":"4004"},{"id":130,"name":"Impact","value":""},{"id":150,"name":"Time of Event (Mountain Time)","value":"06:49:46"},{"id":151,"name":"Denver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433</v>
      </c>
      <c r="B27" s="7">
        <v>4011</v>
      </c>
      <c r="C27" s="24" t="s">
        <v>106</v>
      </c>
      <c r="D27" s="24" t="s">
        <v>367</v>
      </c>
      <c r="E27" s="15">
        <v>42644.227141203701</v>
      </c>
      <c r="F27" s="15">
        <v>42644.229664351849</v>
      </c>
      <c r="G27" s="7">
        <v>1</v>
      </c>
      <c r="H27" s="15" t="s">
        <v>233</v>
      </c>
      <c r="I27" s="15">
        <v>42644.253981481481</v>
      </c>
      <c r="J27" s="7">
        <v>0</v>
      </c>
      <c r="K27" s="117" t="str">
        <f t="shared" si="0"/>
        <v>4011/4012</v>
      </c>
      <c r="L27" s="24" t="str">
        <f>VLOOKUP(A27,'Trips&amp;Operators'!$C$1:$E$10000,3,FALSE)</f>
        <v>STAMBAUGH</v>
      </c>
      <c r="M27" s="6">
        <f t="shared" si="1"/>
        <v>2.4317129631526768E-2</v>
      </c>
      <c r="N27" s="7">
        <f t="shared" si="2"/>
        <v>35.016666669398546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04:27:05-0600',mode:absolute,to:'2016-10-01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7.7899999999999997E-2</v>
      </c>
      <c r="Z27" s="69">
        <f t="shared" si="9"/>
        <v>23.33</v>
      </c>
      <c r="AA27" s="69">
        <f t="shared" si="10"/>
        <v>23.252099999999999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0115-01</v>
      </c>
      <c r="AE27" s="95" t="str">
        <f t="shared" si="1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27" s="92" t="str">
        <f t="shared" si="13"/>
        <v>"C:\Program Files (x86)\AstroGrep\AstroGrep.exe" /spath="%USERPROFILE%\AppData\Local\Temp\OnboardLogs" /stypes="app*4011*20161001*"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115-01 --locoid 4011 --swversion DE.1.0.7.0 --startMP 204:779 --initTime 2016-10-01T05:27:05 --startdatetime 2016-10-01T05:30:43 --delay 1 --endMP 204:233300 --enddatetime 2016-10-01T06:05:44 --enforcementcount 0 &gt;&gt;C:\Users\stu\Documents\GitHub\eaglep3-reporting\EC\2016-10-01-refined-times.txt</v>
      </c>
      <c r="AI27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{"issue":{"subject":"","project_id":79,"tracker_id":40,"status_id":1,"priority_id":2,"assigned_to_id":23,"start_date":"2016-10-01","description":"","custom_fields":[{"id":1,"name":"Subdivision","value":"EC"},{"id":4,"name":"Milepost","value":"23.33"},{"id":17,"name":"Train ID","value":"115-01"},{"id":16,"name":"Locomotive ID","value":"4011"},{"id":130,"name":"Impact","value":""},{"id":150,"name":"Time of Event (Mountain Time)","value":"06:05:44"},{"id":151,"name":"Denver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434</v>
      </c>
      <c r="B28" s="7">
        <v>4012</v>
      </c>
      <c r="C28" s="24" t="s">
        <v>106</v>
      </c>
      <c r="D28" s="24" t="s">
        <v>256</v>
      </c>
      <c r="E28" s="15">
        <v>42644.264849537038</v>
      </c>
      <c r="F28" s="15">
        <v>42644.268518518518</v>
      </c>
      <c r="G28" s="7">
        <v>1</v>
      </c>
      <c r="H28" s="15" t="s">
        <v>205</v>
      </c>
      <c r="I28" s="15">
        <v>42644.294537037036</v>
      </c>
      <c r="J28" s="7">
        <v>0</v>
      </c>
      <c r="K28" s="117" t="str">
        <f t="shared" si="0"/>
        <v>4011/4012</v>
      </c>
      <c r="L28" s="24" t="str">
        <f>VLOOKUP(A28,'Trips&amp;Operators'!$C$1:$E$10000,3,FALSE)</f>
        <v>STAMBAUGH</v>
      </c>
      <c r="M28" s="6">
        <f t="shared" si="1"/>
        <v>2.6018518517958E-2</v>
      </c>
      <c r="N28" s="7">
        <f t="shared" si="2"/>
        <v>37.46666666585952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05:21:23-0600',mode:absolute,to:'2016-10-01 08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23.298300000000001</v>
      </c>
      <c r="Z28" s="69">
        <f t="shared" si="9"/>
        <v>1.4999999999999999E-2</v>
      </c>
      <c r="AA28" s="69">
        <f t="shared" si="10"/>
        <v>23.283300000000001</v>
      </c>
      <c r="AB28" s="66" t="str">
        <f>VLOOKUP(A28,Enforcements!$C$7:$K$21,8,0)</f>
        <v>Speed (6)</v>
      </c>
      <c r="AC28" s="62" t="str">
        <f>VLOOKUP(A28,Enforcements!$C$7:$E$21,3,0)</f>
        <v>PERMANENT SPEED RESTRICTION</v>
      </c>
      <c r="AD28" s="63" t="str">
        <f t="shared" si="11"/>
        <v>0116-01</v>
      </c>
      <c r="AE28" s="95" t="str">
        <f t="shared" si="1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28" s="92" t="str">
        <f t="shared" si="13"/>
        <v>"C:\Program Files (x86)\AstroGrep\AstroGrep.exe" /spath="%USERPROFILE%\AppData\Local\Temp\OnboardLogs" /stypes="app*4012*20161001*"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116-01 --locoid 4012 --swversion DE.1.0.7.0 --startMP 204:232983 --initTime 2016-10-01T06:21:23 --startdatetime 2016-10-01T06:26:40 --delay 1 --endMP 204:150 --enddatetime 2016-10-01T07:04:08 --enforcementcount 0 &gt;&gt;C:\Users\stu\Documents\GitHub\eaglep3-reporting\EC\2016-10-01-refined-times.txt</v>
      </c>
      <c r="AI28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{"issue":{"subject":"","project_id":79,"tracker_id":40,"status_id":1,"priority_id":2,"assigned_to_id":23,"start_date":"2016-10-01","description":"","custom_fields":[{"id":1,"name":"Subdivision","value":"EC"},{"id":4,"name":"Milepost","value":"0.015"},{"id":17,"name":"Train ID","value":"116-01"},{"id":16,"name":"Locomotive ID","value":"4012"},{"id":130,"name":"Impact","value":""},{"id":150,"name":"Time of Event (Mountain Time)","value":"07:04:08"},{"id":151,"name":"Denver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435</v>
      </c>
      <c r="B29" s="7">
        <v>4046</v>
      </c>
      <c r="C29" s="24" t="s">
        <v>106</v>
      </c>
      <c r="D29" s="24" t="s">
        <v>250</v>
      </c>
      <c r="E29" s="15">
        <v>42644.237083333333</v>
      </c>
      <c r="F29" s="15">
        <v>42644.239872685182</v>
      </c>
      <c r="G29" s="7">
        <v>1</v>
      </c>
      <c r="H29" s="15" t="s">
        <v>311</v>
      </c>
      <c r="I29" s="15">
        <v>42644.265543981484</v>
      </c>
      <c r="J29" s="7">
        <v>0</v>
      </c>
      <c r="K29" s="117" t="str">
        <f t="shared" si="0"/>
        <v>4045/4046</v>
      </c>
      <c r="L29" s="24" t="str">
        <f>VLOOKUP(A29,'Trips&amp;Operators'!$C$1:$E$10000,3,FALSE)</f>
        <v>MALAVE</v>
      </c>
      <c r="M29" s="6">
        <f t="shared" si="1"/>
        <v>2.567129630187992E-2</v>
      </c>
      <c r="N29" s="7">
        <f t="shared" si="2"/>
        <v>36.966666674707085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04:41:24-0600',mode:absolute,to:'2016-10-01 07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4.4400000000000002E-2</v>
      </c>
      <c r="Z29" s="69">
        <f t="shared" si="9"/>
        <v>23.328399999999998</v>
      </c>
      <c r="AA29" s="69">
        <f t="shared" si="10"/>
        <v>23.283999999999999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0117-01</v>
      </c>
      <c r="AE29" s="95" t="str">
        <f t="shared" si="1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29" s="92" t="str">
        <f t="shared" si="13"/>
        <v>"C:\Program Files (x86)\AstroGrep\AstroGrep.exe" /spath="%USERPROFILE%\AppData\Local\Temp\OnboardLogs" /stypes="app*4046*20161001*"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6" t="str">
        <f t="shared" si="17"/>
        <v>"%USERPROFILE%\Documents\GitHub\eaglep3\Utilities\RefineRTDCRunTimes.py" --tripid 117-01 --locoid 4046 --swversion DE.1.0.7.0 --startMP 204:444 --initTime 2016-10-01T05:41:24 --startdatetime 2016-10-01T05:45:25 --delay 1 --endMP 204:233284 --enddatetime 2016-10-01T06:22:23 --enforcementcount 0 &gt;&gt;C:\Users\stu\Documents\GitHub\eaglep3-reporting\EC\2016-10-01-refined-times.txt</v>
      </c>
      <c r="AI29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{"issue":{"subject":"","project_id":79,"tracker_id":40,"status_id":1,"priority_id":2,"assigned_to_id":23,"start_date":"2016-10-01","description":"","custom_fields":[{"id":1,"name":"Subdivision","value":"EC"},{"id":4,"name":"Milepost","value":"23.3284"},{"id":17,"name":"Train ID","value":"117-01"},{"id":16,"name":"Locomotive ID","value":"4046"},{"id":130,"name":"Impact","value":""},{"id":150,"name":"Time of Event (Mountain Time)","value":"06:22:23"},{"id":151,"name":"Denver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436</v>
      </c>
      <c r="B30" s="7">
        <v>4045</v>
      </c>
      <c r="C30" s="24" t="s">
        <v>106</v>
      </c>
      <c r="D30" s="24" t="s">
        <v>328</v>
      </c>
      <c r="E30" s="15">
        <v>42644.276539351849</v>
      </c>
      <c r="F30" s="15">
        <v>42644.278692129628</v>
      </c>
      <c r="G30" s="7">
        <v>2</v>
      </c>
      <c r="H30" s="15" t="s">
        <v>207</v>
      </c>
      <c r="I30" s="15">
        <v>42644.312731481485</v>
      </c>
      <c r="J30" s="7">
        <v>0</v>
      </c>
      <c r="K30" s="117" t="str">
        <f t="shared" si="0"/>
        <v>4045/4046</v>
      </c>
      <c r="L30" s="24" t="str">
        <f>VLOOKUP(A30,'Trips&amp;Operators'!$C$1:$E$10000,3,FALSE)</f>
        <v>MALAVE</v>
      </c>
      <c r="M30" s="6">
        <f t="shared" si="1"/>
        <v>3.4039351856335998E-2</v>
      </c>
      <c r="N30" s="7">
        <f t="shared" si="2"/>
        <v>49.016666673123837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05:38:13-0600',mode:absolute,to:'2016-10-01 08:30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23.296900000000001</v>
      </c>
      <c r="Z30" s="69">
        <f t="shared" si="9"/>
        <v>1.52E-2</v>
      </c>
      <c r="AA30" s="69">
        <f t="shared" si="10"/>
        <v>23.281700000000001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0118-01</v>
      </c>
      <c r="AE30" s="95" t="str">
        <f t="shared" si="1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30" s="92" t="str">
        <f t="shared" si="13"/>
        <v>"C:\Program Files (x86)\AstroGrep\AstroGrep.exe" /spath="%USERPROFILE%\AppData\Local\Temp\OnboardLogs" /stypes="app*4045*20161001*"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118-01 --locoid 4045 --swversion DE.1.0.7.0 --startMP 204:232969 --initTime 2016-10-01T06:38:13 --startdatetime 2016-10-01T06:41:19 --delay 2 --endMP 204:152 --enddatetime 2016-10-01T07:30:20 --enforcementcount 0 &gt;&gt;C:\Users\stu\Documents\GitHub\eaglep3-reporting\EC\2016-10-01-refined-times.txt</v>
      </c>
      <c r="AI30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{"issue":{"subject":"","project_id":79,"tracker_id":40,"status_id":1,"priority_id":2,"assigned_to_id":23,"start_date":"2016-10-01","description":"","custom_fields":[{"id":1,"name":"Subdivision","value":"EC"},{"id":4,"name":"Milepost","value":"0.0152"},{"id":17,"name":"Train ID","value":"118-01"},{"id":16,"name":"Locomotive ID","value":"4045"},{"id":130,"name":"Impact","value":""},{"id":150,"name":"Time of Event (Mountain Time)","value":"07:30:20"},{"id":151,"name":"Denver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437</v>
      </c>
      <c r="B31" s="7">
        <v>4018</v>
      </c>
      <c r="C31" s="24" t="s">
        <v>106</v>
      </c>
      <c r="D31" s="24" t="s">
        <v>438</v>
      </c>
      <c r="E31" s="15">
        <v>42644.246817129628</v>
      </c>
      <c r="F31" s="15">
        <v>42644.2503125</v>
      </c>
      <c r="G31" s="7">
        <v>1</v>
      </c>
      <c r="H31" s="15" t="s">
        <v>225</v>
      </c>
      <c r="I31" s="15">
        <v>42644.27511574074</v>
      </c>
      <c r="J31" s="7">
        <v>0</v>
      </c>
      <c r="K31" s="117" t="str">
        <f t="shared" si="0"/>
        <v>4017/4018</v>
      </c>
      <c r="L31" s="24" t="str">
        <f>VLOOKUP(A31,'Trips&amp;Operators'!$C$1:$E$10000,3,FALSE)</f>
        <v>ACKERMAN</v>
      </c>
      <c r="M31" s="6">
        <f t="shared" si="1"/>
        <v>2.4803240739856847E-2</v>
      </c>
      <c r="N31" s="7">
        <f t="shared" si="2"/>
        <v>35.716666665393859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04:55:25-0600',mode:absolute,to:'2016-10-01 07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7.3200000000000001E-2</v>
      </c>
      <c r="Z31" s="69">
        <f t="shared" si="9"/>
        <v>23.329499999999999</v>
      </c>
      <c r="AA31" s="69">
        <f t="shared" si="10"/>
        <v>23.2563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0119-01</v>
      </c>
      <c r="AE31" s="95" t="str">
        <f t="shared" si="1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31" s="92" t="str">
        <f t="shared" si="13"/>
        <v>"C:\Program Files (x86)\AstroGrep\AstroGrep.exe" /spath="%USERPROFILE%\AppData\Local\Temp\OnboardLogs" /stypes="app*4018*20161001*"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119-01 --locoid 4018 --swversion DE.1.0.7.0 --startMP 204:732 --initTime 2016-10-01T05:55:25 --startdatetime 2016-10-01T06:00:27 --delay 1 --endMP 204:233295 --enddatetime 2016-10-01T06:36:10 --enforcementcount 0 &gt;&gt;C:\Users\stu\Documents\GitHub\eaglep3-reporting\EC\2016-10-01-refined-times.txt</v>
      </c>
      <c r="AI31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{"issue":{"subject":"","project_id":79,"tracker_id":40,"status_id":1,"priority_id":2,"assigned_to_id":23,"start_date":"2016-10-01","description":"","custom_fields":[{"id":1,"name":"Subdivision","value":"EC"},{"id":4,"name":"Milepost","value":"23.3295"},{"id":17,"name":"Train ID","value":"119-01"},{"id":16,"name":"Locomotive ID","value":"4018"},{"id":130,"name":"Impact","value":""},{"id":150,"name":"Time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439</v>
      </c>
      <c r="B32" s="7">
        <v>4017</v>
      </c>
      <c r="C32" s="24" t="s">
        <v>106</v>
      </c>
      <c r="D32" s="24" t="s">
        <v>265</v>
      </c>
      <c r="E32" s="15">
        <v>42644.284537037034</v>
      </c>
      <c r="F32" s="15">
        <v>42644.289120370369</v>
      </c>
      <c r="G32" s="7">
        <v>1</v>
      </c>
      <c r="H32" s="15" t="s">
        <v>282</v>
      </c>
      <c r="I32" s="15">
        <v>42644.32303240741</v>
      </c>
      <c r="J32" s="7">
        <v>0</v>
      </c>
      <c r="K32" s="117" t="str">
        <f t="shared" si="0"/>
        <v>4017/4018</v>
      </c>
      <c r="L32" s="24" t="str">
        <f>VLOOKUP(A32,'Trips&amp;Operators'!$C$1:$E$10000,3,FALSE)</f>
        <v>ACKERMAN</v>
      </c>
      <c r="M32" s="6">
        <f t="shared" si="1"/>
        <v>3.3912037040863652E-2</v>
      </c>
      <c r="N32" s="7">
        <f t="shared" si="2"/>
        <v>48.833333338843659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05:49:44-0600',mode:absolute,to:'2016-10-01 08:45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23.299099999999999</v>
      </c>
      <c r="Z32" s="69">
        <f t="shared" si="9"/>
        <v>1.3899999999999999E-2</v>
      </c>
      <c r="AA32" s="69">
        <f t="shared" si="10"/>
        <v>23.2852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0120-01</v>
      </c>
      <c r="AE32" s="95" t="str">
        <f t="shared" si="1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32" s="92" t="str">
        <f t="shared" si="13"/>
        <v>"C:\Program Files (x86)\AstroGrep\AstroGrep.exe" /spath="%USERPROFILE%\AppData\Local\Temp\OnboardLogs" /stypes="app*4017*20161001*"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120-01 --locoid 4017 --swversion DE.1.0.7.0 --startMP 204:232991 --initTime 2016-10-01T06:49:44 --startdatetime 2016-10-01T06:56:20 --delay 1 --endMP 204:139 --enddatetime 2016-10-01T07:45:10 --enforcementcount 0 &gt;&gt;C:\Users\stu\Documents\GitHub\eaglep3-reporting\EC\2016-10-01-refined-times.txt</v>
      </c>
      <c r="AI32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{"issue":{"subject":"","project_id":79,"tracker_id":40,"status_id":1,"priority_id":2,"assigned_to_id":23,"start_date":"2016-10-01","description":"","custom_fields":[{"id":1,"name":"Subdivision","value":"EC"},{"id":4,"name":"Milepost","value":"0.0139"},{"id":17,"name":"Train ID","value":"120-01"},{"id":16,"name":"Locomotive ID","value":"4017"},{"id":130,"name":"Impact","value":""},{"id":150,"name":"Time of Event (Mountain Time)","value":"07:45:10"},{"id":151,"name":"Denver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440</v>
      </c>
      <c r="B33" s="7">
        <v>4009</v>
      </c>
      <c r="C33" s="24" t="s">
        <v>106</v>
      </c>
      <c r="D33" s="24" t="s">
        <v>213</v>
      </c>
      <c r="E33" s="15">
        <v>42644.256747685184</v>
      </c>
      <c r="F33" s="15">
        <v>42644.260752314818</v>
      </c>
      <c r="G33" s="7">
        <v>1</v>
      </c>
      <c r="H33" s="15" t="s">
        <v>206</v>
      </c>
      <c r="I33" s="15">
        <v>42644.28533564815</v>
      </c>
      <c r="J33" s="7">
        <v>0</v>
      </c>
      <c r="K33" s="117" t="str">
        <f t="shared" si="0"/>
        <v>4009/4010</v>
      </c>
      <c r="L33" s="24" t="str">
        <f>VLOOKUP(A33,'Trips&amp;Operators'!$C$1:$E$10000,3,FALSE)</f>
        <v>DE LA ROSA</v>
      </c>
      <c r="M33" s="6">
        <f t="shared" si="1"/>
        <v>2.4583333331975155E-2</v>
      </c>
      <c r="N33" s="7">
        <f t="shared" si="2"/>
        <v>35.399999998044223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05:09:43-0600',mode:absolute,to:'2016-10-01 07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4.5999999999999999E-2</v>
      </c>
      <c r="Z33" s="69">
        <f t="shared" si="9"/>
        <v>23.3291</v>
      </c>
      <c r="AA33" s="69">
        <f t="shared" si="10"/>
        <v>23.283100000000001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0121-01</v>
      </c>
      <c r="AE33" s="95" t="str">
        <f t="shared" si="1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33" s="92" t="str">
        <f t="shared" si="13"/>
        <v>"C:\Program Files (x86)\AstroGrep\AstroGrep.exe" /spath="%USERPROFILE%\AppData\Local\Temp\OnboardLogs" /stypes="app*4009*20161001*"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121-01 --locoid 4009 --swversion DE.1.0.7.0 --startMP 204:460 --initTime 2016-10-01T06:09:43 --startdatetime 2016-10-01T06:15:29 --delay 1 --endMP 204:233291 --enddatetime 2016-10-01T06:50:53 --enforcementcount 0 &gt;&gt;C:\Users\stu\Documents\GitHub\eaglep3-reporting\EC\2016-10-01-refined-times.txt</v>
      </c>
      <c r="AI33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{"issue":{"subject":"","project_id":79,"tracker_id":40,"status_id":1,"priority_id":2,"assigned_to_id":23,"start_date":"2016-10-01","description":"","custom_fields":[{"id":1,"name":"Subdivision","value":"EC"},{"id":4,"name":"Milepost","value":"23.3291"},{"id":17,"name":"Train ID","value":"121-01"},{"id":16,"name":"Locomotive ID","value":"4009"},{"id":130,"name":"Impact","value":""},{"id":150,"name":"Time of Event (Mountain Time)","value":"06:50:53"},{"id":151,"name":"Denver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441</v>
      </c>
      <c r="B34" s="7">
        <v>4010</v>
      </c>
      <c r="C34" s="24" t="s">
        <v>106</v>
      </c>
      <c r="D34" s="24" t="s">
        <v>427</v>
      </c>
      <c r="E34" s="15">
        <v>42644.293032407404</v>
      </c>
      <c r="F34" s="15">
        <v>42644.299490740741</v>
      </c>
      <c r="G34" s="7">
        <v>2</v>
      </c>
      <c r="H34" s="15" t="s">
        <v>442</v>
      </c>
      <c r="I34" s="15">
        <v>42644.332326388889</v>
      </c>
      <c r="J34" s="7">
        <v>0</v>
      </c>
      <c r="K34" s="117" t="str">
        <f t="shared" si="0"/>
        <v>4009/4010</v>
      </c>
      <c r="L34" s="24" t="str">
        <f>VLOOKUP(A34,'Trips&amp;Operators'!$C$1:$E$10000,3,FALSE)</f>
        <v>DE LA ROSA</v>
      </c>
      <c r="M34" s="6">
        <f t="shared" si="1"/>
        <v>3.2835648147738539E-2</v>
      </c>
      <c r="N34" s="7">
        <f t="shared" si="2"/>
        <v>47.283333332743496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06:01:58-0600',mode:absolute,to:'2016-10-01 08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23.2971</v>
      </c>
      <c r="Z34" s="69">
        <f t="shared" si="9"/>
        <v>1.72E-2</v>
      </c>
      <c r="AA34" s="69">
        <f t="shared" si="10"/>
        <v>23.279900000000001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0122-01</v>
      </c>
      <c r="AE34" s="95" t="str">
        <f t="shared" si="1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34" s="92" t="str">
        <f t="shared" si="13"/>
        <v>"C:\Program Files (x86)\AstroGrep\AstroGrep.exe" /spath="%USERPROFILE%\AppData\Local\Temp\OnboardLogs" /stypes="app*4010*20161001*"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122-01 --locoid 4010 --swversion DE.1.0.7.0 --startMP 204:232971 --initTime 2016-10-01T07:01:58 --startdatetime 2016-10-01T07:11:16 --delay 2 --endMP 204:172 --enddatetime 2016-10-01T07:58:33 --enforcementcount 0 &gt;&gt;C:\Users\stu\Documents\GitHub\eaglep3-reporting\EC\2016-10-01-refined-times.txt</v>
      </c>
      <c r="AI34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{"issue":{"subject":"","project_id":79,"tracker_id":40,"status_id":1,"priority_id":2,"assigned_to_id":23,"start_date":"2016-10-01","description":"","custom_fields":[{"id":1,"name":"Subdivision","value":"EC"},{"id":4,"name":"Milepost","value":"0.0172"},{"id":17,"name":"Train ID","value":"122-01"},{"id":16,"name":"Locomotive ID","value":"4010"},{"id":130,"name":"Impact","value":""},{"id":150,"name":"Time of Event (Mountain Time)","value":"07:58:33"},{"id":151,"name":"Denver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443</v>
      </c>
      <c r="B35" s="7">
        <v>4014</v>
      </c>
      <c r="C35" s="24" t="s">
        <v>106</v>
      </c>
      <c r="D35" s="24" t="s">
        <v>444</v>
      </c>
      <c r="E35" s="15">
        <v>42644.265520833331</v>
      </c>
      <c r="F35" s="15">
        <v>42644.271226851852</v>
      </c>
      <c r="G35" s="7">
        <v>1</v>
      </c>
      <c r="H35" s="15" t="s">
        <v>330</v>
      </c>
      <c r="I35" s="15">
        <v>42644.296087962961</v>
      </c>
      <c r="J35" s="7">
        <v>0</v>
      </c>
      <c r="K35" s="117" t="str">
        <f t="shared" si="0"/>
        <v>4013/4014</v>
      </c>
      <c r="L35" s="24" t="str">
        <f>VLOOKUP(A35,'Trips&amp;Operators'!$C$1:$E$10000,3,FALSE)</f>
        <v>KILLION</v>
      </c>
      <c r="M35" s="6">
        <f t="shared" si="1"/>
        <v>2.4861111109203193E-2</v>
      </c>
      <c r="N35" s="7">
        <f t="shared" si="2"/>
        <v>35.799999997252598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05:22:21-0600',mode:absolute,to:'2016-10-01 08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4.6699999999999998E-2</v>
      </c>
      <c r="Z35" s="69">
        <f t="shared" si="9"/>
        <v>23.325500000000002</v>
      </c>
      <c r="AA35" s="69">
        <f t="shared" si="10"/>
        <v>23.2788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0123-01</v>
      </c>
      <c r="AE35" s="95" t="str">
        <f t="shared" si="1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35" s="92" t="str">
        <f t="shared" si="13"/>
        <v>"C:\Program Files (x86)\AstroGrep\AstroGrep.exe" /spath="%USERPROFILE%\AppData\Local\Temp\OnboardLogs" /stypes="app*4014*20161001*"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123-01 --locoid 4014 --swversion DE.1.0.7.0 --startMP 204:467 --initTime 2016-10-01T06:22:21 --startdatetime 2016-10-01T06:30:34 --delay 1 --endMP 204:233255 --enddatetime 2016-10-01T07:06:22 --enforcementcount 0 &gt;&gt;C:\Users\stu\Documents\GitHub\eaglep3-reporting\EC\2016-10-01-refined-times.txt</v>
      </c>
      <c r="AI3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{"issue":{"subject":"","project_id":79,"tracker_id":40,"status_id":1,"priority_id":2,"assigned_to_id":23,"start_date":"2016-10-01","description":"","custom_fields":[{"id":1,"name":"Subdivision","value":"EC"},{"id":4,"name":"Milepost","value":"23.3255"},{"id":17,"name":"Train ID","value":"123-01"},{"id":16,"name":"Locomotive ID","value":"4014"},{"id":130,"name":"Impact","value":""},{"id":150,"name":"Time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445</v>
      </c>
      <c r="B36" s="7">
        <v>4013</v>
      </c>
      <c r="C36" s="24" t="s">
        <v>106</v>
      </c>
      <c r="D36" s="24" t="s">
        <v>256</v>
      </c>
      <c r="E36" s="15">
        <v>42644.302777777775</v>
      </c>
      <c r="F36" s="15">
        <v>42644.303773148145</v>
      </c>
      <c r="G36" s="7">
        <v>1</v>
      </c>
      <c r="H36" s="15" t="s">
        <v>446</v>
      </c>
      <c r="I36" s="15">
        <v>42644.32576388889</v>
      </c>
      <c r="J36" s="7">
        <v>2</v>
      </c>
      <c r="K36" s="117" t="str">
        <f t="shared" si="0"/>
        <v>4013/4014</v>
      </c>
      <c r="L36" s="24" t="str">
        <f>VLOOKUP(A36,'Trips&amp;Operators'!$C$1:$E$10000,3,FALSE)</f>
        <v>KILLION</v>
      </c>
      <c r="M36" s="6">
        <f t="shared" si="1"/>
        <v>2.199074074451346E-2</v>
      </c>
      <c r="N36" s="7"/>
      <c r="O36" s="7"/>
      <c r="P36" s="7"/>
      <c r="Q36" s="25"/>
      <c r="R36" s="25"/>
      <c r="S36" s="37"/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06:16:00-0600',mode:absolute,to:'2016-10-01 08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6" s="54" t="str">
        <f t="shared" si="6"/>
        <v>Y</v>
      </c>
      <c r="X36" s="164">
        <f t="shared" si="7"/>
        <v>1</v>
      </c>
      <c r="Y36" s="69">
        <f t="shared" si="8"/>
        <v>23.298300000000001</v>
      </c>
      <c r="Z36" s="69">
        <f t="shared" si="9"/>
        <v>10.914300000000001</v>
      </c>
      <c r="AA36" s="69">
        <f t="shared" si="10"/>
        <v>12.384</v>
      </c>
      <c r="AB36" s="66" t="str">
        <f>VLOOKUP(A36,Enforcements!$C$7:$K$21,8,0)</f>
        <v>Bulletin (2)</v>
      </c>
      <c r="AC36" s="62" t="str">
        <f>VLOOKUP(A36,Enforcements!$C$7:$E$21,3,0)</f>
        <v>GRADE CROSSING</v>
      </c>
      <c r="AD36" s="63" t="str">
        <f t="shared" si="11"/>
        <v>0124-01</v>
      </c>
      <c r="AE36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36" s="92" t="str">
        <f t="shared" si="13"/>
        <v>"C:\Program Files (x86)\AstroGrep\AstroGrep.exe" /spath="%USERPROFILE%\AppData\Local\Temp\OnboardLogs" /stypes="app*4013*20161001*"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124-01 --locoid 4013 --swversion DE.1.0.7.0 --startMP 204:232983 --initTime 2016-10-01T07:16:00 --startdatetime 2016-10-01T07:17:26 --delay 1 --endMP 204:109143 --enddatetime 2016-10-01T07:49:06 --enforcementcount 2 &gt;&gt;C:\Users\stu\Documents\GitHub\eaglep3-reporting\EC\2016-10-01-refined-times.txt</v>
      </c>
      <c r="AI3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{"issue":{"subject":"","project_id":79,"tracker_id":40,"status_id":1,"priority_id":2,"assigned_to_id":23,"start_date":"2016-10-01","description":"","custom_fields":[{"id":1,"name":"Subdivision","value":"EC"},{"id":4,"name":"Milepost","value":"10.9143"},{"id":17,"name":"Train ID","value":"124-01"},{"id":16,"name":"Locomotive ID","value":"4013"},{"id":130,"name":"Impact","value":""},{"id":150,"name":"Time of Event (Mountain Time)","value":"07:49:06"},{"id":151,"name":"Denver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445</v>
      </c>
      <c r="B37" s="7">
        <v>4013</v>
      </c>
      <c r="C37" s="24" t="s">
        <v>106</v>
      </c>
      <c r="D37" s="24" t="s">
        <v>447</v>
      </c>
      <c r="E37" s="15">
        <v>42644.328877314816</v>
      </c>
      <c r="F37" s="15">
        <v>42644.32953703704</v>
      </c>
      <c r="G37" s="7">
        <v>0</v>
      </c>
      <c r="H37" s="15" t="s">
        <v>448</v>
      </c>
      <c r="I37" s="15">
        <v>42644.342997685184</v>
      </c>
      <c r="J37" s="7">
        <v>0</v>
      </c>
      <c r="K37" s="117" t="str">
        <f t="shared" si="0"/>
        <v>4013/4014</v>
      </c>
      <c r="L37" s="24" t="str">
        <f>VLOOKUP(A37,'Trips&amp;Operators'!$C$1:$E$10000,3,FALSE)</f>
        <v>KILLION</v>
      </c>
      <c r="M37" s="6">
        <f t="shared" si="1"/>
        <v>1.3460648144246079E-2</v>
      </c>
      <c r="N37" s="7"/>
      <c r="O37" s="7"/>
      <c r="P37" s="7">
        <f>24*60*SUM($M36:$M37)</f>
        <v>51.049999999813735</v>
      </c>
      <c r="Q37" s="25"/>
      <c r="R37" s="25" t="s">
        <v>271</v>
      </c>
      <c r="S37" s="37">
        <f t="shared" ref="S37:S58" si="19">SUM(U37:U37)/IF(AG37="EC",12,1)</f>
        <v>0.83333333333333337</v>
      </c>
      <c r="T37" s="52" t="str">
        <f t="shared" si="4"/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10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06:53:35-0600',mode:absolute,to:'2016-10-01 09:13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7" s="54" t="str">
        <f t="shared" si="6"/>
        <v>Y</v>
      </c>
      <c r="X37" s="164">
        <f t="shared" si="7"/>
        <v>0</v>
      </c>
      <c r="Y37" s="69">
        <f t="shared" si="8"/>
        <v>8.6350999999999996</v>
      </c>
      <c r="Z37" s="69">
        <f t="shared" si="9"/>
        <v>1.2999999999999999E-2</v>
      </c>
      <c r="AA37" s="69">
        <f t="shared" si="10"/>
        <v>8.6220999999999997</v>
      </c>
      <c r="AB37" s="66" t="str">
        <f>VLOOKUP(A37,Enforcements!$C$7:$K$21,8,0)</f>
        <v>Bulletin (2)</v>
      </c>
      <c r="AC37" s="62" t="str">
        <f>VLOOKUP(A37,Enforcements!$C$7:$E$21,3,0)</f>
        <v>GRADE CROSSING</v>
      </c>
      <c r="AD37" s="63" t="str">
        <f t="shared" si="11"/>
        <v>0124-01</v>
      </c>
      <c r="AE37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37" s="92" t="str">
        <f t="shared" si="13"/>
        <v>"C:\Program Files (x86)\AstroGrep\AstroGrep.exe" /spath="%USERPROFILE%\AppData\Local\Temp\OnboardLogs" /stypes="app*4013*20161001*"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124-01 --locoid 4013 --swversion DE.1.0.7.0 --startMP 204:86351 --initTime 2016-10-01T07:53:35 --startdatetime 2016-10-01T07:54:32 --delay 0 --endMP 204:130 --enddatetime 2016-10-01T08:13:55 --enforcementcount 0 &gt;&gt;C:\Users\stu\Documents\GitHub\eaglep3-reporting\EC\2016-10-01-refined-times.txt</v>
      </c>
      <c r="AI37" s="130" t="str">
        <f t="shared" si="18"/>
        <v>echo {"issue":{"subject":"Onboard in-route failure","project_id":79,"tracker_id":40,"status_id":1,"priority_id":2,"assigned_to_id":23,"start_date":"2016-10-01","description":"Primary slice change right as operator pressed PROTECTED button for a XING ACTIVATION FAILURE","custom_fields":[{"id":1,"name":"Subdivision","value":"EC"},{"id":4,"name":"Milepost","value":"0.013"},{"id":17,"name":"Train ID","value":"124-01"},{"id":16,"name":"Locomotive ID","value":"4013"},{"id":130,"name":"Impact","value":"Unexpected Cut-Out or Disengaged"},{"id":150,"name":"Time of Event (Mountain Time)","value":"08:13:55"},{"id":151,"name":"Denver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7" s="55" t="s">
        <v>745</v>
      </c>
      <c r="AK37" s="55" t="s">
        <v>141</v>
      </c>
      <c r="AL37" s="55" t="s">
        <v>219</v>
      </c>
    </row>
    <row r="38" spans="1:38" s="1" customFormat="1" x14ac:dyDescent="0.25">
      <c r="A38" s="39" t="s">
        <v>449</v>
      </c>
      <c r="B38" s="7">
        <v>4040</v>
      </c>
      <c r="C38" s="24" t="s">
        <v>106</v>
      </c>
      <c r="D38" s="24" t="s">
        <v>238</v>
      </c>
      <c r="E38" s="15">
        <v>42644.276435185187</v>
      </c>
      <c r="F38" s="15">
        <v>42644.281412037039</v>
      </c>
      <c r="G38" s="7">
        <v>1</v>
      </c>
      <c r="H38" s="15" t="s">
        <v>223</v>
      </c>
      <c r="I38" s="15">
        <v>42644.311249999999</v>
      </c>
      <c r="J38" s="7">
        <v>0</v>
      </c>
      <c r="K38" s="117" t="str">
        <f t="shared" si="0"/>
        <v>4039/4040</v>
      </c>
      <c r="L38" s="24" t="str">
        <f>VLOOKUP(A38,'Trips&amp;Operators'!$C$1:$E$10000,3,FALSE)</f>
        <v>GEBRETEKLE</v>
      </c>
      <c r="M38" s="6">
        <f t="shared" si="1"/>
        <v>2.9837962960300501E-2</v>
      </c>
      <c r="N38" s="7">
        <f t="shared" ref="N38:N58" si="20">24*60*SUM($M38:$M38)</f>
        <v>42.966666662832722</v>
      </c>
      <c r="O38" s="7"/>
      <c r="P38" s="7"/>
      <c r="Q38" s="25"/>
      <c r="R38" s="25"/>
      <c r="S38" s="37">
        <f t="shared" si="19"/>
        <v>1</v>
      </c>
      <c r="T38" s="52" t="str">
        <f t="shared" si="4"/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05:38:04-0600',mode:absolute,to:'2016-10-01 08:28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8" s="54" t="str">
        <f t="shared" si="6"/>
        <v>N</v>
      </c>
      <c r="X38" s="164">
        <f t="shared" si="7"/>
        <v>1</v>
      </c>
      <c r="Y38" s="69">
        <f t="shared" si="8"/>
        <v>4.6399999999999997E-2</v>
      </c>
      <c r="Z38" s="69">
        <f t="shared" si="9"/>
        <v>23.331399999999999</v>
      </c>
      <c r="AA38" s="69">
        <f t="shared" si="10"/>
        <v>23.285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0125-01</v>
      </c>
      <c r="AE38" s="95" t="str">
        <f t="shared" si="12"/>
        <v>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 &amp; aws s3 cp s3://rtdc.mdm.uploadarchive.raw/RTDC4040/ "%USERPROFILE%\AppData\Local\Temp\OnboardLogs"\RTDC4040\2016-10-02 --exclude "*" --recursive --include "*20161002*" &amp; "%USERPROFILE%\Documents\GitHub\mrs-test-scripts\Headless Mode &amp; Sideloading\WalkAndUnGZ.bat" "%USERPROFILE%\AppData\Local\Temp\OnboardLogs"\RTDC4040\2016-10-02</v>
      </c>
      <c r="AF38" s="92" t="str">
        <f t="shared" si="13"/>
        <v>"C:\Program Files (x86)\AstroGrep\AstroGrep.exe" /spath="%USERPROFILE%\AppData\Local\Temp\OnboardLogs" /stypes="app*4040*20161001*"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125-01 --locoid 4040 --swversion DE.1.0.7.0 --startMP 204:464 --initTime 2016-10-01T06:38:04 --startdatetime 2016-10-01T06:45:14 --delay 1 --endMP 204:233314 --enddatetime 2016-10-01T07:28:12 --enforcementcount 0 &gt;&gt;C:\Users\stu\Documents\GitHub\eaglep3-reporting\EC\2016-10-01-refined-times.txt</v>
      </c>
      <c r="AI38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{"issue":{"subject":"","project_id":79,"tracker_id":40,"status_id":1,"priority_id":2,"assigned_to_id":23,"start_date":"2016-10-01","description":"","custom_fields":[{"id":1,"name":"Subdivision","value":"EC"},{"id":4,"name":"Milepost","value":"23.3314"},{"id":17,"name":"Train ID","value":"125-01"},{"id":16,"name":"Locomotive ID","value":"4040"},{"id":130,"name":"Impact","value":""},{"id":150,"name":"Time of Event (Mountain Time)","value":"07:28:12"},{"id":151,"name":"Denver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450</v>
      </c>
      <c r="B39" s="7">
        <v>4039</v>
      </c>
      <c r="C39" s="24" t="s">
        <v>106</v>
      </c>
      <c r="D39" s="24" t="s">
        <v>427</v>
      </c>
      <c r="E39" s="15">
        <v>42644.317442129628</v>
      </c>
      <c r="F39" s="15">
        <v>42644.320625</v>
      </c>
      <c r="G39" s="7">
        <v>1</v>
      </c>
      <c r="H39" s="15" t="s">
        <v>215</v>
      </c>
      <c r="I39" s="15">
        <v>42644.348576388889</v>
      </c>
      <c r="J39" s="7">
        <v>0</v>
      </c>
      <c r="K39" s="117" t="str">
        <f t="shared" si="0"/>
        <v>4039/4040</v>
      </c>
      <c r="L39" s="24" t="str">
        <f>VLOOKUP(A39,'Trips&amp;Operators'!$C$1:$E$10000,3,FALSE)</f>
        <v>GEBRETEKLE</v>
      </c>
      <c r="M39" s="6">
        <f t="shared" si="1"/>
        <v>2.7951388889050577E-2</v>
      </c>
      <c r="N39" s="7">
        <f t="shared" si="20"/>
        <v>40.250000000232831</v>
      </c>
      <c r="O39" s="7"/>
      <c r="P39" s="7"/>
      <c r="Q39" s="25"/>
      <c r="R39" s="25"/>
      <c r="S39" s="37">
        <f t="shared" si="19"/>
        <v>1</v>
      </c>
      <c r="T39" s="52" t="str">
        <f t="shared" si="4"/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06:37:07-0600',mode:absolute,to:'2016-10-01 09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9" s="54" t="str">
        <f t="shared" si="6"/>
        <v>N</v>
      </c>
      <c r="X39" s="164">
        <f t="shared" si="7"/>
        <v>1</v>
      </c>
      <c r="Y39" s="69">
        <f t="shared" si="8"/>
        <v>23.2971</v>
      </c>
      <c r="Z39" s="69">
        <f t="shared" si="9"/>
        <v>1.38E-2</v>
      </c>
      <c r="AA39" s="69">
        <f t="shared" si="10"/>
        <v>23.283300000000001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0126-01</v>
      </c>
      <c r="AE39" s="95" t="str">
        <f t="shared" si="12"/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AF39" s="92" t="str">
        <f t="shared" si="13"/>
        <v>"C:\Program Files (x86)\AstroGrep\AstroGrep.exe" /spath="%USERPROFILE%\AppData\Local\Temp\OnboardLogs" /stypes="app*4039*20161001*"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126-01 --locoid 4039 --swversion DE.1.0.7.0 --startMP 204:232971 --initTime 2016-10-01T07:37:07 --startdatetime 2016-10-01T07:41:42 --delay 1 --endMP 204:138 --enddatetime 2016-10-01T08:21:57 --enforcementcount 0 &gt;&gt;C:\Users\stu\Documents\GitHub\eaglep3-reporting\EC\2016-10-01-refined-times.txt</v>
      </c>
      <c r="AI39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{"issue":{"subject":"","project_id":79,"tracker_id":40,"status_id":1,"priority_id":2,"assigned_to_id":23,"start_date":"2016-10-01","description":"","custom_fields":[{"id":1,"name":"Subdivision","value":"EC"},{"id":4,"name":"Milepost","value":"0.0138"},{"id":17,"name":"Train ID","value":"126-01"},{"id":16,"name":"Locomotive ID","value":"4039"},{"id":130,"name":"Impact","value":""},{"id":150,"name":"Time of Event (Mountain Time)","value":"08:21:57"},{"id":151,"name":"Denver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451</v>
      </c>
      <c r="B40" s="7">
        <v>4003</v>
      </c>
      <c r="C40" s="24" t="s">
        <v>106</v>
      </c>
      <c r="D40" s="24" t="s">
        <v>309</v>
      </c>
      <c r="E40" s="15">
        <v>42644.286736111113</v>
      </c>
      <c r="F40" s="15">
        <v>42644.292164351849</v>
      </c>
      <c r="G40" s="7">
        <v>1</v>
      </c>
      <c r="H40" s="15" t="s">
        <v>339</v>
      </c>
      <c r="I40" s="15">
        <v>42644.323865740742</v>
      </c>
      <c r="J40" s="7">
        <v>0</v>
      </c>
      <c r="K40" s="117" t="str">
        <f t="shared" si="0"/>
        <v>4003/4004</v>
      </c>
      <c r="L40" s="24" t="str">
        <f>VLOOKUP(A40,'Trips&amp;Operators'!$C$1:$E$10000,3,FALSE)</f>
        <v>MAELZER</v>
      </c>
      <c r="M40" s="6">
        <f t="shared" si="1"/>
        <v>3.1701388892543036E-2</v>
      </c>
      <c r="N40" s="7">
        <f t="shared" si="20"/>
        <v>45.650000005261973</v>
      </c>
      <c r="O40" s="7"/>
      <c r="P40" s="7"/>
      <c r="Q40" s="25"/>
      <c r="R40" s="25"/>
      <c r="S40" s="37">
        <f t="shared" si="19"/>
        <v>1</v>
      </c>
      <c r="T40" s="52" t="str">
        <f t="shared" si="4"/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05:52:54-0600',mode:absolute,to:'2016-10-01 08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0" s="54" t="str">
        <f t="shared" si="6"/>
        <v>N</v>
      </c>
      <c r="X40" s="164">
        <f t="shared" si="7"/>
        <v>1</v>
      </c>
      <c r="Y40" s="69">
        <f t="shared" si="8"/>
        <v>4.4900000000000002E-2</v>
      </c>
      <c r="Z40" s="69">
        <f t="shared" si="9"/>
        <v>23.3306</v>
      </c>
      <c r="AA40" s="69">
        <f t="shared" si="10"/>
        <v>23.285700000000002</v>
      </c>
      <c r="AB40" s="66" t="str">
        <f>VLOOKUP(A40,Enforcements!$C$7:$K$21,8,0)</f>
        <v>Speed (6)</v>
      </c>
      <c r="AC40" s="62" t="str">
        <f>VLOOKUP(A40,Enforcements!$C$7:$E$21,3,0)</f>
        <v>PERMANENT SPEED RESTRICTION</v>
      </c>
      <c r="AD40" s="63" t="str">
        <f t="shared" si="11"/>
        <v>0127-01</v>
      </c>
      <c r="AE40" s="95" t="str">
        <f t="shared" si="1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40" s="92" t="str">
        <f t="shared" si="13"/>
        <v>"C:\Program Files (x86)\AstroGrep\AstroGrep.exe" /spath="%USERPROFILE%\AppData\Local\Temp\OnboardLogs" /stypes="app*4003*20161001*"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127-01 --locoid 4003 --swversion DE.1.0.7.0 --startMP 204:449 --initTime 2016-10-01T06:52:54 --startdatetime 2016-10-01T07:00:43 --delay 1 --endMP 204:233306 --enddatetime 2016-10-01T07:46:22 --enforcementcount 0 &gt;&gt;C:\Users\stu\Documents\GitHub\eaglep3-reporting\EC\2016-10-01-refined-times.txt</v>
      </c>
      <c r="AI40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{"issue":{"subject":"","project_id":79,"tracker_id":40,"status_id":1,"priority_id":2,"assigned_to_id":23,"start_date":"2016-10-01","description":"","custom_fields":[{"id":1,"name":"Subdivision","value":"EC"},{"id":4,"name":"Milepost","value":"23.3306"},{"id":17,"name":"Train ID","value":"127-01"},{"id":16,"name":"Locomotive ID","value":"4003"},{"id":130,"name":"Impact","value":""},{"id":150,"name":"Time of Event (Mountain Time)","value":"07:46:22"},{"id":151,"name":"Denver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452</v>
      </c>
      <c r="B41" s="7">
        <v>4004</v>
      </c>
      <c r="C41" s="24" t="s">
        <v>106</v>
      </c>
      <c r="D41" s="24" t="s">
        <v>313</v>
      </c>
      <c r="E41" s="15">
        <v>42644.3278587963</v>
      </c>
      <c r="F41" s="15">
        <v>42644.330995370372</v>
      </c>
      <c r="G41" s="7">
        <v>1</v>
      </c>
      <c r="H41" s="15" t="s">
        <v>228</v>
      </c>
      <c r="I41" s="15">
        <v>42644.359722222223</v>
      </c>
      <c r="J41" s="7">
        <v>0</v>
      </c>
      <c r="K41" s="117" t="str">
        <f t="shared" si="0"/>
        <v>4003/4004</v>
      </c>
      <c r="L41" s="24" t="str">
        <f>VLOOKUP(A41,'Trips&amp;Operators'!$C$1:$E$10000,3,FALSE)</f>
        <v>MAELZER</v>
      </c>
      <c r="M41" s="6">
        <f t="shared" si="1"/>
        <v>2.8726851851388346E-2</v>
      </c>
      <c r="N41" s="7">
        <f t="shared" si="20"/>
        <v>41.366666665999219</v>
      </c>
      <c r="O41" s="7"/>
      <c r="P41" s="7"/>
      <c r="Q41" s="25"/>
      <c r="R41" s="25"/>
      <c r="S41" s="37">
        <f t="shared" si="19"/>
        <v>1</v>
      </c>
      <c r="T41" s="52" t="str">
        <f t="shared" si="4"/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06:52:07-0600',mode:absolute,to:'2016-10-01 09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41" s="54" t="str">
        <f t="shared" si="6"/>
        <v>N</v>
      </c>
      <c r="X41" s="164">
        <f t="shared" si="7"/>
        <v>1</v>
      </c>
      <c r="Y41" s="69">
        <f t="shared" si="8"/>
        <v>23.299600000000002</v>
      </c>
      <c r="Z41" s="69">
        <f t="shared" si="9"/>
        <v>1.41E-2</v>
      </c>
      <c r="AA41" s="69">
        <f t="shared" si="10"/>
        <v>23.285500000000003</v>
      </c>
      <c r="AB41" s="66" t="str">
        <f>VLOOKUP(A41,Enforcements!$C$7:$K$21,8,0)</f>
        <v>Bulletin (2)</v>
      </c>
      <c r="AC41" s="62" t="str">
        <f>VLOOKUP(A41,Enforcements!$C$7:$E$21,3,0)</f>
        <v>GRADE CROSSING</v>
      </c>
      <c r="AD41" s="63" t="str">
        <f t="shared" si="11"/>
        <v>0128-01</v>
      </c>
      <c r="AE41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41" s="92" t="str">
        <f t="shared" si="13"/>
        <v>"C:\Program Files (x86)\AstroGrep\AstroGrep.exe" /spath="%USERPROFILE%\AppData\Local\Temp\OnboardLogs" /stypes="app*4004*20161001*"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128-01 --locoid 4004 --swversion DE.1.0.7.0 --startMP 204:232996 --initTime 2016-10-01T07:52:07 --startdatetime 2016-10-01T07:56:38 --delay 1 --endMP 204:141 --enddatetime 2016-10-01T08:38:00 --enforcementcount 0 &gt;&gt;C:\Users\stu\Documents\GitHub\eaglep3-reporting\EC\2016-10-01-refined-times.txt</v>
      </c>
      <c r="AI41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ID","value":"128-01"},{"id":16,"name":"Locomotive ID","value":"4004"},{"id":130,"name":"Impact","value":""},{"id":150,"name":"Time of Event (Mountain Time)","value":"08:38:00"},{"id":151,"name":"Denver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31" customFormat="1" x14ac:dyDescent="0.25">
      <c r="A42" s="39" t="s">
        <v>453</v>
      </c>
      <c r="B42" s="7">
        <v>4011</v>
      </c>
      <c r="C42" s="24" t="s">
        <v>106</v>
      </c>
      <c r="D42" s="24" t="s">
        <v>212</v>
      </c>
      <c r="E42" s="15">
        <v>42644.295844907407</v>
      </c>
      <c r="F42" s="15">
        <v>42644.302546296298</v>
      </c>
      <c r="G42" s="7">
        <v>2</v>
      </c>
      <c r="H42" s="15" t="s">
        <v>454</v>
      </c>
      <c r="I42" s="15">
        <v>42644.33425925926</v>
      </c>
      <c r="J42" s="7">
        <v>0</v>
      </c>
      <c r="K42" s="117" t="str">
        <f t="shared" si="0"/>
        <v>4011/4012</v>
      </c>
      <c r="L42" s="24" t="str">
        <f>VLOOKUP(A42,'Trips&amp;Operators'!$C$1:$E$10000,3,FALSE)</f>
        <v>STAMBAUGH</v>
      </c>
      <c r="M42" s="6">
        <f t="shared" si="1"/>
        <v>3.1712962962046731E-2</v>
      </c>
      <c r="N42" s="7">
        <f t="shared" si="20"/>
        <v>45.666666665347293</v>
      </c>
      <c r="O42" s="7"/>
      <c r="P42" s="7"/>
      <c r="Q42" s="25"/>
      <c r="R42" s="25"/>
      <c r="S42" s="37">
        <f t="shared" si="19"/>
        <v>1</v>
      </c>
      <c r="T42" s="52" t="str">
        <f t="shared" si="4"/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06:06:01-0600',mode:absolute,to:'2016-10-01 09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2" s="54" t="str">
        <f t="shared" si="6"/>
        <v>N</v>
      </c>
      <c r="X42" s="164">
        <f t="shared" si="7"/>
        <v>1</v>
      </c>
      <c r="Y42" s="69">
        <f t="shared" si="8"/>
        <v>4.58E-2</v>
      </c>
      <c r="Z42" s="69">
        <f t="shared" si="9"/>
        <v>23.332699999999999</v>
      </c>
      <c r="AA42" s="69">
        <f t="shared" si="10"/>
        <v>23.286899999999999</v>
      </c>
      <c r="AB42" s="66" t="str">
        <f>VLOOKUP(A42,Enforcements!$C$7:$K$21,8,0)</f>
        <v>Speed (6)</v>
      </c>
      <c r="AC42" s="62" t="str">
        <f>VLOOKUP(A42,Enforcements!$C$7:$E$21,3,0)</f>
        <v>PERMANENT SPEED RESTRICTION</v>
      </c>
      <c r="AD42" s="63" t="str">
        <f t="shared" si="11"/>
        <v>0129-01</v>
      </c>
      <c r="AE42" s="95" t="str">
        <f t="shared" si="1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42" s="92" t="str">
        <f t="shared" si="13"/>
        <v>"C:\Program Files (x86)\AstroGrep\AstroGrep.exe" /spath="%USERPROFILE%\AppData\Local\Temp\OnboardLogs" /stypes="app*4011*20161001*"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129-01 --locoid 4011 --swversion DE.1.0.7.0 --startMP 204:458 --initTime 2016-10-01T07:06:01 --startdatetime 2016-10-01T07:15:40 --delay 2 --endMP 204:233327 --enddatetime 2016-10-01T08:01:20 --enforcementcount 0 &gt;&gt;C:\Users\stu\Documents\GitHub\eaglep3-reporting\EC\2016-10-01-refined-times.txt</v>
      </c>
      <c r="AI42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{"issue":{"subject":"","project_id":79,"tracker_id":40,"status_id":1,"priority_id":2,"assigned_to_id":23,"start_date":"2016-10-01","description":"","custom_fields":[{"id":1,"name":"Subdivision","value":"EC"},{"id":4,"name":"Milepost","value":"23.3327"},{"id":17,"name":"Train ID","value":"129-01"},{"id":16,"name":"Locomotive ID","value":"4011"},{"id":130,"name":"Impact","value":""},{"id":150,"name":"Time of Event (Mountain Time)","value":"08:01:20"},{"id":151,"name":"Denver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455</v>
      </c>
      <c r="B43" s="7">
        <v>4012</v>
      </c>
      <c r="C43" s="24" t="s">
        <v>106</v>
      </c>
      <c r="D43" s="24" t="s">
        <v>456</v>
      </c>
      <c r="E43" s="15">
        <v>42644.340115740742</v>
      </c>
      <c r="F43" s="15">
        <v>42644.341562499998</v>
      </c>
      <c r="G43" s="7">
        <v>1</v>
      </c>
      <c r="H43" s="15" t="s">
        <v>327</v>
      </c>
      <c r="I43" s="15">
        <v>42644.371342592596</v>
      </c>
      <c r="J43" s="7">
        <v>0</v>
      </c>
      <c r="K43" s="117" t="str">
        <f t="shared" si="0"/>
        <v>4011/4012</v>
      </c>
      <c r="L43" s="24" t="str">
        <f>VLOOKUP(A43,'Trips&amp;Operators'!$C$1:$E$10000,3,FALSE)</f>
        <v>STAMBAUGH</v>
      </c>
      <c r="M43" s="6">
        <f t="shared" si="1"/>
        <v>2.9780092598230112E-2</v>
      </c>
      <c r="N43" s="7">
        <f t="shared" si="20"/>
        <v>42.883333341451362</v>
      </c>
      <c r="O43" s="7"/>
      <c r="P43" s="7"/>
      <c r="Q43" s="25"/>
      <c r="R43" s="25"/>
      <c r="S43" s="37">
        <f t="shared" si="19"/>
        <v>1</v>
      </c>
      <c r="T43" s="52" t="str">
        <f t="shared" si="4"/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07:09:46-0600',mode:absolute,to:'2016-10-01 09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3" s="54" t="str">
        <f t="shared" si="6"/>
        <v>N</v>
      </c>
      <c r="X43" s="164">
        <f t="shared" si="7"/>
        <v>1</v>
      </c>
      <c r="Y43" s="69">
        <f t="shared" si="8"/>
        <v>23.302299999999999</v>
      </c>
      <c r="Z43" s="69">
        <f t="shared" si="9"/>
        <v>1.3599999999999999E-2</v>
      </c>
      <c r="AA43" s="69">
        <f t="shared" si="10"/>
        <v>23.288699999999999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0130-01</v>
      </c>
      <c r="AE43" s="95" t="str">
        <f t="shared" si="1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43" s="92" t="str">
        <f t="shared" si="13"/>
        <v>"C:\Program Files (x86)\AstroGrep\AstroGrep.exe" /spath="%USERPROFILE%\AppData\Local\Temp\OnboardLogs" /stypes="app*4012*20161001*"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130-01 --locoid 4012 --swversion DE.1.0.7.0 --startMP 204:233023 --initTime 2016-10-01T08:09:46 --startdatetime 2016-10-01T08:11:51 --delay 1 --endMP 204:136 --enddatetime 2016-10-01T08:54:44 --enforcementcount 0 &gt;&gt;C:\Users\stu\Documents\GitHub\eaglep3-reporting\EC\2016-10-01-refined-times.txt</v>
      </c>
      <c r="AI43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{"issue":{"subject":"","project_id":79,"tracker_id":40,"status_id":1,"priority_id":2,"assigned_to_id":23,"start_date":"2016-10-01","description":"","custom_fields":[{"id":1,"name":"Subdivision","value":"EC"},{"id":4,"name":"Milepost","value":"0.0136"},{"id":17,"name":"Train ID","value":"130-01"},{"id":16,"name":"Locomotive ID","value":"4012"},{"id":130,"name":"Impact","value":""},{"id":150,"name":"Time of Event (Mountain Time)","value":"08:54:44"},{"id":151,"name":"Denver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457</v>
      </c>
      <c r="B44" s="7">
        <v>4046</v>
      </c>
      <c r="C44" s="24" t="s">
        <v>106</v>
      </c>
      <c r="D44" s="24" t="s">
        <v>444</v>
      </c>
      <c r="E44" s="15">
        <v>42644.314386574071</v>
      </c>
      <c r="F44" s="15">
        <v>42644.315520833334</v>
      </c>
      <c r="G44" s="7">
        <v>1</v>
      </c>
      <c r="H44" s="15" t="s">
        <v>458</v>
      </c>
      <c r="I44" s="15">
        <v>42644.345069444447</v>
      </c>
      <c r="J44" s="7">
        <v>0</v>
      </c>
      <c r="K44" s="117" t="str">
        <f t="shared" si="0"/>
        <v>4045/4046</v>
      </c>
      <c r="L44" s="24" t="str">
        <f>VLOOKUP(A44,'Trips&amp;Operators'!$C$1:$E$10000,3,FALSE)</f>
        <v>MALAVE</v>
      </c>
      <c r="M44" s="6">
        <f t="shared" si="1"/>
        <v>2.9548611113568768E-2</v>
      </c>
      <c r="N44" s="7">
        <f t="shared" si="20"/>
        <v>42.550000003539026</v>
      </c>
      <c r="O44" s="7"/>
      <c r="P44" s="7"/>
      <c r="Q44" s="25"/>
      <c r="R44" s="25"/>
      <c r="S44" s="37">
        <f t="shared" si="19"/>
        <v>1</v>
      </c>
      <c r="T44" s="52" t="str">
        <f t="shared" si="4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06:32:43-0600',mode:absolute,to:'2016-10-01 09:16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4" s="54" t="str">
        <f t="shared" si="6"/>
        <v>N</v>
      </c>
      <c r="X44" s="164">
        <f t="shared" si="7"/>
        <v>1</v>
      </c>
      <c r="Y44" s="69">
        <f t="shared" si="8"/>
        <v>4.6699999999999998E-2</v>
      </c>
      <c r="Z44" s="69">
        <f t="shared" si="9"/>
        <v>23.328900000000001</v>
      </c>
      <c r="AA44" s="69">
        <f t="shared" si="10"/>
        <v>23.2822</v>
      </c>
      <c r="AB44" s="66" t="str">
        <f>VLOOKUP(A44,Enforcements!$C$7:$K$21,8,0)</f>
        <v>Bulletin (2)</v>
      </c>
      <c r="AC44" s="62" t="str">
        <f>VLOOKUP(A44,Enforcements!$C$7:$E$21,3,0)</f>
        <v>GRADE CROSSING</v>
      </c>
      <c r="AD44" s="63" t="str">
        <f t="shared" si="11"/>
        <v>0131-01</v>
      </c>
      <c r="AE44" s="95" t="str">
        <f t="shared" si="1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44" s="92" t="str">
        <f t="shared" si="13"/>
        <v>"C:\Program Files (x86)\AstroGrep\AstroGrep.exe" /spath="%USERPROFILE%\AppData\Local\Temp\OnboardLogs" /stypes="app*4046*20161001*"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131-01 --locoid 4046 --swversion DE.1.0.7.0 --startMP 204:467 --initTime 2016-10-01T07:32:43 --startdatetime 2016-10-01T07:34:21 --delay 1 --endMP 204:233289 --enddatetime 2016-10-01T08:16:54 --enforcementcount 0 &gt;&gt;C:\Users\stu\Documents\GitHub\eaglep3-reporting\EC\2016-10-01-refined-times.txt</v>
      </c>
      <c r="AI44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{"issue":{"subject":"","project_id":79,"tracker_id":40,"status_id":1,"priority_id":2,"assigned_to_id":23,"start_date":"2016-10-01","description":"","custom_fields":[{"id":1,"name":"Subdivision","value":"EC"},{"id":4,"name":"Milepost","value":"23.3289"},{"id":17,"name":"Train ID","value":"131-01"},{"id":16,"name":"Locomotive ID","value":"4046"},{"id":130,"name":"Impact","value":""},{"id":150,"name":"Time of Event (Mountain Time)","value":"08:16:54"},{"id":151,"name":"Denver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459</v>
      </c>
      <c r="B45" s="7">
        <v>4045</v>
      </c>
      <c r="C45" s="24" t="s">
        <v>106</v>
      </c>
      <c r="D45" s="24" t="s">
        <v>241</v>
      </c>
      <c r="E45" s="15">
        <v>42644.35019675926</v>
      </c>
      <c r="F45" s="15">
        <v>42644.351666666669</v>
      </c>
      <c r="G45" s="7">
        <v>0</v>
      </c>
      <c r="H45" s="15" t="s">
        <v>215</v>
      </c>
      <c r="I45" s="15">
        <v>42644.380937499998</v>
      </c>
      <c r="J45" s="7">
        <v>0</v>
      </c>
      <c r="K45" s="117" t="str">
        <f t="shared" si="0"/>
        <v>4045/4046</v>
      </c>
      <c r="L45" s="24" t="str">
        <f>VLOOKUP(A45,'Trips&amp;Operators'!$C$1:$E$10000,3,FALSE)</f>
        <v>MALAVE</v>
      </c>
      <c r="M45" s="6">
        <f t="shared" si="1"/>
        <v>2.9270833329064772E-2</v>
      </c>
      <c r="N45" s="7">
        <f t="shared" si="20"/>
        <v>42.149999993853271</v>
      </c>
      <c r="O45" s="7"/>
      <c r="P45" s="7"/>
      <c r="Q45" s="25"/>
      <c r="R45" s="25"/>
      <c r="S45" s="37">
        <f t="shared" si="19"/>
        <v>1</v>
      </c>
      <c r="T45" s="52" t="str">
        <f t="shared" si="4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07:24:17-0600',mode:absolute,to:'2016-10-01 10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5" s="54" t="str">
        <f t="shared" si="6"/>
        <v>N</v>
      </c>
      <c r="X45" s="164">
        <f t="shared" ref="X45:X76" si="21">VALUE(LEFT(AD45,4))-VALUE(LEFT(AD44,4))</f>
        <v>1</v>
      </c>
      <c r="Y45" s="69">
        <f t="shared" si="8"/>
        <v>23.297699999999999</v>
      </c>
      <c r="Z45" s="69">
        <f t="shared" si="9"/>
        <v>1.38E-2</v>
      </c>
      <c r="AA45" s="69">
        <f t="shared" si="10"/>
        <v>23.283899999999999</v>
      </c>
      <c r="AB45" s="66" t="str">
        <f>VLOOKUP(A45,Enforcements!$C$7:$K$21,8,0)</f>
        <v>Speed (6)</v>
      </c>
      <c r="AC45" s="62" t="str">
        <f>VLOOKUP(A45,Enforcements!$C$7:$E$21,3,0)</f>
        <v>PERMANENT SPEED RESTRICTION</v>
      </c>
      <c r="AD45" s="63" t="str">
        <f t="shared" si="11"/>
        <v>0132-01</v>
      </c>
      <c r="AE45" s="95" t="str">
        <f t="shared" si="1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45" s="92" t="str">
        <f t="shared" si="13"/>
        <v>"C:\Program Files (x86)\AstroGrep\AstroGrep.exe" /spath="%USERPROFILE%\AppData\Local\Temp\OnboardLogs" /stypes="app*4045*20161001*"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6" t="str">
        <f t="shared" si="17"/>
        <v>"%USERPROFILE%\Documents\GitHub\eaglep3\Utilities\RefineRTDCRunTimes.py" --tripid 132-01 --locoid 4045 --swversion DE.1.0.7.0 --startMP 204:232977 --initTime 2016-10-01T08:24:17 --startdatetime 2016-10-01T08:26:24 --delay 0 --endMP 204:138 --enddatetime 2016-10-01T09:08:33 --enforcementcount 0 &gt;&gt;C:\Users\stu\Documents\GitHub\eaglep3-reporting\EC\2016-10-01-refined-times.txt</v>
      </c>
      <c r="AI4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{"issue":{"subject":"","project_id":79,"tracker_id":40,"status_id":1,"priority_id":2,"assigned_to_id":23,"start_date":"2016-10-01","description":"","custom_fields":[{"id":1,"name":"Subdivision","value":"EC"},{"id":4,"name":"Milepost","value":"0.0138"},{"id":17,"name":"Train ID","value":"132-01"},{"id":16,"name":"Locomotive ID","value":"4045"},{"id":130,"name":"Impact","value":""},{"id":150,"name":"Time of Event (Mountain Time)","value":"09:08:33"},{"id":151,"name":"Denver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460</v>
      </c>
      <c r="B46" s="7">
        <v>4018</v>
      </c>
      <c r="C46" s="24" t="s">
        <v>106</v>
      </c>
      <c r="D46" s="24" t="s">
        <v>461</v>
      </c>
      <c r="E46" s="15">
        <v>42644.324374999997</v>
      </c>
      <c r="F46" s="15">
        <v>42644.326157407406</v>
      </c>
      <c r="G46" s="7">
        <v>1</v>
      </c>
      <c r="H46" s="15" t="s">
        <v>462</v>
      </c>
      <c r="I46" s="15">
        <v>42644.356388888889</v>
      </c>
      <c r="J46" s="7">
        <v>0</v>
      </c>
      <c r="K46" s="117" t="str">
        <f t="shared" si="0"/>
        <v>4017/4018</v>
      </c>
      <c r="L46" s="24" t="str">
        <f>VLOOKUP(A46,'Trips&amp;Operators'!$C$1:$E$10000,3,FALSE)</f>
        <v>ACKERMAN</v>
      </c>
      <c r="M46" s="6">
        <f t="shared" si="1"/>
        <v>3.0231481483497191E-2</v>
      </c>
      <c r="N46" s="7">
        <f t="shared" si="20"/>
        <v>43.533333336235955</v>
      </c>
      <c r="O46" s="7"/>
      <c r="P46" s="7"/>
      <c r="Q46" s="25"/>
      <c r="R46" s="25"/>
      <c r="S46" s="37">
        <f t="shared" si="19"/>
        <v>1</v>
      </c>
      <c r="T46" s="52" t="str">
        <f t="shared" si="4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06:47:06-0600',mode:absolute,to:'2016-10-01 09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6" s="54" t="str">
        <f t="shared" si="6"/>
        <v>N</v>
      </c>
      <c r="X46" s="164">
        <f t="shared" si="21"/>
        <v>1</v>
      </c>
      <c r="Y46" s="69">
        <f t="shared" si="8"/>
        <v>4.3499999999999997E-2</v>
      </c>
      <c r="Z46" s="69">
        <f t="shared" si="9"/>
        <v>23.333400000000001</v>
      </c>
      <c r="AA46" s="69">
        <f t="shared" si="10"/>
        <v>23.289899999999999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0133-01</v>
      </c>
      <c r="AE46" s="95" t="str">
        <f t="shared" si="1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46" s="92" t="str">
        <f t="shared" si="13"/>
        <v>"C:\Program Files (x86)\AstroGrep\AstroGrep.exe" /spath="%USERPROFILE%\AppData\Local\Temp\OnboardLogs" /stypes="app*4018*20161001*"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6" t="str">
        <f t="shared" si="17"/>
        <v>"%USERPROFILE%\Documents\GitHub\eaglep3\Utilities\RefineRTDCRunTimes.py" --tripid 133-01 --locoid 4018 --swversion DE.1.0.7.0 --startMP 204:435 --initTime 2016-10-01T07:47:06 --startdatetime 2016-10-01T07:49:40 --delay 1 --endMP 204:233334 --enddatetime 2016-10-01T08:33:12 --enforcementcount 0 &gt;&gt;C:\Users\stu\Documents\GitHub\eaglep3-reporting\EC\2016-10-01-refined-times.txt</v>
      </c>
      <c r="AI4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{"issue":{"subject":"","project_id":79,"tracker_id":40,"status_id":1,"priority_id":2,"assigned_to_id":23,"start_date":"2016-10-01","description":"","custom_fields":[{"id":1,"name":"Subdivision","value":"EC"},{"id":4,"name":"Milepost","value":"23.3334"},{"id":17,"name":"Train ID","value":"133-01"},{"id":16,"name":"Locomotive ID","value":"4018"},{"id":130,"name":"Impact","value":""},{"id":150,"name":"Time of Event (Mountain Time)","value":"08:33:12"},{"id":151,"name":"Denver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463</v>
      </c>
      <c r="B47" s="7">
        <v>4017</v>
      </c>
      <c r="C47" s="24" t="s">
        <v>106</v>
      </c>
      <c r="D47" s="24" t="s">
        <v>328</v>
      </c>
      <c r="E47" s="15">
        <v>42644.360868055555</v>
      </c>
      <c r="F47" s="15">
        <v>42644.362442129626</v>
      </c>
      <c r="G47" s="7">
        <v>1</v>
      </c>
      <c r="H47" s="15" t="s">
        <v>464</v>
      </c>
      <c r="I47" s="15">
        <v>42644.391111111108</v>
      </c>
      <c r="J47" s="7">
        <v>0</v>
      </c>
      <c r="K47" s="117" t="str">
        <f t="shared" si="0"/>
        <v>4017/4018</v>
      </c>
      <c r="L47" s="24" t="str">
        <f>VLOOKUP(A47,'Trips&amp;Operators'!$C$1:$E$10000,3,FALSE)</f>
        <v>ACKERMAN</v>
      </c>
      <c r="M47" s="6">
        <f t="shared" si="1"/>
        <v>2.8668981482042E-2</v>
      </c>
      <c r="N47" s="7">
        <f t="shared" si="20"/>
        <v>41.28333333414048</v>
      </c>
      <c r="O47" s="7"/>
      <c r="P47" s="7"/>
      <c r="Q47" s="25"/>
      <c r="R47" s="25"/>
      <c r="S47" s="37">
        <f t="shared" si="19"/>
        <v>1</v>
      </c>
      <c r="T47" s="52" t="str">
        <f t="shared" si="4"/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07:39:39-0600',mode:absolute,to:'2016-10-01 10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7" s="54" t="str">
        <f t="shared" si="6"/>
        <v>N</v>
      </c>
      <c r="X47" s="164">
        <f t="shared" si="21"/>
        <v>1</v>
      </c>
      <c r="Y47" s="69">
        <f t="shared" si="8"/>
        <v>23.296900000000001</v>
      </c>
      <c r="Z47" s="69">
        <f t="shared" si="9"/>
        <v>1.2699999999999999E-2</v>
      </c>
      <c r="AA47" s="69">
        <f t="shared" si="10"/>
        <v>23.284200000000002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0134-01</v>
      </c>
      <c r="AE47" s="95" t="str">
        <f t="shared" si="1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47" s="92" t="str">
        <f t="shared" si="13"/>
        <v>"C:\Program Files (x86)\AstroGrep\AstroGrep.exe" /spath="%USERPROFILE%\AppData\Local\Temp\OnboardLogs" /stypes="app*4017*20161001*"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6" t="str">
        <f t="shared" si="17"/>
        <v>"%USERPROFILE%\Documents\GitHub\eaglep3\Utilities\RefineRTDCRunTimes.py" --tripid 134-01 --locoid 4017 --swversion DE.1.0.7.0 --startMP 204:232969 --initTime 2016-10-01T08:39:39 --startdatetime 2016-10-01T08:41:55 --delay 1 --endMP 204:127 --enddatetime 2016-10-01T09:23:12 --enforcementcount 0 &gt;&gt;C:\Users\stu\Documents\GitHub\eaglep3-reporting\EC\2016-10-01-refined-times.txt</v>
      </c>
      <c r="AI47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{"issue":{"subject":"","project_id":79,"tracker_id":40,"status_id":1,"priority_id":2,"assigned_to_id":23,"start_date":"2016-10-01","description":"","custom_fields":[{"id":1,"name":"Subdivision","value":"EC"},{"id":4,"name":"Milepost","value":"0.0127"},{"id":17,"name":"Train ID","value":"134-01"},{"id":16,"name":"Locomotive ID","value":"4017"},{"id":130,"name":"Impact","value":""},{"id":150,"name":"Time of Event (Mountain Time)","value":"09:23:12"},{"id":151,"name":"Denver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465</v>
      </c>
      <c r="B48" s="7">
        <v>4009</v>
      </c>
      <c r="C48" s="24" t="s">
        <v>106</v>
      </c>
      <c r="D48" s="24" t="s">
        <v>204</v>
      </c>
      <c r="E48" s="15">
        <v>42644.333506944444</v>
      </c>
      <c r="F48" s="15">
        <v>42644.335127314815</v>
      </c>
      <c r="G48" s="7">
        <v>1</v>
      </c>
      <c r="H48" s="15" t="s">
        <v>466</v>
      </c>
      <c r="I48" s="15">
        <v>42644.36614583333</v>
      </c>
      <c r="J48" s="7">
        <v>0</v>
      </c>
      <c r="K48" s="117" t="str">
        <f t="shared" si="0"/>
        <v>4009/4010</v>
      </c>
      <c r="L48" s="24" t="str">
        <f>VLOOKUP(A48,'Trips&amp;Operators'!$C$1:$E$10000,3,FALSE)</f>
        <v>DE LA ROSA</v>
      </c>
      <c r="M48" s="6">
        <f t="shared" si="1"/>
        <v>3.1018518515338656E-2</v>
      </c>
      <c r="N48" s="7">
        <f t="shared" si="20"/>
        <v>44.666666662087664</v>
      </c>
      <c r="O48" s="7"/>
      <c r="P48" s="7"/>
      <c r="Q48" s="25"/>
      <c r="R48" s="25"/>
      <c r="S48" s="37">
        <f t="shared" si="19"/>
        <v>1</v>
      </c>
      <c r="T48" s="52" t="str">
        <f t="shared" si="4"/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07:00:15-0600',mode:absolute,to:'2016-10-01 09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8" s="54" t="str">
        <f t="shared" si="6"/>
        <v>N</v>
      </c>
      <c r="X48" s="164">
        <f t="shared" si="21"/>
        <v>1</v>
      </c>
      <c r="Y48" s="69">
        <f t="shared" si="8"/>
        <v>4.53E-2</v>
      </c>
      <c r="Z48" s="69">
        <f t="shared" si="9"/>
        <v>23.334399999999999</v>
      </c>
      <c r="AA48" s="69">
        <f t="shared" si="10"/>
        <v>23.289099999999998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0135-01</v>
      </c>
      <c r="AE48" s="95" t="str">
        <f t="shared" si="1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48" s="92" t="str">
        <f t="shared" si="13"/>
        <v>"C:\Program Files (x86)\AstroGrep\AstroGrep.exe" /spath="%USERPROFILE%\AppData\Local\Temp\OnboardLogs" /stypes="app*4009*20161001*"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6" t="str">
        <f t="shared" si="17"/>
        <v>"%USERPROFILE%\Documents\GitHub\eaglep3\Utilities\RefineRTDCRunTimes.py" --tripid 135-01 --locoid 4009 --swversion DE.1.0.7.0 --startMP 204:453 --initTime 2016-10-01T08:00:15 --startdatetime 2016-10-01T08:02:35 --delay 1 --endMP 204:233344 --enddatetime 2016-10-01T08:47:15 --enforcementcount 0 &gt;&gt;C:\Users\stu\Documents\GitHub\eaglep3-reporting\EC\2016-10-01-refined-times.txt</v>
      </c>
      <c r="AI48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{"issue":{"subject":"","project_id":79,"tracker_id":40,"status_id":1,"priority_id":2,"assigned_to_id":23,"start_date":"2016-10-01","description":"","custom_fields":[{"id":1,"name":"Subdivision","value":"EC"},{"id":4,"name":"Milepost","value":"23.3344"},{"id":17,"name":"Train ID","value":"135-01"},{"id":16,"name":"Locomotive ID","value":"4009"},{"id":130,"name":"Impact","value":""},{"id":150,"name":"Time of Event (Mountain Time)","value":"08:47:15"},{"id":151,"name":"Denver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467</v>
      </c>
      <c r="B49" s="7">
        <v>4010</v>
      </c>
      <c r="C49" s="24" t="s">
        <v>106</v>
      </c>
      <c r="D49" s="24" t="s">
        <v>312</v>
      </c>
      <c r="E49" s="15">
        <v>42644.370196759257</v>
      </c>
      <c r="F49" s="15">
        <v>42644.372465277775</v>
      </c>
      <c r="G49" s="7">
        <v>1</v>
      </c>
      <c r="H49" s="15" t="s">
        <v>226</v>
      </c>
      <c r="I49" s="15">
        <v>42644.399189814816</v>
      </c>
      <c r="J49" s="7">
        <v>0</v>
      </c>
      <c r="K49" s="117" t="str">
        <f t="shared" si="0"/>
        <v>4009/4010</v>
      </c>
      <c r="L49" s="24" t="str">
        <f>VLOOKUP(A49,'Trips&amp;Operators'!$C$1:$E$10000,3,FALSE)</f>
        <v>DE LA ROSA</v>
      </c>
      <c r="M49" s="6">
        <f t="shared" si="1"/>
        <v>2.6724537041445728E-2</v>
      </c>
      <c r="N49" s="7">
        <f t="shared" si="20"/>
        <v>38.483333339681849</v>
      </c>
      <c r="O49" s="7"/>
      <c r="P49" s="7"/>
      <c r="Q49" s="25"/>
      <c r="R49" s="25"/>
      <c r="S49" s="37">
        <f t="shared" si="19"/>
        <v>1</v>
      </c>
      <c r="T49" s="52" t="str">
        <f t="shared" si="4"/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07:53:05-0600',mode:absolute,to:'2016-10-01 10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9" s="54" t="str">
        <f t="shared" si="6"/>
        <v>N</v>
      </c>
      <c r="X49" s="164">
        <f t="shared" si="21"/>
        <v>1</v>
      </c>
      <c r="Y49" s="69">
        <f t="shared" si="8"/>
        <v>23.298500000000001</v>
      </c>
      <c r="Z49" s="69">
        <f t="shared" si="9"/>
        <v>1.4500000000000001E-2</v>
      </c>
      <c r="AA49" s="69">
        <f t="shared" si="10"/>
        <v>23.283999999999999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0136-01</v>
      </c>
      <c r="AE49" s="95" t="str">
        <f t="shared" si="1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49" s="92" t="str">
        <f t="shared" si="13"/>
        <v>"C:\Program Files (x86)\AstroGrep\AstroGrep.exe" /spath="%USERPROFILE%\AppData\Local\Temp\OnboardLogs" /stypes="app*4010*20161001*"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6" t="str">
        <f t="shared" si="17"/>
        <v>"%USERPROFILE%\Documents\GitHub\eaglep3\Utilities\RefineRTDCRunTimes.py" --tripid 136-01 --locoid 4010 --swversion DE.1.0.7.0 --startMP 204:232985 --initTime 2016-10-01T08:53:05 --startdatetime 2016-10-01T08:56:21 --delay 1 --endMP 204:145 --enddatetime 2016-10-01T09:34:50 --enforcementcount 0 &gt;&gt;C:\Users\stu\Documents\GitHub\eaglep3-reporting\EC\2016-10-01-refined-times.txt</v>
      </c>
      <c r="AI49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{"issue":{"subject":"","project_id":79,"tracker_id":40,"status_id":1,"priority_id":2,"assigned_to_id":23,"start_date":"2016-10-01","description":"","custom_fields":[{"id":1,"name":"Subdivision","value":"EC"},{"id":4,"name":"Milepost","value":"0.0145"},{"id":17,"name":"Train ID","value":"136-01"},{"id":16,"name":"Locomotive ID","value":"4010"},{"id":130,"name":"Impact","value":""},{"id":150,"name":"Time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468</v>
      </c>
      <c r="B50" s="7">
        <v>4014</v>
      </c>
      <c r="C50" s="24" t="s">
        <v>106</v>
      </c>
      <c r="D50" s="24" t="s">
        <v>444</v>
      </c>
      <c r="E50" s="15">
        <v>42644.343726851854</v>
      </c>
      <c r="F50" s="15">
        <v>42644.345173611109</v>
      </c>
      <c r="G50" s="7">
        <v>1</v>
      </c>
      <c r="H50" s="15" t="s">
        <v>408</v>
      </c>
      <c r="I50" s="15">
        <v>42644.372013888889</v>
      </c>
      <c r="J50" s="7">
        <v>0</v>
      </c>
      <c r="K50" s="117" t="str">
        <f t="shared" si="0"/>
        <v>4013/4014</v>
      </c>
      <c r="L50" s="24" t="str">
        <f>VLOOKUP(A50,'Trips&amp;Operators'!$C$1:$E$10000,3,FALSE)</f>
        <v>KILLION</v>
      </c>
      <c r="M50" s="6">
        <f t="shared" si="1"/>
        <v>2.6840277780138422E-2</v>
      </c>
      <c r="N50" s="7">
        <f t="shared" si="20"/>
        <v>38.650000003399327</v>
      </c>
      <c r="O50" s="7"/>
      <c r="P50" s="7"/>
      <c r="Q50" s="25"/>
      <c r="R50" s="25"/>
      <c r="S50" s="37">
        <f t="shared" si="19"/>
        <v>1</v>
      </c>
      <c r="T50" s="52" t="str">
        <f t="shared" si="4"/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07:14:58-0600',mode:absolute,to:'2016-10-01 09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0" s="54" t="str">
        <f t="shared" si="6"/>
        <v>N</v>
      </c>
      <c r="X50" s="164">
        <f t="shared" si="21"/>
        <v>1</v>
      </c>
      <c r="Y50" s="69">
        <f t="shared" si="8"/>
        <v>4.6699999999999998E-2</v>
      </c>
      <c r="Z50" s="69">
        <f t="shared" si="9"/>
        <v>23.3276</v>
      </c>
      <c r="AA50" s="69">
        <f t="shared" si="10"/>
        <v>23.280899999999999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0137-01</v>
      </c>
      <c r="AE50" s="95" t="str">
        <f t="shared" si="1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50" s="92" t="str">
        <f t="shared" si="13"/>
        <v>"C:\Program Files (x86)\AstroGrep\AstroGrep.exe" /spath="%USERPROFILE%\AppData\Local\Temp\OnboardLogs" /stypes="app*4014*20161001*"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6" t="str">
        <f t="shared" si="17"/>
        <v>"%USERPROFILE%\Documents\GitHub\eaglep3\Utilities\RefineRTDCRunTimes.py" --tripid 137-01 --locoid 4014 --swversion DE.1.0.7.0 --startMP 204:467 --initTime 2016-10-01T08:14:58 --startdatetime 2016-10-01T08:17:03 --delay 1 --endMP 204:233276 --enddatetime 2016-10-01T08:55:42 --enforcementcount 0 &gt;&gt;C:\Users\stu\Documents\GitHub\eaglep3-reporting\EC\2016-10-01-refined-times.txt</v>
      </c>
      <c r="AI50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{"issue":{"subject":"","project_id":79,"tracker_id":40,"status_id":1,"priority_id":2,"assigned_to_id":23,"start_date":"2016-10-01","description":"","custom_fields":[{"id":1,"name":"Subdivision","value":"EC"},{"id":4,"name":"Milepost","value":"23.3276"},{"id":17,"name":"Train ID","value":"137-01"},{"id":16,"name":"Locomotive ID","value":"4014"},{"id":130,"name":"Impact","value":""},{"id":150,"name":"Time of Event (Mountain Time)","value":"08:55:42"},{"id":151,"name":"Denver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469</v>
      </c>
      <c r="B51" s="7">
        <v>4013</v>
      </c>
      <c r="C51" s="24" t="s">
        <v>106</v>
      </c>
      <c r="D51" s="24" t="s">
        <v>470</v>
      </c>
      <c r="E51" s="15">
        <v>42644.377523148149</v>
      </c>
      <c r="F51" s="15">
        <v>42644.382835648146</v>
      </c>
      <c r="G51" s="7">
        <v>1</v>
      </c>
      <c r="H51" s="15" t="s">
        <v>240</v>
      </c>
      <c r="I51" s="15">
        <v>42644.410115740742</v>
      </c>
      <c r="J51" s="7">
        <v>0</v>
      </c>
      <c r="K51" s="117" t="str">
        <f t="shared" si="0"/>
        <v>4013/4014</v>
      </c>
      <c r="L51" s="24" t="str">
        <f>VLOOKUP(A51,'Trips&amp;Operators'!$C$1:$E$10000,3,FALSE)</f>
        <v>KILLION</v>
      </c>
      <c r="M51" s="6">
        <f t="shared" si="1"/>
        <v>2.7280092595901806E-2</v>
      </c>
      <c r="N51" s="7">
        <f t="shared" si="20"/>
        <v>39.283333338098601</v>
      </c>
      <c r="O51" s="7"/>
      <c r="P51" s="7"/>
      <c r="Q51" s="25"/>
      <c r="R51" s="25"/>
      <c r="S51" s="37">
        <f t="shared" si="19"/>
        <v>1</v>
      </c>
      <c r="T51" s="52" t="str">
        <f t="shared" si="4"/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08:03:38-0600',mode:absolute,to:'2016-10-01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1" s="54" t="str">
        <f t="shared" si="6"/>
        <v>N</v>
      </c>
      <c r="X51" s="164">
        <f t="shared" si="21"/>
        <v>1</v>
      </c>
      <c r="Y51" s="69">
        <f t="shared" si="8"/>
        <v>23.296700000000001</v>
      </c>
      <c r="Z51" s="69">
        <f t="shared" si="9"/>
        <v>1.43E-2</v>
      </c>
      <c r="AA51" s="69">
        <f t="shared" si="10"/>
        <v>23.282400000000003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0138-01</v>
      </c>
      <c r="AE51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51" s="92" t="str">
        <f t="shared" si="13"/>
        <v>"C:\Program Files (x86)\AstroGrep\AstroGrep.exe" /spath="%USERPROFILE%\AppData\Local\Temp\OnboardLogs" /stypes="app*4013*20161001*"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6" t="str">
        <f t="shared" si="17"/>
        <v>"%USERPROFILE%\Documents\GitHub\eaglep3\Utilities\RefineRTDCRunTimes.py" --tripid 138-01 --locoid 4013 --swversion DE.1.0.7.0 --startMP 204:232967 --initTime 2016-10-01T09:03:38 --startdatetime 2016-10-01T09:11:17 --delay 1 --endMP 204:143 --enddatetime 2016-10-01T09:50:34 --enforcementcount 0 &gt;&gt;C:\Users\stu\Documents\GitHub\eaglep3-reporting\EC\2016-10-01-refined-times.txt</v>
      </c>
      <c r="AI51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{"issue":{"subject":"","project_id":79,"tracker_id":40,"status_id":1,"priority_id":2,"assigned_to_id":23,"start_date":"2016-10-01","description":"","custom_fields":[{"id":1,"name":"Subdivision","value":"EC"},{"id":4,"name":"Milepost","value":"0.0143"},{"id":17,"name":"Train ID","value":"138-01"},{"id":16,"name":"Locomotive ID","value":"4013"},{"id":130,"name":"Impact","value":""},{"id":150,"name":"Time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471</v>
      </c>
      <c r="B52" s="7">
        <v>4040</v>
      </c>
      <c r="C52" s="24" t="s">
        <v>106</v>
      </c>
      <c r="D52" s="24" t="s">
        <v>208</v>
      </c>
      <c r="E52" s="15">
        <v>42644.350798611114</v>
      </c>
      <c r="F52" s="15">
        <v>42644.354386574072</v>
      </c>
      <c r="G52" s="7">
        <v>3</v>
      </c>
      <c r="H52" s="15" t="s">
        <v>423</v>
      </c>
      <c r="I52" s="15">
        <v>42644.380266203705</v>
      </c>
      <c r="J52" s="7">
        <v>0</v>
      </c>
      <c r="K52" s="117" t="str">
        <f t="shared" si="0"/>
        <v>4039/4040</v>
      </c>
      <c r="L52" s="24" t="str">
        <f>VLOOKUP(A52,'Trips&amp;Operators'!$C$1:$E$10000,3,FALSE)</f>
        <v>GEBRETEKLE</v>
      </c>
      <c r="M52" s="6">
        <f t="shared" si="1"/>
        <v>2.587962963298196E-2</v>
      </c>
      <c r="N52" s="7">
        <f t="shared" si="20"/>
        <v>37.266666671494022</v>
      </c>
      <c r="O52" s="7"/>
      <c r="P52" s="7"/>
      <c r="Q52" s="25"/>
      <c r="R52" s="25"/>
      <c r="S52" s="37">
        <f t="shared" si="19"/>
        <v>1</v>
      </c>
      <c r="T52" s="52" t="str">
        <f t="shared" si="4"/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07:25:09-0600',mode:absolute,to:'2016-10-01 10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2" s="54" t="str">
        <f t="shared" si="6"/>
        <v>N</v>
      </c>
      <c r="X52" s="164">
        <f t="shared" si="21"/>
        <v>1</v>
      </c>
      <c r="Y52" s="69">
        <f t="shared" si="8"/>
        <v>4.5699999999999998E-2</v>
      </c>
      <c r="Z52" s="69">
        <f t="shared" si="9"/>
        <v>23.330200000000001</v>
      </c>
      <c r="AA52" s="69">
        <f t="shared" si="10"/>
        <v>23.284500000000001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0139-01</v>
      </c>
      <c r="AE52" s="95" t="str">
        <f t="shared" si="12"/>
        <v>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 &amp; aws s3 cp s3://rtdc.mdm.uploadarchive.raw/RTDC4040/ "%USERPROFILE%\AppData\Local\Temp\OnboardLogs"\RTDC4040\2016-10-02 --exclude "*" --recursive --include "*20161002*" &amp; "%USERPROFILE%\Documents\GitHub\mrs-test-scripts\Headless Mode &amp; Sideloading\WalkAndUnGZ.bat" "%USERPROFILE%\AppData\Local\Temp\OnboardLogs"\RTDC4040\2016-10-02</v>
      </c>
      <c r="AF52" s="92" t="str">
        <f t="shared" si="13"/>
        <v>"C:\Program Files (x86)\AstroGrep\AstroGrep.exe" /spath="%USERPROFILE%\AppData\Local\Temp\OnboardLogs" /stypes="app*4040*20161001*"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6" t="str">
        <f t="shared" si="17"/>
        <v>"%USERPROFILE%\Documents\GitHub\eaglep3\Utilities\RefineRTDCRunTimes.py" --tripid 139-01 --locoid 4040 --swversion DE.1.0.7.0 --startMP 204:457 --initTime 2016-10-01T08:25:09 --startdatetime 2016-10-01T08:30:19 --delay 3 --endMP 204:233302 --enddatetime 2016-10-01T09:07:35 --enforcementcount 0 &gt;&gt;C:\Users\stu\Documents\GitHub\eaglep3-reporting\EC\2016-10-01-refined-times.txt</v>
      </c>
      <c r="AI52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{"issue":{"subject":"","project_id":79,"tracker_id":40,"status_id":1,"priority_id":2,"assigned_to_id":23,"start_date":"2016-10-01","description":"","custom_fields":[{"id":1,"name":"Subdivision","value":"EC"},{"id":4,"name":"Milepost","value":"23.3302"},{"id":17,"name":"Train ID","value":"139-01"},{"id":16,"name":"Locomotive ID","value":"4040"},{"id":130,"name":"Impact","value":""},{"id":150,"name":"Time of Event (Mountain Time)","value":"09:07:35"},{"id":151,"name":"Denver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472</v>
      </c>
      <c r="B53" s="7">
        <v>4039</v>
      </c>
      <c r="C53" s="24" t="s">
        <v>106</v>
      </c>
      <c r="D53" s="24" t="s">
        <v>331</v>
      </c>
      <c r="E53" s="15">
        <v>42644.3903587963</v>
      </c>
      <c r="F53" s="15">
        <v>42644.393217592595</v>
      </c>
      <c r="G53" s="7">
        <v>1</v>
      </c>
      <c r="H53" s="15" t="s">
        <v>221</v>
      </c>
      <c r="I53" s="15">
        <v>42644.421284722222</v>
      </c>
      <c r="J53" s="7">
        <v>0</v>
      </c>
      <c r="K53" s="117" t="str">
        <f t="shared" si="0"/>
        <v>4039/4040</v>
      </c>
      <c r="L53" s="24" t="str">
        <f>VLOOKUP(A53,'Trips&amp;Operators'!$C$1:$E$10000,3,FALSE)</f>
        <v>GEBRETEKLE</v>
      </c>
      <c r="M53" s="6">
        <f t="shared" si="1"/>
        <v>2.806712962774327E-2</v>
      </c>
      <c r="N53" s="7">
        <f t="shared" si="20"/>
        <v>40.416666663950309</v>
      </c>
      <c r="O53" s="7"/>
      <c r="P53" s="7"/>
      <c r="Q53" s="25"/>
      <c r="R53" s="25"/>
      <c r="S53" s="37">
        <f t="shared" si="19"/>
        <v>1</v>
      </c>
      <c r="T53" s="52" t="str">
        <f t="shared" si="4"/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08:22:07-0600',mode:absolute,to:'2016-10-01 11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3" s="54" t="str">
        <f t="shared" si="6"/>
        <v>N</v>
      </c>
      <c r="X53" s="164">
        <f t="shared" si="21"/>
        <v>1</v>
      </c>
      <c r="Y53" s="69">
        <f t="shared" si="8"/>
        <v>23.2989</v>
      </c>
      <c r="Z53" s="69">
        <f t="shared" si="9"/>
        <v>1.5599999999999999E-2</v>
      </c>
      <c r="AA53" s="69">
        <f t="shared" si="10"/>
        <v>23.283300000000001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0140-01</v>
      </c>
      <c r="AE53" s="95" t="str">
        <f t="shared" si="12"/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AF53" s="92" t="str">
        <f t="shared" si="13"/>
        <v>"C:\Program Files (x86)\AstroGrep\AstroGrep.exe" /spath="%USERPROFILE%\AppData\Local\Temp\OnboardLogs" /stypes="app*4039*20161001*"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6" t="str">
        <f t="shared" si="17"/>
        <v>"%USERPROFILE%\Documents\GitHub\eaglep3\Utilities\RefineRTDCRunTimes.py" --tripid 140-01 --locoid 4039 --swversion DE.1.0.7.0 --startMP 204:232989 --initTime 2016-10-01T09:22:07 --startdatetime 2016-10-01T09:26:14 --delay 1 --endMP 204:156 --enddatetime 2016-10-01T10:06:39 --enforcementcount 0 &gt;&gt;C:\Users\stu\Documents\GitHub\eaglep3-reporting\EC\2016-10-01-refined-times.txt</v>
      </c>
      <c r="AI53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{"issue":{"subject":"","project_id":79,"tracker_id":40,"status_id":1,"priority_id":2,"assigned_to_id":23,"start_date":"2016-10-01","description":"","custom_fields":[{"id":1,"name":"Subdivision","value":"EC"},{"id":4,"name":"Milepost","value":"0.0156"},{"id":17,"name":"Train ID","value":"140-01"},{"id":16,"name":"Locomotive ID","value":"4039"},{"id":130,"name":"Impact","value":""},{"id":150,"name":"Time of Event (Mountain Time)","value":"10:06:39"},{"id":151,"name":"Denver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473</v>
      </c>
      <c r="B54" s="7">
        <v>4003</v>
      </c>
      <c r="C54" s="24" t="s">
        <v>106</v>
      </c>
      <c r="D54" s="24" t="s">
        <v>209</v>
      </c>
      <c r="E54" s="15">
        <v>42644.361400462964</v>
      </c>
      <c r="F54" s="15">
        <v>42644.364861111113</v>
      </c>
      <c r="G54" s="7">
        <v>1</v>
      </c>
      <c r="H54" s="15" t="s">
        <v>248</v>
      </c>
      <c r="I54" s="15">
        <v>42644.3905787037</v>
      </c>
      <c r="J54" s="7">
        <v>0</v>
      </c>
      <c r="K54" s="117" t="str">
        <f t="shared" si="0"/>
        <v>4003/4004</v>
      </c>
      <c r="L54" s="24" t="str">
        <f>VLOOKUP(A54,'Trips&amp;Operators'!$C$1:$E$10000,3,FALSE)</f>
        <v>MAELZER</v>
      </c>
      <c r="M54" s="6">
        <f t="shared" si="1"/>
        <v>2.5717592587170657E-2</v>
      </c>
      <c r="N54" s="7">
        <f t="shared" si="20"/>
        <v>37.033333325525746</v>
      </c>
      <c r="O54" s="7"/>
      <c r="P54" s="7"/>
      <c r="Q54" s="25"/>
      <c r="R54" s="25"/>
      <c r="S54" s="37">
        <f t="shared" si="19"/>
        <v>1</v>
      </c>
      <c r="T54" s="52" t="str">
        <f t="shared" si="4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07:40:25-0600',mode:absolute,to:'2016-10-01 10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4" s="54" t="str">
        <f t="shared" si="6"/>
        <v>N</v>
      </c>
      <c r="X54" s="164">
        <f t="shared" si="21"/>
        <v>1</v>
      </c>
      <c r="Y54" s="69">
        <f t="shared" si="8"/>
        <v>4.6600000000000003E-2</v>
      </c>
      <c r="Z54" s="69">
        <f t="shared" si="9"/>
        <v>23.330500000000001</v>
      </c>
      <c r="AA54" s="69">
        <f t="shared" si="10"/>
        <v>23.283899999999999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0141-01</v>
      </c>
      <c r="AE54" s="95" t="str">
        <f t="shared" si="1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54" s="92" t="str">
        <f t="shared" si="13"/>
        <v>"C:\Program Files (x86)\AstroGrep\AstroGrep.exe" /spath="%USERPROFILE%\AppData\Local\Temp\OnboardLogs" /stypes="app*4003*20161001*"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6" t="str">
        <f t="shared" si="17"/>
        <v>"%USERPROFILE%\Documents\GitHub\eaglep3\Utilities\RefineRTDCRunTimes.py" --tripid 141-01 --locoid 4003 --swversion DE.1.0.7.0 --startMP 204:466 --initTime 2016-10-01T08:40:25 --startdatetime 2016-10-01T08:45:24 --delay 1 --endMP 204:233305 --enddatetime 2016-10-01T09:22:26 --enforcementcount 0 &gt;&gt;C:\Users\stu\Documents\GitHub\eaglep3-reporting\EC\2016-10-01-refined-times.txt</v>
      </c>
      <c r="AI54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{"issue":{"subject":"","project_id":79,"tracker_id":40,"status_id":1,"priority_id":2,"assigned_to_id":23,"start_date":"2016-10-01","description":"","custom_fields":[{"id":1,"name":"Subdivision","value":"EC"},{"id":4,"name":"Milepost","value":"23.3305"},{"id":17,"name":"Train ID","value":"141-01"},{"id":16,"name":"Locomotive ID","value":"4003"},{"id":130,"name":"Impact","value":""},{"id":150,"name":"Time of Event (Mountain Time)","value":"09:22:26"},{"id":151,"name":"Denver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474</v>
      </c>
      <c r="B55" s="7">
        <v>4004</v>
      </c>
      <c r="C55" s="24" t="s">
        <v>106</v>
      </c>
      <c r="D55" s="24" t="s">
        <v>310</v>
      </c>
      <c r="E55" s="15">
        <v>42644.397812499999</v>
      </c>
      <c r="F55" s="15">
        <v>42644.403726851851</v>
      </c>
      <c r="G55" s="7">
        <v>1</v>
      </c>
      <c r="H55" s="15" t="s">
        <v>228</v>
      </c>
      <c r="I55" s="15">
        <v>42644.430451388886</v>
      </c>
      <c r="J55" s="7">
        <v>0</v>
      </c>
      <c r="K55" s="117" t="str">
        <f t="shared" si="0"/>
        <v>4003/4004</v>
      </c>
      <c r="L55" s="24" t="str">
        <f>VLOOKUP(A55,'Trips&amp;Operators'!$C$1:$E$10000,3,FALSE)</f>
        <v>MAELZER</v>
      </c>
      <c r="M55" s="6">
        <f t="shared" si="1"/>
        <v>2.6724537034169771E-2</v>
      </c>
      <c r="N55" s="7">
        <f t="shared" si="20"/>
        <v>38.48333332920447</v>
      </c>
      <c r="O55" s="7"/>
      <c r="P55" s="7"/>
      <c r="Q55" s="25"/>
      <c r="R55" s="25"/>
      <c r="S55" s="37">
        <f t="shared" si="19"/>
        <v>1</v>
      </c>
      <c r="T55" s="52" t="str">
        <f t="shared" si="4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08:32:51-0600',mode:absolute,to:'2016-10-01 11:19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5" s="54" t="str">
        <f t="shared" si="6"/>
        <v>N</v>
      </c>
      <c r="X55" s="164">
        <f t="shared" si="21"/>
        <v>1</v>
      </c>
      <c r="Y55" s="69">
        <f t="shared" si="8"/>
        <v>23.297999999999998</v>
      </c>
      <c r="Z55" s="69">
        <f t="shared" si="9"/>
        <v>1.41E-2</v>
      </c>
      <c r="AA55" s="69">
        <f t="shared" si="10"/>
        <v>23.283899999999999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0142-01</v>
      </c>
      <c r="AE55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55" s="92" t="str">
        <f t="shared" si="13"/>
        <v>"C:\Program Files (x86)\AstroGrep\AstroGrep.exe" /spath="%USERPROFILE%\AppData\Local\Temp\OnboardLogs" /stypes="app*4004*20161001*"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6" t="str">
        <f t="shared" si="17"/>
        <v>"%USERPROFILE%\Documents\GitHub\eaglep3\Utilities\RefineRTDCRunTimes.py" --tripid 142-01 --locoid 4004 --swversion DE.1.0.7.0 --startMP 204:232980 --initTime 2016-10-01T09:32:51 --startdatetime 2016-10-01T09:41:22 --delay 1 --endMP 204:141 --enddatetime 2016-10-01T10:19:51 --enforcementcount 0 &gt;&gt;C:\Users\stu\Documents\GitHub\eaglep3-reporting\EC\2016-10-01-refined-times.txt</v>
      </c>
      <c r="AI5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ID","value":"142-01"},{"id":16,"name":"Locomotive ID","value":"4004"},{"id":130,"name":"Impact","value":""},{"id":150,"name":"Time of Event (Mountain Time)","value":"10:19:51"},{"id":151,"name":"Denver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475</v>
      </c>
      <c r="B56" s="7">
        <v>4011</v>
      </c>
      <c r="C56" s="24" t="s">
        <v>106</v>
      </c>
      <c r="D56" s="24" t="s">
        <v>268</v>
      </c>
      <c r="E56" s="15">
        <v>42644.372442129628</v>
      </c>
      <c r="F56" s="15">
        <v>42644.375405092593</v>
      </c>
      <c r="G56" s="7">
        <v>4</v>
      </c>
      <c r="H56" s="15" t="s">
        <v>314</v>
      </c>
      <c r="I56" s="15">
        <v>42644.402256944442</v>
      </c>
      <c r="J56" s="7">
        <v>0</v>
      </c>
      <c r="K56" s="117" t="str">
        <f t="shared" si="0"/>
        <v>4011/4012</v>
      </c>
      <c r="L56" s="24" t="str">
        <f>VLOOKUP(A56,'Trips&amp;Operators'!$C$1:$E$10000,3,FALSE)</f>
        <v>STAMBAUGH</v>
      </c>
      <c r="M56" s="6">
        <f t="shared" si="1"/>
        <v>2.6851851849642117E-2</v>
      </c>
      <c r="N56" s="7">
        <f t="shared" si="20"/>
        <v>38.666666663484648</v>
      </c>
      <c r="O56" s="7"/>
      <c r="P56" s="7"/>
      <c r="Q56" s="25"/>
      <c r="R56" s="25"/>
      <c r="S56" s="37">
        <f t="shared" si="19"/>
        <v>1</v>
      </c>
      <c r="T56" s="52" t="str">
        <f t="shared" si="4"/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07:56:19-0600',mode:absolute,to:'2016-10-01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6" s="54" t="str">
        <f t="shared" si="6"/>
        <v>N</v>
      </c>
      <c r="X56" s="164">
        <f t="shared" si="21"/>
        <v>1</v>
      </c>
      <c r="Y56" s="69">
        <f t="shared" si="8"/>
        <v>4.3999999999999997E-2</v>
      </c>
      <c r="Z56" s="69">
        <f t="shared" si="9"/>
        <v>23.3338</v>
      </c>
      <c r="AA56" s="69">
        <f t="shared" si="10"/>
        <v>23.2898</v>
      </c>
      <c r="AB56" s="66" t="str">
        <f>VLOOKUP(A56,Enforcements!$C$7:$K$21,8,0)</f>
        <v>Speed (6)</v>
      </c>
      <c r="AC56" s="62" t="str">
        <f>VLOOKUP(A56,Enforcements!$C$7:$E$21,3,0)</f>
        <v>PERMANENT SPEED RESTRICTION</v>
      </c>
      <c r="AD56" s="63" t="str">
        <f t="shared" si="11"/>
        <v>0143-01</v>
      </c>
      <c r="AE56" s="95" t="str">
        <f t="shared" si="1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56" s="92" t="str">
        <f t="shared" si="13"/>
        <v>"C:\Program Files (x86)\AstroGrep\AstroGrep.exe" /spath="%USERPROFILE%\AppData\Local\Temp\OnboardLogs" /stypes="app*4011*20161001*"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6" t="str">
        <f t="shared" si="17"/>
        <v>"%USERPROFILE%\Documents\GitHub\eaglep3\Utilities\RefineRTDCRunTimes.py" --tripid 143-01 --locoid 4011 --swversion DE.1.0.7.0 --startMP 204:440 --initTime 2016-10-01T08:56:19 --startdatetime 2016-10-01T09:00:35 --delay 4 --endMP 204:233338 --enddatetime 2016-10-01T09:39:15 --enforcementcount 0 &gt;&gt;C:\Users\stu\Documents\GitHub\eaglep3-reporting\EC\2016-10-01-refined-times.txt</v>
      </c>
      <c r="AI5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{"issue":{"subject":"","project_id":79,"tracker_id":40,"status_id":1,"priority_id":2,"assigned_to_id":23,"start_date":"2016-10-01","description":"","custom_fields":[{"id":1,"name":"Subdivision","value":"EC"},{"id":4,"name":"Milepost","value":"23.3338"},{"id":17,"name":"Train ID","value":"143-01"},{"id":16,"name":"Locomotive ID","value":"4011"},{"id":130,"name":"Impact","value":""},{"id":150,"name":"Time of Event (Mountain Time)","value":"09:39:15"},{"id":151,"name":"Denver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476</v>
      </c>
      <c r="B57" s="7">
        <v>4012</v>
      </c>
      <c r="C57" s="24" t="s">
        <v>106</v>
      </c>
      <c r="D57" s="24" t="s">
        <v>477</v>
      </c>
      <c r="E57" s="15">
        <v>42644.412245370368</v>
      </c>
      <c r="F57" s="15">
        <v>42644.4141087963</v>
      </c>
      <c r="G57" s="7">
        <v>1</v>
      </c>
      <c r="H57" s="15" t="s">
        <v>240</v>
      </c>
      <c r="I57" s="15">
        <v>42644.440659722219</v>
      </c>
      <c r="J57" s="7">
        <v>0</v>
      </c>
      <c r="K57" s="117" t="str">
        <f t="shared" si="0"/>
        <v>4011/4012</v>
      </c>
      <c r="L57" s="24" t="str">
        <f>VLOOKUP(A57,'Trips&amp;Operators'!$C$1:$E$10000,3,FALSE)</f>
        <v>STAMBAUGH</v>
      </c>
      <c r="M57" s="6">
        <f t="shared" si="1"/>
        <v>2.6550925918854773E-2</v>
      </c>
      <c r="N57" s="7">
        <f t="shared" si="20"/>
        <v>38.233333323150873</v>
      </c>
      <c r="O57" s="7"/>
      <c r="P57" s="7"/>
      <c r="Q57" s="25"/>
      <c r="R57" s="25"/>
      <c r="S57" s="37">
        <f t="shared" si="19"/>
        <v>1</v>
      </c>
      <c r="T57" s="52" t="str">
        <f t="shared" si="4"/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08:53:38-0600',mode:absolute,to:'2016-10-01 11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7" s="54" t="str">
        <f t="shared" si="6"/>
        <v>N</v>
      </c>
      <c r="X57" s="164">
        <f t="shared" si="21"/>
        <v>1</v>
      </c>
      <c r="Y57" s="69">
        <f t="shared" si="8"/>
        <v>23.300599999999999</v>
      </c>
      <c r="Z57" s="69">
        <f t="shared" si="9"/>
        <v>1.43E-2</v>
      </c>
      <c r="AA57" s="69">
        <f t="shared" si="10"/>
        <v>23.286300000000001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0144-01</v>
      </c>
      <c r="AE57" s="95" t="str">
        <f t="shared" si="1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57" s="92" t="str">
        <f t="shared" si="13"/>
        <v>"C:\Program Files (x86)\AstroGrep\AstroGrep.exe" /spath="%USERPROFILE%\AppData\Local\Temp\OnboardLogs" /stypes="app*4012*20161001*"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6" t="str">
        <f t="shared" si="17"/>
        <v>"%USERPROFILE%\Documents\GitHub\eaglep3\Utilities\RefineRTDCRunTimes.py" --tripid 144-01 --locoid 4012 --swversion DE.1.0.7.0 --startMP 204:233006 --initTime 2016-10-01T09:53:38 --startdatetime 2016-10-01T09:56:19 --delay 1 --endMP 204:143 --enddatetime 2016-10-01T10:34:33 --enforcementcount 0 &gt;&gt;C:\Users\stu\Documents\GitHub\eaglep3-reporting\EC\2016-10-01-refined-times.txt</v>
      </c>
      <c r="AI57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{"issue":{"subject":"","project_id":79,"tracker_id":40,"status_id":1,"priority_id":2,"assigned_to_id":23,"start_date":"2016-10-01","description":"","custom_fields":[{"id":1,"name":"Subdivision","value":"EC"},{"id":4,"name":"Milepost","value":"0.0143"},{"id":17,"name":"Train ID","value":"144-01"},{"id":16,"name":"Locomotive ID","value":"4012"},{"id":130,"name":"Impact","value":""},{"id":150,"name":"Time of Event (Mountain Time)","value":"10:34:33"},{"id":151,"name":"Denver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478</v>
      </c>
      <c r="B58" s="7">
        <v>4046</v>
      </c>
      <c r="C58" s="24" t="s">
        <v>106</v>
      </c>
      <c r="D58" s="24" t="s">
        <v>213</v>
      </c>
      <c r="E58" s="15">
        <v>42644.384780092594</v>
      </c>
      <c r="F58" s="15">
        <v>42644.38590277778</v>
      </c>
      <c r="G58" s="7">
        <v>0</v>
      </c>
      <c r="H58" s="15" t="s">
        <v>479</v>
      </c>
      <c r="I58" s="15">
        <v>42644.411226851851</v>
      </c>
      <c r="J58" s="7">
        <v>0</v>
      </c>
      <c r="K58" s="117" t="str">
        <f t="shared" si="0"/>
        <v>4045/4046</v>
      </c>
      <c r="L58" s="24" t="str">
        <f>VLOOKUP(A58,'Trips&amp;Operators'!$C$1:$E$10000,3,FALSE)</f>
        <v>MALAVE</v>
      </c>
      <c r="M58" s="6">
        <f t="shared" si="1"/>
        <v>2.5324074071249925E-2</v>
      </c>
      <c r="N58" s="7">
        <f t="shared" si="20"/>
        <v>36.466666662599891</v>
      </c>
      <c r="O58" s="7"/>
      <c r="P58" s="7"/>
      <c r="Q58" s="25"/>
      <c r="R58" s="25"/>
      <c r="S58" s="37">
        <f t="shared" si="19"/>
        <v>1</v>
      </c>
      <c r="T58" s="52" t="str">
        <f t="shared" si="4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08:14:05-0600',mode:absolute,to:'2016-10-01 10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8" s="54" t="str">
        <f t="shared" si="6"/>
        <v>N</v>
      </c>
      <c r="X58" s="164">
        <f t="shared" si="21"/>
        <v>1</v>
      </c>
      <c r="Y58" s="69">
        <f t="shared" si="8"/>
        <v>4.5999999999999999E-2</v>
      </c>
      <c r="Z58" s="69">
        <f t="shared" si="9"/>
        <v>23.325700000000001</v>
      </c>
      <c r="AA58" s="69">
        <f t="shared" si="10"/>
        <v>23.279700000000002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0145-01</v>
      </c>
      <c r="AE58" s="95" t="str">
        <f t="shared" si="1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58" s="92" t="str">
        <f t="shared" si="13"/>
        <v>"C:\Program Files (x86)\AstroGrep\AstroGrep.exe" /spath="%USERPROFILE%\AppData\Local\Temp\OnboardLogs" /stypes="app*4046*20161001*"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6" t="str">
        <f t="shared" si="17"/>
        <v>"%USERPROFILE%\Documents\GitHub\eaglep3\Utilities\RefineRTDCRunTimes.py" --tripid 145-01 --locoid 4046 --swversion DE.1.0.7.0 --startMP 204:460 --initTime 2016-10-01T09:14:05 --startdatetime 2016-10-01T09:15:42 --delay 0 --endMP 204:233257 --enddatetime 2016-10-01T09:52:10 --enforcementcount 0 &gt;&gt;C:\Users\stu\Documents\GitHub\eaglep3-reporting\EC\2016-10-01-refined-times.txt</v>
      </c>
      <c r="AI58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{"issue":{"subject":"","project_id":79,"tracker_id":40,"status_id":1,"priority_id":2,"assigned_to_id":23,"start_date":"2016-10-01","description":"","custom_fields":[{"id":1,"name":"Subdivision","value":"EC"},{"id":4,"name":"Milepost","value":"23.3257"},{"id":17,"name":"Train ID","value":"145-01"},{"id":16,"name":"Locomotive ID","value":"4046"},{"id":130,"name":"Impact","value":""},{"id":150,"name":"Time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480</v>
      </c>
      <c r="B59" s="7">
        <v>4045</v>
      </c>
      <c r="C59" s="24" t="s">
        <v>106</v>
      </c>
      <c r="D59" s="24" t="s">
        <v>481</v>
      </c>
      <c r="E59" s="15">
        <v>42644.436365740738</v>
      </c>
      <c r="F59" s="15">
        <v>42644.43712962963</v>
      </c>
      <c r="G59" s="7">
        <v>1</v>
      </c>
      <c r="H59" s="15" t="s">
        <v>127</v>
      </c>
      <c r="I59" s="15">
        <v>42644.453912037039</v>
      </c>
      <c r="J59" s="7">
        <v>0</v>
      </c>
      <c r="K59" s="117" t="str">
        <f t="shared" si="0"/>
        <v>4045/4046</v>
      </c>
      <c r="L59" s="24" t="str">
        <f>VLOOKUP(A59,'Trips&amp;Operators'!$C$1:$E$10000,3,FALSE)</f>
        <v>MALAVE</v>
      </c>
      <c r="M59" s="6">
        <f t="shared" si="1"/>
        <v>1.6782407408754807E-2</v>
      </c>
      <c r="N59" s="7"/>
      <c r="O59" s="7"/>
      <c r="P59" s="7">
        <f>24*60*SUM($M59:$M60)</f>
        <v>35.766666666604578</v>
      </c>
      <c r="Q59" s="25"/>
      <c r="R59" s="25" t="s">
        <v>746</v>
      </c>
      <c r="S59" s="37">
        <f>SUM(U59:U60)/IF(AG59="EC",12,1)</f>
        <v>1</v>
      </c>
      <c r="T59" s="52" t="str">
        <f t="shared" si="4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09:28:22-0600',mode:absolute,to:'2016-10-01 11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9" s="54" t="str">
        <f t="shared" si="6"/>
        <v>Y</v>
      </c>
      <c r="X59" s="164">
        <f t="shared" si="21"/>
        <v>1</v>
      </c>
      <c r="Y59" s="69">
        <f t="shared" si="8"/>
        <v>12.1656</v>
      </c>
      <c r="Z59" s="69">
        <f t="shared" si="9"/>
        <v>1.54E-2</v>
      </c>
      <c r="AA59" s="69">
        <f t="shared" si="10"/>
        <v>12.1502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0146-01</v>
      </c>
      <c r="AE59" s="95" t="str">
        <f t="shared" si="1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59" s="92" t="str">
        <f t="shared" si="13"/>
        <v>"C:\Program Files (x86)\AstroGrep\AstroGrep.exe" /spath="%USERPROFILE%\AppData\Local\Temp\OnboardLogs" /stypes="app*4045*20161001*"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6" t="str">
        <f t="shared" si="17"/>
        <v>"%USERPROFILE%\Documents\GitHub\eaglep3\Utilities\RefineRTDCRunTimes.py" --tripid 146-01 --locoid 4045 --swversion DE.1.0.7.0 --startMP 204:121656 --initTime 2016-10-01T10:28:22 --startdatetime 2016-10-01T10:29:28 --delay 1 --endMP 204:154 --enddatetime 2016-10-01T10:53:38 --enforcementcount 0 &gt;&gt;C:\Users\stu\Documents\GitHub\eaglep3-reporting\EC\2016-10-01-refined-times.txt</v>
      </c>
      <c r="AI59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issue","project_id":79,"tracker_id":40,"status_id":1,"priority_id":2,"assigned_to_id":23,"start_date":"2016-10-01","description":"","custom_fields":[{"id":1,"name":"Subdivision","value":"EC"},{"id":4,"name":"Milepost","value":"0.0154"},{"id":17,"name":"Train ID","value":"146-01"},{"id":16,"name":"Locomotive ID","value":"4045"},{"id":130,"name":"Impact","value":""},{"id":150,"name":"Time of Event (Mountain Time)","value":"10:53:38"},{"id":151,"name":"Denver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480</v>
      </c>
      <c r="B60" s="7">
        <v>4045</v>
      </c>
      <c r="C60" s="24" t="s">
        <v>106</v>
      </c>
      <c r="D60" s="24" t="s">
        <v>482</v>
      </c>
      <c r="E60" s="15">
        <v>42644.422858796293</v>
      </c>
      <c r="F60" s="15">
        <v>42644.423680555556</v>
      </c>
      <c r="G60" s="7">
        <v>1</v>
      </c>
      <c r="H60" s="15" t="s">
        <v>483</v>
      </c>
      <c r="I60" s="15">
        <v>42644.43173611111</v>
      </c>
      <c r="J60" s="7">
        <v>1</v>
      </c>
      <c r="K60" s="117" t="str">
        <f t="shared" si="0"/>
        <v>4045/4046</v>
      </c>
      <c r="L60" s="24" t="str">
        <f>VLOOKUP(A60,'Trips&amp;Operators'!$C$1:$E$10000,3,FALSE)</f>
        <v>MALAVE</v>
      </c>
      <c r="M60" s="6">
        <f t="shared" si="1"/>
        <v>8.0555555541650392E-3</v>
      </c>
      <c r="N60" s="7"/>
      <c r="O60" s="7"/>
      <c r="P60" s="7"/>
      <c r="Q60" s="25"/>
      <c r="R60" s="25"/>
      <c r="S60" s="37"/>
      <c r="T60" s="52" t="str">
        <f t="shared" si="4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09:08:55-0600',mode:absolute,to:'2016-10-01 11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0" s="54" t="str">
        <f t="shared" si="6"/>
        <v>Y</v>
      </c>
      <c r="X60" s="164">
        <f t="shared" si="21"/>
        <v>0</v>
      </c>
      <c r="Y60" s="69">
        <f t="shared" si="8"/>
        <v>23.2942</v>
      </c>
      <c r="Z60" s="69">
        <f t="shared" si="9"/>
        <v>15.7704</v>
      </c>
      <c r="AA60" s="69">
        <f t="shared" si="10"/>
        <v>7.5237999999999996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0146-01</v>
      </c>
      <c r="AE60" s="95" t="str">
        <f t="shared" si="1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60" s="92" t="str">
        <f t="shared" si="13"/>
        <v>"C:\Program Files (x86)\AstroGrep\AstroGrep.exe" /spath="%USERPROFILE%\AppData\Local\Temp\OnboardLogs" /stypes="app*4045*20161001*"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6" t="str">
        <f t="shared" si="17"/>
        <v>"%USERPROFILE%\Documents\GitHub\eaglep3\Utilities\RefineRTDCRunTimes.py" --tripid 146-01 --locoid 4045 --swversion DE.1.0.7.0 --startMP 204:232942 --initTime 2016-10-01T10:08:55 --startdatetime 2016-10-01T10:10:06 --delay 1 --endMP 204:157704 --enddatetime 2016-10-01T10:21:42 --enforcementcount 1 &gt;&gt;C:\Users\stu\Documents\GitHub\eaglep3-reporting\EC\2016-10-01-refined-times.txt</v>
      </c>
      <c r="AI60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{"issue":{"subject":"","project_id":79,"tracker_id":40,"status_id":1,"priority_id":2,"assigned_to_id":23,"start_date":"2016-10-01","description":"","custom_fields":[{"id":1,"name":"Subdivision","value":"EC"},{"id":4,"name":"Milepost","value":"15.7704"},{"id":17,"name":"Train ID","value":"146-01"},{"id":16,"name":"Locomotive ID","value":"4045"},{"id":130,"name":"Impact","value":""},{"id":150,"name":"Time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484</v>
      </c>
      <c r="B61" s="7">
        <v>4018</v>
      </c>
      <c r="C61" s="24" t="s">
        <v>106</v>
      </c>
      <c r="D61" s="24" t="s">
        <v>242</v>
      </c>
      <c r="E61" s="15">
        <v>42644.392766203702</v>
      </c>
      <c r="F61" s="15">
        <v>42644.396087962959</v>
      </c>
      <c r="G61" s="7">
        <v>1</v>
      </c>
      <c r="H61" s="15" t="s">
        <v>225</v>
      </c>
      <c r="I61" s="15">
        <v>42644.420752314814</v>
      </c>
      <c r="J61" s="7">
        <v>0</v>
      </c>
      <c r="K61" s="117" t="str">
        <f t="shared" si="0"/>
        <v>4017/4018</v>
      </c>
      <c r="L61" s="24" t="str">
        <f>VLOOKUP(A61,'Trips&amp;Operators'!$C$1:$E$10000,3,FALSE)</f>
        <v>ACKERMAN</v>
      </c>
      <c r="M61" s="6">
        <f t="shared" si="1"/>
        <v>2.4664351854880806E-2</v>
      </c>
      <c r="N61" s="7">
        <f>24*60*SUM($M61:$M61)</f>
        <v>35.516666671028361</v>
      </c>
      <c r="O61" s="7"/>
      <c r="P61" s="7"/>
      <c r="Q61" s="25"/>
      <c r="R61" s="25"/>
      <c r="S61" s="37">
        <f>SUM(U61:U61)/IF(AG61="EC",12,1)</f>
        <v>1</v>
      </c>
      <c r="T61" s="52" t="str">
        <f t="shared" si="4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08:25:35-0600',mode:absolute,to:'2016-10-01 11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1" s="54" t="str">
        <f t="shared" si="6"/>
        <v>N</v>
      </c>
      <c r="X61" s="164">
        <f t="shared" si="21"/>
        <v>1</v>
      </c>
      <c r="Y61" s="69">
        <f t="shared" si="8"/>
        <v>4.3799999999999999E-2</v>
      </c>
      <c r="Z61" s="69">
        <f t="shared" si="9"/>
        <v>23.329499999999999</v>
      </c>
      <c r="AA61" s="69">
        <f t="shared" si="10"/>
        <v>23.285699999999999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0147-01</v>
      </c>
      <c r="AE61" s="95" t="str">
        <f t="shared" si="1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61" s="92" t="str">
        <f t="shared" si="13"/>
        <v>"C:\Program Files (x86)\AstroGrep\AstroGrep.exe" /spath="%USERPROFILE%\AppData\Local\Temp\OnboardLogs" /stypes="app*4018*20161001*"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6" t="str">
        <f t="shared" si="17"/>
        <v>"%USERPROFILE%\Documents\GitHub\eaglep3\Utilities\RefineRTDCRunTimes.py" --tripid 147-01 --locoid 4018 --swversion DE.1.0.7.0 --startMP 204:438 --initTime 2016-10-01T09:25:35 --startdatetime 2016-10-01T09:30:22 --delay 1 --endMP 204:233295 --enddatetime 2016-10-01T10:05:53 --enforcementcount 0 &gt;&gt;C:\Users\stu\Documents\GitHub\eaglep3-reporting\EC\2016-10-01-refined-times.txt</v>
      </c>
      <c r="AI61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{"issue":{"subject":"","project_id":79,"tracker_id":40,"status_id":1,"priority_id":2,"assigned_to_id":23,"start_date":"2016-10-01","description":"","custom_fields":[{"id":1,"name":"Subdivision","value":"EC"},{"id":4,"name":"Milepost","value":"23.3295"},{"id":17,"name":"Train ID","value":"147-01"},{"id":16,"name":"Locomotive ID","value":"4018"},{"id":130,"name":"Impact","value":""},{"id":150,"name":"Time of Event (Mountain Time)","value":"10:05:53"},{"id":151,"name":"Denver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485</v>
      </c>
      <c r="B62" s="7">
        <v>4017</v>
      </c>
      <c r="C62" s="24" t="s">
        <v>106</v>
      </c>
      <c r="D62" s="24" t="s">
        <v>486</v>
      </c>
      <c r="E62" s="15">
        <v>42644.445694444446</v>
      </c>
      <c r="F62" s="15">
        <v>42644.446412037039</v>
      </c>
      <c r="G62" s="7">
        <v>1</v>
      </c>
      <c r="H62" s="15" t="s">
        <v>221</v>
      </c>
      <c r="I62" s="15">
        <v>42644.46365740741</v>
      </c>
      <c r="J62" s="7">
        <v>0</v>
      </c>
      <c r="K62" s="117" t="str">
        <f t="shared" si="0"/>
        <v>4017/4018</v>
      </c>
      <c r="L62" s="24" t="str">
        <f>VLOOKUP(A62,'Trips&amp;Operators'!$C$1:$E$10000,3,FALSE)</f>
        <v>ACKERMAN</v>
      </c>
      <c r="M62" s="6">
        <f t="shared" si="1"/>
        <v>1.7245370370801538E-2</v>
      </c>
      <c r="N62" s="7"/>
      <c r="O62" s="7"/>
      <c r="P62" s="7">
        <f>24*60*SUM($M62:$M63)</f>
        <v>42.900000001536682</v>
      </c>
      <c r="Q62" s="25"/>
      <c r="R62" s="25" t="s">
        <v>746</v>
      </c>
      <c r="S62" s="37">
        <f>SUM(U62:U63)/IF(AG62="EC",12,1)</f>
        <v>1</v>
      </c>
      <c r="T62" s="52" t="str">
        <f t="shared" si="4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09:41:48-0600',mode:absolute,to:'2016-10-01 12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2" s="54" t="str">
        <f t="shared" si="6"/>
        <v>Y</v>
      </c>
      <c r="X62" s="164">
        <f t="shared" si="21"/>
        <v>1</v>
      </c>
      <c r="Y62" s="69">
        <f t="shared" si="8"/>
        <v>12.785399999999999</v>
      </c>
      <c r="Z62" s="69">
        <f t="shared" si="9"/>
        <v>1.5599999999999999E-2</v>
      </c>
      <c r="AA62" s="69">
        <f t="shared" si="10"/>
        <v>12.7698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0148-01</v>
      </c>
      <c r="AE62" s="95" t="str">
        <f t="shared" si="1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62" s="92" t="str">
        <f t="shared" si="13"/>
        <v>"C:\Program Files (x86)\AstroGrep\AstroGrep.exe" /spath="%USERPROFILE%\AppData\Local\Temp\OnboardLogs" /stypes="app*4017*20161001*"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6" t="str">
        <f t="shared" si="17"/>
        <v>"%USERPROFILE%\Documents\GitHub\eaglep3\Utilities\RefineRTDCRunTimes.py" --tripid 148-01 --locoid 4017 --swversion DE.1.0.7.0 --startMP 204:127854 --initTime 2016-10-01T10:41:48 --startdatetime 2016-10-01T10:42:50 --delay 1 --endMP 204:156 --enddatetime 2016-10-01T11:07:40 --enforcementcount 0 &gt;&gt;C:\Users\stu\Documents\GitHub\eaglep3-reporting\EC\2016-10-01-refined-times.txt</v>
      </c>
      <c r="AI62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issue","project_id":79,"tracker_id":40,"status_id":1,"priority_id":2,"assigned_to_id":23,"start_date":"2016-10-01","description":"","custom_fields":[{"id":1,"name":"Subdivision","value":"EC"},{"id":4,"name":"Milepost","value":"0.0156"},{"id":17,"name":"Train ID","value":"148-01"},{"id":16,"name":"Locomotive ID","value":"4017"},{"id":130,"name":"Impact","value":""},{"id":150,"name":"Time of Event (Mountain Time)","value":"11:07:40"},{"id":151,"name":"Denver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485</v>
      </c>
      <c r="B63" s="7">
        <v>4017</v>
      </c>
      <c r="C63" s="24" t="s">
        <v>106</v>
      </c>
      <c r="D63" s="24" t="s">
        <v>324</v>
      </c>
      <c r="E63" s="15">
        <v>42644.428680555553</v>
      </c>
      <c r="F63" s="15">
        <v>42644.429664351854</v>
      </c>
      <c r="G63" s="7">
        <v>1</v>
      </c>
      <c r="H63" s="15" t="s">
        <v>487</v>
      </c>
      <c r="I63" s="15">
        <v>42644.442210648151</v>
      </c>
      <c r="J63" s="7">
        <v>0</v>
      </c>
      <c r="K63" s="117" t="str">
        <f t="shared" si="0"/>
        <v>4017/4018</v>
      </c>
      <c r="L63" s="24" t="str">
        <f>VLOOKUP(A63,'Trips&amp;Operators'!$C$1:$E$10000,3,FALSE)</f>
        <v>ACKERMAN</v>
      </c>
      <c r="M63" s="6">
        <f t="shared" si="1"/>
        <v>1.2546296296932269E-2</v>
      </c>
      <c r="N63" s="7"/>
      <c r="O63" s="7"/>
      <c r="P63" s="7"/>
      <c r="Q63" s="25"/>
      <c r="R63" s="25"/>
      <c r="S63" s="37"/>
      <c r="T63" s="52" t="str">
        <f t="shared" si="4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09:17:18-0600',mode:absolute,to:'2016-10-01 11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3" s="54" t="str">
        <f t="shared" si="6"/>
        <v>Y</v>
      </c>
      <c r="X63" s="164">
        <f t="shared" si="21"/>
        <v>0</v>
      </c>
      <c r="Y63" s="69">
        <f t="shared" si="8"/>
        <v>23.2987</v>
      </c>
      <c r="Z63" s="69">
        <f t="shared" si="9"/>
        <v>15.9923</v>
      </c>
      <c r="AA63" s="69">
        <f t="shared" si="10"/>
        <v>7.3064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0148-01</v>
      </c>
      <c r="AE63" s="95" t="str">
        <f t="shared" si="1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63" s="92" t="str">
        <f t="shared" si="13"/>
        <v>"C:\Program Files (x86)\AstroGrep\AstroGrep.exe" /spath="%USERPROFILE%\AppData\Local\Temp\OnboardLogs" /stypes="app*4017*20161001*"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6" t="str">
        <f t="shared" si="17"/>
        <v>"%USERPROFILE%\Documents\GitHub\eaglep3\Utilities\RefineRTDCRunTimes.py" --tripid 148-01 --locoid 4017 --swversion DE.1.0.7.0 --startMP 204:232987 --initTime 2016-10-01T10:17:18 --startdatetime 2016-10-01T10:18:43 --delay 1 --endMP 204:159923 --enddatetime 2016-10-01T10:36:47 --enforcementcount 0 &gt;&gt;C:\Users\stu\Documents\GitHub\eaglep3-reporting\EC\2016-10-01-refined-times.txt</v>
      </c>
      <c r="AI63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{"issue":{"subject":"","project_id":79,"tracker_id":40,"status_id":1,"priority_id":2,"assigned_to_id":23,"start_date":"2016-10-01","description":"","custom_fields":[{"id":1,"name":"Subdivision","value":"EC"},{"id":4,"name":"Milepost","value":"15.9923"},{"id":17,"name":"Train ID","value":"148-01"},{"id":16,"name":"Locomotive ID","value":"4017"},{"id":130,"name":"Impact","value":""},{"id":150,"name":"Time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488</v>
      </c>
      <c r="B64" s="7">
        <v>4009</v>
      </c>
      <c r="C64" s="24" t="s">
        <v>106</v>
      </c>
      <c r="D64" s="24" t="s">
        <v>489</v>
      </c>
      <c r="E64" s="15">
        <v>42644.401226851849</v>
      </c>
      <c r="F64" s="15">
        <v>42644.406493055554</v>
      </c>
      <c r="G64" s="7">
        <v>1</v>
      </c>
      <c r="H64" s="15" t="s">
        <v>253</v>
      </c>
      <c r="I64" s="15">
        <v>42644.43072916667</v>
      </c>
      <c r="J64" s="7">
        <v>0</v>
      </c>
      <c r="K64" s="117" t="str">
        <f t="shared" si="0"/>
        <v>4009/4010</v>
      </c>
      <c r="L64" s="24" t="str">
        <f>VLOOKUP(A64,'Trips&amp;Operators'!$C$1:$E$10000,3,FALSE)</f>
        <v>DE LA ROSA</v>
      </c>
      <c r="M64" s="6">
        <f t="shared" si="1"/>
        <v>2.4236111115897074E-2</v>
      </c>
      <c r="N64" s="7">
        <f>24*60*SUM($M64:$M64)</f>
        <v>34.900000006891787</v>
      </c>
      <c r="O64" s="7"/>
      <c r="P64" s="7"/>
      <c r="Q64" s="25"/>
      <c r="R64" s="25"/>
      <c r="S64" s="37">
        <f>SUM(U64:U64)/IF(AG64="EC",12,1)</f>
        <v>1</v>
      </c>
      <c r="T64" s="52" t="str">
        <f t="shared" si="4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08:37:46-0600',mode:absolute,to:'2016-10-01 11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4" s="54" t="str">
        <f t="shared" si="6"/>
        <v>N</v>
      </c>
      <c r="X64" s="164">
        <f t="shared" si="21"/>
        <v>1</v>
      </c>
      <c r="Y64" s="69">
        <f t="shared" si="8"/>
        <v>4.7500000000000001E-2</v>
      </c>
      <c r="Z64" s="69">
        <f t="shared" si="9"/>
        <v>23.3293</v>
      </c>
      <c r="AA64" s="69">
        <f t="shared" si="10"/>
        <v>23.2818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0149-01</v>
      </c>
      <c r="AE64" s="95" t="str">
        <f t="shared" si="1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64" s="92" t="str">
        <f t="shared" si="13"/>
        <v>"C:\Program Files (x86)\AstroGrep\AstroGrep.exe" /spath="%USERPROFILE%\AppData\Local\Temp\OnboardLogs" /stypes="app*4009*20161001*"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6" t="str">
        <f t="shared" si="17"/>
        <v>"%USERPROFILE%\Documents\GitHub\eaglep3\Utilities\RefineRTDCRunTimes.py" --tripid 149-01 --locoid 4009 --swversion DE.1.0.7.0 --startMP 204:475 --initTime 2016-10-01T09:37:46 --startdatetime 2016-10-01T09:45:21 --delay 1 --endMP 204:233293 --enddatetime 2016-10-01T10:20:15 --enforcementcount 0 &gt;&gt;C:\Users\stu\Documents\GitHub\eaglep3-reporting\EC\2016-10-01-refined-times.txt</v>
      </c>
      <c r="AI64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{"issue":{"subject":"","project_id":79,"tracker_id":40,"status_id":1,"priority_id":2,"assigned_to_id":23,"start_date":"2016-10-01","description":"","custom_fields":[{"id":1,"name":"Subdivision","value":"EC"},{"id":4,"name":"Milepost","value":"23.3293"},{"id":17,"name":"Train ID","value":"149-01"},{"id":16,"name":"Locomotive ID","value":"4009"},{"id":130,"name":"Impact","value":""},{"id":150,"name":"Time of Event (Mountain Time)","value":"10:20:15"},{"id":151,"name":"Denver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490</v>
      </c>
      <c r="B65" s="7">
        <v>4010</v>
      </c>
      <c r="C65" s="24" t="s">
        <v>106</v>
      </c>
      <c r="D65" s="24" t="s">
        <v>491</v>
      </c>
      <c r="E65" s="15">
        <v>42644.455381944441</v>
      </c>
      <c r="F65" s="15">
        <v>42644.456157407411</v>
      </c>
      <c r="G65" s="7">
        <v>1</v>
      </c>
      <c r="H65" s="15" t="s">
        <v>203</v>
      </c>
      <c r="I65" s="15">
        <v>42644.473414351851</v>
      </c>
      <c r="J65" s="7">
        <v>0</v>
      </c>
      <c r="K65" s="117" t="str">
        <f t="shared" si="0"/>
        <v>4009/4010</v>
      </c>
      <c r="L65" s="24" t="str">
        <f>VLOOKUP(A65,'Trips&amp;Operators'!$C$1:$E$10000,3,FALSE)</f>
        <v>DE LA ROSA</v>
      </c>
      <c r="M65" s="6">
        <f t="shared" si="1"/>
        <v>1.7256944440305233E-2</v>
      </c>
      <c r="N65" s="7"/>
      <c r="O65" s="7"/>
      <c r="P65" s="7">
        <f>24*60*SUM($M65:$M66)</f>
        <v>42.066666661994532</v>
      </c>
      <c r="Q65" s="25"/>
      <c r="R65" s="25" t="s">
        <v>746</v>
      </c>
      <c r="S65" s="37">
        <f>SUM(U65:U66)/IF(AG65="EC",12,1)</f>
        <v>1</v>
      </c>
      <c r="T65" s="52" t="str">
        <f t="shared" si="4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09:55:45-0600',mode:absolute,to:'2016-10-01 12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5" s="54" t="str">
        <f t="shared" si="6"/>
        <v>Y</v>
      </c>
      <c r="X65" s="164">
        <f t="shared" si="21"/>
        <v>1</v>
      </c>
      <c r="Y65" s="69">
        <f t="shared" si="8"/>
        <v>12.7857</v>
      </c>
      <c r="Z65" s="69">
        <f t="shared" si="9"/>
        <v>1.47E-2</v>
      </c>
      <c r="AA65" s="69">
        <f t="shared" si="10"/>
        <v>12.771000000000001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0150-01</v>
      </c>
      <c r="AE65" s="95" t="str">
        <f t="shared" si="1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65" s="92" t="str">
        <f t="shared" si="13"/>
        <v>"C:\Program Files (x86)\AstroGrep\AstroGrep.exe" /spath="%USERPROFILE%\AppData\Local\Temp\OnboardLogs" /stypes="app*4010*20161001*"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6" t="str">
        <f t="shared" si="17"/>
        <v>"%USERPROFILE%\Documents\GitHub\eaglep3\Utilities\RefineRTDCRunTimes.py" --tripid 150-01 --locoid 4010 --swversion DE.1.0.7.0 --startMP 204:127857 --initTime 2016-10-01T10:55:45 --startdatetime 2016-10-01T10:56:52 --delay 1 --endMP 204:147 --enddatetime 2016-10-01T11:21:43 --enforcementcount 0 &gt;&gt;C:\Users\stu\Documents\GitHub\eaglep3-reporting\EC\2016-10-01-refined-times.txt</v>
      </c>
      <c r="AI65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issue","project_id":79,"tracker_id":40,"status_id":1,"priority_id":2,"assigned_to_id":23,"start_date":"2016-10-01","description":"","custom_fields":[{"id":1,"name":"Subdivision","value":"EC"},{"id":4,"name":"Milepost","value":"0.0147"},{"id":17,"name":"Train ID","value":"150-01"},{"id":16,"name":"Locomotive ID","value":"4010"},{"id":130,"name":"Impact","value":""},{"id":150,"name":"Time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490</v>
      </c>
      <c r="B66" s="7">
        <v>4010</v>
      </c>
      <c r="C66" s="24" t="s">
        <v>106</v>
      </c>
      <c r="D66" s="24" t="s">
        <v>427</v>
      </c>
      <c r="E66" s="15">
        <v>42644.438252314816</v>
      </c>
      <c r="F66" s="15">
        <v>42644.439884259256</v>
      </c>
      <c r="G66" s="7">
        <v>2</v>
      </c>
      <c r="H66" s="15" t="s">
        <v>492</v>
      </c>
      <c r="I66" s="15">
        <v>42644.451840277776</v>
      </c>
      <c r="J66" s="7">
        <v>0</v>
      </c>
      <c r="K66" s="117" t="str">
        <f t="shared" si="0"/>
        <v>4009/4010</v>
      </c>
      <c r="L66" s="24" t="str">
        <f>VLOOKUP(A66,'Trips&amp;Operators'!$C$1:$E$10000,3,FALSE)</f>
        <v>DE LA ROSA</v>
      </c>
      <c r="M66" s="6">
        <f t="shared" si="1"/>
        <v>1.1956018519413192E-2</v>
      </c>
      <c r="N66" s="7"/>
      <c r="O66" s="7"/>
      <c r="P66" s="7"/>
      <c r="Q66" s="25"/>
      <c r="R66" s="25"/>
      <c r="S66" s="37"/>
      <c r="T66" s="52" t="str">
        <f t="shared" si="4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09:31:05-0600',mode:absolute,to:'2016-10-01 11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6" s="54" t="str">
        <f t="shared" si="6"/>
        <v>Y</v>
      </c>
      <c r="X66" s="164">
        <f t="shared" si="21"/>
        <v>0</v>
      </c>
      <c r="Y66" s="69">
        <f t="shared" si="8"/>
        <v>23.2971</v>
      </c>
      <c r="Z66" s="69">
        <f t="shared" si="9"/>
        <v>15.8179</v>
      </c>
      <c r="AA66" s="69">
        <f t="shared" si="10"/>
        <v>7.4792000000000005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0150-01</v>
      </c>
      <c r="AE66" s="95" t="str">
        <f t="shared" si="1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66" s="92" t="str">
        <f t="shared" si="13"/>
        <v>"C:\Program Files (x86)\AstroGrep\AstroGrep.exe" /spath="%USERPROFILE%\AppData\Local\Temp\OnboardLogs" /stypes="app*4010*20161001*"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6" t="str">
        <f t="shared" si="17"/>
        <v>"%USERPROFILE%\Documents\GitHub\eaglep3\Utilities\RefineRTDCRunTimes.py" --tripid 150-01 --locoid 4010 --swversion DE.1.0.7.0 --startMP 204:232971 --initTime 2016-10-01T10:31:05 --startdatetime 2016-10-01T10:33:26 --delay 2 --endMP 204:158179 --enddatetime 2016-10-01T10:50:39 --enforcementcount 0 &gt;&gt;C:\Users\stu\Documents\GitHub\eaglep3-reporting\EC\2016-10-01-refined-times.txt</v>
      </c>
      <c r="AI6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{"issue":{"subject":"","project_id":79,"tracker_id":40,"status_id":1,"priority_id":2,"assigned_to_id":23,"start_date":"2016-10-01","description":"","custom_fields":[{"id":1,"name":"Subdivision","value":"EC"},{"id":4,"name":"Milepost","value":"15.8179"},{"id":17,"name":"Train ID","value":"150-01"},{"id":16,"name":"Locomotive ID","value":"4010"},{"id":130,"name":"Impact","value":""},{"id":150,"name":"Time of Event (Mountain Time)","value":"10:50:39"},{"id":151,"name":"Denver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493</v>
      </c>
      <c r="B67" s="7">
        <v>4014</v>
      </c>
      <c r="C67" s="24" t="s">
        <v>106</v>
      </c>
      <c r="D67" s="24" t="s">
        <v>444</v>
      </c>
      <c r="E67" s="15">
        <v>42644.411412037036</v>
      </c>
      <c r="F67" s="15">
        <v>42644.412604166668</v>
      </c>
      <c r="G67" s="7">
        <v>1</v>
      </c>
      <c r="H67" s="15" t="s">
        <v>494</v>
      </c>
      <c r="I67" s="15">
        <v>42644.436261574076</v>
      </c>
      <c r="J67" s="7">
        <v>0</v>
      </c>
      <c r="K67" s="117" t="str">
        <f t="shared" si="0"/>
        <v>4013/4014</v>
      </c>
      <c r="L67" s="24" t="str">
        <f>VLOOKUP(A67,'Trips&amp;Operators'!$C$1:$E$10000,3,FALSE)</f>
        <v>KILLION</v>
      </c>
      <c r="M67" s="6">
        <f t="shared" si="1"/>
        <v>2.3657407407881692E-2</v>
      </c>
      <c r="N67" s="7"/>
      <c r="O67" s="7"/>
      <c r="P67" s="7">
        <f>24*60*SUM($M67:$M67)</f>
        <v>34.066666667349637</v>
      </c>
      <c r="Q67" s="25"/>
      <c r="R67" s="25" t="s">
        <v>746</v>
      </c>
      <c r="S67" s="37">
        <f>SUM(U67:U67)/IF(AG67="EC",12,1)</f>
        <v>1</v>
      </c>
      <c r="T67" s="52" t="str">
        <f t="shared" si="4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08:52:26-0600',mode:absolute,to:'2016-10-01 11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7" s="54" t="str">
        <f t="shared" si="6"/>
        <v>Y</v>
      </c>
      <c r="X67" s="164">
        <f t="shared" si="21"/>
        <v>1</v>
      </c>
      <c r="Y67" s="69">
        <f t="shared" si="8"/>
        <v>4.6699999999999998E-2</v>
      </c>
      <c r="Z67" s="69">
        <f t="shared" si="9"/>
        <v>15.4415</v>
      </c>
      <c r="AA67" s="69">
        <f t="shared" si="10"/>
        <v>15.3948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0151-01</v>
      </c>
      <c r="AE67" s="95" t="str">
        <f t="shared" si="1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67" s="92" t="str">
        <f t="shared" si="13"/>
        <v>"C:\Program Files (x86)\AstroGrep\AstroGrep.exe" /spath="%USERPROFILE%\AppData\Local\Temp\OnboardLogs" /stypes="app*4014*20161001*" /stext=" 16:.+((SYSTEM_STATE.+slice.+state.+changed )|(ment ac)|(system.+state.+changed )|(\[timeout)|(PRM\|1\|D)|(kpr)|(kdp)|(\|lc)|(penalty))" /e /r /s</v>
      </c>
      <c r="AG67" s="1" t="str">
        <f t="shared" si="14"/>
        <v>EC</v>
      </c>
      <c r="AH67" s="96" t="str">
        <f t="shared" si="17"/>
        <v>"%USERPROFILE%\Documents\GitHub\eaglep3\Utilities\RefineRTDCRunTimes.py" --tripid 151-01 --locoid 4014 --swversion DE.1.0.7.0 --startMP 204:467 --initTime 2016-10-01T09:52:26 --startdatetime 2016-10-01T09:54:09 --delay 1 --endMP 204:154415 --enddatetime 2016-10-01T10:28:13 --enforcementcount 0 &gt;&gt;C:\Users\stu\Documents\GitHub\eaglep3-reporting\EC\2016-10-01-refined-times.txt</v>
      </c>
      <c r="AI67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issue","project_id":79,"tracker_id":40,"status_id":1,"priority_id":2,"assigned_to_id":23,"start_date":"2016-10-01","description":"","custom_fields":[{"id":1,"name":"Subdivision","value":"EC"},{"id":4,"name":"Milepost","value":"15.4415"},{"id":17,"name":"Train ID","value":"151-01"},{"id":16,"name":"Locomotive ID","value":"4014"},{"id":130,"name":"Impact","value":""},{"id":150,"name":"Time of Event (Mountain Time)","value":"10:28:13"},{"id":151,"name":"Denver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495</v>
      </c>
      <c r="B68" s="7">
        <v>4013</v>
      </c>
      <c r="C68" s="24" t="s">
        <v>106</v>
      </c>
      <c r="D68" s="24" t="s">
        <v>496</v>
      </c>
      <c r="E68" s="15">
        <v>42644.451481481483</v>
      </c>
      <c r="F68" s="15">
        <v>42644.452685185184</v>
      </c>
      <c r="G68" s="7">
        <v>1</v>
      </c>
      <c r="H68" s="15" t="s">
        <v>497</v>
      </c>
      <c r="I68" s="15">
        <v>42644.46297453704</v>
      </c>
      <c r="J68" s="7">
        <v>0</v>
      </c>
      <c r="K68" s="117" t="str">
        <f t="shared" si="0"/>
        <v>4013/4014</v>
      </c>
      <c r="L68" s="24" t="str">
        <f>VLOOKUP(A68,'Trips&amp;Operators'!$C$1:$E$10000,3,FALSE)</f>
        <v>KILLION</v>
      </c>
      <c r="M68" s="6">
        <f t="shared" si="1"/>
        <v>1.0289351856044959E-2</v>
      </c>
      <c r="N68" s="7"/>
      <c r="O68" s="7"/>
      <c r="P68" s="7">
        <f>24*60*SUM($M68:$M69)</f>
        <v>54.083333340240642</v>
      </c>
      <c r="Q68" s="25"/>
      <c r="R68" s="25" t="s">
        <v>746</v>
      </c>
      <c r="S68" s="37">
        <f>SUM(U68:U69)/IF(AG68="EC",12,1)</f>
        <v>0.83333333333333337</v>
      </c>
      <c r="T68" s="52" t="str">
        <f t="shared" si="4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09:50:08-0600',mode:absolute,to:'2016-10-01 12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8" s="54" t="str">
        <f t="shared" si="6"/>
        <v>Y</v>
      </c>
      <c r="X68" s="164">
        <f t="shared" si="21"/>
        <v>1</v>
      </c>
      <c r="Y68" s="69">
        <f t="shared" si="8"/>
        <v>23.2972</v>
      </c>
      <c r="Z68" s="69">
        <f t="shared" si="9"/>
        <v>15.8992</v>
      </c>
      <c r="AA68" s="69">
        <f t="shared" si="10"/>
        <v>7.3979999999999997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0152-01</v>
      </c>
      <c r="AE68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68" s="92" t="str">
        <f t="shared" si="13"/>
        <v>"C:\Program Files (x86)\AstroGrep\AstroGrep.exe" /spath="%USERPROFILE%\AppData\Local\Temp\OnboardLogs" /stypes="app*4013*20161001*"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6" t="str">
        <f t="shared" si="17"/>
        <v>"%USERPROFILE%\Documents\GitHub\eaglep3\Utilities\RefineRTDCRunTimes.py" --tripid 152-01 --locoid 4013 --swversion DE.1.0.7.0 --startMP 204:232972 --initTime 2016-10-01T10:50:08 --startdatetime 2016-10-01T10:51:52 --delay 1 --endMP 204:158992 --enddatetime 2016-10-01T11:06:41 --enforcementcount 0 &gt;&gt;C:\Users\stu\Documents\GitHub\eaglep3-reporting\EC\2016-10-01-refined-times.txt</v>
      </c>
      <c r="AI68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issue","project_id":79,"tracker_id":40,"status_id":1,"priority_id":2,"assigned_to_id":23,"start_date":"2016-10-01","description":"","custom_fields":[{"id":1,"name":"Subdivision","value":"EC"},{"id":4,"name":"Milepost","value":"15.8992"},{"id":17,"name":"Train ID","value":"152-01"},{"id":16,"name":"Locomotive ID","value":"4013"},{"id":130,"name":"Impact","value":""},{"id":150,"name":"Time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495</v>
      </c>
      <c r="B69" s="7">
        <v>4013</v>
      </c>
      <c r="C69" s="24" t="s">
        <v>106</v>
      </c>
      <c r="D69" s="24" t="s">
        <v>498</v>
      </c>
      <c r="E69" s="15">
        <v>42644.467210648145</v>
      </c>
      <c r="F69" s="15">
        <v>42644.528703703705</v>
      </c>
      <c r="G69" s="7">
        <v>4</v>
      </c>
      <c r="H69" s="15" t="s">
        <v>200</v>
      </c>
      <c r="I69" s="15">
        <v>42644.555972222224</v>
      </c>
      <c r="J69" s="7">
        <v>0</v>
      </c>
      <c r="K69" s="117" t="str">
        <f t="shared" si="0"/>
        <v>4013/4014</v>
      </c>
      <c r="L69" s="24" t="str">
        <f>VLOOKUP(A69,'Trips&amp;Operators'!$C$1:$E$10000,3,FALSE)</f>
        <v>KILLION</v>
      </c>
      <c r="M69" s="6">
        <f t="shared" si="1"/>
        <v>2.7268518519122154E-2</v>
      </c>
      <c r="N69" s="7"/>
      <c r="O69" s="7"/>
      <c r="P69" s="7"/>
      <c r="Q69" s="25"/>
      <c r="R69" s="25"/>
      <c r="S69" s="37"/>
      <c r="T69" s="52" t="str">
        <f t="shared" si="4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10</v>
      </c>
      <c r="V6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10:12:47-0600',mode:absolute,to:'2016-10-01 14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9" s="54" t="str">
        <f t="shared" si="6"/>
        <v>Y</v>
      </c>
      <c r="X69" s="164">
        <f t="shared" si="21"/>
        <v>0</v>
      </c>
      <c r="Y69" s="69">
        <f t="shared" si="8"/>
        <v>8.6358999999999995</v>
      </c>
      <c r="Z69" s="69">
        <f t="shared" si="9"/>
        <v>1.6E-2</v>
      </c>
      <c r="AA69" s="69">
        <f t="shared" si="10"/>
        <v>8.6198999999999995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0152-01</v>
      </c>
      <c r="AE69" s="95" t="str">
        <f t="shared" si="1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69" s="92" t="str">
        <f t="shared" si="13"/>
        <v>"C:\Program Files (x86)\AstroGrep\AstroGrep.exe" /spath="%USERPROFILE%\AppData\Local\Temp\OnboardLogs" /stypes="app*4013*20161001*" /stext=" 19:.+((SYSTEM_STATE.+slice.+state.+changed )|(ment ac)|(system.+state.+changed )|(\[timeout)|(PRM\|1\|D)|(kpr)|(kdp)|(\|lc)|(penalty))" /e /r /s</v>
      </c>
      <c r="AG69" s="1" t="str">
        <f t="shared" si="14"/>
        <v>EC</v>
      </c>
      <c r="AH69" s="96" t="str">
        <f t="shared" si="17"/>
        <v>"%USERPROFILE%\Documents\GitHub\eaglep3\Utilities\RefineRTDCRunTimes.py" --tripid 152-01 --locoid 4013 --swversion DE.1.0.7.0 --startMP 204:86359 --initTime 2016-10-01T11:12:47 --startdatetime 2016-10-01T12:41:20 --delay 4 --endMP 204:160 --enddatetime 2016-10-01T13:20:36 --enforcementcount 0 &gt;&gt;C:\Users\stu\Documents\GitHub\eaglep3-reporting\EC\2016-10-01-refined-times.txt</v>
      </c>
      <c r="AI69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{"issue":{"subject":"","project_id":79,"tracker_id":40,"status_id":1,"priority_id":2,"assigned_to_id":23,"start_date":"2016-10-01","description":"","custom_fields":[{"id":1,"name":"Subdivision","value":"EC"},{"id":4,"name":"Milepost","value":"0.016"},{"id":17,"name":"Train ID","value":"152-01"},{"id":16,"name":"Locomotive ID","value":"4013"},{"id":130,"name":"Impact","value":""},{"id":150,"name":"Time of Event (Mountain Time)","value":"13:20:36"},{"id":151,"name":"Denver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499</v>
      </c>
      <c r="B70" s="7">
        <v>4040</v>
      </c>
      <c r="C70" s="24" t="s">
        <v>106</v>
      </c>
      <c r="D70" s="24" t="s">
        <v>489</v>
      </c>
      <c r="E70" s="15">
        <v>42644.42359953704</v>
      </c>
      <c r="F70" s="15">
        <v>42644.42459490741</v>
      </c>
      <c r="G70" s="7">
        <v>1</v>
      </c>
      <c r="H70" s="15" t="s">
        <v>500</v>
      </c>
      <c r="I70" s="15">
        <v>42644.4453125</v>
      </c>
      <c r="J70" s="7">
        <v>0</v>
      </c>
      <c r="K70" s="117" t="str">
        <f t="shared" si="0"/>
        <v>4039/4040</v>
      </c>
      <c r="L70" s="24" t="str">
        <f>VLOOKUP(A70,'Trips&amp;Operators'!$C$1:$E$10000,3,FALSE)</f>
        <v>GEBRETEKLE</v>
      </c>
      <c r="M70" s="6">
        <f t="shared" si="1"/>
        <v>2.0717592589790002E-2</v>
      </c>
      <c r="N70" s="7"/>
      <c r="O70" s="7"/>
      <c r="P70" s="7">
        <f>24*60*SUM($M70:$M70)</f>
        <v>29.833333329297602</v>
      </c>
      <c r="Q70" s="25"/>
      <c r="R70" s="25" t="s">
        <v>746</v>
      </c>
      <c r="S70" s="37">
        <f>SUM(U70:U70)/IF(AG70="EC",12,1)</f>
        <v>1</v>
      </c>
      <c r="T70" s="52" t="str">
        <f t="shared" si="4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09:09:59-0600',mode:absolute,to:'2016-10-01 11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0" s="54" t="str">
        <f t="shared" si="6"/>
        <v>Y</v>
      </c>
      <c r="X70" s="164">
        <f t="shared" si="21"/>
        <v>1</v>
      </c>
      <c r="Y70" s="69">
        <f t="shared" si="8"/>
        <v>4.7500000000000001E-2</v>
      </c>
      <c r="Z70" s="69">
        <f t="shared" si="9"/>
        <v>15.4451</v>
      </c>
      <c r="AA70" s="69">
        <f t="shared" si="10"/>
        <v>15.397600000000001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0153-01</v>
      </c>
      <c r="AE70" s="95" t="str">
        <f t="shared" si="12"/>
        <v>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 &amp; aws s3 cp s3://rtdc.mdm.uploadarchive.raw/RTDC4040/ "%USERPROFILE%\AppData\Local\Temp\OnboardLogs"\RTDC4040\2016-10-02 --exclude "*" --recursive --include "*20161002*" &amp; "%USERPROFILE%\Documents\GitHub\mrs-test-scripts\Headless Mode &amp; Sideloading\WalkAndUnGZ.bat" "%USERPROFILE%\AppData\Local\Temp\OnboardLogs"\RTDC4040\2016-10-02</v>
      </c>
      <c r="AF70" s="92" t="str">
        <f t="shared" si="13"/>
        <v>"C:\Program Files (x86)\AstroGrep\AstroGrep.exe" /spath="%USERPROFILE%\AppData\Local\Temp\OnboardLogs" /stypes="app*4040*20161001*" /stext=" 16:.+((SYSTEM_STATE.+slice.+state.+changed )|(ment ac)|(system.+state.+changed )|(\[timeout)|(PRM\|1\|D)|(kpr)|(kdp)|(\|lc)|(penalty))" /e /r /s</v>
      </c>
      <c r="AG70" s="1" t="str">
        <f t="shared" si="14"/>
        <v>EC</v>
      </c>
      <c r="AH70" s="96" t="str">
        <f t="shared" si="17"/>
        <v>"%USERPROFILE%\Documents\GitHub\eaglep3\Utilities\RefineRTDCRunTimes.py" --tripid 153-01 --locoid 4040 --swversion DE.1.0.7.0 --startMP 204:475 --initTime 2016-10-01T10:09:59 --startdatetime 2016-10-01T10:11:25 --delay 1 --endMP 204:154451 --enddatetime 2016-10-01T10:41:15 --enforcementcount 0 &gt;&gt;C:\Users\stu\Documents\GitHub\eaglep3-reporting\EC\2016-10-01-refined-times.txt</v>
      </c>
      <c r="AI70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issue","project_id":79,"tracker_id":40,"status_id":1,"priority_id":2,"assigned_to_id":23,"start_date":"2016-10-01","description":"","custom_fields":[{"id":1,"name":"Subdivision","value":"EC"},{"id":4,"name":"Milepost","value":"15.4451"},{"id":17,"name":"Train ID","value":"153-01"},{"id":16,"name":"Locomotive ID","value":"4040"},{"id":130,"name":"Impact","value":""},{"id":150,"name":"Time of Event (Mountain Time)","value":"10:41:15"},{"id":151,"name":"Denver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501</v>
      </c>
      <c r="B71" s="7">
        <v>4039</v>
      </c>
      <c r="C71" s="24" t="s">
        <v>106</v>
      </c>
      <c r="D71" s="24" t="s">
        <v>486</v>
      </c>
      <c r="E71" s="15">
        <v>42644.485659722224</v>
      </c>
      <c r="F71" s="15">
        <v>42644.486238425925</v>
      </c>
      <c r="G71" s="7">
        <v>0</v>
      </c>
      <c r="H71" s="15" t="s">
        <v>205</v>
      </c>
      <c r="I71" s="15">
        <v>42644.503865740742</v>
      </c>
      <c r="J71" s="7">
        <v>0</v>
      </c>
      <c r="K71" s="117" t="str">
        <f t="shared" si="0"/>
        <v>4039/4040</v>
      </c>
      <c r="L71" s="24" t="str">
        <f>VLOOKUP(A71,'Trips&amp;Operators'!$C$1:$E$10000,3,FALSE)</f>
        <v>GEBRETEKLE</v>
      </c>
      <c r="M71" s="6">
        <f t="shared" si="1"/>
        <v>1.7627314817218576E-2</v>
      </c>
      <c r="N71" s="7"/>
      <c r="O71" s="7"/>
      <c r="P71" s="7">
        <f>24*60*SUM($M71:$M72)</f>
        <v>55.016666671726853</v>
      </c>
      <c r="Q71" s="25"/>
      <c r="R71" s="25" t="s">
        <v>746</v>
      </c>
      <c r="S71" s="37">
        <f>SUM(U71:U72)/IF(AG71="EC",12,1)</f>
        <v>1</v>
      </c>
      <c r="T71" s="52" t="str">
        <f t="shared" si="4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10:39:21-0600',mode:absolute,to:'2016-10-01 13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1" s="54" t="str">
        <f t="shared" si="6"/>
        <v>Y</v>
      </c>
      <c r="X71" s="164">
        <f t="shared" si="21"/>
        <v>1</v>
      </c>
      <c r="Y71" s="69">
        <f t="shared" si="8"/>
        <v>12.785399999999999</v>
      </c>
      <c r="Z71" s="69">
        <f t="shared" si="9"/>
        <v>1.4999999999999999E-2</v>
      </c>
      <c r="AA71" s="69">
        <f t="shared" si="10"/>
        <v>12.770399999999999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0154-01</v>
      </c>
      <c r="AE71" s="95" t="str">
        <f t="shared" si="12"/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AF71" s="92" t="str">
        <f t="shared" si="13"/>
        <v>"C:\Program Files (x86)\AstroGrep\AstroGrep.exe" /spath="%USERPROFILE%\AppData\Local\Temp\OnboardLogs" /stypes="app*4039*20161001*"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6" t="str">
        <f t="shared" si="17"/>
        <v>"%USERPROFILE%\Documents\GitHub\eaglep3\Utilities\RefineRTDCRunTimes.py" --tripid 154-01 --locoid 4039 --swversion DE.1.0.7.0 --startMP 204:127854 --initTime 2016-10-01T11:39:21 --startdatetime 2016-10-01T11:40:11 --delay 0 --endMP 204:150 --enddatetime 2016-10-01T12:05:34 --enforcementcount 0 &gt;&gt;C:\Users\stu\Documents\GitHub\eaglep3-reporting\EC\2016-10-01-refined-times.txt</v>
      </c>
      <c r="AI71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issue","project_id":79,"tracker_id":40,"status_id":1,"priority_id":2,"assigned_to_id":23,"start_date":"2016-10-01","description":"","custom_fields":[{"id":1,"name":"Subdivision","value":"EC"},{"id":4,"name":"Milepost","value":"0.015"},{"id":17,"name":"Train ID","value":"154-01"},{"id":16,"name":"Locomotive ID","value":"4039"},{"id":130,"name":"Impact","value":""},{"id":150,"name":"Time of Event (Mountain Time)","value":"12:05:34"},{"id":151,"name":"Denver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501</v>
      </c>
      <c r="B72" s="7">
        <v>4039</v>
      </c>
      <c r="C72" s="24" t="s">
        <v>106</v>
      </c>
      <c r="D72" s="24" t="s">
        <v>281</v>
      </c>
      <c r="E72" s="15">
        <v>42644.459675925929</v>
      </c>
      <c r="F72" s="15">
        <v>42644.461284722223</v>
      </c>
      <c r="G72" s="7">
        <v>2</v>
      </c>
      <c r="H72" s="15" t="s">
        <v>502</v>
      </c>
      <c r="I72" s="15">
        <v>42644.481863425928</v>
      </c>
      <c r="J72" s="7">
        <v>0</v>
      </c>
      <c r="K72" s="117" t="str">
        <f t="shared" si="0"/>
        <v>4039/4040</v>
      </c>
      <c r="L72" s="24" t="str">
        <f>VLOOKUP(A72,'Trips&amp;Operators'!$C$1:$E$10000,3,FALSE)</f>
        <v>GEBRETEKLE</v>
      </c>
      <c r="M72" s="6">
        <f t="shared" si="1"/>
        <v>2.0578703704813961E-2</v>
      </c>
      <c r="N72" s="7"/>
      <c r="O72" s="7"/>
      <c r="P72" s="7"/>
      <c r="Q72" s="25"/>
      <c r="R72" s="25"/>
      <c r="S72" s="37"/>
      <c r="T72" s="52" t="str">
        <f t="shared" si="4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10:01:56-0600',mode:absolute,to:'2016-10-01 12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2" s="54" t="str">
        <f t="shared" si="6"/>
        <v>Y</v>
      </c>
      <c r="X72" s="164">
        <f t="shared" si="21"/>
        <v>0</v>
      </c>
      <c r="Y72" s="69">
        <f t="shared" si="8"/>
        <v>23.298200000000001</v>
      </c>
      <c r="Z72" s="69">
        <f t="shared" si="9"/>
        <v>16.052800000000001</v>
      </c>
      <c r="AA72" s="69">
        <f t="shared" si="10"/>
        <v>7.2454000000000001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0154-01</v>
      </c>
      <c r="AE72" s="95" t="str">
        <f t="shared" si="12"/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AF72" s="92" t="str">
        <f t="shared" si="13"/>
        <v>"C:\Program Files (x86)\AstroGrep\AstroGrep.exe" /spath="%USERPROFILE%\AppData\Local\Temp\OnboardLogs" /stypes="app*4039*20161001*"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6" t="str">
        <f t="shared" si="17"/>
        <v>"%USERPROFILE%\Documents\GitHub\eaglep3\Utilities\RefineRTDCRunTimes.py" --tripid 154-01 --locoid 4039 --swversion DE.1.0.7.0 --startMP 204:232982 --initTime 2016-10-01T11:01:56 --startdatetime 2016-10-01T11:04:15 --delay 2 --endMP 204:160528 --enddatetime 2016-10-01T11:33:53 --enforcementcount 0 &gt;&gt;C:\Users\stu\Documents\GitHub\eaglep3-reporting\EC\2016-10-01-refined-times.txt</v>
      </c>
      <c r="AI72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{"issue":{"subject":"","project_id":79,"tracker_id":40,"status_id":1,"priority_id":2,"assigned_to_id":23,"start_date":"2016-10-01","description":"","custom_fields":[{"id":1,"name":"Subdivision","value":"EC"},{"id":4,"name":"Milepost","value":"16.0528"},{"id":17,"name":"Train ID","value":"154-01"},{"id":16,"name":"Locomotive ID","value":"4039"},{"id":130,"name":"Impact","value":""},{"id":150,"name":"Time of Event (Mountain Time)","value":"11:33:53"},{"id":151,"name":"Denver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503</v>
      </c>
      <c r="B73" s="7">
        <v>4003</v>
      </c>
      <c r="C73" s="24" t="s">
        <v>106</v>
      </c>
      <c r="D73" s="24" t="s">
        <v>242</v>
      </c>
      <c r="E73" s="15">
        <v>42644.432604166665</v>
      </c>
      <c r="F73" s="15">
        <v>42644.43372685185</v>
      </c>
      <c r="G73" s="7">
        <v>1</v>
      </c>
      <c r="H73" s="15" t="s">
        <v>504</v>
      </c>
      <c r="I73" s="15">
        <v>42644.456643518519</v>
      </c>
      <c r="J73" s="7">
        <v>0</v>
      </c>
      <c r="K73" s="117" t="str">
        <f t="shared" si="0"/>
        <v>4003/4004</v>
      </c>
      <c r="L73" s="24" t="str">
        <f>VLOOKUP(A73,'Trips&amp;Operators'!$C$1:$E$10000,3,FALSE)</f>
        <v>CLARK</v>
      </c>
      <c r="M73" s="6">
        <f t="shared" si="1"/>
        <v>2.2916666668606922E-2</v>
      </c>
      <c r="N73" s="7"/>
      <c r="O73" s="7"/>
      <c r="P73" s="7">
        <f>24*60*SUM($M73:$M73)</f>
        <v>33.000000002793968</v>
      </c>
      <c r="Q73" s="25"/>
      <c r="R73" s="25" t="s">
        <v>746</v>
      </c>
      <c r="S73" s="37">
        <f>SUM(U73:U73)/IF(AG73="EC",12,1)</f>
        <v>1</v>
      </c>
      <c r="T73" s="52" t="str">
        <f t="shared" si="4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09:22:57-0600',mode:absolute,to:'2016-10-01 11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3" s="54" t="str">
        <f t="shared" si="6"/>
        <v>Y</v>
      </c>
      <c r="X73" s="164">
        <f t="shared" si="21"/>
        <v>1</v>
      </c>
      <c r="Y73" s="69">
        <f t="shared" si="8"/>
        <v>4.3799999999999999E-2</v>
      </c>
      <c r="Z73" s="69">
        <f t="shared" si="9"/>
        <v>15.44</v>
      </c>
      <c r="AA73" s="69">
        <f t="shared" si="10"/>
        <v>15.3962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0155-01</v>
      </c>
      <c r="AE73" s="95" t="str">
        <f t="shared" si="1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73" s="92" t="str">
        <f t="shared" si="13"/>
        <v>"C:\Program Files (x86)\AstroGrep\AstroGrep.exe" /spath="%USERPROFILE%\AppData\Local\Temp\OnboardLogs" /stypes="app*4003*20161001*" /stext=" 16:.+((SYSTEM_STATE.+slice.+state.+changed )|(ment ac)|(system.+state.+changed )|(\[timeout)|(PRM\|1\|D)|(kpr)|(kdp)|(\|lc)|(penalty))" /e /r /s</v>
      </c>
      <c r="AG73" s="1" t="str">
        <f t="shared" si="14"/>
        <v>EC</v>
      </c>
      <c r="AH73" s="96" t="str">
        <f t="shared" si="17"/>
        <v>"%USERPROFILE%\Documents\GitHub\eaglep3\Utilities\RefineRTDCRunTimes.py" --tripid 155-01 --locoid 4003 --swversion DE.1.0.7.0 --startMP 204:438 --initTime 2016-10-01T10:22:57 --startdatetime 2016-10-01T10:24:34 --delay 1 --endMP 204:154400 --enddatetime 2016-10-01T10:57:34 --enforcementcount 0 &gt;&gt;C:\Users\stu\Documents\GitHub\eaglep3-reporting\EC\2016-10-01-refined-times.txt</v>
      </c>
      <c r="AI73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issue","project_id":79,"tracker_id":40,"status_id":1,"priority_id":2,"assigned_to_id":23,"start_date":"2016-10-01","description":"","custom_fields":[{"id":1,"name":"Subdivision","value":"EC"},{"id":4,"name":"Milepost","value":"15.44"},{"id":17,"name":"Train ID","value":"155-01"},{"id":16,"name":"Locomotive ID","value":"4003"},{"id":130,"name":"Impact","value":""},{"id":150,"name":"Time of Event (Mountain Time)","value":"10:57:34"},{"id":151,"name":"Denver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505</v>
      </c>
      <c r="B74" s="7">
        <v>4004</v>
      </c>
      <c r="C74" s="24" t="s">
        <v>106</v>
      </c>
      <c r="D74" s="24" t="s">
        <v>496</v>
      </c>
      <c r="E74" s="15">
        <v>42644.471909722219</v>
      </c>
      <c r="F74" s="15">
        <v>42644.472962962966</v>
      </c>
      <c r="G74" s="7">
        <v>1</v>
      </c>
      <c r="H74" s="15" t="s">
        <v>506</v>
      </c>
      <c r="I74" s="15">
        <v>42644.483993055554</v>
      </c>
      <c r="J74" s="7">
        <v>0</v>
      </c>
      <c r="K74" s="117" t="str">
        <f t="shared" si="0"/>
        <v>4003/4004</v>
      </c>
      <c r="L74" s="24" t="str">
        <f>VLOOKUP(A74,'Trips&amp;Operators'!$C$1:$E$10000,3,FALSE)</f>
        <v>CLARK</v>
      </c>
      <c r="M74" s="6">
        <f t="shared" si="1"/>
        <v>1.1030092588043772E-2</v>
      </c>
      <c r="N74" s="7"/>
      <c r="O74" s="7"/>
      <c r="P74" s="7">
        <f>24*60*SUM($M74:$M76)</f>
        <v>33.149999995948747</v>
      </c>
      <c r="Q74" s="25"/>
      <c r="R74" s="25" t="s">
        <v>746</v>
      </c>
      <c r="S74" s="37">
        <f>SUM(U74:U76)/IF(AG74="EC",12,1)</f>
        <v>0.75</v>
      </c>
      <c r="T74" s="52" t="str">
        <f t="shared" si="4"/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10:19:33-0600',mode:absolute,to:'2016-10-01 12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4" s="54" t="str">
        <f t="shared" si="6"/>
        <v>Y</v>
      </c>
      <c r="X74" s="164">
        <f t="shared" si="21"/>
        <v>1</v>
      </c>
      <c r="Y74" s="69">
        <f t="shared" si="8"/>
        <v>23.2972</v>
      </c>
      <c r="Z74" s="69">
        <f t="shared" si="9"/>
        <v>19.284199999999998</v>
      </c>
      <c r="AA74" s="69">
        <f t="shared" si="10"/>
        <v>4.0130000000000017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0156-01</v>
      </c>
      <c r="AE74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74" s="92" t="str">
        <f t="shared" si="13"/>
        <v>"C:\Program Files (x86)\AstroGrep\AstroGrep.exe" /spath="%USERPROFILE%\AppData\Local\Temp\OnboardLogs" /stypes="app*4004*20161001*"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6" t="str">
        <f t="shared" si="17"/>
        <v>"%USERPROFILE%\Documents\GitHub\eaglep3\Utilities\RefineRTDCRunTimes.py" --tripid 156-01 --locoid 4004 --swversion DE.1.0.7.0 --startMP 204:232972 --initTime 2016-10-01T11:19:33 --startdatetime 2016-10-01T11:21:04 --delay 1 --endMP 204:192842 --enddatetime 2016-10-01T11:36:57 --enforcementcount 0 &gt;&gt;C:\Users\stu\Documents\GitHub\eaglep3-reporting\EC\2016-10-01-refined-times.txt</v>
      </c>
      <c r="AI74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issue","project_id":79,"tracker_id":40,"status_id":1,"priority_id":2,"assigned_to_id":23,"start_date":"2016-10-01","description":"","custom_fields":[{"id":1,"name":"Subdivision","value":"EC"},{"id":4,"name":"Milepost","value":"19.2842"},{"id":17,"name":"Train ID","value":"156-01"},{"id":16,"name":"Locomotive ID","value":"4004"},{"id":130,"name":"Impact","value":""},{"id":150,"name":"Time of Event (Mountain Time)","value":"11:36:57"},{"id":151,"name":"Denver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505</v>
      </c>
      <c r="B75" s="7">
        <v>4004</v>
      </c>
      <c r="C75" s="24" t="s">
        <v>106</v>
      </c>
      <c r="D75" s="24" t="s">
        <v>507</v>
      </c>
      <c r="E75" s="15">
        <v>42644.500717592593</v>
      </c>
      <c r="F75" s="15">
        <v>42644.501585648148</v>
      </c>
      <c r="G75" s="7">
        <v>1</v>
      </c>
      <c r="H75" s="15" t="s">
        <v>207</v>
      </c>
      <c r="I75" s="15">
        <v>42644.512349537035</v>
      </c>
      <c r="J75" s="7">
        <v>0</v>
      </c>
      <c r="K75" s="117" t="str">
        <f t="shared" si="0"/>
        <v>4003/4004</v>
      </c>
      <c r="L75" s="24" t="str">
        <f>VLOOKUP(A75,'Trips&amp;Operators'!$C$1:$E$10000,3,FALSE)</f>
        <v>CLARK</v>
      </c>
      <c r="M75" s="6">
        <f t="shared" si="1"/>
        <v>1.0763888887595385E-2</v>
      </c>
      <c r="N75" s="7"/>
      <c r="O75" s="7"/>
      <c r="P75" s="7"/>
      <c r="Q75" s="25"/>
      <c r="R75" s="25"/>
      <c r="S75" s="37"/>
      <c r="T75" s="52" t="str">
        <f t="shared" si="4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9</v>
      </c>
      <c r="V7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11:01:02-0600',mode:absolute,to:'2016-10-01 13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5" s="54" t="str">
        <f t="shared" si="6"/>
        <v>Y</v>
      </c>
      <c r="X75" s="164">
        <f t="shared" si="21"/>
        <v>0</v>
      </c>
      <c r="Y75" s="69">
        <f t="shared" si="8"/>
        <v>6.4185999999999996</v>
      </c>
      <c r="Z75" s="69">
        <f t="shared" si="9"/>
        <v>1.52E-2</v>
      </c>
      <c r="AA75" s="69">
        <f t="shared" si="10"/>
        <v>6.4033999999999995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0156-01</v>
      </c>
      <c r="AE75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75" s="92" t="str">
        <f t="shared" si="13"/>
        <v>"C:\Program Files (x86)\AstroGrep\AstroGrep.exe" /spath="%USERPROFILE%\AppData\Local\Temp\OnboardLogs" /stypes="app*4004*20161001*"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6" t="str">
        <f t="shared" si="17"/>
        <v>"%USERPROFILE%\Documents\GitHub\eaglep3\Utilities\RefineRTDCRunTimes.py" --tripid 156-01 --locoid 4004 --swversion DE.1.0.7.0 --startMP 204:64186 --initTime 2016-10-01T12:01:02 --startdatetime 2016-10-01T12:02:17 --delay 1 --endMP 204:152 --enddatetime 2016-10-01T12:17:47 --enforcementcount 0 &gt;&gt;C:\Users\stu\Documents\GitHub\eaglep3-reporting\EC\2016-10-01-refined-times.txt</v>
      </c>
      <c r="AI75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{"issue":{"subject":"","project_id":79,"tracker_id":40,"status_id":1,"priority_id":2,"assigned_to_id":23,"start_date":"2016-10-01","description":"","custom_fields":[{"id":1,"name":"Subdivision","value":"EC"},{"id":4,"name":"Milepost","value":"0.0152"},{"id":17,"name":"Train ID","value":"156-01"},{"id":16,"name":"Locomotive ID","value":"4004"},{"id":130,"name":"Impact","value":""},{"id":150,"name":"Time of Event (Mountain Time)","value":"12:17:47"},{"id":151,"name":"Denver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505</v>
      </c>
      <c r="B76" s="7">
        <v>4004</v>
      </c>
      <c r="C76" s="24" t="s">
        <v>106</v>
      </c>
      <c r="D76" s="24" t="s">
        <v>508</v>
      </c>
      <c r="E76" s="15">
        <v>42644.496574074074</v>
      </c>
      <c r="F76" s="15">
        <v>42644.497465277775</v>
      </c>
      <c r="G76" s="7">
        <v>1</v>
      </c>
      <c r="H76" s="15" t="s">
        <v>509</v>
      </c>
      <c r="I76" s="15">
        <v>42644.498692129629</v>
      </c>
      <c r="J76" s="7">
        <v>0</v>
      </c>
      <c r="K76" s="117" t="str">
        <f t="shared" si="0"/>
        <v>4003/4004</v>
      </c>
      <c r="L76" s="24" t="str">
        <f>VLOOKUP(A76,'Trips&amp;Operators'!$C$1:$E$10000,3,FALSE)</f>
        <v>CLARK</v>
      </c>
      <c r="M76" s="6">
        <f t="shared" si="1"/>
        <v>1.2268518548808061E-3</v>
      </c>
      <c r="N76" s="7"/>
      <c r="O76" s="7"/>
      <c r="P76" s="7"/>
      <c r="Q76" s="25"/>
      <c r="R76" s="25"/>
      <c r="S76" s="37"/>
      <c r="T76" s="52" t="str">
        <f t="shared" si="4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https://search-rtdc-monitor-bjffxe2xuh6vdkpspy63sjmuny.us-east-1.es.amazonaws.com/_plugin/kibana/#/discover/Steve-Slow-Train-Analysis-(2080s-and-2083s)?_g=(refreshInterval:(display:Off,section:0,value:0),time:(from:'2016-10-01 10:55:04-0600',mode:absolute,to:'2016-10-01 12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6" s="54" t="str">
        <f t="shared" si="6"/>
        <v>Y</v>
      </c>
      <c r="X76" s="164">
        <f t="shared" si="21"/>
        <v>0</v>
      </c>
      <c r="Y76" s="69">
        <f t="shared" si="8"/>
        <v>8.6354000000000006</v>
      </c>
      <c r="Z76" s="69">
        <f t="shared" si="9"/>
        <v>8.5469000000000008</v>
      </c>
      <c r="AA76" s="69">
        <f t="shared" si="10"/>
        <v>8.8499999999999801E-2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0156-01</v>
      </c>
      <c r="AE76" s="95" t="str">
        <f t="shared" si="1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76" s="92" t="str">
        <f t="shared" si="13"/>
        <v>"C:\Program Files (x86)\AstroGrep\AstroGrep.exe" /spath="%USERPROFILE%\AppData\Local\Temp\OnboardLogs" /stypes="app*4004*20161001*" /stext=" 17:.+((SYSTEM_STATE.+slice.+state.+changed )|(ment ac)|(system.+state.+changed )|(\[timeout)|(PRM\|1\|D)|(kpr)|(kdp)|(\|lc)|(penalty))" /e /r /s</v>
      </c>
      <c r="AG76" s="1" t="str">
        <f t="shared" si="14"/>
        <v>EC</v>
      </c>
      <c r="AH76" s="96" t="str">
        <f t="shared" si="17"/>
        <v>"%USERPROFILE%\Documents\GitHub\eaglep3\Utilities\RefineRTDCRunTimes.py" --tripid 156-01 --locoid 4004 --swversion DE.1.0.7.0 --startMP 204:86354 --initTime 2016-10-01T11:55:04 --startdatetime 2016-10-01T11:56:21 --delay 1 --endMP 204:85469 --enddatetime 2016-10-01T11:58:07 --enforcementcount 0 &gt;&gt;C:\Users\stu\Documents\GitHub\eaglep3-reporting\EC\2016-10-01-refined-times.txt</v>
      </c>
      <c r="AI76" s="130" t="str">
        <f t="shared" si="18"/>
        <v>echo {"issue":{"subject":"","project_id":79,"tracker_id":40,"status_id":1,"priority_id":2,"assigned_to_id":23,"start_date":"2016-10-01","description":"","custom_fields":[{"id":1,"name":"Subdivision","value":"EC"},{"id":4,"name":"Milepost","value":"8.5469"},{"id":17,"name":"Train ID","value":"156-01"},{"id":16,"name":"Locomotive ID","value":"4004"},{"id":130,"name":"Impact","value":""},{"id":150,"name":"Time of Event (Mountain Time)","value":"11:58:07"},{"id":151,"name":"Denver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510</v>
      </c>
      <c r="B77" s="7">
        <v>4011</v>
      </c>
      <c r="C77" s="24" t="s">
        <v>106</v>
      </c>
      <c r="D77" s="24" t="s">
        <v>204</v>
      </c>
      <c r="E77" s="15">
        <v>42644.442025462966</v>
      </c>
      <c r="F77" s="15">
        <v>42644.443032407406</v>
      </c>
      <c r="G77" s="7">
        <v>1</v>
      </c>
      <c r="H77" s="15" t="s">
        <v>511</v>
      </c>
      <c r="I77" s="15">
        <v>42644.46638888889</v>
      </c>
      <c r="J77" s="7">
        <v>0</v>
      </c>
      <c r="K77" s="117" t="str">
        <f t="shared" ref="K77:K140" si="22">IF(ISEVEN(B77),(B77-1)&amp;"/"&amp;B77,B77&amp;"/"&amp;(B77+1))</f>
        <v>4011/4012</v>
      </c>
      <c r="L77" s="24" t="str">
        <f>VLOOKUP(A77,'Trips&amp;Operators'!$C$1:$E$10000,3,FALSE)</f>
        <v>STAMBAUGH</v>
      </c>
      <c r="M77" s="6">
        <f t="shared" ref="M77:M140" si="23">I77-F77</f>
        <v>2.3356481484370306E-2</v>
      </c>
      <c r="N77" s="7"/>
      <c r="O77" s="7"/>
      <c r="P77" s="7">
        <f>24*60*SUM($M77:$M77)</f>
        <v>33.633333337493241</v>
      </c>
      <c r="Q77" s="25"/>
      <c r="R77" s="25" t="s">
        <v>746</v>
      </c>
      <c r="S77" s="37">
        <f>SUM(U77:U77)/IF(AG77="EC",12,1)</f>
        <v>1</v>
      </c>
      <c r="T77" s="52" t="str">
        <f t="shared" ref="T77:T140" si="24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https://search-rtdc-monitor-bjffxe2xuh6vdkpspy63sjmuny.us-east-1.es.amazonaws.com/_plugin/kibana/#/discover/Steve-Slow-Train-Analysis-(2080s-and-2083s)?_g=(refreshInterval:(display:Off,section:0,value:0),time:(from:'2016-10-01 09:36:31-0600',mode:absolute,to:'2016-10-01 12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7" s="54" t="str">
        <f t="shared" ref="W77:W140" si="26">IF(AA77&lt;IF(AG77="EC",23,5.65),"Y","N")</f>
        <v>Y</v>
      </c>
      <c r="X77" s="164">
        <f t="shared" ref="X77:X108" si="27">VALUE(LEFT(AD77,4))-VALUE(LEFT(AD76,4))</f>
        <v>1</v>
      </c>
      <c r="Y77" s="69">
        <f t="shared" ref="Y77:Y140" si="28">RIGHT(D77,LEN(D77)-4)/10000</f>
        <v>4.53E-2</v>
      </c>
      <c r="Z77" s="69">
        <f t="shared" ref="Z77:Z140" si="29">RIGHT(H77,LEN(H77)-4)/10000</f>
        <v>15.4457</v>
      </c>
      <c r="AA77" s="69">
        <f t="shared" ref="AA77:AA140" si="30">ABS(Z77-Y77)</f>
        <v>15.400400000000001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1">IF(LEN(A77)=6,"0"&amp;A77,A77)</f>
        <v>0157-01</v>
      </c>
      <c r="AE77" s="95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77" s="92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/stypes="app*4011*20161001*" /stext=" 17:.+((SYSTEM_STATE.+slice.+state.+changed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6" t="str">
        <f t="shared" si="17"/>
        <v>"%USERPROFILE%\Documents\GitHub\eaglep3\Utilities\RefineRTDCRunTimes.py" --tripid 157-01 --locoid 4011 --swversion DE.1.0.7.0 --startMP 204:453 --initTime 2016-10-01T10:36:31 --startdatetime 2016-10-01T10:37:58 --delay 1 --endMP 204:154457 --enddatetime 2016-10-01T11:11:36 --enforcementcount 0 &gt;&gt;C:\Users\stu\Documents\GitHub\eaglep3-reporting\EC\2016-10-01-refined-times.txt</v>
      </c>
      <c r="AI77" s="130" t="str">
        <f t="shared" si="18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issue","project_id":79,"tracker_id":40,"status_id":1,"priority_id":2,"assigned_to_id":23,"start_date":"2016-10-01","description":"","custom_fields":[{"id":1,"name":"Subdivision","value":"EC"},{"id":4,"name":"Milepost","value":"15.4457"},{"id":17,"name":"Train ID","value":"157-01"},{"id":16,"name":"Locomotive ID","value":"4011"},{"id":130,"name":"Impact","value":""},{"id":150,"name":"Time of Event (Mountain Time)","value":"11:11:36"},{"id":151,"name":"Denver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512</v>
      </c>
      <c r="B78" s="7">
        <v>4012</v>
      </c>
      <c r="C78" s="24" t="s">
        <v>106</v>
      </c>
      <c r="D78" s="24" t="s">
        <v>513</v>
      </c>
      <c r="E78" s="15">
        <v>42644.500532407408</v>
      </c>
      <c r="F78" s="15">
        <v>42644.501157407409</v>
      </c>
      <c r="G78" s="7">
        <v>0</v>
      </c>
      <c r="H78" s="15" t="s">
        <v>226</v>
      </c>
      <c r="I78" s="15">
        <v>42644.517326388886</v>
      </c>
      <c r="J78" s="7">
        <v>1</v>
      </c>
      <c r="K78" s="117" t="str">
        <f t="shared" si="22"/>
        <v>4011/4012</v>
      </c>
      <c r="L78" s="24" t="str">
        <f>VLOOKUP(A78,'Trips&amp;Operators'!$C$1:$E$10000,3,FALSE)</f>
        <v>STAMBAUGH</v>
      </c>
      <c r="M78" s="6">
        <f t="shared" si="23"/>
        <v>1.6168981477676425E-2</v>
      </c>
      <c r="N78" s="7"/>
      <c r="O78" s="7"/>
      <c r="P78" s="7">
        <f>24*60*SUM($M78:$M79)</f>
        <v>39.666666656266898</v>
      </c>
      <c r="Q78" s="25"/>
      <c r="R78" s="25" t="s">
        <v>746</v>
      </c>
      <c r="S78" s="37">
        <f>SUM(U78:U79)/IF(AG78="EC",12,1)</f>
        <v>1</v>
      </c>
      <c r="T78" s="52" t="str">
        <f t="shared" si="24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11:00:46-0600',mode:absolute,to:'2016-10-01 13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8" s="54" t="str">
        <f t="shared" si="26"/>
        <v>Y</v>
      </c>
      <c r="X78" s="164">
        <f t="shared" si="27"/>
        <v>1</v>
      </c>
      <c r="Y78" s="69">
        <f t="shared" si="28"/>
        <v>12.7852</v>
      </c>
      <c r="Z78" s="69">
        <f t="shared" si="29"/>
        <v>1.4500000000000001E-2</v>
      </c>
      <c r="AA78" s="69">
        <f t="shared" si="30"/>
        <v>12.7707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1"/>
        <v>0158-01</v>
      </c>
      <c r="AE78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78" s="92" t="str">
        <f t="shared" si="33"/>
        <v>"C:\Program Files (x86)\AstroGrep\AstroGrep.exe" /spath="%USERPROFILE%\AppData\Local\Temp\OnboardLogs" /stypes="app*4012*20161001*"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6" t="str">
        <f t="shared" ref="AH78:AH140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158-01 --locoid 4012 --swversion DE.1.0.7.0 --startMP 204:127852 --initTime 2016-10-01T12:00:46 --startdatetime 2016-10-01T12:01:40 --delay 0 --endMP 204:145 --enddatetime 2016-10-01T12:24:57 --enforcementcount 1 &gt;&gt;C:\Users\stu\Documents\GitHub\eaglep3-reporting\EC\2016-10-01-refined-times.txt</v>
      </c>
      <c r="AI78" s="130" t="str">
        <f t="shared" ref="AI78:AI140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issue","project_id":79,"tracker_id":40,"status_id":1,"priority_id":2,"assigned_to_id":23,"start_date":"2016-10-01","description":"","custom_fields":[{"id":1,"name":"Subdivision","value":"EC"},{"id":4,"name":"Milepost","value":"0.0145"},{"id":17,"name":"Train ID","value":"158-01"},{"id":16,"name":"Locomotive ID","value":"4012"},{"id":130,"name":"Impact","value":""},{"id":150,"name":"Time of Event (Mountain Time)","value":"12:24:57"},{"id":151,"name":"Denver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512</v>
      </c>
      <c r="B79" s="7">
        <v>4012</v>
      </c>
      <c r="C79" s="24" t="s">
        <v>106</v>
      </c>
      <c r="D79" s="24" t="s">
        <v>227</v>
      </c>
      <c r="E79" s="15">
        <v>42644.485138888886</v>
      </c>
      <c r="F79" s="15">
        <v>42644.485844907409</v>
      </c>
      <c r="G79" s="7">
        <v>1</v>
      </c>
      <c r="H79" s="15" t="s">
        <v>514</v>
      </c>
      <c r="I79" s="15">
        <v>42644.49722222222</v>
      </c>
      <c r="J79" s="7">
        <v>0</v>
      </c>
      <c r="K79" s="117" t="str">
        <f t="shared" si="22"/>
        <v>4011/4012</v>
      </c>
      <c r="L79" s="24" t="str">
        <f>VLOOKUP(A79,'Trips&amp;Operators'!$C$1:$E$10000,3,FALSE)</f>
        <v>STAMBAUGH</v>
      </c>
      <c r="M79" s="6">
        <f t="shared" si="23"/>
        <v>1.137731481139781E-2</v>
      </c>
      <c r="N79" s="7"/>
      <c r="O79" s="7"/>
      <c r="P79" s="7"/>
      <c r="Q79" s="25"/>
      <c r="R79" s="25"/>
      <c r="S79" s="37"/>
      <c r="T79" s="52" t="str">
        <f t="shared" si="24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10:38:36-0600',mode:absolute,to:'2016-10-01 12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9" s="54" t="str">
        <f t="shared" si="26"/>
        <v>Y</v>
      </c>
      <c r="X79" s="164">
        <f t="shared" si="27"/>
        <v>0</v>
      </c>
      <c r="Y79" s="69">
        <f t="shared" si="28"/>
        <v>23.3</v>
      </c>
      <c r="Z79" s="69">
        <f t="shared" si="29"/>
        <v>15.8391</v>
      </c>
      <c r="AA79" s="69">
        <f t="shared" si="30"/>
        <v>7.4609000000000005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1"/>
        <v>0158-01</v>
      </c>
      <c r="AE79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79" s="92" t="str">
        <f t="shared" si="33"/>
        <v>"C:\Program Files (x86)\AstroGrep\AstroGrep.exe" /spath="%USERPROFILE%\AppData\Local\Temp\OnboardLogs" /stypes="app*4012*20161001*" /stext=" 17:.+((SYSTEM_STATE.+slice.+state.+changed )|(ment ac)|(system.+state.+changed )|(\[timeout)|(PRM\|1\|D)|(kpr)|(kdp)|(\|lc)|(penalty))" /e /r /s</v>
      </c>
      <c r="AG79" s="1" t="str">
        <f t="shared" si="34"/>
        <v>EC</v>
      </c>
      <c r="AH79" s="96" t="str">
        <f t="shared" si="35"/>
        <v>"%USERPROFILE%\Documents\GitHub\eaglep3\Utilities\RefineRTDCRunTimes.py" --tripid 158-01 --locoid 4012 --swversion DE.1.0.7.0 --startMP 204:233000 --initTime 2016-10-01T11:38:36 --startdatetime 2016-10-01T11:39:37 --delay 1 --endMP 204:158391 --enddatetime 2016-10-01T11:56:00 --enforcementcount 0 &gt;&gt;C:\Users\stu\Documents\GitHub\eaglep3-reporting\EC\2016-10-01-refined-times.txt</v>
      </c>
      <c r="AI7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{"issue":{"subject":"","project_id":79,"tracker_id":40,"status_id":1,"priority_id":2,"assigned_to_id":23,"start_date":"2016-10-01","description":"","custom_fields":[{"id":1,"name":"Subdivision","value":"EC"},{"id":4,"name":"Milepost","value":"15.8391"},{"id":17,"name":"Train ID","value":"158-01"},{"id":16,"name":"Locomotive ID","value":"4012"},{"id":130,"name":"Impact","value":""},{"id":150,"name":"Time of Event (Mountain Time)","value":"11:56:00"},{"id":151,"name":"Denver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515</v>
      </c>
      <c r="B80" s="7">
        <v>4046</v>
      </c>
      <c r="C80" s="24" t="s">
        <v>106</v>
      </c>
      <c r="D80" s="24" t="s">
        <v>516</v>
      </c>
      <c r="E80" s="15">
        <v>42644.456273148149</v>
      </c>
      <c r="F80" s="15">
        <v>42644.457719907405</v>
      </c>
      <c r="G80" s="7">
        <v>2</v>
      </c>
      <c r="H80" s="15" t="s">
        <v>517</v>
      </c>
      <c r="I80" s="15">
        <v>42644.479942129627</v>
      </c>
      <c r="J80" s="7">
        <v>0</v>
      </c>
      <c r="K80" s="117" t="str">
        <f t="shared" si="22"/>
        <v>4045/4046</v>
      </c>
      <c r="L80" s="24" t="str">
        <f>VLOOKUP(A80,'Trips&amp;Operators'!$C$1:$E$10000,3,FALSE)</f>
        <v>STEWART</v>
      </c>
      <c r="M80" s="6">
        <f t="shared" si="23"/>
        <v>2.2222222221898846E-2</v>
      </c>
      <c r="N80" s="7">
        <f>24*60*SUM($M80:$M80)</f>
        <v>31.999999999534339</v>
      </c>
      <c r="O80" s="7"/>
      <c r="P80" s="7"/>
      <c r="Q80" s="25"/>
      <c r="R80" s="25"/>
      <c r="S80" s="37">
        <f>SUM(U80:U80)/IF(AG80="EC",12,1)</f>
        <v>1</v>
      </c>
      <c r="T80" s="52" t="str">
        <f t="shared" si="24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09:57:02-0600',mode:absolute,to:'2016-10-01 12:31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0" s="54" t="str">
        <f t="shared" si="26"/>
        <v>Y</v>
      </c>
      <c r="X80" s="164">
        <f t="shared" si="27"/>
        <v>1</v>
      </c>
      <c r="Y80" s="69">
        <f t="shared" si="28"/>
        <v>4.8000000000000001E-2</v>
      </c>
      <c r="Z80" s="69">
        <f t="shared" si="29"/>
        <v>15.4422</v>
      </c>
      <c r="AA80" s="69">
        <f t="shared" si="30"/>
        <v>15.3942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1"/>
        <v>0159-01</v>
      </c>
      <c r="AE80" s="95" t="str">
        <f t="shared" si="3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80" s="92" t="str">
        <f t="shared" si="33"/>
        <v>"C:\Program Files (x86)\AstroGrep\AstroGrep.exe" /spath="%USERPROFILE%\AppData\Local\Temp\OnboardLogs" /stypes="app*4046*20161001*" /stext=" 17:.+((SYSTEM_STATE.+slice.+state.+changed )|(ment ac)|(system.+state.+changed )|(\[timeout)|(PRM\|1\|D)|(kpr)|(kdp)|(\|lc)|(penalty))" /e /r /s</v>
      </c>
      <c r="AG80" s="1" t="str">
        <f t="shared" si="34"/>
        <v>EC</v>
      </c>
      <c r="AH80" s="96" t="str">
        <f t="shared" si="35"/>
        <v>"%USERPROFILE%\Documents\GitHub\eaglep3\Utilities\RefineRTDCRunTimes.py" --tripid 159-01 --locoid 4046 --swversion DE.1.0.7.0 --startMP 204:480 --initTime 2016-10-01T10:57:02 --startdatetime 2016-10-01T10:59:07 --delay 2 --endMP 204:154422 --enddatetime 2016-10-01T11:31:07 --enforcementcount 0 &gt;&gt;C:\Users\stu\Documents\GitHub\eaglep3-reporting\EC\2016-10-01-refined-times.txt</v>
      </c>
      <c r="AI8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{"issue":{"subject":"","project_id":79,"tracker_id":40,"status_id":1,"priority_id":2,"assigned_to_id":23,"start_date":"2016-10-01","description":"","custom_fields":[{"id":1,"name":"Subdivision","value":"EC"},{"id":4,"name":"Milepost","value":"15.4422"},{"id":17,"name":"Train ID","value":"159-01"},{"id":16,"name":"Locomotive ID","value":"4046"},{"id":130,"name":"Impact","value":""},{"id":150,"name":"Time of Event (Mountain Time)","value":"11:31:07"},{"id":151,"name":"Denver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518</v>
      </c>
      <c r="B81" s="7">
        <v>4045</v>
      </c>
      <c r="C81" s="24" t="s">
        <v>106</v>
      </c>
      <c r="D81" s="24" t="s">
        <v>519</v>
      </c>
      <c r="E81" s="15">
        <v>42644.51054398148</v>
      </c>
      <c r="F81" s="15">
        <v>42644.511180555557</v>
      </c>
      <c r="G81" s="7">
        <v>0</v>
      </c>
      <c r="H81" s="15" t="s">
        <v>240</v>
      </c>
      <c r="I81" s="15">
        <v>42644.528391203705</v>
      </c>
      <c r="J81" s="7">
        <v>0</v>
      </c>
      <c r="K81" s="117" t="str">
        <f t="shared" si="22"/>
        <v>4045/4046</v>
      </c>
      <c r="L81" s="24" t="str">
        <f>VLOOKUP(A81,'Trips&amp;Operators'!$C$1:$E$10000,3,FALSE)</f>
        <v>STEWART</v>
      </c>
      <c r="M81" s="6">
        <f t="shared" si="23"/>
        <v>1.7210648147738539E-2</v>
      </c>
      <c r="N81" s="7"/>
      <c r="O81" s="7"/>
      <c r="P81" s="7">
        <f>24*60*SUM($M81:$M82)</f>
        <v>33.966666664928198</v>
      </c>
      <c r="Q81" s="25"/>
      <c r="R81" s="25" t="s">
        <v>746</v>
      </c>
      <c r="S81" s="37">
        <f>SUM(U81:U82)/IF(AG81="EC",12,1)</f>
        <v>1</v>
      </c>
      <c r="T81" s="52" t="str">
        <f t="shared" si="24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11:15:11-0600',mode:absolute,to:'2016-10-01 13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1" s="54" t="str">
        <f t="shared" si="26"/>
        <v>Y</v>
      </c>
      <c r="X81" s="164">
        <f t="shared" si="27"/>
        <v>1</v>
      </c>
      <c r="Y81" s="69">
        <f t="shared" si="28"/>
        <v>12.785500000000001</v>
      </c>
      <c r="Z81" s="69">
        <f t="shared" si="29"/>
        <v>1.43E-2</v>
      </c>
      <c r="AA81" s="69">
        <f t="shared" si="30"/>
        <v>12.7712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1"/>
        <v>0160-01</v>
      </c>
      <c r="AE81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81" s="92" t="str">
        <f t="shared" si="33"/>
        <v>"C:\Program Files (x86)\AstroGrep\AstroGrep.exe" /spath="%USERPROFILE%\AppData\Local\Temp\OnboardLogs" /stypes="app*4045*20161001*" /stext=" 18:.+((SYSTEM_STATE.+slice.+state.+changed )|(ment ac)|(system.+state.+changed )|(\[timeout)|(PRM\|1\|D)|(kpr)|(kdp)|(\|lc)|(penalty))" /e /r /s</v>
      </c>
      <c r="AG81" s="1" t="str">
        <f t="shared" si="34"/>
        <v>EC</v>
      </c>
      <c r="AH81" s="96" t="str">
        <f t="shared" si="35"/>
        <v>"%USERPROFILE%\Documents\GitHub\eaglep3\Utilities\RefineRTDCRunTimes.py" --tripid 160-01 --locoid 4045 --swversion DE.1.0.7.0 --startMP 204:127855 --initTime 2016-10-01T12:15:11 --startdatetime 2016-10-01T12:16:06 --delay 0 --endMP 204:143 --enddatetime 2016-10-01T12:40:53 --enforcementcount 0 &gt;&gt;C:\Users\stu\Documents\GitHub\eaglep3-reporting\EC\2016-10-01-refined-times.txt</v>
      </c>
      <c r="AI81" s="130" t="str">
        <f t="shared" si="36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issue","project_id":79,"tracker_id":40,"status_id":1,"priority_id":2,"assigned_to_id":23,"start_date":"2016-10-01","description":"","custom_fields":[{"id":1,"name":"Subdivision","value":"EC"},{"id":4,"name":"Milepost","value":"0.0143"},{"id":17,"name":"Train ID","value":"160-01"},{"id":16,"name":"Locomotive ID","value":"4045"},{"id":130,"name":"Impact","value":""},{"id":150,"name":"Time of Event (Mountain Time)","value":"12:40:53"},{"id":151,"name":"Denver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518</v>
      </c>
      <c r="B82" s="7">
        <v>4045</v>
      </c>
      <c r="C82" s="24" t="s">
        <v>106</v>
      </c>
      <c r="D82" s="24" t="s">
        <v>520</v>
      </c>
      <c r="E82" s="15">
        <v>42644.493900462963</v>
      </c>
      <c r="F82" s="15">
        <v>42644.495208333334</v>
      </c>
      <c r="G82" s="7">
        <v>1</v>
      </c>
      <c r="H82" s="15" t="s">
        <v>521</v>
      </c>
      <c r="I82" s="15">
        <v>42644.501585648148</v>
      </c>
      <c r="J82" s="7">
        <v>0</v>
      </c>
      <c r="K82" s="117" t="str">
        <f t="shared" si="22"/>
        <v>4045/4046</v>
      </c>
      <c r="L82" s="24" t="str">
        <f>VLOOKUP(A82,'Trips&amp;Operators'!$C$1:$E$10000,3,FALSE)</f>
        <v>STEWART</v>
      </c>
      <c r="M82" s="6">
        <f t="shared" si="23"/>
        <v>6.3773148140171543E-3</v>
      </c>
      <c r="N82" s="7"/>
      <c r="O82" s="7"/>
      <c r="P82" s="7"/>
      <c r="Q82" s="25"/>
      <c r="R82" s="25"/>
      <c r="S82" s="37"/>
      <c r="T82" s="52" t="str">
        <f t="shared" si="24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10:51:13-0600',mode:absolute,to:'2016-10-01 13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2" s="54" t="str">
        <f t="shared" si="26"/>
        <v>Y</v>
      </c>
      <c r="X82" s="164">
        <f t="shared" si="27"/>
        <v>0</v>
      </c>
      <c r="Y82" s="69">
        <f t="shared" si="28"/>
        <v>23.296600000000002</v>
      </c>
      <c r="Z82" s="69">
        <f t="shared" si="29"/>
        <v>19.3706</v>
      </c>
      <c r="AA82" s="69">
        <f t="shared" si="30"/>
        <v>3.9260000000000019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1"/>
        <v>0160-01</v>
      </c>
      <c r="AE82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82" s="92" t="str">
        <f t="shared" si="33"/>
        <v>"C:\Program Files (x86)\AstroGrep\AstroGrep.exe" /spath="%USERPROFILE%\AppData\Local\Temp\OnboardLogs" /stypes="app*4045*20161001*"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6" t="str">
        <f t="shared" si="35"/>
        <v>"%USERPROFILE%\Documents\GitHub\eaglep3\Utilities\RefineRTDCRunTimes.py" --tripid 160-01 --locoid 4045 --swversion DE.1.0.7.0 --startMP 204:232966 --initTime 2016-10-01T11:51:13 --startdatetime 2016-10-01T11:53:06 --delay 1 --endMP 204:193706 --enddatetime 2016-10-01T12:02:17 --enforcementcount 0 &gt;&gt;C:\Users\stu\Documents\GitHub\eaglep3-reporting\EC\2016-10-01-refined-times.txt</v>
      </c>
      <c r="AI8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{"issue":{"subject":"","project_id":79,"tracker_id":40,"status_id":1,"priority_id":2,"assigned_to_id":23,"start_date":"2016-10-01","description":"","custom_fields":[{"id":1,"name":"Subdivision","value":"EC"},{"id":4,"name":"Milepost","value":"19.3706"},{"id":17,"name":"Train ID","value":"160-01"},{"id":16,"name":"Locomotive ID","value":"4045"},{"id":130,"name":"Impact","value":""},{"id":150,"name":"Time of Event (Mountain Time)","value":"12:02:17"},{"id":151,"name":"Denver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522</v>
      </c>
      <c r="B83" s="7">
        <v>4018</v>
      </c>
      <c r="C83" s="24" t="s">
        <v>106</v>
      </c>
      <c r="D83" s="24" t="s">
        <v>309</v>
      </c>
      <c r="E83" s="15">
        <v>42644.465370370373</v>
      </c>
      <c r="F83" s="15">
        <v>42644.466284722221</v>
      </c>
      <c r="G83" s="7">
        <v>1</v>
      </c>
      <c r="H83" s="15" t="s">
        <v>523</v>
      </c>
      <c r="I83" s="15">
        <v>42644.490081018521</v>
      </c>
      <c r="J83" s="7">
        <v>0</v>
      </c>
      <c r="K83" s="117" t="str">
        <f t="shared" si="22"/>
        <v>4017/4018</v>
      </c>
      <c r="L83" s="24" t="str">
        <f>VLOOKUP(A83,'Trips&amp;Operators'!$C$1:$E$10000,3,FALSE)</f>
        <v>BARTLETT</v>
      </c>
      <c r="M83" s="6">
        <f t="shared" si="23"/>
        <v>2.379629630013369E-2</v>
      </c>
      <c r="N83" s="7">
        <f>24*60*SUM($M83:$M83)</f>
        <v>34.266666672192514</v>
      </c>
      <c r="O83" s="7"/>
      <c r="P83" s="7"/>
      <c r="Q83" s="25"/>
      <c r="R83" s="25"/>
      <c r="S83" s="37">
        <f t="shared" ref="S83:S114" si="37">SUM(U83:U83)/IF(AG83="EC",12,1)</f>
        <v>1</v>
      </c>
      <c r="T83" s="52" t="str">
        <f t="shared" si="24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10:10:08-0600',mode:absolute,to:'2016-10-01 12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3" s="54" t="str">
        <f t="shared" si="26"/>
        <v>Y</v>
      </c>
      <c r="X83" s="164">
        <f t="shared" si="27"/>
        <v>1</v>
      </c>
      <c r="Y83" s="69">
        <f t="shared" si="28"/>
        <v>4.4900000000000002E-2</v>
      </c>
      <c r="Z83" s="69">
        <f t="shared" si="29"/>
        <v>15.4419</v>
      </c>
      <c r="AA83" s="69">
        <f t="shared" si="30"/>
        <v>15.397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1"/>
        <v>0161-01</v>
      </c>
      <c r="AE83" s="95" t="str">
        <f t="shared" si="3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83" s="92" t="str">
        <f t="shared" si="33"/>
        <v>"C:\Program Files (x86)\AstroGrep\AstroGrep.exe" /spath="%USERPROFILE%\AppData\Local\Temp\OnboardLogs" /stypes="app*4018*20161001*" /stext=" 17:.+((SYSTEM_STATE.+slice.+state.+changed )|(ment ac)|(system.+state.+changed )|(\[timeout)|(PRM\|1\|D)|(kpr)|(kdp)|(\|lc)|(penalty))" /e /r /s</v>
      </c>
      <c r="AG83" s="1" t="str">
        <f t="shared" si="34"/>
        <v>EC</v>
      </c>
      <c r="AH83" s="96" t="str">
        <f t="shared" si="35"/>
        <v>"%USERPROFILE%\Documents\GitHub\eaglep3\Utilities\RefineRTDCRunTimes.py" --tripid 161-01 --locoid 4018 --swversion DE.1.0.7.0 --startMP 204:449 --initTime 2016-10-01T11:10:08 --startdatetime 2016-10-01T11:11:27 --delay 1 --endMP 204:154419 --enddatetime 2016-10-01T11:45:43 --enforcementcount 0 &gt;&gt;C:\Users\stu\Documents\GitHub\eaglep3-reporting\EC\2016-10-01-refined-times.txt</v>
      </c>
      <c r="AI8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{"issue":{"subject":"","project_id":79,"tracker_id":40,"status_id":1,"priority_id":2,"assigned_to_id":23,"start_date":"2016-10-01","description":"","custom_fields":[{"id":1,"name":"Subdivision","value":"EC"},{"id":4,"name":"Milepost","value":"15.4419"},{"id":17,"name":"Train ID","value":"161-01"},{"id":16,"name":"Locomotive ID","value":"4018"},{"id":130,"name":"Impact","value":""},{"id":150,"name":"Time of Event (Mountain Time)","value":"11:45:43"},{"id":151,"name":"Denver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524</v>
      </c>
      <c r="B84" s="7">
        <v>4017</v>
      </c>
      <c r="C84" s="24" t="s">
        <v>106</v>
      </c>
      <c r="D84" s="24" t="s">
        <v>284</v>
      </c>
      <c r="E84" s="15">
        <v>42644.504629629628</v>
      </c>
      <c r="F84" s="15">
        <v>42644.507997685185</v>
      </c>
      <c r="G84" s="7">
        <v>2</v>
      </c>
      <c r="H84" s="15" t="s">
        <v>207</v>
      </c>
      <c r="I84" s="15">
        <v>42644.537847222222</v>
      </c>
      <c r="J84" s="7">
        <v>0</v>
      </c>
      <c r="K84" s="117" t="str">
        <f t="shared" si="22"/>
        <v>4017/4018</v>
      </c>
      <c r="L84" s="24" t="str">
        <f>VLOOKUP(A84,'Trips&amp;Operators'!$C$1:$E$10000,3,FALSE)</f>
        <v>BARTLETT</v>
      </c>
      <c r="M84" s="6">
        <f t="shared" si="23"/>
        <v>2.9849537037080154E-2</v>
      </c>
      <c r="N84" s="7">
        <f>24*60*SUM($M84:$M84)</f>
        <v>42.983333333395422</v>
      </c>
      <c r="O84" s="7"/>
      <c r="P84" s="7"/>
      <c r="Q84" s="25"/>
      <c r="R84" s="25"/>
      <c r="S84" s="37">
        <f t="shared" si="37"/>
        <v>1</v>
      </c>
      <c r="T84" s="52" t="str">
        <f t="shared" si="24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11:06:40-0600',mode:absolute,to:'2016-10-01 13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4" s="54" t="str">
        <f t="shared" si="26"/>
        <v>N</v>
      </c>
      <c r="X84" s="164">
        <f t="shared" si="27"/>
        <v>1</v>
      </c>
      <c r="Y84" s="69">
        <f t="shared" si="28"/>
        <v>23.297799999999999</v>
      </c>
      <c r="Z84" s="69">
        <f t="shared" si="29"/>
        <v>1.52E-2</v>
      </c>
      <c r="AA84" s="69">
        <f t="shared" si="30"/>
        <v>23.282599999999999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1"/>
        <v>0162-01</v>
      </c>
      <c r="AE84" s="95" t="str">
        <f t="shared" si="3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84" s="92" t="str">
        <f t="shared" si="33"/>
        <v>"C:\Program Files (x86)\AstroGrep\AstroGrep.exe" /spath="%USERPROFILE%\AppData\Local\Temp\OnboardLogs" /stypes="app*4017*20161001*" /stext=" 18:.+((SYSTEM_STATE.+slice.+state.+changed )|(ment ac)|(system.+state.+changed )|(\[timeout)|(PRM\|1\|D)|(kpr)|(kdp)|(\|lc)|(penalty))" /e /r /s</v>
      </c>
      <c r="AG84" s="1" t="str">
        <f t="shared" si="34"/>
        <v>EC</v>
      </c>
      <c r="AH84" s="96" t="str">
        <f t="shared" si="35"/>
        <v>"%USERPROFILE%\Documents\GitHub\eaglep3\Utilities\RefineRTDCRunTimes.py" --tripid 162-01 --locoid 4017 --swversion DE.1.0.7.0 --startMP 204:232978 --initTime 2016-10-01T12:06:40 --startdatetime 2016-10-01T12:11:31 --delay 2 --endMP 204:152 --enddatetime 2016-10-01T12:54:30 --enforcementcount 0 &gt;&gt;C:\Users\stu\Documents\GitHub\eaglep3-reporting\EC\2016-10-01-refined-times.txt</v>
      </c>
      <c r="AI8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{"issue":{"subject":"","project_id":79,"tracker_id":40,"status_id":1,"priority_id":2,"assigned_to_id":23,"start_date":"2016-10-01","description":"","custom_fields":[{"id":1,"name":"Subdivision","value":"EC"},{"id":4,"name":"Milepost","value":"0.0152"},{"id":17,"name":"Train ID","value":"162-01"},{"id":16,"name":"Locomotive ID","value":"4017"},{"id":130,"name":"Impact","value":""},{"id":150,"name":"Time of Event (Mountain Time)","value":"12:54:30"},{"id":151,"name":"Denver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525</v>
      </c>
      <c r="B85" s="7">
        <v>4009</v>
      </c>
      <c r="C85" s="24" t="s">
        <v>106</v>
      </c>
      <c r="D85" s="24" t="s">
        <v>204</v>
      </c>
      <c r="E85" s="15">
        <v>42644.476979166669</v>
      </c>
      <c r="F85" s="15">
        <v>42644.47965277778</v>
      </c>
      <c r="G85" s="7">
        <v>2</v>
      </c>
      <c r="H85" s="15" t="s">
        <v>526</v>
      </c>
      <c r="I85" s="15">
        <v>42644.500567129631</v>
      </c>
      <c r="J85" s="7">
        <v>0</v>
      </c>
      <c r="K85" s="117" t="str">
        <f t="shared" si="22"/>
        <v>4009/4010</v>
      </c>
      <c r="L85" s="24" t="str">
        <f>VLOOKUP(A85,'Trips&amp;Operators'!$C$1:$E$10000,3,FALSE)</f>
        <v>MOSES</v>
      </c>
      <c r="M85" s="6">
        <f t="shared" si="23"/>
        <v>2.0914351851388346E-2</v>
      </c>
      <c r="N85" s="7"/>
      <c r="O85" s="7"/>
      <c r="P85" s="7">
        <f>24*60*SUM($M85:$M85)</f>
        <v>30.116666665999219</v>
      </c>
      <c r="Q85" s="25"/>
      <c r="R85" s="25" t="s">
        <v>746</v>
      </c>
      <c r="S85" s="37">
        <f t="shared" si="37"/>
        <v>1</v>
      </c>
      <c r="T85" s="52" t="str">
        <f t="shared" si="24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10:26:51-0600',mode:absolute,to:'2016-10-01 13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5" s="54" t="str">
        <f t="shared" si="26"/>
        <v>Y</v>
      </c>
      <c r="X85" s="164">
        <f t="shared" si="27"/>
        <v>1</v>
      </c>
      <c r="Y85" s="69">
        <f t="shared" si="28"/>
        <v>4.53E-2</v>
      </c>
      <c r="Z85" s="69">
        <f t="shared" si="29"/>
        <v>15.4427</v>
      </c>
      <c r="AA85" s="69">
        <f t="shared" si="30"/>
        <v>15.397400000000001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1"/>
        <v>0163-01</v>
      </c>
      <c r="AE85" s="95" t="str">
        <f t="shared" si="3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85" s="92" t="str">
        <f t="shared" si="33"/>
        <v>"C:\Program Files (x86)\AstroGrep\AstroGrep.exe" /spath="%USERPROFILE%\AppData\Local\Temp\OnboardLogs" /stypes="app*4009*20161001*" /stext=" 18:.+((SYSTEM_STATE.+slice.+state.+changed )|(ment ac)|(system.+state.+changed )|(\[timeout)|(PRM\|1\|D)|(kpr)|(kdp)|(\|lc)|(penalty))" /e /r /s</v>
      </c>
      <c r="AG85" s="1" t="str">
        <f t="shared" si="34"/>
        <v>EC</v>
      </c>
      <c r="AH85" s="96" t="str">
        <f t="shared" si="35"/>
        <v>"%USERPROFILE%\Documents\GitHub\eaglep3\Utilities\RefineRTDCRunTimes.py" --tripid 163-01 --locoid 4009 --swversion DE.1.0.7.0 --startMP 204:453 --initTime 2016-10-01T11:26:51 --startdatetime 2016-10-01T11:30:42 --delay 2 --endMP 204:154427 --enddatetime 2016-10-01T12:00:49 --enforcementcount 0 &gt;&gt;C:\Users\stu\Documents\GitHub\eaglep3-reporting\EC\2016-10-01-refined-times.txt</v>
      </c>
      <c r="AI85" s="130" t="str">
        <f t="shared" si="36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issue","project_id":79,"tracker_id":40,"status_id":1,"priority_id":2,"assigned_to_id":23,"start_date":"2016-10-01","description":"","custom_fields":[{"id":1,"name":"Subdivision","value":"EC"},{"id":4,"name":"Milepost","value":"15.4427"},{"id":17,"name":"Train ID","value":"163-01"},{"id":16,"name":"Locomotive ID","value":"4009"},{"id":130,"name":"Impact","value":""},{"id":150,"name":"Time of Event (Mountain Time)","value":"12:00:49"},{"id":151,"name":"Denver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527</v>
      </c>
      <c r="B86" s="7">
        <v>4010</v>
      </c>
      <c r="C86" s="24" t="s">
        <v>106</v>
      </c>
      <c r="D86" s="24" t="s">
        <v>265</v>
      </c>
      <c r="E86" s="15">
        <v>42644.514525462961</v>
      </c>
      <c r="F86" s="15">
        <v>42644.518263888887</v>
      </c>
      <c r="G86" s="7">
        <v>2</v>
      </c>
      <c r="H86" s="15" t="s">
        <v>226</v>
      </c>
      <c r="I86" s="15">
        <v>42644.547731481478</v>
      </c>
      <c r="J86" s="7">
        <v>0</v>
      </c>
      <c r="K86" s="117" t="str">
        <f t="shared" si="22"/>
        <v>4009/4010</v>
      </c>
      <c r="L86" s="24" t="str">
        <f>VLOOKUP(A86,'Trips&amp;Operators'!$C$1:$E$10000,3,FALSE)</f>
        <v>MOSES</v>
      </c>
      <c r="M86" s="6">
        <f t="shared" si="23"/>
        <v>2.9467592590663116E-2</v>
      </c>
      <c r="N86" s="7">
        <f t="shared" ref="N86:N117" si="38">24*60*SUM($M86:$M86)</f>
        <v>42.433333330554888</v>
      </c>
      <c r="O86" s="7"/>
      <c r="P86" s="7"/>
      <c r="Q86" s="25"/>
      <c r="R86" s="25"/>
      <c r="S86" s="37">
        <f t="shared" si="37"/>
        <v>1</v>
      </c>
      <c r="T86" s="52" t="str">
        <f t="shared" si="24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11:20:55-0600',mode:absolute,to:'2016-10-01 14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6" s="54" t="str">
        <f t="shared" si="26"/>
        <v>N</v>
      </c>
      <c r="X86" s="164">
        <f t="shared" si="27"/>
        <v>1</v>
      </c>
      <c r="Y86" s="69">
        <f t="shared" si="28"/>
        <v>23.299099999999999</v>
      </c>
      <c r="Z86" s="69">
        <f t="shared" si="29"/>
        <v>1.4500000000000001E-2</v>
      </c>
      <c r="AA86" s="69">
        <f t="shared" si="30"/>
        <v>23.284599999999998</v>
      </c>
      <c r="AB86" s="66" t="str">
        <f>VLOOKUP(A86,Enforcements!$C$7:$K$21,8,0)</f>
        <v>Speed (6)</v>
      </c>
      <c r="AC86" s="62" t="str">
        <f>VLOOKUP(A86,Enforcements!$C$7:$E$21,3,0)</f>
        <v>PERMANENT SPEED RESTRICTION</v>
      </c>
      <c r="AD86" s="63" t="str">
        <f t="shared" si="31"/>
        <v>0164-01</v>
      </c>
      <c r="AE86" s="95" t="str">
        <f t="shared" si="3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86" s="92" t="str">
        <f t="shared" si="33"/>
        <v>"C:\Program Files (x86)\AstroGrep\AstroGrep.exe" /spath="%USERPROFILE%\AppData\Local\Temp\OnboardLogs" /stypes="app*4010*20161001*"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6" t="str">
        <f t="shared" si="35"/>
        <v>"%USERPROFILE%\Documents\GitHub\eaglep3\Utilities\RefineRTDCRunTimes.py" --tripid 164-01 --locoid 4010 --swversion DE.1.0.7.0 --startMP 204:232991 --initTime 2016-10-01T12:20:55 --startdatetime 2016-10-01T12:26:18 --delay 2 --endMP 204:145 --enddatetime 2016-10-01T13:08:44 --enforcementcount 0 &gt;&gt;C:\Users\stu\Documents\GitHub\eaglep3-reporting\EC\2016-10-01-refined-times.txt</v>
      </c>
      <c r="AI8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{"issue":{"subject":"","project_id":79,"tracker_id":40,"status_id":1,"priority_id":2,"assigned_to_id":23,"start_date":"2016-10-01","description":"","custom_fields":[{"id":1,"name":"Subdivision","value":"EC"},{"id":4,"name":"Milepost","value":"0.0145"},{"id":17,"name":"Train ID","value":"164-01"},{"id":16,"name":"Locomotive ID","value":"4010"},{"id":130,"name":"Impact","value":""},{"id":150,"name":"Time of Event (Mountain Time)","value":"13:08:44"},{"id":151,"name":"Denver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528</v>
      </c>
      <c r="B87" s="7">
        <v>4014</v>
      </c>
      <c r="C87" s="24" t="s">
        <v>106</v>
      </c>
      <c r="D87" s="24" t="s">
        <v>210</v>
      </c>
      <c r="E87" s="15">
        <v>42644.486296296294</v>
      </c>
      <c r="F87" s="15">
        <v>42644.48982638889</v>
      </c>
      <c r="G87" s="7">
        <v>1</v>
      </c>
      <c r="H87" s="15" t="s">
        <v>322</v>
      </c>
      <c r="I87" s="15">
        <v>42644.518912037034</v>
      </c>
      <c r="J87" s="7">
        <v>0</v>
      </c>
      <c r="K87" s="117" t="str">
        <f t="shared" si="22"/>
        <v>4013/4014</v>
      </c>
      <c r="L87" s="24" t="str">
        <f>VLOOKUP(A87,'Trips&amp;Operators'!$C$1:$E$10000,3,FALSE)</f>
        <v>SHOOK</v>
      </c>
      <c r="M87" s="6">
        <f t="shared" si="23"/>
        <v>2.9085648144246079E-2</v>
      </c>
      <c r="N87" s="7">
        <f t="shared" si="38"/>
        <v>41.883333327714354</v>
      </c>
      <c r="O87" s="7"/>
      <c r="P87" s="7"/>
      <c r="Q87" s="25"/>
      <c r="R87" s="25"/>
      <c r="S87" s="37">
        <f t="shared" si="37"/>
        <v>1</v>
      </c>
      <c r="T87" s="52" t="str">
        <f t="shared" si="24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10:40:16-0600',mode:absolute,to:'2016-10-01 13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7" s="54" t="str">
        <f t="shared" si="26"/>
        <v>N</v>
      </c>
      <c r="X87" s="164">
        <f t="shared" si="27"/>
        <v>1</v>
      </c>
      <c r="Y87" s="69">
        <f t="shared" si="28"/>
        <v>4.5100000000000001E-2</v>
      </c>
      <c r="Z87" s="69">
        <f t="shared" si="29"/>
        <v>23.3353</v>
      </c>
      <c r="AA87" s="69">
        <f t="shared" si="30"/>
        <v>23.290199999999999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1"/>
        <v>0165-01</v>
      </c>
      <c r="AE87" s="95" t="str">
        <f t="shared" si="3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87" s="92" t="str">
        <f t="shared" si="33"/>
        <v>"C:\Program Files (x86)\AstroGrep\AstroGrep.exe" /spath="%USERPROFILE%\AppData\Local\Temp\OnboardLogs" /stypes="app*4014*20161001*" /stext=" 18:.+((SYSTEM_STATE.+slice.+state.+changed )|(ment ac)|(system.+state.+changed )|(\[timeout)|(PRM\|1\|D)|(kpr)|(kdp)|(\|lc)|(penalty))" /e /r /s</v>
      </c>
      <c r="AG87" s="1" t="str">
        <f t="shared" si="34"/>
        <v>EC</v>
      </c>
      <c r="AH87" s="96" t="str">
        <f t="shared" si="35"/>
        <v>"%USERPROFILE%\Documents\GitHub\eaglep3\Utilities\RefineRTDCRunTimes.py" --tripid 165-01 --locoid 4014 --swversion DE.1.0.7.0 --startMP 204:451 --initTime 2016-10-01T11:40:16 --startdatetime 2016-10-01T11:45:21 --delay 1 --endMP 204:233353 --enddatetime 2016-10-01T12:27:14 --enforcementcount 0 &gt;&gt;C:\Users\stu\Documents\GitHub\eaglep3-reporting\EC\2016-10-01-refined-times.txt</v>
      </c>
      <c r="AI8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{"issue":{"subject":"","project_id":79,"tracker_id":40,"status_id":1,"priority_id":2,"assigned_to_id":23,"start_date":"2016-10-01","description":"","custom_fields":[{"id":1,"name":"Subdivision","value":"EC"},{"id":4,"name":"Milepost","value":"23.3353"},{"id":17,"name":"Train ID","value":"165-01"},{"id":16,"name":"Locomotive ID","value":"4014"},{"id":130,"name":"Impact","value":""},{"id":150,"name":"Time of Event (Mountain Time)","value":"12:27:14"},{"id":151,"name":"Denver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529</v>
      </c>
      <c r="B88" s="7">
        <v>4013</v>
      </c>
      <c r="C88" s="24" t="s">
        <v>106</v>
      </c>
      <c r="D88" s="24" t="s">
        <v>530</v>
      </c>
      <c r="E88" s="15">
        <v>42644.5233912037</v>
      </c>
      <c r="F88" s="15">
        <v>42644.528703703705</v>
      </c>
      <c r="G88" s="7">
        <v>1</v>
      </c>
      <c r="H88" s="15" t="s">
        <v>202</v>
      </c>
      <c r="I88" s="15">
        <v>42644.555972222224</v>
      </c>
      <c r="J88" s="7">
        <v>0</v>
      </c>
      <c r="K88" s="117" t="str">
        <f t="shared" si="22"/>
        <v>4013/4014</v>
      </c>
      <c r="L88" s="24" t="str">
        <f>VLOOKUP(A88,'Trips&amp;Operators'!$C$1:$E$10000,3,FALSE)</f>
        <v>SHOOK</v>
      </c>
      <c r="M88" s="6">
        <f t="shared" si="23"/>
        <v>2.7268518519122154E-2</v>
      </c>
      <c r="N88" s="7">
        <f t="shared" si="38"/>
        <v>39.266666667535901</v>
      </c>
      <c r="O88" s="7"/>
      <c r="P88" s="7"/>
      <c r="Q88" s="25"/>
      <c r="R88" s="25"/>
      <c r="S88" s="37">
        <f t="shared" si="37"/>
        <v>1</v>
      </c>
      <c r="T88" s="52" t="str">
        <f t="shared" si="24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11:33:41-0600',mode:absolute,to:'2016-10-01 14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8" s="54" t="str">
        <f t="shared" si="26"/>
        <v>N</v>
      </c>
      <c r="X88" s="164">
        <f t="shared" si="27"/>
        <v>1</v>
      </c>
      <c r="Y88" s="69">
        <f t="shared" si="28"/>
        <v>23.304200000000002</v>
      </c>
      <c r="Z88" s="69">
        <f t="shared" si="29"/>
        <v>1.5800000000000002E-2</v>
      </c>
      <c r="AA88" s="69">
        <f t="shared" si="30"/>
        <v>23.288400000000003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1"/>
        <v>0166-01</v>
      </c>
      <c r="AE88" s="95" t="str">
        <f t="shared" si="3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88" s="92" t="str">
        <f t="shared" si="33"/>
        <v>"C:\Program Files (x86)\AstroGrep\AstroGrep.exe" /spath="%USERPROFILE%\AppData\Local\Temp\OnboardLogs" /stypes="app*4013*20161001*"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6" t="str">
        <f t="shared" si="35"/>
        <v>"%USERPROFILE%\Documents\GitHub\eaglep3\Utilities\RefineRTDCRunTimes.py" --tripid 166-01 --locoid 4013 --swversion DE.1.0.7.0 --startMP 204:233042 --initTime 2016-10-01T12:33:41 --startdatetime 2016-10-01T12:41:20 --delay 1 --endMP 204:158 --enddatetime 2016-10-01T13:20:36 --enforcementcount 0 &gt;&gt;C:\Users\stu\Documents\GitHub\eaglep3-reporting\EC\2016-10-01-refined-times.txt</v>
      </c>
      <c r="AI88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{"issue":{"subject":"","project_id":79,"tracker_id":40,"status_id":1,"priority_id":2,"assigned_to_id":23,"start_date":"2016-10-01","description":"","custom_fields":[{"id":1,"name":"Subdivision","value":"EC"},{"id":4,"name":"Milepost","value":"0.0158"},{"id":17,"name":"Train ID","value":"166-01"},{"id":16,"name":"Locomotive ID","value":"4013"},{"id":130,"name":"Impact","value":""},{"id":150,"name":"Time of Event (Mountain Time)","value":"13:20:36"},{"id":151,"name":"Denver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531</v>
      </c>
      <c r="B89" s="7">
        <v>4029</v>
      </c>
      <c r="C89" s="24" t="s">
        <v>106</v>
      </c>
      <c r="D89" s="24" t="s">
        <v>204</v>
      </c>
      <c r="E89" s="15">
        <v>42644.498784722222</v>
      </c>
      <c r="F89" s="15">
        <v>42644.501215277778</v>
      </c>
      <c r="G89" s="7">
        <v>2</v>
      </c>
      <c r="H89" s="15" t="s">
        <v>454</v>
      </c>
      <c r="I89" s="15">
        <v>42644.527731481481</v>
      </c>
      <c r="J89" s="7">
        <v>0</v>
      </c>
      <c r="K89" s="117" t="str">
        <f t="shared" si="22"/>
        <v>4029/4030</v>
      </c>
      <c r="L89" s="24" t="str">
        <f>VLOOKUP(A89,'Trips&amp;Operators'!$C$1:$E$10000,3,FALSE)</f>
        <v>SWANSON</v>
      </c>
      <c r="M89" s="6">
        <f t="shared" si="23"/>
        <v>2.6516203703067731E-2</v>
      </c>
      <c r="N89" s="7">
        <f t="shared" si="38"/>
        <v>38.183333332417533</v>
      </c>
      <c r="O89" s="7"/>
      <c r="P89" s="7"/>
      <c r="Q89" s="25"/>
      <c r="R89" s="25"/>
      <c r="S89" s="37">
        <f t="shared" si="37"/>
        <v>1</v>
      </c>
      <c r="T89" s="52" t="str">
        <f t="shared" si="24"/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10:58:15-0600',mode:absolute,to:'2016-10-01 13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89" s="54" t="str">
        <f t="shared" si="26"/>
        <v>N</v>
      </c>
      <c r="X89" s="164">
        <f t="shared" si="27"/>
        <v>1</v>
      </c>
      <c r="Y89" s="69">
        <f t="shared" si="28"/>
        <v>4.53E-2</v>
      </c>
      <c r="Z89" s="69">
        <f t="shared" si="29"/>
        <v>23.332699999999999</v>
      </c>
      <c r="AA89" s="69">
        <f t="shared" si="30"/>
        <v>23.287399999999998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1"/>
        <v>0167-01</v>
      </c>
      <c r="AE89" s="95" t="str">
        <f t="shared" si="32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89" s="92" t="str">
        <f t="shared" si="33"/>
        <v>"C:\Program Files (x86)\AstroGrep\AstroGrep.exe" /spath="%USERPROFILE%\AppData\Local\Temp\OnboardLogs" /stypes="app*4029*20161001*" /stext=" 18:.+((SYSTEM_STATE.+slice.+state.+changed )|(ment ac)|(system.+state.+changed )|(\[timeout)|(PRM\|1\|D)|(kpr)|(kdp)|(\|lc)|(penalty))" /e /r /s</v>
      </c>
      <c r="AG89" s="1" t="str">
        <f t="shared" si="34"/>
        <v>EC</v>
      </c>
      <c r="AH89" s="96" t="str">
        <f t="shared" si="35"/>
        <v>"%USERPROFILE%\Documents\GitHub\eaglep3\Utilities\RefineRTDCRunTimes.py" --tripid 167-01 --locoid 4029 --swversion DE.1.0.7.0 --startMP 204:453 --initTime 2016-10-01T11:58:15 --startdatetime 2016-10-01T12:01:45 --delay 2 --endMP 204:233327 --enddatetime 2016-10-01T12:39:56 --enforcementcount 0 &gt;&gt;C:\Users\stu\Documents\GitHub\eaglep3-reporting\EC\2016-10-01-refined-times.txt</v>
      </c>
      <c r="AI8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{"issue":{"subject":"","project_id":79,"tracker_id":40,"status_id":1,"priority_id":2,"assigned_to_id":23,"start_date":"2016-10-01","description":"","custom_fields":[{"id":1,"name":"Subdivision","value":"EC"},{"id":4,"name":"Milepost","value":"23.3327"},{"id":17,"name":"Train ID","value":"167-01"},{"id":16,"name":"Locomotive ID","value":"4029"},{"id":130,"name":"Impact","value":""},{"id":150,"name":"Time of Event (Mountain Time)","value":"12:39:56"},{"id":151,"name":"Denver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532</v>
      </c>
      <c r="B90" s="7">
        <v>4030</v>
      </c>
      <c r="C90" s="24" t="s">
        <v>106</v>
      </c>
      <c r="D90" s="24" t="s">
        <v>336</v>
      </c>
      <c r="E90" s="15">
        <v>42644.528923611113</v>
      </c>
      <c r="F90" s="15">
        <v>42644.539305555554</v>
      </c>
      <c r="G90" s="7">
        <v>1</v>
      </c>
      <c r="H90" s="15" t="s">
        <v>226</v>
      </c>
      <c r="I90" s="15">
        <v>42644.568020833336</v>
      </c>
      <c r="J90" s="7">
        <v>0</v>
      </c>
      <c r="K90" s="117" t="str">
        <f t="shared" si="22"/>
        <v>4029/4030</v>
      </c>
      <c r="L90" s="24" t="str">
        <f>VLOOKUP(A90,'Trips&amp;Operators'!$C$1:$E$10000,3,FALSE)</f>
        <v>SWANSON</v>
      </c>
      <c r="M90" s="6">
        <f t="shared" si="23"/>
        <v>2.8715277781884652E-2</v>
      </c>
      <c r="N90" s="7">
        <f t="shared" si="38"/>
        <v>41.350000005913898</v>
      </c>
      <c r="O90" s="7"/>
      <c r="P90" s="7"/>
      <c r="Q90" s="25"/>
      <c r="R90" s="25"/>
      <c r="S90" s="37">
        <f t="shared" si="37"/>
        <v>1</v>
      </c>
      <c r="T90" s="52" t="str">
        <f t="shared" si="24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11:41:39-0600',mode:absolute,to:'2016-10-01 14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90" s="54" t="str">
        <f t="shared" si="26"/>
        <v>N</v>
      </c>
      <c r="X90" s="164">
        <f t="shared" si="27"/>
        <v>1</v>
      </c>
      <c r="Y90" s="69">
        <f t="shared" si="28"/>
        <v>23.301100000000002</v>
      </c>
      <c r="Z90" s="69">
        <f t="shared" si="29"/>
        <v>1.4500000000000001E-2</v>
      </c>
      <c r="AA90" s="69">
        <f t="shared" si="30"/>
        <v>23.2866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1"/>
        <v>0168-01</v>
      </c>
      <c r="AE90" s="95" t="str">
        <f t="shared" si="32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90" s="92" t="str">
        <f t="shared" si="33"/>
        <v>"C:\Program Files (x86)\AstroGrep\AstroGrep.exe" /spath="%USERPROFILE%\AppData\Local\Temp\OnboardLogs" /stypes="app*4030*20161001*"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6" t="str">
        <f t="shared" si="35"/>
        <v>"%USERPROFILE%\Documents\GitHub\eaglep3\Utilities\RefineRTDCRunTimes.py" --tripid 168-01 --locoid 4030 --swversion DE.1.0.7.0 --startMP 204:233011 --initTime 2016-10-01T12:41:39 --startdatetime 2016-10-01T12:56:36 --delay 1 --endMP 204:145 --enddatetime 2016-10-01T13:37:57 --enforcementcount 0 &gt;&gt;C:\Users\stu\Documents\GitHub\eaglep3-reporting\EC\2016-10-01-refined-times.txt</v>
      </c>
      <c r="AI9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{"issue":{"subject":"","project_id":79,"tracker_id":40,"status_id":1,"priority_id":2,"assigned_to_id":23,"start_date":"2016-10-01","description":"","custom_fields":[{"id":1,"name":"Subdivision","value":"EC"},{"id":4,"name":"Milepost","value":"0.0145"},{"id":17,"name":"Train ID","value":"168-01"},{"id":16,"name":"Locomotive ID","value":"4030"},{"id":130,"name":"Impact","value":""},{"id":150,"name":"Time of Event (Mountain Time)","value":"13:37:57"},{"id":151,"name":"Denver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533</v>
      </c>
      <c r="B91" s="7">
        <v>4003</v>
      </c>
      <c r="C91" s="24" t="s">
        <v>106</v>
      </c>
      <c r="D91" s="24" t="s">
        <v>216</v>
      </c>
      <c r="E91" s="15">
        <v>42644.51353009259</v>
      </c>
      <c r="F91" s="15">
        <v>42644.515659722223</v>
      </c>
      <c r="G91" s="7">
        <v>1</v>
      </c>
      <c r="H91" s="15" t="s">
        <v>534</v>
      </c>
      <c r="I91" s="15">
        <v>42644.544953703706</v>
      </c>
      <c r="J91" s="7">
        <v>0</v>
      </c>
      <c r="K91" s="117" t="str">
        <f t="shared" si="22"/>
        <v>4003/4004</v>
      </c>
      <c r="L91" s="24" t="str">
        <f>VLOOKUP(A91,'Trips&amp;Operators'!$C$1:$E$10000,3,FALSE)</f>
        <v>CLARK</v>
      </c>
      <c r="M91" s="6">
        <f t="shared" si="23"/>
        <v>2.9293981482624076E-2</v>
      </c>
      <c r="N91" s="7">
        <f t="shared" si="38"/>
        <v>42.18333333497867</v>
      </c>
      <c r="O91" s="7"/>
      <c r="P91" s="7"/>
      <c r="Q91" s="25"/>
      <c r="R91" s="25"/>
      <c r="S91" s="37">
        <f t="shared" si="37"/>
        <v>1</v>
      </c>
      <c r="T91" s="52" t="str">
        <f t="shared" si="24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11:19:29-0600',mode:absolute,to:'2016-10-01 14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1" s="54" t="str">
        <f t="shared" si="26"/>
        <v>N</v>
      </c>
      <c r="X91" s="164">
        <f t="shared" si="27"/>
        <v>1</v>
      </c>
      <c r="Y91" s="69">
        <f t="shared" si="28"/>
        <v>4.6199999999999998E-2</v>
      </c>
      <c r="Z91" s="69">
        <f t="shared" si="29"/>
        <v>23.326799999999999</v>
      </c>
      <c r="AA91" s="69">
        <f t="shared" si="30"/>
        <v>23.2806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1"/>
        <v>0169-01</v>
      </c>
      <c r="AE91" s="95" t="str">
        <f t="shared" si="3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91" s="92" t="str">
        <f t="shared" si="33"/>
        <v>"C:\Program Files (x86)\AstroGrep\AstroGrep.exe" /spath="%USERPROFILE%\AppData\Local\Temp\OnboardLogs" /stypes="app*4003*20161001*" /stext=" 19:.+((SYSTEM_STATE.+slice.+state.+changed )|(ment ac)|(system.+state.+changed )|(\[timeout)|(PRM\|1\|D)|(kpr)|(kdp)|(\|lc)|(penalty))" /e /r /s</v>
      </c>
      <c r="AG91" s="1" t="str">
        <f t="shared" si="34"/>
        <v>EC</v>
      </c>
      <c r="AH91" s="96" t="str">
        <f t="shared" si="35"/>
        <v>"%USERPROFILE%\Documents\GitHub\eaglep3\Utilities\RefineRTDCRunTimes.py" --tripid 169-01 --locoid 4003 --swversion DE.1.0.7.0 --startMP 204:462 --initTime 2016-10-01T12:19:29 --startdatetime 2016-10-01T12:22:33 --delay 1 --endMP 204:233268 --enddatetime 2016-10-01T13:04:44 --enforcementcount 0 &gt;&gt;C:\Users\stu\Documents\GitHub\eaglep3-reporting\EC\2016-10-01-refined-times.txt</v>
      </c>
      <c r="AI91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{"issue":{"subject":"","project_id":79,"tracker_id":40,"status_id":1,"priority_id":2,"assigned_to_id":23,"start_date":"2016-10-01","description":"","custom_fields":[{"id":1,"name":"Subdivision","value":"EC"},{"id":4,"name":"Milepost","value":"23.3268"},{"id":17,"name":"Train ID","value":"169-01"},{"id":16,"name":"Locomotive ID","value":"4003"},{"id":130,"name":"Impact","value":""},{"id":150,"name":"Time of Event (Mountain Time)","value":"13:04:44"},{"id":151,"name":"Denver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535</v>
      </c>
      <c r="B92" s="7">
        <v>4004</v>
      </c>
      <c r="C92" s="24" t="s">
        <v>106</v>
      </c>
      <c r="D92" s="24" t="s">
        <v>536</v>
      </c>
      <c r="E92" s="15">
        <v>42644.546527777777</v>
      </c>
      <c r="F92" s="15">
        <v>42644.549479166664</v>
      </c>
      <c r="G92" s="7">
        <v>1</v>
      </c>
      <c r="H92" s="15" t="s">
        <v>537</v>
      </c>
      <c r="I92" s="15">
        <v>42644.578425925924</v>
      </c>
      <c r="J92" s="7">
        <v>0</v>
      </c>
      <c r="K92" s="117" t="str">
        <f t="shared" si="22"/>
        <v>4003/4004</v>
      </c>
      <c r="L92" s="24" t="str">
        <f>VLOOKUP(A92,'Trips&amp;Operators'!$C$1:$E$10000,3,FALSE)</f>
        <v>CLARK</v>
      </c>
      <c r="M92" s="6">
        <f t="shared" si="23"/>
        <v>2.8946759259270038E-2</v>
      </c>
      <c r="N92" s="7">
        <f t="shared" si="38"/>
        <v>41.683333333348855</v>
      </c>
      <c r="O92" s="7"/>
      <c r="P92" s="7"/>
      <c r="Q92" s="25"/>
      <c r="R92" s="25"/>
      <c r="S92" s="37">
        <f t="shared" si="37"/>
        <v>1</v>
      </c>
      <c r="T92" s="52" t="str">
        <f t="shared" si="24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12:07:00-0600',mode:absolute,to:'2016-10-01 14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2" s="54" t="str">
        <f t="shared" si="26"/>
        <v>N</v>
      </c>
      <c r="X92" s="164">
        <f t="shared" si="27"/>
        <v>1</v>
      </c>
      <c r="Y92" s="69">
        <f t="shared" si="28"/>
        <v>23.2957</v>
      </c>
      <c r="Z92" s="69">
        <f t="shared" si="29"/>
        <v>1.7000000000000001E-2</v>
      </c>
      <c r="AA92" s="69">
        <f t="shared" si="30"/>
        <v>23.278700000000001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1"/>
        <v>0170-01</v>
      </c>
      <c r="AE92" s="95" t="str">
        <f t="shared" si="3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92" s="92" t="str">
        <f t="shared" si="33"/>
        <v>"C:\Program Files (x86)\AstroGrep\AstroGrep.exe" /spath="%USERPROFILE%\AppData\Local\Temp\OnboardLogs" /stypes="app*4004*20161001*" /stext=" 19:.+((SYSTEM_STATE.+slice.+state.+changed )|(ment ac)|(system.+state.+changed )|(\[timeout)|(PRM\|1\|D)|(kpr)|(kdp)|(\|lc)|(penalty))" /e /r /s</v>
      </c>
      <c r="AG92" s="1" t="str">
        <f t="shared" si="34"/>
        <v>EC</v>
      </c>
      <c r="AH92" s="96" t="str">
        <f t="shared" si="35"/>
        <v>"%USERPROFILE%\Documents\GitHub\eaglep3\Utilities\RefineRTDCRunTimes.py" --tripid 170-01 --locoid 4004 --swversion DE.1.0.7.0 --startMP 204:232957 --initTime 2016-10-01T13:07:00 --startdatetime 2016-10-01T13:11:15 --delay 1 --endMP 204:170 --enddatetime 2016-10-01T13:52:56 --enforcementcount 0 &gt;&gt;C:\Users\stu\Documents\GitHub\eaglep3-reporting\EC\2016-10-01-refined-times.txt</v>
      </c>
      <c r="AI9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{"issue":{"subject":"","project_id":79,"tracker_id":40,"status_id":1,"priority_id":2,"assigned_to_id":23,"start_date":"2016-10-01","description":"","custom_fields":[{"id":1,"name":"Subdivision","value":"EC"},{"id":4,"name":"Milepost","value":"0.017"},{"id":17,"name":"Train ID","value":"170-01"},{"id":16,"name":"Locomotive ID","value":"4004"},{"id":130,"name":"Impact","value":""},{"id":150,"name":"Time of Event (Mountain Time)","value":"13:52:56"},{"id":151,"name":"Denver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538</v>
      </c>
      <c r="B93" s="7">
        <v>4011</v>
      </c>
      <c r="C93" s="24" t="s">
        <v>106</v>
      </c>
      <c r="D93" s="24" t="s">
        <v>309</v>
      </c>
      <c r="E93" s="15">
        <v>42644.519421296296</v>
      </c>
      <c r="F93" s="15">
        <v>42644.521226851852</v>
      </c>
      <c r="G93" s="7">
        <v>1</v>
      </c>
      <c r="H93" s="15" t="s">
        <v>314</v>
      </c>
      <c r="I93" s="15">
        <v>42644.547673611109</v>
      </c>
      <c r="J93" s="7">
        <v>0</v>
      </c>
      <c r="K93" s="117" t="str">
        <f t="shared" si="22"/>
        <v>4011/4012</v>
      </c>
      <c r="L93" s="24" t="str">
        <f>VLOOKUP(A93,'Trips&amp;Operators'!$C$1:$E$10000,3,FALSE)</f>
        <v>STORY</v>
      </c>
      <c r="M93" s="6">
        <f t="shared" si="23"/>
        <v>2.6446759256941732E-2</v>
      </c>
      <c r="N93" s="7">
        <f t="shared" si="38"/>
        <v>38.083333329996094</v>
      </c>
      <c r="O93" s="7"/>
      <c r="P93" s="7"/>
      <c r="Q93" s="25"/>
      <c r="R93" s="25"/>
      <c r="S93" s="37">
        <f t="shared" si="37"/>
        <v>1</v>
      </c>
      <c r="T93" s="52" t="str">
        <f t="shared" si="24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11:27:58-0600',mode:absolute,to:'2016-10-01 14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3" s="54" t="str">
        <f t="shared" si="26"/>
        <v>N</v>
      </c>
      <c r="X93" s="164">
        <f t="shared" si="27"/>
        <v>1</v>
      </c>
      <c r="Y93" s="69">
        <f t="shared" si="28"/>
        <v>4.4900000000000002E-2</v>
      </c>
      <c r="Z93" s="69">
        <f t="shared" si="29"/>
        <v>23.3338</v>
      </c>
      <c r="AA93" s="69">
        <f t="shared" si="30"/>
        <v>23.288900000000002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1"/>
        <v>0171-01</v>
      </c>
      <c r="AE93" s="95" t="str">
        <f t="shared" si="3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93" s="92" t="str">
        <f t="shared" si="33"/>
        <v>"C:\Program Files (x86)\AstroGrep\AstroGrep.exe" /spath="%USERPROFILE%\AppData\Local\Temp\OnboardLogs" /stypes="app*4011*20161001*" /stext=" 19:.+((SYSTEM_STATE.+slice.+state.+changed )|(ment ac)|(system.+state.+changed )|(\[timeout)|(PRM\|1\|D)|(kpr)|(kdp)|(\|lc)|(penalty))" /e /r /s</v>
      </c>
      <c r="AG93" s="1" t="str">
        <f t="shared" si="34"/>
        <v>EC</v>
      </c>
      <c r="AH93" s="96" t="str">
        <f t="shared" si="35"/>
        <v>"%USERPROFILE%\Documents\GitHub\eaglep3\Utilities\RefineRTDCRunTimes.py" --tripid 171-01 --locoid 4011 --swversion DE.1.0.7.0 --startMP 204:449 --initTime 2016-10-01T12:27:58 --startdatetime 2016-10-01T12:30:34 --delay 1 --endMP 204:233338 --enddatetime 2016-10-01T13:08:39 --enforcementcount 0 &gt;&gt;C:\Users\stu\Documents\GitHub\eaglep3-reporting\EC\2016-10-01-refined-times.txt</v>
      </c>
      <c r="AI9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{"issue":{"subject":"","project_id":79,"tracker_id":40,"status_id":1,"priority_id":2,"assigned_to_id":23,"start_date":"2016-10-01","description":"","custom_fields":[{"id":1,"name":"Subdivision","value":"EC"},{"id":4,"name":"Milepost","value":"23.3338"},{"id":17,"name":"Train ID","value":"171-01"},{"id":16,"name":"Locomotive ID","value":"4011"},{"id":130,"name":"Impact","value":""},{"id":150,"name":"Time of Event (Mountain Time)","value":"13:08:39"},{"id":151,"name":"Denver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539</v>
      </c>
      <c r="B94" s="7">
        <v>4012</v>
      </c>
      <c r="C94" s="24" t="s">
        <v>106</v>
      </c>
      <c r="D94" s="24" t="s">
        <v>540</v>
      </c>
      <c r="E94" s="15">
        <v>42644.55096064815</v>
      </c>
      <c r="F94" s="15">
        <v>42644.560127314813</v>
      </c>
      <c r="G94" s="7">
        <v>3</v>
      </c>
      <c r="H94" s="15" t="s">
        <v>541</v>
      </c>
      <c r="I94" s="15">
        <v>42644.586793981478</v>
      </c>
      <c r="J94" s="7">
        <v>0</v>
      </c>
      <c r="K94" s="117" t="str">
        <f t="shared" si="22"/>
        <v>4011/4012</v>
      </c>
      <c r="L94" s="24" t="str">
        <f>VLOOKUP(A94,'Trips&amp;Operators'!$C$1:$E$10000,3,FALSE)</f>
        <v>STORY</v>
      </c>
      <c r="M94" s="6">
        <f t="shared" si="23"/>
        <v>2.6666666664823424E-2</v>
      </c>
      <c r="N94" s="7">
        <f t="shared" si="38"/>
        <v>38.399999997345731</v>
      </c>
      <c r="O94" s="7"/>
      <c r="P94" s="7"/>
      <c r="Q94" s="25"/>
      <c r="R94" s="25"/>
      <c r="S94" s="37">
        <f t="shared" si="37"/>
        <v>1</v>
      </c>
      <c r="T94" s="52" t="str">
        <f t="shared" si="24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12:13:23-0600',mode:absolute,to:'2016-10-01 15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4" s="54" t="str">
        <f t="shared" si="26"/>
        <v>N</v>
      </c>
      <c r="X94" s="164">
        <f t="shared" si="27"/>
        <v>1</v>
      </c>
      <c r="Y94" s="69">
        <f t="shared" si="28"/>
        <v>23.302700000000002</v>
      </c>
      <c r="Z94" s="69">
        <f t="shared" si="29"/>
        <v>1.1900000000000001E-2</v>
      </c>
      <c r="AA94" s="69">
        <f t="shared" si="30"/>
        <v>23.290800000000001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1"/>
        <v>0172-01</v>
      </c>
      <c r="AE94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94" s="92" t="str">
        <f t="shared" si="33"/>
        <v>"C:\Program Files (x86)\AstroGrep\AstroGrep.exe" /spath="%USERPROFILE%\AppData\Local\Temp\OnboardLogs" /stypes="app*4012*20161001*" /stext=" 20:.+((SYSTEM_STATE.+slice.+state.+changed )|(ment ac)|(system.+state.+changed )|(\[timeout)|(PRM\|1\|D)|(kpr)|(kdp)|(\|lc)|(penalty))" /e /r /s</v>
      </c>
      <c r="AG94" s="1" t="str">
        <f t="shared" si="34"/>
        <v>EC</v>
      </c>
      <c r="AH94" s="96" t="str">
        <f t="shared" si="35"/>
        <v>"%USERPROFILE%\Documents\GitHub\eaglep3\Utilities\RefineRTDCRunTimes.py" --tripid 172-01 --locoid 4012 --swversion DE.1.0.7.0 --startMP 204:233027 --initTime 2016-10-01T13:13:23 --startdatetime 2016-10-01T13:26:35 --delay 3 --endMP 204:119 --enddatetime 2016-10-01T14:04:59 --enforcementcount 0 &gt;&gt;C:\Users\stu\Documents\GitHub\eaglep3-reporting\EC\2016-10-01-refined-times.txt</v>
      </c>
      <c r="AI9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{"issue":{"subject":"","project_id":79,"tracker_id":40,"status_id":1,"priority_id":2,"assigned_to_id":23,"start_date":"2016-10-01","description":"","custom_fields":[{"id":1,"name":"Subdivision","value":"EC"},{"id":4,"name":"Milepost","value":"0.0119"},{"id":17,"name":"Train ID","value":"172-01"},{"id":16,"name":"Locomotive ID","value":"4012"},{"id":130,"name":"Impact","value":""},{"id":150,"name":"Time of Event (Mountain Time)","value":"14:04:59"},{"id":151,"name":"Denver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542</v>
      </c>
      <c r="B95" s="7">
        <v>4046</v>
      </c>
      <c r="C95" s="24" t="s">
        <v>106</v>
      </c>
      <c r="D95" s="24" t="s">
        <v>543</v>
      </c>
      <c r="E95" s="15">
        <v>42644.529664351852</v>
      </c>
      <c r="F95" s="15">
        <v>42644.532685185186</v>
      </c>
      <c r="G95" s="7">
        <v>1</v>
      </c>
      <c r="H95" s="15" t="s">
        <v>338</v>
      </c>
      <c r="I95" s="15">
        <v>42644.55736111111</v>
      </c>
      <c r="J95" s="7">
        <v>0</v>
      </c>
      <c r="K95" s="117" t="str">
        <f t="shared" si="22"/>
        <v>4045/4046</v>
      </c>
      <c r="L95" s="24" t="str">
        <f>VLOOKUP(A95,'Trips&amp;Operators'!$C$1:$E$10000,3,FALSE)</f>
        <v>STEWART</v>
      </c>
      <c r="M95" s="6">
        <f t="shared" si="23"/>
        <v>2.4675925924384501E-2</v>
      </c>
      <c r="N95" s="7">
        <f t="shared" si="38"/>
        <v>35.533333331113681</v>
      </c>
      <c r="O95" s="7"/>
      <c r="P95" s="7"/>
      <c r="Q95" s="25"/>
      <c r="R95" s="25"/>
      <c r="S95" s="37">
        <f t="shared" si="37"/>
        <v>1</v>
      </c>
      <c r="T95" s="52" t="str">
        <f t="shared" si="24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11:42:43-0600',mode:absolute,to:'2016-10-01 14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5" s="54" t="str">
        <f t="shared" si="26"/>
        <v>N</v>
      </c>
      <c r="X95" s="164">
        <f t="shared" si="27"/>
        <v>1</v>
      </c>
      <c r="Y95" s="69">
        <f t="shared" si="28"/>
        <v>4.4699999999999997E-2</v>
      </c>
      <c r="Z95" s="69">
        <f t="shared" si="29"/>
        <v>23.333200000000001</v>
      </c>
      <c r="AA95" s="69">
        <f t="shared" si="30"/>
        <v>23.288500000000003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1"/>
        <v>0173-01</v>
      </c>
      <c r="AE95" s="95" t="str">
        <f t="shared" si="3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95" s="92" t="str">
        <f t="shared" si="33"/>
        <v>"C:\Program Files (x86)\AstroGrep\AstroGrep.exe" /spath="%USERPROFILE%\AppData\Local\Temp\OnboardLogs" /stypes="app*4046*20161001*" /stext=" 19:.+((SYSTEM_STATE.+slice.+state.+changed )|(ment ac)|(system.+state.+changed )|(\[timeout)|(PRM\|1\|D)|(kpr)|(kdp)|(\|lc)|(penalty))" /e /r /s</v>
      </c>
      <c r="AG95" s="1" t="str">
        <f t="shared" si="34"/>
        <v>EC</v>
      </c>
      <c r="AH95" s="96" t="str">
        <f t="shared" si="35"/>
        <v>"%USERPROFILE%\Documents\GitHub\eaglep3\Utilities\RefineRTDCRunTimes.py" --tripid 173-01 --locoid 4046 --swversion DE.1.0.7.0 --startMP 204:447 --initTime 2016-10-01T12:42:43 --startdatetime 2016-10-01T12:47:04 --delay 1 --endMP 204:233332 --enddatetime 2016-10-01T13:22:36 --enforcementcount 0 &gt;&gt;C:\Users\stu\Documents\GitHub\eaglep3-reporting\EC\2016-10-01-refined-times.txt</v>
      </c>
      <c r="AI95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{"issue":{"subject":"","project_id":79,"tracker_id":40,"status_id":1,"priority_id":2,"assigned_to_id":23,"start_date":"2016-10-01","description":"","custom_fields":[{"id":1,"name":"Subdivision","value":"EC"},{"id":4,"name":"Milepost","value":"23.3332"},{"id":17,"name":"Train ID","value":"173-01"},{"id":16,"name":"Locomotive ID","value":"4046"},{"id":130,"name":"Impact","value":""},{"id":150,"name":"Time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544</v>
      </c>
      <c r="B96" s="7">
        <v>4045</v>
      </c>
      <c r="C96" s="24" t="s">
        <v>106</v>
      </c>
      <c r="D96" s="24" t="s">
        <v>288</v>
      </c>
      <c r="E96" s="15">
        <v>42644.566446759258</v>
      </c>
      <c r="F96" s="15">
        <v>42644.570486111108</v>
      </c>
      <c r="G96" s="7">
        <v>2</v>
      </c>
      <c r="H96" s="15" t="s">
        <v>221</v>
      </c>
      <c r="I96" s="15">
        <v>42644.598460648151</v>
      </c>
      <c r="J96" s="7">
        <v>0</v>
      </c>
      <c r="K96" s="117" t="str">
        <f t="shared" si="22"/>
        <v>4045/4046</v>
      </c>
      <c r="L96" s="24" t="str">
        <f>VLOOKUP(A96,'Trips&amp;Operators'!$C$1:$E$10000,3,FALSE)</f>
        <v>STEWART</v>
      </c>
      <c r="M96" s="6">
        <f t="shared" si="23"/>
        <v>2.7974537042609882E-2</v>
      </c>
      <c r="N96" s="7">
        <f t="shared" si="38"/>
        <v>40.28333334135823</v>
      </c>
      <c r="O96" s="7"/>
      <c r="P96" s="7"/>
      <c r="Q96" s="25"/>
      <c r="R96" s="25"/>
      <c r="S96" s="37">
        <f t="shared" si="37"/>
        <v>1</v>
      </c>
      <c r="T96" s="52" t="str">
        <f t="shared" si="24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12:35:41-0600',mode:absolute,to:'2016-10-01 15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6" s="54" t="str">
        <f t="shared" si="26"/>
        <v>N</v>
      </c>
      <c r="X96" s="164">
        <f t="shared" si="27"/>
        <v>1</v>
      </c>
      <c r="Y96" s="69">
        <f t="shared" si="28"/>
        <v>23.298999999999999</v>
      </c>
      <c r="Z96" s="69">
        <f t="shared" si="29"/>
        <v>1.5599999999999999E-2</v>
      </c>
      <c r="AA96" s="69">
        <f t="shared" si="30"/>
        <v>23.2834</v>
      </c>
      <c r="AB96" s="66" t="str">
        <f>VLOOKUP(A96,Enforcements!$C$7:$K$21,8,0)</f>
        <v>Bulletin (2)</v>
      </c>
      <c r="AC96" s="62" t="str">
        <f>VLOOKUP(A96,Enforcements!$C$7:$E$21,3,0)</f>
        <v>GRADE CROSSING</v>
      </c>
      <c r="AD96" s="63" t="str">
        <f t="shared" si="31"/>
        <v>0174-01</v>
      </c>
      <c r="AE96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96" s="92" t="str">
        <f t="shared" si="33"/>
        <v>"C:\Program Files (x86)\AstroGrep\AstroGrep.exe" /spath="%USERPROFILE%\AppData\Local\Temp\OnboardLogs" /stypes="app*4045*20161001*"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6" t="str">
        <f t="shared" si="35"/>
        <v>"%USERPROFILE%\Documents\GitHub\eaglep3\Utilities\RefineRTDCRunTimes.py" --tripid 174-01 --locoid 4045 --swversion DE.1.0.7.0 --startMP 204:232990 --initTime 2016-10-01T13:35:41 --startdatetime 2016-10-01T13:41:30 --delay 2 --endMP 204:156 --enddatetime 2016-10-01T14:21:47 --enforcementcount 0 &gt;&gt;C:\Users\stu\Documents\GitHub\eaglep3-reporting\EC\2016-10-01-refined-times.txt</v>
      </c>
      <c r="AI9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{"issue":{"subject":"","project_id":79,"tracker_id":40,"status_id":1,"priority_id":2,"assigned_to_id":23,"start_date":"2016-10-01","description":"","custom_fields":[{"id":1,"name":"Subdivision","value":"EC"},{"id":4,"name":"Milepost","value":"0.0156"},{"id":17,"name":"Train ID","value":"174-01"},{"id":16,"name":"Locomotive ID","value":"4045"},{"id":130,"name":"Impact","value":""},{"id":150,"name":"Time of Event (Mountain Time)","value":"14:21:47"},{"id":151,"name":"Denver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545</v>
      </c>
      <c r="B97" s="7">
        <v>4018</v>
      </c>
      <c r="C97" s="24" t="s">
        <v>106</v>
      </c>
      <c r="D97" s="24" t="s">
        <v>209</v>
      </c>
      <c r="E97" s="15">
        <v>42644.539131944446</v>
      </c>
      <c r="F97" s="15">
        <v>42644.541909722226</v>
      </c>
      <c r="G97" s="7">
        <v>1</v>
      </c>
      <c r="H97" s="15" t="s">
        <v>546</v>
      </c>
      <c r="I97" s="15">
        <v>42644.567476851851</v>
      </c>
      <c r="J97" s="7">
        <v>0</v>
      </c>
      <c r="K97" s="117" t="str">
        <f t="shared" si="22"/>
        <v>4017/4018</v>
      </c>
      <c r="L97" s="24" t="str">
        <f>VLOOKUP(A97,'Trips&amp;Operators'!$C$1:$E$10000,3,FALSE)</f>
        <v>BARTLETT</v>
      </c>
      <c r="M97" s="6">
        <f t="shared" si="23"/>
        <v>2.5567129625414964E-2</v>
      </c>
      <c r="N97" s="7">
        <f t="shared" si="38"/>
        <v>36.816666660597548</v>
      </c>
      <c r="O97" s="7"/>
      <c r="P97" s="7"/>
      <c r="Q97" s="25"/>
      <c r="R97" s="25"/>
      <c r="S97" s="37">
        <f t="shared" si="37"/>
        <v>1</v>
      </c>
      <c r="T97" s="52" t="str">
        <f t="shared" si="24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11:56:21-0600',mode:absolute,to:'2016-10-01 14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7" s="54" t="str">
        <f t="shared" si="26"/>
        <v>N</v>
      </c>
      <c r="X97" s="164">
        <f t="shared" si="27"/>
        <v>1</v>
      </c>
      <c r="Y97" s="69">
        <f t="shared" si="28"/>
        <v>4.6600000000000003E-2</v>
      </c>
      <c r="Z97" s="69">
        <f t="shared" si="29"/>
        <v>23.332899999999999</v>
      </c>
      <c r="AA97" s="69">
        <f t="shared" si="30"/>
        <v>23.286299999999997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1"/>
        <v>0175-01</v>
      </c>
      <c r="AE97" s="95" t="str">
        <f t="shared" si="3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97" s="92" t="str">
        <f t="shared" si="33"/>
        <v>"C:\Program Files (x86)\AstroGrep\AstroGrep.exe" /spath="%USERPROFILE%\AppData\Local\Temp\OnboardLogs" /stypes="app*4018*20161001*" /stext=" 19:.+((SYSTEM_STATE.+slice.+state.+changed )|(ment ac)|(system.+state.+changed )|(\[timeout)|(PRM\|1\|D)|(kpr)|(kdp)|(\|lc)|(penalty))" /e /r /s</v>
      </c>
      <c r="AG97" s="1" t="str">
        <f t="shared" si="34"/>
        <v>EC</v>
      </c>
      <c r="AH97" s="96" t="str">
        <f t="shared" si="35"/>
        <v>"%USERPROFILE%\Documents\GitHub\eaglep3\Utilities\RefineRTDCRunTimes.py" --tripid 175-01 --locoid 4018 --swversion DE.1.0.7.0 --startMP 204:466 --initTime 2016-10-01T12:56:21 --startdatetime 2016-10-01T13:00:21 --delay 1 --endMP 204:233329 --enddatetime 2016-10-01T13:37:10 --enforcementcount 0 &gt;&gt;C:\Users\stu\Documents\GitHub\eaglep3-reporting\EC\2016-10-01-refined-times.txt</v>
      </c>
      <c r="AI9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{"issue":{"subject":"","project_id":79,"tracker_id":40,"status_id":1,"priority_id":2,"assigned_to_id":23,"start_date":"2016-10-01","description":"","custom_fields":[{"id":1,"name":"Subdivision","value":"EC"},{"id":4,"name":"Milepost","value":"23.3329"},{"id":17,"name":"Train ID","value":"175-01"},{"id":16,"name":"Locomotive ID","value":"4018"},{"id":130,"name":"Impact","value":""},{"id":150,"name":"Time of Event (Mountain Time)","value":"13:37:10"},{"id":151,"name":"Denver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547</v>
      </c>
      <c r="B98" s="7">
        <v>4017</v>
      </c>
      <c r="C98" s="24" t="s">
        <v>106</v>
      </c>
      <c r="D98" s="24" t="s">
        <v>227</v>
      </c>
      <c r="E98" s="15">
        <v>42644.569976851853</v>
      </c>
      <c r="F98" s="15">
        <v>42644.58079861111</v>
      </c>
      <c r="G98" s="7">
        <v>2</v>
      </c>
      <c r="H98" s="15" t="s">
        <v>548</v>
      </c>
      <c r="I98" s="15">
        <v>42644.608252314814</v>
      </c>
      <c r="J98" s="7">
        <v>0</v>
      </c>
      <c r="K98" s="117" t="str">
        <f t="shared" si="22"/>
        <v>4017/4018</v>
      </c>
      <c r="L98" s="24" t="str">
        <f>VLOOKUP(A98,'Trips&amp;Operators'!$C$1:$E$10000,3,FALSE)</f>
        <v>BARTLETT</v>
      </c>
      <c r="M98" s="6">
        <f t="shared" si="23"/>
        <v>2.7453703703940846E-2</v>
      </c>
      <c r="N98" s="7">
        <f t="shared" si="38"/>
        <v>39.533333333674818</v>
      </c>
      <c r="O98" s="7"/>
      <c r="P98" s="7"/>
      <c r="Q98" s="25"/>
      <c r="R98" s="25"/>
      <c r="S98" s="37">
        <f t="shared" si="37"/>
        <v>1</v>
      </c>
      <c r="T98" s="52" t="str">
        <f t="shared" si="24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12:40:46-0600',mode:absolute,to:'2016-10-01 15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8" s="54" t="str">
        <f t="shared" si="26"/>
        <v>N</v>
      </c>
      <c r="X98" s="164">
        <f t="shared" si="27"/>
        <v>1</v>
      </c>
      <c r="Y98" s="69">
        <f t="shared" si="28"/>
        <v>23.3</v>
      </c>
      <c r="Z98" s="69">
        <f t="shared" si="29"/>
        <v>1.6299999999999999E-2</v>
      </c>
      <c r="AA98" s="69">
        <f t="shared" si="30"/>
        <v>23.2837</v>
      </c>
      <c r="AB98" s="66" t="str">
        <f>VLOOKUP(A98,Enforcements!$C$7:$K$21,8,0)</f>
        <v>Bulletin (2)</v>
      </c>
      <c r="AC98" s="62" t="str">
        <f>VLOOKUP(A98,Enforcements!$C$7:$E$21,3,0)</f>
        <v>GRADE CROSSING</v>
      </c>
      <c r="AD98" s="63" t="str">
        <f t="shared" si="31"/>
        <v>0176-01</v>
      </c>
      <c r="AE98" s="95" t="str">
        <f t="shared" si="3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98" s="92" t="str">
        <f t="shared" si="33"/>
        <v>"C:\Program Files (x86)\AstroGrep\AstroGrep.exe" /spath="%USERPROFILE%\AppData\Local\Temp\OnboardLogs" /stypes="app*4017*20161001*" /stext=" 20:.+((SYSTEM_STATE.+slice.+state.+changed )|(ment ac)|(system.+state.+changed )|(\[timeout)|(PRM\|1\|D)|(kpr)|(kdp)|(\|lc)|(penalty))" /e /r /s</v>
      </c>
      <c r="AG98" s="1" t="str">
        <f t="shared" si="34"/>
        <v>EC</v>
      </c>
      <c r="AH98" s="96" t="str">
        <f t="shared" si="35"/>
        <v>"%USERPROFILE%\Documents\GitHub\eaglep3\Utilities\RefineRTDCRunTimes.py" --tripid 176-01 --locoid 4017 --swversion DE.1.0.7.0 --startMP 204:233000 --initTime 2016-10-01T13:40:46 --startdatetime 2016-10-01T13:56:21 --delay 2 --endMP 204:163 --enddatetime 2016-10-01T14:35:53 --enforcementcount 0 &gt;&gt;C:\Users\stu\Documents\GitHub\eaglep3-reporting\EC\2016-10-01-refined-times.txt</v>
      </c>
      <c r="AI98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{"issue":{"subject":"","project_id":79,"tracker_id":40,"status_id":1,"priority_id":2,"assigned_to_id":23,"start_date":"2016-10-01","description":"","custom_fields":[{"id":1,"name":"Subdivision","value":"EC"},{"id":4,"name":"Milepost","value":"0.0163"},{"id":17,"name":"Train ID","value":"176-01"},{"id":16,"name":"Locomotive ID","value":"4017"},{"id":130,"name":"Impact","value":""},{"id":150,"name":"Time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549</v>
      </c>
      <c r="B99" s="7">
        <v>4009</v>
      </c>
      <c r="C99" s="24" t="s">
        <v>106</v>
      </c>
      <c r="D99" s="24" t="s">
        <v>213</v>
      </c>
      <c r="E99" s="15">
        <v>42644.549363425926</v>
      </c>
      <c r="F99" s="15">
        <v>42644.552499999998</v>
      </c>
      <c r="G99" s="7">
        <v>1</v>
      </c>
      <c r="H99" s="15" t="s">
        <v>283</v>
      </c>
      <c r="I99" s="15">
        <v>42644.578541666669</v>
      </c>
      <c r="J99" s="7">
        <v>0</v>
      </c>
      <c r="K99" s="117" t="str">
        <f t="shared" si="22"/>
        <v>4009/4010</v>
      </c>
      <c r="L99" s="24" t="str">
        <f>VLOOKUP(A99,'Trips&amp;Operators'!$C$1:$E$10000,3,FALSE)</f>
        <v>POLLOCK</v>
      </c>
      <c r="M99" s="6">
        <f t="shared" si="23"/>
        <v>2.6041666671517305E-2</v>
      </c>
      <c r="N99" s="7">
        <f t="shared" si="38"/>
        <v>37.500000006984919</v>
      </c>
      <c r="O99" s="7"/>
      <c r="P99" s="7"/>
      <c r="Q99" s="25"/>
      <c r="R99" s="25"/>
      <c r="S99" s="37">
        <f t="shared" si="37"/>
        <v>1</v>
      </c>
      <c r="T99" s="52" t="str">
        <f t="shared" si="24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12:11:05-0600',mode:absolute,to:'2016-10-01 14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9" s="54" t="str">
        <f t="shared" si="26"/>
        <v>N</v>
      </c>
      <c r="X99" s="164">
        <f t="shared" si="27"/>
        <v>1</v>
      </c>
      <c r="Y99" s="69">
        <f t="shared" si="28"/>
        <v>4.5999999999999999E-2</v>
      </c>
      <c r="Z99" s="69">
        <f t="shared" si="29"/>
        <v>23.329899999999999</v>
      </c>
      <c r="AA99" s="69">
        <f t="shared" si="30"/>
        <v>23.283899999999999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1"/>
        <v>0177-01</v>
      </c>
      <c r="AE99" s="95" t="str">
        <f t="shared" si="3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99" s="92" t="str">
        <f t="shared" si="33"/>
        <v>"C:\Program Files (x86)\AstroGrep\AstroGrep.exe" /spath="%USERPROFILE%\AppData\Local\Temp\OnboardLogs" /stypes="app*4009*20161001*" /stext=" 19:.+((SYSTEM_STATE.+slice.+state.+changed )|(ment ac)|(system.+state.+changed )|(\[timeout)|(PRM\|1\|D)|(kpr)|(kdp)|(\|lc)|(penalty))" /e /r /s</v>
      </c>
      <c r="AG99" s="1" t="str">
        <f t="shared" si="34"/>
        <v>EC</v>
      </c>
      <c r="AH99" s="96" t="str">
        <f t="shared" si="35"/>
        <v>"%USERPROFILE%\Documents\GitHub\eaglep3\Utilities\RefineRTDCRunTimes.py" --tripid 177-01 --locoid 4009 --swversion DE.1.0.7.0 --startMP 204:460 --initTime 2016-10-01T13:11:05 --startdatetime 2016-10-01T13:15:36 --delay 1 --endMP 204:233299 --enddatetime 2016-10-01T13:53:06 --enforcementcount 0 &gt;&gt;C:\Users\stu\Documents\GitHub\eaglep3-reporting\EC\2016-10-01-refined-times.txt</v>
      </c>
      <c r="AI9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{"issue":{"subject":"","project_id":79,"tracker_id":40,"status_id":1,"priority_id":2,"assigned_to_id":23,"start_date":"2016-10-01","description":"","custom_fields":[{"id":1,"name":"Subdivision","value":"EC"},{"id":4,"name":"Milepost","value":"23.3299"},{"id":17,"name":"Train ID","value":"177-01"},{"id":16,"name":"Locomotive ID","value":"4009"},{"id":130,"name":"Impact","value":""},{"id":150,"name":"Time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550</v>
      </c>
      <c r="B100" s="7">
        <v>4010</v>
      </c>
      <c r="C100" s="24" t="s">
        <v>106</v>
      </c>
      <c r="D100" s="24" t="s">
        <v>349</v>
      </c>
      <c r="E100" s="15">
        <v>42644.581377314818</v>
      </c>
      <c r="F100" s="15">
        <v>42644.591446759259</v>
      </c>
      <c r="G100" s="7">
        <v>1</v>
      </c>
      <c r="H100" s="15" t="s">
        <v>464</v>
      </c>
      <c r="I100" s="15">
        <v>42644.618541666663</v>
      </c>
      <c r="J100" s="7">
        <v>0</v>
      </c>
      <c r="K100" s="117" t="str">
        <f t="shared" si="22"/>
        <v>4009/4010</v>
      </c>
      <c r="L100" s="24" t="str">
        <f>VLOOKUP(A100,'Trips&amp;Operators'!$C$1:$E$10000,3,FALSE)</f>
        <v>POLLOCK</v>
      </c>
      <c r="M100" s="6">
        <f t="shared" si="23"/>
        <v>2.7094907403807156E-2</v>
      </c>
      <c r="N100" s="7">
        <f t="shared" si="38"/>
        <v>39.016666661482304</v>
      </c>
      <c r="O100" s="7"/>
      <c r="P100" s="7"/>
      <c r="Q100" s="25"/>
      <c r="R100" s="25"/>
      <c r="S100" s="37">
        <f t="shared" si="37"/>
        <v>1</v>
      </c>
      <c r="T100" s="52" t="str">
        <f t="shared" si="24"/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12:57:11-0600',mode:absolute,to:'2016-10-01 15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0" s="54" t="str">
        <f t="shared" si="26"/>
        <v>N</v>
      </c>
      <c r="X100" s="164">
        <f t="shared" si="27"/>
        <v>1</v>
      </c>
      <c r="Y100" s="69">
        <f t="shared" si="28"/>
        <v>23.296099999999999</v>
      </c>
      <c r="Z100" s="69">
        <f t="shared" si="29"/>
        <v>1.2699999999999999E-2</v>
      </c>
      <c r="AA100" s="69">
        <f t="shared" si="30"/>
        <v>23.2834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1"/>
        <v>0178-01</v>
      </c>
      <c r="AE100" s="95" t="str">
        <f t="shared" si="3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00" s="92" t="str">
        <f t="shared" si="33"/>
        <v>"C:\Program Files (x86)\AstroGrep\AstroGrep.exe" /spath="%USERPROFILE%\AppData\Local\Temp\OnboardLogs" /stypes="app*4010*20161001*" /stext=" 20:.+((SYSTEM_STATE.+slice.+state.+changed )|(ment ac)|(system.+state.+changed )|(\[timeout)|(PRM\|1\|D)|(kpr)|(kdp)|(\|lc)|(penalty))" /e /r /s</v>
      </c>
      <c r="AG100" s="1" t="str">
        <f t="shared" si="34"/>
        <v>EC</v>
      </c>
      <c r="AH100" s="96" t="str">
        <f t="shared" si="35"/>
        <v>"%USERPROFILE%\Documents\GitHub\eaglep3\Utilities\RefineRTDCRunTimes.py" --tripid 178-01 --locoid 4010 --swversion DE.1.0.7.0 --startMP 204:232961 --initTime 2016-10-01T13:57:11 --startdatetime 2016-10-01T14:11:41 --delay 1 --endMP 204:127 --enddatetime 2016-10-01T14:50:42 --enforcementcount 0 &gt;&gt;C:\Users\stu\Documents\GitHub\eaglep3-reporting\EC\2016-10-01-refined-times.txt</v>
      </c>
      <c r="AI10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{"issue":{"subject":"","project_id":79,"tracker_id":40,"status_id":1,"priority_id":2,"assigned_to_id":23,"start_date":"2016-10-01","description":"","custom_fields":[{"id":1,"name":"Subdivision","value":"EC"},{"id":4,"name":"Milepost","value":"0.0127"},{"id":17,"name":"Train ID","value":"178-01"},{"id":16,"name":"Locomotive ID","value":"4010"},{"id":130,"name":"Impact","value":""},{"id":150,"name":"Time of Event (Mountain Time)","value":"14:50:42"},{"id":151,"name":"Denver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551</v>
      </c>
      <c r="B101" s="7">
        <v>4014</v>
      </c>
      <c r="C101" s="24" t="s">
        <v>106</v>
      </c>
      <c r="D101" s="24" t="s">
        <v>216</v>
      </c>
      <c r="E101" s="15">
        <v>42644.557604166665</v>
      </c>
      <c r="F101" s="15">
        <v>42644.562986111108</v>
      </c>
      <c r="G101" s="7">
        <v>1</v>
      </c>
      <c r="H101" s="15" t="s">
        <v>405</v>
      </c>
      <c r="I101" s="15">
        <v>42644.588703703703</v>
      </c>
      <c r="J101" s="7">
        <v>0</v>
      </c>
      <c r="K101" s="117" t="str">
        <f t="shared" si="22"/>
        <v>4013/4014</v>
      </c>
      <c r="L101" s="24" t="str">
        <f>VLOOKUP(A101,'Trips&amp;Operators'!$C$1:$E$10000,3,FALSE)</f>
        <v>SHOOK</v>
      </c>
      <c r="M101" s="6">
        <f t="shared" si="23"/>
        <v>2.5717592594446614E-2</v>
      </c>
      <c r="N101" s="7">
        <f t="shared" si="38"/>
        <v>37.033333336003125</v>
      </c>
      <c r="O101" s="7"/>
      <c r="P101" s="7"/>
      <c r="Q101" s="25"/>
      <c r="R101" s="25"/>
      <c r="S101" s="37">
        <f t="shared" si="37"/>
        <v>1</v>
      </c>
      <c r="T101" s="52" t="str">
        <f t="shared" si="24"/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12:22:57-0600',mode:absolute,to:'2016-10-01 15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1" s="54" t="str">
        <f t="shared" si="26"/>
        <v>N</v>
      </c>
      <c r="X101" s="164">
        <f t="shared" si="27"/>
        <v>1</v>
      </c>
      <c r="Y101" s="69">
        <f t="shared" si="28"/>
        <v>4.6199999999999998E-2</v>
      </c>
      <c r="Z101" s="69">
        <f t="shared" si="29"/>
        <v>23.334700000000002</v>
      </c>
      <c r="AA101" s="69">
        <f t="shared" si="30"/>
        <v>23.288500000000003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1"/>
        <v>0179-01</v>
      </c>
      <c r="AE101" s="95" t="str">
        <f t="shared" si="3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101" s="92" t="str">
        <f t="shared" si="33"/>
        <v>"C:\Program Files (x86)\AstroGrep\AstroGrep.exe" /spath="%USERPROFILE%\AppData\Local\Temp\OnboardLogs" /stypes="app*4014*20161001*" /stext=" 20:.+((SYSTEM_STATE.+slice.+state.+changed )|(ment ac)|(system.+state.+changed )|(\[timeout)|(PRM\|1\|D)|(kpr)|(kdp)|(\|lc)|(penalty))" /e /r /s</v>
      </c>
      <c r="AG101" s="1" t="str">
        <f t="shared" si="34"/>
        <v>EC</v>
      </c>
      <c r="AH101" s="96" t="str">
        <f t="shared" si="35"/>
        <v>"%USERPROFILE%\Documents\GitHub\eaglep3\Utilities\RefineRTDCRunTimes.py" --tripid 179-01 --locoid 4014 --swversion DE.1.0.7.0 --startMP 204:462 --initTime 2016-10-01T13:22:57 --startdatetime 2016-10-01T13:30:42 --delay 1 --endMP 204:233347 --enddatetime 2016-10-01T14:07:44 --enforcementcount 0 &gt;&gt;C:\Users\stu\Documents\GitHub\eaglep3-reporting\EC\2016-10-01-refined-times.txt</v>
      </c>
      <c r="AI101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{"issue":{"subject":"","project_id":79,"tracker_id":40,"status_id":1,"priority_id":2,"assigned_to_id":23,"start_date":"2016-10-01","description":"","custom_fields":[{"id":1,"name":"Subdivision","value":"EC"},{"id":4,"name":"Milepost","value":"23.3347"},{"id":17,"name":"Train ID","value":"179-01"},{"id":16,"name":"Locomotive ID","value":"4014"},{"id":130,"name":"Impact","value":""},{"id":150,"name":"Time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552</v>
      </c>
      <c r="B102" s="7">
        <v>4013</v>
      </c>
      <c r="C102" s="24" t="s">
        <v>106</v>
      </c>
      <c r="D102" s="24" t="s">
        <v>530</v>
      </c>
      <c r="E102" s="15">
        <v>42644.595300925925</v>
      </c>
      <c r="F102" s="15">
        <v>42644.601655092592</v>
      </c>
      <c r="G102" s="7">
        <v>1</v>
      </c>
      <c r="H102" s="15" t="s">
        <v>228</v>
      </c>
      <c r="I102" s="15">
        <v>42644.628437500003</v>
      </c>
      <c r="J102" s="7">
        <v>0</v>
      </c>
      <c r="K102" s="117" t="str">
        <f t="shared" si="22"/>
        <v>4013/4014</v>
      </c>
      <c r="L102" s="24" t="str">
        <f>VLOOKUP(A102,'Trips&amp;Operators'!$C$1:$E$10000,3,FALSE)</f>
        <v>SHOOK</v>
      </c>
      <c r="M102" s="6">
        <f t="shared" si="23"/>
        <v>2.6782407410792075E-2</v>
      </c>
      <c r="N102" s="7">
        <f t="shared" si="38"/>
        <v>38.566666671540588</v>
      </c>
      <c r="O102" s="7"/>
      <c r="P102" s="7"/>
      <c r="Q102" s="25"/>
      <c r="R102" s="25"/>
      <c r="S102" s="37">
        <f t="shared" si="37"/>
        <v>1</v>
      </c>
      <c r="T102" s="52" t="str">
        <f t="shared" si="24"/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13:17:14-0600',mode:absolute,to:'2016-10-01 16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2" s="54" t="str">
        <f t="shared" si="26"/>
        <v>N</v>
      </c>
      <c r="X102" s="164">
        <f t="shared" si="27"/>
        <v>1</v>
      </c>
      <c r="Y102" s="69">
        <f t="shared" si="28"/>
        <v>23.304200000000002</v>
      </c>
      <c r="Z102" s="69">
        <f t="shared" si="29"/>
        <v>1.41E-2</v>
      </c>
      <c r="AA102" s="69">
        <f t="shared" si="30"/>
        <v>23.290100000000002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1"/>
        <v>0180-01</v>
      </c>
      <c r="AE102" s="95" t="str">
        <f t="shared" si="3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102" s="92" t="str">
        <f t="shared" si="33"/>
        <v>"C:\Program Files (x86)\AstroGrep\AstroGrep.exe" /spath="%USERPROFILE%\AppData\Local\Temp\OnboardLogs" /stypes="app*4013*20161001*" /stext=" 21:.+((SYSTEM_STATE.+slice.+state.+changed )|(ment ac)|(system.+state.+changed )|(\[timeout)|(PRM\|1\|D)|(kpr)|(kdp)|(\|lc)|(penalty))" /e /r /s</v>
      </c>
      <c r="AG102" s="1" t="str">
        <f t="shared" si="34"/>
        <v>EC</v>
      </c>
      <c r="AH102" s="96" t="str">
        <f t="shared" si="35"/>
        <v>"%USERPROFILE%\Documents\GitHub\eaglep3\Utilities\RefineRTDCRunTimes.py" --tripid 180-01 --locoid 4013 --swversion DE.1.0.7.0 --startMP 204:233042 --initTime 2016-10-01T14:17:14 --startdatetime 2016-10-01T14:26:23 --delay 1 --endMP 204:141 --enddatetime 2016-10-01T15:04:57 --enforcementcount 0 &gt;&gt;C:\Users\stu\Documents\GitHub\eaglep3-reporting\EC\2016-10-01-refined-times.txt</v>
      </c>
      <c r="AI10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ID","value":"180-01"},{"id":16,"name":"Locomotive ID","value":"4013"},{"id":130,"name":"Impact","value":""},{"id":150,"name":"Time of Event (Mountain Time)","value":"15:04:57"},{"id":151,"name":"Denver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571</v>
      </c>
      <c r="B103" s="7">
        <v>4029</v>
      </c>
      <c r="C103" s="24" t="s">
        <v>106</v>
      </c>
      <c r="D103" s="24" t="s">
        <v>209</v>
      </c>
      <c r="E103" s="15">
        <v>42644.56931712963</v>
      </c>
      <c r="F103" s="15">
        <v>42644.573182870372</v>
      </c>
      <c r="G103" s="7">
        <v>1</v>
      </c>
      <c r="H103" s="15" t="s">
        <v>572</v>
      </c>
      <c r="I103" s="15">
        <v>42644.598726851851</v>
      </c>
      <c r="J103" s="7">
        <v>0</v>
      </c>
      <c r="K103" s="117" t="str">
        <f t="shared" si="22"/>
        <v>4029/4030</v>
      </c>
      <c r="L103" s="24" t="str">
        <f>VLOOKUP(A103,'Trips&amp;Operators'!$C$1:$E$10000,3,FALSE)</f>
        <v>SWANSON</v>
      </c>
      <c r="M103" s="6">
        <f t="shared" si="23"/>
        <v>2.5543981479131617E-2</v>
      </c>
      <c r="N103" s="7">
        <f t="shared" si="38"/>
        <v>36.783333329949528</v>
      </c>
      <c r="O103" s="7"/>
      <c r="P103" s="7"/>
      <c r="Q103" s="25"/>
      <c r="R103" s="25"/>
      <c r="S103" s="37">
        <f t="shared" si="37"/>
        <v>1</v>
      </c>
      <c r="T103" s="52" t="str">
        <f t="shared" si="24"/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12:39:49-0600',mode:absolute,to:'2016-10-01 15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03" s="54" t="str">
        <f t="shared" si="26"/>
        <v>N</v>
      </c>
      <c r="X103" s="164">
        <f t="shared" si="27"/>
        <v>1</v>
      </c>
      <c r="Y103" s="69">
        <f t="shared" si="28"/>
        <v>4.6600000000000003E-2</v>
      </c>
      <c r="Z103" s="69">
        <f t="shared" si="29"/>
        <v>23.332599999999999</v>
      </c>
      <c r="AA103" s="69">
        <f t="shared" si="30"/>
        <v>23.285999999999998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1"/>
        <v>0181-01</v>
      </c>
      <c r="AE103" s="95" t="str">
        <f t="shared" si="32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03" s="92" t="str">
        <f t="shared" si="33"/>
        <v>"C:\Program Files (x86)\AstroGrep\AstroGrep.exe" /spath="%USERPROFILE%\AppData\Local\Temp\OnboardLogs" /stypes="app*4029*20161001*" /stext=" 20:.+((SYSTEM_STATE.+slice.+state.+changed )|(ment ac)|(system.+state.+changed )|(\[timeout)|(PRM\|1\|D)|(kpr)|(kdp)|(\|lc)|(penalty))" /e /r /s</v>
      </c>
      <c r="AG103" s="1" t="str">
        <f t="shared" si="34"/>
        <v>EC</v>
      </c>
      <c r="AH103" s="96" t="str">
        <f t="shared" si="35"/>
        <v>"%USERPROFILE%\Documents\GitHub\eaglep3\Utilities\RefineRTDCRunTimes.py" --tripid 181-01 --locoid 4029 --swversion DE.1.0.7.0 --startMP 204:466 --initTime 2016-10-01T13:39:49 --startdatetime 2016-10-01T13:45:23 --delay 1 --endMP 204:233326 --enddatetime 2016-10-01T14:22:10 --enforcementcount 0 &gt;&gt;C:\Users\stu\Documents\GitHub\eaglep3-reporting\EC\2016-10-01-refined-times.txt</v>
      </c>
      <c r="AI10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{"issue":{"subject":"","project_id":79,"tracker_id":40,"status_id":1,"priority_id":2,"assigned_to_id":23,"start_date":"2016-10-01","description":"","custom_fields":[{"id":1,"name":"Subdivision","value":"EC"},{"id":4,"name":"Milepost","value":"23.3326"},{"id":17,"name":"Train ID","value":"181-01"},{"id":16,"name":"Locomotive ID","value":"4029"},{"id":130,"name":"Impact","value":""},{"id":150,"name":"Time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589</v>
      </c>
      <c r="B104" s="7">
        <v>4030</v>
      </c>
      <c r="C104" s="24" t="s">
        <v>106</v>
      </c>
      <c r="D104" s="24" t="s">
        <v>590</v>
      </c>
      <c r="E104" s="15">
        <v>42644.600578703707</v>
      </c>
      <c r="F104" s="15">
        <v>42644.612303240741</v>
      </c>
      <c r="G104" s="7">
        <v>2</v>
      </c>
      <c r="H104" s="15" t="s">
        <v>332</v>
      </c>
      <c r="I104" s="15">
        <v>42644.639907407407</v>
      </c>
      <c r="J104" s="7">
        <v>0</v>
      </c>
      <c r="K104" s="117" t="str">
        <f t="shared" si="22"/>
        <v>4029/4030</v>
      </c>
      <c r="L104" s="24" t="str">
        <f>VLOOKUP(A104,'Trips&amp;Operators'!$C$1:$E$10000,3,FALSE)</f>
        <v>SWANSON</v>
      </c>
      <c r="M104" s="6">
        <f t="shared" si="23"/>
        <v>2.7604166665696539E-2</v>
      </c>
      <c r="N104" s="7">
        <f t="shared" si="38"/>
        <v>39.749999998603016</v>
      </c>
      <c r="O104" s="7"/>
      <c r="P104" s="7"/>
      <c r="Q104" s="25"/>
      <c r="R104" s="25"/>
      <c r="S104" s="37">
        <f t="shared" si="37"/>
        <v>1</v>
      </c>
      <c r="T104" s="52" t="str">
        <f t="shared" si="24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13:24:50-0600',mode:absolute,to:'2016-10-01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04" s="54" t="str">
        <f t="shared" si="26"/>
        <v>N</v>
      </c>
      <c r="X104" s="164">
        <f t="shared" si="27"/>
        <v>1</v>
      </c>
      <c r="Y104" s="69">
        <f t="shared" si="28"/>
        <v>23.3019</v>
      </c>
      <c r="Z104" s="69">
        <f t="shared" si="29"/>
        <v>2.0500000000000001E-2</v>
      </c>
      <c r="AA104" s="69">
        <f t="shared" si="30"/>
        <v>23.281400000000001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1"/>
        <v>0182-01</v>
      </c>
      <c r="AE104" s="95" t="str">
        <f t="shared" si="32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04" s="92" t="str">
        <f t="shared" si="33"/>
        <v>"C:\Program Files (x86)\AstroGrep\AstroGrep.exe" /spath="%USERPROFILE%\AppData\Local\Temp\OnboardLogs" /stypes="app*4030*20161001*"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6" t="str">
        <f t="shared" si="35"/>
        <v>"%USERPROFILE%\Documents\GitHub\eaglep3\Utilities\RefineRTDCRunTimes.py" --tripid 182-01 --locoid 4030 --swversion DE.1.0.7.0 --startMP 204:233019 --initTime 2016-10-01T14:24:50 --startdatetime 2016-10-01T14:41:43 --delay 2 --endMP 204:205 --enddatetime 2016-10-01T15:21:28 --enforcementcount 0 &gt;&gt;C:\Users\stu\Documents\GitHub\eaglep3-reporting\EC\2016-10-01-refined-times.txt</v>
      </c>
      <c r="AI10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{"issue":{"subject":"","project_id":79,"tracker_id":40,"status_id":1,"priority_id":2,"assigned_to_id":23,"start_date":"2016-10-01","description":"","custom_fields":[{"id":1,"name":"Subdivision","value":"EC"},{"id":4,"name":"Milepost","value":"0.0205"},{"id":17,"name":"Train ID","value":"182-01"},{"id":16,"name":"Locomotive ID","value":"4030"},{"id":130,"name":"Impact","value":""},{"id":150,"name":"Time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615</v>
      </c>
      <c r="B105" s="7">
        <v>4003</v>
      </c>
      <c r="C105" s="24" t="s">
        <v>106</v>
      </c>
      <c r="D105" s="24" t="s">
        <v>325</v>
      </c>
      <c r="E105" s="15">
        <v>42644.581192129626</v>
      </c>
      <c r="F105" s="15">
        <v>42644.583495370367</v>
      </c>
      <c r="G105" s="7">
        <v>1</v>
      </c>
      <c r="H105" s="15" t="s">
        <v>345</v>
      </c>
      <c r="I105" s="15">
        <v>42644.609456018516</v>
      </c>
      <c r="J105" s="7">
        <v>0</v>
      </c>
      <c r="K105" s="117" t="str">
        <f t="shared" si="22"/>
        <v>4003/4004</v>
      </c>
      <c r="L105" s="24" t="str">
        <f>VLOOKUP(A105,'Trips&amp;Operators'!$C$1:$E$10000,3,FALSE)</f>
        <v>CLARK</v>
      </c>
      <c r="M105" s="6">
        <f t="shared" si="23"/>
        <v>2.5960648148611654E-2</v>
      </c>
      <c r="N105" s="7">
        <f t="shared" si="38"/>
        <v>37.383333334000781</v>
      </c>
      <c r="O105" s="7"/>
      <c r="P105" s="7"/>
      <c r="Q105" s="25"/>
      <c r="R105" s="25"/>
      <c r="S105" s="37">
        <f t="shared" si="37"/>
        <v>1</v>
      </c>
      <c r="T105" s="52" t="str">
        <f t="shared" si="24"/>
        <v>NorthBound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12:56:55-0600',mode:absolute,to:'2016-10-01 15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5" s="54" t="str">
        <f t="shared" si="26"/>
        <v>N</v>
      </c>
      <c r="X105" s="164">
        <f t="shared" si="27"/>
        <v>1</v>
      </c>
      <c r="Y105" s="69">
        <f t="shared" si="28"/>
        <v>4.82E-2</v>
      </c>
      <c r="Z105" s="69">
        <f t="shared" si="29"/>
        <v>23.327400000000001</v>
      </c>
      <c r="AA105" s="69">
        <f t="shared" si="30"/>
        <v>23.279199999999999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1"/>
        <v>0183-01</v>
      </c>
      <c r="AE105" s="95" t="str">
        <f t="shared" si="3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105" s="92" t="str">
        <f t="shared" si="33"/>
        <v>"C:\Program Files (x86)\AstroGrep\AstroGrep.exe" /spath="%USERPROFILE%\AppData\Local\Temp\OnboardLogs" /stypes="app*4003*20161001*" /stext=" 20:.+((SYSTEM_STATE.+slice.+state.+changed )|(ment ac)|(system.+state.+changed )|(\[timeout)|(PRM\|1\|D)|(kpr)|(kdp)|(\|lc)|(penalty))" /e /r /s</v>
      </c>
      <c r="AG105" s="1" t="str">
        <f t="shared" si="34"/>
        <v>EC</v>
      </c>
      <c r="AH105" s="96" t="str">
        <f t="shared" si="35"/>
        <v>"%USERPROFILE%\Documents\GitHub\eaglep3\Utilities\RefineRTDCRunTimes.py" --tripid 183-01 --locoid 4003 --swversion DE.1.0.7.0 --startMP 204:482 --initTime 2016-10-01T13:56:55 --startdatetime 2016-10-01T14:00:14 --delay 1 --endMP 204:233274 --enddatetime 2016-10-01T14:37:37 --enforcementcount 0 &gt;&gt;C:\Users\stu\Documents\GitHub\eaglep3-reporting\EC\2016-10-01-refined-times.txt</v>
      </c>
      <c r="AI105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{"issue":{"subject":"","project_id":79,"tracker_id":40,"status_id":1,"priority_id":2,"assigned_to_id":23,"start_date":"2016-10-01","description":"","custom_fields":[{"id":1,"name":"Subdivision","value":"EC"},{"id":4,"name":"Milepost","value":"23.3274"},{"id":17,"name":"Train ID","value":"183-01"},{"id":16,"name":"Locomotive ID","value":"4003"},{"id":130,"name":"Impact","value":""},{"id":150,"name":"Time of Event (Mountain Time)","value":"14:37:37"},{"id":151,"name":"Denver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624</v>
      </c>
      <c r="B106" s="7">
        <v>4004</v>
      </c>
      <c r="C106" s="24" t="s">
        <v>106</v>
      </c>
      <c r="D106" s="24" t="s">
        <v>536</v>
      </c>
      <c r="E106" s="15">
        <v>42644.618287037039</v>
      </c>
      <c r="F106" s="15">
        <v>42644.622511574074</v>
      </c>
      <c r="G106" s="7">
        <v>1</v>
      </c>
      <c r="H106" s="15" t="s">
        <v>199</v>
      </c>
      <c r="I106" s="15">
        <v>42644.650462962964</v>
      </c>
      <c r="J106" s="7">
        <v>0</v>
      </c>
      <c r="K106" s="117" t="str">
        <f t="shared" si="22"/>
        <v>4003/4004</v>
      </c>
      <c r="L106" s="24" t="str">
        <f>VLOOKUP(A106,'Trips&amp;Operators'!$C$1:$E$10000,3,FALSE)</f>
        <v>CLARK</v>
      </c>
      <c r="M106" s="6">
        <f t="shared" si="23"/>
        <v>2.7951388889050577E-2</v>
      </c>
      <c r="N106" s="7">
        <f t="shared" si="38"/>
        <v>40.250000000232831</v>
      </c>
      <c r="O106" s="7"/>
      <c r="P106" s="7"/>
      <c r="Q106" s="25"/>
      <c r="R106" s="25"/>
      <c r="S106" s="37">
        <f t="shared" si="37"/>
        <v>1</v>
      </c>
      <c r="T106" s="52" t="str">
        <f t="shared" si="24"/>
        <v>Southbound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13:50:20-0600',mode:absolute,to:'2016-10-01 16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6" s="54" t="str">
        <f t="shared" si="26"/>
        <v>N</v>
      </c>
      <c r="X106" s="164">
        <f t="shared" si="27"/>
        <v>1</v>
      </c>
      <c r="Y106" s="69">
        <f t="shared" si="28"/>
        <v>23.2957</v>
      </c>
      <c r="Z106" s="69">
        <f t="shared" si="29"/>
        <v>1.49E-2</v>
      </c>
      <c r="AA106" s="69">
        <f t="shared" si="30"/>
        <v>23.280799999999999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1"/>
        <v>0184-01</v>
      </c>
      <c r="AE106" s="95" t="str">
        <f t="shared" si="3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106" s="92" t="str">
        <f t="shared" si="33"/>
        <v>"C:\Program Files (x86)\AstroGrep\AstroGrep.exe" /spath="%USERPROFILE%\AppData\Local\Temp\OnboardLogs" /stypes="app*4004*20161001*" /stext=" 21:.+((SYSTEM_STATE.+slice.+state.+changed )|(ment ac)|(system.+state.+changed )|(\[timeout)|(PRM\|1\|D)|(kpr)|(kdp)|(\|lc)|(penalty))" /e /r /s</v>
      </c>
      <c r="AG106" s="1" t="str">
        <f t="shared" si="34"/>
        <v>EC</v>
      </c>
      <c r="AH106" s="96" t="str">
        <f t="shared" si="35"/>
        <v>"%USERPROFILE%\Documents\GitHub\eaglep3\Utilities\RefineRTDCRunTimes.py" --tripid 184-01 --locoid 4004 --swversion DE.1.0.7.0 --startMP 204:232957 --initTime 2016-10-01T14:50:20 --startdatetime 2016-10-01T14:56:25 --delay 1 --endMP 204:149 --enddatetime 2016-10-01T15:36:40 --enforcementcount 0 &gt;&gt;C:\Users\stu\Documents\GitHub\eaglep3-reporting\EC\2016-10-01-refined-times.txt</v>
      </c>
      <c r="AI10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{"issue":{"subject":"","project_id":79,"tracker_id":40,"status_id":1,"priority_id":2,"assigned_to_id":23,"start_date":"2016-10-01","description":"","custom_fields":[{"id":1,"name":"Subdivision","value":"EC"},{"id":4,"name":"Milepost","value":"0.0149"},{"id":17,"name":"Train ID","value":"184-01"},{"id":16,"name":"Locomotive ID","value":"4004"},{"id":130,"name":"Impact","value":""},{"id":150,"name":"Time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625</v>
      </c>
      <c r="B107" s="7">
        <v>4011</v>
      </c>
      <c r="C107" s="24" t="s">
        <v>106</v>
      </c>
      <c r="D107" s="24" t="s">
        <v>280</v>
      </c>
      <c r="E107" s="15">
        <v>42644.590173611112</v>
      </c>
      <c r="F107" s="15">
        <v>42644.594166666669</v>
      </c>
      <c r="G107" s="7">
        <v>1</v>
      </c>
      <c r="H107" s="15" t="s">
        <v>223</v>
      </c>
      <c r="I107" s="15">
        <v>42644.619155092594</v>
      </c>
      <c r="J107" s="7">
        <v>0</v>
      </c>
      <c r="K107" s="117" t="str">
        <f t="shared" si="22"/>
        <v>4011/4012</v>
      </c>
      <c r="L107" s="24" t="str">
        <f>VLOOKUP(A107,'Trips&amp;Operators'!$C$1:$E$10000,3,FALSE)</f>
        <v>STORY</v>
      </c>
      <c r="M107" s="6">
        <f t="shared" si="23"/>
        <v>2.4988425924675539E-2</v>
      </c>
      <c r="N107" s="7">
        <f t="shared" si="38"/>
        <v>35.983333331532776</v>
      </c>
      <c r="O107" s="7"/>
      <c r="P107" s="7"/>
      <c r="Q107" s="25"/>
      <c r="R107" s="25"/>
      <c r="S107" s="37">
        <f t="shared" si="37"/>
        <v>1</v>
      </c>
      <c r="T107" s="52" t="str">
        <f t="shared" si="24"/>
        <v>NorthBound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13:09:51-0600',mode:absolute,to:'2016-10-01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7" s="54" t="str">
        <f t="shared" si="26"/>
        <v>N</v>
      </c>
      <c r="X107" s="164">
        <f t="shared" si="27"/>
        <v>1</v>
      </c>
      <c r="Y107" s="69">
        <f t="shared" si="28"/>
        <v>4.3299999999999998E-2</v>
      </c>
      <c r="Z107" s="69">
        <f t="shared" si="29"/>
        <v>23.331399999999999</v>
      </c>
      <c r="AA107" s="69">
        <f t="shared" si="30"/>
        <v>23.2881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1"/>
        <v>0185-01</v>
      </c>
      <c r="AE107" s="95" t="str">
        <f t="shared" si="3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07" s="92" t="str">
        <f t="shared" si="33"/>
        <v>"C:\Program Files (x86)\AstroGrep\AstroGrep.exe" /spath="%USERPROFILE%\AppData\Local\Temp\OnboardLogs" /stypes="app*4011*20161001*" /stext=" 20:.+((SYSTEM_STATE.+slice.+state.+changed )|(ment ac)|(system.+state.+changed )|(\[timeout)|(PRM\|1\|D)|(kpr)|(kdp)|(\|lc)|(penalty))" /e /r /s</v>
      </c>
      <c r="AG107" s="1" t="str">
        <f t="shared" si="34"/>
        <v>EC</v>
      </c>
      <c r="AH107" s="96" t="str">
        <f t="shared" si="35"/>
        <v>"%USERPROFILE%\Documents\GitHub\eaglep3\Utilities\RefineRTDCRunTimes.py" --tripid 185-01 --locoid 4011 --swversion DE.1.0.7.0 --startMP 204:433 --initTime 2016-10-01T14:09:51 --startdatetime 2016-10-01T14:15:36 --delay 1 --endMP 204:233314 --enddatetime 2016-10-01T14:51:35 --enforcementcount 0 &gt;&gt;C:\Users\stu\Documents\GitHub\eaglep3-reporting\EC\2016-10-01-refined-times.txt</v>
      </c>
      <c r="AI10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{"issue":{"subject":"","project_id":79,"tracker_id":40,"status_id":1,"priority_id":2,"assigned_to_id":23,"start_date":"2016-10-01","description":"","custom_fields":[{"id":1,"name":"Subdivision","value":"EC"},{"id":4,"name":"Milepost","value":"23.3314"},{"id":17,"name":"Train ID","value":"185-01"},{"id":16,"name":"Locomotive ID","value":"4011"},{"id":130,"name":"Impact","value":""},{"id":150,"name":"Time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626</v>
      </c>
      <c r="B108" s="7">
        <v>4012</v>
      </c>
      <c r="C108" s="24" t="s">
        <v>106</v>
      </c>
      <c r="D108" s="24" t="s">
        <v>627</v>
      </c>
      <c r="E108" s="15">
        <v>42644.626585648148</v>
      </c>
      <c r="F108" s="15">
        <v>42644.633032407408</v>
      </c>
      <c r="G108" s="7">
        <v>1</v>
      </c>
      <c r="H108" s="15" t="s">
        <v>628</v>
      </c>
      <c r="I108" s="15">
        <v>42644.660115740742</v>
      </c>
      <c r="J108" s="7">
        <v>0</v>
      </c>
      <c r="K108" s="117" t="str">
        <f t="shared" si="22"/>
        <v>4011/4012</v>
      </c>
      <c r="L108" s="24" t="str">
        <f>VLOOKUP(A108,'Trips&amp;Operators'!$C$1:$E$10000,3,FALSE)</f>
        <v>STORY</v>
      </c>
      <c r="M108" s="6">
        <f t="shared" si="23"/>
        <v>2.7083333334303461E-2</v>
      </c>
      <c r="N108" s="7">
        <f t="shared" si="38"/>
        <v>39.000000001396984</v>
      </c>
      <c r="O108" s="7"/>
      <c r="P108" s="7"/>
      <c r="Q108" s="25"/>
      <c r="R108" s="25"/>
      <c r="S108" s="37">
        <f t="shared" si="37"/>
        <v>1</v>
      </c>
      <c r="T108" s="52" t="str">
        <f t="shared" si="24"/>
        <v>Southbound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14:02:17-0600',mode:absolute,to:'2016-10-01 16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8" s="54" t="str">
        <f t="shared" si="26"/>
        <v>N</v>
      </c>
      <c r="X108" s="164">
        <f t="shared" si="27"/>
        <v>1</v>
      </c>
      <c r="Y108" s="69">
        <f t="shared" si="28"/>
        <v>23.3005</v>
      </c>
      <c r="Z108" s="69">
        <f t="shared" si="29"/>
        <v>1.2500000000000001E-2</v>
      </c>
      <c r="AA108" s="69">
        <f t="shared" si="30"/>
        <v>23.288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1"/>
        <v>0186-01</v>
      </c>
      <c r="AE108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108" s="92" t="str">
        <f t="shared" si="33"/>
        <v>"C:\Program Files (x86)\AstroGrep\AstroGrep.exe" /spath="%USERPROFILE%\AppData\Local\Temp\OnboardLogs" /stypes="app*4012*20161001*" /stext=" 21:.+((SYSTEM_STATE.+slice.+state.+changed )|(ment ac)|(system.+state.+changed )|(\[timeout)|(PRM\|1\|D)|(kpr)|(kdp)|(\|lc)|(penalty))" /e /r /s</v>
      </c>
      <c r="AG108" s="1" t="str">
        <f t="shared" si="34"/>
        <v>EC</v>
      </c>
      <c r="AH108" s="96" t="str">
        <f t="shared" si="35"/>
        <v>"%USERPROFILE%\Documents\GitHub\eaglep3\Utilities\RefineRTDCRunTimes.py" --tripid 186-01 --locoid 4012 --swversion DE.1.0.7.0 --startMP 204:233005 --initTime 2016-10-01T15:02:17 --startdatetime 2016-10-01T15:11:34 --delay 1 --endMP 204:125 --enddatetime 2016-10-01T15:50:34 --enforcementcount 0 &gt;&gt;C:\Users\stu\Documents\GitHub\eaglep3-reporting\EC\2016-10-01-refined-times.txt</v>
      </c>
      <c r="AI108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{"issue":{"subject":"","project_id":79,"tracker_id":40,"status_id":1,"priority_id":2,"assigned_to_id":23,"start_date":"2016-10-01","description":"","custom_fields":[{"id":1,"name":"Subdivision","value":"EC"},{"id":4,"name":"Milepost","value":"0.0125"},{"id":17,"name":"Train ID","value":"186-01"},{"id":16,"name":"Locomotive ID","value":"4012"},{"id":130,"name":"Impact","value":""},{"id":150,"name":"Time of Event (Mountain Time)","value":"15:50:34"},{"id":151,"name":"Denver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629</v>
      </c>
      <c r="B109" s="7">
        <v>4046</v>
      </c>
      <c r="C109" s="24" t="s">
        <v>106</v>
      </c>
      <c r="D109" s="24" t="s">
        <v>210</v>
      </c>
      <c r="E109" s="15">
        <v>42644.600740740738</v>
      </c>
      <c r="F109" s="15">
        <v>42644.604409722226</v>
      </c>
      <c r="G109" s="7">
        <v>2</v>
      </c>
      <c r="H109" s="15" t="s">
        <v>466</v>
      </c>
      <c r="I109" s="15">
        <v>42644.629756944443</v>
      </c>
      <c r="J109" s="7">
        <v>0</v>
      </c>
      <c r="K109" s="117" t="str">
        <f t="shared" si="22"/>
        <v>4045/4046</v>
      </c>
      <c r="L109" s="24" t="str">
        <f>VLOOKUP(A109,'Trips&amp;Operators'!$C$1:$E$10000,3,FALSE)</f>
        <v>STEWART</v>
      </c>
      <c r="M109" s="6">
        <f t="shared" si="23"/>
        <v>2.5347222217533272E-2</v>
      </c>
      <c r="N109" s="7">
        <f t="shared" si="38"/>
        <v>36.499999993247911</v>
      </c>
      <c r="O109" s="7"/>
      <c r="P109" s="7"/>
      <c r="Q109" s="25"/>
      <c r="R109" s="25"/>
      <c r="S109" s="37">
        <f t="shared" si="37"/>
        <v>1</v>
      </c>
      <c r="T109" s="52" t="str">
        <f t="shared" si="24"/>
        <v>NorthBound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13:25:04-0600',mode:absolute,to:'2016-10-01 16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9" s="54" t="str">
        <f t="shared" si="26"/>
        <v>N</v>
      </c>
      <c r="X109" s="164">
        <f t="shared" ref="X109:X127" si="39">VALUE(LEFT(AD109,4))-VALUE(LEFT(AD108,4))</f>
        <v>1</v>
      </c>
      <c r="Y109" s="69">
        <f t="shared" si="28"/>
        <v>4.5100000000000001E-2</v>
      </c>
      <c r="Z109" s="69">
        <f t="shared" si="29"/>
        <v>23.334399999999999</v>
      </c>
      <c r="AA109" s="69">
        <f t="shared" si="30"/>
        <v>23.289299999999997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1"/>
        <v>0187-01</v>
      </c>
      <c r="AE109" s="95" t="str">
        <f t="shared" si="3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109" s="92" t="str">
        <f t="shared" si="33"/>
        <v>"C:\Program Files (x86)\AstroGrep\AstroGrep.exe" /spath="%USERPROFILE%\AppData\Local\Temp\OnboardLogs" /stypes="app*4046*20161001*" /stext=" 21:.+((SYSTEM_STATE.+slice.+state.+changed )|(ment ac)|(system.+state.+changed )|(\[timeout)|(PRM\|1\|D)|(kpr)|(kdp)|(\|lc)|(penalty))" /e /r /s</v>
      </c>
      <c r="AG109" s="1" t="str">
        <f t="shared" si="34"/>
        <v>EC</v>
      </c>
      <c r="AH109" s="96" t="str">
        <f t="shared" si="35"/>
        <v>"%USERPROFILE%\Documents\GitHub\eaglep3\Utilities\RefineRTDCRunTimes.py" --tripid 187-01 --locoid 4046 --swversion DE.1.0.7.0 --startMP 204:451 --initTime 2016-10-01T14:25:04 --startdatetime 2016-10-01T14:30:21 --delay 2 --endMP 204:233344 --enddatetime 2016-10-01T15:06:51 --enforcementcount 0 &gt;&gt;C:\Users\stu\Documents\GitHub\eaglep3-reporting\EC\2016-10-01-refined-times.txt</v>
      </c>
      <c r="AI10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{"issue":{"subject":"","project_id":79,"tracker_id":40,"status_id":1,"priority_id":2,"assigned_to_id":23,"start_date":"2016-10-01","description":"","custom_fields":[{"id":1,"name":"Subdivision","value":"EC"},{"id":4,"name":"Milepost","value":"23.3344"},{"id":17,"name":"Train ID","value":"187-01"},{"id":16,"name":"Locomotive ID","value":"4046"},{"id":130,"name":"Impact","value":""},{"id":150,"name":"Time of Event (Mountain Time)","value":"15:06:51"},{"id":151,"name":"Denver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630</v>
      </c>
      <c r="B110" s="7">
        <v>4045</v>
      </c>
      <c r="C110" s="24" t="s">
        <v>106</v>
      </c>
      <c r="D110" s="24" t="s">
        <v>333</v>
      </c>
      <c r="E110" s="15">
        <v>42644.639189814814</v>
      </c>
      <c r="F110" s="15">
        <v>42644.64334490741</v>
      </c>
      <c r="G110" s="7">
        <v>2</v>
      </c>
      <c r="H110" s="15" t="s">
        <v>199</v>
      </c>
      <c r="I110" s="15">
        <v>42644.670451388891</v>
      </c>
      <c r="J110" s="7">
        <v>0</v>
      </c>
      <c r="K110" s="117" t="str">
        <f t="shared" si="22"/>
        <v>4045/4046</v>
      </c>
      <c r="L110" s="24" t="str">
        <f>VLOOKUP(A110,'Trips&amp;Operators'!$C$1:$E$10000,3,FALSE)</f>
        <v>STEWART</v>
      </c>
      <c r="M110" s="6">
        <f t="shared" si="23"/>
        <v>2.7106481480586808E-2</v>
      </c>
      <c r="N110" s="7">
        <f t="shared" si="38"/>
        <v>39.033333332045004</v>
      </c>
      <c r="O110" s="7"/>
      <c r="P110" s="7"/>
      <c r="Q110" s="25"/>
      <c r="R110" s="25"/>
      <c r="S110" s="37">
        <f t="shared" si="37"/>
        <v>1</v>
      </c>
      <c r="T110" s="52" t="str">
        <f t="shared" si="24"/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14:20:26-0600',mode:absolute,to:'2016-10-01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0" s="54" t="str">
        <f t="shared" si="26"/>
        <v>N</v>
      </c>
      <c r="X110" s="164">
        <f t="shared" si="39"/>
        <v>1</v>
      </c>
      <c r="Y110" s="69">
        <f t="shared" si="28"/>
        <v>23.3004</v>
      </c>
      <c r="Z110" s="69">
        <f t="shared" si="29"/>
        <v>1.49E-2</v>
      </c>
      <c r="AA110" s="69">
        <f t="shared" si="30"/>
        <v>23.285499999999999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1"/>
        <v>0188-01</v>
      </c>
      <c r="AE110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110" s="92" t="str">
        <f t="shared" si="33"/>
        <v>"C:\Program Files (x86)\AstroGrep\AstroGrep.exe" /spath="%USERPROFILE%\AppData\Local\Temp\OnboardLogs" /stypes="app*4045*20161001*"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6" t="str">
        <f t="shared" si="35"/>
        <v>"%USERPROFILE%\Documents\GitHub\eaglep3\Utilities\RefineRTDCRunTimes.py" --tripid 188-01 --locoid 4045 --swversion DE.1.0.7.0 --startMP 204:233004 --initTime 2016-10-01T15:20:26 --startdatetime 2016-10-01T15:26:25 --delay 2 --endMP 204:149 --enddatetime 2016-10-01T16:05:27 --enforcementcount 0 &gt;&gt;C:\Users\stu\Documents\GitHub\eaglep3-reporting\EC\2016-10-01-refined-times.txt</v>
      </c>
      <c r="AI11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{"issue":{"subject":"","project_id":79,"tracker_id":40,"status_id":1,"priority_id":2,"assigned_to_id":23,"start_date":"2016-10-01","description":"","custom_fields":[{"id":1,"name":"Subdivision","value":"EC"},{"id":4,"name":"Milepost","value":"0.0149"},{"id":17,"name":"Train ID","value":"188-01"},{"id":16,"name":"Locomotive ID","value":"4045"},{"id":130,"name":"Impact","value":""},{"id":150,"name":"Time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631</v>
      </c>
      <c r="B111" s="7">
        <v>4018</v>
      </c>
      <c r="C111" s="24" t="s">
        <v>106</v>
      </c>
      <c r="D111" s="24" t="s">
        <v>212</v>
      </c>
      <c r="E111" s="15">
        <v>42644.610474537039</v>
      </c>
      <c r="F111" s="15">
        <v>42644.614849537036</v>
      </c>
      <c r="G111" s="7">
        <v>1</v>
      </c>
      <c r="H111" s="15" t="s">
        <v>323</v>
      </c>
      <c r="I111" s="15">
        <v>42644.640497685185</v>
      </c>
      <c r="J111" s="7">
        <v>0</v>
      </c>
      <c r="K111" s="117" t="str">
        <f t="shared" si="22"/>
        <v>4017/4018</v>
      </c>
      <c r="L111" s="24" t="str">
        <f>VLOOKUP(A111,'Trips&amp;Operators'!$C$1:$E$10000,3,FALSE)</f>
        <v>BARTLETT</v>
      </c>
      <c r="M111" s="6">
        <f t="shared" si="23"/>
        <v>2.5648148148320615E-2</v>
      </c>
      <c r="N111" s="7">
        <f t="shared" si="38"/>
        <v>36.933333333581686</v>
      </c>
      <c r="O111" s="7"/>
      <c r="P111" s="7"/>
      <c r="Q111" s="25"/>
      <c r="R111" s="25"/>
      <c r="S111" s="37">
        <f t="shared" si="37"/>
        <v>1</v>
      </c>
      <c r="T111" s="52" t="str">
        <f t="shared" si="24"/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13:39:05-0600',mode:absolute,to:'2016-10-01 16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1" s="54" t="str">
        <f t="shared" si="26"/>
        <v>N</v>
      </c>
      <c r="X111" s="164">
        <f t="shared" si="39"/>
        <v>1</v>
      </c>
      <c r="Y111" s="69">
        <f t="shared" si="28"/>
        <v>4.58E-2</v>
      </c>
      <c r="Z111" s="69">
        <f t="shared" si="29"/>
        <v>23.327999999999999</v>
      </c>
      <c r="AA111" s="69">
        <f t="shared" si="30"/>
        <v>23.2822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1"/>
        <v>0189-01</v>
      </c>
      <c r="AE111" s="95" t="str">
        <f t="shared" si="3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11" s="92" t="str">
        <f t="shared" si="33"/>
        <v>"C:\Program Files (x86)\AstroGrep\AstroGrep.exe" /spath="%USERPROFILE%\AppData\Local\Temp\OnboardLogs" /stypes="app*4018*20161001*" /stext=" 21:.+((SYSTEM_STATE.+slice.+state.+changed )|(ment ac)|(system.+state.+changed )|(\[timeout)|(PRM\|1\|D)|(kpr)|(kdp)|(\|lc)|(penalty))" /e /r /s</v>
      </c>
      <c r="AG111" s="1" t="str">
        <f t="shared" si="34"/>
        <v>EC</v>
      </c>
      <c r="AH111" s="96" t="str">
        <f t="shared" si="35"/>
        <v>"%USERPROFILE%\Documents\GitHub\eaglep3\Utilities\RefineRTDCRunTimes.py" --tripid 189-01 --locoid 4018 --swversion DE.1.0.7.0 --startMP 204:458 --initTime 2016-10-01T14:39:05 --startdatetime 2016-10-01T14:45:23 --delay 1 --endMP 204:233280 --enddatetime 2016-10-01T15:22:19 --enforcementcount 0 &gt;&gt;C:\Users\stu\Documents\GitHub\eaglep3-reporting\EC\2016-10-01-refined-times.txt</v>
      </c>
      <c r="AI111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{"issue":{"subject":"","project_id":79,"tracker_id":40,"status_id":1,"priority_id":2,"assigned_to_id":23,"start_date":"2016-10-01","description":"","custom_fields":[{"id":1,"name":"Subdivision","value":"EC"},{"id":4,"name":"Milepost","value":"23.328"},{"id":17,"name":"Train ID","value":"189-01"},{"id":16,"name":"Locomotive ID","value":"4018"},{"id":130,"name":"Impact","value":""},{"id":150,"name":"Time of Event (Mountain Time)","value":"15:22:19"},{"id":151,"name":"Denver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632</v>
      </c>
      <c r="B112" s="7">
        <v>4017</v>
      </c>
      <c r="C112" s="24" t="s">
        <v>106</v>
      </c>
      <c r="D112" s="24" t="s">
        <v>286</v>
      </c>
      <c r="E112" s="15">
        <v>42644.642372685186</v>
      </c>
      <c r="F112" s="15">
        <v>42644.653645833336</v>
      </c>
      <c r="G112" s="7">
        <v>1</v>
      </c>
      <c r="H112" s="15" t="s">
        <v>548</v>
      </c>
      <c r="I112" s="15">
        <v>42644.683912037035</v>
      </c>
      <c r="J112" s="7">
        <v>0</v>
      </c>
      <c r="K112" s="117" t="str">
        <f t="shared" si="22"/>
        <v>4017/4018</v>
      </c>
      <c r="L112" s="24" t="str">
        <f>VLOOKUP(A112,'Trips&amp;Operators'!$C$1:$E$10000,3,FALSE)</f>
        <v>BARTLETT</v>
      </c>
      <c r="M112" s="6">
        <f t="shared" si="23"/>
        <v>3.0266203699284233E-2</v>
      </c>
      <c r="N112" s="7">
        <f t="shared" si="38"/>
        <v>43.583333326969296</v>
      </c>
      <c r="O112" s="7"/>
      <c r="P112" s="7"/>
      <c r="Q112" s="25"/>
      <c r="R112" s="25"/>
      <c r="S112" s="37">
        <f t="shared" si="37"/>
        <v>1</v>
      </c>
      <c r="T112" s="52" t="str">
        <f t="shared" si="24"/>
        <v>Southbound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14:25:01-0600',mode:absolute,to:'2016-10-01 17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2" s="54" t="str">
        <f t="shared" si="26"/>
        <v>N</v>
      </c>
      <c r="X112" s="164">
        <f t="shared" si="39"/>
        <v>1</v>
      </c>
      <c r="Y112" s="69">
        <f t="shared" si="28"/>
        <v>23.2986</v>
      </c>
      <c r="Z112" s="69">
        <f t="shared" si="29"/>
        <v>1.6299999999999999E-2</v>
      </c>
      <c r="AA112" s="69">
        <f t="shared" si="30"/>
        <v>23.282299999999999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1"/>
        <v>0190-01</v>
      </c>
      <c r="AE112" s="95" t="str">
        <f t="shared" si="3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112" s="92" t="str">
        <f t="shared" si="33"/>
        <v>"C:\Program Files (x86)\AstroGrep\AstroGrep.exe" /spath="%USERPROFILE%\AppData\Local\Temp\OnboardLogs" /stypes="app*4017*20161001*"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6" t="str">
        <f t="shared" si="35"/>
        <v>"%USERPROFILE%\Documents\GitHub\eaglep3\Utilities\RefineRTDCRunTimes.py" --tripid 190-01 --locoid 4017 --swversion DE.1.0.7.0 --startMP 204:232986 --initTime 2016-10-01T15:25:01 --startdatetime 2016-10-01T15:41:15 --delay 1 --endMP 204:163 --enddatetime 2016-10-01T16:24:50 --enforcementcount 0 &gt;&gt;C:\Users\stu\Documents\GitHub\eaglep3-reporting\EC\2016-10-01-refined-times.txt</v>
      </c>
      <c r="AI11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{"issue":{"subject":"","project_id":79,"tracker_id":40,"status_id":1,"priority_id":2,"assigned_to_id":23,"start_date":"2016-10-01","description":"","custom_fields":[{"id":1,"name":"Subdivision","value":"EC"},{"id":4,"name":"Milepost","value":"0.0163"},{"id":17,"name":"Train ID","value":"190-01"},{"id":16,"name":"Locomotive ID","value":"4017"},{"id":130,"name":"Impact","value":""},{"id":150,"name":"Time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636</v>
      </c>
      <c r="B113" s="7">
        <v>4009</v>
      </c>
      <c r="C113" s="24" t="s">
        <v>106</v>
      </c>
      <c r="D113" s="24" t="s">
        <v>242</v>
      </c>
      <c r="E113" s="15">
        <v>42644.620671296296</v>
      </c>
      <c r="F113" s="15">
        <v>42644.625428240739</v>
      </c>
      <c r="G113" s="7">
        <v>1</v>
      </c>
      <c r="H113" s="15" t="s">
        <v>637</v>
      </c>
      <c r="I113" s="15">
        <v>42644.651388888888</v>
      </c>
      <c r="J113" s="7">
        <v>0</v>
      </c>
      <c r="K113" s="117" t="str">
        <f t="shared" si="22"/>
        <v>4009/4010</v>
      </c>
      <c r="L113" s="24" t="str">
        <f>VLOOKUP(A113,'Trips&amp;Operators'!$C$1:$E$10000,3,FALSE)</f>
        <v>MOSES</v>
      </c>
      <c r="M113" s="6">
        <f t="shared" si="23"/>
        <v>2.5960648148611654E-2</v>
      </c>
      <c r="N113" s="7">
        <f t="shared" si="38"/>
        <v>37.383333334000781</v>
      </c>
      <c r="O113" s="7"/>
      <c r="P113" s="7"/>
      <c r="Q113" s="25"/>
      <c r="R113" s="25"/>
      <c r="S113" s="37">
        <f t="shared" si="37"/>
        <v>1</v>
      </c>
      <c r="T113" s="52" t="str">
        <f t="shared" si="24"/>
        <v>NorthBound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13:53:46-0600',mode:absolute,to:'2016-10-01 16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3" s="54" t="str">
        <f t="shared" si="26"/>
        <v>N</v>
      </c>
      <c r="X113" s="164">
        <f t="shared" si="39"/>
        <v>1</v>
      </c>
      <c r="Y113" s="69">
        <f t="shared" si="28"/>
        <v>4.3799999999999999E-2</v>
      </c>
      <c r="Z113" s="69">
        <f t="shared" si="29"/>
        <v>23.332100000000001</v>
      </c>
      <c r="AA113" s="69">
        <f t="shared" si="30"/>
        <v>23.2883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1"/>
        <v>0191-01</v>
      </c>
      <c r="AE113" s="95" t="str">
        <f t="shared" si="3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13" s="92" t="str">
        <f t="shared" si="33"/>
        <v>"C:\Program Files (x86)\AstroGrep\AstroGrep.exe" /spath="%USERPROFILE%\AppData\Local\Temp\OnboardLogs" /stypes="app*4009*20161001*" /stext=" 21:.+((SYSTEM_STATE.+slice.+state.+changed )|(ment ac)|(system.+state.+changed )|(\[timeout)|(PRM\|1\|D)|(kpr)|(kdp)|(\|lc)|(penalty))" /e /r /s</v>
      </c>
      <c r="AG113" s="1" t="str">
        <f t="shared" si="34"/>
        <v>EC</v>
      </c>
      <c r="AH113" s="96" t="str">
        <f t="shared" si="35"/>
        <v>"%USERPROFILE%\Documents\GitHub\eaglep3\Utilities\RefineRTDCRunTimes.py" --tripid 191-01 --locoid 4009 --swversion DE.1.0.7.0 --startMP 204:438 --initTime 2016-10-01T14:53:46 --startdatetime 2016-10-01T15:00:37 --delay 1 --endMP 204:233321 --enddatetime 2016-10-01T15:38:00 --enforcementcount 0 &gt;&gt;C:\Users\stu\Documents\GitHub\eaglep3-reporting\EC\2016-10-01-refined-times.txt</v>
      </c>
      <c r="AI11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{"issue":{"subject":"","project_id":79,"tracker_id":40,"status_id":1,"priority_id":2,"assigned_to_id":23,"start_date":"2016-10-01","description":"","custom_fields":[{"id":1,"name":"Subdivision","value":"EC"},{"id":4,"name":"Milepost","value":"23.3321"},{"id":17,"name":"Train ID","value":"191-01"},{"id":16,"name":"Locomotive ID","value":"4009"},{"id":130,"name":"Impact","value":""},{"id":150,"name":"Time of Event (Mountain Time)","value":"15:38:00"},{"id":151,"name":"Denver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638</v>
      </c>
      <c r="B114" s="7">
        <v>4010</v>
      </c>
      <c r="C114" s="24" t="s">
        <v>106</v>
      </c>
      <c r="D114" s="24" t="s">
        <v>334</v>
      </c>
      <c r="E114" s="15">
        <v>42644.659143518518</v>
      </c>
      <c r="F114" s="15">
        <v>42644.664131944446</v>
      </c>
      <c r="G114" s="7">
        <v>2</v>
      </c>
      <c r="H114" s="15" t="s">
        <v>228</v>
      </c>
      <c r="I114" s="15">
        <v>42644.697013888886</v>
      </c>
      <c r="J114" s="7">
        <v>0</v>
      </c>
      <c r="K114" s="117" t="str">
        <f t="shared" si="22"/>
        <v>4009/4010</v>
      </c>
      <c r="L114" s="24" t="str">
        <f>VLOOKUP(A114,'Trips&amp;Operators'!$C$1:$E$10000,3,FALSE)</f>
        <v>MOSES</v>
      </c>
      <c r="M114" s="6">
        <f t="shared" si="23"/>
        <v>3.2881944440305233E-2</v>
      </c>
      <c r="N114" s="7">
        <f t="shared" si="38"/>
        <v>47.349999994039536</v>
      </c>
      <c r="O114" s="7"/>
      <c r="P114" s="7"/>
      <c r="Q114" s="25"/>
      <c r="R114" s="25"/>
      <c r="S114" s="37">
        <f t="shared" si="37"/>
        <v>1</v>
      </c>
      <c r="T114" s="52" t="str">
        <f t="shared" si="24"/>
        <v>Southbound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14:49:10-0600',mode:absolute,to:'2016-10-01 17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4" s="54" t="str">
        <f t="shared" si="26"/>
        <v>N</v>
      </c>
      <c r="X114" s="164">
        <f t="shared" si="39"/>
        <v>1</v>
      </c>
      <c r="Y114" s="69">
        <f t="shared" si="28"/>
        <v>23.3002</v>
      </c>
      <c r="Z114" s="69">
        <f t="shared" si="29"/>
        <v>1.41E-2</v>
      </c>
      <c r="AA114" s="69">
        <f t="shared" si="30"/>
        <v>23.286100000000001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1"/>
        <v>0192-01</v>
      </c>
      <c r="AE114" s="95" t="str">
        <f t="shared" si="3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14" s="92" t="str">
        <f t="shared" si="33"/>
        <v>"C:\Program Files (x86)\AstroGrep\AstroGrep.exe" /spath="%USERPROFILE%\AppData\Local\Temp\OnboardLogs" /stypes="app*4010*20161001*" /stext=" 22:.+((SYSTEM_STATE.+slice.+state.+changed )|(ment ac)|(system.+state.+changed )|(\[timeout)|(PRM\|1\|D)|(kpr)|(kdp)|(\|lc)|(penalty))" /e /r /s</v>
      </c>
      <c r="AG114" s="1" t="str">
        <f t="shared" si="34"/>
        <v>EC</v>
      </c>
      <c r="AH114" s="96" t="str">
        <f t="shared" si="35"/>
        <v>"%USERPROFILE%\Documents\GitHub\eaglep3\Utilities\RefineRTDCRunTimes.py" --tripid 192-01 --locoid 4010 --swversion DE.1.0.7.0 --startMP 204:233002 --initTime 2016-10-01T15:49:10 --startdatetime 2016-10-01T15:56:21 --delay 2 --endMP 204:141 --enddatetime 2016-10-01T16:43:42 --enforcementcount 0 &gt;&gt;C:\Users\stu\Documents\GitHub\eaglep3-reporting\EC\2016-10-01-refined-times.txt</v>
      </c>
      <c r="AI11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ID","value":"192-01"},{"id":16,"name":"Locomotive ID","value":"4010"},{"id":130,"name":"Impact","value":""},{"id":150,"name":"Time of Event (Mountain Time)","value":"16:43:42"},{"id":151,"name":"Denver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639</v>
      </c>
      <c r="B115" s="7">
        <v>4014</v>
      </c>
      <c r="C115" s="24" t="s">
        <v>106</v>
      </c>
      <c r="D115" s="24" t="s">
        <v>247</v>
      </c>
      <c r="E115" s="15">
        <v>42644.630335648151</v>
      </c>
      <c r="F115" s="15">
        <v>42644.635682870372</v>
      </c>
      <c r="G115" s="7">
        <v>1</v>
      </c>
      <c r="H115" s="15" t="s">
        <v>337</v>
      </c>
      <c r="I115" s="15">
        <v>42644.661319444444</v>
      </c>
      <c r="J115" s="7">
        <v>0</v>
      </c>
      <c r="K115" s="117" t="str">
        <f t="shared" si="22"/>
        <v>4013/4014</v>
      </c>
      <c r="L115" s="24" t="str">
        <f>VLOOKUP(A115,'Trips&amp;Operators'!$C$1:$E$10000,3,FALSE)</f>
        <v>SHOOK</v>
      </c>
      <c r="M115" s="6">
        <f t="shared" si="23"/>
        <v>2.5636574071540963E-2</v>
      </c>
      <c r="N115" s="7">
        <f t="shared" si="38"/>
        <v>36.916666663018987</v>
      </c>
      <c r="O115" s="7"/>
      <c r="P115" s="7"/>
      <c r="Q115" s="25"/>
      <c r="R115" s="25"/>
      <c r="S115" s="37">
        <f t="shared" ref="S115:S146" si="40">SUM(U115:U115)/IF(AG115="EC",12,1)</f>
        <v>1</v>
      </c>
      <c r="T115" s="52" t="str">
        <f t="shared" si="24"/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14:07:41-0600',mode:absolute,to:'2016-10-01 16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5" s="54" t="str">
        <f t="shared" si="26"/>
        <v>N</v>
      </c>
      <c r="X115" s="164">
        <f t="shared" si="39"/>
        <v>1</v>
      </c>
      <c r="Y115" s="69">
        <f t="shared" si="28"/>
        <v>4.7300000000000002E-2</v>
      </c>
      <c r="Z115" s="69">
        <f t="shared" si="29"/>
        <v>23.337599999999998</v>
      </c>
      <c r="AA115" s="69">
        <f t="shared" si="30"/>
        <v>23.290299999999998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1"/>
        <v>0193-01</v>
      </c>
      <c r="AE115" s="95" t="str">
        <f t="shared" si="3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115" s="92" t="str">
        <f t="shared" si="33"/>
        <v>"C:\Program Files (x86)\AstroGrep\AstroGrep.exe" /spath="%USERPROFILE%\AppData\Local\Temp\OnboardLogs" /stypes="app*4014*20161001*" /stext=" 21:.+((SYSTEM_STATE.+slice.+state.+changed )|(ment ac)|(system.+state.+changed )|(\[timeout)|(PRM\|1\|D)|(kpr)|(kdp)|(\|lc)|(penalty))" /e /r /s</v>
      </c>
      <c r="AG115" s="1" t="str">
        <f t="shared" si="34"/>
        <v>EC</v>
      </c>
      <c r="AH115" s="96" t="str">
        <f t="shared" si="35"/>
        <v>"%USERPROFILE%\Documents\GitHub\eaglep3\Utilities\RefineRTDCRunTimes.py" --tripid 193-01 --locoid 4014 --swversion DE.1.0.7.0 --startMP 204:473 --initTime 2016-10-01T15:07:41 --startdatetime 2016-10-01T15:15:23 --delay 1 --endMP 204:233376 --enddatetime 2016-10-01T15:52:18 --enforcementcount 0 &gt;&gt;C:\Users\stu\Documents\GitHub\eaglep3-reporting\EC\2016-10-01-refined-times.txt</v>
      </c>
      <c r="AI115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{"issue":{"subject":"","project_id":79,"tracker_id":40,"status_id":1,"priority_id":2,"assigned_to_id":23,"start_date":"2016-10-01","description":"","custom_fields":[{"id":1,"name":"Subdivision","value":"EC"},{"id":4,"name":"Milepost","value":"23.3376"},{"id":17,"name":"Train ID","value":"193-01"},{"id":16,"name":"Locomotive ID","value":"4014"},{"id":130,"name":"Impact","value":""},{"id":150,"name":"Time of Event (Mountain Time)","value":"15:52:18"},{"id":151,"name":"Denver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640</v>
      </c>
      <c r="B116" s="7">
        <v>4013</v>
      </c>
      <c r="C116" s="24" t="s">
        <v>106</v>
      </c>
      <c r="D116" s="24" t="s">
        <v>406</v>
      </c>
      <c r="E116" s="15">
        <v>42644.670694444445</v>
      </c>
      <c r="F116" s="15">
        <v>42644.674560185187</v>
      </c>
      <c r="G116" s="7">
        <v>1</v>
      </c>
      <c r="H116" s="15" t="s">
        <v>205</v>
      </c>
      <c r="I116" s="15">
        <v>42644.703275462962</v>
      </c>
      <c r="J116" s="7">
        <v>0</v>
      </c>
      <c r="K116" s="117" t="str">
        <f t="shared" si="22"/>
        <v>4013/4014</v>
      </c>
      <c r="L116" s="24" t="str">
        <f>VLOOKUP(A116,'Trips&amp;Operators'!$C$1:$E$10000,3,FALSE)</f>
        <v>SHOOK</v>
      </c>
      <c r="M116" s="6">
        <f t="shared" si="23"/>
        <v>2.8715277774608694E-2</v>
      </c>
      <c r="N116" s="7">
        <f t="shared" si="38"/>
        <v>41.349999995436519</v>
      </c>
      <c r="O116" s="7"/>
      <c r="P116" s="7"/>
      <c r="Q116" s="25"/>
      <c r="R116" s="25"/>
      <c r="S116" s="37">
        <f t="shared" si="40"/>
        <v>1</v>
      </c>
      <c r="T116" s="52" t="str">
        <f t="shared" si="24"/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15:05:48-0600',mode:absolute,to:'2016-10-01 17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6" s="54" t="str">
        <f t="shared" si="26"/>
        <v>N</v>
      </c>
      <c r="X116" s="164">
        <f t="shared" si="39"/>
        <v>1</v>
      </c>
      <c r="Y116" s="69">
        <f t="shared" si="28"/>
        <v>23.303000000000001</v>
      </c>
      <c r="Z116" s="69">
        <f t="shared" si="29"/>
        <v>1.4999999999999999E-2</v>
      </c>
      <c r="AA116" s="69">
        <f t="shared" si="30"/>
        <v>23.288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1"/>
        <v>0194-01</v>
      </c>
      <c r="AE116" s="95" t="str">
        <f t="shared" si="3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116" s="92" t="str">
        <f t="shared" si="33"/>
        <v>"C:\Program Files (x86)\AstroGrep\AstroGrep.exe" /spath="%USERPROFILE%\AppData\Local\Temp\OnboardLogs" /stypes="app*4013*20161001*" /stext=" 22:.+((SYSTEM_STATE.+slice.+state.+changed )|(ment ac)|(system.+state.+changed )|(\[timeout)|(PRM\|1\|D)|(kpr)|(kdp)|(\|lc)|(penalty))" /e /r /s</v>
      </c>
      <c r="AG116" s="1" t="str">
        <f t="shared" si="34"/>
        <v>EC</v>
      </c>
      <c r="AH116" s="96" t="str">
        <f t="shared" si="35"/>
        <v>"%USERPROFILE%\Documents\GitHub\eaglep3\Utilities\RefineRTDCRunTimes.py" --tripid 194-01 --locoid 4013 --swversion DE.1.0.7.0 --startMP 204:233030 --initTime 2016-10-01T16:05:48 --startdatetime 2016-10-01T16:11:22 --delay 1 --endMP 204:150 --enddatetime 2016-10-01T16:52:43 --enforcementcount 0 &gt;&gt;C:\Users\stu\Documents\GitHub\eaglep3-reporting\EC\2016-10-01-refined-times.txt</v>
      </c>
      <c r="AI11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{"issue":{"subject":"","project_id":79,"tracker_id":40,"status_id":1,"priority_id":2,"assigned_to_id":23,"start_date":"2016-10-01","description":"","custom_fields":[{"id":1,"name":"Subdivision","value":"EC"},{"id":4,"name":"Milepost","value":"0.015"},{"id":17,"name":"Train ID","value":"194-01"},{"id":16,"name":"Locomotive ID","value":"4013"},{"id":130,"name":"Impact","value":""},{"id":150,"name":"Time of Event (Mountain Time)","value":"16:52:43"},{"id":151,"name":"Denver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641</v>
      </c>
      <c r="B117" s="7">
        <v>4029</v>
      </c>
      <c r="C117" s="24" t="s">
        <v>106</v>
      </c>
      <c r="D117" s="24" t="s">
        <v>642</v>
      </c>
      <c r="E117" s="15">
        <v>42644.641342592593</v>
      </c>
      <c r="F117" s="15">
        <v>42644.646087962959</v>
      </c>
      <c r="G117" s="7">
        <v>1</v>
      </c>
      <c r="H117" s="15" t="s">
        <v>314</v>
      </c>
      <c r="I117" s="15">
        <v>42644.671793981484</v>
      </c>
      <c r="J117" s="7">
        <v>0</v>
      </c>
      <c r="K117" s="117" t="str">
        <f t="shared" si="22"/>
        <v>4029/4030</v>
      </c>
      <c r="L117" s="24" t="str">
        <f>VLOOKUP(A117,'Trips&amp;Operators'!$C$1:$E$10000,3,FALSE)</f>
        <v>SWANSON</v>
      </c>
      <c r="M117" s="6">
        <f t="shared" si="23"/>
        <v>2.570601852494292E-2</v>
      </c>
      <c r="N117" s="7">
        <f t="shared" si="38"/>
        <v>37.016666675917804</v>
      </c>
      <c r="O117" s="7"/>
      <c r="P117" s="7"/>
      <c r="Q117" s="25"/>
      <c r="R117" s="25"/>
      <c r="S117" s="37">
        <f t="shared" si="40"/>
        <v>1</v>
      </c>
      <c r="T117" s="52" t="str">
        <f t="shared" si="24"/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14:23:32-0600',mode:absolute,to:'2016-10-01 17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7" s="54" t="str">
        <f t="shared" si="26"/>
        <v>N</v>
      </c>
      <c r="X117" s="164">
        <f t="shared" si="39"/>
        <v>1</v>
      </c>
      <c r="Y117" s="69">
        <f t="shared" si="28"/>
        <v>5.11E-2</v>
      </c>
      <c r="Z117" s="69">
        <f t="shared" si="29"/>
        <v>23.3338</v>
      </c>
      <c r="AA117" s="69">
        <f t="shared" si="30"/>
        <v>23.282699999999998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1"/>
        <v>0195-01</v>
      </c>
      <c r="AE117" s="95" t="str">
        <f t="shared" si="32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17" s="92" t="str">
        <f t="shared" si="33"/>
        <v>"C:\Program Files (x86)\AstroGrep\AstroGrep.exe" /spath="%USERPROFILE%\AppData\Local\Temp\OnboardLogs" /stypes="app*4029*20161001*" /stext=" 22:.+((SYSTEM_STATE.+slice.+state.+changed )|(ment ac)|(system.+state.+changed )|(\[timeout)|(PRM\|1\|D)|(kpr)|(kdp)|(\|lc)|(penalty))" /e /r /s</v>
      </c>
      <c r="AG117" s="1" t="str">
        <f t="shared" si="34"/>
        <v>EC</v>
      </c>
      <c r="AH117" s="96" t="str">
        <f t="shared" si="35"/>
        <v>"%USERPROFILE%\Documents\GitHub\eaglep3\Utilities\RefineRTDCRunTimes.py" --tripid 195-01 --locoid 4029 --swversion DE.1.0.7.0 --startMP 204:511 --initTime 2016-10-01T15:23:32 --startdatetime 2016-10-01T15:30:22 --delay 1 --endMP 204:233338 --enddatetime 2016-10-01T16:07:23 --enforcementcount 0 &gt;&gt;C:\Users\stu\Documents\GitHub\eaglep3-reporting\EC\2016-10-01-refined-times.txt</v>
      </c>
      <c r="AI11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{"issue":{"subject":"","project_id":79,"tracker_id":40,"status_id":1,"priority_id":2,"assigned_to_id":23,"start_date":"2016-10-01","description":"","custom_fields":[{"id":1,"name":"Subdivision","value":"EC"},{"id":4,"name":"Milepost","value":"23.3338"},{"id":17,"name":"Train ID","value":"195-01"},{"id":16,"name":"Locomotive ID","value":"4029"},{"id":130,"name":"Impact","value":""},{"id":150,"name":"Time of Event (Mountain Time)","value":"16:07:23"},{"id":151,"name":"Denver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643</v>
      </c>
      <c r="B118" s="7">
        <v>4030</v>
      </c>
      <c r="C118" s="24" t="s">
        <v>106</v>
      </c>
      <c r="D118" s="24" t="s">
        <v>644</v>
      </c>
      <c r="E118" s="15">
        <v>42644.676030092596</v>
      </c>
      <c r="F118" s="15">
        <v>42644.685208333336</v>
      </c>
      <c r="G118" s="7">
        <v>1</v>
      </c>
      <c r="H118" s="15" t="s">
        <v>199</v>
      </c>
      <c r="I118" s="15">
        <v>42644.716180555559</v>
      </c>
      <c r="J118" s="7">
        <v>0</v>
      </c>
      <c r="K118" s="117" t="str">
        <f t="shared" si="22"/>
        <v>4029/4030</v>
      </c>
      <c r="L118" s="24" t="str">
        <f>VLOOKUP(A118,'Trips&amp;Operators'!$C$1:$E$10000,3,FALSE)</f>
        <v>SWANSON</v>
      </c>
      <c r="M118" s="6">
        <f t="shared" si="23"/>
        <v>3.0972222222771961E-2</v>
      </c>
      <c r="N118" s="7">
        <f t="shared" ref="N118:N149" si="41">24*60*SUM($M118:$M118)</f>
        <v>44.600000000791624</v>
      </c>
      <c r="O118" s="7"/>
      <c r="P118" s="7"/>
      <c r="Q118" s="25"/>
      <c r="R118" s="25"/>
      <c r="S118" s="37">
        <f t="shared" si="40"/>
        <v>1</v>
      </c>
      <c r="T118" s="52" t="str">
        <f t="shared" si="24"/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15:13:29-0600',mode:absolute,to:'2016-10-01 18:11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8" s="54" t="str">
        <f t="shared" si="26"/>
        <v>N</v>
      </c>
      <c r="X118" s="164">
        <f t="shared" si="39"/>
        <v>1</v>
      </c>
      <c r="Y118" s="69">
        <f t="shared" si="28"/>
        <v>23.303599999999999</v>
      </c>
      <c r="Z118" s="69">
        <f t="shared" si="29"/>
        <v>1.49E-2</v>
      </c>
      <c r="AA118" s="69">
        <f t="shared" si="30"/>
        <v>23.288699999999999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1"/>
        <v>0196-01</v>
      </c>
      <c r="AE118" s="95" t="str">
        <f t="shared" si="32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18" s="92" t="str">
        <f t="shared" si="33"/>
        <v>"C:\Program Files (x86)\AstroGrep\AstroGrep.exe" /spath="%USERPROFILE%\AppData\Local\Temp\OnboardLogs" /stypes="app*4030*20161001*" /stext=" 23:.+((SYSTEM_STATE.+slice.+state.+changed )|(ment ac)|(system.+state.+changed )|(\[timeout)|(PRM\|1\|D)|(kpr)|(kdp)|(\|lc)|(penalty))" /e /r /s</v>
      </c>
      <c r="AG118" s="1" t="str">
        <f t="shared" si="34"/>
        <v>EC</v>
      </c>
      <c r="AH118" s="96" t="str">
        <f t="shared" si="35"/>
        <v>"%USERPROFILE%\Documents\GitHub\eaglep3\Utilities\RefineRTDCRunTimes.py" --tripid 196-01 --locoid 4030 --swversion DE.1.0.7.0 --startMP 204:233036 --initTime 2016-10-01T16:13:29 --startdatetime 2016-10-01T16:26:42 --delay 1 --endMP 204:149 --enddatetime 2016-10-01T17:11:18 --enforcementcount 0 &gt;&gt;C:\Users\stu\Documents\GitHub\eaglep3-reporting\EC\2016-10-01-refined-times.txt</v>
      </c>
      <c r="AI118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{"issue":{"subject":"","project_id":79,"tracker_id":40,"status_id":1,"priority_id":2,"assigned_to_id":23,"start_date":"2016-10-01","description":"","custom_fields":[{"id":1,"name":"Subdivision","value":"EC"},{"id":4,"name":"Milepost","value":"0.0149"},{"id":17,"name":"Train ID","value":"196-01"},{"id":16,"name":"Locomotive ID","value":"4030"},{"id":130,"name":"Impact","value":""},{"id":150,"name":"Time of Event (Mountain Time)","value":"17:11:18"},{"id":151,"name":"Denver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645</v>
      </c>
      <c r="B119" s="7">
        <v>4003</v>
      </c>
      <c r="C119" s="24" t="s">
        <v>106</v>
      </c>
      <c r="D119" s="24" t="s">
        <v>247</v>
      </c>
      <c r="E119" s="15">
        <v>42644.652916666666</v>
      </c>
      <c r="F119" s="15">
        <v>42644.656539351854</v>
      </c>
      <c r="G119" s="7">
        <v>1</v>
      </c>
      <c r="H119" s="15" t="s">
        <v>311</v>
      </c>
      <c r="I119" s="15">
        <v>42644.688252314816</v>
      </c>
      <c r="J119" s="7">
        <v>0</v>
      </c>
      <c r="K119" s="117" t="str">
        <f t="shared" si="22"/>
        <v>4003/4004</v>
      </c>
      <c r="L119" s="24" t="str">
        <f>VLOOKUP(A119,'Trips&amp;Operators'!$C$1:$E$10000,3,FALSE)</f>
        <v>CLARK</v>
      </c>
      <c r="M119" s="6">
        <f t="shared" si="23"/>
        <v>3.1712962962046731E-2</v>
      </c>
      <c r="N119" s="7">
        <f t="shared" si="41"/>
        <v>45.666666665347293</v>
      </c>
      <c r="O119" s="7"/>
      <c r="P119" s="7"/>
      <c r="Q119" s="25"/>
      <c r="R119" s="25"/>
      <c r="S119" s="37">
        <f t="shared" si="40"/>
        <v>1</v>
      </c>
      <c r="T119" s="52" t="str">
        <f t="shared" si="24"/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14:40:12-0600',mode:absolute,to:'2016-10-01 17:31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19" s="54" t="str">
        <f t="shared" si="26"/>
        <v>N</v>
      </c>
      <c r="X119" s="164">
        <f t="shared" si="39"/>
        <v>1</v>
      </c>
      <c r="Y119" s="69">
        <f t="shared" si="28"/>
        <v>4.7300000000000002E-2</v>
      </c>
      <c r="Z119" s="69">
        <f t="shared" si="29"/>
        <v>23.328399999999998</v>
      </c>
      <c r="AA119" s="69">
        <f t="shared" si="30"/>
        <v>23.281099999999999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1"/>
        <v>0197-01</v>
      </c>
      <c r="AE119" s="95" t="str">
        <f t="shared" si="3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119" s="92" t="str">
        <f t="shared" si="33"/>
        <v>"C:\Program Files (x86)\AstroGrep\AstroGrep.exe" /spath="%USERPROFILE%\AppData\Local\Temp\OnboardLogs" /stypes="app*4003*20161001*" /stext=" 22:.+((SYSTEM_STATE.+slice.+state.+changed )|(ment ac)|(system.+state.+changed )|(\[timeout)|(PRM\|1\|D)|(kpr)|(kdp)|(\|lc)|(penalty))" /e /r /s</v>
      </c>
      <c r="AG119" s="1" t="str">
        <f t="shared" si="34"/>
        <v>EC</v>
      </c>
      <c r="AH119" s="96" t="str">
        <f t="shared" si="35"/>
        <v>"%USERPROFILE%\Documents\GitHub\eaglep3\Utilities\RefineRTDCRunTimes.py" --tripid 197-01 --locoid 4003 --swversion DE.1.0.7.0 --startMP 204:473 --initTime 2016-10-01T15:40:12 --startdatetime 2016-10-01T15:45:25 --delay 1 --endMP 204:233284 --enddatetime 2016-10-01T16:31:05 --enforcementcount 0 &gt;&gt;C:\Users\stu\Documents\GitHub\eaglep3-reporting\EC\2016-10-01-refined-times.txt</v>
      </c>
      <c r="AI11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{"issue":{"subject":"","project_id":79,"tracker_id":40,"status_id":1,"priority_id":2,"assigned_to_id":23,"start_date":"2016-10-01","description":"","custom_fields":[{"id":1,"name":"Subdivision","value":"EC"},{"id":4,"name":"Milepost","value":"23.3284"},{"id":17,"name":"Train ID","value":"197-01"},{"id":16,"name":"Locomotive ID","value":"4003"},{"id":130,"name":"Impact","value":""},{"id":150,"name":"Time of Event (Mountain Time)","value":"16:31:05"},{"id":151,"name":"Denver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646</v>
      </c>
      <c r="B120" s="7">
        <v>4004</v>
      </c>
      <c r="C120" s="24" t="s">
        <v>106</v>
      </c>
      <c r="D120" s="24" t="s">
        <v>284</v>
      </c>
      <c r="E120" s="15">
        <v>42644.692361111112</v>
      </c>
      <c r="F120" s="15">
        <v>42644.695347222223</v>
      </c>
      <c r="G120" s="7">
        <v>1</v>
      </c>
      <c r="H120" s="15" t="s">
        <v>221</v>
      </c>
      <c r="I120" s="15">
        <v>42644.72828703704</v>
      </c>
      <c r="J120" s="7">
        <v>0</v>
      </c>
      <c r="K120" s="117" t="str">
        <f t="shared" si="22"/>
        <v>4003/4004</v>
      </c>
      <c r="L120" s="24" t="str">
        <f>VLOOKUP(A120,'Trips&amp;Operators'!$C$1:$E$10000,3,FALSE)</f>
        <v>CLARK</v>
      </c>
      <c r="M120" s="6">
        <f t="shared" si="23"/>
        <v>3.2939814816927537E-2</v>
      </c>
      <c r="N120" s="7">
        <f t="shared" si="41"/>
        <v>47.433333336375654</v>
      </c>
      <c r="O120" s="7"/>
      <c r="P120" s="7"/>
      <c r="Q120" s="25"/>
      <c r="R120" s="25"/>
      <c r="S120" s="37">
        <f t="shared" si="40"/>
        <v>1</v>
      </c>
      <c r="T120" s="52" t="str">
        <f t="shared" si="24"/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15:37:00-0600',mode:absolute,to:'2016-10-01 18:28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0" s="54" t="str">
        <f t="shared" si="26"/>
        <v>N</v>
      </c>
      <c r="X120" s="164">
        <f t="shared" si="39"/>
        <v>1</v>
      </c>
      <c r="Y120" s="69">
        <f t="shared" si="28"/>
        <v>23.297799999999999</v>
      </c>
      <c r="Z120" s="69">
        <f t="shared" si="29"/>
        <v>1.5599999999999999E-2</v>
      </c>
      <c r="AA120" s="69">
        <f t="shared" si="30"/>
        <v>23.2822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1"/>
        <v>0198-01</v>
      </c>
      <c r="AE120" s="95" t="str">
        <f t="shared" si="3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120" s="92" t="str">
        <f t="shared" si="33"/>
        <v>"C:\Program Files (x86)\AstroGrep\AstroGrep.exe" /spath="%USERPROFILE%\AppData\Local\Temp\OnboardLogs" /stypes="app*4004*20161001*" /stext=" 23:.+((SYSTEM_STATE.+slice.+state.+changed )|(ment ac)|(system.+state.+changed )|(\[timeout)|(PRM\|1\|D)|(kpr)|(kdp)|(\|lc)|(penalty))" /e /r /s</v>
      </c>
      <c r="AG120" s="1" t="str">
        <f t="shared" si="34"/>
        <v>EC</v>
      </c>
      <c r="AH120" s="96" t="str">
        <f t="shared" si="35"/>
        <v>"%USERPROFILE%\Documents\GitHub\eaglep3\Utilities\RefineRTDCRunTimes.py" --tripid 198-01 --locoid 4004 --swversion DE.1.0.7.0 --startMP 204:232978 --initTime 2016-10-01T16:37:00 --startdatetime 2016-10-01T16:41:18 --delay 1 --endMP 204:156 --enddatetime 2016-10-01T17:28:44 --enforcementcount 0 &gt;&gt;C:\Users\stu\Documents\GitHub\eaglep3-reporting\EC\2016-10-01-refined-times.txt</v>
      </c>
      <c r="AI12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{"issue":{"subject":"","project_id":79,"tracker_id":40,"status_id":1,"priority_id":2,"assigned_to_id":23,"start_date":"2016-10-01","description":"","custom_fields":[{"id":1,"name":"Subdivision","value":"EC"},{"id":4,"name":"Milepost","value":"0.0156"},{"id":17,"name":"Train ID","value":"198-01"},{"id":16,"name":"Locomotive ID","value":"4004"},{"id":130,"name":"Impact","value":""},{"id":150,"name":"Time of Event (Mountain Time)","value":"17:28:44"},{"id":151,"name":"Denver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647</v>
      </c>
      <c r="B121" s="7">
        <v>4011</v>
      </c>
      <c r="C121" s="24" t="s">
        <v>106</v>
      </c>
      <c r="D121" s="24" t="s">
        <v>216</v>
      </c>
      <c r="E121" s="15">
        <v>42644.661898148152</v>
      </c>
      <c r="F121" s="15">
        <v>42644.664143518516</v>
      </c>
      <c r="G121" s="7">
        <v>1</v>
      </c>
      <c r="H121" s="15" t="s">
        <v>648</v>
      </c>
      <c r="I121" s="15">
        <v>42644.694606481484</v>
      </c>
      <c r="J121" s="7">
        <v>0</v>
      </c>
      <c r="K121" s="117" t="str">
        <f t="shared" si="22"/>
        <v>4011/4012</v>
      </c>
      <c r="L121" s="24" t="str">
        <f>VLOOKUP(A121,'Trips&amp;Operators'!$C$1:$E$10000,3,FALSE)</f>
        <v>STORY</v>
      </c>
      <c r="M121" s="6">
        <f t="shared" si="23"/>
        <v>3.0462962968158536E-2</v>
      </c>
      <c r="N121" s="7">
        <f t="shared" si="41"/>
        <v>43.866666674148291</v>
      </c>
      <c r="O121" s="7"/>
      <c r="P121" s="7"/>
      <c r="Q121" s="25"/>
      <c r="R121" s="25"/>
      <c r="S121" s="37">
        <f t="shared" si="40"/>
        <v>1</v>
      </c>
      <c r="T121" s="52" t="str">
        <f t="shared" si="24"/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14:53:08-0600',mode:absolute,to:'2016-10-01 17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1" s="54" t="str">
        <f t="shared" si="26"/>
        <v>N</v>
      </c>
      <c r="X121" s="164">
        <f t="shared" si="39"/>
        <v>1</v>
      </c>
      <c r="Y121" s="69">
        <f t="shared" si="28"/>
        <v>4.6199999999999998E-2</v>
      </c>
      <c r="Z121" s="69">
        <f t="shared" si="29"/>
        <v>23.3232</v>
      </c>
      <c r="AA121" s="69">
        <f t="shared" si="30"/>
        <v>23.277000000000001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1"/>
        <v>0199-01</v>
      </c>
      <c r="AE121" s="95" t="str">
        <f t="shared" si="3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21" s="92" t="str">
        <f t="shared" si="33"/>
        <v>"C:\Program Files (x86)\AstroGrep\AstroGrep.exe" /spath="%USERPROFILE%\AppData\Local\Temp\OnboardLogs" /stypes="app*4011*20161001*" /stext=" 22:.+((SYSTEM_STATE.+slice.+state.+changed )|(ment ac)|(system.+state.+changed )|(\[timeout)|(PRM\|1\|D)|(kpr)|(kdp)|(\|lc)|(penalty))" /e /r /s</v>
      </c>
      <c r="AG121" s="1" t="str">
        <f t="shared" si="34"/>
        <v>EC</v>
      </c>
      <c r="AH121" s="96" t="str">
        <f t="shared" si="35"/>
        <v>"%USERPROFILE%\Documents\GitHub\eaglep3\Utilities\RefineRTDCRunTimes.py" --tripid 199-01 --locoid 4011 --swversion DE.1.0.7.0 --startMP 204:462 --initTime 2016-10-01T15:53:08 --startdatetime 2016-10-01T15:56:22 --delay 1 --endMP 204:233232 --enddatetime 2016-10-01T16:40:14 --enforcementcount 0 &gt;&gt;C:\Users\stu\Documents\GitHub\eaglep3-reporting\EC\2016-10-01-refined-times.txt</v>
      </c>
      <c r="AI121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{"issue":{"subject":"","project_id":79,"tracker_id":40,"status_id":1,"priority_id":2,"assigned_to_id":23,"start_date":"2016-10-01","description":"","custom_fields":[{"id":1,"name":"Subdivision","value":"EC"},{"id":4,"name":"Milepost","value":"23.3232"},{"id":17,"name":"Train ID","value":"199-01"},{"id":16,"name":"Locomotive ID","value":"4011"},{"id":130,"name":"Impact","value":""},{"id":150,"name":"Time of Event (Mountain Time)","value":"16:40:14"},{"id":151,"name":"Denver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649</v>
      </c>
      <c r="B122" s="7">
        <v>4012</v>
      </c>
      <c r="C122" s="24" t="s">
        <v>106</v>
      </c>
      <c r="D122" s="24" t="s">
        <v>650</v>
      </c>
      <c r="E122" s="15">
        <v>42644.70003472222</v>
      </c>
      <c r="F122" s="15">
        <v>42644.705891203703</v>
      </c>
      <c r="G122" s="7">
        <v>1</v>
      </c>
      <c r="H122" s="15" t="s">
        <v>202</v>
      </c>
      <c r="I122" s="15">
        <v>42644.738287037035</v>
      </c>
      <c r="J122" s="7">
        <v>0</v>
      </c>
      <c r="K122" s="117" t="str">
        <f t="shared" si="22"/>
        <v>4011/4012</v>
      </c>
      <c r="L122" s="24" t="str">
        <f>VLOOKUP(A122,'Trips&amp;Operators'!$C$1:$E$10000,3,FALSE)</f>
        <v>STORY</v>
      </c>
      <c r="M122" s="6">
        <f t="shared" si="23"/>
        <v>3.2395833331975155E-2</v>
      </c>
      <c r="N122" s="7">
        <f t="shared" si="41"/>
        <v>46.649999998044223</v>
      </c>
      <c r="O122" s="7"/>
      <c r="P122" s="7"/>
      <c r="Q122" s="25"/>
      <c r="R122" s="25"/>
      <c r="S122" s="37">
        <f t="shared" si="40"/>
        <v>1</v>
      </c>
      <c r="T122" s="52" t="str">
        <f t="shared" si="24"/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15:48:03-0600',mode:absolute,to:'2016-10-01 18:43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2" s="54" t="str">
        <f t="shared" si="26"/>
        <v>N</v>
      </c>
      <c r="X122" s="164">
        <f t="shared" si="39"/>
        <v>1</v>
      </c>
      <c r="Y122" s="69">
        <f t="shared" si="28"/>
        <v>23.292100000000001</v>
      </c>
      <c r="Z122" s="69">
        <f t="shared" si="29"/>
        <v>1.5800000000000002E-2</v>
      </c>
      <c r="AA122" s="69">
        <f t="shared" si="30"/>
        <v>23.276300000000003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1"/>
        <v>0200-01</v>
      </c>
      <c r="AE122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122" s="92" t="str">
        <f t="shared" si="33"/>
        <v>"C:\Program Files (x86)\AstroGrep\AstroGrep.exe" /spath="%USERPROFILE%\AppData\Local\Temp\OnboardLogs" /stypes="app*4012*20161001*" /stext=" 23:.+((SYSTEM_STATE.+slice.+state.+changed )|(ment ac)|(system.+state.+changed )|(\[timeout)|(PRM\|1\|D)|(kpr)|(kdp)|(\|lc)|(penalty))" /e /r /s</v>
      </c>
      <c r="AG122" s="1" t="str">
        <f t="shared" si="34"/>
        <v>EC</v>
      </c>
      <c r="AH122" s="96" t="str">
        <f t="shared" si="35"/>
        <v>"%USERPROFILE%\Documents\GitHub\eaglep3\Utilities\RefineRTDCRunTimes.py" --tripid 200-01 --locoid 4012 --swversion DE.1.0.7.0 --startMP 204:232921 --initTime 2016-10-01T16:48:03 --startdatetime 2016-10-01T16:56:29 --delay 1 --endMP 204:158 --enddatetime 2016-10-01T17:43:08 --enforcementcount 0 &gt;&gt;C:\Users\stu\Documents\GitHub\eaglep3-reporting\EC\2016-10-01-refined-times.txt</v>
      </c>
      <c r="AI12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{"issue":{"subject":"","project_id":79,"tracker_id":40,"status_id":1,"priority_id":2,"assigned_to_id":23,"start_date":"2016-10-01","description":"","custom_fields":[{"id":1,"name":"Subdivision","value":"EC"},{"id":4,"name":"Milepost","value":"0.0158"},{"id":17,"name":"Train ID","value":"200-01"},{"id":16,"name":"Locomotive ID","value":"4012"},{"id":130,"name":"Impact","value":""},{"id":150,"name":"Time of Event (Mountain Time)","value":"17:43:08"},{"id":151,"name":"Denver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651</v>
      </c>
      <c r="B123" s="7">
        <v>4046</v>
      </c>
      <c r="C123" s="24" t="s">
        <v>106</v>
      </c>
      <c r="D123" s="24" t="s">
        <v>201</v>
      </c>
      <c r="E123" s="15">
        <v>42644.672118055554</v>
      </c>
      <c r="F123" s="15">
        <v>42644.677314814813</v>
      </c>
      <c r="G123" s="7">
        <v>7</v>
      </c>
      <c r="H123" s="15" t="s">
        <v>206</v>
      </c>
      <c r="I123" s="15">
        <v>42644.703796296293</v>
      </c>
      <c r="J123" s="7">
        <v>0</v>
      </c>
      <c r="K123" s="117" t="str">
        <f t="shared" si="22"/>
        <v>4045/4046</v>
      </c>
      <c r="L123" s="24" t="str">
        <f>VLOOKUP(A123,'Trips&amp;Operators'!$C$1:$E$10000,3,FALSE)</f>
        <v>STEWART</v>
      </c>
      <c r="M123" s="6">
        <f t="shared" si="23"/>
        <v>2.6481481480004732E-2</v>
      </c>
      <c r="N123" s="7">
        <f t="shared" si="41"/>
        <v>38.133333331206813</v>
      </c>
      <c r="O123" s="7"/>
      <c r="P123" s="7"/>
      <c r="Q123" s="25"/>
      <c r="R123" s="25"/>
      <c r="S123" s="37">
        <f t="shared" si="40"/>
        <v>1</v>
      </c>
      <c r="T123" s="52" t="str">
        <f t="shared" si="24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15:07:51-0600',mode:absolute,to:'2016-10-01 17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3" s="54" t="str">
        <f t="shared" si="26"/>
        <v>N</v>
      </c>
      <c r="X123" s="164">
        <f t="shared" si="39"/>
        <v>1</v>
      </c>
      <c r="Y123" s="69">
        <f t="shared" si="28"/>
        <v>4.7100000000000003E-2</v>
      </c>
      <c r="Z123" s="69">
        <f t="shared" si="29"/>
        <v>23.3291</v>
      </c>
      <c r="AA123" s="69">
        <f t="shared" si="30"/>
        <v>23.282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1"/>
        <v>0201-01</v>
      </c>
      <c r="AE123" s="95" t="str">
        <f t="shared" si="3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123" s="92" t="str">
        <f t="shared" si="33"/>
        <v>"C:\Program Files (x86)\AstroGrep\AstroGrep.exe" /spath="%USERPROFILE%\AppData\Local\Temp\OnboardLogs" /stypes="app*4046*20161001*" /stext=" 22:.+((SYSTEM_STATE.+slice.+state.+changed )|(ment ac)|(system.+state.+changed )|(\[timeout)|(PRM\|1\|D)|(kpr)|(kdp)|(\|lc)|(penalty))" /e /r /s</v>
      </c>
      <c r="AG123" s="1" t="str">
        <f t="shared" si="34"/>
        <v>EC</v>
      </c>
      <c r="AH123" s="96" t="str">
        <f t="shared" si="35"/>
        <v>"%USERPROFILE%\Documents\GitHub\eaglep3\Utilities\RefineRTDCRunTimes.py" --tripid 201-01 --locoid 4046 --swversion DE.1.0.7.0 --startMP 204:471 --initTime 2016-10-01T16:07:51 --startdatetime 2016-10-01T16:15:20 --delay 7 --endMP 204:233291 --enddatetime 2016-10-01T16:53:28 --enforcementcount 0 &gt;&gt;C:\Users\stu\Documents\GitHub\eaglep3-reporting\EC\2016-10-01-refined-times.txt</v>
      </c>
      <c r="AI12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{"issue":{"subject":"","project_id":79,"tracker_id":40,"status_id":1,"priority_id":2,"assigned_to_id":23,"start_date":"2016-10-01","description":"","custom_fields":[{"id":1,"name":"Subdivision","value":"EC"},{"id":4,"name":"Milepost","value":"23.3291"},{"id":17,"name":"Train ID","value":"201-01"},{"id":16,"name":"Locomotive ID","value":"4046"},{"id":130,"name":"Impact","value":""},{"id":150,"name":"Time of Event (Mountain Time)","value":"16:53:28"},{"id":151,"name":"Denver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652</v>
      </c>
      <c r="B124" s="7">
        <v>4045</v>
      </c>
      <c r="C124" s="24" t="s">
        <v>106</v>
      </c>
      <c r="D124" s="24" t="s">
        <v>470</v>
      </c>
      <c r="E124" s="15">
        <v>42644.713923611111</v>
      </c>
      <c r="F124" s="15">
        <v>42644.716412037036</v>
      </c>
      <c r="G124" s="7">
        <v>1</v>
      </c>
      <c r="H124" s="15" t="s">
        <v>127</v>
      </c>
      <c r="I124" s="15">
        <v>42644.744768518518</v>
      </c>
      <c r="J124" s="7">
        <v>0</v>
      </c>
      <c r="K124" s="117" t="str">
        <f t="shared" si="22"/>
        <v>4045/4046</v>
      </c>
      <c r="L124" s="24" t="str">
        <f>VLOOKUP(A124,'Trips&amp;Operators'!$C$1:$E$10000,3,FALSE)</f>
        <v>STEWART</v>
      </c>
      <c r="M124" s="6">
        <f t="shared" si="23"/>
        <v>2.8356481481750961E-2</v>
      </c>
      <c r="N124" s="7">
        <f t="shared" si="41"/>
        <v>40.833333333721384</v>
      </c>
      <c r="O124" s="7"/>
      <c r="P124" s="7"/>
      <c r="Q124" s="25"/>
      <c r="R124" s="25"/>
      <c r="S124" s="37">
        <f t="shared" si="40"/>
        <v>1</v>
      </c>
      <c r="T124" s="52" t="str">
        <f t="shared" si="24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16:08:03-0600',mode:absolute,to:'2016-10-01 18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4" s="54" t="str">
        <f t="shared" si="26"/>
        <v>N</v>
      </c>
      <c r="X124" s="164">
        <f t="shared" si="39"/>
        <v>1</v>
      </c>
      <c r="Y124" s="69">
        <f t="shared" si="28"/>
        <v>23.296700000000001</v>
      </c>
      <c r="Z124" s="69">
        <f t="shared" si="29"/>
        <v>1.54E-2</v>
      </c>
      <c r="AA124" s="69">
        <f t="shared" si="30"/>
        <v>23.281300000000002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1"/>
        <v>0202-01</v>
      </c>
      <c r="AE124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124" s="92" t="str">
        <f t="shared" si="33"/>
        <v>"C:\Program Files (x86)\AstroGrep\AstroGrep.exe" /spath="%USERPROFILE%\AppData\Local\Temp\OnboardLogs" /stypes="app*4045*20161001*" /stext=" 23:.+((SYSTEM_STATE.+slice.+state.+changed )|(ment ac)|(system.+state.+changed )|(\[timeout)|(PRM\|1\|D)|(kpr)|(kdp)|(\|lc)|(penalty))" /e /r /s</v>
      </c>
      <c r="AG124" s="1" t="str">
        <f t="shared" si="34"/>
        <v>EC</v>
      </c>
      <c r="AH124" s="96" t="str">
        <f t="shared" si="35"/>
        <v>"%USERPROFILE%\Documents\GitHub\eaglep3\Utilities\RefineRTDCRunTimes.py" --tripid 202-01 --locoid 4045 --swversion DE.1.0.7.0 --startMP 204:232967 --initTime 2016-10-01T17:08:03 --startdatetime 2016-10-01T17:11:38 --delay 1 --endMP 204:154 --enddatetime 2016-10-01T17:52:28 --enforcementcount 0 &gt;&gt;C:\Users\stu\Documents\GitHub\eaglep3-reporting\EC\2016-10-01-refined-times.txt</v>
      </c>
      <c r="AI12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{"issue":{"subject":"","project_id":79,"tracker_id":40,"status_id":1,"priority_id":2,"assigned_to_id":23,"start_date":"2016-10-01","description":"","custom_fields":[{"id":1,"name":"Subdivision","value":"EC"},{"id":4,"name":"Milepost","value":"0.0154"},{"id":17,"name":"Train ID","value":"202-01"},{"id":16,"name":"Locomotive ID","value":"4045"},{"id":130,"name":"Impact","value":""},{"id":150,"name":"Time of Event (Mountain Time)","value":"17:52:28"},{"id":151,"name":"Denver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653</v>
      </c>
      <c r="B125" s="7">
        <v>4018</v>
      </c>
      <c r="C125" s="24" t="s">
        <v>106</v>
      </c>
      <c r="D125" s="24" t="s">
        <v>444</v>
      </c>
      <c r="E125" s="15">
        <v>42644.686238425929</v>
      </c>
      <c r="F125" s="15">
        <v>42644.687858796293</v>
      </c>
      <c r="G125" s="7">
        <v>1</v>
      </c>
      <c r="H125" s="15" t="s">
        <v>458</v>
      </c>
      <c r="I125" s="15">
        <v>42644.714814814812</v>
      </c>
      <c r="J125" s="7">
        <v>0</v>
      </c>
      <c r="K125" s="117" t="str">
        <f t="shared" si="22"/>
        <v>4017/4018</v>
      </c>
      <c r="L125" s="24" t="str">
        <f>VLOOKUP(A125,'Trips&amp;Operators'!$C$1:$E$10000,3,FALSE)</f>
        <v>BARTLETT</v>
      </c>
      <c r="M125" s="6">
        <f t="shared" si="23"/>
        <v>2.6956018518831115E-2</v>
      </c>
      <c r="N125" s="7">
        <f t="shared" si="41"/>
        <v>38.816666667116806</v>
      </c>
      <c r="O125" s="7"/>
      <c r="P125" s="7"/>
      <c r="Q125" s="25"/>
      <c r="R125" s="25"/>
      <c r="S125" s="37">
        <f t="shared" si="40"/>
        <v>1</v>
      </c>
      <c r="T125" s="52" t="str">
        <f t="shared" si="24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15:28:11-0600',mode:absolute,to:'2016-10-01 18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5" s="54" t="str">
        <f t="shared" si="26"/>
        <v>N</v>
      </c>
      <c r="X125" s="164">
        <f t="shared" si="39"/>
        <v>1</v>
      </c>
      <c r="Y125" s="69">
        <f t="shared" si="28"/>
        <v>4.6699999999999998E-2</v>
      </c>
      <c r="Z125" s="69">
        <f t="shared" si="29"/>
        <v>23.328900000000001</v>
      </c>
      <c r="AA125" s="69">
        <f t="shared" si="30"/>
        <v>23.2822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1"/>
        <v>0203-01</v>
      </c>
      <c r="AE125" s="95" t="str">
        <f t="shared" si="3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25" s="92" t="str">
        <f t="shared" si="33"/>
        <v>"C:\Program Files (x86)\AstroGrep\AstroGrep.exe" /spath="%USERPROFILE%\AppData\Local\Temp\OnboardLogs" /stypes="app*4018*20161001*" /stext=" 23:.+((SYSTEM_STATE.+slice.+state.+changed )|(ment ac)|(system.+state.+changed )|(\[timeout)|(PRM\|1\|D)|(kpr)|(kdp)|(\|lc)|(penalty))" /e /r /s</v>
      </c>
      <c r="AG125" s="1" t="str">
        <f t="shared" si="34"/>
        <v>EC</v>
      </c>
      <c r="AH125" s="96" t="str">
        <f t="shared" si="35"/>
        <v>"%USERPROFILE%\Documents\GitHub\eaglep3\Utilities\RefineRTDCRunTimes.py" --tripid 203-01 --locoid 4018 --swversion DE.1.0.7.0 --startMP 204:467 --initTime 2016-10-01T16:28:11 --startdatetime 2016-10-01T16:30:31 --delay 1 --endMP 204:233289 --enddatetime 2016-10-01T17:09:20 --enforcementcount 0 &gt;&gt;C:\Users\stu\Documents\GitHub\eaglep3-reporting\EC\2016-10-01-refined-times.txt</v>
      </c>
      <c r="AI125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{"issue":{"subject":"","project_id":79,"tracker_id":40,"status_id":1,"priority_id":2,"assigned_to_id":23,"start_date":"2016-10-01","description":"","custom_fields":[{"id":1,"name":"Subdivision","value":"EC"},{"id":4,"name":"Milepost","value":"23.3289"},{"id":17,"name":"Train ID","value":"203-01"},{"id":16,"name":"Locomotive ID","value":"4018"},{"id":130,"name":"Impact","value":""},{"id":150,"name":"Time of Event (Mountain Time)","value":"17:09:20"},{"id":151,"name":"Denver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654</v>
      </c>
      <c r="B126" s="7">
        <v>4017</v>
      </c>
      <c r="C126" s="24" t="s">
        <v>106</v>
      </c>
      <c r="D126" s="24" t="s">
        <v>255</v>
      </c>
      <c r="E126" s="15">
        <v>42644.716608796298</v>
      </c>
      <c r="F126" s="15">
        <v>42644.727083333331</v>
      </c>
      <c r="G126" s="7">
        <v>1</v>
      </c>
      <c r="H126" s="15" t="s">
        <v>221</v>
      </c>
      <c r="I126" s="15">
        <v>42644.756678240738</v>
      </c>
      <c r="J126" s="7">
        <v>0</v>
      </c>
      <c r="K126" s="117" t="str">
        <f t="shared" si="22"/>
        <v>4017/4018</v>
      </c>
      <c r="L126" s="24" t="str">
        <f>VLOOKUP(A126,'Trips&amp;Operators'!$C$1:$E$10000,3,FALSE)</f>
        <v>BARTLETT</v>
      </c>
      <c r="M126" s="6">
        <f t="shared" si="23"/>
        <v>2.9594907406135462E-2</v>
      </c>
      <c r="N126" s="7">
        <f t="shared" si="41"/>
        <v>42.616666664835066</v>
      </c>
      <c r="O126" s="7"/>
      <c r="P126" s="7"/>
      <c r="Q126" s="25"/>
      <c r="R126" s="25"/>
      <c r="S126" s="37">
        <f t="shared" si="40"/>
        <v>1</v>
      </c>
      <c r="T126" s="52" t="str">
        <f t="shared" si="24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16:11:55-0600',mode:absolute,to:'2016-10-01 19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6" s="54" t="str">
        <f t="shared" si="26"/>
        <v>N</v>
      </c>
      <c r="X126" s="164">
        <f t="shared" si="39"/>
        <v>1</v>
      </c>
      <c r="Y126" s="69">
        <f t="shared" si="28"/>
        <v>23.298100000000002</v>
      </c>
      <c r="Z126" s="69">
        <f t="shared" si="29"/>
        <v>1.5599999999999999E-2</v>
      </c>
      <c r="AA126" s="69">
        <f t="shared" si="30"/>
        <v>23.282500000000002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1"/>
        <v>0204-01</v>
      </c>
      <c r="AE126" s="95" t="str">
        <f t="shared" si="3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126" s="92" t="str">
        <f t="shared" si="33"/>
        <v>"C:\Program Files (x86)\AstroGrep\AstroGrep.exe" /spath="%USERPROFILE%\AppData\Local\Temp\OnboardLogs" /stypes="app*4017*20161002*" /stext=" 00:.+((SYSTEM_STATE.+slice.+state.+changed )|(ment ac)|(system.+state.+changed )|(\[timeout)|(PRM\|1\|D)|(kpr)|(kdp)|(\|lc)|(penalty))" /e /r /s</v>
      </c>
      <c r="AG126" s="1" t="str">
        <f t="shared" si="34"/>
        <v>EC</v>
      </c>
      <c r="AH126" s="96" t="str">
        <f t="shared" si="35"/>
        <v>"%USERPROFILE%\Documents\GitHub\eaglep3\Utilities\RefineRTDCRunTimes.py" --tripid 204-01 --locoid 4017 --swversion DE.1.0.7.0 --startMP 204:232981 --initTime 2016-10-01T17:11:55 --startdatetime 2016-10-01T17:27:00 --delay 1 --endMP 204:156 --enddatetime 2016-10-01T18:09:37 --enforcementcount 0 &gt;&gt;C:\Users\stu\Documents\GitHub\eaglep3-reporting\EC\2016-10-01-refined-times.txt</v>
      </c>
      <c r="AI12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{"issue":{"subject":"","project_id":79,"tracker_id":40,"status_id":1,"priority_id":2,"assigned_to_id":23,"start_date":"2016-10-01","description":"","custom_fields":[{"id":1,"name":"Subdivision","value":"EC"},{"id":4,"name":"Milepost","value":"0.0156"},{"id":17,"name":"Train ID","value":"204-01"},{"id":16,"name":"Locomotive ID","value":"4017"},{"id":130,"name":"Impact","value":""},{"id":150,"name":"Time of Event (Mountain Time)","value":"18:09:37"},{"id":151,"name":"Denver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655</v>
      </c>
      <c r="B127" s="7">
        <v>4009</v>
      </c>
      <c r="C127" s="24" t="s">
        <v>106</v>
      </c>
      <c r="D127" s="24" t="s">
        <v>309</v>
      </c>
      <c r="E127" s="15">
        <v>42644.698946759258</v>
      </c>
      <c r="F127" s="15">
        <v>42644.701041666667</v>
      </c>
      <c r="G127" s="7">
        <v>1</v>
      </c>
      <c r="H127" s="15" t="s">
        <v>283</v>
      </c>
      <c r="I127" s="15">
        <v>42644.730023148149</v>
      </c>
      <c r="J127" s="7">
        <v>0</v>
      </c>
      <c r="K127" s="117" t="str">
        <f t="shared" si="22"/>
        <v>4009/4010</v>
      </c>
      <c r="L127" s="24" t="str">
        <f>VLOOKUP(A127,'Trips&amp;Operators'!$C$1:$E$10000,3,FALSE)</f>
        <v>MOSES</v>
      </c>
      <c r="M127" s="6">
        <f t="shared" si="23"/>
        <v>2.8981481482333038E-2</v>
      </c>
      <c r="N127" s="7">
        <f t="shared" si="41"/>
        <v>41.733333334559575</v>
      </c>
      <c r="O127" s="7"/>
      <c r="P127" s="7"/>
      <c r="Q127" s="25"/>
      <c r="R127" s="25"/>
      <c r="S127" s="37">
        <f t="shared" si="40"/>
        <v>1</v>
      </c>
      <c r="T127" s="52" t="str">
        <f t="shared" si="24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15:46:29-0600',mode:absolute,to:'2016-10-01 18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7" s="54" t="str">
        <f t="shared" si="26"/>
        <v>N</v>
      </c>
      <c r="X127" s="164">
        <f t="shared" si="39"/>
        <v>1</v>
      </c>
      <c r="Y127" s="69">
        <f t="shared" si="28"/>
        <v>4.4900000000000002E-2</v>
      </c>
      <c r="Z127" s="69">
        <f t="shared" si="29"/>
        <v>23.329899999999999</v>
      </c>
      <c r="AA127" s="69">
        <f t="shared" si="30"/>
        <v>23.285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1"/>
        <v>0205-01</v>
      </c>
      <c r="AE127" s="95" t="str">
        <f t="shared" si="32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27" s="92" t="str">
        <f t="shared" si="33"/>
        <v>"C:\Program Files (x86)\AstroGrep\AstroGrep.exe" /spath="%USERPROFILE%\AppData\Local\Temp\OnboardLogs" /stypes="app*4009*20161001*" /stext=" 23:.+((SYSTEM_STATE.+slice.+state.+changed )|(ment ac)|(system.+state.+changed )|(\[timeout)|(PRM\|1\|D)|(kpr)|(kdp)|(\|lc)|(penalty))" /e /r /s</v>
      </c>
      <c r="AG127" s="1" t="str">
        <f t="shared" si="34"/>
        <v>EC</v>
      </c>
      <c r="AH127" s="96" t="str">
        <f t="shared" si="35"/>
        <v>"%USERPROFILE%\Documents\GitHub\eaglep3\Utilities\RefineRTDCRunTimes.py" --tripid 205-01 --locoid 4009 --swversion DE.1.0.7.0 --startMP 204:449 --initTime 2016-10-01T16:46:29 --startdatetime 2016-10-01T16:49:30 --delay 1 --endMP 204:233299 --enddatetime 2016-10-01T17:31:14 --enforcementcount 0 &gt;&gt;C:\Users\stu\Documents\GitHub\eaglep3-reporting\EC\2016-10-01-refined-times.txt</v>
      </c>
      <c r="AI12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{"issue":{"subject":"","project_id":79,"tracker_id":40,"status_id":1,"priority_id":2,"assigned_to_id":23,"start_date":"2016-10-01","description":"","custom_fields":[{"id":1,"name":"Subdivision","value":"EC"},{"id":4,"name":"Milepost","value":"23.3299"},{"id":17,"name":"Train ID","value":"205-01"},{"id":16,"name":"Locomotive ID","value":"4009"},{"id":130,"name":"Impact","value":""},{"id":150,"name":"Time of Event (Mountain Time)","value":"17:31:14"},{"id":151,"name":"Denver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656</v>
      </c>
      <c r="B128" s="7">
        <v>4010</v>
      </c>
      <c r="C128" s="24" t="s">
        <v>106</v>
      </c>
      <c r="D128" s="24" t="s">
        <v>281</v>
      </c>
      <c r="E128" s="15">
        <v>42644.741886574076</v>
      </c>
      <c r="F128" s="15">
        <v>42644.736759259256</v>
      </c>
      <c r="G128" s="7">
        <v>1</v>
      </c>
      <c r="H128" s="15" t="s">
        <v>199</v>
      </c>
      <c r="I128" s="15">
        <v>42644.770555555559</v>
      </c>
      <c r="J128" s="7">
        <v>0</v>
      </c>
      <c r="K128" s="117" t="str">
        <f t="shared" si="22"/>
        <v>4009/4010</v>
      </c>
      <c r="L128" s="24" t="str">
        <f>VLOOKUP(A128,'Trips&amp;Operators'!$C$1:$E$10000,3,FALSE)</f>
        <v>MOSES</v>
      </c>
      <c r="M128" s="6">
        <f t="shared" si="23"/>
        <v>3.3796296302170958E-2</v>
      </c>
      <c r="N128" s="7">
        <f t="shared" si="41"/>
        <v>48.66666667512618</v>
      </c>
      <c r="O128" s="7"/>
      <c r="P128" s="7"/>
      <c r="Q128" s="25"/>
      <c r="R128" s="25" t="s">
        <v>747</v>
      </c>
      <c r="S128" s="37">
        <f t="shared" si="40"/>
        <v>1</v>
      </c>
      <c r="T128" s="52" t="str">
        <f t="shared" si="24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16:48:19-0600',mode:absolute,to:'2016-10-01 19:29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8" s="54" t="str">
        <f t="shared" si="26"/>
        <v>N</v>
      </c>
      <c r="X128" s="164">
        <f t="shared" ref="X128:X129" si="42">VALUE(LEFT(AD128,4))-VALUE(LEFT(AD127,4))</f>
        <v>1</v>
      </c>
      <c r="Y128" s="69">
        <f t="shared" si="28"/>
        <v>23.298200000000001</v>
      </c>
      <c r="Z128" s="69">
        <f t="shared" si="29"/>
        <v>1.49E-2</v>
      </c>
      <c r="AA128" s="69">
        <f t="shared" si="30"/>
        <v>23.283300000000001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1"/>
        <v>0206-01</v>
      </c>
      <c r="AE128" s="95" t="str">
        <f t="shared" si="32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28" s="92" t="str">
        <f t="shared" si="33"/>
        <v>"C:\Program Files (x86)\AstroGrep\AstroGrep.exe" /spath="%USERPROFILE%\AppData\Local\Temp\OnboardLogs" /stypes="app*4010*20161002*" /stext=" 00:.+((SYSTEM_STATE.+slice.+state.+changed )|(ment ac)|(system.+state.+changed )|(\[timeout)|(PRM\|1\|D)|(kpr)|(kdp)|(\|lc)|(penalty))" /e /r /s</v>
      </c>
      <c r="AG128" s="1" t="str">
        <f t="shared" si="34"/>
        <v>EC</v>
      </c>
      <c r="AH128" s="96" t="str">
        <f t="shared" si="35"/>
        <v>"%USERPROFILE%\Documents\GitHub\eaglep3\Utilities\RefineRTDCRunTimes.py" --tripid 206-01 --locoid 4010 --swversion DE.1.0.7.0 --startMP 204:232982 --initTime 2016-10-01T17:48:19 --startdatetime 2016-10-01T17:40:56 --delay 1 --endMP 204:149 --enddatetime 2016-10-01T18:29:36 --enforcementcount 0 &gt;&gt;C:\Users\stu\Documents\GitHub\eaglep3-reporting\EC\2016-10-01-refined-times.txt</v>
      </c>
      <c r="AI128" s="130" t="str">
        <f t="shared" si="36"/>
        <v>echo {"issue":{"subject":"Onboard in-route failure delayed departure","project_id":79,"tracker_id":40,"status_id":1,"priority_id":2,"assigned_to_id":23,"start_date":"2016-10-01","description":"Multiple CPU faults at 17:41:13","custom_fields":[{"id":1,"name":"Subdivision","value":"EC"},{"id":4,"name":"Milepost","value":"0.0149"},{"id":17,"name":"Train ID","value":"206-01"},{"id":16,"name":"Locomotive ID","value":"4010"},{"id":130,"name":"Impact","value":"Failed State"},{"id":150,"name":"Time of Event (Mountain Time)","value":"18:29:36"},{"id":151,"name":"Denver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8" s="55" t="s">
        <v>748</v>
      </c>
      <c r="AK128" s="55" t="s">
        <v>138</v>
      </c>
      <c r="AL128" s="55" t="s">
        <v>219</v>
      </c>
    </row>
    <row r="129" spans="1:38" s="23" customFormat="1" x14ac:dyDescent="0.25">
      <c r="A129" s="39" t="s">
        <v>657</v>
      </c>
      <c r="B129" s="7">
        <v>4014</v>
      </c>
      <c r="C129" s="24" t="s">
        <v>106</v>
      </c>
      <c r="D129" s="24" t="s">
        <v>309</v>
      </c>
      <c r="E129" s="15">
        <v>42644.704675925925</v>
      </c>
      <c r="F129" s="15">
        <v>42644.708611111113</v>
      </c>
      <c r="G129" s="7">
        <v>1</v>
      </c>
      <c r="H129" s="15" t="s">
        <v>322</v>
      </c>
      <c r="I129" s="15">
        <v>42644.736215277779</v>
      </c>
      <c r="J129" s="7">
        <v>0</v>
      </c>
      <c r="K129" s="117" t="str">
        <f t="shared" si="22"/>
        <v>4013/4014</v>
      </c>
      <c r="L129" s="24" t="str">
        <f>VLOOKUP(A129,'Trips&amp;Operators'!$C$1:$E$10000,3,FALSE)</f>
        <v>SHOOK</v>
      </c>
      <c r="M129" s="6">
        <f t="shared" si="23"/>
        <v>2.7604166665696539E-2</v>
      </c>
      <c r="N129" s="7">
        <f t="shared" si="41"/>
        <v>39.749999998603016</v>
      </c>
      <c r="O129" s="7"/>
      <c r="P129" s="7"/>
      <c r="Q129" s="25"/>
      <c r="R129" s="25"/>
      <c r="S129" s="37">
        <f t="shared" si="40"/>
        <v>1</v>
      </c>
      <c r="T129" s="52" t="str">
        <f t="shared" si="24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15:54:44-0600',mode:absolute,to:'2016-10-01 18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9" s="54" t="str">
        <f t="shared" si="26"/>
        <v>N</v>
      </c>
      <c r="X129" s="164">
        <f t="shared" si="42"/>
        <v>1</v>
      </c>
      <c r="Y129" s="69">
        <f t="shared" si="28"/>
        <v>4.4900000000000002E-2</v>
      </c>
      <c r="Z129" s="69">
        <f t="shared" si="29"/>
        <v>23.3353</v>
      </c>
      <c r="AA129" s="69">
        <f t="shared" si="30"/>
        <v>23.290400000000002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1"/>
        <v>0207-01</v>
      </c>
      <c r="AE129" s="95" t="str">
        <f t="shared" si="32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129" s="92" t="str">
        <f t="shared" si="33"/>
        <v>"C:\Program Files (x86)\AstroGrep\AstroGrep.exe" /spath="%USERPROFILE%\AppData\Local\Temp\OnboardLogs" /stypes="app*4014*20161001*" /stext=" 23:.+((SYSTEM_STATE.+slice.+state.+changed )|(ment ac)|(system.+state.+changed )|(\[timeout)|(PRM\|1\|D)|(kpr)|(kdp)|(\|lc)|(penalty))" /e /r /s</v>
      </c>
      <c r="AG129" s="1" t="str">
        <f t="shared" si="34"/>
        <v>EC</v>
      </c>
      <c r="AH129" s="96" t="str">
        <f t="shared" si="35"/>
        <v>"%USERPROFILE%\Documents\GitHub\eaglep3\Utilities\RefineRTDCRunTimes.py" --tripid 207-01 --locoid 4014 --swversion DE.1.0.7.0 --startMP 204:449 --initTime 2016-10-01T16:54:44 --startdatetime 2016-10-01T17:00:24 --delay 1 --endMP 204:233353 --enddatetime 2016-10-01T17:40:09 --enforcementcount 0 &gt;&gt;C:\Users\stu\Documents\GitHub\eaglep3-reporting\EC\2016-10-01-refined-times.txt</v>
      </c>
      <c r="AI12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{"issue":{"subject":"","project_id":79,"tracker_id":40,"status_id":1,"priority_id":2,"assigned_to_id":23,"start_date":"2016-10-01","description":"","custom_fields":[{"id":1,"name":"Subdivision","value":"EC"},{"id":4,"name":"Milepost","value":"23.3353"},{"id":17,"name":"Train ID","value":"207-01"},{"id":16,"name":"Locomotive ID","value":"4014"},{"id":130,"name":"Impact","value":""},{"id":150,"name":"Time of Event (Mountain Time)","value":"17:40:09"},{"id":151,"name":"Denver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658</v>
      </c>
      <c r="B130" s="7">
        <v>4013</v>
      </c>
      <c r="C130" s="24" t="s">
        <v>106</v>
      </c>
      <c r="D130" s="24" t="s">
        <v>659</v>
      </c>
      <c r="E130" s="15">
        <v>42644.745000000003</v>
      </c>
      <c r="F130" s="15">
        <v>42644.749108796299</v>
      </c>
      <c r="G130" s="7">
        <v>1</v>
      </c>
      <c r="H130" s="15" t="s">
        <v>205</v>
      </c>
      <c r="I130" s="15">
        <v>42644.775868055556</v>
      </c>
      <c r="J130" s="7">
        <v>0</v>
      </c>
      <c r="K130" s="117" t="str">
        <f t="shared" si="22"/>
        <v>4013/4014</v>
      </c>
      <c r="L130" s="24" t="str">
        <f>VLOOKUP(A130,'Trips&amp;Operators'!$C$1:$E$10000,3,FALSE)</f>
        <v>SHOOK</v>
      </c>
      <c r="M130" s="6">
        <f t="shared" si="23"/>
        <v>2.675925925723277E-2</v>
      </c>
      <c r="N130" s="7">
        <f t="shared" si="41"/>
        <v>38.533333330415189</v>
      </c>
      <c r="O130" s="7"/>
      <c r="P130" s="7"/>
      <c r="Q130" s="25"/>
      <c r="R130" s="25"/>
      <c r="S130" s="37">
        <f t="shared" si="40"/>
        <v>1</v>
      </c>
      <c r="T130" s="52" t="str">
        <f t="shared" si="24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16:52:48-0600',mode:absolute,to:'2016-10-01 19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0" s="54" t="str">
        <f t="shared" si="26"/>
        <v>N</v>
      </c>
      <c r="X130" s="164">
        <f t="shared" ref="X130:X166" si="43">VALUE(LEFT(AD130,4))-VALUE(LEFT(AD129,4))</f>
        <v>1</v>
      </c>
      <c r="Y130" s="69">
        <f t="shared" si="28"/>
        <v>23.3034</v>
      </c>
      <c r="Z130" s="69">
        <f t="shared" si="29"/>
        <v>1.4999999999999999E-2</v>
      </c>
      <c r="AA130" s="69">
        <f t="shared" si="30"/>
        <v>23.288399999999999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1"/>
        <v>0208-01</v>
      </c>
      <c r="AE130" s="95" t="str">
        <f t="shared" si="32"/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AF130" s="92" t="str">
        <f t="shared" si="33"/>
        <v>"C:\Program Files (x86)\AstroGrep\AstroGrep.exe" /spath="%USERPROFILE%\AppData\Local\Temp\OnboardLogs" /stypes="app*4013*20161002*" /stext=" 00:.+((SYSTEM_STATE.+slice.+state.+changed )|(ment ac)|(system.+state.+changed )|(\[timeout)|(PRM\|1\|D)|(kpr)|(kdp)|(\|lc)|(penalty))" /e /r /s</v>
      </c>
      <c r="AG130" s="1" t="str">
        <f t="shared" si="34"/>
        <v>EC</v>
      </c>
      <c r="AH130" s="96" t="str">
        <f t="shared" si="35"/>
        <v>"%USERPROFILE%\Documents\GitHub\eaglep3\Utilities\RefineRTDCRunTimes.py" --tripid 208-01 --locoid 4013 --swversion DE.1.0.7.0 --startMP 204:233034 --initTime 2016-10-01T17:52:48 --startdatetime 2016-10-01T17:58:43 --delay 1 --endMP 204:150 --enddatetime 2016-10-01T18:37:15 --enforcementcount 0 &gt;&gt;C:\Users\stu\Documents\GitHub\eaglep3-reporting\EC\2016-10-01-refined-times.txt</v>
      </c>
      <c r="AI13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{"issue":{"subject":"","project_id":79,"tracker_id":40,"status_id":1,"priority_id":2,"assigned_to_id":23,"start_date":"2016-10-01","description":"","custom_fields":[{"id":1,"name":"Subdivision","value":"EC"},{"id":4,"name":"Milepost","value":"0.015"},{"id":17,"name":"Train ID","value":"208-01"},{"id":16,"name":"Locomotive ID","value":"4013"},{"id":130,"name":"Impact","value":""},{"id":150,"name":"Time of Event (Mountain Time)","value":"18:37:15"},{"id":151,"name":"Denver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660</v>
      </c>
      <c r="B131" s="7">
        <v>4029</v>
      </c>
      <c r="C131" s="24" t="s">
        <v>106</v>
      </c>
      <c r="D131" s="24" t="s">
        <v>290</v>
      </c>
      <c r="E131" s="15">
        <v>42644.718356481484</v>
      </c>
      <c r="F131" s="15">
        <v>42644.72042824074</v>
      </c>
      <c r="G131" s="7">
        <v>2</v>
      </c>
      <c r="H131" s="15" t="s">
        <v>322</v>
      </c>
      <c r="I131" s="15">
        <v>42644.748263888891</v>
      </c>
      <c r="J131" s="7">
        <v>0</v>
      </c>
      <c r="K131" s="117" t="str">
        <f t="shared" si="22"/>
        <v>4029/4030</v>
      </c>
      <c r="L131" s="24" t="str">
        <f>VLOOKUP(A131,'Trips&amp;Operators'!$C$1:$E$10000,3,FALSE)</f>
        <v>SWANSON</v>
      </c>
      <c r="M131" s="6">
        <f t="shared" si="23"/>
        <v>2.7835648150357883E-2</v>
      </c>
      <c r="N131" s="7">
        <f t="shared" si="41"/>
        <v>40.083333336515352</v>
      </c>
      <c r="O131" s="7"/>
      <c r="P131" s="7"/>
      <c r="Q131" s="25"/>
      <c r="R131" s="25"/>
      <c r="S131" s="37">
        <f t="shared" si="40"/>
        <v>1</v>
      </c>
      <c r="T131" s="52" t="str">
        <f t="shared" si="24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16:14:26-0600',mode:absolute,to:'2016-10-01 18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31" s="54" t="str">
        <f t="shared" si="26"/>
        <v>N</v>
      </c>
      <c r="X131" s="164">
        <f t="shared" si="43"/>
        <v>1</v>
      </c>
      <c r="Y131" s="69">
        <f t="shared" si="28"/>
        <v>4.4200000000000003E-2</v>
      </c>
      <c r="Z131" s="69">
        <f t="shared" si="29"/>
        <v>23.3353</v>
      </c>
      <c r="AA131" s="69">
        <f t="shared" si="30"/>
        <v>23.2911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1"/>
        <v>0209-01</v>
      </c>
      <c r="AE131" s="95" t="str">
        <f t="shared" si="32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31" s="92" t="str">
        <f t="shared" si="33"/>
        <v>"C:\Program Files (x86)\AstroGrep\AstroGrep.exe" /spath="%USERPROFILE%\AppData\Local\Temp\OnboardLogs" /stypes="app*4029*20161001*" /stext=" 23:.+((SYSTEM_STATE.+slice.+state.+changed )|(ment ac)|(system.+state.+changed )|(\[timeout)|(PRM\|1\|D)|(kpr)|(kdp)|(\|lc)|(penalty))" /e /r /s</v>
      </c>
      <c r="AG131" s="1" t="str">
        <f t="shared" si="34"/>
        <v>EC</v>
      </c>
      <c r="AH131" s="96" t="str">
        <f t="shared" si="35"/>
        <v>"%USERPROFILE%\Documents\GitHub\eaglep3\Utilities\RefineRTDCRunTimes.py" --tripid 209-01 --locoid 4029 --swversion DE.1.0.7.0 --startMP 204:442 --initTime 2016-10-01T17:14:26 --startdatetime 2016-10-01T17:17:25 --delay 2 --endMP 204:233353 --enddatetime 2016-10-01T17:57:30 --enforcementcount 0 &gt;&gt;C:\Users\stu\Documents\GitHub\eaglep3-reporting\EC\2016-10-01-refined-times.txt</v>
      </c>
      <c r="AI131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{"issue":{"subject":"","project_id":79,"tracker_id":40,"status_id":1,"priority_id":2,"assigned_to_id":23,"start_date":"2016-10-01","description":"","custom_fields":[{"id":1,"name":"Subdivision","value":"EC"},{"id":4,"name":"Milepost","value":"23.3353"},{"id":17,"name":"Train ID","value":"209-01"},{"id":16,"name":"Locomotive ID","value":"4029"},{"id":130,"name":"Impact","value":""},{"id":150,"name":"Time of Event (Mountain Time)","value":"17:57:30"},{"id":151,"name":"Denver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661</v>
      </c>
      <c r="B132" s="7">
        <v>4030</v>
      </c>
      <c r="C132" s="24" t="s">
        <v>106</v>
      </c>
      <c r="D132" s="24" t="s">
        <v>590</v>
      </c>
      <c r="E132" s="15">
        <v>42644.752233796295</v>
      </c>
      <c r="F132" s="15">
        <v>42644.758194444446</v>
      </c>
      <c r="G132" s="7">
        <v>1</v>
      </c>
      <c r="H132" s="15" t="s">
        <v>205</v>
      </c>
      <c r="I132" s="15">
        <v>42644.785104166665</v>
      </c>
      <c r="J132" s="7">
        <v>0</v>
      </c>
      <c r="K132" s="117" t="str">
        <f t="shared" si="22"/>
        <v>4029/4030</v>
      </c>
      <c r="L132" s="24" t="str">
        <f>VLOOKUP(A132,'Trips&amp;Operators'!$C$1:$E$10000,3,FALSE)</f>
        <v>SWANSON</v>
      </c>
      <c r="M132" s="6">
        <f t="shared" si="23"/>
        <v>2.6909722218988463E-2</v>
      </c>
      <c r="N132" s="7">
        <f t="shared" si="41"/>
        <v>38.749999995343387</v>
      </c>
      <c r="O132" s="7"/>
      <c r="P132" s="7"/>
      <c r="Q132" s="25"/>
      <c r="R132" s="25"/>
      <c r="S132" s="37">
        <f t="shared" si="40"/>
        <v>1</v>
      </c>
      <c r="T132" s="52" t="str">
        <f t="shared" si="24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17:03:13-0600',mode:absolute,to:'2016-10-01 19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32" s="54" t="str">
        <f t="shared" si="26"/>
        <v>N</v>
      </c>
      <c r="X132" s="164">
        <f t="shared" si="43"/>
        <v>1</v>
      </c>
      <c r="Y132" s="69">
        <f t="shared" si="28"/>
        <v>23.3019</v>
      </c>
      <c r="Z132" s="69">
        <f t="shared" si="29"/>
        <v>1.4999999999999999E-2</v>
      </c>
      <c r="AA132" s="69">
        <f t="shared" si="30"/>
        <v>23.286899999999999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1"/>
        <v>0210-01</v>
      </c>
      <c r="AE132" s="95" t="str">
        <f t="shared" si="32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32" s="92" t="str">
        <f t="shared" si="33"/>
        <v>"C:\Program Files (x86)\AstroGrep\AstroGrep.exe" /spath="%USERPROFILE%\AppData\Local\Temp\OnboardLogs" /stypes="app*4030*20161002*" /stext=" 00:.+((SYSTEM_STATE.+slice.+state.+changed )|(ment ac)|(system.+state.+changed )|(\[timeout)|(PRM\|1\|D)|(kpr)|(kdp)|(\|lc)|(penalty))" /e /r /s</v>
      </c>
      <c r="AG132" s="1" t="str">
        <f t="shared" si="34"/>
        <v>EC</v>
      </c>
      <c r="AH132" s="96" t="str">
        <f t="shared" si="35"/>
        <v>"%USERPROFILE%\Documents\GitHub\eaglep3\Utilities\RefineRTDCRunTimes.py" --tripid 210-01 --locoid 4030 --swversion DE.1.0.7.0 --startMP 204:233019 --initTime 2016-10-01T18:03:13 --startdatetime 2016-10-01T18:11:48 --delay 1 --endMP 204:150 --enddatetime 2016-10-01T18:50:33 --enforcementcount 0 &gt;&gt;C:\Users\stu\Documents\GitHub\eaglep3-reporting\EC\2016-10-01-refined-times.txt</v>
      </c>
      <c r="AI132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{"issue":{"subject":"","project_id":79,"tracker_id":40,"status_id":1,"priority_id":2,"assigned_to_id":23,"start_date":"2016-10-01","description":"","custom_fields":[{"id":1,"name":"Subdivision","value":"EC"},{"id":4,"name":"Milepost","value":"0.015"},{"id":17,"name":"Train ID","value":"210-01"},{"id":16,"name":"Locomotive ID","value":"4030"},{"id":130,"name":"Impact","value":""},{"id":150,"name":"Time of Event (Mountain Time)","value":"18:50:33"},{"id":151,"name":"Denver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662</v>
      </c>
      <c r="B133" s="7">
        <v>4003</v>
      </c>
      <c r="C133" s="24" t="s">
        <v>106</v>
      </c>
      <c r="D133" s="24" t="s">
        <v>211</v>
      </c>
      <c r="E133" s="15">
        <v>42644.729409722226</v>
      </c>
      <c r="F133" s="15">
        <v>42644.731238425928</v>
      </c>
      <c r="G133" s="7">
        <v>1</v>
      </c>
      <c r="H133" s="15" t="s">
        <v>663</v>
      </c>
      <c r="I133" s="15">
        <v>42644.762465277781</v>
      </c>
      <c r="J133" s="7">
        <v>0</v>
      </c>
      <c r="K133" s="117" t="str">
        <f t="shared" si="22"/>
        <v>4003/4004</v>
      </c>
      <c r="L133" s="24" t="str">
        <f>VLOOKUP(A133,'Trips&amp;Operators'!$C$1:$E$10000,3,FALSE)</f>
        <v>CLARK</v>
      </c>
      <c r="M133" s="6">
        <f t="shared" si="23"/>
        <v>3.1226851853716653E-2</v>
      </c>
      <c r="N133" s="7">
        <f t="shared" si="41"/>
        <v>44.96666666935198</v>
      </c>
      <c r="O133" s="7"/>
      <c r="P133" s="7"/>
      <c r="Q133" s="25"/>
      <c r="R133" s="25"/>
      <c r="S133" s="37">
        <f t="shared" si="40"/>
        <v>1</v>
      </c>
      <c r="T133" s="52" t="str">
        <f t="shared" si="24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16:30:21-0600',mode:absolute,to:'2016-10-01 19:17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3" s="54" t="str">
        <f t="shared" si="26"/>
        <v>N</v>
      </c>
      <c r="X133" s="164">
        <f t="shared" si="43"/>
        <v>1</v>
      </c>
      <c r="Y133" s="69">
        <f t="shared" si="28"/>
        <v>4.5499999999999999E-2</v>
      </c>
      <c r="Z133" s="69">
        <f t="shared" si="29"/>
        <v>23.328700000000001</v>
      </c>
      <c r="AA133" s="69">
        <f t="shared" si="30"/>
        <v>23.283200000000001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1"/>
        <v>0211-01</v>
      </c>
      <c r="AE133" s="95" t="str">
        <f t="shared" si="32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133" s="92" t="str">
        <f t="shared" si="33"/>
        <v>"C:\Program Files (x86)\AstroGrep\AstroGrep.exe" /spath="%USERPROFILE%\AppData\Local\Temp\OnboardLogs" /stypes="app*4003*20161002*" /stext=" 00:.+((SYSTEM_STATE.+slice.+state.+changed )|(ment ac)|(system.+state.+changed )|(\[timeout)|(PRM\|1\|D)|(kpr)|(kdp)|(\|lc)|(penalty))" /e /r /s</v>
      </c>
      <c r="AG133" s="1" t="str">
        <f t="shared" si="34"/>
        <v>EC</v>
      </c>
      <c r="AH133" s="96" t="str">
        <f t="shared" si="35"/>
        <v>"%USERPROFILE%\Documents\GitHub\eaglep3\Utilities\RefineRTDCRunTimes.py" --tripid 211-01 --locoid 4003 --swversion DE.1.0.7.0 --startMP 204:455 --initTime 2016-10-01T17:30:21 --startdatetime 2016-10-01T17:32:59 --delay 1 --endMP 204:233287 --enddatetime 2016-10-01T18:17:57 --enforcementcount 0 &gt;&gt;C:\Users\stu\Documents\GitHub\eaglep3-reporting\EC\2016-10-01-refined-times.txt</v>
      </c>
      <c r="AI133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{"issue":{"subject":"","project_id":79,"tracker_id":40,"status_id":1,"priority_id":2,"assigned_to_id":23,"start_date":"2016-10-01","description":"","custom_fields":[{"id":1,"name":"Subdivision","value":"EC"},{"id":4,"name":"Milepost","value":"23.3287"},{"id":17,"name":"Train ID","value":"211-01"},{"id":16,"name":"Locomotive ID","value":"4003"},{"id":130,"name":"Impact","value":""},{"id":150,"name":"Time of Event (Mountain Time)","value":"18:17:57"},{"id":151,"name":"Denver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664</v>
      </c>
      <c r="B134" s="7">
        <v>4004</v>
      </c>
      <c r="C134" s="24" t="s">
        <v>106</v>
      </c>
      <c r="D134" s="24" t="s">
        <v>285</v>
      </c>
      <c r="E134" s="15">
        <v>42644.769074074073</v>
      </c>
      <c r="F134" s="15">
        <v>42644.771087962959</v>
      </c>
      <c r="G134" s="7">
        <v>1</v>
      </c>
      <c r="H134" s="15" t="s">
        <v>665</v>
      </c>
      <c r="I134" s="15">
        <v>42644.798472222225</v>
      </c>
      <c r="J134" s="7">
        <v>0</v>
      </c>
      <c r="K134" s="117" t="str">
        <f t="shared" si="22"/>
        <v>4003/4004</v>
      </c>
      <c r="L134" s="24" t="str">
        <f>VLOOKUP(A134,'Trips&amp;Operators'!$C$1:$E$10000,3,FALSE)</f>
        <v>CLARK</v>
      </c>
      <c r="M134" s="6">
        <f t="shared" si="23"/>
        <v>2.7384259265090805E-2</v>
      </c>
      <c r="N134" s="7">
        <f t="shared" si="41"/>
        <v>39.433333341730759</v>
      </c>
      <c r="O134" s="7"/>
      <c r="P134" s="7"/>
      <c r="Q134" s="25"/>
      <c r="R134" s="25"/>
      <c r="S134" s="37">
        <f t="shared" si="40"/>
        <v>1</v>
      </c>
      <c r="T134" s="52" t="str">
        <f t="shared" si="24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17:27:28-0600',mode:absolute,to:'2016-10-01 20:09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4" s="54" t="str">
        <f t="shared" si="26"/>
        <v>N</v>
      </c>
      <c r="X134" s="164">
        <f t="shared" si="43"/>
        <v>1</v>
      </c>
      <c r="Y134" s="69">
        <f t="shared" si="28"/>
        <v>23.296800000000001</v>
      </c>
      <c r="Z134" s="69">
        <f t="shared" si="29"/>
        <v>1.9199999999999998E-2</v>
      </c>
      <c r="AA134" s="69">
        <f t="shared" si="30"/>
        <v>23.2776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1"/>
        <v>0212-01</v>
      </c>
      <c r="AE134" s="95" t="str">
        <f t="shared" si="32"/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AF134" s="92" t="str">
        <f t="shared" si="33"/>
        <v>"C:\Program Files (x86)\AstroGrep\AstroGrep.exe" /spath="%USERPROFILE%\AppData\Local\Temp\OnboardLogs" /stypes="app*4004*20161002*" /stext=" 01:.+((SYSTEM_STATE.+slice.+state.+changed )|(ment ac)|(system.+state.+changed )|(\[timeout)|(PRM\|1\|D)|(kpr)|(kdp)|(\|lc)|(penalty))" /e /r /s</v>
      </c>
      <c r="AG134" s="1" t="str">
        <f t="shared" si="34"/>
        <v>EC</v>
      </c>
      <c r="AH134" s="96" t="str">
        <f t="shared" si="35"/>
        <v>"%USERPROFILE%\Documents\GitHub\eaglep3\Utilities\RefineRTDCRunTimes.py" --tripid 212-01 --locoid 4004 --swversion DE.1.0.7.0 --startMP 204:232968 --initTime 2016-10-01T18:27:28 --startdatetime 2016-10-01T18:30:22 --delay 1 --endMP 204:192 --enddatetime 2016-10-01T19:09:48 --enforcementcount 0 &gt;&gt;C:\Users\stu\Documents\GitHub\eaglep3-reporting\EC\2016-10-01-refined-times.txt</v>
      </c>
      <c r="AI134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{"issue":{"subject":"","project_id":79,"tracker_id":40,"status_id":1,"priority_id":2,"assigned_to_id":23,"start_date":"2016-10-01","description":"","custom_fields":[{"id":1,"name":"Subdivision","value":"EC"},{"id":4,"name":"Milepost","value":"0.0192"},{"id":17,"name":"Train ID","value":"212-01"},{"id":16,"name":"Locomotive ID","value":"4004"},{"id":130,"name":"Impact","value":""},{"id":150,"name":"Time of Event (Mountain Time)","value":"19:09:48"},{"id":151,"name":"Denver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666</v>
      </c>
      <c r="B135" s="7">
        <v>4011</v>
      </c>
      <c r="C135" s="24" t="s">
        <v>106</v>
      </c>
      <c r="D135" s="24" t="s">
        <v>238</v>
      </c>
      <c r="E135" s="15">
        <v>42644.742037037038</v>
      </c>
      <c r="F135" s="15">
        <v>42644.743217592593</v>
      </c>
      <c r="G135" s="7">
        <v>1</v>
      </c>
      <c r="H135" s="15" t="s">
        <v>248</v>
      </c>
      <c r="I135" s="15">
        <v>42644.77076388889</v>
      </c>
      <c r="J135" s="7">
        <v>0</v>
      </c>
      <c r="K135" s="117" t="str">
        <f t="shared" si="22"/>
        <v>4011/4012</v>
      </c>
      <c r="L135" s="24" t="str">
        <f>VLOOKUP(A135,'Trips&amp;Operators'!$C$1:$E$10000,3,FALSE)</f>
        <v>NEWELL</v>
      </c>
      <c r="M135" s="6">
        <f t="shared" si="23"/>
        <v>2.7546296296350192E-2</v>
      </c>
      <c r="N135" s="7">
        <f t="shared" si="41"/>
        <v>39.666666666744277</v>
      </c>
      <c r="O135" s="7"/>
      <c r="P135" s="7"/>
      <c r="Q135" s="25"/>
      <c r="R135" s="25"/>
      <c r="S135" s="37">
        <f t="shared" si="40"/>
        <v>1</v>
      </c>
      <c r="T135" s="52" t="str">
        <f t="shared" si="24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16:48:32-0600',mode:absolute,to:'2016-10-01 19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5" s="54" t="str">
        <f t="shared" si="26"/>
        <v>N</v>
      </c>
      <c r="X135" s="164">
        <f t="shared" si="43"/>
        <v>1</v>
      </c>
      <c r="Y135" s="69">
        <f t="shared" si="28"/>
        <v>4.6399999999999997E-2</v>
      </c>
      <c r="Z135" s="69">
        <f t="shared" si="29"/>
        <v>23.330500000000001</v>
      </c>
      <c r="AA135" s="69">
        <f t="shared" si="30"/>
        <v>23.284100000000002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1"/>
        <v>0213-01</v>
      </c>
      <c r="AE135" s="95" t="str">
        <f t="shared" si="32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35" s="92" t="str">
        <f t="shared" si="33"/>
        <v>"C:\Program Files (x86)\AstroGrep\AstroGrep.exe" /spath="%USERPROFILE%\AppData\Local\Temp\OnboardLogs" /stypes="app*4011*20161002*" /stext=" 00:.+((SYSTEM_STATE.+slice.+state.+changed )|(ment ac)|(system.+state.+changed )|(\[timeout)|(PRM\|1\|D)|(kpr)|(kdp)|(\|lc)|(penalty))" /e /r /s</v>
      </c>
      <c r="AG135" s="1" t="str">
        <f t="shared" si="34"/>
        <v>EC</v>
      </c>
      <c r="AH135" s="96" t="str">
        <f t="shared" si="35"/>
        <v>"%USERPROFILE%\Documents\GitHub\eaglep3\Utilities\RefineRTDCRunTimes.py" --tripid 213-01 --locoid 4011 --swversion DE.1.0.7.0 --startMP 204:464 --initTime 2016-10-01T17:48:32 --startdatetime 2016-10-01T17:50:14 --delay 1 --endMP 204:233305 --enddatetime 2016-10-01T18:29:54 --enforcementcount 0 &gt;&gt;C:\Users\stu\Documents\GitHub\eaglep3-reporting\EC\2016-10-01-refined-times.txt</v>
      </c>
      <c r="AI135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{"issue":{"subject":"","project_id":79,"tracker_id":40,"status_id":1,"priority_id":2,"assigned_to_id":23,"start_date":"2016-10-01","description":"","custom_fields":[{"id":1,"name":"Subdivision","value":"EC"},{"id":4,"name":"Milepost","value":"23.3305"},{"id":17,"name":"Train ID","value":"213-01"},{"id":16,"name":"Locomotive ID","value":"4011"},{"id":130,"name":"Impact","value":""},{"id":150,"name":"Time of Event (Mountain Time)","value":"18:29:54"},{"id":151,"name":"Denver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667</v>
      </c>
      <c r="B136" s="7">
        <v>4012</v>
      </c>
      <c r="C136" s="24" t="s">
        <v>106</v>
      </c>
      <c r="D136" s="24" t="s">
        <v>279</v>
      </c>
      <c r="E136" s="15">
        <v>42644.772280092591</v>
      </c>
      <c r="F136" s="15">
        <v>42644.778807870367</v>
      </c>
      <c r="G136" s="7">
        <v>1</v>
      </c>
      <c r="H136" s="15" t="s">
        <v>127</v>
      </c>
      <c r="I136" s="15">
        <v>42644.806539351855</v>
      </c>
      <c r="J136" s="7">
        <v>0</v>
      </c>
      <c r="K136" s="117" t="str">
        <f t="shared" si="22"/>
        <v>4011/4012</v>
      </c>
      <c r="L136" s="24" t="str">
        <f>VLOOKUP(A136,'Trips&amp;Operators'!$C$1:$E$10000,3,FALSE)</f>
        <v>NEWELL</v>
      </c>
      <c r="M136" s="6">
        <f t="shared" si="23"/>
        <v>2.7731481488444842E-2</v>
      </c>
      <c r="N136" s="7">
        <f t="shared" si="41"/>
        <v>39.933333343360573</v>
      </c>
      <c r="O136" s="7"/>
      <c r="P136" s="7"/>
      <c r="Q136" s="25"/>
      <c r="R136" s="25"/>
      <c r="S136" s="37">
        <f t="shared" si="40"/>
        <v>1</v>
      </c>
      <c r="T136" s="52" t="str">
        <f t="shared" si="24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17:32:05-0600',mode:absolute,to:'2016-10-01 20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6" s="54" t="str">
        <f t="shared" si="26"/>
        <v>N</v>
      </c>
      <c r="X136" s="164">
        <f t="shared" si="43"/>
        <v>1</v>
      </c>
      <c r="Y136" s="69">
        <f t="shared" si="28"/>
        <v>23.298400000000001</v>
      </c>
      <c r="Z136" s="69">
        <f t="shared" si="29"/>
        <v>1.54E-2</v>
      </c>
      <c r="AA136" s="69">
        <f t="shared" si="30"/>
        <v>23.283000000000001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1"/>
        <v>0214-01</v>
      </c>
      <c r="AE136" s="95" t="str">
        <f t="shared" si="32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136" s="92" t="str">
        <f t="shared" si="33"/>
        <v>"C:\Program Files (x86)\AstroGrep\AstroGrep.exe" /spath="%USERPROFILE%\AppData\Local\Temp\OnboardLogs" /stypes="app*4012*20161002*" /stext=" 01:.+((SYSTEM_STATE.+slice.+state.+changed )|(ment ac)|(system.+state.+changed )|(\[timeout)|(PRM\|1\|D)|(kpr)|(kdp)|(\|lc)|(penalty))" /e /r /s</v>
      </c>
      <c r="AG136" s="1" t="str">
        <f t="shared" si="34"/>
        <v>EC</v>
      </c>
      <c r="AH136" s="96" t="str">
        <f t="shared" si="35"/>
        <v>"%USERPROFILE%\Documents\GitHub\eaglep3\Utilities\RefineRTDCRunTimes.py" --tripid 214-01 --locoid 4012 --swversion DE.1.0.7.0 --startMP 204:232984 --initTime 2016-10-01T18:32:05 --startdatetime 2016-10-01T18:41:29 --delay 1 --endMP 204:154 --enddatetime 2016-10-01T19:21:25 --enforcementcount 0 &gt;&gt;C:\Users\stu\Documents\GitHub\eaglep3-reporting\EC\2016-10-01-refined-times.txt</v>
      </c>
      <c r="AI136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{"issue":{"subject":"","project_id":79,"tracker_id":40,"status_id":1,"priority_id":2,"assigned_to_id":23,"start_date":"2016-10-01","description":"","custom_fields":[{"id":1,"name":"Subdivision","value":"EC"},{"id":4,"name":"Milepost","value":"0.0154"},{"id":17,"name":"Train ID","value":"214-01"},{"id":16,"name":"Locomotive ID","value":"4012"},{"id":130,"name":"Impact","value":""},{"id":150,"name":"Time of Event (Mountain Time)","value":"19:21:25"},{"id":151,"name":"Denver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668</v>
      </c>
      <c r="B137" s="7">
        <v>4046</v>
      </c>
      <c r="C137" s="24" t="s">
        <v>106</v>
      </c>
      <c r="D137" s="24" t="s">
        <v>543</v>
      </c>
      <c r="E137" s="15">
        <v>42644.746805555558</v>
      </c>
      <c r="F137" s="15">
        <v>42644.750405092593</v>
      </c>
      <c r="G137" s="7">
        <v>3</v>
      </c>
      <c r="H137" s="15" t="s">
        <v>663</v>
      </c>
      <c r="I137" s="15">
        <v>42644.77547453704</v>
      </c>
      <c r="J137" s="7">
        <v>0</v>
      </c>
      <c r="K137" s="117" t="str">
        <f t="shared" si="22"/>
        <v>4045/4046</v>
      </c>
      <c r="L137" s="24" t="str">
        <f>VLOOKUP(A137,'Trips&amp;Operators'!$C$1:$E$10000,3,FALSE)</f>
        <v>STORY</v>
      </c>
      <c r="M137" s="6">
        <f t="shared" si="23"/>
        <v>2.5069444447581191E-2</v>
      </c>
      <c r="N137" s="7">
        <f t="shared" si="41"/>
        <v>36.100000004516914</v>
      </c>
      <c r="O137" s="7"/>
      <c r="P137" s="7"/>
      <c r="Q137" s="25"/>
      <c r="R137" s="25"/>
      <c r="S137" s="37">
        <f t="shared" si="40"/>
        <v>1</v>
      </c>
      <c r="T137" s="52" t="str">
        <f t="shared" si="24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16:55:24-0600',mode:absolute,to:'2016-10-01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26"/>
        <v>N</v>
      </c>
      <c r="X137" s="164">
        <f t="shared" si="43"/>
        <v>1</v>
      </c>
      <c r="Y137" s="69">
        <f t="shared" si="28"/>
        <v>4.4699999999999997E-2</v>
      </c>
      <c r="Z137" s="69">
        <f t="shared" si="29"/>
        <v>23.328700000000001</v>
      </c>
      <c r="AA137" s="69">
        <f t="shared" si="30"/>
        <v>23.284000000000002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1"/>
        <v>0215-01</v>
      </c>
      <c r="AE137" s="95" t="str">
        <f t="shared" si="32"/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AF137" s="92" t="str">
        <f t="shared" si="33"/>
        <v>"C:\Program Files (x86)\AstroGrep\AstroGrep.exe" /spath="%USERPROFILE%\AppData\Local\Temp\OnboardLogs" /stypes="app*4046*20161002*" /stext=" 00:.+((SYSTEM_STATE.+slice.+state.+changed )|(ment ac)|(system.+state.+changed )|(\[timeout)|(PRM\|1\|D)|(kpr)|(kdp)|(\|lc)|(penalty))" /e /r /s</v>
      </c>
      <c r="AG137" s="1" t="str">
        <f t="shared" si="34"/>
        <v>EC</v>
      </c>
      <c r="AH137" s="96" t="str">
        <f t="shared" si="35"/>
        <v>"%USERPROFILE%\Documents\GitHub\eaglep3\Utilities\RefineRTDCRunTimes.py" --tripid 215-01 --locoid 4046 --swversion DE.1.0.7.0 --startMP 204:447 --initTime 2016-10-01T17:55:24 --startdatetime 2016-10-01T18:00:35 --delay 3 --endMP 204:233287 --enddatetime 2016-10-01T18:36:41 --enforcementcount 0 &gt;&gt;C:\Users\stu\Documents\GitHub\eaglep3-reporting\EC\2016-10-01-refined-times.txt</v>
      </c>
      <c r="AI137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{"issue":{"subject":"","project_id":79,"tracker_id":40,"status_id":1,"priority_id":2,"assigned_to_id":23,"start_date":"2016-10-01","description":"","custom_fields":[{"id":1,"name":"Subdivision","value":"EC"},{"id":4,"name":"Milepost","value":"23.3287"},{"id":17,"name":"Train ID","value":"215-01"},{"id":16,"name":"Locomotive ID","value":"4046"},{"id":130,"name":"Impact","value":""},{"id":150,"name":"Time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669</v>
      </c>
      <c r="B138" s="7">
        <v>4045</v>
      </c>
      <c r="C138" s="24" t="s">
        <v>106</v>
      </c>
      <c r="D138" s="24" t="s">
        <v>670</v>
      </c>
      <c r="E138" s="15">
        <v>42644.788136574076</v>
      </c>
      <c r="F138" s="15">
        <v>42644.790138888886</v>
      </c>
      <c r="G138" s="7">
        <v>1</v>
      </c>
      <c r="H138" s="15" t="s">
        <v>671</v>
      </c>
      <c r="I138" s="15">
        <v>42644.820370370369</v>
      </c>
      <c r="J138" s="7">
        <v>0</v>
      </c>
      <c r="K138" s="117" t="str">
        <f t="shared" si="22"/>
        <v>4045/4046</v>
      </c>
      <c r="L138" s="24" t="str">
        <f>VLOOKUP(A138,'Trips&amp;Operators'!$C$1:$E$10000,3,FALSE)</f>
        <v>STORY</v>
      </c>
      <c r="M138" s="6">
        <f t="shared" si="23"/>
        <v>3.0231481483497191E-2</v>
      </c>
      <c r="N138" s="7">
        <f t="shared" si="41"/>
        <v>43.533333336235955</v>
      </c>
      <c r="O138" s="7"/>
      <c r="P138" s="7"/>
      <c r="Q138" s="25"/>
      <c r="R138" s="25"/>
      <c r="S138" s="37">
        <f t="shared" si="40"/>
        <v>1</v>
      </c>
      <c r="T138" s="52" t="str">
        <f t="shared" si="24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17:54:55-0600',mode:absolute,to:'2016-10-01 20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26"/>
        <v>N</v>
      </c>
      <c r="X138" s="164">
        <f t="shared" si="43"/>
        <v>1</v>
      </c>
      <c r="Y138" s="69">
        <f t="shared" si="28"/>
        <v>23.297599999999999</v>
      </c>
      <c r="Z138" s="69">
        <f t="shared" si="29"/>
        <v>1.7600000000000001E-2</v>
      </c>
      <c r="AA138" s="69">
        <f t="shared" si="30"/>
        <v>23.279999999999998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1"/>
        <v>0216-01</v>
      </c>
      <c r="AE138" s="95" t="str">
        <f t="shared" si="32"/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AF138" s="92" t="str">
        <f t="shared" si="33"/>
        <v>"C:\Program Files (x86)\AstroGrep\AstroGrep.exe" /spath="%USERPROFILE%\AppData\Local\Temp\OnboardLogs" /stypes="app*4045*20161002*" /stext=" 01:.+((SYSTEM_STATE.+slice.+state.+changed )|(ment ac)|(system.+state.+changed )|(\[timeout)|(PRM\|1\|D)|(kpr)|(kdp)|(\|lc)|(penalty))" /e /r /s</v>
      </c>
      <c r="AG138" s="1" t="str">
        <f t="shared" si="34"/>
        <v>EC</v>
      </c>
      <c r="AH138" s="96" t="str">
        <f t="shared" si="35"/>
        <v>"%USERPROFILE%\Documents\GitHub\eaglep3\Utilities\RefineRTDCRunTimes.py" --tripid 216-01 --locoid 4045 --swversion DE.1.0.7.0 --startMP 204:232976 --initTime 2016-10-01T18:54:55 --startdatetime 2016-10-01T18:57:48 --delay 1 --endMP 204:176 --enddatetime 2016-10-01T19:41:20 --enforcementcount 0 &gt;&gt;C:\Users\stu\Documents\GitHub\eaglep3-reporting\EC\2016-10-01-refined-times.txt</v>
      </c>
      <c r="AI138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{"issue":{"subject":"","project_id":79,"tracker_id":40,"status_id":1,"priority_id":2,"assigned_to_id":23,"start_date":"2016-10-01","description":"","custom_fields":[{"id":1,"name":"Subdivision","value":"EC"},{"id":4,"name":"Milepost","value":"0.0176"},{"id":17,"name":"Train ID","value":"216-01"},{"id":16,"name":"Locomotive ID","value":"4045"},{"id":130,"name":"Impact","value":""},{"id":150,"name":"Time of Event (Mountain Time)","value":"19:41:20"},{"id":151,"name":"Denver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672</v>
      </c>
      <c r="B139" s="7">
        <v>4018</v>
      </c>
      <c r="C139" s="24" t="s">
        <v>106</v>
      </c>
      <c r="D139" s="24" t="s">
        <v>211</v>
      </c>
      <c r="E139" s="15">
        <v>42644.76085648148</v>
      </c>
      <c r="F139" s="15">
        <v>42644.762106481481</v>
      </c>
      <c r="G139" s="7">
        <v>1</v>
      </c>
      <c r="H139" s="15" t="s">
        <v>323</v>
      </c>
      <c r="I139" s="15">
        <v>42644.78670138889</v>
      </c>
      <c r="J139" s="7">
        <v>0</v>
      </c>
      <c r="K139" s="117" t="str">
        <f t="shared" si="22"/>
        <v>4017/4018</v>
      </c>
      <c r="L139" s="24" t="str">
        <f>VLOOKUP(A139,'Trips&amp;Operators'!$C$1:$E$10000,3,FALSE)</f>
        <v>CHANDLER</v>
      </c>
      <c r="M139" s="6">
        <f t="shared" si="23"/>
        <v>2.4594907408754807E-2</v>
      </c>
      <c r="N139" s="7">
        <f t="shared" si="41"/>
        <v>35.416666668606922</v>
      </c>
      <c r="O139" s="7"/>
      <c r="P139" s="7"/>
      <c r="Q139" s="25"/>
      <c r="R139" s="25"/>
      <c r="S139" s="37">
        <f t="shared" si="40"/>
        <v>1</v>
      </c>
      <c r="T139" s="52" t="str">
        <f t="shared" si="24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17:15:38-0600',mode:absolute,to:'2016-10-01 19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9" s="54" t="str">
        <f t="shared" si="26"/>
        <v>N</v>
      </c>
      <c r="X139" s="164">
        <f t="shared" si="43"/>
        <v>1</v>
      </c>
      <c r="Y139" s="69">
        <f t="shared" si="28"/>
        <v>4.5499999999999999E-2</v>
      </c>
      <c r="Z139" s="69">
        <f t="shared" si="29"/>
        <v>23.327999999999999</v>
      </c>
      <c r="AA139" s="69">
        <f t="shared" si="30"/>
        <v>23.282499999999999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1"/>
        <v>0217-01</v>
      </c>
      <c r="AE139" s="95" t="str">
        <f t="shared" si="32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39" s="92" t="str">
        <f t="shared" si="33"/>
        <v>"C:\Program Files (x86)\AstroGrep\AstroGrep.exe" /spath="%USERPROFILE%\AppData\Local\Temp\OnboardLogs" /stypes="app*4018*20161002*" /stext=" 00:.+((SYSTEM_STATE.+slice.+state.+changed )|(ment ac)|(system.+state.+changed )|(\[timeout)|(PRM\|1\|D)|(kpr)|(kdp)|(\|lc)|(penalty))" /e /r /s</v>
      </c>
      <c r="AG139" s="1" t="str">
        <f t="shared" si="34"/>
        <v>EC</v>
      </c>
      <c r="AH139" s="96" t="str">
        <f t="shared" si="35"/>
        <v>"%USERPROFILE%\Documents\GitHub\eaglep3\Utilities\RefineRTDCRunTimes.py" --tripid 217-01 --locoid 4018 --swversion DE.1.0.7.0 --startMP 204:455 --initTime 2016-10-01T18:15:38 --startdatetime 2016-10-01T18:17:26 --delay 1 --endMP 204:233280 --enddatetime 2016-10-01T18:52:51 --enforcementcount 0 &gt;&gt;C:\Users\stu\Documents\GitHub\eaglep3-reporting\EC\2016-10-01-refined-times.txt</v>
      </c>
      <c r="AI139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{"issue":{"subject":"","project_id":79,"tracker_id":40,"status_id":1,"priority_id":2,"assigned_to_id":23,"start_date":"2016-10-01","description":"","custom_fields":[{"id":1,"name":"Subdivision","value":"EC"},{"id":4,"name":"Milepost","value":"23.328"},{"id":17,"name":"Train ID","value":"217-01"},{"id":16,"name":"Locomotive ID","value":"4018"},{"id":130,"name":"Impact","value":""},{"id":150,"name":"Time of Event (Mountain Time)","value":"18:52:51"},{"id":151,"name":"Denver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673</v>
      </c>
      <c r="B140" s="7">
        <v>4017</v>
      </c>
      <c r="C140" s="24" t="s">
        <v>106</v>
      </c>
      <c r="D140" s="24" t="s">
        <v>427</v>
      </c>
      <c r="E140" s="15">
        <v>42644.797847222224</v>
      </c>
      <c r="F140" s="15">
        <v>42644.799780092595</v>
      </c>
      <c r="G140" s="7">
        <v>1</v>
      </c>
      <c r="H140" s="15" t="s">
        <v>200</v>
      </c>
      <c r="I140" s="15">
        <v>42644.827164351853</v>
      </c>
      <c r="J140" s="7">
        <v>0</v>
      </c>
      <c r="K140" s="117" t="str">
        <f t="shared" si="22"/>
        <v>4017/4018</v>
      </c>
      <c r="L140" s="24" t="str">
        <f>VLOOKUP(A140,'Trips&amp;Operators'!$C$1:$E$10000,3,FALSE)</f>
        <v>CHANDLER</v>
      </c>
      <c r="M140" s="6">
        <f t="shared" si="23"/>
        <v>2.7384259257814847E-2</v>
      </c>
      <c r="N140" s="7">
        <f t="shared" si="41"/>
        <v>39.43333333125338</v>
      </c>
      <c r="O140" s="7"/>
      <c r="P140" s="7"/>
      <c r="Q140" s="25"/>
      <c r="R140" s="25"/>
      <c r="S140" s="37">
        <f t="shared" si="40"/>
        <v>1</v>
      </c>
      <c r="T140" s="52" t="str">
        <f t="shared" si="24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25"/>
        <v>https://search-rtdc-monitor-bjffxe2xuh6vdkpspy63sjmuny.us-east-1.es.amazonaws.com/_plugin/kibana/#/discover/Steve-Slow-Train-Analysis-(2080s-and-2083s)?_g=(refreshInterval:(display:Off,section:0,value:0),time:(from:'2016-10-01 18:08:54-0600',mode:absolute,to:'2016-10-01 20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0" s="54" t="str">
        <f t="shared" si="26"/>
        <v>N</v>
      </c>
      <c r="X140" s="164">
        <f t="shared" si="43"/>
        <v>1</v>
      </c>
      <c r="Y140" s="69">
        <f t="shared" si="28"/>
        <v>23.2971</v>
      </c>
      <c r="Z140" s="69">
        <f t="shared" si="29"/>
        <v>1.6E-2</v>
      </c>
      <c r="AA140" s="69">
        <f t="shared" si="30"/>
        <v>23.281100000000002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1"/>
        <v>0218-01</v>
      </c>
      <c r="AE140" s="95" t="str">
        <f t="shared" si="32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140" s="92" t="str">
        <f t="shared" si="33"/>
        <v>"C:\Program Files (x86)\AstroGrep\AstroGrep.exe" /spath="%USERPROFILE%\AppData\Local\Temp\OnboardLogs" /stypes="app*4017*20161002*" /stext=" 01:.+((SYSTEM_STATE.+slice.+state.+changed )|(ment ac)|(system.+state.+changed )|(\[timeout)|(PRM\|1\|D)|(kpr)|(kdp)|(\|lc)|(penalty))" /e /r /s</v>
      </c>
      <c r="AG140" s="1" t="str">
        <f t="shared" si="34"/>
        <v>EC</v>
      </c>
      <c r="AH140" s="96" t="str">
        <f t="shared" si="35"/>
        <v>"%USERPROFILE%\Documents\GitHub\eaglep3\Utilities\RefineRTDCRunTimes.py" --tripid 218-01 --locoid 4017 --swversion DE.1.0.7.0 --startMP 204:232971 --initTime 2016-10-01T19:08:54 --startdatetime 2016-10-01T19:11:41 --delay 1 --endMP 204:160 --enddatetime 2016-10-01T19:51:07 --enforcementcount 0 &gt;&gt;C:\Users\stu\Documents\GitHub\eaglep3-reporting\EC\2016-10-01-refined-times.txt</v>
      </c>
      <c r="AI140" s="130" t="str">
        <f t="shared" si="36"/>
        <v>echo {"issue":{"subject":"","project_id":79,"tracker_id":40,"status_id":1,"priority_id":2,"assigned_to_id":23,"start_date":"2016-10-01","description":"","custom_fields":[{"id":1,"name":"Subdivision","value":"EC"},{"id":4,"name":"Milepost","value":"0.016"},{"id":17,"name":"Train ID","value":"218-01"},{"id":16,"name":"Locomotive ID","value":"4017"},{"id":130,"name":"Impact","value":""},{"id":150,"name":"Time of Event (Mountain Time)","value":"19:51:07"},{"id":151,"name":"Denver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674</v>
      </c>
      <c r="B141" s="7">
        <v>4009</v>
      </c>
      <c r="C141" s="24" t="s">
        <v>106</v>
      </c>
      <c r="D141" s="24" t="s">
        <v>204</v>
      </c>
      <c r="E141" s="15">
        <v>42644.772581018522</v>
      </c>
      <c r="F141" s="15">
        <v>42644.774293981478</v>
      </c>
      <c r="G141" s="7">
        <v>1</v>
      </c>
      <c r="H141" s="15" t="s">
        <v>233</v>
      </c>
      <c r="I141" s="15">
        <v>42644.798946759256</v>
      </c>
      <c r="J141" s="7">
        <v>0</v>
      </c>
      <c r="K141" s="117" t="str">
        <f t="shared" ref="K141:K204" si="44">IF(ISEVEN(B141),(B141-1)&amp;"/"&amp;B141,B141&amp;"/"&amp;(B141+1))</f>
        <v>4009/4010</v>
      </c>
      <c r="L141" s="24" t="str">
        <f>VLOOKUP(A141,'Trips&amp;Operators'!$C$1:$E$10000,3,FALSE)</f>
        <v>STURGEON</v>
      </c>
      <c r="M141" s="6">
        <f t="shared" ref="M141:M204" si="45">I141-F141</f>
        <v>2.4652777778101154E-2</v>
      </c>
      <c r="N141" s="7">
        <f t="shared" si="41"/>
        <v>35.500000000465661</v>
      </c>
      <c r="O141" s="7"/>
      <c r="P141" s="7"/>
      <c r="Q141" s="25"/>
      <c r="R141" s="25"/>
      <c r="S141" s="37">
        <f t="shared" si="40"/>
        <v>1</v>
      </c>
      <c r="T141" s="52" t="str">
        <f t="shared" ref="T141:T204" si="46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204" si="47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https://search-rtdc-monitor-bjffxe2xuh6vdkpspy63sjmuny.us-east-1.es.amazonaws.com/_plugin/kibana/#/discover/Steve-Slow-Train-Analysis-(2080s-and-2083s)?_g=(refreshInterval:(display:Off,section:0,value:0),time:(from:'2016-10-01 17:32:31-0600',mode:absolute,to:'2016-10-01 20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1" s="54" t="str">
        <f t="shared" ref="W141:W204" si="48">IF(AA141&lt;IF(AG141="EC",23,5.65),"Y","N")</f>
        <v>N</v>
      </c>
      <c r="X141" s="164">
        <f t="shared" si="43"/>
        <v>1</v>
      </c>
      <c r="Y141" s="69">
        <f t="shared" ref="Y141:Y204" si="49">RIGHT(D141,LEN(D141)-4)/10000</f>
        <v>4.53E-2</v>
      </c>
      <c r="Z141" s="69">
        <f t="shared" ref="Z141:Z204" si="50">RIGHT(H141,LEN(H141)-4)/10000</f>
        <v>23.33</v>
      </c>
      <c r="AA141" s="69">
        <f t="shared" ref="AA141:AA204" si="51">ABS(Z141-Y141)</f>
        <v>23.284699999999997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2">IF(LEN(A141)=6,"0"&amp;A141,A141)</f>
        <v>0219-01</v>
      </c>
      <c r="AE141" s="95" t="str">
        <f t="shared" ref="AE141:AE204" si="5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41" s="92" t="str">
        <f t="shared" ref="AF141:AF204" si="5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/stypes="app*4009*20161002*" /stext=" 01:.+((SYSTEM_STATE.+slice.+state.+changed )|(ment ac)|(system.+state.+changed )|(\[timeout)|(PRM\|1\|D)|(kpr)|(kdp)|(\|lc)|(penalty))" /e /r /s</v>
      </c>
      <c r="AG141" s="1" t="str">
        <f t="shared" ref="AG141:AG204" si="55">IFERROR(IF(VALUE(LEFT(AD141,2))&lt;=2,"EC",IF(OR(VALUE(LEFT(AD141,2))=8,VALUE(LEFT(AD141,2))=18),"NW","Other")),"Other")</f>
        <v>EC</v>
      </c>
      <c r="AH141" s="96" t="str">
        <f t="shared" ref="AH141:AH202" si="5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219-01 --locoid 4009 --swversion DE.1.0.7.0 --startMP 204:453 --initTime 2016-10-01T18:32:31 --startdatetime 2016-10-01T18:34:59 --delay 1 --endMP 204:233300 --enddatetime 2016-10-01T19:10:29 --enforcementcount 0 &gt;&gt;C:\Users\stu\Documents\GitHub\eaglep3-reporting\EC\2016-10-01-refined-times.txt</v>
      </c>
      <c r="AI141" s="130" t="str">
        <f t="shared" ref="AI141:AI202" si="5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{"issue":{"subject":"","project_id":79,"tracker_id":40,"status_id":1,"priority_id":2,"assigned_to_id":23,"start_date":"2016-10-01","description":"","custom_fields":[{"id":1,"name":"Subdivision","value":"EC"},{"id":4,"name":"Milepost","value":"23.33"},{"id":17,"name":"Train ID","value":"219-01"},{"id":16,"name":"Locomotive ID","value":"4009"},{"id":130,"name":"Impact","value":""},{"id":150,"name":"Time of Event (Mountain Time)","value":"19:10:29"},{"id":151,"name":"Denver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675</v>
      </c>
      <c r="B142" s="7">
        <v>4010</v>
      </c>
      <c r="C142" s="24" t="s">
        <v>106</v>
      </c>
      <c r="D142" s="24" t="s">
        <v>241</v>
      </c>
      <c r="E142" s="15">
        <v>42644.804548611108</v>
      </c>
      <c r="F142" s="15">
        <v>42644.810231481482</v>
      </c>
      <c r="G142" s="7">
        <v>2</v>
      </c>
      <c r="H142" s="15" t="s">
        <v>287</v>
      </c>
      <c r="I142" s="15">
        <v>42644.836898148147</v>
      </c>
      <c r="J142" s="7">
        <v>0</v>
      </c>
      <c r="K142" s="117" t="str">
        <f t="shared" si="44"/>
        <v>4009/4010</v>
      </c>
      <c r="L142" s="24" t="str">
        <f>VLOOKUP(A142,'Trips&amp;Operators'!$C$1:$E$10000,3,FALSE)</f>
        <v>STURGEON</v>
      </c>
      <c r="M142" s="6">
        <f t="shared" si="45"/>
        <v>2.6666666664823424E-2</v>
      </c>
      <c r="N142" s="7">
        <f t="shared" si="41"/>
        <v>38.399999997345731</v>
      </c>
      <c r="O142" s="7"/>
      <c r="P142" s="7"/>
      <c r="Q142" s="25"/>
      <c r="R142" s="25"/>
      <c r="S142" s="37">
        <f t="shared" si="40"/>
        <v>1</v>
      </c>
      <c r="T142" s="52" t="str">
        <f t="shared" si="46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18:18:33-0600',mode:absolute,to:'2016-10-01 21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2" s="54" t="str">
        <f t="shared" si="48"/>
        <v>N</v>
      </c>
      <c r="X142" s="164">
        <f t="shared" si="43"/>
        <v>1</v>
      </c>
      <c r="Y142" s="69">
        <f t="shared" si="49"/>
        <v>23.297699999999999</v>
      </c>
      <c r="Z142" s="69">
        <f t="shared" si="50"/>
        <v>1.61E-2</v>
      </c>
      <c r="AA142" s="69">
        <f t="shared" si="51"/>
        <v>23.281599999999997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2"/>
        <v>0220-01</v>
      </c>
      <c r="AE142" s="95" t="str">
        <f t="shared" si="53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42" s="92" t="str">
        <f t="shared" si="54"/>
        <v>"C:\Program Files (x86)\AstroGrep\AstroGrep.exe" /spath="%USERPROFILE%\AppData\Local\Temp\OnboardLogs" /stypes="app*4010*20161002*" /stext=" 02:.+((SYSTEM_STATE.+slice.+state.+changed )|(ment ac)|(system.+state.+changed )|(\[timeout)|(PRM\|1\|D)|(kpr)|(kdp)|(\|lc)|(penalty))" /e /r /s</v>
      </c>
      <c r="AG142" s="1" t="str">
        <f t="shared" si="55"/>
        <v>EC</v>
      </c>
      <c r="AH142" s="96" t="str">
        <f t="shared" si="56"/>
        <v>"%USERPROFILE%\Documents\GitHub\eaglep3\Utilities\RefineRTDCRunTimes.py" --tripid 220-01 --locoid 4010 --swversion DE.1.0.7.0 --startMP 204:232977 --initTime 2016-10-01T19:18:33 --startdatetime 2016-10-01T19:26:44 --delay 2 --endMP 204:161 --enddatetime 2016-10-01T20:05:08 --enforcementcount 0 &gt;&gt;C:\Users\stu\Documents\GitHub\eaglep3-reporting\EC\2016-10-01-refined-times.txt</v>
      </c>
      <c r="AI142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{"issue":{"subject":"","project_id":79,"tracker_id":40,"status_id":1,"priority_id":2,"assigned_to_id":23,"start_date":"2016-10-01","description":"","custom_fields":[{"id":1,"name":"Subdivision","value":"EC"},{"id":4,"name":"Milepost","value":"0.0161"},{"id":17,"name":"Train ID","value":"220-01"},{"id":16,"name":"Locomotive ID","value":"4010"},{"id":130,"name":"Impact","value":""},{"id":150,"name":"Time of Event (Mountain Time)","value":"20:05:08"},{"id":151,"name":"Denver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676</v>
      </c>
      <c r="B143" s="7">
        <v>4029</v>
      </c>
      <c r="C143" s="24" t="s">
        <v>106</v>
      </c>
      <c r="D143" s="24" t="s">
        <v>238</v>
      </c>
      <c r="E143" s="15">
        <v>42644.786851851852</v>
      </c>
      <c r="F143" s="15">
        <v>42644.791828703703</v>
      </c>
      <c r="G143" s="7">
        <v>3</v>
      </c>
      <c r="H143" s="15" t="s">
        <v>225</v>
      </c>
      <c r="I143" s="15">
        <v>42644.816979166666</v>
      </c>
      <c r="J143" s="7">
        <v>0</v>
      </c>
      <c r="K143" s="117" t="str">
        <f t="shared" si="44"/>
        <v>4029/4030</v>
      </c>
      <c r="L143" s="24" t="str">
        <f>VLOOKUP(A143,'Trips&amp;Operators'!$C$1:$E$10000,3,FALSE)</f>
        <v>LEVIN</v>
      </c>
      <c r="M143" s="6">
        <f t="shared" si="45"/>
        <v>2.5150462963210884E-2</v>
      </c>
      <c r="N143" s="7">
        <f t="shared" si="41"/>
        <v>36.216666667023674</v>
      </c>
      <c r="O143" s="7"/>
      <c r="P143" s="7"/>
      <c r="Q143" s="25"/>
      <c r="R143" s="25"/>
      <c r="S143" s="37">
        <f t="shared" si="40"/>
        <v>1</v>
      </c>
      <c r="T143" s="52" t="str">
        <f t="shared" si="46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17:53:04-0600',mode:absolute,to:'2016-10-01 20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48"/>
        <v>N</v>
      </c>
      <c r="X143" s="164">
        <f t="shared" si="43"/>
        <v>1</v>
      </c>
      <c r="Y143" s="69">
        <f t="shared" si="49"/>
        <v>4.6399999999999997E-2</v>
      </c>
      <c r="Z143" s="69">
        <f t="shared" si="50"/>
        <v>23.329499999999999</v>
      </c>
      <c r="AA143" s="69">
        <f t="shared" si="51"/>
        <v>23.283100000000001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2"/>
        <v>0221-01</v>
      </c>
      <c r="AE143" s="95" t="str">
        <f t="shared" si="53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43" s="92" t="str">
        <f t="shared" si="54"/>
        <v>"C:\Program Files (x86)\AstroGrep\AstroGrep.exe" /spath="%USERPROFILE%\AppData\Local\Temp\OnboardLogs" /stypes="app*4029*20161002*" /stext=" 01:.+((SYSTEM_STATE.+slice.+state.+changed )|(ment ac)|(system.+state.+changed )|(\[timeout)|(PRM\|1\|D)|(kpr)|(kdp)|(\|lc)|(penalty))" /e /r /s</v>
      </c>
      <c r="AG143" s="1" t="str">
        <f t="shared" si="55"/>
        <v>EC</v>
      </c>
      <c r="AH143" s="96" t="str">
        <f t="shared" si="56"/>
        <v>"%USERPROFILE%\Documents\GitHub\eaglep3\Utilities\RefineRTDCRunTimes.py" --tripid 221-01 --locoid 4029 --swversion DE.1.0.7.0 --startMP 204:464 --initTime 2016-10-01T18:53:04 --startdatetime 2016-10-01T19:00:14 --delay 3 --endMP 204:233295 --enddatetime 2016-10-01T19:36:27 --enforcementcount 0 &gt;&gt;C:\Users\stu\Documents\GitHub\eaglep3-reporting\EC\2016-10-01-refined-times.txt</v>
      </c>
      <c r="AI143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{"issue":{"subject":"","project_id":79,"tracker_id":40,"status_id":1,"priority_id":2,"assigned_to_id":23,"start_date":"2016-10-01","description":"","custom_fields":[{"id":1,"name":"Subdivision","value":"EC"},{"id":4,"name":"Milepost","value":"23.3295"},{"id":17,"name":"Train ID","value":"221-01"},{"id":16,"name":"Locomotive ID","value":"4029"},{"id":130,"name":"Impact","value":""},{"id":150,"name":"Time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677</v>
      </c>
      <c r="B144" s="7">
        <v>4030</v>
      </c>
      <c r="C144" s="24" t="s">
        <v>106</v>
      </c>
      <c r="D144" s="24" t="s">
        <v>333</v>
      </c>
      <c r="E144" s="15">
        <v>42644.82707175926</v>
      </c>
      <c r="F144" s="15">
        <v>42644.830879629626</v>
      </c>
      <c r="G144" s="7">
        <v>1</v>
      </c>
      <c r="H144" s="15" t="s">
        <v>240</v>
      </c>
      <c r="I144" s="15">
        <v>42644.858356481483</v>
      </c>
      <c r="J144" s="7">
        <v>0</v>
      </c>
      <c r="K144" s="117" t="str">
        <f t="shared" si="44"/>
        <v>4029/4030</v>
      </c>
      <c r="L144" s="24" t="str">
        <f>VLOOKUP(A144,'Trips&amp;Operators'!$C$1:$E$10000,3,FALSE)</f>
        <v>LEVIN</v>
      </c>
      <c r="M144" s="6">
        <f t="shared" si="45"/>
        <v>2.7476851857500151E-2</v>
      </c>
      <c r="N144" s="7">
        <f t="shared" si="41"/>
        <v>39.566666674800217</v>
      </c>
      <c r="O144" s="7"/>
      <c r="P144" s="7"/>
      <c r="Q144" s="25"/>
      <c r="R144" s="25"/>
      <c r="S144" s="37">
        <f t="shared" si="40"/>
        <v>1</v>
      </c>
      <c r="T144" s="52" t="str">
        <f t="shared" si="46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18:50:59-0600',mode:absolute,to:'2016-10-01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48"/>
        <v>N</v>
      </c>
      <c r="X144" s="164">
        <f t="shared" si="43"/>
        <v>1</v>
      </c>
      <c r="Y144" s="69">
        <f t="shared" si="49"/>
        <v>23.3004</v>
      </c>
      <c r="Z144" s="69">
        <f t="shared" si="50"/>
        <v>1.43E-2</v>
      </c>
      <c r="AA144" s="69">
        <f t="shared" si="51"/>
        <v>23.286100000000001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2"/>
        <v>0222-01</v>
      </c>
      <c r="AE144" s="95" t="str">
        <f t="shared" si="53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44" s="92" t="str">
        <f t="shared" si="54"/>
        <v>"C:\Program Files (x86)\AstroGrep\AstroGrep.exe" /spath="%USERPROFILE%\AppData\Local\Temp\OnboardLogs" /stypes="app*4030*20161002*" /stext=" 02:.+((SYSTEM_STATE.+slice.+state.+changed )|(ment ac)|(system.+state.+changed )|(\[timeout)|(PRM\|1\|D)|(kpr)|(kdp)|(\|lc)|(penalty))" /e /r /s</v>
      </c>
      <c r="AG144" s="1" t="str">
        <f t="shared" si="55"/>
        <v>EC</v>
      </c>
      <c r="AH144" s="96" t="str">
        <f t="shared" si="56"/>
        <v>"%USERPROFILE%\Documents\GitHub\eaglep3\Utilities\RefineRTDCRunTimes.py" --tripid 222-01 --locoid 4030 --swversion DE.1.0.7.0 --startMP 204:233004 --initTime 2016-10-01T19:50:59 --startdatetime 2016-10-01T19:56:28 --delay 1 --endMP 204:143 --enddatetime 2016-10-01T20:36:02 --enforcementcount 0 &gt;&gt;C:\Users\stu\Documents\GitHub\eaglep3-reporting\EC\2016-10-01-refined-times.txt</v>
      </c>
      <c r="AI144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{"issue":{"subject":"","project_id":79,"tracker_id":40,"status_id":1,"priority_id":2,"assigned_to_id":23,"start_date":"2016-10-01","description":"","custom_fields":[{"id":1,"name":"Subdivision","value":"EC"},{"id":4,"name":"Milepost","value":"0.0143"},{"id":17,"name":"Train ID","value":"222-01"},{"id":16,"name":"Locomotive ID","value":"4030"},{"id":130,"name":"Impact","value":""},{"id":150,"name":"Time of Event (Mountain Time)","value":"20:36:02"},{"id":151,"name":"Denver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678</v>
      </c>
      <c r="B145" s="7">
        <v>4011</v>
      </c>
      <c r="C145" s="24" t="s">
        <v>106</v>
      </c>
      <c r="D145" s="24" t="s">
        <v>238</v>
      </c>
      <c r="E145" s="15">
        <v>42644.808981481481</v>
      </c>
      <c r="F145" s="15">
        <v>42644.812650462962</v>
      </c>
      <c r="G145" s="7">
        <v>1</v>
      </c>
      <c r="H145" s="15" t="s">
        <v>266</v>
      </c>
      <c r="I145" s="15">
        <v>42644.836875000001</v>
      </c>
      <c r="J145" s="7">
        <v>0</v>
      </c>
      <c r="K145" s="117" t="str">
        <f t="shared" si="44"/>
        <v>4011/4012</v>
      </c>
      <c r="L145" s="24" t="str">
        <f>VLOOKUP(A145,'Trips&amp;Operators'!$C$1:$E$10000,3,FALSE)</f>
        <v>NEWELL</v>
      </c>
      <c r="M145" s="6">
        <f t="shared" si="45"/>
        <v>2.4224537039117422E-2</v>
      </c>
      <c r="N145" s="7">
        <f t="shared" si="41"/>
        <v>34.883333336329088</v>
      </c>
      <c r="O145" s="7"/>
      <c r="P145" s="7"/>
      <c r="Q145" s="25"/>
      <c r="R145" s="25"/>
      <c r="S145" s="37">
        <f t="shared" si="40"/>
        <v>1</v>
      </c>
      <c r="T145" s="52" t="str">
        <f t="shared" si="46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18:24:56-0600',mode:absolute,to:'2016-10-01 21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5" s="54" t="str">
        <f t="shared" si="48"/>
        <v>N</v>
      </c>
      <c r="X145" s="164">
        <f t="shared" si="43"/>
        <v>1</v>
      </c>
      <c r="Y145" s="69">
        <f t="shared" si="49"/>
        <v>4.6399999999999997E-2</v>
      </c>
      <c r="Z145" s="69">
        <f t="shared" si="50"/>
        <v>23.3309</v>
      </c>
      <c r="AA145" s="69">
        <f t="shared" si="51"/>
        <v>23.284500000000001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2"/>
        <v>0223-01</v>
      </c>
      <c r="AE145" s="95" t="str">
        <f t="shared" si="53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45" s="92" t="str">
        <f t="shared" si="54"/>
        <v>"C:\Program Files (x86)\AstroGrep\AstroGrep.exe" /spath="%USERPROFILE%\AppData\Local\Temp\OnboardLogs" /stypes="app*4011*20161002*" /stext=" 02:.+((SYSTEM_STATE.+slice.+state.+changed )|(ment ac)|(system.+state.+changed )|(\[timeout)|(PRM\|1\|D)|(kpr)|(kdp)|(\|lc)|(penalty))" /e /r /s</v>
      </c>
      <c r="AG145" s="1" t="str">
        <f t="shared" si="55"/>
        <v>EC</v>
      </c>
      <c r="AH145" s="96" t="str">
        <f t="shared" si="56"/>
        <v>"%USERPROFILE%\Documents\GitHub\eaglep3\Utilities\RefineRTDCRunTimes.py" --tripid 223-01 --locoid 4011 --swversion DE.1.0.7.0 --startMP 204:464 --initTime 2016-10-01T19:24:56 --startdatetime 2016-10-01T19:30:13 --delay 1 --endMP 204:233309 --enddatetime 2016-10-01T20:05:06 --enforcementcount 0 &gt;&gt;C:\Users\stu\Documents\GitHub\eaglep3-reporting\EC\2016-10-01-refined-times.txt</v>
      </c>
      <c r="AI145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{"issue":{"subject":"","project_id":79,"tracker_id":40,"status_id":1,"priority_id":2,"assigned_to_id":23,"start_date":"2016-10-01","description":"","custom_fields":[{"id":1,"name":"Subdivision","value":"EC"},{"id":4,"name":"Milepost","value":"23.3309"},{"id":17,"name":"Train ID","value":"223-01"},{"id":16,"name":"Locomotive ID","value":"4011"},{"id":130,"name":"Impact","value":""},{"id":150,"name":"Time of Event (Mountain Time)","value":"20:05:06"},{"id":151,"name":"Denver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679</v>
      </c>
      <c r="B146" s="7">
        <v>4012</v>
      </c>
      <c r="C146" s="24" t="s">
        <v>106</v>
      </c>
      <c r="D146" s="24" t="s">
        <v>241</v>
      </c>
      <c r="E146" s="15">
        <v>42644.842534722222</v>
      </c>
      <c r="F146" s="15">
        <v>42644.851585648146</v>
      </c>
      <c r="G146" s="7">
        <v>1</v>
      </c>
      <c r="H146" s="15" t="s">
        <v>315</v>
      </c>
      <c r="I146" s="15">
        <v>42644.877766203703</v>
      </c>
      <c r="J146" s="7">
        <v>0</v>
      </c>
      <c r="K146" s="117" t="str">
        <f t="shared" si="44"/>
        <v>4011/4012</v>
      </c>
      <c r="L146" s="24" t="str">
        <f>VLOOKUP(A146,'Trips&amp;Operators'!$C$1:$E$10000,3,FALSE)</f>
        <v>NEWELL</v>
      </c>
      <c r="M146" s="6">
        <f t="shared" si="45"/>
        <v>2.6180555556493346E-2</v>
      </c>
      <c r="N146" s="7">
        <f t="shared" si="41"/>
        <v>37.700000001350418</v>
      </c>
      <c r="O146" s="7"/>
      <c r="P146" s="7"/>
      <c r="Q146" s="25"/>
      <c r="R146" s="25"/>
      <c r="S146" s="37">
        <f t="shared" si="40"/>
        <v>1</v>
      </c>
      <c r="T146" s="52" t="str">
        <f t="shared" si="46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19:13:15-0600',mode:absolute,to:'2016-10-01 22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6" s="54" t="str">
        <f t="shared" si="48"/>
        <v>N</v>
      </c>
      <c r="X146" s="164">
        <f t="shared" si="43"/>
        <v>1</v>
      </c>
      <c r="Y146" s="69">
        <f t="shared" si="49"/>
        <v>23.297699999999999</v>
      </c>
      <c r="Z146" s="69">
        <f t="shared" si="50"/>
        <v>1.6500000000000001E-2</v>
      </c>
      <c r="AA146" s="69">
        <f t="shared" si="51"/>
        <v>23.281199999999998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2"/>
        <v>0224-01</v>
      </c>
      <c r="AE146" s="95" t="str">
        <f t="shared" si="53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146" s="92" t="str">
        <f t="shared" si="54"/>
        <v>"C:\Program Files (x86)\AstroGrep\AstroGrep.exe" /spath="%USERPROFILE%\AppData\Local\Temp\OnboardLogs" /stypes="app*4012*20161002*" /stext=" 03:.+((SYSTEM_STATE.+slice.+state.+changed )|(ment ac)|(system.+state.+changed )|(\[timeout)|(PRM\|1\|D)|(kpr)|(kdp)|(\|lc)|(penalty))" /e /r /s</v>
      </c>
      <c r="AG146" s="1" t="str">
        <f t="shared" si="55"/>
        <v>EC</v>
      </c>
      <c r="AH146" s="96" t="str">
        <f t="shared" si="56"/>
        <v>"%USERPROFILE%\Documents\GitHub\eaglep3\Utilities\RefineRTDCRunTimes.py" --tripid 224-01 --locoid 4012 --swversion DE.1.0.7.0 --startMP 204:232977 --initTime 2016-10-01T20:13:15 --startdatetime 2016-10-01T20:26:17 --delay 1 --endMP 204:165 --enddatetime 2016-10-01T21:03:59 --enforcementcount 0 &gt;&gt;C:\Users\stu\Documents\GitHub\eaglep3-reporting\EC\2016-10-01-refined-times.txt</v>
      </c>
      <c r="AI146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{"issue":{"subject":"","project_id":79,"tracker_id":40,"status_id":1,"priority_id":2,"assigned_to_id":23,"start_date":"2016-10-01","description":"","custom_fields":[{"id":1,"name":"Subdivision","value":"EC"},{"id":4,"name":"Milepost","value":"0.0165"},{"id":17,"name":"Train ID","value":"224-01"},{"id":16,"name":"Locomotive ID","value":"4012"},{"id":130,"name":"Impact","value":""},{"id":150,"name":"Time of Event (Mountain Time)","value":"21:03:59"},{"id":151,"name":"Denver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680</v>
      </c>
      <c r="B147" s="7">
        <v>4018</v>
      </c>
      <c r="C147" s="24" t="s">
        <v>106</v>
      </c>
      <c r="D147" s="24" t="s">
        <v>268</v>
      </c>
      <c r="E147" s="15">
        <v>42644.831967592596</v>
      </c>
      <c r="F147" s="15">
        <v>42644.833611111113</v>
      </c>
      <c r="G147" s="7">
        <v>1</v>
      </c>
      <c r="H147" s="15" t="s">
        <v>407</v>
      </c>
      <c r="I147" s="15">
        <v>42644.858807870369</v>
      </c>
      <c r="J147" s="7">
        <v>0</v>
      </c>
      <c r="K147" s="117" t="str">
        <f t="shared" si="44"/>
        <v>4017/4018</v>
      </c>
      <c r="L147" s="24" t="str">
        <f>VLOOKUP(A147,'Trips&amp;Operators'!$C$1:$E$10000,3,FALSE)</f>
        <v>CHANDLER</v>
      </c>
      <c r="M147" s="6">
        <f t="shared" si="45"/>
        <v>2.5196759255777579E-2</v>
      </c>
      <c r="N147" s="7">
        <f t="shared" si="41"/>
        <v>36.283333328319713</v>
      </c>
      <c r="O147" s="7"/>
      <c r="P147" s="7"/>
      <c r="Q147" s="25"/>
      <c r="R147" s="25"/>
      <c r="S147" s="37">
        <f t="shared" ref="S147:S178" si="58">SUM(U147:U147)/IF(AG147="EC",12,1)</f>
        <v>1</v>
      </c>
      <c r="T147" s="52" t="str">
        <f t="shared" si="46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18:58:02-0600',mode:absolute,to:'2016-10-01 21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7" s="54" t="str">
        <f t="shared" si="48"/>
        <v>N</v>
      </c>
      <c r="X147" s="164">
        <f t="shared" si="43"/>
        <v>1</v>
      </c>
      <c r="Y147" s="69">
        <f t="shared" si="49"/>
        <v>4.3999999999999997E-2</v>
      </c>
      <c r="Z147" s="69">
        <f t="shared" si="50"/>
        <v>23.3308</v>
      </c>
      <c r="AA147" s="69">
        <f t="shared" si="51"/>
        <v>23.286799999999999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2"/>
        <v>0225-01</v>
      </c>
      <c r="AE147" s="95" t="str">
        <f t="shared" si="53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47" s="92" t="str">
        <f t="shared" si="54"/>
        <v>"C:\Program Files (x86)\AstroGrep\AstroGrep.exe" /spath="%USERPROFILE%\AppData\Local\Temp\OnboardLogs" /stypes="app*4018*20161002*" /stext=" 02:.+((SYSTEM_STATE.+slice.+state.+changed )|(ment ac)|(system.+state.+changed )|(\[timeout)|(PRM\|1\|D)|(kpr)|(kdp)|(\|lc)|(penalty))" /e /r /s</v>
      </c>
      <c r="AG147" s="1" t="str">
        <f t="shared" si="55"/>
        <v>EC</v>
      </c>
      <c r="AH147" s="96" t="str">
        <f t="shared" si="56"/>
        <v>"%USERPROFILE%\Documents\GitHub\eaglep3\Utilities\RefineRTDCRunTimes.py" --tripid 225-01 --locoid 4018 --swversion DE.1.0.7.0 --startMP 204:440 --initTime 2016-10-01T19:58:02 --startdatetime 2016-10-01T20:00:24 --delay 1 --endMP 204:233308 --enddatetime 2016-10-01T20:36:41 --enforcementcount 0 &gt;&gt;C:\Users\stu\Documents\GitHub\eaglep3-reporting\EC\2016-10-01-refined-times.txt</v>
      </c>
      <c r="AI147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{"issue":{"subject":"","project_id":79,"tracker_id":40,"status_id":1,"priority_id":2,"assigned_to_id":23,"start_date":"2016-10-01","description":"","custom_fields":[{"id":1,"name":"Subdivision","value":"EC"},{"id":4,"name":"Milepost","value":"23.3308"},{"id":17,"name":"Train ID","value":"225-01"},{"id":16,"name":"Locomotive ID","value":"4018"},{"id":130,"name":"Impact","value":""},{"id":150,"name":"Time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681</v>
      </c>
      <c r="B148" s="7">
        <v>4017</v>
      </c>
      <c r="C148" s="24" t="s">
        <v>106</v>
      </c>
      <c r="D148" s="24" t="s">
        <v>255</v>
      </c>
      <c r="E148" s="15">
        <v>42644.87090277778</v>
      </c>
      <c r="F148" s="15">
        <v>42644.872569444444</v>
      </c>
      <c r="G148" s="7">
        <v>1</v>
      </c>
      <c r="H148" s="15" t="s">
        <v>203</v>
      </c>
      <c r="I148" s="15">
        <v>42644.899652777778</v>
      </c>
      <c r="J148" s="7">
        <v>0</v>
      </c>
      <c r="K148" s="117" t="str">
        <f t="shared" si="44"/>
        <v>4017/4018</v>
      </c>
      <c r="L148" s="24" t="str">
        <f>VLOOKUP(A148,'Trips&amp;Operators'!$C$1:$E$10000,3,FALSE)</f>
        <v>CHANDLER</v>
      </c>
      <c r="M148" s="6">
        <f t="shared" si="45"/>
        <v>2.7083333334303461E-2</v>
      </c>
      <c r="N148" s="7">
        <f t="shared" si="41"/>
        <v>39.000000001396984</v>
      </c>
      <c r="O148" s="7"/>
      <c r="P148" s="7"/>
      <c r="Q148" s="25"/>
      <c r="R148" s="25"/>
      <c r="S148" s="37">
        <f t="shared" si="58"/>
        <v>1</v>
      </c>
      <c r="T148" s="52" t="str">
        <f t="shared" si="46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19:54:06-0600',mode:absolute,to:'2016-10-01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8" s="54" t="str">
        <f t="shared" si="48"/>
        <v>N</v>
      </c>
      <c r="X148" s="164">
        <f t="shared" si="43"/>
        <v>1</v>
      </c>
      <c r="Y148" s="69">
        <f t="shared" si="49"/>
        <v>23.298100000000002</v>
      </c>
      <c r="Z148" s="69">
        <f t="shared" si="50"/>
        <v>1.47E-2</v>
      </c>
      <c r="AA148" s="69">
        <f t="shared" si="51"/>
        <v>23.2834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2"/>
        <v>0226-01</v>
      </c>
      <c r="AE148" s="95" t="str">
        <f t="shared" si="53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148" s="92" t="str">
        <f t="shared" si="54"/>
        <v>"C:\Program Files (x86)\AstroGrep\AstroGrep.exe" /spath="%USERPROFILE%\AppData\Local\Temp\OnboardLogs" /stypes="app*4017*20161002*" /stext=" 03:.+((SYSTEM_STATE.+slice.+state.+changed )|(ment ac)|(system.+state.+changed )|(\[timeout)|(PRM\|1\|D)|(kpr)|(kdp)|(\|lc)|(penalty))" /e /r /s</v>
      </c>
      <c r="AG148" s="1" t="str">
        <f t="shared" si="55"/>
        <v>EC</v>
      </c>
      <c r="AH148" s="96" t="str">
        <f t="shared" si="56"/>
        <v>"%USERPROFILE%\Documents\GitHub\eaglep3\Utilities\RefineRTDCRunTimes.py" --tripid 226-01 --locoid 4017 --swversion DE.1.0.7.0 --startMP 204:232981 --initTime 2016-10-01T20:54:06 --startdatetime 2016-10-01T20:56:30 --delay 1 --endMP 204:147 --enddatetime 2016-10-01T21:35:30 --enforcementcount 0 &gt;&gt;C:\Users\stu\Documents\GitHub\eaglep3-reporting\EC\2016-10-01-refined-times.txt</v>
      </c>
      <c r="AI148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{"issue":{"subject":"","project_id":79,"tracker_id":40,"status_id":1,"priority_id":2,"assigned_to_id":23,"start_date":"2016-10-01","description":"","custom_fields":[{"id":1,"name":"Subdivision","value":"EC"},{"id":4,"name":"Milepost","value":"0.0147"},{"id":17,"name":"Train ID","value":"226-01"},{"id":16,"name":"Locomotive ID","value":"4017"},{"id":130,"name":"Impact","value":""},{"id":150,"name":"Time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682</v>
      </c>
      <c r="B149" s="7">
        <v>4009</v>
      </c>
      <c r="C149" s="24" t="s">
        <v>106</v>
      </c>
      <c r="D149" s="24" t="s">
        <v>216</v>
      </c>
      <c r="E149" s="15">
        <v>42644.846168981479</v>
      </c>
      <c r="F149" s="15">
        <v>42644.854421296295</v>
      </c>
      <c r="G149" s="7">
        <v>1</v>
      </c>
      <c r="H149" s="15" t="s">
        <v>335</v>
      </c>
      <c r="I149" s="15">
        <v>42644.879062499997</v>
      </c>
      <c r="J149" s="7">
        <v>0</v>
      </c>
      <c r="K149" s="117" t="str">
        <f t="shared" si="44"/>
        <v>4009/4010</v>
      </c>
      <c r="L149" s="24" t="str">
        <f>VLOOKUP(A149,'Trips&amp;Operators'!$C$1:$E$10000,3,FALSE)</f>
        <v>STURGEON</v>
      </c>
      <c r="M149" s="6">
        <f t="shared" si="45"/>
        <v>2.4641203701321501E-2</v>
      </c>
      <c r="N149" s="7">
        <f t="shared" si="41"/>
        <v>35.483333329902962</v>
      </c>
      <c r="O149" s="7"/>
      <c r="P149" s="7"/>
      <c r="Q149" s="25"/>
      <c r="R149" s="25"/>
      <c r="S149" s="37">
        <f t="shared" si="58"/>
        <v>1</v>
      </c>
      <c r="T149" s="52" t="str">
        <f t="shared" si="46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19:18:29-0600',mode:absolute,to:'2016-10-01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9" s="54" t="str">
        <f t="shared" si="48"/>
        <v>N</v>
      </c>
      <c r="X149" s="164">
        <f t="shared" si="43"/>
        <v>1</v>
      </c>
      <c r="Y149" s="69">
        <f t="shared" si="49"/>
        <v>4.6199999999999998E-2</v>
      </c>
      <c r="Z149" s="69">
        <f t="shared" si="50"/>
        <v>23.328600000000002</v>
      </c>
      <c r="AA149" s="69">
        <f t="shared" si="51"/>
        <v>23.282400000000003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2"/>
        <v>0227-01</v>
      </c>
      <c r="AE149" s="95" t="str">
        <f t="shared" si="53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49" s="92" t="str">
        <f t="shared" si="54"/>
        <v>"C:\Program Files (x86)\AstroGrep\AstroGrep.exe" /spath="%USERPROFILE%\AppData\Local\Temp\OnboardLogs" /stypes="app*4009*20161002*" /stext=" 03:.+((SYSTEM_STATE.+slice.+state.+changed )|(ment ac)|(system.+state.+changed )|(\[timeout)|(PRM\|1\|D)|(kpr)|(kdp)|(\|lc)|(penalty))" /e /r /s</v>
      </c>
      <c r="AG149" s="1" t="str">
        <f t="shared" si="55"/>
        <v>EC</v>
      </c>
      <c r="AH149" s="96" t="str">
        <f t="shared" si="56"/>
        <v>"%USERPROFILE%\Documents\GitHub\eaglep3\Utilities\RefineRTDCRunTimes.py" --tripid 227-01 --locoid 4009 --swversion DE.1.0.7.0 --startMP 204:462 --initTime 2016-10-01T20:18:29 --startdatetime 2016-10-01T20:30:22 --delay 1 --endMP 204:233286 --enddatetime 2016-10-01T21:05:51 --enforcementcount 0 &gt;&gt;C:\Users\stu\Documents\GitHub\eaglep3-reporting\EC\2016-10-01-refined-times.txt</v>
      </c>
      <c r="AI149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{"issue":{"subject":"","project_id":79,"tracker_id":40,"status_id":1,"priority_id":2,"assigned_to_id":23,"start_date":"2016-10-01","description":"","custom_fields":[{"id":1,"name":"Subdivision","value":"EC"},{"id":4,"name":"Milepost","value":"23.3286"},{"id":17,"name":"Train ID","value":"227-01"},{"id":16,"name":"Locomotive ID","value":"4009"},{"id":130,"name":"Impact","value":""},{"id":150,"name":"Time of Event (Mountain Time)","value":"21:05:51"},{"id":151,"name":"Denver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683</v>
      </c>
      <c r="B150" s="7">
        <v>4010</v>
      </c>
      <c r="C150" s="24" t="s">
        <v>106</v>
      </c>
      <c r="D150" s="24" t="s">
        <v>328</v>
      </c>
      <c r="E150" s="15">
        <v>42644.886724537035</v>
      </c>
      <c r="F150" s="15">
        <v>42644.893252314818</v>
      </c>
      <c r="G150" s="7">
        <v>1</v>
      </c>
      <c r="H150" s="15" t="s">
        <v>221</v>
      </c>
      <c r="I150" s="15">
        <v>42644.921111111114</v>
      </c>
      <c r="J150" s="7">
        <v>0</v>
      </c>
      <c r="K150" s="117" t="str">
        <f t="shared" si="44"/>
        <v>4009/4010</v>
      </c>
      <c r="L150" s="24" t="str">
        <f>VLOOKUP(A150,'Trips&amp;Operators'!$C$1:$E$10000,3,FALSE)</f>
        <v>STURGEON</v>
      </c>
      <c r="M150" s="6">
        <f t="shared" si="45"/>
        <v>2.7858796296641231E-2</v>
      </c>
      <c r="N150" s="7">
        <f t="shared" ref="N150:N181" si="59">24*60*SUM($M150:$M150)</f>
        <v>40.116666667163372</v>
      </c>
      <c r="O150" s="7"/>
      <c r="P150" s="7"/>
      <c r="Q150" s="25"/>
      <c r="R150" s="25"/>
      <c r="S150" s="37">
        <f t="shared" si="58"/>
        <v>1</v>
      </c>
      <c r="T150" s="52" t="str">
        <f t="shared" si="46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20:16:53-0600',mode:absolute,to:'2016-10-01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0" s="54" t="str">
        <f t="shared" si="48"/>
        <v>N</v>
      </c>
      <c r="X150" s="164">
        <f t="shared" si="43"/>
        <v>1</v>
      </c>
      <c r="Y150" s="69">
        <f t="shared" si="49"/>
        <v>23.296900000000001</v>
      </c>
      <c r="Z150" s="69">
        <f t="shared" si="50"/>
        <v>1.5599999999999999E-2</v>
      </c>
      <c r="AA150" s="69">
        <f t="shared" si="51"/>
        <v>23.281300000000002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2"/>
        <v>0228-01</v>
      </c>
      <c r="AE150" s="95" t="str">
        <f t="shared" si="53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50" s="92" t="str">
        <f t="shared" si="54"/>
        <v>"C:\Program Files (x86)\AstroGrep\AstroGrep.exe" /spath="%USERPROFILE%\AppData\Local\Temp\OnboardLogs" /stypes="app*4010*20161002*" /stext=" 04:.+((SYSTEM_STATE.+slice.+state.+changed )|(ment ac)|(system.+state.+changed )|(\[timeout)|(PRM\|1\|D)|(kpr)|(kdp)|(\|lc)|(penalty))" /e /r /s</v>
      </c>
      <c r="AG150" s="1" t="str">
        <f t="shared" si="55"/>
        <v>EC</v>
      </c>
      <c r="AH150" s="96" t="str">
        <f t="shared" si="56"/>
        <v>"%USERPROFILE%\Documents\GitHub\eaglep3\Utilities\RefineRTDCRunTimes.py" --tripid 228-01 --locoid 4010 --swversion DE.1.0.7.0 --startMP 204:232969 --initTime 2016-10-01T21:16:53 --startdatetime 2016-10-01T21:26:17 --delay 1 --endMP 204:156 --enddatetime 2016-10-01T22:06:24 --enforcementcount 0 &gt;&gt;C:\Users\stu\Documents\GitHub\eaglep3-reporting\EC\2016-10-01-refined-times.txt</v>
      </c>
      <c r="AI150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{"issue":{"subject":"","project_id":79,"tracker_id":40,"status_id":1,"priority_id":2,"assigned_to_id":23,"start_date":"2016-10-01","description":"","custom_fields":[{"id":1,"name":"Subdivision","value":"EC"},{"id":4,"name":"Milepost","value":"0.0156"},{"id":17,"name":"Train ID","value":"228-01"},{"id":16,"name":"Locomotive ID","value":"4010"},{"id":130,"name":"Impact","value":""},{"id":150,"name":"Time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684</v>
      </c>
      <c r="B151" s="7">
        <v>4029</v>
      </c>
      <c r="C151" s="24" t="s">
        <v>106</v>
      </c>
      <c r="D151" s="24" t="s">
        <v>208</v>
      </c>
      <c r="E151" s="15">
        <v>42644.870740740742</v>
      </c>
      <c r="F151" s="15">
        <v>42644.875335648147</v>
      </c>
      <c r="G151" s="7">
        <v>2</v>
      </c>
      <c r="H151" s="15" t="s">
        <v>685</v>
      </c>
      <c r="I151" s="15">
        <v>42644.900462962964</v>
      </c>
      <c r="J151" s="7">
        <v>0</v>
      </c>
      <c r="K151" s="117" t="str">
        <f t="shared" si="44"/>
        <v>4029/4030</v>
      </c>
      <c r="L151" s="24" t="str">
        <f>VLOOKUP(A151,'Trips&amp;Operators'!$C$1:$E$10000,3,FALSE)</f>
        <v>LEVIN</v>
      </c>
      <c r="M151" s="6">
        <f t="shared" si="45"/>
        <v>2.5127314816927537E-2</v>
      </c>
      <c r="N151" s="7">
        <f t="shared" si="59"/>
        <v>36.183333336375654</v>
      </c>
      <c r="O151" s="7"/>
      <c r="P151" s="7"/>
      <c r="Q151" s="25"/>
      <c r="R151" s="25"/>
      <c r="S151" s="37">
        <f t="shared" si="58"/>
        <v>1</v>
      </c>
      <c r="T151" s="52" t="str">
        <f t="shared" si="46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19:53:52-0600',mode:absolute,to:'2016-10-01 22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48"/>
        <v>N</v>
      </c>
      <c r="X151" s="164">
        <f t="shared" si="43"/>
        <v>1</v>
      </c>
      <c r="Y151" s="69">
        <f t="shared" si="49"/>
        <v>4.5699999999999998E-2</v>
      </c>
      <c r="Z151" s="69">
        <f t="shared" si="50"/>
        <v>23.334</v>
      </c>
      <c r="AA151" s="69">
        <f t="shared" si="51"/>
        <v>23.2883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2"/>
        <v>0229-01</v>
      </c>
      <c r="AE151" s="95" t="str">
        <f t="shared" si="53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51" s="92" t="str">
        <f t="shared" si="54"/>
        <v>"C:\Program Files (x86)\AstroGrep\AstroGrep.exe" /spath="%USERPROFILE%\AppData\Local\Temp\OnboardLogs" /stypes="app*4029*20161002*" /stext=" 03:.+((SYSTEM_STATE.+slice.+state.+changed )|(ment ac)|(system.+state.+changed )|(\[timeout)|(PRM\|1\|D)|(kpr)|(kdp)|(\|lc)|(penalty))" /e /r /s</v>
      </c>
      <c r="AG151" s="1" t="str">
        <f t="shared" si="55"/>
        <v>EC</v>
      </c>
      <c r="AH151" s="96" t="str">
        <f t="shared" si="56"/>
        <v>"%USERPROFILE%\Documents\GitHub\eaglep3\Utilities\RefineRTDCRunTimes.py" --tripid 229-01 --locoid 4029 --swversion DE.1.0.7.0 --startMP 204:457 --initTime 2016-10-01T20:53:52 --startdatetime 2016-10-01T21:00:29 --delay 2 --endMP 204:233340 --enddatetime 2016-10-01T21:36:40 --enforcementcount 0 &gt;&gt;C:\Users\stu\Documents\GitHub\eaglep3-reporting\EC\2016-10-01-refined-times.txt</v>
      </c>
      <c r="AI151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{"issue":{"subject":"","project_id":79,"tracker_id":40,"status_id":1,"priority_id":2,"assigned_to_id":23,"start_date":"2016-10-01","description":"","custom_fields":[{"id":1,"name":"Subdivision","value":"EC"},{"id":4,"name":"Milepost","value":"23.334"},{"id":17,"name":"Train ID","value":"229-01"},{"id":16,"name":"Locomotive ID","value":"4029"},{"id":130,"name":"Impact","value":""},{"id":150,"name":"Time of Event (Mountain Time)","value":"21:36:40"},{"id":151,"name":"Denver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686</v>
      </c>
      <c r="B152" s="7">
        <v>4030</v>
      </c>
      <c r="C152" s="24" t="s">
        <v>106</v>
      </c>
      <c r="D152" s="24" t="s">
        <v>687</v>
      </c>
      <c r="E152" s="15">
        <v>42644.91097222222</v>
      </c>
      <c r="F152" s="15">
        <v>42644.914143518516</v>
      </c>
      <c r="G152" s="7">
        <v>1</v>
      </c>
      <c r="H152" s="15" t="s">
        <v>327</v>
      </c>
      <c r="I152" s="15">
        <v>42644.94054398148</v>
      </c>
      <c r="J152" s="7">
        <v>0</v>
      </c>
      <c r="K152" s="117" t="str">
        <f t="shared" si="44"/>
        <v>4029/4030</v>
      </c>
      <c r="L152" s="24" t="str">
        <f>VLOOKUP(A152,'Trips&amp;Operators'!$C$1:$E$10000,3,FALSE)</f>
        <v>LEVIN</v>
      </c>
      <c r="M152" s="6">
        <f t="shared" si="45"/>
        <v>2.6400462964375038E-2</v>
      </c>
      <c r="N152" s="7">
        <f t="shared" si="59"/>
        <v>38.016666668700054</v>
      </c>
      <c r="O152" s="7"/>
      <c r="P152" s="7"/>
      <c r="Q152" s="25"/>
      <c r="R152" s="25"/>
      <c r="S152" s="37">
        <f t="shared" si="58"/>
        <v>1</v>
      </c>
      <c r="T152" s="52" t="str">
        <f t="shared" si="46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20:51:48-0600',mode:absolute,to:'2016-10-01 23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48"/>
        <v>N</v>
      </c>
      <c r="X152" s="164">
        <f t="shared" si="43"/>
        <v>1</v>
      </c>
      <c r="Y152" s="69">
        <f t="shared" si="49"/>
        <v>23.300999999999998</v>
      </c>
      <c r="Z152" s="69">
        <f t="shared" si="50"/>
        <v>1.3599999999999999E-2</v>
      </c>
      <c r="AA152" s="69">
        <f t="shared" si="51"/>
        <v>23.287399999999998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2"/>
        <v>0230-01</v>
      </c>
      <c r="AE152" s="95" t="str">
        <f t="shared" si="53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52" s="92" t="str">
        <f t="shared" si="54"/>
        <v>"C:\Program Files (x86)\AstroGrep\AstroGrep.exe" /spath="%USERPROFILE%\AppData\Local\Temp\OnboardLogs" /stypes="app*4030*20161002*" /stext=" 04:.+((SYSTEM_STATE.+slice.+state.+changed )|(ment ac)|(system.+state.+changed )|(\[timeout)|(PRM\|1\|D)|(kpr)|(kdp)|(\|lc)|(penalty))" /e /r /s</v>
      </c>
      <c r="AG152" s="1" t="str">
        <f t="shared" si="55"/>
        <v>EC</v>
      </c>
      <c r="AH152" s="96" t="str">
        <f t="shared" si="56"/>
        <v>"%USERPROFILE%\Documents\GitHub\eaglep3\Utilities\RefineRTDCRunTimes.py" --tripid 230-01 --locoid 4030 --swversion DE.1.0.7.0 --startMP 204:233010 --initTime 2016-10-01T21:51:48 --startdatetime 2016-10-01T21:56:22 --delay 1 --endMP 204:136 --enddatetime 2016-10-01T22:34:23 --enforcementcount 0 &gt;&gt;C:\Users\stu\Documents\GitHub\eaglep3-reporting\EC\2016-10-01-refined-times.txt</v>
      </c>
      <c r="AI152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{"issue":{"subject":"","project_id":79,"tracker_id":40,"status_id":1,"priority_id":2,"assigned_to_id":23,"start_date":"2016-10-01","description":"","custom_fields":[{"id":1,"name":"Subdivision","value":"EC"},{"id":4,"name":"Milepost","value":"0.0136"},{"id":17,"name":"Train ID","value":"230-01"},{"id":16,"name":"Locomotive ID","value":"4030"},{"id":130,"name":"Impact","value":""},{"id":150,"name":"Time of Event (Mountain Time)","value":"22:34:23"},{"id":151,"name":"Denver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688</v>
      </c>
      <c r="B153" s="7">
        <v>4011</v>
      </c>
      <c r="C153" s="24" t="s">
        <v>106</v>
      </c>
      <c r="D153" s="24" t="s">
        <v>289</v>
      </c>
      <c r="E153" s="15">
        <v>42644.888425925928</v>
      </c>
      <c r="F153" s="15">
        <v>42644.895983796298</v>
      </c>
      <c r="G153" s="7">
        <v>1</v>
      </c>
      <c r="H153" s="15" t="s">
        <v>223</v>
      </c>
      <c r="I153" s="15">
        <v>42644.921099537038</v>
      </c>
      <c r="J153" s="7">
        <v>0</v>
      </c>
      <c r="K153" s="117" t="str">
        <f t="shared" si="44"/>
        <v>4011/4012</v>
      </c>
      <c r="L153" s="24" t="str">
        <f>VLOOKUP(A153,'Trips&amp;Operators'!$C$1:$E$10000,3,FALSE)</f>
        <v>NEWELL</v>
      </c>
      <c r="M153" s="6">
        <f t="shared" si="45"/>
        <v>2.5115740740147885E-2</v>
      </c>
      <c r="N153" s="7">
        <f t="shared" si="59"/>
        <v>36.166666665812954</v>
      </c>
      <c r="O153" s="7"/>
      <c r="P153" s="7"/>
      <c r="Q153" s="25"/>
      <c r="R153" s="25"/>
      <c r="S153" s="37">
        <f t="shared" si="58"/>
        <v>1</v>
      </c>
      <c r="T153" s="52" t="str">
        <f t="shared" si="46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20:19:20-0600',mode:absolute,to:'2016-10-01 23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3" s="54" t="str">
        <f t="shared" si="48"/>
        <v>N</v>
      </c>
      <c r="X153" s="164">
        <f t="shared" si="43"/>
        <v>1</v>
      </c>
      <c r="Y153" s="69">
        <f t="shared" si="49"/>
        <v>4.7699999999999999E-2</v>
      </c>
      <c r="Z153" s="69">
        <f t="shared" si="50"/>
        <v>23.331399999999999</v>
      </c>
      <c r="AA153" s="69">
        <f t="shared" si="51"/>
        <v>23.2837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2"/>
        <v>0231-01</v>
      </c>
      <c r="AE153" s="95" t="str">
        <f t="shared" si="53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53" s="92" t="str">
        <f t="shared" si="54"/>
        <v>"C:\Program Files (x86)\AstroGrep\AstroGrep.exe" /spath="%USERPROFILE%\AppData\Local\Temp\OnboardLogs" /stypes="app*4011*20161002*" /stext=" 04:.+((SYSTEM_STATE.+slice.+state.+changed )|(ment ac)|(system.+state.+changed )|(\[timeout)|(PRM\|1\|D)|(kpr)|(kdp)|(\|lc)|(penalty))" /e /r /s</v>
      </c>
      <c r="AG153" s="1" t="str">
        <f t="shared" si="55"/>
        <v>EC</v>
      </c>
      <c r="AH153" s="96" t="str">
        <f t="shared" si="56"/>
        <v>"%USERPROFILE%\Documents\GitHub\eaglep3\Utilities\RefineRTDCRunTimes.py" --tripid 231-01 --locoid 4011 --swversion DE.1.0.7.0 --startMP 204:477 --initTime 2016-10-01T21:19:20 --startdatetime 2016-10-01T21:30:13 --delay 1 --endMP 204:233314 --enddatetime 2016-10-01T22:06:23 --enforcementcount 0 &gt;&gt;C:\Users\stu\Documents\GitHub\eaglep3-reporting\EC\2016-10-01-refined-times.txt</v>
      </c>
      <c r="AI153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{"issue":{"subject":"","project_id":79,"tracker_id":40,"status_id":1,"priority_id":2,"assigned_to_id":23,"start_date":"2016-10-01","description":"","custom_fields":[{"id":1,"name":"Subdivision","value":"EC"},{"id":4,"name":"Milepost","value":"23.3314"},{"id":17,"name":"Train ID","value":"231-01"},{"id":16,"name":"Locomotive ID","value":"4011"},{"id":130,"name":"Impact","value":""},{"id":150,"name":"Time of Event (Mountain Time)","value":"22:06:23"},{"id":151,"name":"Denver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689</v>
      </c>
      <c r="B154" s="7">
        <v>4012</v>
      </c>
      <c r="C154" s="24" t="s">
        <v>106</v>
      </c>
      <c r="D154" s="24" t="s">
        <v>284</v>
      </c>
      <c r="E154" s="15">
        <v>42644.92701388889</v>
      </c>
      <c r="F154" s="15">
        <v>42644.934895833336</v>
      </c>
      <c r="G154" s="7">
        <v>1</v>
      </c>
      <c r="H154" s="15" t="s">
        <v>228</v>
      </c>
      <c r="I154" s="15">
        <v>42644.961817129632</v>
      </c>
      <c r="J154" s="7">
        <v>0</v>
      </c>
      <c r="K154" s="117" t="str">
        <f t="shared" si="44"/>
        <v>4011/4012</v>
      </c>
      <c r="L154" s="24" t="str">
        <f>VLOOKUP(A154,'Trips&amp;Operators'!$C$1:$E$10000,3,FALSE)</f>
        <v>NEWELL</v>
      </c>
      <c r="M154" s="6">
        <f t="shared" si="45"/>
        <v>2.6921296295768116E-2</v>
      </c>
      <c r="N154" s="7">
        <f t="shared" si="59"/>
        <v>38.766666665906087</v>
      </c>
      <c r="O154" s="7"/>
      <c r="P154" s="7"/>
      <c r="Q154" s="25"/>
      <c r="R154" s="25"/>
      <c r="S154" s="37">
        <f t="shared" si="58"/>
        <v>1</v>
      </c>
      <c r="T154" s="52" t="str">
        <f t="shared" si="46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21:14:54-0600',mode:absolute,to:'2016-10-02 00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4" s="54" t="str">
        <f t="shared" si="48"/>
        <v>N</v>
      </c>
      <c r="X154" s="164">
        <f t="shared" si="43"/>
        <v>1</v>
      </c>
      <c r="Y154" s="69">
        <f t="shared" si="49"/>
        <v>23.297799999999999</v>
      </c>
      <c r="Z154" s="69">
        <f t="shared" si="50"/>
        <v>1.41E-2</v>
      </c>
      <c r="AA154" s="69">
        <f t="shared" si="51"/>
        <v>23.2837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2"/>
        <v>0232-01</v>
      </c>
      <c r="AE154" s="95" t="str">
        <f t="shared" si="53"/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AF154" s="92" t="str">
        <f t="shared" si="54"/>
        <v>"C:\Program Files (x86)\AstroGrep\AstroGrep.exe" /spath="%USERPROFILE%\AppData\Local\Temp\OnboardLogs" /stypes="app*4012*20161002*" /stext=" 05:.+((SYSTEM_STATE.+slice.+state.+changed )|(ment ac)|(system.+state.+changed )|(\[timeout)|(PRM\|1\|D)|(kpr)|(kdp)|(\|lc)|(penalty))" /e /r /s</v>
      </c>
      <c r="AG154" s="1" t="str">
        <f t="shared" si="55"/>
        <v>EC</v>
      </c>
      <c r="AH154" s="96" t="str">
        <f t="shared" si="56"/>
        <v>"%USERPROFILE%\Documents\GitHub\eaglep3\Utilities\RefineRTDCRunTimes.py" --tripid 232-01 --locoid 4012 --swversion DE.1.0.7.0 --startMP 204:232978 --initTime 2016-10-01T22:14:54 --startdatetime 2016-10-01T22:26:15 --delay 1 --endMP 204:141 --enddatetime 2016-10-01T23:05:01 --enforcementcount 0 &gt;&gt;C:\Users\stu\Documents\GitHub\eaglep3-reporting\EC\2016-10-01-refined-times.txt</v>
      </c>
      <c r="AI154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{"issue":{"subject":"","project_id":79,"tracker_id":40,"status_id":1,"priority_id":2,"assigned_to_id":23,"start_date":"2016-10-01","description":"","custom_fields":[{"id":1,"name":"Subdivision","value":"EC"},{"id":4,"name":"Milepost","value":"0.0141"},{"id":17,"name":"Train ID","value":"232-01"},{"id":16,"name":"Locomotive ID","value":"4012"},{"id":130,"name":"Impact","value":""},{"id":150,"name":"Time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690</v>
      </c>
      <c r="B155" s="7">
        <v>4018</v>
      </c>
      <c r="C155" s="24" t="s">
        <v>106</v>
      </c>
      <c r="D155" s="24" t="s">
        <v>359</v>
      </c>
      <c r="E155" s="15">
        <v>42644.911932870367</v>
      </c>
      <c r="F155" s="15">
        <v>42644.917129629626</v>
      </c>
      <c r="G155" s="7">
        <v>6</v>
      </c>
      <c r="H155" s="15" t="s">
        <v>254</v>
      </c>
      <c r="I155" s="15">
        <v>42644.942974537036</v>
      </c>
      <c r="J155" s="7">
        <v>0</v>
      </c>
      <c r="K155" s="117" t="str">
        <f t="shared" si="44"/>
        <v>4017/4018</v>
      </c>
      <c r="L155" s="24" t="str">
        <f>VLOOKUP(A155,'Trips&amp;Operators'!$C$1:$E$10000,3,FALSE)</f>
        <v>CHANDLER</v>
      </c>
      <c r="M155" s="6">
        <f t="shared" si="45"/>
        <v>2.584490740991896E-2</v>
      </c>
      <c r="N155" s="7">
        <f t="shared" si="59"/>
        <v>37.216666670283303</v>
      </c>
      <c r="O155" s="7"/>
      <c r="P155" s="7"/>
      <c r="Q155" s="25"/>
      <c r="R155" s="25"/>
      <c r="S155" s="37">
        <f t="shared" si="58"/>
        <v>1</v>
      </c>
      <c r="T155" s="52" t="str">
        <f t="shared" si="46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20:53:11-0600',mode:absolute,to:'2016-10-01 23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5" s="54" t="str">
        <f t="shared" si="48"/>
        <v>N</v>
      </c>
      <c r="X155" s="164">
        <f t="shared" si="43"/>
        <v>1</v>
      </c>
      <c r="Y155" s="69">
        <f t="shared" si="49"/>
        <v>4.8899999999999999E-2</v>
      </c>
      <c r="Z155" s="69">
        <f t="shared" si="50"/>
        <v>23.3307</v>
      </c>
      <c r="AA155" s="69">
        <f t="shared" si="51"/>
        <v>23.2818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2"/>
        <v>0233-01</v>
      </c>
      <c r="AE155" s="95" t="str">
        <f t="shared" si="53"/>
        <v>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 &amp; 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</v>
      </c>
      <c r="AF155" s="92" t="str">
        <f t="shared" si="54"/>
        <v>"C:\Program Files (x86)\AstroGrep\AstroGrep.exe" /spath="%USERPROFILE%\AppData\Local\Temp\OnboardLogs" /stypes="app*4018*20161002*" /stext=" 04:.+((SYSTEM_STATE.+slice.+state.+changed )|(ment ac)|(system.+state.+changed )|(\[timeout)|(PRM\|1\|D)|(kpr)|(kdp)|(\|lc)|(penalty))" /e /r /s</v>
      </c>
      <c r="AG155" s="1" t="str">
        <f t="shared" si="55"/>
        <v>EC</v>
      </c>
      <c r="AH155" s="96" t="str">
        <f t="shared" si="56"/>
        <v>"%USERPROFILE%\Documents\GitHub\eaglep3\Utilities\RefineRTDCRunTimes.py" --tripid 233-01 --locoid 4018 --swversion DE.1.0.7.0 --startMP 204:489 --initTime 2016-10-01T21:53:11 --startdatetime 2016-10-01T22:00:40 --delay 6 --endMP 204:233307 --enddatetime 2016-10-01T22:37:53 --enforcementcount 0 &gt;&gt;C:\Users\stu\Documents\GitHub\eaglep3-reporting\EC\2016-10-01-refined-times.txt</v>
      </c>
      <c r="AI155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{"issue":{"subject":"","project_id":79,"tracker_id":40,"status_id":1,"priority_id":2,"assigned_to_id":23,"start_date":"2016-10-01","description":"","custom_fields":[{"id":1,"name":"Subdivision","value":"EC"},{"id":4,"name":"Milepost","value":"23.3307"},{"id":17,"name":"Train ID","value":"233-01"},{"id":16,"name":"Locomotive ID","value":"4018"},{"id":130,"name":"Impact","value":""},{"id":150,"name":"Time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691</v>
      </c>
      <c r="B156" s="7">
        <v>4017</v>
      </c>
      <c r="C156" s="24" t="s">
        <v>106</v>
      </c>
      <c r="D156" s="24" t="s">
        <v>470</v>
      </c>
      <c r="E156" s="15">
        <v>42644.953321759262</v>
      </c>
      <c r="F156" s="15">
        <v>42644.956180555557</v>
      </c>
      <c r="G156" s="7">
        <v>1</v>
      </c>
      <c r="H156" s="15" t="s">
        <v>442</v>
      </c>
      <c r="I156" s="15">
        <v>42644.983194444445</v>
      </c>
      <c r="J156" s="7">
        <v>0</v>
      </c>
      <c r="K156" s="117" t="str">
        <f t="shared" si="44"/>
        <v>4017/4018</v>
      </c>
      <c r="L156" s="24" t="str">
        <f>VLOOKUP(A156,'Trips&amp;Operators'!$C$1:$E$10000,3,FALSE)</f>
        <v>CHANDLER</v>
      </c>
      <c r="M156" s="6">
        <f t="shared" si="45"/>
        <v>2.7013888888177462E-2</v>
      </c>
      <c r="N156" s="7">
        <f t="shared" si="59"/>
        <v>38.899999998975545</v>
      </c>
      <c r="O156" s="7"/>
      <c r="P156" s="7"/>
      <c r="Q156" s="25"/>
      <c r="R156" s="25"/>
      <c r="S156" s="37">
        <f t="shared" si="58"/>
        <v>1</v>
      </c>
      <c r="T156" s="52" t="str">
        <f t="shared" si="46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21:52:47-0600',mode:absolute,to:'2016-10-02 00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6" s="54" t="str">
        <f t="shared" si="48"/>
        <v>N</v>
      </c>
      <c r="X156" s="164">
        <f t="shared" si="43"/>
        <v>1</v>
      </c>
      <c r="Y156" s="69">
        <f t="shared" si="49"/>
        <v>23.296700000000001</v>
      </c>
      <c r="Z156" s="69">
        <f t="shared" si="50"/>
        <v>1.72E-2</v>
      </c>
      <c r="AA156" s="69">
        <f t="shared" si="51"/>
        <v>23.279500000000002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2"/>
        <v>0234-01</v>
      </c>
      <c r="AE156" s="95" t="str">
        <f t="shared" si="53"/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AF156" s="92" t="str">
        <f t="shared" si="54"/>
        <v>"C:\Program Files (x86)\AstroGrep\AstroGrep.exe" /spath="%USERPROFILE%\AppData\Local\Temp\OnboardLogs" /stypes="app*4017*20161002*" /stext=" 05:.+((SYSTEM_STATE.+slice.+state.+changed )|(ment ac)|(system.+state.+changed )|(\[timeout)|(PRM\|1\|D)|(kpr)|(kdp)|(\|lc)|(penalty))" /e /r /s</v>
      </c>
      <c r="AG156" s="1" t="str">
        <f t="shared" si="55"/>
        <v>EC</v>
      </c>
      <c r="AH156" s="96" t="str">
        <f t="shared" si="56"/>
        <v>"%USERPROFILE%\Documents\GitHub\eaglep3\Utilities\RefineRTDCRunTimes.py" --tripid 234-01 --locoid 4017 --swversion DE.1.0.7.0 --startMP 204:232967 --initTime 2016-10-01T22:52:47 --startdatetime 2016-10-01T22:56:54 --delay 1 --endMP 204:172 --enddatetime 2016-10-01T23:35:48 --enforcementcount 0 &gt;&gt;C:\Users\stu\Documents\GitHub\eaglep3-reporting\EC\2016-10-01-refined-times.txt</v>
      </c>
      <c r="AI156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{"issue":{"subject":"","project_id":79,"tracker_id":40,"status_id":1,"priority_id":2,"assigned_to_id":23,"start_date":"2016-10-01","description":"","custom_fields":[{"id":1,"name":"Subdivision","value":"EC"},{"id":4,"name":"Milepost","value":"0.0172"},{"id":17,"name":"Train ID","value":"234-01"},{"id":16,"name":"Locomotive ID","value":"4017"},{"id":130,"name":"Impact","value":""},{"id":150,"name":"Time of Event (Mountain Time)","value":"23:35:48"},{"id":151,"name":"Denver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692</v>
      </c>
      <c r="B157" s="7">
        <v>4009</v>
      </c>
      <c r="C157" s="24" t="s">
        <v>106</v>
      </c>
      <c r="D157" s="24" t="s">
        <v>213</v>
      </c>
      <c r="E157" s="15">
        <v>42644.932291666664</v>
      </c>
      <c r="F157" s="15">
        <v>42644.938032407408</v>
      </c>
      <c r="G157" s="7">
        <v>1</v>
      </c>
      <c r="H157" s="15" t="s">
        <v>263</v>
      </c>
      <c r="I157" s="15">
        <v>42644.962824074071</v>
      </c>
      <c r="J157" s="7">
        <v>0</v>
      </c>
      <c r="K157" s="117" t="str">
        <f t="shared" si="44"/>
        <v>4009/4010</v>
      </c>
      <c r="L157" s="24" t="str">
        <f>VLOOKUP(A157,'Trips&amp;Operators'!$C$1:$E$10000,3,FALSE)</f>
        <v>STURGEON</v>
      </c>
      <c r="M157" s="6">
        <f t="shared" si="45"/>
        <v>2.4791666663077194E-2</v>
      </c>
      <c r="N157" s="7">
        <f t="shared" si="59"/>
        <v>35.69999999483116</v>
      </c>
      <c r="O157" s="7"/>
      <c r="P157" s="7"/>
      <c r="Q157" s="25"/>
      <c r="R157" s="25"/>
      <c r="S157" s="37">
        <f t="shared" si="58"/>
        <v>1</v>
      </c>
      <c r="T157" s="52" t="str">
        <f t="shared" si="46"/>
        <v>NorthBound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21:22:30-0600',mode:absolute,to:'2016-10-02 00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7" s="54" t="str">
        <f t="shared" si="48"/>
        <v>N</v>
      </c>
      <c r="X157" s="164">
        <f t="shared" si="43"/>
        <v>1</v>
      </c>
      <c r="Y157" s="69">
        <f t="shared" si="49"/>
        <v>4.5999999999999999E-2</v>
      </c>
      <c r="Z157" s="69">
        <f t="shared" si="50"/>
        <v>23.328800000000001</v>
      </c>
      <c r="AA157" s="69">
        <f t="shared" si="51"/>
        <v>23.282800000000002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2"/>
        <v>0235-01</v>
      </c>
      <c r="AE157" s="95" t="str">
        <f t="shared" si="53"/>
        <v>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 &amp; 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</v>
      </c>
      <c r="AF157" s="92" t="str">
        <f t="shared" si="54"/>
        <v>"C:\Program Files (x86)\AstroGrep\AstroGrep.exe" /spath="%USERPROFILE%\AppData\Local\Temp\OnboardLogs" /stypes="app*4009*20161002*" /stext=" 05:.+((SYSTEM_STATE.+slice.+state.+changed )|(ment ac)|(system.+state.+changed )|(\[timeout)|(PRM\|1\|D)|(kpr)|(kdp)|(\|lc)|(penalty))" /e /r /s</v>
      </c>
      <c r="AG157" s="1" t="str">
        <f t="shared" si="55"/>
        <v>EC</v>
      </c>
      <c r="AH157" s="96" t="str">
        <f t="shared" si="56"/>
        <v>"%USERPROFILE%\Documents\GitHub\eaglep3\Utilities\RefineRTDCRunTimes.py" --tripid 235-01 --locoid 4009 --swversion DE.1.0.7.0 --startMP 204:460 --initTime 2016-10-01T22:22:30 --startdatetime 2016-10-01T22:30:46 --delay 1 --endMP 204:233288 --enddatetime 2016-10-01T23:06:28 --enforcementcount 0 &gt;&gt;C:\Users\stu\Documents\GitHub\eaglep3-reporting\EC\2016-10-01-refined-times.txt</v>
      </c>
      <c r="AI157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{"issue":{"subject":"","project_id":79,"tracker_id":40,"status_id":1,"priority_id":2,"assigned_to_id":23,"start_date":"2016-10-01","description":"","custom_fields":[{"id":1,"name":"Subdivision","value":"EC"},{"id":4,"name":"Milepost","value":"23.3288"},{"id":17,"name":"Train ID","value":"235-01"},{"id":16,"name":"Locomotive ID","value":"4009"},{"id":130,"name":"Impact","value":""},{"id":150,"name":"Time of Event (Mountain Time)","value":"23:06:28"},{"id":151,"name":"Denver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693</v>
      </c>
      <c r="B158" s="7">
        <v>4010</v>
      </c>
      <c r="C158" s="24" t="s">
        <v>106</v>
      </c>
      <c r="D158" s="24" t="s">
        <v>470</v>
      </c>
      <c r="E158" s="15">
        <v>42644.97347222222</v>
      </c>
      <c r="F158" s="15">
        <v>42644.976817129631</v>
      </c>
      <c r="G158" s="7">
        <v>1</v>
      </c>
      <c r="H158" s="15" t="s">
        <v>207</v>
      </c>
      <c r="I158" s="15">
        <v>42645.004444444443</v>
      </c>
      <c r="J158" s="7">
        <v>0</v>
      </c>
      <c r="K158" s="117" t="str">
        <f t="shared" si="44"/>
        <v>4009/4010</v>
      </c>
      <c r="L158" s="24" t="str">
        <f>VLOOKUP(A158,'Trips&amp;Operators'!$C$1:$E$10000,3,FALSE)</f>
        <v>STURGEON</v>
      </c>
      <c r="M158" s="6">
        <f t="shared" si="45"/>
        <v>2.7627314811979886E-2</v>
      </c>
      <c r="N158" s="7">
        <f t="shared" si="59"/>
        <v>39.783333329251036</v>
      </c>
      <c r="O158" s="7"/>
      <c r="P158" s="7"/>
      <c r="Q158" s="25"/>
      <c r="R158" s="25"/>
      <c r="S158" s="37">
        <f t="shared" si="58"/>
        <v>1</v>
      </c>
      <c r="T158" s="52" t="str">
        <f t="shared" si="46"/>
        <v>Southbound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22:21:48-0600',mode:absolute,to:'2016-10-02 01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8" s="54" t="str">
        <f t="shared" si="48"/>
        <v>N</v>
      </c>
      <c r="X158" s="164">
        <f t="shared" si="43"/>
        <v>1</v>
      </c>
      <c r="Y158" s="69">
        <f t="shared" si="49"/>
        <v>23.296700000000001</v>
      </c>
      <c r="Z158" s="69">
        <f t="shared" si="50"/>
        <v>1.52E-2</v>
      </c>
      <c r="AA158" s="69">
        <f t="shared" si="51"/>
        <v>23.281500000000001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2"/>
        <v>0236-01</v>
      </c>
      <c r="AE158" s="95" t="str">
        <f t="shared" si="53"/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AF158" s="92" t="str">
        <f t="shared" si="54"/>
        <v>"C:\Program Files (x86)\AstroGrep\AstroGrep.exe" /spath="%USERPROFILE%\AppData\Local\Temp\OnboardLogs" /stypes="app*4010*20161002*" /stext=" 06:.+((SYSTEM_STATE.+slice.+state.+changed )|(ment ac)|(system.+state.+changed )|(\[timeout)|(PRM\|1\|D)|(kpr)|(kdp)|(\|lc)|(penalty))" /e /r /s</v>
      </c>
      <c r="AG158" s="1" t="str">
        <f t="shared" si="55"/>
        <v>EC</v>
      </c>
      <c r="AH158" s="96" t="str">
        <f t="shared" si="56"/>
        <v>"%USERPROFILE%\Documents\GitHub\eaglep3\Utilities\RefineRTDCRunTimes.py" --tripid 236-01 --locoid 4010 --swversion DE.1.0.7.0 --startMP 204:232967 --initTime 2016-10-01T23:21:48 --startdatetime 2016-10-01T23:26:37 --delay 1 --endMP 204:152 --enddatetime 2016-10-02T00:06:24 --enforcementcount 0 &gt;&gt;C:\Users\stu\Documents\GitHub\eaglep3-reporting\EC\2016-10-01-refined-times.txt</v>
      </c>
      <c r="AI158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{"issue":{"subject":"","project_id":79,"tracker_id":40,"status_id":1,"priority_id":2,"assigned_to_id":23,"start_date":"2016-10-02","description":"","custom_fields":[{"id":1,"name":"Subdivision","value":"EC"},{"id":4,"name":"Milepost","value":"0.0152"},{"id":17,"name":"Train ID","value":"236-01"},{"id":16,"name":"Locomotive ID","value":"4010"},{"id":130,"name":"Impact","value":""},{"id":150,"name":"Time of Event (Mountain Time)","value":"00:06:24"},{"id":151,"name":"Denver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694</v>
      </c>
      <c r="B159" s="7">
        <v>4029</v>
      </c>
      <c r="C159" s="24" t="s">
        <v>106</v>
      </c>
      <c r="D159" s="24" t="s">
        <v>268</v>
      </c>
      <c r="E159" s="15">
        <v>42644.955358796295</v>
      </c>
      <c r="F159" s="15">
        <v>42644.95853009259</v>
      </c>
      <c r="G159" s="7">
        <v>1</v>
      </c>
      <c r="H159" s="15" t="s">
        <v>695</v>
      </c>
      <c r="I159" s="15">
        <v>42644.983368055553</v>
      </c>
      <c r="J159" s="7">
        <v>0</v>
      </c>
      <c r="K159" s="117" t="str">
        <f t="shared" si="44"/>
        <v>4029/4030</v>
      </c>
      <c r="L159" s="24" t="str">
        <f>VLOOKUP(A159,'Trips&amp;Operators'!$C$1:$E$10000,3,FALSE)</f>
        <v>LEVIN</v>
      </c>
      <c r="M159" s="6">
        <f t="shared" si="45"/>
        <v>2.4837962962919846E-2</v>
      </c>
      <c r="N159" s="7">
        <f t="shared" si="59"/>
        <v>35.766666666604578</v>
      </c>
      <c r="O159" s="7"/>
      <c r="P159" s="7"/>
      <c r="Q159" s="25"/>
      <c r="R159" s="25"/>
      <c r="S159" s="37">
        <f t="shared" si="58"/>
        <v>1</v>
      </c>
      <c r="T159" s="52" t="str">
        <f t="shared" si="46"/>
        <v>NorthBound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21:55:43-0600',mode:absolute,to:'2016-10-02 00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9" s="54" t="str">
        <f t="shared" si="48"/>
        <v>N</v>
      </c>
      <c r="X159" s="164">
        <f t="shared" si="43"/>
        <v>1</v>
      </c>
      <c r="Y159" s="69">
        <f t="shared" si="49"/>
        <v>4.3999999999999997E-2</v>
      </c>
      <c r="Z159" s="69">
        <f t="shared" si="50"/>
        <v>23.3339</v>
      </c>
      <c r="AA159" s="69">
        <f t="shared" si="51"/>
        <v>23.289899999999999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2"/>
        <v>0237-01</v>
      </c>
      <c r="AE159" s="95" t="str">
        <f t="shared" si="53"/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AF159" s="92" t="str">
        <f t="shared" si="54"/>
        <v>"C:\Program Files (x86)\AstroGrep\AstroGrep.exe" /spath="%USERPROFILE%\AppData\Local\Temp\OnboardLogs" /stypes="app*4029*20161002*" /stext=" 05:.+((SYSTEM_STATE.+slice.+state.+changed )|(ment ac)|(system.+state.+changed )|(\[timeout)|(PRM\|1\|D)|(kpr)|(kdp)|(\|lc)|(penalty))" /e /r /s</v>
      </c>
      <c r="AG159" s="1" t="str">
        <f t="shared" si="55"/>
        <v>EC</v>
      </c>
      <c r="AH159" s="96" t="str">
        <f t="shared" si="56"/>
        <v>"%USERPROFILE%\Documents\GitHub\eaglep3\Utilities\RefineRTDCRunTimes.py" --tripid 237-01 --locoid 4029 --swversion DE.1.0.7.0 --startMP 204:440 --initTime 2016-10-01T22:55:43 --startdatetime 2016-10-01T23:00:17 --delay 1 --endMP 204:233339 --enddatetime 2016-10-01T23:36:03 --enforcementcount 0 &gt;&gt;C:\Users\stu\Documents\GitHub\eaglep3-reporting\EC\2016-10-01-refined-times.txt</v>
      </c>
      <c r="AI159" s="130" t="str">
        <f t="shared" si="57"/>
        <v>echo {"issue":{"subject":"","project_id":79,"tracker_id":40,"status_id":1,"priority_id":2,"assigned_to_id":23,"start_date":"2016-10-01","description":"","custom_fields":[{"id":1,"name":"Subdivision","value":"EC"},{"id":4,"name":"Milepost","value":"23.3339"},{"id":17,"name":"Train ID","value":"237-01"},{"id":16,"name":"Locomotive ID","value":"4029"},{"id":130,"name":"Impact","value":""},{"id":150,"name":"Time of Event (Mountain Time)","value":"23:36:03"},{"id":151,"name":"Denver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696</v>
      </c>
      <c r="B160" s="7">
        <v>4030</v>
      </c>
      <c r="C160" s="24" t="s">
        <v>106</v>
      </c>
      <c r="D160" s="24" t="s">
        <v>697</v>
      </c>
      <c r="E160" s="15">
        <v>42644.992534722223</v>
      </c>
      <c r="F160" s="15">
        <v>42644.997430555559</v>
      </c>
      <c r="G160" s="7">
        <v>1</v>
      </c>
      <c r="H160" s="15" t="s">
        <v>698</v>
      </c>
      <c r="I160" s="15">
        <v>42645.023402777777</v>
      </c>
      <c r="J160" s="7">
        <v>0</v>
      </c>
      <c r="K160" s="117" t="str">
        <f t="shared" si="44"/>
        <v>4029/4030</v>
      </c>
      <c r="L160" s="24" t="str">
        <f>VLOOKUP(A160,'Trips&amp;Operators'!$C$1:$E$10000,3,FALSE)</f>
        <v>LEVIN</v>
      </c>
      <c r="M160" s="6">
        <f t="shared" si="45"/>
        <v>2.5972222218115348E-2</v>
      </c>
      <c r="N160" s="7">
        <f t="shared" si="59"/>
        <v>37.399999994086102</v>
      </c>
      <c r="O160" s="7"/>
      <c r="P160" s="7"/>
      <c r="Q160" s="25"/>
      <c r="R160" s="25"/>
      <c r="S160" s="37">
        <f t="shared" si="58"/>
        <v>1</v>
      </c>
      <c r="T160" s="52" t="str">
        <f t="shared" si="46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22:49:15-0600',mode:absolute,to:'2016-10-02 01:33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0" s="54" t="str">
        <f t="shared" si="48"/>
        <v>N</v>
      </c>
      <c r="X160" s="164">
        <f t="shared" si="43"/>
        <v>1</v>
      </c>
      <c r="Y160" s="69">
        <f t="shared" si="49"/>
        <v>23.300899999999999</v>
      </c>
      <c r="Z160" s="69">
        <f t="shared" si="50"/>
        <v>1.29E-2</v>
      </c>
      <c r="AA160" s="69">
        <f t="shared" si="51"/>
        <v>23.288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2"/>
        <v>0238-01</v>
      </c>
      <c r="AE160" s="95" t="str">
        <f t="shared" si="53"/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AF160" s="92" t="str">
        <f t="shared" si="54"/>
        <v>"C:\Program Files (x86)\AstroGrep\AstroGrep.exe" /spath="%USERPROFILE%\AppData\Local\Temp\OnboardLogs" /stypes="app*4030*20161002*" /stext=" 06:.+((SYSTEM_STATE.+slice.+state.+changed )|(ment ac)|(system.+state.+changed )|(\[timeout)|(PRM\|1\|D)|(kpr)|(kdp)|(\|lc)|(penalty))" /e /r /s</v>
      </c>
      <c r="AG160" s="1" t="str">
        <f t="shared" si="55"/>
        <v>EC</v>
      </c>
      <c r="AH160" s="96" t="str">
        <f t="shared" si="56"/>
        <v>"%USERPROFILE%\Documents\GitHub\eaglep3\Utilities\RefineRTDCRunTimes.py" --tripid 238-01 --locoid 4030 --swversion DE.1.0.7.0 --startMP 204:233009 --initTime 2016-10-01T23:49:15 --startdatetime 2016-10-01T23:56:18 --delay 1 --endMP 204:129 --enddatetime 2016-10-02T00:33:42 --enforcementcount 0 &gt;&gt;C:\Users\stu\Documents\GitHub\eaglep3-reporting\EC\2016-10-01-refined-times.txt</v>
      </c>
      <c r="AI160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{"issue":{"subject":"","project_id":79,"tracker_id":40,"status_id":1,"priority_id":2,"assigned_to_id":23,"start_date":"2016-10-02","description":"","custom_fields":[{"id":1,"name":"Subdivision","value":"EC"},{"id":4,"name":"Milepost","value":"0.0129"},{"id":17,"name":"Train ID","value":"238-01"},{"id":16,"name":"Locomotive ID","value":"4030"},{"id":130,"name":"Impact","value":""},{"id":150,"name":"Time of Event (Mountain Time)","value":"00:33:42"},{"id":151,"name":"Denver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699</v>
      </c>
      <c r="B161" s="7">
        <v>4011</v>
      </c>
      <c r="C161" s="24" t="s">
        <v>106</v>
      </c>
      <c r="D161" s="24" t="s">
        <v>208</v>
      </c>
      <c r="E161" s="15">
        <v>42644.969178240739</v>
      </c>
      <c r="F161" s="15">
        <v>42644.979317129626</v>
      </c>
      <c r="G161" s="7">
        <v>1</v>
      </c>
      <c r="H161" s="15" t="s">
        <v>254</v>
      </c>
      <c r="I161" s="15">
        <v>42645.003483796296</v>
      </c>
      <c r="J161" s="7">
        <v>0</v>
      </c>
      <c r="K161" s="117" t="str">
        <f t="shared" si="44"/>
        <v>4011/4012</v>
      </c>
      <c r="L161" s="24" t="str">
        <f>VLOOKUP(A161,'Trips&amp;Operators'!$C$1:$E$10000,3,FALSE)</f>
        <v>NEWELL</v>
      </c>
      <c r="M161" s="6">
        <f t="shared" si="45"/>
        <v>2.4166666669771075E-2</v>
      </c>
      <c r="N161" s="7">
        <f t="shared" si="59"/>
        <v>34.800000004470348</v>
      </c>
      <c r="O161" s="7"/>
      <c r="P161" s="7"/>
      <c r="Q161" s="25"/>
      <c r="R161" s="25"/>
      <c r="S161" s="37">
        <f t="shared" si="58"/>
        <v>1</v>
      </c>
      <c r="T161" s="52" t="str">
        <f t="shared" si="46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22:15:37-0600',mode:absolute,to:'2016-10-02 01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1" s="54" t="str">
        <f t="shared" si="48"/>
        <v>N</v>
      </c>
      <c r="X161" s="164">
        <f t="shared" si="43"/>
        <v>1</v>
      </c>
      <c r="Y161" s="69">
        <f t="shared" si="49"/>
        <v>4.5699999999999998E-2</v>
      </c>
      <c r="Z161" s="69">
        <f t="shared" si="50"/>
        <v>23.3307</v>
      </c>
      <c r="AA161" s="69">
        <f t="shared" si="51"/>
        <v>23.285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2"/>
        <v>0239-01</v>
      </c>
      <c r="AE161" s="95" t="str">
        <f t="shared" si="53"/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AF161" s="92" t="str">
        <f t="shared" si="54"/>
        <v>"C:\Program Files (x86)\AstroGrep\AstroGrep.exe" /spath="%USERPROFILE%\AppData\Local\Temp\OnboardLogs" /stypes="app*4011*20161002*" /stext=" 06:.+((SYSTEM_STATE.+slice.+state.+changed )|(ment ac)|(system.+state.+changed )|(\[timeout)|(PRM\|1\|D)|(kpr)|(kdp)|(\|lc)|(penalty))" /e /r /s</v>
      </c>
      <c r="AG161" s="1" t="str">
        <f t="shared" si="55"/>
        <v>EC</v>
      </c>
      <c r="AH161" s="96" t="str">
        <f t="shared" si="56"/>
        <v>"%USERPROFILE%\Documents\GitHub\eaglep3\Utilities\RefineRTDCRunTimes.py" --tripid 239-01 --locoid 4011 --swversion DE.1.0.7.0 --startMP 204:457 --initTime 2016-10-01T23:15:37 --startdatetime 2016-10-01T23:30:13 --delay 1 --endMP 204:233307 --enddatetime 2016-10-02T00:05:01 --enforcementcount 0 &gt;&gt;C:\Users\stu\Documents\GitHub\eaglep3-reporting\EC\2016-10-01-refined-times.txt</v>
      </c>
      <c r="AI161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{"issue":{"subject":"","project_id":79,"tracker_id":40,"status_id":1,"priority_id":2,"assigned_to_id":23,"start_date":"2016-10-02","description":"","custom_fields":[{"id":1,"name":"Subdivision","value":"EC"},{"id":4,"name":"Milepost","value":"23.3307"},{"id":17,"name":"Train ID","value":"239-01"},{"id":16,"name":"Locomotive ID","value":"4011"},{"id":130,"name":"Impact","value":""},{"id":150,"name":"Time of Event (Mountain Time)","value":"00:05:01"},{"id":151,"name":"Denver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700</v>
      </c>
      <c r="B162" s="7">
        <v>4012</v>
      </c>
      <c r="C162" s="24" t="s">
        <v>106</v>
      </c>
      <c r="D162" s="24" t="s">
        <v>281</v>
      </c>
      <c r="E162" s="15">
        <v>42645.004999999997</v>
      </c>
      <c r="F162" s="15">
        <v>42645.018206018518</v>
      </c>
      <c r="G162" s="7">
        <v>1</v>
      </c>
      <c r="H162" s="15" t="s">
        <v>537</v>
      </c>
      <c r="I162" s="15">
        <v>42645.04446759259</v>
      </c>
      <c r="J162" s="7">
        <v>0</v>
      </c>
      <c r="K162" s="117" t="str">
        <f t="shared" si="44"/>
        <v>4011/4012</v>
      </c>
      <c r="L162" s="24" t="str">
        <f>VLOOKUP(A162,'Trips&amp;Operators'!$C$1:$E$10000,3,FALSE)</f>
        <v>NEWELL</v>
      </c>
      <c r="M162" s="6">
        <f t="shared" si="45"/>
        <v>2.626157407212304E-2</v>
      </c>
      <c r="N162" s="7">
        <f t="shared" si="59"/>
        <v>37.816666663857177</v>
      </c>
      <c r="O162" s="7"/>
      <c r="P162" s="7"/>
      <c r="Q162" s="25"/>
      <c r="R162" s="25"/>
      <c r="S162" s="37">
        <f t="shared" si="58"/>
        <v>1</v>
      </c>
      <c r="T162" s="52" t="str">
        <f t="shared" si="46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23:07:12-0600',mode:absolute,to:'2016-10-02 02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2" s="54" t="str">
        <f t="shared" si="48"/>
        <v>N</v>
      </c>
      <c r="X162" s="164">
        <f t="shared" si="43"/>
        <v>1</v>
      </c>
      <c r="Y162" s="69">
        <f t="shared" si="49"/>
        <v>23.298200000000001</v>
      </c>
      <c r="Z162" s="69">
        <f t="shared" si="50"/>
        <v>1.7000000000000001E-2</v>
      </c>
      <c r="AA162" s="69">
        <f t="shared" si="51"/>
        <v>23.281200000000002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2"/>
        <v>0240-01</v>
      </c>
      <c r="AE162" s="95" t="str">
        <f t="shared" si="53"/>
        <v>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 &amp; aws s3 cp s3://rtdc.mdm.uploadarchive.raw/RTDC4012/ "%USERPROFILE%\AppData\Local\Temp\OnboardLogs"\RTDC4012\2016-10-03 --exclude "*" --recursive --include "*20161003*" &amp; "%USERPROFILE%\Documents\GitHub\mrs-test-scripts\Headless Mode &amp; Sideloading\WalkAndUnGZ.bat" "%USERPROFILE%\AppData\Local\Temp\OnboardLogs"\RTDC4012\2016-10-03</v>
      </c>
      <c r="AF162" s="92" t="str">
        <f t="shared" si="54"/>
        <v>"C:\Program Files (x86)\AstroGrep\AstroGrep.exe" /spath="%USERPROFILE%\AppData\Local\Temp\OnboardLogs" /stypes="app*4012*20161002*" /stext=" 07:.+((SYSTEM_STATE.+slice.+state.+changed )|(ment ac)|(system.+state.+changed )|(\[timeout)|(PRM\|1\|D)|(kpr)|(kdp)|(\|lc)|(penalty))" /e /r /s</v>
      </c>
      <c r="AG162" s="1" t="str">
        <f t="shared" si="55"/>
        <v>EC</v>
      </c>
      <c r="AH162" s="96" t="str">
        <f t="shared" si="56"/>
        <v>"%USERPROFILE%\Documents\GitHub\eaglep3\Utilities\RefineRTDCRunTimes.py" --tripid 240-01 --locoid 4012 --swversion DE.1.0.7.0 --startMP 204:232982 --initTime 2016-10-02T00:07:12 --startdatetime 2016-10-02T00:26:13 --delay 1 --endMP 204:170 --enddatetime 2016-10-02T01:04:02 --enforcementcount 0 &gt;&gt;C:\Users\stu\Documents\GitHub\eaglep3-reporting\EC\2016-10-01-refined-times.txt</v>
      </c>
      <c r="AI162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{"issue":{"subject":"","project_id":79,"tracker_id":40,"status_id":1,"priority_id":2,"assigned_to_id":23,"start_date":"2016-10-02","description":"","custom_fields":[{"id":1,"name":"Subdivision","value":"EC"},{"id":4,"name":"Milepost","value":"0.017"},{"id":17,"name":"Train ID","value":"240-01"},{"id":16,"name":"Locomotive ID","value":"4012"},{"id":130,"name":"Impact","value":""},{"id":150,"name":"Time of Event (Mountain Time)","value":"01:04:02"},{"id":151,"name":"Denver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701</v>
      </c>
      <c r="B163" s="7">
        <v>4018</v>
      </c>
      <c r="C163" s="24" t="s">
        <v>106</v>
      </c>
      <c r="D163" s="24" t="s">
        <v>211</v>
      </c>
      <c r="E163" s="15">
        <v>42644.999340277776</v>
      </c>
      <c r="F163" s="15">
        <v>42645.000428240739</v>
      </c>
      <c r="G163" s="7">
        <v>1</v>
      </c>
      <c r="H163" s="15" t="s">
        <v>702</v>
      </c>
      <c r="I163" s="15">
        <v>42645.025289351855</v>
      </c>
      <c r="J163" s="7">
        <v>0</v>
      </c>
      <c r="K163" s="117" t="str">
        <f t="shared" si="44"/>
        <v>4017/4018</v>
      </c>
      <c r="L163" s="24" t="str">
        <f>VLOOKUP(A163,'Trips&amp;Operators'!$C$1:$E$10000,3,FALSE)</f>
        <v>CHANDLER</v>
      </c>
      <c r="M163" s="6">
        <f t="shared" si="45"/>
        <v>2.4861111116479151E-2</v>
      </c>
      <c r="N163" s="7">
        <f t="shared" si="59"/>
        <v>35.800000007729977</v>
      </c>
      <c r="O163" s="7"/>
      <c r="P163" s="7"/>
      <c r="Q163" s="25"/>
      <c r="R163" s="25"/>
      <c r="S163" s="37">
        <f t="shared" si="58"/>
        <v>1</v>
      </c>
      <c r="T163" s="52" t="str">
        <f t="shared" si="46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22:59:03-0600',mode:absolute,to:'2016-10-02 01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3" s="54" t="str">
        <f t="shared" si="48"/>
        <v>N</v>
      </c>
      <c r="X163" s="164">
        <f t="shared" si="43"/>
        <v>1</v>
      </c>
      <c r="Y163" s="69">
        <f t="shared" si="49"/>
        <v>4.5499999999999999E-2</v>
      </c>
      <c r="Z163" s="69">
        <f t="shared" si="50"/>
        <v>23.327200000000001</v>
      </c>
      <c r="AA163" s="69">
        <f t="shared" si="51"/>
        <v>23.281700000000001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2"/>
        <v>0241-01</v>
      </c>
      <c r="AE163" s="95" t="str">
        <f t="shared" si="53"/>
        <v>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 &amp; 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</v>
      </c>
      <c r="AF163" s="92" t="str">
        <f t="shared" si="54"/>
        <v>"C:\Program Files (x86)\AstroGrep\AstroGrep.exe" /spath="%USERPROFILE%\AppData\Local\Temp\OnboardLogs" /stypes="app*4018*20161002*" /stext=" 06:.+((SYSTEM_STATE.+slice.+state.+changed )|(ment ac)|(system.+state.+changed )|(\[timeout)|(PRM\|1\|D)|(kpr)|(kdp)|(\|lc)|(penalty))" /e /r /s</v>
      </c>
      <c r="AG163" s="1" t="str">
        <f t="shared" si="55"/>
        <v>EC</v>
      </c>
      <c r="AH163" s="96" t="str">
        <f t="shared" si="56"/>
        <v>"%USERPROFILE%\Documents\GitHub\eaglep3\Utilities\RefineRTDCRunTimes.py" --tripid 241-01 --locoid 4018 --swversion DE.1.0.7.0 --startMP 204:455 --initTime 2016-10-01T23:59:03 --startdatetime 2016-10-02T00:00:37 --delay 1 --endMP 204:233272 --enddatetime 2016-10-02T00:36:25 --enforcementcount 0 &gt;&gt;C:\Users\stu\Documents\GitHub\eaglep3-reporting\EC\2016-10-01-refined-times.txt</v>
      </c>
      <c r="AI163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{"issue":{"subject":"","project_id":79,"tracker_id":40,"status_id":1,"priority_id":2,"assigned_to_id":23,"start_date":"2016-10-02","description":"","custom_fields":[{"id":1,"name":"Subdivision","value":"EC"},{"id":4,"name":"Milepost","value":"23.3272"},{"id":17,"name":"Train ID","value":"241-01"},{"id":16,"name":"Locomotive ID","value":"4018"},{"id":130,"name":"Impact","value":""},{"id":150,"name":"Time of Event (Mountain Time)","value":"00:36:25"},{"id":151,"name":"Denver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703</v>
      </c>
      <c r="B164" s="7">
        <v>4017</v>
      </c>
      <c r="C164" s="24" t="s">
        <v>106</v>
      </c>
      <c r="D164" s="24" t="s">
        <v>326</v>
      </c>
      <c r="E164" s="15">
        <v>42645.036828703705</v>
      </c>
      <c r="F164" s="15">
        <v>42645.039270833331</v>
      </c>
      <c r="G164" s="7">
        <v>1</v>
      </c>
      <c r="H164" s="15" t="s">
        <v>221</v>
      </c>
      <c r="I164" s="15">
        <v>42645.068680555552</v>
      </c>
      <c r="J164" s="7">
        <v>0</v>
      </c>
      <c r="K164" s="117" t="str">
        <f t="shared" si="44"/>
        <v>4017/4018</v>
      </c>
      <c r="L164" s="24" t="str">
        <f>VLOOKUP(A164,'Trips&amp;Operators'!$C$1:$E$10000,3,FALSE)</f>
        <v>CHANDLER</v>
      </c>
      <c r="M164" s="6">
        <f t="shared" si="45"/>
        <v>2.940972222131677E-2</v>
      </c>
      <c r="N164" s="7">
        <f t="shared" si="59"/>
        <v>42.349999998696148</v>
      </c>
      <c r="O164" s="7"/>
      <c r="P164" s="7"/>
      <c r="Q164" s="25"/>
      <c r="R164" s="25"/>
      <c r="S164" s="37">
        <f t="shared" si="58"/>
        <v>1</v>
      </c>
      <c r="T164" s="52" t="str">
        <f t="shared" si="46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23:53:02-0600',mode:absolute,to:'2016-10-02 02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4" s="54" t="str">
        <f t="shared" si="48"/>
        <v>N</v>
      </c>
      <c r="X164" s="164">
        <f t="shared" si="43"/>
        <v>1</v>
      </c>
      <c r="Y164" s="69">
        <f t="shared" si="49"/>
        <v>23.295300000000001</v>
      </c>
      <c r="Z164" s="69">
        <f t="shared" si="50"/>
        <v>1.5599999999999999E-2</v>
      </c>
      <c r="AA164" s="69">
        <f t="shared" si="51"/>
        <v>23.279700000000002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2"/>
        <v>0242-01</v>
      </c>
      <c r="AE164" s="95" t="str">
        <f t="shared" si="53"/>
        <v>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 &amp; aws s3 cp s3://rtdc.mdm.uploadarchive.raw/RTDC4017/ "%USERPROFILE%\AppData\Local\Temp\OnboardLogs"\RTDC4017\2016-10-03 --exclude "*" --recursive --include "*20161003*" &amp; "%USERPROFILE%\Documents\GitHub\mrs-test-scripts\Headless Mode &amp; Sideloading\WalkAndUnGZ.bat" "%USERPROFILE%\AppData\Local\Temp\OnboardLogs"\RTDC4017\2016-10-03</v>
      </c>
      <c r="AF164" s="92" t="str">
        <f t="shared" si="54"/>
        <v>"C:\Program Files (x86)\AstroGrep\AstroGrep.exe" /spath="%USERPROFILE%\AppData\Local\Temp\OnboardLogs" /stypes="app*4017*20161002*" /stext=" 07:.+((SYSTEM_STATE.+slice.+state.+changed )|(ment ac)|(system.+state.+changed )|(\[timeout)|(PRM\|1\|D)|(kpr)|(kdp)|(\|lc)|(penalty))" /e /r /s</v>
      </c>
      <c r="AG164" s="1" t="str">
        <f t="shared" si="55"/>
        <v>EC</v>
      </c>
      <c r="AH164" s="96" t="str">
        <f t="shared" si="56"/>
        <v>"%USERPROFILE%\Documents\GitHub\eaglep3\Utilities\RefineRTDCRunTimes.py" --tripid 242-01 --locoid 4017 --swversion DE.1.0.7.0 --startMP 204:232953 --initTime 2016-10-02T00:53:02 --startdatetime 2016-10-02T00:56:33 --delay 1 --endMP 204:156 --enddatetime 2016-10-02T01:38:54 --enforcementcount 0 &gt;&gt;C:\Users\stu\Documents\GitHub\eaglep3-reporting\EC\2016-10-01-refined-times.txt</v>
      </c>
      <c r="AI164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{"issue":{"subject":"","project_id":79,"tracker_id":40,"status_id":1,"priority_id":2,"assigned_to_id":23,"start_date":"2016-10-02","description":"","custom_fields":[{"id":1,"name":"Subdivision","value":"EC"},{"id":4,"name":"Milepost","value":"0.0156"},{"id":17,"name":"Train ID","value":"242-01"},{"id":16,"name":"Locomotive ID","value":"4017"},{"id":130,"name":"Impact","value":""},{"id":150,"name":"Time of Event (Mountain Time)","value":"01:38:54"},{"id":151,"name":"Denver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704</v>
      </c>
      <c r="B165" s="7">
        <v>4009</v>
      </c>
      <c r="C165" s="24" t="s">
        <v>106</v>
      </c>
      <c r="D165" s="24" t="s">
        <v>238</v>
      </c>
      <c r="E165" s="15">
        <v>42645.014166666668</v>
      </c>
      <c r="F165" s="15">
        <v>42645.021111111113</v>
      </c>
      <c r="G165" s="7">
        <v>6</v>
      </c>
      <c r="H165" s="15" t="s">
        <v>705</v>
      </c>
      <c r="I165" s="15">
        <v>42645.04582175926</v>
      </c>
      <c r="J165" s="7">
        <v>0</v>
      </c>
      <c r="K165" s="117" t="str">
        <f t="shared" si="44"/>
        <v>4009/4010</v>
      </c>
      <c r="L165" s="24" t="str">
        <f>VLOOKUP(A165,'Trips&amp;Operators'!$C$1:$E$10000,3,FALSE)</f>
        <v>STURGEON</v>
      </c>
      <c r="M165" s="6">
        <f t="shared" si="45"/>
        <v>2.47106481474475E-2</v>
      </c>
      <c r="N165" s="7">
        <f t="shared" si="59"/>
        <v>35.583333332324401</v>
      </c>
      <c r="O165" s="7"/>
      <c r="P165" s="7"/>
      <c r="Q165" s="25"/>
      <c r="R165" s="25"/>
      <c r="S165" s="37">
        <f t="shared" si="58"/>
        <v>1</v>
      </c>
      <c r="T165" s="52" t="str">
        <f t="shared" si="46"/>
        <v>NorthBound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23:20:24-0600',mode:absolute,to:'2016-10-02 02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65" s="54" t="str">
        <f t="shared" si="48"/>
        <v>N</v>
      </c>
      <c r="X165" s="164">
        <f t="shared" si="43"/>
        <v>1</v>
      </c>
      <c r="Y165" s="69">
        <f t="shared" si="49"/>
        <v>4.6399999999999997E-2</v>
      </c>
      <c r="Z165" s="69">
        <f t="shared" si="50"/>
        <v>23.328199999999999</v>
      </c>
      <c r="AA165" s="69">
        <f t="shared" si="51"/>
        <v>23.2818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2"/>
        <v>0243-01</v>
      </c>
      <c r="AE165" s="95" t="str">
        <f t="shared" si="53"/>
        <v>aws s3 cp s3://rtdc.mdm.uploadarchive.raw/RTDC4009/ "%USERPROFILE%\AppData\Local\Temp\OnboardLogs"\RTDC4009\2016-10-02 --exclude "*" --recursive --include "*20161002*" &amp; "%USERPROFILE%\Documents\GitHub\mrs-test-scripts\Headless Mode &amp; Sideloading\WalkAndUnGZ.bat" "%USERPROFILE%\AppData\Local\Temp\OnboardLogs"\RTDC4009\2016-10-02 &amp; aws s3 cp s3://rtdc.mdm.uploadarchive.raw/RTDC4009/ "%USERPROFILE%\AppData\Local\Temp\OnboardLogs"\RTDC4009\2016-10-03 --exclude "*" --recursive --include "*20161003*" &amp; "%USERPROFILE%\Documents\GitHub\mrs-test-scripts\Headless Mode &amp; Sideloading\WalkAndUnGZ.bat" "%USERPROFILE%\AppData\Local\Temp\OnboardLogs"\RTDC4009\2016-10-03</v>
      </c>
      <c r="AF165" s="92" t="str">
        <f t="shared" si="54"/>
        <v>"C:\Program Files (x86)\AstroGrep\AstroGrep.exe" /spath="%USERPROFILE%\AppData\Local\Temp\OnboardLogs" /stypes="app*4009*20161002*" /stext=" 07:.+((SYSTEM_STATE.+slice.+state.+changed )|(ment ac)|(system.+state.+changed )|(\[timeout)|(PRM\|1\|D)|(kpr)|(kdp)|(\|lc)|(penalty))" /e /r /s</v>
      </c>
      <c r="AG165" s="1" t="str">
        <f t="shared" si="55"/>
        <v>EC</v>
      </c>
      <c r="AH165" s="96" t="str">
        <f t="shared" si="56"/>
        <v>"%USERPROFILE%\Documents\GitHub\eaglep3\Utilities\RefineRTDCRunTimes.py" --tripid 243-01 --locoid 4009 --swversion DE.1.0.7.0 --startMP 204:464 --initTime 2016-10-02T00:20:24 --startdatetime 2016-10-02T00:30:24 --delay 6 --endMP 204:233282 --enddatetime 2016-10-02T01:05:59 --enforcementcount 0 &gt;&gt;C:\Users\stu\Documents\GitHub\eaglep3-reporting\EC\2016-10-01-refined-times.txt</v>
      </c>
      <c r="AI165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{"issue":{"subject":"","project_id":79,"tracker_id":40,"status_id":1,"priority_id":2,"assigned_to_id":23,"start_date":"2016-10-02","description":"","custom_fields":[{"id":1,"name":"Subdivision","value":"EC"},{"id":4,"name":"Milepost","value":"23.3282"},{"id":17,"name":"Train ID","value":"243-01"},{"id":16,"name":"Locomotive ID","value":"4009"},{"id":130,"name":"Impact","value":""},{"id":150,"name":"Time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706</v>
      </c>
      <c r="B166" s="7">
        <v>4010</v>
      </c>
      <c r="C166" s="24" t="s">
        <v>106</v>
      </c>
      <c r="D166" s="24" t="s">
        <v>536</v>
      </c>
      <c r="E166" s="15">
        <v>42645.052372685182</v>
      </c>
      <c r="F166" s="15">
        <v>42645.059930555559</v>
      </c>
      <c r="G166" s="7">
        <v>2</v>
      </c>
      <c r="H166" s="15" t="s">
        <v>202</v>
      </c>
      <c r="I166" s="15">
        <v>42645.087141203701</v>
      </c>
      <c r="J166" s="7">
        <v>0</v>
      </c>
      <c r="K166" s="117" t="str">
        <f t="shared" si="44"/>
        <v>4009/4010</v>
      </c>
      <c r="L166" s="24" t="str">
        <f>VLOOKUP(A166,'Trips&amp;Operators'!$C$1:$E$10000,3,FALSE)</f>
        <v>STURGEON</v>
      </c>
      <c r="M166" s="6">
        <f t="shared" si="45"/>
        <v>2.7210648142499849E-2</v>
      </c>
      <c r="N166" s="7">
        <f t="shared" si="59"/>
        <v>39.183333325199783</v>
      </c>
      <c r="O166" s="7"/>
      <c r="P166" s="7"/>
      <c r="Q166" s="25"/>
      <c r="R166" s="25"/>
      <c r="S166" s="37">
        <f t="shared" si="58"/>
        <v>1</v>
      </c>
      <c r="T166" s="52" t="str">
        <f t="shared" si="46"/>
        <v>Southbound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https://search-rtdc-monitor-bjffxe2xuh6vdkpspy63sjmuny.us-east-1.es.amazonaws.com/_plugin/kibana/#/discover/Steve-Slow-Train-Analysis-(2080s-and-2083s)?_g=(refreshInterval:(display:Off,section:0,value:0),time:(from:'2016-10-02 00:15:25-0600',mode:absolute,to:'2016-10-02 03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6" s="54" t="str">
        <f t="shared" si="48"/>
        <v>N</v>
      </c>
      <c r="X166" s="164">
        <f t="shared" si="43"/>
        <v>1</v>
      </c>
      <c r="Y166" s="69">
        <f t="shared" si="49"/>
        <v>23.2957</v>
      </c>
      <c r="Z166" s="69">
        <f t="shared" si="50"/>
        <v>1.5800000000000002E-2</v>
      </c>
      <c r="AA166" s="69">
        <f t="shared" si="51"/>
        <v>23.279900000000001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2"/>
        <v>0244-01</v>
      </c>
      <c r="AE166" s="95" t="str">
        <f t="shared" si="53"/>
        <v>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 &amp; aws s3 cp s3://rtdc.mdm.uploadarchive.raw/RTDC4010/ "%USERPROFILE%\AppData\Local\Temp\OnboardLogs"\RTDC4010\2016-10-03 --exclude "*" --recursive --include "*20161003*" &amp; "%USERPROFILE%\Documents\GitHub\mrs-test-scripts\Headless Mode &amp; Sideloading\WalkAndUnGZ.bat" "%USERPROFILE%\AppData\Local\Temp\OnboardLogs"\RTDC4010\2016-10-03</v>
      </c>
      <c r="AF166" s="92" t="str">
        <f t="shared" si="54"/>
        <v>"C:\Program Files (x86)\AstroGrep\AstroGrep.exe" /spath="%USERPROFILE%\AppData\Local\Temp\OnboardLogs" /stypes="app*4010*20161002*" /stext=" 08:.+((SYSTEM_STATE.+slice.+state.+changed )|(ment ac)|(system.+state.+changed )|(\[timeout)|(PRM\|1\|D)|(kpr)|(kdp)|(\|lc)|(penalty))" /e /r /s</v>
      </c>
      <c r="AG166" s="1" t="str">
        <f t="shared" si="55"/>
        <v>EC</v>
      </c>
      <c r="AH166" s="96" t="str">
        <f t="shared" si="56"/>
        <v>"%USERPROFILE%\Documents\GitHub\eaglep3\Utilities\RefineRTDCRunTimes.py" --tripid 244-01 --locoid 4010 --swversion DE.1.0.7.0 --startMP 204:232957 --initTime 2016-10-02T01:15:25 --startdatetime 2016-10-02T01:26:18 --delay 2 --endMP 204:158 --enddatetime 2016-10-02T02:05:29 --enforcementcount 0 &gt;&gt;C:\Users\stu\Documents\GitHub\eaglep3-reporting\EC\2016-10-01-refined-times.txt</v>
      </c>
      <c r="AI166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{"issue":{"subject":"","project_id":79,"tracker_id":40,"status_id":1,"priority_id":2,"assigned_to_id":23,"start_date":"2016-10-02","description":"","custom_fields":[{"id":1,"name":"Subdivision","value":"EC"},{"id":4,"name":"Milepost","value":"0.0158"},{"id":17,"name":"Train ID","value":"244-01"},{"id":16,"name":"Locomotive ID","value":"4010"},{"id":130,"name":"Impact","value":""},{"id":150,"name":"Time of Event (Mountain Time)","value":"02:05:29"},{"id":151,"name":"Denver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707</v>
      </c>
      <c r="B167" s="7">
        <v>4029</v>
      </c>
      <c r="C167" s="24" t="s">
        <v>106</v>
      </c>
      <c r="D167" s="24" t="s">
        <v>708</v>
      </c>
      <c r="E167" s="15">
        <v>42645.034502314818</v>
      </c>
      <c r="F167" s="15">
        <v>42645.041979166665</v>
      </c>
      <c r="G167" s="7">
        <v>1</v>
      </c>
      <c r="H167" s="15" t="s">
        <v>229</v>
      </c>
      <c r="I167" s="15">
        <v>42645.067094907405</v>
      </c>
      <c r="J167" s="7">
        <v>0</v>
      </c>
      <c r="K167" s="117" t="str">
        <f t="shared" si="44"/>
        <v>4029/4030</v>
      </c>
      <c r="L167" s="24" t="str">
        <f>VLOOKUP(A167,'Trips&amp;Operators'!$C$1:$E$10000,3,FALSE)</f>
        <v>LEVIN</v>
      </c>
      <c r="M167" s="6">
        <f t="shared" si="45"/>
        <v>2.5115740740147885E-2</v>
      </c>
      <c r="N167" s="7">
        <f t="shared" si="59"/>
        <v>36.166666665812954</v>
      </c>
      <c r="O167" s="7"/>
      <c r="P167" s="7"/>
      <c r="Q167" s="25"/>
      <c r="R167" s="25"/>
      <c r="S167" s="37">
        <f t="shared" si="58"/>
        <v>1</v>
      </c>
      <c r="T167" s="52" t="str">
        <f t="shared" si="46"/>
        <v>NorthBound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23:49:41-0600',mode:absolute,to:'2016-10-02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7" s="54" t="str">
        <f t="shared" si="48"/>
        <v>N</v>
      </c>
      <c r="X167" s="164">
        <f t="shared" ref="X167:X171" si="60">VALUE(LEFT(AD167,4))-VALUE(LEFT(AD166,4))</f>
        <v>1</v>
      </c>
      <c r="Y167" s="69">
        <f t="shared" si="49"/>
        <v>4.8800000000000003E-2</v>
      </c>
      <c r="Z167" s="69">
        <f t="shared" si="50"/>
        <v>23.331199999999999</v>
      </c>
      <c r="AA167" s="69">
        <f t="shared" si="51"/>
        <v>23.282399999999999</v>
      </c>
      <c r="AB167" s="66" t="str">
        <f>VLOOKUP(A167,Enforcements!$C$7:$K$21,8,0)</f>
        <v>Speed (6)</v>
      </c>
      <c r="AC167" s="62" t="str">
        <f>VLOOKUP(A167,Enforcements!$C$7:$E$21,3,0)</f>
        <v>PERMANENT SPEED RESTRICTION</v>
      </c>
      <c r="AD167" s="63" t="str">
        <f t="shared" si="52"/>
        <v>0245-01</v>
      </c>
      <c r="AE167" s="95" t="str">
        <f t="shared" si="53"/>
        <v>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 &amp; 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</v>
      </c>
      <c r="AF167" s="92" t="str">
        <f t="shared" si="54"/>
        <v>"C:\Program Files (x86)\AstroGrep\AstroGrep.exe" /spath="%USERPROFILE%\AppData\Local\Temp\OnboardLogs" /stypes="app*4029*20161002*" /stext=" 07:.+((SYSTEM_STATE.+slice.+state.+changed )|(ment ac)|(system.+state.+changed )|(\[timeout)|(PRM\|1\|D)|(kpr)|(kdp)|(\|lc)|(penalty))" /e /r /s</v>
      </c>
      <c r="AG167" s="1" t="str">
        <f t="shared" si="55"/>
        <v>EC</v>
      </c>
      <c r="AH167" s="96" t="str">
        <f t="shared" si="56"/>
        <v>"%USERPROFILE%\Documents\GitHub\eaglep3\Utilities\RefineRTDCRunTimes.py" --tripid 245-01 --locoid 4029 --swversion DE.1.0.7.0 --startMP 204:488 --initTime 2016-10-02T00:49:41 --startdatetime 2016-10-02T01:00:27 --delay 1 --endMP 204:233312 --enddatetime 2016-10-02T01:36:37 --enforcementcount 0 &gt;&gt;C:\Users\stu\Documents\GitHub\eaglep3-reporting\EC\2016-10-01-refined-times.txt</v>
      </c>
      <c r="AI167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{"issue":{"subject":"","project_id":79,"tracker_id":40,"status_id":1,"priority_id":2,"assigned_to_id":23,"start_date":"2016-10-02","description":"","custom_fields":[{"id":1,"name":"Subdivision","value":"EC"},{"id":4,"name":"Milepost","value":"23.3312"},{"id":17,"name":"Train ID","value":"245-01"},{"id":16,"name":"Locomotive ID","value":"4029"},{"id":130,"name":"Impact","value":""},{"id":150,"name":"Time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709</v>
      </c>
      <c r="B168" s="7">
        <v>4030</v>
      </c>
      <c r="C168" s="24" t="s">
        <v>106</v>
      </c>
      <c r="D168" s="24" t="s">
        <v>264</v>
      </c>
      <c r="E168" s="15">
        <v>42645.078159722223</v>
      </c>
      <c r="F168" s="15">
        <v>42645.080763888887</v>
      </c>
      <c r="G168" s="7">
        <v>1</v>
      </c>
      <c r="H168" s="15" t="s">
        <v>329</v>
      </c>
      <c r="I168" s="15">
        <v>42645.106562499997</v>
      </c>
      <c r="J168" s="7">
        <v>0</v>
      </c>
      <c r="K168" s="117" t="str">
        <f t="shared" si="44"/>
        <v>4029/4030</v>
      </c>
      <c r="L168" s="24" t="str">
        <f>VLOOKUP(A168,'Trips&amp;Operators'!$C$1:$E$10000,3,FALSE)</f>
        <v>LEVIN</v>
      </c>
      <c r="M168" s="6">
        <f t="shared" si="45"/>
        <v>2.5798611110076308E-2</v>
      </c>
      <c r="N168" s="7">
        <f t="shared" si="59"/>
        <v>37.149999998509884</v>
      </c>
      <c r="O168" s="7"/>
      <c r="P168" s="7"/>
      <c r="Q168" s="25"/>
      <c r="R168" s="25"/>
      <c r="S168" s="37">
        <f t="shared" si="58"/>
        <v>1</v>
      </c>
      <c r="T168" s="52" t="str">
        <f t="shared" si="46"/>
        <v>Southbound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12</v>
      </c>
      <c r="V16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https://search-rtdc-monitor-bjffxe2xuh6vdkpspy63sjmuny.us-east-1.es.amazonaws.com/_plugin/kibana/#/discover/Steve-Slow-Train-Analysis-(2080s-and-2083s)?_g=(refreshInterval:(display:Off,section:0,value:0),time:(from:'2016-10-02 00:52:33-0600',mode:absolute,to:'2016-10-02 03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54" t="str">
        <f t="shared" si="48"/>
        <v>N</v>
      </c>
      <c r="X168" s="164">
        <f t="shared" si="60"/>
        <v>1</v>
      </c>
      <c r="Y168" s="69">
        <f t="shared" si="49"/>
        <v>23.2988</v>
      </c>
      <c r="Z168" s="69">
        <f t="shared" si="50"/>
        <v>1.34E-2</v>
      </c>
      <c r="AA168" s="69">
        <f t="shared" si="51"/>
        <v>23.285399999999999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2"/>
        <v>0246-01</v>
      </c>
      <c r="AE168" s="95" t="str">
        <f t="shared" si="53"/>
        <v>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 &amp; aws s3 cp s3://rtdc.mdm.uploadarchive.raw/RTDC4030/ "%USERPROFILE%\AppData\Local\Temp\OnboardLogs"\RTDC4030\2016-10-03 --exclude "*" --recursive --include "*20161003*" &amp; "%USERPROFILE%\Documents\GitHub\mrs-test-scripts\Headless Mode &amp; Sideloading\WalkAndUnGZ.bat" "%USERPROFILE%\AppData\Local\Temp\OnboardLogs"\RTDC4030\2016-10-03</v>
      </c>
      <c r="AF168" s="92" t="str">
        <f t="shared" si="54"/>
        <v>"C:\Program Files (x86)\AstroGrep\AstroGrep.exe" /spath="%USERPROFILE%\AppData\Local\Temp\OnboardLogs" /stypes="app*4030*20161002*" /stext=" 08:.+((SYSTEM_STATE.+slice.+state.+changed )|(ment ac)|(system.+state.+changed )|(\[timeout)|(PRM\|1\|D)|(kpr)|(kdp)|(\|lc)|(penalty))" /e /r /s</v>
      </c>
      <c r="AG168" s="1" t="str">
        <f t="shared" si="55"/>
        <v>EC</v>
      </c>
      <c r="AH168" s="96" t="str">
        <f t="shared" si="56"/>
        <v>"%USERPROFILE%\Documents\GitHub\eaglep3\Utilities\RefineRTDCRunTimes.py" --tripid 246-01 --locoid 4030 --swversion DE.1.0.7.0 --startMP 204:232988 --initTime 2016-10-02T01:52:33 --startdatetime 2016-10-02T01:56:18 --delay 1 --endMP 204:134 --enddatetime 2016-10-02T02:33:27 --enforcementcount 0 &gt;&gt;C:\Users\stu\Documents\GitHub\eaglep3-reporting\EC\2016-10-01-refined-times.txt</v>
      </c>
      <c r="AI168" s="130" t="str">
        <f t="shared" si="57"/>
        <v>echo {"issue":{"subject":"","project_id":79,"tracker_id":40,"status_id":1,"priority_id":2,"assigned_to_id":23,"start_date":"2016-10-02","description":"","custom_fields":[{"id":1,"name":"Subdivision","value":"EC"},{"id":4,"name":"Milepost","value":"0.0134"},{"id":17,"name":"Train ID","value":"246-01"},{"id":16,"name":"Locomotive ID","value":"4030"},{"id":130,"name":"Impact","value":""},{"id":150,"name":"Time of Event (Mountain Time)","value":"02:33:27"},{"id":151,"name":"Denver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553</v>
      </c>
      <c r="B169" s="7">
        <v>4043</v>
      </c>
      <c r="C169" s="24" t="s">
        <v>106</v>
      </c>
      <c r="D169" s="24" t="s">
        <v>319</v>
      </c>
      <c r="E169" s="15">
        <v>42644.231539351851</v>
      </c>
      <c r="F169" s="15">
        <v>42644.233680555553</v>
      </c>
      <c r="G169" s="7">
        <v>1</v>
      </c>
      <c r="H169" s="15" t="s">
        <v>554</v>
      </c>
      <c r="I169" s="15">
        <v>42644.24591435185</v>
      </c>
      <c r="J169" s="7">
        <v>0</v>
      </c>
      <c r="K169" s="117" t="str">
        <f t="shared" si="44"/>
        <v>4043/4044</v>
      </c>
      <c r="L169" s="24" t="str">
        <f>VLOOKUP(A169,'Trips&amp;Operators'!$C$1:$E$10000,3,FALSE)</f>
        <v>YORK</v>
      </c>
      <c r="M169" s="6">
        <f t="shared" si="45"/>
        <v>1.2233796296641231E-2</v>
      </c>
      <c r="N169" s="7">
        <f t="shared" si="59"/>
        <v>17.616666667163372</v>
      </c>
      <c r="O169" s="7"/>
      <c r="P169" s="7"/>
      <c r="Q169" s="25"/>
      <c r="R169" s="25"/>
      <c r="S169" s="37">
        <f t="shared" si="58"/>
        <v>1</v>
      </c>
      <c r="T169" s="52" t="str">
        <f t="shared" si="46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04:33:25-0600',mode:absolute,to:'2016-10-01 06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9" s="54" t="str">
        <f t="shared" si="48"/>
        <v>N</v>
      </c>
      <c r="X169" s="164">
        <f t="shared" si="60"/>
        <v>1554</v>
      </c>
      <c r="Y169" s="69">
        <f t="shared" si="49"/>
        <v>5.8624000000000001</v>
      </c>
      <c r="Z169" s="69">
        <f t="shared" si="50"/>
        <v>7.7299999999999994E-2</v>
      </c>
      <c r="AA169" s="69">
        <f t="shared" si="51"/>
        <v>5.7850999999999999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2"/>
        <v>1800-01</v>
      </c>
      <c r="AE169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69" s="92" t="str">
        <f t="shared" si="54"/>
        <v>"C:\Program Files (x86)\AstroGrep\AstroGrep.exe" /spath="%USERPROFILE%\AppData\Local\Temp\OnboardLogs" /stypes="app*4043*20161001*" /stext=" 11:.+((SYSTEM_STATE.+slice.+state.+changed )|(ment ac)|(system.+state.+changed )|(\[timeout)|(PRM\|1\|D)|(kpr)|(kdp)|(\|lc)|(penalty))" /e /r /s</v>
      </c>
      <c r="AG169" s="1" t="str">
        <f t="shared" si="55"/>
        <v>NW</v>
      </c>
      <c r="AH169" s="96" t="str">
        <f t="shared" si="56"/>
        <v>"%USERPROFILE%\Documents\GitHub\eaglep3\Utilities\RefineRTDCRunTimes.py" --tripid 1800-01 --locoid 4043 --swversion DE.1.0.7.0 --startMP 300:58624 --initTime 2016-10-01T05:33:25 --startdatetime 2016-10-01T05:36:30 --delay 1 --endMP 204:773 --enddatetime 2016-10-01T05:54:07 --enforcementcount 0 &gt;&gt;C:\Users\stu\Documents\GitHub\eaglep3-reporting\EC\2016-10-01-refined-times.txt</v>
      </c>
      <c r="AI169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{"issue":{"subject":"","project_id":79,"tracker_id":40,"status_id":1,"priority_id":2,"assigned_to_id":23,"start_date":"2016-10-01","description":"","custom_fields":[{"id":1,"name":"Subdivision","value":"NW"},{"id":4,"name":"Milepost","value":"0.0773"},{"id":17,"name":"Train ID","value":"1800-01"},{"id":16,"name":"Locomotive ID","value":"4043"},{"id":130,"name":"Impact","value":""},{"id":150,"name":"Time of Event (Mountain Time)","value":"05:54:07"},{"id":151,"name":"Denver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555</v>
      </c>
      <c r="B170" s="7">
        <v>4044</v>
      </c>
      <c r="C170" s="24" t="s">
        <v>106</v>
      </c>
      <c r="D170" s="24" t="s">
        <v>369</v>
      </c>
      <c r="E170" s="15">
        <v>42644.263078703705</v>
      </c>
      <c r="F170" s="15">
        <v>42644.264768518522</v>
      </c>
      <c r="G170" s="7">
        <v>1</v>
      </c>
      <c r="H170" s="15" t="s">
        <v>383</v>
      </c>
      <c r="I170" s="15">
        <v>42644.273587962962</v>
      </c>
      <c r="J170" s="7">
        <v>0</v>
      </c>
      <c r="K170" s="117" t="str">
        <f t="shared" si="44"/>
        <v>4043/4044</v>
      </c>
      <c r="L170" s="24" t="str">
        <f>VLOOKUP(A170,'Trips&amp;Operators'!$C$1:$E$10000,3,FALSE)</f>
        <v>YORK</v>
      </c>
      <c r="M170" s="6">
        <f t="shared" si="45"/>
        <v>8.8194444397231564E-3</v>
      </c>
      <c r="N170" s="7">
        <f t="shared" si="59"/>
        <v>12.699999993201345</v>
      </c>
      <c r="O170" s="7"/>
      <c r="P170" s="7"/>
      <c r="Q170" s="25"/>
      <c r="R170" s="25"/>
      <c r="S170" s="37">
        <f t="shared" si="58"/>
        <v>1</v>
      </c>
      <c r="T170" s="52" t="str">
        <f t="shared" si="46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05:18:50-0600',mode:absolute,to:'2016-10-01 07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0" s="54" t="str">
        <f t="shared" si="48"/>
        <v>N</v>
      </c>
      <c r="X170" s="164">
        <f t="shared" si="60"/>
        <v>1</v>
      </c>
      <c r="Y170" s="69">
        <f t="shared" si="49"/>
        <v>0.1048</v>
      </c>
      <c r="Z170" s="69">
        <f t="shared" si="50"/>
        <v>5.8930999999999996</v>
      </c>
      <c r="AA170" s="69">
        <f t="shared" si="51"/>
        <v>5.7882999999999996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2"/>
        <v>1801-01</v>
      </c>
      <c r="AE170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70" s="92" t="str">
        <f t="shared" si="54"/>
        <v>"C:\Program Files (x86)\AstroGrep\AstroGrep.exe" /spath="%USERPROFILE%\AppData\Local\Temp\OnboardLogs" /stypes="app*4044*20161001*" /stext=" 12:.+((SYSTEM_STATE.+slice.+state.+changed )|(ment ac)|(system.+state.+changed )|(\[timeout)|(PRM\|1\|D)|(kpr)|(kdp)|(\|lc)|(penalty))" /e /r /s</v>
      </c>
      <c r="AG170" s="1" t="str">
        <f t="shared" si="55"/>
        <v>NW</v>
      </c>
      <c r="AH170" s="96" t="str">
        <f t="shared" si="56"/>
        <v>"%USERPROFILE%\Documents\GitHub\eaglep3\Utilities\RefineRTDCRunTimes.py" --tripid 1801-01 --locoid 4044 --swversion DE.1.0.7.0 --startMP 204:1048 --initTime 2016-10-01T06:18:50 --startdatetime 2016-10-01T06:21:16 --delay 1 --endMP 300:58931 --enddatetime 2016-10-01T06:33:58 --enforcementcount 0 &gt;&gt;C:\Users\stu\Documents\GitHub\eaglep3-reporting\EC\2016-10-01-refined-times.txt</v>
      </c>
      <c r="AI170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{"issue":{"subject":"","project_id":79,"tracker_id":40,"status_id":1,"priority_id":2,"assigned_to_id":23,"start_date":"2016-10-01","description":"","custom_fields":[{"id":1,"name":"Subdivision","value":"NW"},{"id":4,"name":"Milepost","value":"5.8931"},{"id":17,"name":"Train ID","value":"1801-01"},{"id":16,"name":"Locomotive ID","value":"4044"},{"id":130,"name":"Impact","value":""},{"id":150,"name":"Time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556</v>
      </c>
      <c r="B171" s="7">
        <v>4043</v>
      </c>
      <c r="C171" s="24" t="s">
        <v>106</v>
      </c>
      <c r="D171" s="24" t="s">
        <v>257</v>
      </c>
      <c r="E171" s="15">
        <v>42644.275439814817</v>
      </c>
      <c r="F171" s="15">
        <v>42644.27752314815</v>
      </c>
      <c r="G171" s="7">
        <v>0</v>
      </c>
      <c r="H171" s="15" t="s">
        <v>557</v>
      </c>
      <c r="I171" s="15">
        <v>42644.287453703706</v>
      </c>
      <c r="J171" s="7">
        <v>0</v>
      </c>
      <c r="K171" s="117" t="str">
        <f t="shared" si="44"/>
        <v>4043/4044</v>
      </c>
      <c r="L171" s="24" t="str">
        <f>VLOOKUP(A171,'Trips&amp;Operators'!$C$1:$E$10000,3,FALSE)</f>
        <v>YORK</v>
      </c>
      <c r="M171" s="6">
        <f t="shared" si="45"/>
        <v>9.930555555911269E-3</v>
      </c>
      <c r="N171" s="7">
        <f t="shared" si="59"/>
        <v>14.300000000512227</v>
      </c>
      <c r="O171" s="7"/>
      <c r="P171" s="7"/>
      <c r="Q171" s="25"/>
      <c r="R171" s="25"/>
      <c r="S171" s="37">
        <f t="shared" si="58"/>
        <v>1</v>
      </c>
      <c r="T171" s="52" t="str">
        <f t="shared" si="46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05:36:38-0600',mode:absolute,to:'2016-10-01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1" s="54" t="str">
        <f t="shared" si="48"/>
        <v>N</v>
      </c>
      <c r="X171" s="164">
        <f t="shared" si="60"/>
        <v>1</v>
      </c>
      <c r="Y171" s="69">
        <f t="shared" si="49"/>
        <v>5.8609</v>
      </c>
      <c r="Z171" s="69">
        <f t="shared" si="50"/>
        <v>7.8E-2</v>
      </c>
      <c r="AA171" s="69">
        <f t="shared" si="51"/>
        <v>5.7828999999999997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2"/>
        <v>1802-01</v>
      </c>
      <c r="AE171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71" s="92" t="str">
        <f t="shared" si="54"/>
        <v>"C:\Program Files (x86)\AstroGrep\AstroGrep.exe" /spath="%USERPROFILE%\AppData\Local\Temp\OnboardLogs" /stypes="app*4043*20161001*" /stext=" 12:.+((SYSTEM_STATE.+slice.+state.+changed )|(ment ac)|(system.+state.+changed )|(\[timeout)|(PRM\|1\|D)|(kpr)|(kdp)|(\|lc)|(penalty))" /e /r /s</v>
      </c>
      <c r="AG171" s="1" t="str">
        <f t="shared" si="55"/>
        <v>NW</v>
      </c>
      <c r="AH171" s="96" t="str">
        <f t="shared" si="56"/>
        <v>"%USERPROFILE%\Documents\GitHub\eaglep3\Utilities\RefineRTDCRunTimes.py" --tripid 1802-01 --locoid 4043 --swversion DE.1.0.7.0 --startMP 300:58609 --initTime 2016-10-01T06:36:38 --startdatetime 2016-10-01T06:39:38 --delay 0 --endMP 204:780 --enddatetime 2016-10-01T06:53:56 --enforcementcount 0 &gt;&gt;C:\Users\stu\Documents\GitHub\eaglep3-reporting\EC\2016-10-01-refined-times.txt</v>
      </c>
      <c r="AI171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{"issue":{"subject":"","project_id":79,"tracker_id":40,"status_id":1,"priority_id":2,"assigned_to_id":23,"start_date":"2016-10-01","description":"","custom_fields":[{"id":1,"name":"Subdivision","value":"NW"},{"id":4,"name":"Milepost","value":"0.078"},{"id":17,"name":"Train ID","value":"1802-01"},{"id":16,"name":"Locomotive ID","value":"4043"},{"id":130,"name":"Impact","value":""},{"id":150,"name":"Time of Event (Mountain Time)","value":"06:53:56"},{"id":151,"name":"Denver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558</v>
      </c>
      <c r="B172" s="7">
        <v>4044</v>
      </c>
      <c r="C172" s="24" t="s">
        <v>106</v>
      </c>
      <c r="D172" s="24" t="s">
        <v>559</v>
      </c>
      <c r="E172" s="15">
        <v>42644.303518518522</v>
      </c>
      <c r="F172" s="15">
        <v>42644.306423611109</v>
      </c>
      <c r="G172" s="7">
        <v>1</v>
      </c>
      <c r="H172" s="15" t="s">
        <v>269</v>
      </c>
      <c r="I172" s="15">
        <v>42644.31521990741</v>
      </c>
      <c r="J172" s="7">
        <v>0</v>
      </c>
      <c r="K172" s="117" t="str">
        <f t="shared" si="44"/>
        <v>4043/4044</v>
      </c>
      <c r="L172" s="24" t="str">
        <f>VLOOKUP(A172,'Trips&amp;Operators'!$C$1:$E$10000,3,FALSE)</f>
        <v>YORK</v>
      </c>
      <c r="M172" s="6">
        <f t="shared" si="45"/>
        <v>8.7962963007157668E-3</v>
      </c>
      <c r="N172" s="7">
        <f t="shared" si="59"/>
        <v>12.666666673030704</v>
      </c>
      <c r="O172" s="7"/>
      <c r="P172" s="7"/>
      <c r="Q172" s="25"/>
      <c r="R172" s="25"/>
      <c r="S172" s="37">
        <f t="shared" si="58"/>
        <v>1</v>
      </c>
      <c r="T172" s="52" t="str">
        <f t="shared" si="46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06:17:04-0600',mode:absolute,to:'2016-10-01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2" s="54" t="str">
        <f t="shared" si="48"/>
        <v>N</v>
      </c>
      <c r="X172" s="164">
        <f t="shared" ref="X172:X199" si="61">VALUE(LEFT(AD172,4))-VALUE(LEFT(AD171,4))</f>
        <v>1</v>
      </c>
      <c r="Y172" s="69">
        <f t="shared" si="49"/>
        <v>0.1069</v>
      </c>
      <c r="Z172" s="69">
        <f t="shared" si="50"/>
        <v>5.8933</v>
      </c>
      <c r="AA172" s="69">
        <f t="shared" si="51"/>
        <v>5.7864000000000004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2"/>
        <v>1803-01</v>
      </c>
      <c r="AE172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72" s="92" t="str">
        <f t="shared" si="54"/>
        <v>"C:\Program Files (x86)\AstroGrep\AstroGrep.exe" /spath="%USERPROFILE%\AppData\Local\Temp\OnboardLogs" /stypes="app*4044*20161001*" /stext=" 13:.+((SYSTEM_STATE.+slice.+state.+changed )|(ment ac)|(system.+state.+changed )|(\[timeout)|(PRM\|1\|D)|(kpr)|(kdp)|(\|lc)|(penalty))" /e /r /s</v>
      </c>
      <c r="AG172" s="1" t="str">
        <f t="shared" si="55"/>
        <v>NW</v>
      </c>
      <c r="AH172" s="96" t="str">
        <f t="shared" si="56"/>
        <v>"%USERPROFILE%\Documents\GitHub\eaglep3\Utilities\RefineRTDCRunTimes.py" --tripid 1803-01 --locoid 4044 --swversion DE.1.0.7.0 --startMP 204:1069 --initTime 2016-10-01T07:17:04 --startdatetime 2016-10-01T07:21:15 --delay 1 --endMP 300:58933 --enddatetime 2016-10-01T07:33:55 --enforcementcount 0 &gt;&gt;C:\Users\stu\Documents\GitHub\eaglep3-reporting\EC\2016-10-01-refined-times.txt</v>
      </c>
      <c r="AI172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{"issue":{"subject":"","project_id":79,"tracker_id":40,"status_id":1,"priority_id":2,"assigned_to_id":23,"start_date":"2016-10-01","description":"","custom_fields":[{"id":1,"name":"Subdivision","value":"NW"},{"id":4,"name":"Milepost","value":"5.8933"},{"id":17,"name":"Train ID","value":"1803-01"},{"id":16,"name":"Locomotive ID","value":"4044"},{"id":130,"name":"Impact","value":""},{"id":150,"name":"Time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560</v>
      </c>
      <c r="B173" s="7">
        <v>4043</v>
      </c>
      <c r="C173" s="24" t="s">
        <v>106</v>
      </c>
      <c r="D173" s="24" t="s">
        <v>371</v>
      </c>
      <c r="E173" s="15">
        <v>42644.316307870373</v>
      </c>
      <c r="F173" s="15">
        <v>42644.318657407406</v>
      </c>
      <c r="G173" s="7">
        <v>1</v>
      </c>
      <c r="H173" s="15" t="s">
        <v>561</v>
      </c>
      <c r="I173" s="15">
        <v>42644.329050925924</v>
      </c>
      <c r="J173" s="7">
        <v>0</v>
      </c>
      <c r="K173" s="117" t="str">
        <f t="shared" si="44"/>
        <v>4043/4044</v>
      </c>
      <c r="L173" s="24" t="str">
        <f>VLOOKUP(A173,'Trips&amp;Operators'!$C$1:$E$10000,3,FALSE)</f>
        <v>YORK</v>
      </c>
      <c r="M173" s="6">
        <f t="shared" si="45"/>
        <v>1.0393518517958E-2</v>
      </c>
      <c r="N173" s="7">
        <f t="shared" si="59"/>
        <v>14.96666666585952</v>
      </c>
      <c r="O173" s="7"/>
      <c r="P173" s="7"/>
      <c r="Q173" s="25"/>
      <c r="R173" s="25"/>
      <c r="S173" s="37">
        <f t="shared" si="58"/>
        <v>1</v>
      </c>
      <c r="T173" s="52" t="str">
        <f t="shared" si="46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06:35:29-0600',mode:absolute,to:'2016-10-01 08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3" s="54" t="str">
        <f t="shared" si="48"/>
        <v>N</v>
      </c>
      <c r="X173" s="164">
        <f t="shared" si="61"/>
        <v>1</v>
      </c>
      <c r="Y173" s="69">
        <f t="shared" si="49"/>
        <v>5.8616999999999999</v>
      </c>
      <c r="Z173" s="69">
        <f t="shared" si="50"/>
        <v>7.7100000000000002E-2</v>
      </c>
      <c r="AA173" s="69">
        <f t="shared" si="51"/>
        <v>5.7846000000000002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2"/>
        <v>1804-01</v>
      </c>
      <c r="AE173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73" s="92" t="str">
        <f t="shared" si="54"/>
        <v>"C:\Program Files (x86)\AstroGrep\AstroGrep.exe" /spath="%USERPROFILE%\AppData\Local\Temp\OnboardLogs" /stypes="app*4043*20161001*" /stext=" 13:.+((SYSTEM_STATE.+slice.+state.+changed )|(ment ac)|(system.+state.+changed )|(\[timeout)|(PRM\|1\|D)|(kpr)|(kdp)|(\|lc)|(penalty))" /e /r /s</v>
      </c>
      <c r="AG173" s="1" t="str">
        <f t="shared" si="55"/>
        <v>NW</v>
      </c>
      <c r="AH173" s="96" t="str">
        <f t="shared" si="56"/>
        <v>"%USERPROFILE%\Documents\GitHub\eaglep3\Utilities\RefineRTDCRunTimes.py" --tripid 1804-01 --locoid 4043 --swversion DE.1.0.7.0 --startMP 300:58617 --initTime 2016-10-01T07:35:29 --startdatetime 2016-10-01T07:38:52 --delay 1 --endMP 204:771 --enddatetime 2016-10-01T07:53:50 --enforcementcount 0 &gt;&gt;C:\Users\stu\Documents\GitHub\eaglep3-reporting\EC\2016-10-01-refined-times.txt</v>
      </c>
      <c r="AI173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{"issue":{"subject":"","project_id":79,"tracker_id":40,"status_id":1,"priority_id":2,"assigned_to_id":23,"start_date":"2016-10-01","description":"","custom_fields":[{"id":1,"name":"Subdivision","value":"NW"},{"id":4,"name":"Milepost","value":"0.0771"},{"id":17,"name":"Train ID","value":"1804-01"},{"id":16,"name":"Locomotive ID","value":"4043"},{"id":130,"name":"Impact","value":""},{"id":150,"name":"Time of Event (Mountain Time)","value":"07:53:50"},{"id":151,"name":"Denver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562</v>
      </c>
      <c r="B174" s="7">
        <v>4044</v>
      </c>
      <c r="C174" s="24" t="s">
        <v>106</v>
      </c>
      <c r="D174" s="24" t="s">
        <v>370</v>
      </c>
      <c r="E174" s="15">
        <v>42644.346493055556</v>
      </c>
      <c r="F174" s="15">
        <v>42644.348090277781</v>
      </c>
      <c r="G174" s="7">
        <v>1</v>
      </c>
      <c r="H174" s="15" t="s">
        <v>317</v>
      </c>
      <c r="I174" s="15">
        <v>42644.35670138889</v>
      </c>
      <c r="J174" s="7">
        <v>0</v>
      </c>
      <c r="K174" s="117" t="str">
        <f t="shared" si="44"/>
        <v>4043/4044</v>
      </c>
      <c r="L174" s="24" t="str">
        <f>VLOOKUP(A174,'Trips&amp;Operators'!$C$1:$E$10000,3,FALSE)</f>
        <v>YORK</v>
      </c>
      <c r="M174" s="6">
        <f t="shared" si="45"/>
        <v>8.6111111086211167E-3</v>
      </c>
      <c r="N174" s="7">
        <f t="shared" si="59"/>
        <v>12.399999996414408</v>
      </c>
      <c r="O174" s="7"/>
      <c r="P174" s="7"/>
      <c r="Q174" s="25"/>
      <c r="R174" s="25"/>
      <c r="S174" s="37">
        <f t="shared" si="58"/>
        <v>1</v>
      </c>
      <c r="T174" s="52" t="str">
        <f t="shared" si="46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07:18:57-0600',mode:absolute,to:'2016-10-01 09:33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4" s="54" t="str">
        <f t="shared" si="48"/>
        <v>N</v>
      </c>
      <c r="X174" s="164">
        <f t="shared" si="61"/>
        <v>1</v>
      </c>
      <c r="Y174" s="69">
        <f t="shared" si="49"/>
        <v>0.10580000000000001</v>
      </c>
      <c r="Z174" s="69">
        <f t="shared" si="50"/>
        <v>5.8935000000000004</v>
      </c>
      <c r="AA174" s="69">
        <f t="shared" si="51"/>
        <v>5.7877000000000001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2"/>
        <v>1805-01</v>
      </c>
      <c r="AE174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74" s="92" t="str">
        <f t="shared" si="54"/>
        <v>"C:\Program Files (x86)\AstroGrep\AstroGrep.exe" /spath="%USERPROFILE%\AppData\Local\Temp\OnboardLogs" /stypes="app*4044*20161001*" /stext=" 14:.+((SYSTEM_STATE.+slice.+state.+changed )|(ment ac)|(system.+state.+changed )|(\[timeout)|(PRM\|1\|D)|(kpr)|(kdp)|(\|lc)|(penalty))" /e /r /s</v>
      </c>
      <c r="AG174" s="1" t="str">
        <f t="shared" si="55"/>
        <v>NW</v>
      </c>
      <c r="AH174" s="96" t="str">
        <f t="shared" si="56"/>
        <v>"%USERPROFILE%\Documents\GitHub\eaglep3\Utilities\RefineRTDCRunTimes.py" --tripid 1805-01 --locoid 4044 --swversion DE.1.0.7.0 --startMP 204:1058 --initTime 2016-10-01T08:18:57 --startdatetime 2016-10-01T08:21:15 --delay 1 --endMP 300:58935 --enddatetime 2016-10-01T08:33:39 --enforcementcount 0 &gt;&gt;C:\Users\stu\Documents\GitHub\eaglep3-reporting\EC\2016-10-01-refined-times.txt</v>
      </c>
      <c r="AI174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{"issue":{"subject":"","project_id":79,"tracker_id":40,"status_id":1,"priority_id":2,"assigned_to_id":23,"start_date":"2016-10-01","description":"","custom_fields":[{"id":1,"name":"Subdivision","value":"NW"},{"id":4,"name":"Milepost","value":"5.8935"},{"id":17,"name":"Train ID","value":"1805-01"},{"id":16,"name":"Locomotive ID","value":"4044"},{"id":130,"name":"Impact","value":""},{"id":150,"name":"Time of Event (Mountain Time)","value":"08:33:39"},{"id":151,"name":"Denver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563</v>
      </c>
      <c r="B175" s="7">
        <v>4043</v>
      </c>
      <c r="C175" s="24" t="s">
        <v>106</v>
      </c>
      <c r="D175" s="24" t="s">
        <v>382</v>
      </c>
      <c r="E175" s="15">
        <v>42644.358402777776</v>
      </c>
      <c r="F175" s="15">
        <v>42644.360393518517</v>
      </c>
      <c r="G175" s="7">
        <v>1</v>
      </c>
      <c r="H175" s="15" t="s">
        <v>564</v>
      </c>
      <c r="I175" s="15">
        <v>42644.370752314811</v>
      </c>
      <c r="J175" s="7">
        <v>0</v>
      </c>
      <c r="K175" s="117" t="str">
        <f t="shared" si="44"/>
        <v>4043/4044</v>
      </c>
      <c r="L175" s="24" t="str">
        <f>VLOOKUP(A175,'Trips&amp;Operators'!$C$1:$E$10000,3,FALSE)</f>
        <v>YORK</v>
      </c>
      <c r="M175" s="6">
        <f t="shared" si="45"/>
        <v>1.0358796294895001E-2</v>
      </c>
      <c r="N175" s="7">
        <f t="shared" si="59"/>
        <v>14.916666664648801</v>
      </c>
      <c r="O175" s="7"/>
      <c r="P175" s="7"/>
      <c r="Q175" s="25"/>
      <c r="R175" s="25"/>
      <c r="S175" s="37">
        <f t="shared" si="58"/>
        <v>1</v>
      </c>
      <c r="T175" s="52" t="str">
        <f t="shared" si="46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07:36:06-0600',mode:absolute,to:'2016-10-01 09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5" s="54" t="str">
        <f t="shared" si="48"/>
        <v>N</v>
      </c>
      <c r="X175" s="164">
        <f t="shared" si="61"/>
        <v>1</v>
      </c>
      <c r="Y175" s="69">
        <f t="shared" si="49"/>
        <v>5.8615000000000004</v>
      </c>
      <c r="Z175" s="69">
        <f t="shared" si="50"/>
        <v>7.6100000000000001E-2</v>
      </c>
      <c r="AA175" s="69">
        <f t="shared" si="51"/>
        <v>5.7854000000000001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2"/>
        <v>1806-01</v>
      </c>
      <c r="AE175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75" s="92" t="str">
        <f t="shared" si="54"/>
        <v>"C:\Program Files (x86)\AstroGrep\AstroGrep.exe" /spath="%USERPROFILE%\AppData\Local\Temp\OnboardLogs" /stypes="app*4043*20161001*" /stext=" 14:.+((SYSTEM_STATE.+slice.+state.+changed )|(ment ac)|(system.+state.+changed )|(\[timeout)|(PRM\|1\|D)|(kpr)|(kdp)|(\|lc)|(penalty))" /e /r /s</v>
      </c>
      <c r="AG175" s="1" t="str">
        <f t="shared" si="55"/>
        <v>NW</v>
      </c>
      <c r="AH175" s="96" t="str">
        <f t="shared" si="56"/>
        <v>"%USERPROFILE%\Documents\GitHub\eaglep3\Utilities\RefineRTDCRunTimes.py" --tripid 1806-01 --locoid 4043 --swversion DE.1.0.7.0 --startMP 300:58615 --initTime 2016-10-01T08:36:06 --startdatetime 2016-10-01T08:38:58 --delay 1 --endMP 204:761 --enddatetime 2016-10-01T08:53:53 --enforcementcount 0 &gt;&gt;C:\Users\stu\Documents\GitHub\eaglep3-reporting\EC\2016-10-01-refined-times.txt</v>
      </c>
      <c r="AI175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{"issue":{"subject":"","project_id":79,"tracker_id":40,"status_id":1,"priority_id":2,"assigned_to_id":23,"start_date":"2016-10-01","description":"","custom_fields":[{"id":1,"name":"Subdivision","value":"NW"},{"id":4,"name":"Milepost","value":"0.0761"},{"id":17,"name":"Train ID","value":"1806-01"},{"id":16,"name":"Locomotive ID","value":"4043"},{"id":130,"name":"Impact","value":""},{"id":150,"name":"Time of Event (Mountain Time)","value":"08:53:53"},{"id":151,"name":"Denver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565</v>
      </c>
      <c r="B176" s="7">
        <v>4044</v>
      </c>
      <c r="C176" s="24" t="s">
        <v>106</v>
      </c>
      <c r="D176" s="24" t="s">
        <v>566</v>
      </c>
      <c r="E176" s="15">
        <v>42644.388182870367</v>
      </c>
      <c r="F176" s="15">
        <v>42644.389791666668</v>
      </c>
      <c r="G176" s="7">
        <v>0</v>
      </c>
      <c r="H176" s="15" t="s">
        <v>567</v>
      </c>
      <c r="I176" s="15">
        <v>42644.398449074077</v>
      </c>
      <c r="J176" s="7">
        <v>0</v>
      </c>
      <c r="K176" s="117" t="str">
        <f t="shared" si="44"/>
        <v>4043/4044</v>
      </c>
      <c r="L176" s="24" t="str">
        <f>VLOOKUP(A176,'Trips&amp;Operators'!$C$1:$E$10000,3,FALSE)</f>
        <v>YORK</v>
      </c>
      <c r="M176" s="6">
        <f t="shared" si="45"/>
        <v>8.6574074084637687E-3</v>
      </c>
      <c r="N176" s="7">
        <f t="shared" si="59"/>
        <v>12.466666668187827</v>
      </c>
      <c r="O176" s="7"/>
      <c r="P176" s="7"/>
      <c r="Q176" s="25"/>
      <c r="R176" s="25"/>
      <c r="S176" s="37">
        <f t="shared" si="58"/>
        <v>1</v>
      </c>
      <c r="T176" s="52" t="str">
        <f t="shared" si="46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08:18:59-0600',mode:absolute,to:'2016-10-01 10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6" s="54" t="str">
        <f t="shared" si="48"/>
        <v>N</v>
      </c>
      <c r="X176" s="164">
        <f t="shared" si="61"/>
        <v>1</v>
      </c>
      <c r="Y176" s="69">
        <f t="shared" si="49"/>
        <v>0.10390000000000001</v>
      </c>
      <c r="Z176" s="69">
        <f t="shared" si="50"/>
        <v>5.8920000000000003</v>
      </c>
      <c r="AA176" s="69">
        <f t="shared" si="51"/>
        <v>5.7881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2"/>
        <v>1807-01</v>
      </c>
      <c r="AE176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76" s="92" t="str">
        <f t="shared" si="54"/>
        <v>"C:\Program Files (x86)\AstroGrep\AstroGrep.exe" /spath="%USERPROFILE%\AppData\Local\Temp\OnboardLogs" /stypes="app*4044*20161001*" /stext=" 15:.+((SYSTEM_STATE.+slice.+state.+changed )|(ment ac)|(system.+state.+changed )|(\[timeout)|(PRM\|1\|D)|(kpr)|(kdp)|(\|lc)|(penalty))" /e /r /s</v>
      </c>
      <c r="AG176" s="1" t="str">
        <f t="shared" si="55"/>
        <v>NW</v>
      </c>
      <c r="AH176" s="96" t="str">
        <f t="shared" si="56"/>
        <v>"%USERPROFILE%\Documents\GitHub\eaglep3\Utilities\RefineRTDCRunTimes.py" --tripid 1807-01 --locoid 4044 --swversion DE.1.0.7.0 --startMP 204:1039 --initTime 2016-10-01T09:18:59 --startdatetime 2016-10-01T09:21:18 --delay 0 --endMP 300:58920 --enddatetime 2016-10-01T09:33:46 --enforcementcount 0 &gt;&gt;C:\Users\stu\Documents\GitHub\eaglep3-reporting\EC\2016-10-01-refined-times.txt</v>
      </c>
      <c r="AI176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{"issue":{"subject":"","project_id":79,"tracker_id":40,"status_id":1,"priority_id":2,"assigned_to_id":23,"start_date":"2016-10-01","description":"","custom_fields":[{"id":1,"name":"Subdivision","value":"NW"},{"id":4,"name":"Milepost","value":"5.892"},{"id":17,"name":"Train ID","value":"1807-01"},{"id":16,"name":"Locomotive ID","value":"4044"},{"id":130,"name":"Impact","value":""},{"id":150,"name":"Time of Event (Mountain Time)","value":"09:33:46"},{"id":151,"name":"Denver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568</v>
      </c>
      <c r="B177" s="7">
        <v>4043</v>
      </c>
      <c r="C177" s="24" t="s">
        <v>106</v>
      </c>
      <c r="D177" s="24" t="s">
        <v>384</v>
      </c>
      <c r="E177" s="15">
        <v>42644.399641203701</v>
      </c>
      <c r="F177" s="15">
        <v>42644.400960648149</v>
      </c>
      <c r="G177" s="7">
        <v>1</v>
      </c>
      <c r="H177" s="15" t="s">
        <v>569</v>
      </c>
      <c r="I177" s="15">
        <v>42644.412303240744</v>
      </c>
      <c r="J177" s="7">
        <v>0</v>
      </c>
      <c r="K177" s="117" t="str">
        <f t="shared" si="44"/>
        <v>4043/4044</v>
      </c>
      <c r="L177" s="24" t="str">
        <f>VLOOKUP(A177,'Trips&amp;Operators'!$C$1:$E$10000,3,FALSE)</f>
        <v>YORK</v>
      </c>
      <c r="M177" s="6">
        <f t="shared" si="45"/>
        <v>1.1342592595610768E-2</v>
      </c>
      <c r="N177" s="7">
        <f t="shared" si="59"/>
        <v>16.333333337679505</v>
      </c>
      <c r="O177" s="7"/>
      <c r="P177" s="7"/>
      <c r="Q177" s="25"/>
      <c r="R177" s="25"/>
      <c r="S177" s="37">
        <f t="shared" si="58"/>
        <v>1</v>
      </c>
      <c r="T177" s="52" t="str">
        <f t="shared" si="46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08:35:29-0600',mode:absolute,to:'2016-10-01 10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7" s="54" t="str">
        <f t="shared" si="48"/>
        <v>N</v>
      </c>
      <c r="X177" s="164">
        <f t="shared" si="61"/>
        <v>1</v>
      </c>
      <c r="Y177" s="69">
        <f t="shared" si="49"/>
        <v>5.8623000000000003</v>
      </c>
      <c r="Z177" s="69">
        <f t="shared" si="50"/>
        <v>7.5200000000000003E-2</v>
      </c>
      <c r="AA177" s="69">
        <f t="shared" si="51"/>
        <v>5.7871000000000006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2"/>
        <v>1808-01</v>
      </c>
      <c r="AE177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77" s="92" t="str">
        <f t="shared" si="54"/>
        <v>"C:\Program Files (x86)\AstroGrep\AstroGrep.exe" /spath="%USERPROFILE%\AppData\Local\Temp\OnboardLogs" /stypes="app*4043*20161001*" /stext=" 15:.+((SYSTEM_STATE.+slice.+state.+changed )|(ment ac)|(system.+state.+changed )|(\[timeout)|(PRM\|1\|D)|(kpr)|(kdp)|(\|lc)|(penalty))" /e /r /s</v>
      </c>
      <c r="AG177" s="1" t="str">
        <f t="shared" si="55"/>
        <v>NW</v>
      </c>
      <c r="AH177" s="96" t="str">
        <f t="shared" si="56"/>
        <v>"%USERPROFILE%\Documents\GitHub\eaglep3\Utilities\RefineRTDCRunTimes.py" --tripid 1808-01 --locoid 4043 --swversion DE.1.0.7.0 --startMP 300:58623 --initTime 2016-10-01T09:35:29 --startdatetime 2016-10-01T09:37:23 --delay 1 --endMP 204:752 --enddatetime 2016-10-01T09:53:43 --enforcementcount 0 &gt;&gt;C:\Users\stu\Documents\GitHub\eaglep3-reporting\EC\2016-10-01-refined-times.txt</v>
      </c>
      <c r="AI177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{"issue":{"subject":"","project_id":79,"tracker_id":40,"status_id":1,"priority_id":2,"assigned_to_id":23,"start_date":"2016-10-01","description":"","custom_fields":[{"id":1,"name":"Subdivision","value":"NW"},{"id":4,"name":"Milepost","value":"0.0752"},{"id":17,"name":"Train ID","value":"1808-01"},{"id":16,"name":"Locomotive ID","value":"4043"},{"id":130,"name":"Impact","value":""},{"id":150,"name":"Time of Event (Mountain Time)","value":"09:53:43"},{"id":151,"name":"Denver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570</v>
      </c>
      <c r="B178" s="7">
        <v>4044</v>
      </c>
      <c r="C178" s="24" t="s">
        <v>106</v>
      </c>
      <c r="D178" s="24" t="s">
        <v>375</v>
      </c>
      <c r="E178" s="15">
        <v>42644.430162037039</v>
      </c>
      <c r="F178" s="15">
        <v>42644.431539351855</v>
      </c>
      <c r="G178" s="7">
        <v>1</v>
      </c>
      <c r="H178" s="15" t="s">
        <v>317</v>
      </c>
      <c r="I178" s="15">
        <v>42644.440092592595</v>
      </c>
      <c r="J178" s="7">
        <v>0</v>
      </c>
      <c r="K178" s="117" t="str">
        <f t="shared" si="44"/>
        <v>4043/4044</v>
      </c>
      <c r="L178" s="24" t="str">
        <f>VLOOKUP(A178,'Trips&amp;Operators'!$C$1:$E$10000,3,FALSE)</f>
        <v>YORK</v>
      </c>
      <c r="M178" s="6">
        <f t="shared" si="45"/>
        <v>8.55324073927477E-3</v>
      </c>
      <c r="N178" s="7">
        <f t="shared" si="59"/>
        <v>12.316666664555669</v>
      </c>
      <c r="O178" s="7"/>
      <c r="P178" s="7"/>
      <c r="Q178" s="25"/>
      <c r="R178" s="25"/>
      <c r="S178" s="37">
        <f t="shared" si="58"/>
        <v>1</v>
      </c>
      <c r="T178" s="52" t="str">
        <f t="shared" si="46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09:19:26-0600',mode:absolute,to:'2016-10-01 11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8" s="54" t="str">
        <f t="shared" si="48"/>
        <v>N</v>
      </c>
      <c r="X178" s="164">
        <f t="shared" si="61"/>
        <v>1</v>
      </c>
      <c r="Y178" s="69">
        <f t="shared" si="49"/>
        <v>0.1037</v>
      </c>
      <c r="Z178" s="69">
        <f t="shared" si="50"/>
        <v>5.8935000000000004</v>
      </c>
      <c r="AA178" s="69">
        <f t="shared" si="51"/>
        <v>5.7898000000000005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2"/>
        <v>1809-01</v>
      </c>
      <c r="AE178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78" s="92" t="str">
        <f t="shared" si="54"/>
        <v>"C:\Program Files (x86)\AstroGrep\AstroGrep.exe" /spath="%USERPROFILE%\AppData\Local\Temp\OnboardLogs" /stypes="app*4044*20161001*" /stext=" 16:.+((SYSTEM_STATE.+slice.+state.+changed )|(ment ac)|(system.+state.+changed )|(\[timeout)|(PRM\|1\|D)|(kpr)|(kdp)|(\|lc)|(penalty))" /e /r /s</v>
      </c>
      <c r="AG178" s="1" t="str">
        <f t="shared" si="55"/>
        <v>NW</v>
      </c>
      <c r="AH178" s="96" t="str">
        <f t="shared" si="56"/>
        <v>"%USERPROFILE%\Documents\GitHub\eaglep3\Utilities\RefineRTDCRunTimes.py" --tripid 1809-01 --locoid 4044 --swversion DE.1.0.7.0 --startMP 204:1037 --initTime 2016-10-01T10:19:26 --startdatetime 2016-10-01T10:21:25 --delay 1 --endMP 300:58935 --enddatetime 2016-10-01T10:33:44 --enforcementcount 0 &gt;&gt;C:\Users\stu\Documents\GitHub\eaglep3-reporting\EC\2016-10-01-refined-times.txt</v>
      </c>
      <c r="AI178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{"issue":{"subject":"","project_id":79,"tracker_id":40,"status_id":1,"priority_id":2,"assigned_to_id":23,"start_date":"2016-10-01","description":"","custom_fields":[{"id":1,"name":"Subdivision","value":"NW"},{"id":4,"name":"Milepost","value":"5.8935"},{"id":17,"name":"Train ID","value":"1809-01"},{"id":16,"name":"Locomotive ID","value":"4044"},{"id":130,"name":"Impact","value":""},{"id":150,"name":"Time of Event (Mountain Time)","value":"10:33:44"},{"id":151,"name":"Denver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573</v>
      </c>
      <c r="B179" s="7">
        <v>4043</v>
      </c>
      <c r="C179" s="24" t="s">
        <v>106</v>
      </c>
      <c r="D179" s="24" t="s">
        <v>371</v>
      </c>
      <c r="E179" s="15">
        <v>42644.442442129628</v>
      </c>
      <c r="F179" s="15">
        <v>42644.443842592591</v>
      </c>
      <c r="G179" s="7">
        <v>1</v>
      </c>
      <c r="H179" s="15" t="s">
        <v>321</v>
      </c>
      <c r="I179" s="15">
        <v>42644.454571759263</v>
      </c>
      <c r="J179" s="7">
        <v>0</v>
      </c>
      <c r="K179" s="117" t="str">
        <f t="shared" si="44"/>
        <v>4043/4044</v>
      </c>
      <c r="L179" s="24" t="str">
        <f>VLOOKUP(A179,'Trips&amp;Operators'!$C$1:$E$10000,3,FALSE)</f>
        <v>YORK</v>
      </c>
      <c r="M179" s="6">
        <f t="shared" si="45"/>
        <v>1.0729166671808343E-2</v>
      </c>
      <c r="N179" s="7">
        <f t="shared" si="59"/>
        <v>15.450000007404014</v>
      </c>
      <c r="O179" s="7"/>
      <c r="P179" s="7"/>
      <c r="Q179" s="25"/>
      <c r="R179" s="25"/>
      <c r="S179" s="37">
        <f t="shared" ref="S179:S210" si="62">SUM(U179:U179)/IF(AG179="EC",12,1)</f>
        <v>1</v>
      </c>
      <c r="T179" s="52" t="str">
        <f t="shared" si="46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09:37:07-0600',mode:absolute,to:'2016-10-01 11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9" s="54" t="str">
        <f t="shared" si="48"/>
        <v>N</v>
      </c>
      <c r="X179" s="164">
        <f t="shared" si="61"/>
        <v>1</v>
      </c>
      <c r="Y179" s="69">
        <f t="shared" si="49"/>
        <v>5.8616999999999999</v>
      </c>
      <c r="Z179" s="69">
        <f t="shared" si="50"/>
        <v>7.5499999999999998E-2</v>
      </c>
      <c r="AA179" s="69">
        <f t="shared" si="51"/>
        <v>5.7862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2"/>
        <v>1810-01</v>
      </c>
      <c r="AE179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79" s="92" t="str">
        <f t="shared" si="54"/>
        <v>"C:\Program Files (x86)\AstroGrep\AstroGrep.exe" /spath="%USERPROFILE%\AppData\Local\Temp\OnboardLogs" /stypes="app*4043*20161001*" /stext=" 16:.+((SYSTEM_STATE.+slice.+state.+changed )|(ment ac)|(system.+state.+changed )|(\[timeout)|(PRM\|1\|D)|(kpr)|(kdp)|(\|lc)|(penalty))" /e /r /s</v>
      </c>
      <c r="AG179" s="1" t="str">
        <f t="shared" si="55"/>
        <v>NW</v>
      </c>
      <c r="AH179" s="96" t="str">
        <f t="shared" si="56"/>
        <v>"%USERPROFILE%\Documents\GitHub\eaglep3\Utilities\RefineRTDCRunTimes.py" --tripid 1810-01 --locoid 4043 --swversion DE.1.0.7.0 --startMP 300:58617 --initTime 2016-10-01T10:37:07 --startdatetime 2016-10-01T10:39:08 --delay 1 --endMP 204:755 --enddatetime 2016-10-01T10:54:35 --enforcementcount 0 &gt;&gt;C:\Users\stu\Documents\GitHub\eaglep3-reporting\EC\2016-10-01-refined-times.txt</v>
      </c>
      <c r="AI179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{"issue":{"subject":"","project_id":79,"tracker_id":40,"status_id":1,"priority_id":2,"assigned_to_id":23,"start_date":"2016-10-01","description":"","custom_fields":[{"id":1,"name":"Subdivision","value":"NW"},{"id":4,"name":"Milepost","value":"0.0755"},{"id":17,"name":"Train ID","value":"1810-01"},{"id":16,"name":"Locomotive ID","value":"4043"},{"id":130,"name":"Impact","value":""},{"id":150,"name":"Time of Event (Mountain Time)","value":"10:54:35"},{"id":151,"name":"Denver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574</v>
      </c>
      <c r="B180" s="7">
        <v>4044</v>
      </c>
      <c r="C180" s="24" t="s">
        <v>106</v>
      </c>
      <c r="D180" s="24" t="s">
        <v>376</v>
      </c>
      <c r="E180" s="15">
        <v>42644.471817129626</v>
      </c>
      <c r="F180" s="15">
        <v>42644.473344907405</v>
      </c>
      <c r="G180" s="7">
        <v>1</v>
      </c>
      <c r="H180" s="15" t="s">
        <v>269</v>
      </c>
      <c r="I180" s="15">
        <v>42644.482939814814</v>
      </c>
      <c r="J180" s="7">
        <v>0</v>
      </c>
      <c r="K180" s="117" t="str">
        <f t="shared" si="44"/>
        <v>4043/4044</v>
      </c>
      <c r="L180" s="24" t="str">
        <f>VLOOKUP(A180,'Trips&amp;Operators'!$C$1:$E$10000,3,FALSE)</f>
        <v>YORK</v>
      </c>
      <c r="M180" s="6">
        <f t="shared" si="45"/>
        <v>9.5949074093368836E-3</v>
      </c>
      <c r="N180" s="7">
        <f t="shared" si="59"/>
        <v>13.816666669445112</v>
      </c>
      <c r="O180" s="7"/>
      <c r="P180" s="7"/>
      <c r="Q180" s="25"/>
      <c r="R180" s="25"/>
      <c r="S180" s="37">
        <f t="shared" si="62"/>
        <v>1</v>
      </c>
      <c r="T180" s="52" t="str">
        <f t="shared" si="46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10:19:25-0600',mode:absolute,to:'2016-10-01 12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0" s="54" t="str">
        <f t="shared" si="48"/>
        <v>N</v>
      </c>
      <c r="X180" s="164">
        <f t="shared" si="61"/>
        <v>1</v>
      </c>
      <c r="Y180" s="69">
        <f t="shared" si="49"/>
        <v>0.1046</v>
      </c>
      <c r="Z180" s="69">
        <f t="shared" si="50"/>
        <v>5.8933</v>
      </c>
      <c r="AA180" s="69">
        <f t="shared" si="51"/>
        <v>5.7887000000000004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2"/>
        <v>1811-01</v>
      </c>
      <c r="AE180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80" s="92" t="str">
        <f t="shared" si="54"/>
        <v>"C:\Program Files (x86)\AstroGrep\AstroGrep.exe" /spath="%USERPROFILE%\AppData\Local\Temp\OnboardLogs" /stypes="app*4044*20161001*" /stext=" 17:.+((SYSTEM_STATE.+slice.+state.+changed )|(ment ac)|(system.+state.+changed )|(\[timeout)|(PRM\|1\|D)|(kpr)|(kdp)|(\|lc)|(penalty))" /e /r /s</v>
      </c>
      <c r="AG180" s="1" t="str">
        <f t="shared" si="55"/>
        <v>NW</v>
      </c>
      <c r="AH180" s="96" t="str">
        <f t="shared" si="56"/>
        <v>"%USERPROFILE%\Documents\GitHub\eaglep3\Utilities\RefineRTDCRunTimes.py" --tripid 1811-01 --locoid 4044 --swversion DE.1.0.7.0 --startMP 204:1046 --initTime 2016-10-01T11:19:25 --startdatetime 2016-10-01T11:21:37 --delay 1 --endMP 300:58933 --enddatetime 2016-10-01T11:35:26 --enforcementcount 0 &gt;&gt;C:\Users\stu\Documents\GitHub\eaglep3-reporting\EC\2016-10-01-refined-times.txt</v>
      </c>
      <c r="AI180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{"issue":{"subject":"","project_id":79,"tracker_id":40,"status_id":1,"priority_id":2,"assigned_to_id":23,"start_date":"2016-10-01","description":"","custom_fields":[{"id":1,"name":"Subdivision","value":"NW"},{"id":4,"name":"Milepost","value":"5.8933"},{"id":17,"name":"Train ID","value":"1811-01"},{"id":16,"name":"Locomotive ID","value":"4044"},{"id":130,"name":"Impact","value":""},{"id":150,"name":"Time of Event (Mountain Time)","value":"11:35:26"},{"id":151,"name":"Denver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575</v>
      </c>
      <c r="B181" s="7">
        <v>4043</v>
      </c>
      <c r="C181" s="24" t="s">
        <v>106</v>
      </c>
      <c r="D181" s="24" t="s">
        <v>373</v>
      </c>
      <c r="E181" s="15">
        <v>42644.4840625</v>
      </c>
      <c r="F181" s="15">
        <v>42644.485590277778</v>
      </c>
      <c r="G181" s="7">
        <v>1</v>
      </c>
      <c r="H181" s="15" t="s">
        <v>576</v>
      </c>
      <c r="I181" s="15">
        <v>42644.495833333334</v>
      </c>
      <c r="J181" s="7">
        <v>0</v>
      </c>
      <c r="K181" s="117" t="str">
        <f t="shared" si="44"/>
        <v>4043/4044</v>
      </c>
      <c r="L181" s="24" t="str">
        <f>VLOOKUP(A181,'Trips&amp;Operators'!$C$1:$E$10000,3,FALSE)</f>
        <v>YORK</v>
      </c>
      <c r="M181" s="6">
        <f t="shared" si="45"/>
        <v>1.0243055556202307E-2</v>
      </c>
      <c r="N181" s="7">
        <f t="shared" si="59"/>
        <v>14.750000000931323</v>
      </c>
      <c r="O181" s="7"/>
      <c r="P181" s="7"/>
      <c r="Q181" s="25"/>
      <c r="R181" s="25"/>
      <c r="S181" s="37">
        <f t="shared" si="62"/>
        <v>1</v>
      </c>
      <c r="T181" s="52" t="str">
        <f t="shared" si="46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10:37:03-0600',mode:absolute,to:'2016-10-01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1" s="54" t="str">
        <f t="shared" si="48"/>
        <v>N</v>
      </c>
      <c r="X181" s="164">
        <f t="shared" si="61"/>
        <v>1</v>
      </c>
      <c r="Y181" s="69">
        <f t="shared" si="49"/>
        <v>5.8620999999999999</v>
      </c>
      <c r="Z181" s="69">
        <f t="shared" si="50"/>
        <v>7.4700000000000003E-2</v>
      </c>
      <c r="AA181" s="69">
        <f t="shared" si="51"/>
        <v>5.7873999999999999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2"/>
        <v>1812-01</v>
      </c>
      <c r="AE181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81" s="92" t="str">
        <f t="shared" si="54"/>
        <v>"C:\Program Files (x86)\AstroGrep\AstroGrep.exe" /spath="%USERPROFILE%\AppData\Local\Temp\OnboardLogs" /stypes="app*4043*20161001*" /stext=" 17:.+((SYSTEM_STATE.+slice.+state.+changed )|(ment ac)|(system.+state.+changed )|(\[timeout)|(PRM\|1\|D)|(kpr)|(kdp)|(\|lc)|(penalty))" /e /r /s</v>
      </c>
      <c r="AG181" s="1" t="str">
        <f t="shared" si="55"/>
        <v>NW</v>
      </c>
      <c r="AH181" s="96" t="str">
        <f t="shared" si="56"/>
        <v>"%USERPROFILE%\Documents\GitHub\eaglep3\Utilities\RefineRTDCRunTimes.py" --tripid 1812-01 --locoid 4043 --swversion DE.1.0.7.0 --startMP 300:58621 --initTime 2016-10-01T11:37:03 --startdatetime 2016-10-01T11:39:15 --delay 1 --endMP 204:747 --enddatetime 2016-10-01T11:54:00 --enforcementcount 0 &gt;&gt;C:\Users\stu\Documents\GitHub\eaglep3-reporting\EC\2016-10-01-refined-times.txt</v>
      </c>
      <c r="AI181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{"issue":{"subject":"","project_id":79,"tracker_id":40,"status_id":1,"priority_id":2,"assigned_to_id":23,"start_date":"2016-10-01","description":"","custom_fields":[{"id":1,"name":"Subdivision","value":"NW"},{"id":4,"name":"Milepost","value":"0.0747"},{"id":17,"name":"Train ID","value":"1812-01"},{"id":16,"name":"Locomotive ID","value":"4043"},{"id":130,"name":"Impact","value":""},{"id":150,"name":"Time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577</v>
      </c>
      <c r="B182" s="7">
        <v>4044</v>
      </c>
      <c r="C182" s="24" t="s">
        <v>106</v>
      </c>
      <c r="D182" s="24" t="s">
        <v>578</v>
      </c>
      <c r="E182" s="15">
        <v>42644.512743055559</v>
      </c>
      <c r="F182" s="15">
        <v>42644.514791666668</v>
      </c>
      <c r="G182" s="7">
        <v>1</v>
      </c>
      <c r="H182" s="15" t="s">
        <v>378</v>
      </c>
      <c r="I182" s="15">
        <v>42644.523877314816</v>
      </c>
      <c r="J182" s="7">
        <v>0</v>
      </c>
      <c r="K182" s="117" t="str">
        <f t="shared" si="44"/>
        <v>4043/4044</v>
      </c>
      <c r="L182" s="24" t="str">
        <f>VLOOKUP(A182,'Trips&amp;Operators'!$C$1:$E$10000,3,FALSE)</f>
        <v>YORK</v>
      </c>
      <c r="M182" s="6">
        <f t="shared" si="45"/>
        <v>9.0856481474475004E-3</v>
      </c>
      <c r="N182" s="7">
        <f t="shared" ref="N182:N217" si="63">24*60*SUM($M182:$M182)</f>
        <v>13.083333332324401</v>
      </c>
      <c r="O182" s="7"/>
      <c r="P182" s="7"/>
      <c r="Q182" s="25"/>
      <c r="R182" s="25"/>
      <c r="S182" s="37">
        <f t="shared" si="62"/>
        <v>1</v>
      </c>
      <c r="T182" s="52" t="str">
        <f t="shared" si="46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11:18:21-0600',mode:absolute,to:'2016-10-01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2" s="54" t="str">
        <f t="shared" si="48"/>
        <v>N</v>
      </c>
      <c r="X182" s="164">
        <f t="shared" si="61"/>
        <v>1</v>
      </c>
      <c r="Y182" s="69">
        <f t="shared" si="49"/>
        <v>0.10249999999999999</v>
      </c>
      <c r="Z182" s="69">
        <f t="shared" si="50"/>
        <v>5.8925999999999998</v>
      </c>
      <c r="AA182" s="69">
        <f t="shared" si="51"/>
        <v>5.7900999999999998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2"/>
        <v>1813-01</v>
      </c>
      <c r="AE182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82" s="92" t="str">
        <f t="shared" si="54"/>
        <v>"C:\Program Files (x86)\AstroGrep\AstroGrep.exe" /spath="%USERPROFILE%\AppData\Local\Temp\OnboardLogs" /stypes="app*4044*20161001*" /stext=" 18:.+((SYSTEM_STATE.+slice.+state.+changed )|(ment ac)|(system.+state.+changed )|(\[timeout)|(PRM\|1\|D)|(kpr)|(kdp)|(\|lc)|(penalty))" /e /r /s</v>
      </c>
      <c r="AG182" s="1" t="str">
        <f t="shared" si="55"/>
        <v>NW</v>
      </c>
      <c r="AH182" s="96" t="str">
        <f t="shared" si="56"/>
        <v>"%USERPROFILE%\Documents\GitHub\eaglep3\Utilities\RefineRTDCRunTimes.py" --tripid 1813-01 --locoid 4044 --swversion DE.1.0.7.0 --startMP 204:1025 --initTime 2016-10-01T12:18:21 --startdatetime 2016-10-01T12:21:18 --delay 1 --endMP 300:58926 --enddatetime 2016-10-01T12:34:23 --enforcementcount 0 &gt;&gt;C:\Users\stu\Documents\GitHub\eaglep3-reporting\EC\2016-10-01-refined-times.txt</v>
      </c>
      <c r="AI182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{"issue":{"subject":"","project_id":79,"tracker_id":40,"status_id":1,"priority_id":2,"assigned_to_id":23,"start_date":"2016-10-01","description":"","custom_fields":[{"id":1,"name":"Subdivision","value":"NW"},{"id":4,"name":"Milepost","value":"5.8926"},{"id":17,"name":"Train ID","value":"1813-01"},{"id":16,"name":"Locomotive ID","value":"4044"},{"id":130,"name":"Impact","value":""},{"id":150,"name":"Time of Event (Mountain Time)","value":"12:34:23"},{"id":151,"name":"Denver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579</v>
      </c>
      <c r="B183" s="7">
        <v>4043</v>
      </c>
      <c r="C183" s="24" t="s">
        <v>106</v>
      </c>
      <c r="D183" s="24" t="s">
        <v>319</v>
      </c>
      <c r="E183" s="15">
        <v>42644.524780092594</v>
      </c>
      <c r="F183" s="15">
        <v>42644.526944444442</v>
      </c>
      <c r="G183" s="7">
        <v>1</v>
      </c>
      <c r="H183" s="15" t="s">
        <v>320</v>
      </c>
      <c r="I183" s="15">
        <v>42644.537789351853</v>
      </c>
      <c r="J183" s="7">
        <v>0</v>
      </c>
      <c r="K183" s="117" t="str">
        <f t="shared" si="44"/>
        <v>4043/4044</v>
      </c>
      <c r="L183" s="24" t="str">
        <f>VLOOKUP(A183,'Trips&amp;Operators'!$C$1:$E$10000,3,FALSE)</f>
        <v>YORK</v>
      </c>
      <c r="M183" s="6">
        <f t="shared" si="45"/>
        <v>1.0844907410501037E-2</v>
      </c>
      <c r="N183" s="7">
        <f t="shared" si="63"/>
        <v>15.616666671121493</v>
      </c>
      <c r="O183" s="7"/>
      <c r="P183" s="7"/>
      <c r="Q183" s="25"/>
      <c r="R183" s="25"/>
      <c r="S183" s="37">
        <f t="shared" si="62"/>
        <v>1</v>
      </c>
      <c r="T183" s="52" t="str">
        <f t="shared" si="46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11:35:41-0600',mode:absolute,to:'2016-10-01 13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3" s="54" t="str">
        <f t="shared" si="48"/>
        <v>N</v>
      </c>
      <c r="X183" s="164">
        <f t="shared" si="61"/>
        <v>1</v>
      </c>
      <c r="Y183" s="69">
        <f t="shared" si="49"/>
        <v>5.8624000000000001</v>
      </c>
      <c r="Z183" s="69">
        <f t="shared" si="50"/>
        <v>7.4300000000000005E-2</v>
      </c>
      <c r="AA183" s="69">
        <f t="shared" si="51"/>
        <v>5.7881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2"/>
        <v>1814-01</v>
      </c>
      <c r="AE183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83" s="92" t="str">
        <f t="shared" si="54"/>
        <v>"C:\Program Files (x86)\AstroGrep\AstroGrep.exe" /spath="%USERPROFILE%\AppData\Local\Temp\OnboardLogs" /stypes="app*4043*20161001*" /stext=" 18:.+((SYSTEM_STATE.+slice.+state.+changed )|(ment ac)|(system.+state.+changed )|(\[timeout)|(PRM\|1\|D)|(kpr)|(kdp)|(\|lc)|(penalty))" /e /r /s</v>
      </c>
      <c r="AG183" s="1" t="str">
        <f t="shared" si="55"/>
        <v>NW</v>
      </c>
      <c r="AH183" s="96" t="str">
        <f t="shared" si="56"/>
        <v>"%USERPROFILE%\Documents\GitHub\eaglep3\Utilities\RefineRTDCRunTimes.py" --tripid 1814-01 --locoid 4043 --swversion DE.1.0.7.0 --startMP 300:58624 --initTime 2016-10-01T12:35:41 --startdatetime 2016-10-01T12:38:48 --delay 1 --endMP 204:743 --enddatetime 2016-10-01T12:54:25 --enforcementcount 0 &gt;&gt;C:\Users\stu\Documents\GitHub\eaglep3-reporting\EC\2016-10-01-refined-times.txt</v>
      </c>
      <c r="AI183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{"issue":{"subject":"","project_id":79,"tracker_id":40,"status_id":1,"priority_id":2,"assigned_to_id":23,"start_date":"2016-10-01","description":"","custom_fields":[{"id":1,"name":"Subdivision","value":"NW"},{"id":4,"name":"Milepost","value":"0.0743"},{"id":17,"name":"Train ID","value":"1814-01"},{"id":16,"name":"Locomotive ID","value":"4043"},{"id":130,"name":"Impact","value":""},{"id":150,"name":"Time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580</v>
      </c>
      <c r="B184" s="7">
        <v>4044</v>
      </c>
      <c r="C184" s="24" t="s">
        <v>106</v>
      </c>
      <c r="D184" s="24" t="s">
        <v>380</v>
      </c>
      <c r="E184" s="15">
        <v>42644.554745370369</v>
      </c>
      <c r="F184" s="15">
        <v>42644.55641203704</v>
      </c>
      <c r="G184" s="7">
        <v>0</v>
      </c>
      <c r="H184" s="15" t="s">
        <v>383</v>
      </c>
      <c r="I184" s="15">
        <v>42644.565208333333</v>
      </c>
      <c r="J184" s="7">
        <v>0</v>
      </c>
      <c r="K184" s="117" t="str">
        <f t="shared" si="44"/>
        <v>4043/4044</v>
      </c>
      <c r="L184" s="24" t="str">
        <f>VLOOKUP(A184,'Trips&amp;Operators'!$C$1:$E$10000,3,FALSE)</f>
        <v>YORK</v>
      </c>
      <c r="M184" s="6">
        <f t="shared" si="45"/>
        <v>8.7962962934398092E-3</v>
      </c>
      <c r="N184" s="7">
        <f t="shared" si="63"/>
        <v>12.666666662553325</v>
      </c>
      <c r="O184" s="7"/>
      <c r="P184" s="7"/>
      <c r="Q184" s="25"/>
      <c r="R184" s="25"/>
      <c r="S184" s="37">
        <f t="shared" si="62"/>
        <v>1</v>
      </c>
      <c r="T184" s="52" t="str">
        <f t="shared" si="46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12:18:50-0600',mode:absolute,to:'2016-10-01 14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4" s="54" t="str">
        <f t="shared" si="48"/>
        <v>N</v>
      </c>
      <c r="X184" s="164">
        <f t="shared" si="61"/>
        <v>1</v>
      </c>
      <c r="Y184" s="69">
        <f t="shared" si="49"/>
        <v>0.10340000000000001</v>
      </c>
      <c r="Z184" s="69">
        <f t="shared" si="50"/>
        <v>5.8930999999999996</v>
      </c>
      <c r="AA184" s="69">
        <f t="shared" si="51"/>
        <v>5.7896999999999998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2"/>
        <v>1815-01</v>
      </c>
      <c r="AE184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84" s="92" t="str">
        <f t="shared" si="54"/>
        <v>"C:\Program Files (x86)\AstroGrep\AstroGrep.exe" /spath="%USERPROFILE%\AppData\Local\Temp\OnboardLogs" /stypes="app*4044*20161001*" /stext=" 19:.+((SYSTEM_STATE.+slice.+state.+changed )|(ment ac)|(system.+state.+changed )|(\[timeout)|(PRM\|1\|D)|(kpr)|(kdp)|(\|lc)|(penalty))" /e /r /s</v>
      </c>
      <c r="AG184" s="1" t="str">
        <f t="shared" si="55"/>
        <v>NW</v>
      </c>
      <c r="AH184" s="96" t="str">
        <f t="shared" si="56"/>
        <v>"%USERPROFILE%\Documents\GitHub\eaglep3\Utilities\RefineRTDCRunTimes.py" --tripid 1815-01 --locoid 4044 --swversion DE.1.0.7.0 --startMP 204:1034 --initTime 2016-10-01T13:18:50 --startdatetime 2016-10-01T13:21:14 --delay 0 --endMP 300:58931 --enddatetime 2016-10-01T13:33:54 --enforcementcount 0 &gt;&gt;C:\Users\stu\Documents\GitHub\eaglep3-reporting\EC\2016-10-01-refined-times.txt</v>
      </c>
      <c r="AI184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{"issue":{"subject":"","project_id":79,"tracker_id":40,"status_id":1,"priority_id":2,"assigned_to_id":23,"start_date":"2016-10-01","description":"","custom_fields":[{"id":1,"name":"Subdivision","value":"NW"},{"id":4,"name":"Milepost","value":"5.8931"},{"id":17,"name":"Train ID","value":"1815-01"},{"id":16,"name":"Locomotive ID","value":"4044"},{"id":130,"name":"Impact","value":""},{"id":150,"name":"Time of Event (Mountain Time)","value":"13:33:54"},{"id":151,"name":"Denver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581</v>
      </c>
      <c r="B185" s="7">
        <v>4043</v>
      </c>
      <c r="C185" s="24" t="s">
        <v>106</v>
      </c>
      <c r="D185" s="24" t="s">
        <v>257</v>
      </c>
      <c r="E185" s="15">
        <v>42644.566643518519</v>
      </c>
      <c r="F185" s="15">
        <v>42644.568518518521</v>
      </c>
      <c r="G185" s="7">
        <v>1</v>
      </c>
      <c r="H185" s="15" t="s">
        <v>569</v>
      </c>
      <c r="I185" s="15">
        <v>42644.578923611109</v>
      </c>
      <c r="J185" s="7">
        <v>0</v>
      </c>
      <c r="K185" s="117" t="str">
        <f t="shared" si="44"/>
        <v>4043/4044</v>
      </c>
      <c r="L185" s="24" t="str">
        <f>VLOOKUP(A185,'Trips&amp;Operators'!$C$1:$E$10000,3,FALSE)</f>
        <v>YORK</v>
      </c>
      <c r="M185" s="6">
        <f t="shared" si="45"/>
        <v>1.0405092587461695E-2</v>
      </c>
      <c r="N185" s="7">
        <f t="shared" si="63"/>
        <v>14.983333325944841</v>
      </c>
      <c r="O185" s="7"/>
      <c r="P185" s="7"/>
      <c r="Q185" s="25"/>
      <c r="R185" s="25"/>
      <c r="S185" s="37">
        <f t="shared" si="62"/>
        <v>1</v>
      </c>
      <c r="T185" s="52" t="str">
        <f t="shared" si="46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12:35:58-0600',mode:absolute,to:'2016-10-01 14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5" s="54" t="str">
        <f t="shared" si="48"/>
        <v>N</v>
      </c>
      <c r="X185" s="164">
        <f t="shared" si="61"/>
        <v>1</v>
      </c>
      <c r="Y185" s="69">
        <f t="shared" si="49"/>
        <v>5.8609</v>
      </c>
      <c r="Z185" s="69">
        <f t="shared" si="50"/>
        <v>7.5200000000000003E-2</v>
      </c>
      <c r="AA185" s="69">
        <f t="shared" si="51"/>
        <v>5.7857000000000003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2"/>
        <v>1816-01</v>
      </c>
      <c r="AE185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85" s="92" t="str">
        <f t="shared" si="54"/>
        <v>"C:\Program Files (x86)\AstroGrep\AstroGrep.exe" /spath="%USERPROFILE%\AppData\Local\Temp\OnboardLogs" /stypes="app*4043*20161001*" /stext=" 19:.+((SYSTEM_STATE.+slice.+state.+changed )|(ment ac)|(system.+state.+changed )|(\[timeout)|(PRM\|1\|D)|(kpr)|(kdp)|(\|lc)|(penalty))" /e /r /s</v>
      </c>
      <c r="AG185" s="1" t="str">
        <f t="shared" si="55"/>
        <v>NW</v>
      </c>
      <c r="AH185" s="96" t="str">
        <f t="shared" si="56"/>
        <v>"%USERPROFILE%\Documents\GitHub\eaglep3\Utilities\RefineRTDCRunTimes.py" --tripid 1816-01 --locoid 4043 --swversion DE.1.0.7.0 --startMP 300:58609 --initTime 2016-10-01T13:35:58 --startdatetime 2016-10-01T13:38:40 --delay 1 --endMP 204:752 --enddatetime 2016-10-01T13:53:39 --enforcementcount 0 &gt;&gt;C:\Users\stu\Documents\GitHub\eaglep3-reporting\EC\2016-10-01-refined-times.txt</v>
      </c>
      <c r="AI185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{"issue":{"subject":"","project_id":79,"tracker_id":40,"status_id":1,"priority_id":2,"assigned_to_id":23,"start_date":"2016-10-01","description":"","custom_fields":[{"id":1,"name":"Subdivision","value":"NW"},{"id":4,"name":"Milepost","value":"0.0752"},{"id":17,"name":"Train ID","value":"1816-01"},{"id":16,"name":"Locomotive ID","value":"4043"},{"id":130,"name":"Impact","value":""},{"id":150,"name":"Time of Event (Mountain Time)","value":"13:53:39"},{"id":151,"name":"Denver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582</v>
      </c>
      <c r="B186" s="7">
        <v>4044</v>
      </c>
      <c r="C186" s="24" t="s">
        <v>106</v>
      </c>
      <c r="D186" s="24" t="s">
        <v>380</v>
      </c>
      <c r="E186" s="15">
        <v>42644.583124999997</v>
      </c>
      <c r="F186" s="15">
        <v>42644.598240740743</v>
      </c>
      <c r="G186" s="7">
        <v>1</v>
      </c>
      <c r="H186" s="15" t="s">
        <v>583</v>
      </c>
      <c r="I186" s="15">
        <v>42644.609120370369</v>
      </c>
      <c r="J186" s="7">
        <v>0</v>
      </c>
      <c r="K186" s="117" t="str">
        <f t="shared" si="44"/>
        <v>4043/4044</v>
      </c>
      <c r="L186" s="24" t="str">
        <f>VLOOKUP(A186,'Trips&amp;Operators'!$C$1:$E$10000,3,FALSE)</f>
        <v>HILLS</v>
      </c>
      <c r="M186" s="6">
        <f t="shared" si="45"/>
        <v>1.0879629626288079E-2</v>
      </c>
      <c r="N186" s="7">
        <f t="shared" si="63"/>
        <v>15.666666661854833</v>
      </c>
      <c r="O186" s="7"/>
      <c r="P186" s="7"/>
      <c r="Q186" s="25"/>
      <c r="R186" s="25"/>
      <c r="S186" s="37">
        <f t="shared" si="62"/>
        <v>1</v>
      </c>
      <c r="T186" s="52" t="str">
        <f t="shared" si="46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12:59:42-0600',mode:absolute,to:'2016-10-01 15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6" s="54" t="str">
        <f t="shared" si="48"/>
        <v>N</v>
      </c>
      <c r="X186" s="164">
        <f t="shared" si="61"/>
        <v>1</v>
      </c>
      <c r="Y186" s="69">
        <f t="shared" si="49"/>
        <v>0.10340000000000001</v>
      </c>
      <c r="Z186" s="69">
        <f t="shared" si="50"/>
        <v>5.8987999999999996</v>
      </c>
      <c r="AA186" s="69">
        <f t="shared" si="51"/>
        <v>5.7953999999999999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2"/>
        <v>1817-01</v>
      </c>
      <c r="AE186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86" s="92" t="str">
        <f t="shared" si="54"/>
        <v>"C:\Program Files (x86)\AstroGrep\AstroGrep.exe" /spath="%USERPROFILE%\AppData\Local\Temp\OnboardLogs" /stypes="app*4044*20161001*" /stext=" 20:.+((SYSTEM_STATE.+slice.+state.+changed )|(ment ac)|(system.+state.+changed )|(\[timeout)|(PRM\|1\|D)|(kpr)|(kdp)|(\|lc)|(penalty))" /e /r /s</v>
      </c>
      <c r="AG186" s="1" t="str">
        <f t="shared" si="55"/>
        <v>NW</v>
      </c>
      <c r="AH186" s="96" t="str">
        <f t="shared" si="56"/>
        <v>"%USERPROFILE%\Documents\GitHub\eaglep3\Utilities\RefineRTDCRunTimes.py" --tripid 1817-01 --locoid 4044 --swversion DE.1.0.7.0 --startMP 204:1034 --initTime 2016-10-01T13:59:42 --startdatetime 2016-10-01T14:21:28 --delay 1 --endMP 300:58988 --enddatetime 2016-10-01T14:37:08 --enforcementcount 0 &gt;&gt;C:\Users\stu\Documents\GitHub\eaglep3-reporting\EC\2016-10-01-refined-times.txt</v>
      </c>
      <c r="AI186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{"issue":{"subject":"","project_id":79,"tracker_id":40,"status_id":1,"priority_id":2,"assigned_to_id":23,"start_date":"2016-10-01","description":"","custom_fields":[{"id":1,"name":"Subdivision","value":"NW"},{"id":4,"name":"Milepost","value":"5.8988"},{"id":17,"name":"Train ID","value":"1817-01"},{"id":16,"name":"Locomotive ID","value":"4044"},{"id":130,"name":"Impact","value":""},{"id":150,"name":"Time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584</v>
      </c>
      <c r="B187" s="7">
        <v>4043</v>
      </c>
      <c r="C187" s="24" t="s">
        <v>106</v>
      </c>
      <c r="D187" s="24" t="s">
        <v>585</v>
      </c>
      <c r="E187" s="15">
        <v>42644.610011574077</v>
      </c>
      <c r="F187" s="15">
        <v>42644.61209490741</v>
      </c>
      <c r="G187" s="7">
        <v>2</v>
      </c>
      <c r="H187" s="15" t="s">
        <v>374</v>
      </c>
      <c r="I187" s="15">
        <v>42644.622118055559</v>
      </c>
      <c r="J187" s="7">
        <v>0</v>
      </c>
      <c r="K187" s="117" t="str">
        <f t="shared" si="44"/>
        <v>4043/4044</v>
      </c>
      <c r="L187" s="24" t="str">
        <f>VLOOKUP(A187,'Trips&amp;Operators'!$C$1:$E$10000,3,FALSE)</f>
        <v>HILLS</v>
      </c>
      <c r="M187" s="6">
        <f t="shared" si="45"/>
        <v>1.0023148148320615E-2</v>
      </c>
      <c r="N187" s="7">
        <f t="shared" si="63"/>
        <v>14.433333333581686</v>
      </c>
      <c r="O187" s="7"/>
      <c r="P187" s="7"/>
      <c r="Q187" s="25"/>
      <c r="R187" s="25"/>
      <c r="S187" s="37">
        <f t="shared" si="62"/>
        <v>1</v>
      </c>
      <c r="T187" s="52" t="str">
        <f t="shared" si="46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13:38:25-0600',mode:absolute,to:'2016-10-01 15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7" s="54" t="str">
        <f t="shared" si="48"/>
        <v>N</v>
      </c>
      <c r="X187" s="164">
        <f t="shared" si="61"/>
        <v>1</v>
      </c>
      <c r="Y187" s="69">
        <f t="shared" si="49"/>
        <v>5.867</v>
      </c>
      <c r="Z187" s="69">
        <f t="shared" si="50"/>
        <v>6.9800000000000001E-2</v>
      </c>
      <c r="AA187" s="69">
        <f t="shared" si="51"/>
        <v>5.7972000000000001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2"/>
        <v>1818-01</v>
      </c>
      <c r="AE187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87" s="92" t="str">
        <f t="shared" si="54"/>
        <v>"C:\Program Files (x86)\AstroGrep\AstroGrep.exe" /spath="%USERPROFILE%\AppData\Local\Temp\OnboardLogs" /stypes="app*4043*20161001*" /stext=" 20:.+((SYSTEM_STATE.+slice.+state.+changed )|(ment ac)|(system.+state.+changed )|(\[timeout)|(PRM\|1\|D)|(kpr)|(kdp)|(\|lc)|(penalty))" /e /r /s</v>
      </c>
      <c r="AG187" s="1" t="str">
        <f t="shared" si="55"/>
        <v>NW</v>
      </c>
      <c r="AH187" s="96" t="str">
        <f t="shared" si="56"/>
        <v>"%USERPROFILE%\Documents\GitHub\eaglep3\Utilities\RefineRTDCRunTimes.py" --tripid 1818-01 --locoid 4043 --swversion DE.1.0.7.0 --startMP 300:58670 --initTime 2016-10-01T14:38:25 --startdatetime 2016-10-01T14:41:25 --delay 2 --endMP 204:698 --enddatetime 2016-10-01T14:55:51 --enforcementcount 0 &gt;&gt;C:\Users\stu\Documents\GitHub\eaglep3-reporting\EC\2016-10-01-refined-times.txt</v>
      </c>
      <c r="AI187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{"issue":{"subject":"","project_id":79,"tracker_id":40,"status_id":1,"priority_id":2,"assigned_to_id":23,"start_date":"2016-10-01","description":"","custom_fields":[{"id":1,"name":"Subdivision","value":"NW"},{"id":4,"name":"Milepost","value":"0.0698"},{"id":17,"name":"Train ID","value":"1818-01"},{"id":16,"name":"Locomotive ID","value":"4043"},{"id":130,"name":"Impact","value":""},{"id":150,"name":"Time of Event (Mountain Time)","value":"14:55:51"},{"id":151,"name":"Denver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586</v>
      </c>
      <c r="B188" s="7">
        <v>4044</v>
      </c>
      <c r="C188" s="24" t="s">
        <v>106</v>
      </c>
      <c r="D188" s="24" t="s">
        <v>587</v>
      </c>
      <c r="E188" s="15">
        <v>42644.623124999998</v>
      </c>
      <c r="F188" s="15">
        <v>42644.639814814815</v>
      </c>
      <c r="G188" s="7">
        <v>1</v>
      </c>
      <c r="H188" s="15" t="s">
        <v>588</v>
      </c>
      <c r="I188" s="15">
        <v>42644.649282407408</v>
      </c>
      <c r="J188" s="7">
        <v>0</v>
      </c>
      <c r="K188" s="117" t="str">
        <f t="shared" si="44"/>
        <v>4043/4044</v>
      </c>
      <c r="L188" s="24" t="str">
        <f>VLOOKUP(A188,'Trips&amp;Operators'!$C$1:$E$10000,3,FALSE)</f>
        <v>HILLS</v>
      </c>
      <c r="M188" s="6">
        <f t="shared" si="45"/>
        <v>9.4675925938645378E-3</v>
      </c>
      <c r="N188" s="7">
        <f t="shared" si="63"/>
        <v>13.633333335164934</v>
      </c>
      <c r="O188" s="7"/>
      <c r="P188" s="7"/>
      <c r="Q188" s="25"/>
      <c r="R188" s="25"/>
      <c r="S188" s="37">
        <f t="shared" si="62"/>
        <v>1</v>
      </c>
      <c r="T188" s="52" t="str">
        <f t="shared" si="46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13:57:18-0600',mode:absolute,to:'2016-10-01 16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8" s="54" t="str">
        <f t="shared" si="48"/>
        <v>N</v>
      </c>
      <c r="X188" s="164">
        <f t="shared" si="61"/>
        <v>1</v>
      </c>
      <c r="Y188" s="69">
        <f t="shared" si="49"/>
        <v>9.9000000000000005E-2</v>
      </c>
      <c r="Z188" s="69">
        <f t="shared" si="50"/>
        <v>5.8983999999999996</v>
      </c>
      <c r="AA188" s="69">
        <f t="shared" si="51"/>
        <v>5.7993999999999994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2"/>
        <v>1819-01</v>
      </c>
      <c r="AE188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88" s="92" t="str">
        <f t="shared" si="54"/>
        <v>"C:\Program Files (x86)\AstroGrep\AstroGrep.exe" /spath="%USERPROFILE%\AppData\Local\Temp\OnboardLogs" /stypes="app*4044*20161001*" /stext=" 21:.+((SYSTEM_STATE.+slice.+state.+changed )|(ment ac)|(system.+state.+changed )|(\[timeout)|(PRM\|1\|D)|(kpr)|(kdp)|(\|lc)|(penalty))" /e /r /s</v>
      </c>
      <c r="AG188" s="1" t="str">
        <f t="shared" si="55"/>
        <v>NW</v>
      </c>
      <c r="AH188" s="96" t="str">
        <f t="shared" si="56"/>
        <v>"%USERPROFILE%\Documents\GitHub\eaglep3\Utilities\RefineRTDCRunTimes.py" --tripid 1819-01 --locoid 4044 --swversion DE.1.0.7.0 --startMP 204:990 --initTime 2016-10-01T14:57:18 --startdatetime 2016-10-01T15:21:20 --delay 1 --endMP 300:58984 --enddatetime 2016-10-01T15:34:58 --enforcementcount 0 &gt;&gt;C:\Users\stu\Documents\GitHub\eaglep3-reporting\EC\2016-10-01-refined-times.txt</v>
      </c>
      <c r="AI188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{"issue":{"subject":"","project_id":79,"tracker_id":40,"status_id":1,"priority_id":2,"assigned_to_id":23,"start_date":"2016-10-01","description":"","custom_fields":[{"id":1,"name":"Subdivision","value":"NW"},{"id":4,"name":"Milepost","value":"5.8984"},{"id":17,"name":"Train ID","value":"1819-01"},{"id":16,"name":"Locomotive ID","value":"4044"},{"id":130,"name":"Impact","value":""},{"id":150,"name":"Time of Event (Mountain Time)","value":"15:34:58"},{"id":151,"name":"Denver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591</v>
      </c>
      <c r="B189" s="7">
        <v>4043</v>
      </c>
      <c r="C189" s="24" t="s">
        <v>106</v>
      </c>
      <c r="D189" s="24" t="s">
        <v>592</v>
      </c>
      <c r="E189" s="15">
        <v>42644.650937500002</v>
      </c>
      <c r="F189" s="15">
        <v>42644.652615740742</v>
      </c>
      <c r="G189" s="7">
        <v>1</v>
      </c>
      <c r="H189" s="15" t="s">
        <v>410</v>
      </c>
      <c r="I189" s="15">
        <v>42644.662893518522</v>
      </c>
      <c r="J189" s="7">
        <v>0</v>
      </c>
      <c r="K189" s="117" t="str">
        <f t="shared" si="44"/>
        <v>4043/4044</v>
      </c>
      <c r="L189" s="24" t="str">
        <f>VLOOKUP(A189,'Trips&amp;Operators'!$C$1:$E$10000,3,FALSE)</f>
        <v>HILLS</v>
      </c>
      <c r="M189" s="6">
        <f t="shared" si="45"/>
        <v>1.0277777779265307E-2</v>
      </c>
      <c r="N189" s="7">
        <f t="shared" si="63"/>
        <v>14.800000002142042</v>
      </c>
      <c r="O189" s="7"/>
      <c r="P189" s="7"/>
      <c r="Q189" s="25"/>
      <c r="R189" s="25"/>
      <c r="S189" s="37">
        <f t="shared" si="62"/>
        <v>1</v>
      </c>
      <c r="T189" s="52" t="str">
        <f t="shared" si="46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14:37:21-0600',mode:absolute,to:'2016-10-01 16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9" s="54" t="str">
        <f t="shared" si="48"/>
        <v>N</v>
      </c>
      <c r="X189" s="164">
        <f t="shared" si="61"/>
        <v>1</v>
      </c>
      <c r="Y189" s="69">
        <f t="shared" si="49"/>
        <v>5.8677000000000001</v>
      </c>
      <c r="Z189" s="69">
        <f t="shared" si="50"/>
        <v>7.1900000000000006E-2</v>
      </c>
      <c r="AA189" s="69">
        <f t="shared" si="51"/>
        <v>5.7957999999999998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2"/>
        <v>1820-01</v>
      </c>
      <c r="AE189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89" s="92" t="str">
        <f t="shared" si="54"/>
        <v>"C:\Program Files (x86)\AstroGrep\AstroGrep.exe" /spath="%USERPROFILE%\AppData\Local\Temp\OnboardLogs" /stypes="app*4043*20161001*" /stext=" 21:.+((SYSTEM_STATE.+slice.+state.+changed )|(ment ac)|(system.+state.+changed )|(\[timeout)|(PRM\|1\|D)|(kpr)|(kdp)|(\|lc)|(penalty))" /e /r /s</v>
      </c>
      <c r="AG189" s="1" t="str">
        <f t="shared" si="55"/>
        <v>NW</v>
      </c>
      <c r="AH189" s="96" t="str">
        <f t="shared" si="56"/>
        <v>"%USERPROFILE%\Documents\GitHub\eaglep3\Utilities\RefineRTDCRunTimes.py" --tripid 1820-01 --locoid 4043 --swversion DE.1.0.7.0 --startMP 300:58677 --initTime 2016-10-01T15:37:21 --startdatetime 2016-10-01T15:39:46 --delay 1 --endMP 204:719 --enddatetime 2016-10-01T15:54:34 --enforcementcount 0 &gt;&gt;C:\Users\stu\Documents\GitHub\eaglep3-reporting\EC\2016-10-01-refined-times.txt</v>
      </c>
      <c r="AI189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{"issue":{"subject":"","project_id":79,"tracker_id":40,"status_id":1,"priority_id":2,"assigned_to_id":23,"start_date":"2016-10-01","description":"","custom_fields":[{"id":1,"name":"Subdivision","value":"NW"},{"id":4,"name":"Milepost","value":"0.0719"},{"id":17,"name":"Train ID","value":"1820-01"},{"id":16,"name":"Locomotive ID","value":"4043"},{"id":130,"name":"Impact","value":""},{"id":150,"name":"Time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593</v>
      </c>
      <c r="B190" s="7">
        <v>4044</v>
      </c>
      <c r="C190" s="24" t="s">
        <v>106</v>
      </c>
      <c r="D190" s="24" t="s">
        <v>594</v>
      </c>
      <c r="E190" s="15">
        <v>42644.664212962962</v>
      </c>
      <c r="F190" s="15">
        <v>42644.681435185186</v>
      </c>
      <c r="G190" s="7">
        <v>1</v>
      </c>
      <c r="H190" s="15" t="s">
        <v>588</v>
      </c>
      <c r="I190" s="15">
        <v>42644.690532407411</v>
      </c>
      <c r="J190" s="7">
        <v>0</v>
      </c>
      <c r="K190" s="117" t="str">
        <f t="shared" si="44"/>
        <v>4043/4044</v>
      </c>
      <c r="L190" s="24" t="str">
        <f>VLOOKUP(A190,'Trips&amp;Operators'!$C$1:$E$10000,3,FALSE)</f>
        <v>HILLS</v>
      </c>
      <c r="M190" s="6">
        <f t="shared" si="45"/>
        <v>9.0972222242271528E-3</v>
      </c>
      <c r="N190" s="7">
        <f t="shared" si="63"/>
        <v>13.1000000028871</v>
      </c>
      <c r="O190" s="7"/>
      <c r="P190" s="7"/>
      <c r="Q190" s="25"/>
      <c r="R190" s="25"/>
      <c r="S190" s="37">
        <f t="shared" si="62"/>
        <v>1</v>
      </c>
      <c r="T190" s="52" t="str">
        <f t="shared" si="46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14:56:28-0600',mode:absolute,to:'2016-10-01 17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0" s="54" t="str">
        <f t="shared" si="48"/>
        <v>N</v>
      </c>
      <c r="X190" s="164">
        <f t="shared" si="61"/>
        <v>1</v>
      </c>
      <c r="Y190" s="69">
        <f t="shared" si="49"/>
        <v>0.10059999999999999</v>
      </c>
      <c r="Z190" s="69">
        <f t="shared" si="50"/>
        <v>5.8983999999999996</v>
      </c>
      <c r="AA190" s="69">
        <f t="shared" si="51"/>
        <v>5.7977999999999996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2"/>
        <v>1821-01</v>
      </c>
      <c r="AE190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90" s="92" t="str">
        <f t="shared" si="54"/>
        <v>"C:\Program Files (x86)\AstroGrep\AstroGrep.exe" /spath="%USERPROFILE%\AppData\Local\Temp\OnboardLogs" /stypes="app*4044*20161001*" /stext=" 22:.+((SYSTEM_STATE.+slice.+state.+changed )|(ment ac)|(system.+state.+changed )|(\[timeout)|(PRM\|1\|D)|(kpr)|(kdp)|(\|lc)|(penalty))" /e /r /s</v>
      </c>
      <c r="AG190" s="1" t="str">
        <f t="shared" si="55"/>
        <v>NW</v>
      </c>
      <c r="AH190" s="96" t="str">
        <f t="shared" si="56"/>
        <v>"%USERPROFILE%\Documents\GitHub\eaglep3\Utilities\RefineRTDCRunTimes.py" --tripid 1821-01 --locoid 4044 --swversion DE.1.0.7.0 --startMP 204:1006 --initTime 2016-10-01T15:56:28 --startdatetime 2016-10-01T16:21:16 --delay 1 --endMP 300:58984 --enddatetime 2016-10-01T16:34:22 --enforcementcount 0 &gt;&gt;C:\Users\stu\Documents\GitHub\eaglep3-reporting\EC\2016-10-01-refined-times.txt</v>
      </c>
      <c r="AI190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{"issue":{"subject":"","project_id":79,"tracker_id":40,"status_id":1,"priority_id":2,"assigned_to_id":23,"start_date":"2016-10-01","description":"","custom_fields":[{"id":1,"name":"Subdivision","value":"NW"},{"id":4,"name":"Milepost","value":"5.8984"},{"id":17,"name":"Train ID","value":"1821-01"},{"id":16,"name":"Locomotive ID","value":"4044"},{"id":130,"name":"Impact","value":""},{"id":150,"name":"Time of Event (Mountain Time)","value":"16:34:22"},{"id":151,"name":"Denver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595</v>
      </c>
      <c r="B191" s="7">
        <v>4043</v>
      </c>
      <c r="C191" s="24" t="s">
        <v>106</v>
      </c>
      <c r="D191" s="24" t="s">
        <v>291</v>
      </c>
      <c r="E191" s="15">
        <v>42644.691296296296</v>
      </c>
      <c r="F191" s="15">
        <v>42644.692986111113</v>
      </c>
      <c r="G191" s="7">
        <v>1</v>
      </c>
      <c r="H191" s="15" t="s">
        <v>596</v>
      </c>
      <c r="I191" s="15">
        <v>42644.706319444442</v>
      </c>
      <c r="J191" s="7">
        <v>0</v>
      </c>
      <c r="K191" s="117" t="str">
        <f t="shared" si="44"/>
        <v>4043/4044</v>
      </c>
      <c r="L191" s="24" t="str">
        <f>VLOOKUP(A191,'Trips&amp;Operators'!$C$1:$E$10000,3,FALSE)</f>
        <v>HILLS</v>
      </c>
      <c r="M191" s="6">
        <f t="shared" si="45"/>
        <v>1.3333333328773733E-2</v>
      </c>
      <c r="N191" s="7">
        <f t="shared" si="63"/>
        <v>19.199999993434176</v>
      </c>
      <c r="O191" s="7"/>
      <c r="P191" s="7"/>
      <c r="Q191" s="25"/>
      <c r="R191" s="25"/>
      <c r="S191" s="37">
        <f t="shared" si="62"/>
        <v>1</v>
      </c>
      <c r="T191" s="52" t="str">
        <f t="shared" si="46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15:35:28-0600',mode:absolute,to:'2016-10-01 17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1" s="54" t="str">
        <f t="shared" si="48"/>
        <v>N</v>
      </c>
      <c r="X191" s="164">
        <f t="shared" si="61"/>
        <v>1</v>
      </c>
      <c r="Y191" s="69">
        <f t="shared" si="49"/>
        <v>5.8662000000000001</v>
      </c>
      <c r="Z191" s="69">
        <f t="shared" si="50"/>
        <v>6.7100000000000007E-2</v>
      </c>
      <c r="AA191" s="69">
        <f t="shared" si="51"/>
        <v>5.7991000000000001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2"/>
        <v>1822-01</v>
      </c>
      <c r="AE191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91" s="92" t="str">
        <f t="shared" si="54"/>
        <v>"C:\Program Files (x86)\AstroGrep\AstroGrep.exe" /spath="%USERPROFILE%\AppData\Local\Temp\OnboardLogs" /stypes="app*4043*20161001*" /stext=" 22:.+((SYSTEM_STATE.+slice.+state.+changed )|(ment ac)|(system.+state.+changed )|(\[timeout)|(PRM\|1\|D)|(kpr)|(kdp)|(\|lc)|(penalty))" /e /r /s</v>
      </c>
      <c r="AG191" s="1" t="str">
        <f t="shared" si="55"/>
        <v>NW</v>
      </c>
      <c r="AH191" s="96" t="str">
        <f t="shared" si="56"/>
        <v>"%USERPROFILE%\Documents\GitHub\eaglep3\Utilities\RefineRTDCRunTimes.py" --tripid 1822-01 --locoid 4043 --swversion DE.1.0.7.0 --startMP 300:58662 --initTime 2016-10-01T16:35:28 --startdatetime 2016-10-01T16:37:54 --delay 1 --endMP 204:671 --enddatetime 2016-10-01T16:57:06 --enforcementcount 0 &gt;&gt;C:\Users\stu\Documents\GitHub\eaglep3-reporting\EC\2016-10-01-refined-times.txt</v>
      </c>
      <c r="AI191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{"issue":{"subject":"","project_id":79,"tracker_id":40,"status_id":1,"priority_id":2,"assigned_to_id":23,"start_date":"2016-10-01","description":"","custom_fields":[{"id":1,"name":"Subdivision","value":"NW"},{"id":4,"name":"Milepost","value":"0.0671"},{"id":17,"name":"Train ID","value":"1822-01"},{"id":16,"name":"Locomotive ID","value":"4043"},{"id":130,"name":"Impact","value":""},{"id":150,"name":"Time of Event (Mountain Time)","value":"16:57:06"},{"id":151,"name":"Denver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597</v>
      </c>
      <c r="B192" s="7">
        <v>4044</v>
      </c>
      <c r="C192" s="24" t="s">
        <v>106</v>
      </c>
      <c r="D192" s="24" t="s">
        <v>379</v>
      </c>
      <c r="E192" s="15">
        <v>42644.708761574075</v>
      </c>
      <c r="F192" s="15">
        <v>42644.723738425928</v>
      </c>
      <c r="G192" s="7">
        <v>1</v>
      </c>
      <c r="H192" s="15" t="s">
        <v>598</v>
      </c>
      <c r="I192" s="15">
        <v>42644.734155092592</v>
      </c>
      <c r="J192" s="7">
        <v>0</v>
      </c>
      <c r="K192" s="117" t="str">
        <f t="shared" si="44"/>
        <v>4043/4044</v>
      </c>
      <c r="L192" s="24" t="str">
        <f>VLOOKUP(A192,'Trips&amp;Operators'!$C$1:$E$10000,3,FALSE)</f>
        <v>HILLS</v>
      </c>
      <c r="M192" s="6">
        <f t="shared" si="45"/>
        <v>1.0416666664241347E-2</v>
      </c>
      <c r="N192" s="7">
        <f t="shared" si="63"/>
        <v>14.99999999650754</v>
      </c>
      <c r="O192" s="7"/>
      <c r="P192" s="7"/>
      <c r="Q192" s="25"/>
      <c r="R192" s="25"/>
      <c r="S192" s="37">
        <f t="shared" si="62"/>
        <v>1</v>
      </c>
      <c r="T192" s="52" t="str">
        <f t="shared" si="46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16:00:37-0600',mode:absolute,to:'2016-10-01 18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2" s="54" t="str">
        <f t="shared" si="48"/>
        <v>N</v>
      </c>
      <c r="X192" s="164">
        <f t="shared" si="61"/>
        <v>1</v>
      </c>
      <c r="Y192" s="69">
        <f t="shared" si="49"/>
        <v>9.6699999999999994E-2</v>
      </c>
      <c r="Z192" s="69">
        <f t="shared" si="50"/>
        <v>5.8968999999999996</v>
      </c>
      <c r="AA192" s="69">
        <f t="shared" si="51"/>
        <v>5.8001999999999994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2"/>
        <v>1823-01</v>
      </c>
      <c r="AE192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92" s="92" t="str">
        <f t="shared" si="54"/>
        <v>"C:\Program Files (x86)\AstroGrep\AstroGrep.exe" /spath="%USERPROFILE%\AppData\Local\Temp\OnboardLogs" /stypes="app*4044*20161001*" /stext=" 23:.+((SYSTEM_STATE.+slice.+state.+changed )|(ment ac)|(system.+state.+changed )|(\[timeout)|(PRM\|1\|D)|(kpr)|(kdp)|(\|lc)|(penalty))" /e /r /s</v>
      </c>
      <c r="AG192" s="1" t="str">
        <f t="shared" si="55"/>
        <v>NW</v>
      </c>
      <c r="AH192" s="96" t="str">
        <f t="shared" si="56"/>
        <v>"%USERPROFILE%\Documents\GitHub\eaglep3\Utilities\RefineRTDCRunTimes.py" --tripid 1823-01 --locoid 4044 --swversion DE.1.0.7.0 --startMP 204:967 --initTime 2016-10-01T17:00:37 --startdatetime 2016-10-01T17:22:11 --delay 1 --endMP 300:58969 --enddatetime 2016-10-01T17:37:11 --enforcementcount 0 &gt;&gt;C:\Users\stu\Documents\GitHub\eaglep3-reporting\EC\2016-10-01-refined-times.txt</v>
      </c>
      <c r="AI192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{"issue":{"subject":"","project_id":79,"tracker_id":40,"status_id":1,"priority_id":2,"assigned_to_id":23,"start_date":"2016-10-01","description":"","custom_fields":[{"id":1,"name":"Subdivision","value":"NW"},{"id":4,"name":"Milepost","value":"5.8969"},{"id":17,"name":"Train ID","value":"1823-01"},{"id":16,"name":"Locomotive ID","value":"4044"},{"id":130,"name":"Impact","value":""},{"id":150,"name":"Time of Event (Mountain Time)","value":"17:37:11"},{"id":151,"name":"Denver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599</v>
      </c>
      <c r="B193" s="7">
        <v>4043</v>
      </c>
      <c r="C193" s="24" t="s">
        <v>106</v>
      </c>
      <c r="D193" s="24" t="s">
        <v>600</v>
      </c>
      <c r="E193" s="15">
        <v>42644.735393518517</v>
      </c>
      <c r="F193" s="15">
        <v>42644.736851851849</v>
      </c>
      <c r="G193" s="7">
        <v>1</v>
      </c>
      <c r="H193" s="15" t="s">
        <v>601</v>
      </c>
      <c r="I193" s="15">
        <v>42644.746388888889</v>
      </c>
      <c r="J193" s="7">
        <v>0</v>
      </c>
      <c r="K193" s="117" t="str">
        <f t="shared" si="44"/>
        <v>4043/4044</v>
      </c>
      <c r="L193" s="24" t="str">
        <f>VLOOKUP(A193,'Trips&amp;Operators'!$C$1:$E$10000,3,FALSE)</f>
        <v>HILLS</v>
      </c>
      <c r="M193" s="6">
        <f t="shared" si="45"/>
        <v>9.5370370399905369E-3</v>
      </c>
      <c r="N193" s="7">
        <f t="shared" si="63"/>
        <v>13.733333337586373</v>
      </c>
      <c r="O193" s="7"/>
      <c r="P193" s="7"/>
      <c r="Q193" s="25"/>
      <c r="R193" s="25"/>
      <c r="S193" s="37">
        <f t="shared" si="62"/>
        <v>1</v>
      </c>
      <c r="T193" s="52" t="str">
        <f t="shared" si="46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16:38:58-0600',mode:absolute,to:'2016-10-01 18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3" s="54" t="str">
        <f t="shared" si="48"/>
        <v>N</v>
      </c>
      <c r="X193" s="164">
        <f t="shared" si="61"/>
        <v>1</v>
      </c>
      <c r="Y193" s="69">
        <f t="shared" si="49"/>
        <v>5.8659999999999997</v>
      </c>
      <c r="Z193" s="69">
        <f t="shared" si="50"/>
        <v>6.7500000000000004E-2</v>
      </c>
      <c r="AA193" s="69">
        <f t="shared" si="51"/>
        <v>5.7984999999999998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2"/>
        <v>1824-01</v>
      </c>
      <c r="AE193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93" s="92" t="str">
        <f t="shared" si="54"/>
        <v>"C:\Program Files (x86)\AstroGrep\AstroGrep.exe" /spath="%USERPROFILE%\AppData\Local\Temp\OnboardLogs" /stypes="app*4043*20161001*" /stext=" 23:.+((SYSTEM_STATE.+slice.+state.+changed )|(ment ac)|(system.+state.+changed )|(\[timeout)|(PRM\|1\|D)|(kpr)|(kdp)|(\|lc)|(penalty))" /e /r /s</v>
      </c>
      <c r="AG193" s="1" t="str">
        <f t="shared" si="55"/>
        <v>NW</v>
      </c>
      <c r="AH193" s="96" t="str">
        <f t="shared" si="56"/>
        <v>"%USERPROFILE%\Documents\GitHub\eaglep3\Utilities\RefineRTDCRunTimes.py" --tripid 1824-01 --locoid 4043 --swversion DE.1.0.7.0 --startMP 300:58660 --initTime 2016-10-01T17:38:58 --startdatetime 2016-10-01T17:41:04 --delay 1 --endMP 204:675 --enddatetime 2016-10-01T17:54:48 --enforcementcount 0 &gt;&gt;C:\Users\stu\Documents\GitHub\eaglep3-reporting\EC\2016-10-01-refined-times.txt</v>
      </c>
      <c r="AI193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{"issue":{"subject":"","project_id":79,"tracker_id":40,"status_id":1,"priority_id":2,"assigned_to_id":23,"start_date":"2016-10-01","description":"","custom_fields":[{"id":1,"name":"Subdivision","value":"NW"},{"id":4,"name":"Milepost","value":"0.0675"},{"id":17,"name":"Train ID","value":"1824-01"},{"id":16,"name":"Locomotive ID","value":"4043"},{"id":130,"name":"Impact","value":""},{"id":150,"name":"Time of Event (Mountain Time)","value":"17:54:48"},{"id":151,"name":"Denver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602</v>
      </c>
      <c r="B194" s="7">
        <v>4044</v>
      </c>
      <c r="C194" s="24" t="s">
        <v>106</v>
      </c>
      <c r="D194" s="24" t="s">
        <v>377</v>
      </c>
      <c r="E194" s="15">
        <v>42644.747881944444</v>
      </c>
      <c r="F194" s="15">
        <v>42644.764814814815</v>
      </c>
      <c r="G194" s="7">
        <v>1</v>
      </c>
      <c r="H194" s="15" t="s">
        <v>603</v>
      </c>
      <c r="I194" s="15">
        <v>42644.77412037037</v>
      </c>
      <c r="J194" s="7">
        <v>0</v>
      </c>
      <c r="K194" s="117" t="str">
        <f t="shared" si="44"/>
        <v>4043/4044</v>
      </c>
      <c r="L194" s="24" t="str">
        <f>VLOOKUP(A194,'Trips&amp;Operators'!$C$1:$E$10000,3,FALSE)</f>
        <v>HILLS</v>
      </c>
      <c r="M194" s="6">
        <f t="shared" si="45"/>
        <v>9.3055555553291924E-3</v>
      </c>
      <c r="N194" s="7">
        <f t="shared" si="63"/>
        <v>13.399999999674037</v>
      </c>
      <c r="O194" s="7"/>
      <c r="P194" s="7"/>
      <c r="Q194" s="25"/>
      <c r="R194" s="25"/>
      <c r="S194" s="37">
        <f t="shared" si="62"/>
        <v>1</v>
      </c>
      <c r="T194" s="52" t="str">
        <f t="shared" si="46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16:56:57-0600',mode:absolute,to:'2016-10-01 19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4" s="54" t="str">
        <f t="shared" si="48"/>
        <v>N</v>
      </c>
      <c r="X194" s="164">
        <f t="shared" si="61"/>
        <v>1</v>
      </c>
      <c r="Y194" s="69">
        <f t="shared" si="49"/>
        <v>9.6500000000000002E-2</v>
      </c>
      <c r="Z194" s="69">
        <f t="shared" si="50"/>
        <v>5.8986000000000001</v>
      </c>
      <c r="AA194" s="69">
        <f t="shared" si="51"/>
        <v>5.8021000000000003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2"/>
        <v>1825-01</v>
      </c>
      <c r="AE194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94" s="92" t="str">
        <f t="shared" si="54"/>
        <v>"C:\Program Files (x86)\AstroGrep\AstroGrep.exe" /spath="%USERPROFILE%\AppData\Local\Temp\OnboardLogs" /stypes="app*4044*20161002*" /stext=" 00:.+((SYSTEM_STATE.+slice.+state.+changed )|(ment ac)|(system.+state.+changed )|(\[timeout)|(PRM\|1\|D)|(kpr)|(kdp)|(\|lc)|(penalty))" /e /r /s</v>
      </c>
      <c r="AG194" s="1" t="str">
        <f t="shared" si="55"/>
        <v>NW</v>
      </c>
      <c r="AH194" s="96" t="str">
        <f t="shared" si="56"/>
        <v>"%USERPROFILE%\Documents\GitHub\eaglep3\Utilities\RefineRTDCRunTimes.py" --tripid 1825-01 --locoid 4044 --swversion DE.1.0.7.0 --startMP 204:965 --initTime 2016-10-01T17:56:57 --startdatetime 2016-10-01T18:21:20 --delay 1 --endMP 300:58986 --enddatetime 2016-10-01T18:34:44 --enforcementcount 0 &gt;&gt;C:\Users\stu\Documents\GitHub\eaglep3-reporting\EC\2016-10-01-refined-times.txt</v>
      </c>
      <c r="AI194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{"issue":{"subject":"","project_id":79,"tracker_id":40,"status_id":1,"priority_id":2,"assigned_to_id":23,"start_date":"2016-10-01","description":"","custom_fields":[{"id":1,"name":"Subdivision","value":"NW"},{"id":4,"name":"Milepost","value":"5.8986"},{"id":17,"name":"Train ID","value":"1825-01"},{"id":16,"name":"Locomotive ID","value":"4044"},{"id":130,"name":"Impact","value":""},{"id":150,"name":"Time of Event (Mountain Time)","value":"18:34:44"},{"id":151,"name":"Denver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604</v>
      </c>
      <c r="B195" s="7">
        <v>4043</v>
      </c>
      <c r="C195" s="24" t="s">
        <v>106</v>
      </c>
      <c r="D195" s="24" t="s">
        <v>605</v>
      </c>
      <c r="E195" s="15">
        <v>42644.775393518517</v>
      </c>
      <c r="F195" s="15">
        <v>42644.777002314811</v>
      </c>
      <c r="G195" s="7">
        <v>1</v>
      </c>
      <c r="H195" s="15" t="s">
        <v>606</v>
      </c>
      <c r="I195" s="15">
        <v>42644.789340277777</v>
      </c>
      <c r="J195" s="7">
        <v>0</v>
      </c>
      <c r="K195" s="117" t="str">
        <f t="shared" si="44"/>
        <v>4043/4044</v>
      </c>
      <c r="L195" s="24" t="str">
        <f>VLOOKUP(A195,'Trips&amp;Operators'!$C$1:$E$10000,3,FALSE)</f>
        <v>HILLS</v>
      </c>
      <c r="M195" s="6">
        <f t="shared" si="45"/>
        <v>1.2337962965830229E-2</v>
      </c>
      <c r="N195" s="7">
        <f t="shared" si="63"/>
        <v>17.76666667079553</v>
      </c>
      <c r="O195" s="7"/>
      <c r="P195" s="7"/>
      <c r="Q195" s="25"/>
      <c r="R195" s="25"/>
      <c r="S195" s="37">
        <f t="shared" si="62"/>
        <v>1</v>
      </c>
      <c r="T195" s="52" t="str">
        <f t="shared" si="46"/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17:36:34-0600',mode:absolute,to:'2016-10-01 19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5" s="54" t="str">
        <f t="shared" si="48"/>
        <v>N</v>
      </c>
      <c r="X195" s="164">
        <f t="shared" si="61"/>
        <v>1</v>
      </c>
      <c r="Y195" s="69">
        <f t="shared" si="49"/>
        <v>5.8667999999999996</v>
      </c>
      <c r="Z195" s="69">
        <f t="shared" si="50"/>
        <v>7.0099999999999996E-2</v>
      </c>
      <c r="AA195" s="69">
        <f t="shared" si="51"/>
        <v>5.7966999999999995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2"/>
        <v>1826-01</v>
      </c>
      <c r="AE195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95" s="92" t="str">
        <f t="shared" si="54"/>
        <v>"C:\Program Files (x86)\AstroGrep\AstroGrep.exe" /spath="%USERPROFILE%\AppData\Local\Temp\OnboardLogs" /stypes="app*4043*20161002*" /stext=" 00:.+((SYSTEM_STATE.+slice.+state.+changed )|(ment ac)|(system.+state.+changed )|(\[timeout)|(PRM\|1\|D)|(kpr)|(kdp)|(\|lc)|(penalty))" /e /r /s</v>
      </c>
      <c r="AG195" s="1" t="str">
        <f t="shared" si="55"/>
        <v>NW</v>
      </c>
      <c r="AH195" s="96" t="str">
        <f t="shared" si="56"/>
        <v>"%USERPROFILE%\Documents\GitHub\eaglep3\Utilities\RefineRTDCRunTimes.py" --tripid 1826-01 --locoid 4043 --swversion DE.1.0.7.0 --startMP 300:58668 --initTime 2016-10-01T18:36:34 --startdatetime 2016-10-01T18:38:53 --delay 1 --endMP 204:701 --enddatetime 2016-10-01T18:56:39 --enforcementcount 0 &gt;&gt;C:\Users\stu\Documents\GitHub\eaglep3-reporting\EC\2016-10-01-refined-times.txt</v>
      </c>
      <c r="AI195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{"issue":{"subject":"","project_id":79,"tracker_id":40,"status_id":1,"priority_id":2,"assigned_to_id":23,"start_date":"2016-10-01","description":"","custom_fields":[{"id":1,"name":"Subdivision","value":"NW"},{"id":4,"name":"Milepost","value":"0.0701"},{"id":17,"name":"Train ID","value":"1826-01"},{"id":16,"name":"Locomotive ID","value":"4043"},{"id":130,"name":"Impact","value":""},{"id":150,"name":"Time of Event (Mountain Time)","value":"18:56:39"},{"id":151,"name":"Denver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607</v>
      </c>
      <c r="B196" s="7">
        <v>4044</v>
      </c>
      <c r="C196" s="24" t="s">
        <v>106</v>
      </c>
      <c r="D196" s="24" t="s">
        <v>608</v>
      </c>
      <c r="E196" s="15">
        <v>42644.791261574072</v>
      </c>
      <c r="F196" s="15">
        <v>42644.806458333333</v>
      </c>
      <c r="G196" s="7">
        <v>1</v>
      </c>
      <c r="H196" s="15" t="s">
        <v>609</v>
      </c>
      <c r="I196" s="15">
        <v>42644.815787037034</v>
      </c>
      <c r="J196" s="7">
        <v>0</v>
      </c>
      <c r="K196" s="117" t="str">
        <f t="shared" si="44"/>
        <v>4043/4044</v>
      </c>
      <c r="L196" s="24" t="str">
        <f>VLOOKUP(A196,'Trips&amp;Operators'!$C$1:$E$10000,3,FALSE)</f>
        <v>HILLS</v>
      </c>
      <c r="M196" s="6">
        <f t="shared" si="45"/>
        <v>9.3287037016125396E-3</v>
      </c>
      <c r="N196" s="7">
        <f t="shared" si="63"/>
        <v>13.433333330322057</v>
      </c>
      <c r="O196" s="7"/>
      <c r="P196" s="7"/>
      <c r="Q196" s="25"/>
      <c r="R196" s="25"/>
      <c r="S196" s="37">
        <f t="shared" si="62"/>
        <v>1</v>
      </c>
      <c r="T196" s="52" t="str">
        <f t="shared" si="46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17:59:25-0600',mode:absolute,to:'2016-10-01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54" t="str">
        <f t="shared" si="48"/>
        <v>N</v>
      </c>
      <c r="X196" s="164">
        <f t="shared" si="61"/>
        <v>1</v>
      </c>
      <c r="Y196" s="69">
        <f t="shared" si="49"/>
        <v>0.1018</v>
      </c>
      <c r="Z196" s="69">
        <f t="shared" si="50"/>
        <v>5.8910999999999998</v>
      </c>
      <c r="AA196" s="69">
        <f t="shared" si="51"/>
        <v>5.7892999999999999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2"/>
        <v>1827-01</v>
      </c>
      <c r="AE196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96" s="92" t="str">
        <f t="shared" si="54"/>
        <v>"C:\Program Files (x86)\AstroGrep\AstroGrep.exe" /spath="%USERPROFILE%\AppData\Local\Temp\OnboardLogs" /stypes="app*4044*20161002*" /stext=" 01:.+((SYSTEM_STATE.+slice.+state.+changed )|(ment ac)|(system.+state.+changed )|(\[timeout)|(PRM\|1\|D)|(kpr)|(kdp)|(\|lc)|(penalty))" /e /r /s</v>
      </c>
      <c r="AG196" s="1" t="str">
        <f t="shared" si="55"/>
        <v>NW</v>
      </c>
      <c r="AH196" s="96" t="str">
        <f t="shared" si="56"/>
        <v>"%USERPROFILE%\Documents\GitHub\eaglep3\Utilities\RefineRTDCRunTimes.py" --tripid 1827-01 --locoid 4044 --swversion DE.1.0.7.0 --startMP 204:1018 --initTime 2016-10-01T18:59:25 --startdatetime 2016-10-01T19:21:18 --delay 1 --endMP 300:58911 --enddatetime 2016-10-01T19:34:44 --enforcementcount 0 &gt;&gt;C:\Users\stu\Documents\GitHub\eaglep3-reporting\EC\2016-10-01-refined-times.txt</v>
      </c>
      <c r="AI196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{"issue":{"subject":"","project_id":79,"tracker_id":40,"status_id":1,"priority_id":2,"assigned_to_id":23,"start_date":"2016-10-01","description":"","custom_fields":[{"id":1,"name":"Subdivision","value":"NW"},{"id":4,"name":"Milepost","value":"5.8911"},{"id":17,"name":"Train ID","value":"1827-01"},{"id":16,"name":"Locomotive ID","value":"4044"},{"id":130,"name":"Impact","value":""},{"id":150,"name":"Time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610</v>
      </c>
      <c r="B197" s="7">
        <v>4043</v>
      </c>
      <c r="C197" s="24" t="s">
        <v>106</v>
      </c>
      <c r="D197" s="24" t="s">
        <v>611</v>
      </c>
      <c r="E197" s="15">
        <v>42644.816828703704</v>
      </c>
      <c r="F197" s="15">
        <v>42644.818761574075</v>
      </c>
      <c r="G197" s="7">
        <v>1</v>
      </c>
      <c r="H197" s="15" t="s">
        <v>612</v>
      </c>
      <c r="I197" s="15">
        <v>42644.831458333334</v>
      </c>
      <c r="J197" s="7">
        <v>0</v>
      </c>
      <c r="K197" s="117" t="str">
        <f t="shared" si="44"/>
        <v>4043/4044</v>
      </c>
      <c r="L197" s="24" t="str">
        <f>VLOOKUP(A197,'Trips&amp;Operators'!$C$1:$E$10000,3,FALSE)</f>
        <v>HILLS</v>
      </c>
      <c r="M197" s="6">
        <f t="shared" si="45"/>
        <v>1.2696759258687962E-2</v>
      </c>
      <c r="N197" s="7">
        <f t="shared" si="63"/>
        <v>18.283333332510665</v>
      </c>
      <c r="O197" s="7"/>
      <c r="P197" s="7"/>
      <c r="Q197" s="25"/>
      <c r="R197" s="25"/>
      <c r="S197" s="37">
        <f t="shared" si="62"/>
        <v>1</v>
      </c>
      <c r="T197" s="52" t="str">
        <f t="shared" si="46"/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18:36:14-0600',mode:absolute,to:'2016-10-01 20:57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7" s="54" t="str">
        <f t="shared" si="48"/>
        <v>N</v>
      </c>
      <c r="X197" s="164">
        <f t="shared" si="61"/>
        <v>1</v>
      </c>
      <c r="Y197" s="69">
        <f t="shared" si="49"/>
        <v>5.8589000000000002</v>
      </c>
      <c r="Z197" s="69">
        <f t="shared" si="50"/>
        <v>6.8699999999999997E-2</v>
      </c>
      <c r="AA197" s="69">
        <f t="shared" si="51"/>
        <v>5.7902000000000005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2"/>
        <v>1828-01</v>
      </c>
      <c r="AE197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97" s="92" t="str">
        <f t="shared" si="54"/>
        <v>"C:\Program Files (x86)\AstroGrep\AstroGrep.exe" /spath="%USERPROFILE%\AppData\Local\Temp\OnboardLogs" /stypes="app*4043*20161002*" /stext=" 01:.+((SYSTEM_STATE.+slice.+state.+changed )|(ment ac)|(system.+state.+changed )|(\[timeout)|(PRM\|1\|D)|(kpr)|(kdp)|(\|lc)|(penalty))" /e /r /s</v>
      </c>
      <c r="AG197" s="1" t="str">
        <f t="shared" si="55"/>
        <v>NW</v>
      </c>
      <c r="AH197" s="96" t="str">
        <f t="shared" si="56"/>
        <v>"%USERPROFILE%\Documents\GitHub\eaglep3\Utilities\RefineRTDCRunTimes.py" --tripid 1828-01 --locoid 4043 --swversion DE.1.0.7.0 --startMP 300:58589 --initTime 2016-10-01T19:36:14 --startdatetime 2016-10-01T19:39:01 --delay 1 --endMP 204:687 --enddatetime 2016-10-01T19:57:18 --enforcementcount 0 &gt;&gt;C:\Users\stu\Documents\GitHub\eaglep3-reporting\EC\2016-10-01-refined-times.txt</v>
      </c>
      <c r="AI197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{"issue":{"subject":"","project_id":79,"tracker_id":40,"status_id":1,"priority_id":2,"assigned_to_id":23,"start_date":"2016-10-01","description":"","custom_fields":[{"id":1,"name":"Subdivision","value":"NW"},{"id":4,"name":"Milepost","value":"0.0687"},{"id":17,"name":"Train ID","value":"1828-01"},{"id":16,"name":"Locomotive ID","value":"4043"},{"id":130,"name":"Impact","value":""},{"id":150,"name":"Time of Event (Mountain Time)","value":"19:57:18"},{"id":151,"name":"Denver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613</v>
      </c>
      <c r="B198" s="7">
        <v>4044</v>
      </c>
      <c r="C198" s="24" t="s">
        <v>106</v>
      </c>
      <c r="D198" s="24" t="s">
        <v>614</v>
      </c>
      <c r="E198" s="15">
        <v>42644.84103009259</v>
      </c>
      <c r="F198" s="15">
        <v>42644.848124999997</v>
      </c>
      <c r="G198" s="7">
        <v>1</v>
      </c>
      <c r="H198" s="15" t="s">
        <v>583</v>
      </c>
      <c r="I198" s="15">
        <v>42644.857870370368</v>
      </c>
      <c r="J198" s="7">
        <v>0</v>
      </c>
      <c r="K198" s="117" t="str">
        <f t="shared" si="44"/>
        <v>4043/4044</v>
      </c>
      <c r="L198" s="24" t="str">
        <f>VLOOKUP(A198,'Trips&amp;Operators'!$C$1:$E$10000,3,FALSE)</f>
        <v>HILLS</v>
      </c>
      <c r="M198" s="6">
        <f t="shared" si="45"/>
        <v>9.7453703710925765E-3</v>
      </c>
      <c r="N198" s="7">
        <f t="shared" si="63"/>
        <v>14.03333333437331</v>
      </c>
      <c r="O198" s="7"/>
      <c r="P198" s="7"/>
      <c r="Q198" s="25"/>
      <c r="R198" s="25"/>
      <c r="S198" s="37">
        <f t="shared" si="62"/>
        <v>1</v>
      </c>
      <c r="T198" s="52" t="str">
        <f t="shared" si="46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19:11:05-0600',mode:absolute,to:'2016-10-01 21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8" s="54" t="str">
        <f t="shared" si="48"/>
        <v>N</v>
      </c>
      <c r="X198" s="164">
        <f t="shared" si="61"/>
        <v>1</v>
      </c>
      <c r="Y198" s="69">
        <f t="shared" si="49"/>
        <v>9.8799999999999999E-2</v>
      </c>
      <c r="Z198" s="69">
        <f t="shared" si="50"/>
        <v>5.8987999999999996</v>
      </c>
      <c r="AA198" s="69">
        <f t="shared" si="51"/>
        <v>5.8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2"/>
        <v>1829-01</v>
      </c>
      <c r="AE198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198" s="92" t="str">
        <f t="shared" si="54"/>
        <v>"C:\Program Files (x86)\AstroGrep\AstroGrep.exe" /spath="%USERPROFILE%\AppData\Local\Temp\OnboardLogs" /stypes="app*4044*20161002*" /stext=" 02:.+((SYSTEM_STATE.+slice.+state.+changed )|(ment ac)|(system.+state.+changed )|(\[timeout)|(PRM\|1\|D)|(kpr)|(kdp)|(\|lc)|(penalty))" /e /r /s</v>
      </c>
      <c r="AG198" s="1" t="str">
        <f t="shared" si="55"/>
        <v>NW</v>
      </c>
      <c r="AH198" s="96" t="str">
        <f t="shared" si="56"/>
        <v>"%USERPROFILE%\Documents\GitHub\eaglep3\Utilities\RefineRTDCRunTimes.py" --tripid 1829-01 --locoid 4044 --swversion DE.1.0.7.0 --startMP 204:988 --initTime 2016-10-01T20:11:05 --startdatetime 2016-10-01T20:21:18 --delay 1 --endMP 300:58988 --enddatetime 2016-10-01T20:35:20 --enforcementcount 0 &gt;&gt;C:\Users\stu\Documents\GitHub\eaglep3-reporting\EC\2016-10-01-refined-times.txt</v>
      </c>
      <c r="AI198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{"issue":{"subject":"","project_id":79,"tracker_id":40,"status_id":1,"priority_id":2,"assigned_to_id":23,"start_date":"2016-10-01","description":"","custom_fields":[{"id":1,"name":"Subdivision","value":"NW"},{"id":4,"name":"Milepost","value":"5.8988"},{"id":17,"name":"Train ID","value":"1829-01"},{"id":16,"name":"Locomotive ID","value":"4044"},{"id":130,"name":"Impact","value":""},{"id":150,"name":"Time of Event (Mountain Time)","value":"20:35:20"},{"id":151,"name":"Denver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616</v>
      </c>
      <c r="B199" s="7">
        <v>4043</v>
      </c>
      <c r="C199" s="24" t="s">
        <v>106</v>
      </c>
      <c r="D199" s="24" t="s">
        <v>585</v>
      </c>
      <c r="E199" s="15">
        <v>42644.8591087963</v>
      </c>
      <c r="F199" s="15">
        <v>42644.860891203702</v>
      </c>
      <c r="G199" s="7">
        <v>1</v>
      </c>
      <c r="H199" s="15" t="s">
        <v>372</v>
      </c>
      <c r="I199" s="15">
        <v>42644.871469907404</v>
      </c>
      <c r="J199" s="7">
        <v>0</v>
      </c>
      <c r="K199" s="117" t="str">
        <f t="shared" si="44"/>
        <v>4043/4044</v>
      </c>
      <c r="L199" s="24" t="str">
        <f>VLOOKUP(A199,'Trips&amp;Operators'!$C$1:$E$10000,3,FALSE)</f>
        <v>HILLS</v>
      </c>
      <c r="M199" s="6">
        <f t="shared" si="45"/>
        <v>1.0578703702776693E-2</v>
      </c>
      <c r="N199" s="7">
        <f t="shared" si="63"/>
        <v>15.233333331998438</v>
      </c>
      <c r="O199" s="7"/>
      <c r="P199" s="7"/>
      <c r="Q199" s="25"/>
      <c r="R199" s="25"/>
      <c r="S199" s="37">
        <f t="shared" si="62"/>
        <v>1</v>
      </c>
      <c r="T199" s="52" t="str">
        <f t="shared" si="46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19:37:07-0600',mode:absolute,to:'2016-10-01 21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9" s="54" t="str">
        <f t="shared" si="48"/>
        <v>N</v>
      </c>
      <c r="X199" s="164">
        <f t="shared" si="61"/>
        <v>1</v>
      </c>
      <c r="Y199" s="69">
        <f t="shared" si="49"/>
        <v>5.867</v>
      </c>
      <c r="Z199" s="69">
        <f t="shared" si="50"/>
        <v>6.9400000000000003E-2</v>
      </c>
      <c r="AA199" s="69">
        <f t="shared" si="51"/>
        <v>5.7976000000000001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2"/>
        <v>1830-01</v>
      </c>
      <c r="AE199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199" s="92" t="str">
        <f t="shared" si="54"/>
        <v>"C:\Program Files (x86)\AstroGrep\AstroGrep.exe" /spath="%USERPROFILE%\AppData\Local\Temp\OnboardLogs" /stypes="app*4043*20161002*" /stext=" 02:.+((SYSTEM_STATE.+slice.+state.+changed )|(ment ac)|(system.+state.+changed )|(\[timeout)|(PRM\|1\|D)|(kpr)|(kdp)|(\|lc)|(penalty))" /e /r /s</v>
      </c>
      <c r="AG199" s="1" t="str">
        <f t="shared" si="55"/>
        <v>NW</v>
      </c>
      <c r="AH199" s="96" t="str">
        <f t="shared" si="56"/>
        <v>"%USERPROFILE%\Documents\GitHub\eaglep3\Utilities\RefineRTDCRunTimes.py" --tripid 1830-01 --locoid 4043 --swversion DE.1.0.7.0 --startMP 300:58670 --initTime 2016-10-01T20:37:07 --startdatetime 2016-10-01T20:39:41 --delay 1 --endMP 204:694 --enddatetime 2016-10-01T20:54:55 --enforcementcount 0 &gt;&gt;C:\Users\stu\Documents\GitHub\eaglep3-reporting\EC\2016-10-01-refined-times.txt</v>
      </c>
      <c r="AI199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{"issue":{"subject":"","project_id":79,"tracker_id":40,"status_id":1,"priority_id":2,"assigned_to_id":23,"start_date":"2016-10-01","description":"","custom_fields":[{"id":1,"name":"Subdivision","value":"NW"},{"id":4,"name":"Milepost","value":"0.0694"},{"id":17,"name":"Train ID","value":"1830-01"},{"id":16,"name":"Locomotive ID","value":"4043"},{"id":130,"name":"Impact","value":""},{"id":150,"name":"Time of Event (Mountain Time)","value":"20:54:55"},{"id":151,"name":"Denver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617</v>
      </c>
      <c r="B200" s="7">
        <v>4044</v>
      </c>
      <c r="C200" s="24" t="s">
        <v>106</v>
      </c>
      <c r="D200" s="24" t="s">
        <v>381</v>
      </c>
      <c r="E200" s="15">
        <v>42644.872719907406</v>
      </c>
      <c r="F200" s="15">
        <v>42644.889791666668</v>
      </c>
      <c r="G200" s="7">
        <v>1</v>
      </c>
      <c r="H200" s="15" t="s">
        <v>618</v>
      </c>
      <c r="I200" s="15">
        <v>42644.901238425926</v>
      </c>
      <c r="J200" s="7">
        <v>0</v>
      </c>
      <c r="K200" s="117" t="str">
        <f t="shared" si="44"/>
        <v>4043/4044</v>
      </c>
      <c r="L200" s="24" t="str">
        <f>VLOOKUP(A200,'Trips&amp;Operators'!$C$1:$E$10000,3,FALSE)</f>
        <v>HILLS</v>
      </c>
      <c r="M200" s="6">
        <f t="shared" si="45"/>
        <v>1.1446759257523809E-2</v>
      </c>
      <c r="N200" s="7">
        <f t="shared" si="63"/>
        <v>16.483333330834284</v>
      </c>
      <c r="O200" s="7"/>
      <c r="P200" s="7"/>
      <c r="Q200" s="25"/>
      <c r="R200" s="25"/>
      <c r="S200" s="37">
        <f t="shared" si="62"/>
        <v>1</v>
      </c>
      <c r="T200" s="52" t="str">
        <f t="shared" si="46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19:56:43-0600',mode:absolute,to:'2016-10-01 22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0" s="54" t="str">
        <f t="shared" si="48"/>
        <v>N</v>
      </c>
      <c r="X200" s="164">
        <f t="shared" ref="X200:X203" si="64">VALUE(LEFT(AD200,4))-VALUE(LEFT(AD199,4))</f>
        <v>1</v>
      </c>
      <c r="Y200" s="69">
        <f t="shared" si="49"/>
        <v>9.64E-2</v>
      </c>
      <c r="Z200" s="69">
        <f t="shared" si="50"/>
        <v>5.8967000000000001</v>
      </c>
      <c r="AA200" s="69">
        <f t="shared" si="51"/>
        <v>5.8003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2"/>
        <v>1831-01</v>
      </c>
      <c r="AE200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200" s="92" t="str">
        <f t="shared" si="54"/>
        <v>"C:\Program Files (x86)\AstroGrep\AstroGrep.exe" /spath="%USERPROFILE%\AppData\Local\Temp\OnboardLogs" /stypes="app*4044*20161002*" /stext=" 03:.+((SYSTEM_STATE.+slice.+state.+changed )|(ment ac)|(system.+state.+changed )|(\[timeout)|(PRM\|1\|D)|(kpr)|(kdp)|(\|lc)|(penalty))" /e /r /s</v>
      </c>
      <c r="AG200" s="1" t="str">
        <f t="shared" si="55"/>
        <v>NW</v>
      </c>
      <c r="AH200" s="96" t="str">
        <f t="shared" si="56"/>
        <v>"%USERPROFILE%\Documents\GitHub\eaglep3\Utilities\RefineRTDCRunTimes.py" --tripid 1831-01 --locoid 4044 --swversion DE.1.0.7.0 --startMP 204:964 --initTime 2016-10-01T20:56:43 --startdatetime 2016-10-01T21:21:18 --delay 1 --endMP 300:58967 --enddatetime 2016-10-01T21:37:47 --enforcementcount 0 &gt;&gt;C:\Users\stu\Documents\GitHub\eaglep3-reporting\EC\2016-10-01-refined-times.txt</v>
      </c>
      <c r="AI200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{"issue":{"subject":"","project_id":79,"tracker_id":40,"status_id":1,"priority_id":2,"assigned_to_id":23,"start_date":"2016-10-01","description":"","custom_fields":[{"id":1,"name":"Subdivision","value":"NW"},{"id":4,"name":"Milepost","value":"5.8967"},{"id":17,"name":"Train ID","value":"1831-01"},{"id":16,"name":"Locomotive ID","value":"4044"},{"id":130,"name":"Impact","value":""},{"id":150,"name":"Time of Event (Mountain Time)","value":"21:37:47"},{"id":151,"name":"Denver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620</v>
      </c>
      <c r="B201" s="7">
        <v>4043</v>
      </c>
      <c r="C201" s="24" t="s">
        <v>106</v>
      </c>
      <c r="D201" s="24" t="s">
        <v>621</v>
      </c>
      <c r="E201" s="15">
        <v>42644.902430555558</v>
      </c>
      <c r="F201" s="15">
        <v>42644.904039351852</v>
      </c>
      <c r="G201" s="7">
        <v>1</v>
      </c>
      <c r="H201" s="15" t="s">
        <v>559</v>
      </c>
      <c r="I201" s="15">
        <v>42644.913032407407</v>
      </c>
      <c r="J201" s="7">
        <v>0</v>
      </c>
      <c r="K201" s="117" t="str">
        <f t="shared" si="44"/>
        <v>4043/4044</v>
      </c>
      <c r="L201" s="24" t="str">
        <f>VLOOKUP(A201,'Trips&amp;Operators'!$C$1:$E$10000,3,FALSE)</f>
        <v>HILLS</v>
      </c>
      <c r="M201" s="6">
        <f t="shared" si="45"/>
        <v>8.9930555550381541E-3</v>
      </c>
      <c r="N201" s="7">
        <f t="shared" si="63"/>
        <v>12.949999999254942</v>
      </c>
      <c r="O201" s="7"/>
      <c r="P201" s="7"/>
      <c r="Q201" s="25"/>
      <c r="R201" s="25"/>
      <c r="S201" s="37">
        <f t="shared" si="62"/>
        <v>1</v>
      </c>
      <c r="T201" s="52" t="str">
        <f t="shared" si="46"/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20:39:30-0600',mode:absolute,to:'2016-10-01 22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01" s="54" t="str">
        <f t="shared" si="48"/>
        <v>N</v>
      </c>
      <c r="X201" s="164">
        <f t="shared" si="64"/>
        <v>1</v>
      </c>
      <c r="Y201" s="69">
        <f t="shared" si="49"/>
        <v>5.8655999999999997</v>
      </c>
      <c r="Z201" s="69">
        <f t="shared" si="50"/>
        <v>0.1069</v>
      </c>
      <c r="AA201" s="69">
        <f t="shared" si="51"/>
        <v>5.7586999999999993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2"/>
        <v>1832-01</v>
      </c>
      <c r="AE201" s="95" t="str">
        <f t="shared" si="53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201" s="92" t="str">
        <f t="shared" si="54"/>
        <v>"C:\Program Files (x86)\AstroGrep\AstroGrep.exe" /spath="%USERPROFILE%\AppData\Local\Temp\OnboardLogs" /stypes="app*4043*20161002*" /stext=" 03:.+((SYSTEM_STATE.+slice.+state.+changed )|(ment ac)|(system.+state.+changed )|(\[timeout)|(PRM\|1\|D)|(kpr)|(kdp)|(\|lc)|(penalty))" /e /r /s</v>
      </c>
      <c r="AG201" s="1" t="str">
        <f t="shared" si="55"/>
        <v>NW</v>
      </c>
      <c r="AH201" s="96" t="str">
        <f t="shared" si="56"/>
        <v>"%USERPROFILE%\Documents\GitHub\eaglep3\Utilities\RefineRTDCRunTimes.py" --tripid 1832-01 --locoid 4043 --swversion DE.1.0.7.0 --startMP 300:58656 --initTime 2016-10-01T21:39:30 --startdatetime 2016-10-01T21:41:49 --delay 1 --endMP 204:1069 --enddatetime 2016-10-01T21:54:46 --enforcementcount 0 &gt;&gt;C:\Users\stu\Documents\GitHub\eaglep3-reporting\EC\2016-10-01-refined-times.txt</v>
      </c>
      <c r="AI201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{"issue":{"subject":"","project_id":79,"tracker_id":40,"status_id":1,"priority_id":2,"assigned_to_id":23,"start_date":"2016-10-01","description":"","custom_fields":[{"id":1,"name":"Subdivision","value":"NW"},{"id":4,"name":"Milepost","value":"0.1069"},{"id":17,"name":"Train ID","value":"1832-01"},{"id":16,"name":"Locomotive ID","value":"4043"},{"id":130,"name":"Impact","value":""},{"id":150,"name":"Time of Event (Mountain Time)","value":"21:54:46"},{"id":151,"name":"Denver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622</v>
      </c>
      <c r="B202" s="7">
        <v>4044</v>
      </c>
      <c r="C202" s="24" t="s">
        <v>106</v>
      </c>
      <c r="D202" s="24" t="s">
        <v>623</v>
      </c>
      <c r="E202" s="15">
        <v>42644.925775462965</v>
      </c>
      <c r="F202" s="15">
        <v>42644.931747685187</v>
      </c>
      <c r="G202" s="7">
        <v>1</v>
      </c>
      <c r="H202" s="15" t="s">
        <v>318</v>
      </c>
      <c r="I202" s="15">
        <v>42644.942175925928</v>
      </c>
      <c r="J202" s="7">
        <v>0</v>
      </c>
      <c r="K202" s="117" t="str">
        <f t="shared" si="44"/>
        <v>4043/4044</v>
      </c>
      <c r="L202" s="24" t="str">
        <f>VLOOKUP(A202,'Trips&amp;Operators'!$C$1:$E$10000,3,FALSE)</f>
        <v>HILLS</v>
      </c>
      <c r="M202" s="6">
        <f t="shared" si="45"/>
        <v>1.0428240741021E-2</v>
      </c>
      <c r="N202" s="7">
        <f t="shared" si="63"/>
        <v>15.01666666707024</v>
      </c>
      <c r="O202" s="7"/>
      <c r="P202" s="7"/>
      <c r="Q202" s="25"/>
      <c r="R202" s="25"/>
      <c r="S202" s="37">
        <f t="shared" si="62"/>
        <v>1</v>
      </c>
      <c r="T202" s="52" t="str">
        <f t="shared" si="46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21:13:07-0600',mode:absolute,to:'2016-10-01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2" s="54" t="str">
        <f t="shared" si="48"/>
        <v>N</v>
      </c>
      <c r="X202" s="164">
        <f t="shared" si="64"/>
        <v>1</v>
      </c>
      <c r="Y202" s="69">
        <f t="shared" si="49"/>
        <v>0.13639999999999999</v>
      </c>
      <c r="Z202" s="69">
        <f t="shared" si="50"/>
        <v>5.8940999999999999</v>
      </c>
      <c r="AA202" s="69">
        <f t="shared" si="51"/>
        <v>5.7576999999999998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2"/>
        <v>1833-01</v>
      </c>
      <c r="AE202" s="95" t="str">
        <f t="shared" si="53"/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AF202" s="92" t="str">
        <f t="shared" si="54"/>
        <v>"C:\Program Files (x86)\AstroGrep\AstroGrep.exe" /spath="%USERPROFILE%\AppData\Local\Temp\OnboardLogs" /stypes="app*4044*20161002*" /stext=" 04:.+((SYSTEM_STATE.+slice.+state.+changed )|(ment ac)|(system.+state.+changed )|(\[timeout)|(PRM\|1\|D)|(kpr)|(kdp)|(\|lc)|(penalty))" /e /r /s</v>
      </c>
      <c r="AG202" s="1" t="str">
        <f t="shared" si="55"/>
        <v>NW</v>
      </c>
      <c r="AH202" s="96" t="str">
        <f t="shared" si="56"/>
        <v>"%USERPROFILE%\Documents\GitHub\eaglep3\Utilities\RefineRTDCRunTimes.py" --tripid 1833-01 --locoid 4044 --swversion DE.1.0.7.0 --startMP 204:1364 --initTime 2016-10-01T22:13:07 --startdatetime 2016-10-01T22:21:43 --delay 1 --endMP 300:58941 --enddatetime 2016-10-01T22:36:44 --enforcementcount 0 &gt;&gt;C:\Users\stu\Documents\GitHub\eaglep3-reporting\EC\2016-10-01-refined-times.txt</v>
      </c>
      <c r="AI202" s="130" t="str">
        <f t="shared" si="57"/>
        <v>echo {"issue":{"subject":"","project_id":79,"tracker_id":40,"status_id":1,"priority_id":2,"assigned_to_id":23,"start_date":"2016-10-01","description":"","custom_fields":[{"id":1,"name":"Subdivision","value":"NW"},{"id":4,"name":"Milepost","value":"5.8941"},{"id":17,"name":"Train ID","value":"1833-01"},{"id":16,"name":"Locomotive ID","value":"4044"},{"id":130,"name":"Impact","value":""},{"id":150,"name":"Time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710</v>
      </c>
      <c r="B203" s="7">
        <v>4014</v>
      </c>
      <c r="C203" s="24" t="s">
        <v>106</v>
      </c>
      <c r="D203" s="24" t="s">
        <v>238</v>
      </c>
      <c r="E203" s="15">
        <v>42644.777418981481</v>
      </c>
      <c r="F203" s="15">
        <v>42644.779768518521</v>
      </c>
      <c r="G203" s="7">
        <v>1</v>
      </c>
      <c r="H203" s="15" t="s">
        <v>619</v>
      </c>
      <c r="I203" s="15">
        <v>42644.786296296297</v>
      </c>
      <c r="J203" s="7">
        <v>0</v>
      </c>
      <c r="K203" s="117" t="str">
        <f t="shared" si="44"/>
        <v>4013/4014</v>
      </c>
      <c r="L203" s="24" t="str">
        <f>VLOOKUP(A203,'Trips&amp;Operators'!$C$1:$E$10000,3,FALSE)</f>
        <v>SHOOK</v>
      </c>
      <c r="M203" s="6">
        <f t="shared" si="45"/>
        <v>6.5277777757728472E-3</v>
      </c>
      <c r="N203" s="7">
        <f t="shared" si="63"/>
        <v>9.3999999971129</v>
      </c>
      <c r="O203" s="7"/>
      <c r="P203" s="7"/>
      <c r="Q203" s="25"/>
      <c r="R203" s="25"/>
      <c r="S203" s="37">
        <f t="shared" si="62"/>
        <v>1</v>
      </c>
      <c r="T203" s="52" t="str">
        <f t="shared" si="46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17:39:29-0600',mode:absolute,to:'2016-10-01 19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48"/>
        <v>Y</v>
      </c>
      <c r="X203" s="164">
        <f t="shared" si="64"/>
        <v>-1530</v>
      </c>
      <c r="Y203" s="69">
        <f t="shared" si="49"/>
        <v>4.6399999999999997E-2</v>
      </c>
      <c r="Z203" s="69">
        <f t="shared" si="50"/>
        <v>2.3300999999999998</v>
      </c>
      <c r="AA203" s="69">
        <f t="shared" si="51"/>
        <v>2.2836999999999996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2"/>
        <v>0303-01</v>
      </c>
      <c r="AE203" s="95" t="str">
        <f t="shared" si="53"/>
        <v>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 &amp; aws s3 cp s3://rtdc.mdm.uploadarchive.raw/RTDC4014/ "%USERPROFILE%\AppData\Local\Temp\OnboardLogs"\RTDC4014\2016-10-02 --exclude "*" --recursive --include "*20161002*" &amp; "%USERPROFILE%\Documents\GitHub\mrs-test-scripts\Headless Mode &amp; Sideloading\WalkAndUnGZ.bat" "%USERPROFILE%\AppData\Local\Temp\OnboardLogs"\RTDC4014\2016-10-02</v>
      </c>
      <c r="AF203" s="92" t="str">
        <f t="shared" si="54"/>
        <v>"C:\Program Files (x86)\AstroGrep\AstroGrep.exe" /spath="%USERPROFILE%\AppData\Local\Temp\OnboardLogs" /stypes="app*4014*20161002*" /stext=" 00:.+((SYSTEM_STATE.+slice.+state.+changed )|(ment ac)|(system.+state.+changed )|(\[timeout)|(PRM\|1\|D)|(kpr)|(kdp)|(\|lc)|(penalty))" /e /r /s</v>
      </c>
      <c r="AG203" s="1" t="str">
        <f t="shared" si="55"/>
        <v>Other</v>
      </c>
      <c r="AH203" s="96" t="str">
        <f t="shared" ref="AH203:AH217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303-01 --locoid 4014 --swversion DE.1.0.7.0 --startMP 204:464 --initTime 2016-10-01T18:39:29 --startdatetime 2016-10-01T18:42:52 --delay 1 --endMP 300:23301 --enddatetime 2016-10-01T18:52:16 --enforcementcount 0 &gt;&gt;C:\Users\stu\Documents\GitHub\eaglep3-reporting\EC\2016-10-01-refined-times.txt</v>
      </c>
      <c r="AI203" s="130" t="str">
        <f t="shared" ref="AI203:AI217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{"issue":{"subject":"","project_id":79,"tracker_id":40,"status_id":1,"priority_id":2,"assigned_to_id":23,"start_date":"2016-10-01","description":"","custom_fields":[{"id":1,"name":"Subdivision","value":"Other"},{"id":4,"name":"Milepost","value":"2.3301"},{"id":17,"name":"Train ID","value":"303-01"},{"id":16,"name":"Locomotive ID","value":"4014"},{"id":130,"name":"Impact","value":""},{"id":150,"name":"Time of Event (Mountain Time)","value":"18:52:16"},{"id":151,"name":"Denver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711</v>
      </c>
      <c r="B204" s="7">
        <v>4003</v>
      </c>
      <c r="C204" s="24" t="s">
        <v>106</v>
      </c>
      <c r="D204" s="24" t="s">
        <v>712</v>
      </c>
      <c r="E204" s="15">
        <v>42644.805671296293</v>
      </c>
      <c r="F204" s="15">
        <v>42644.808194444442</v>
      </c>
      <c r="G204" s="7">
        <v>1</v>
      </c>
      <c r="H204" s="15" t="s">
        <v>713</v>
      </c>
      <c r="I204" s="15">
        <v>42644.813958333332</v>
      </c>
      <c r="J204" s="7">
        <v>0</v>
      </c>
      <c r="K204" s="117" t="str">
        <f t="shared" si="44"/>
        <v>4003/4004</v>
      </c>
      <c r="L204" s="24" t="str">
        <f>VLOOKUP(A204,'Trips&amp;Operators'!$C$1:$E$10000,3,FALSE)</f>
        <v>CLARK</v>
      </c>
      <c r="M204" s="6">
        <f t="shared" si="45"/>
        <v>5.7638888902147301E-3</v>
      </c>
      <c r="N204" s="7">
        <f t="shared" si="63"/>
        <v>8.3000000019092113</v>
      </c>
      <c r="O204" s="7"/>
      <c r="P204" s="7"/>
      <c r="Q204" s="25"/>
      <c r="R204" s="25"/>
      <c r="S204" s="37">
        <f t="shared" si="62"/>
        <v>1</v>
      </c>
      <c r="T204" s="52" t="str">
        <f t="shared" si="46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47"/>
        <v>https://search-rtdc-monitor-bjffxe2xuh6vdkpspy63sjmuny.us-east-1.es.amazonaws.com/_plugin/kibana/#/discover/Steve-Slow-Train-Analysis-(2080s-and-2083s)?_g=(refreshInterval:(display:Off,section:0,value:0),time:(from:'2016-10-01 18:20:10-0600',mode:absolute,to:'2016-10-01 20:32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4" s="54" t="str">
        <f t="shared" si="48"/>
        <v>Y</v>
      </c>
      <c r="X204" s="164">
        <f t="shared" ref="X204:X217" si="67">VALUE(LEFT(AD204,4))-VALUE(LEFT(AD203,4))</f>
        <v>2</v>
      </c>
      <c r="Y204" s="69">
        <f t="shared" si="49"/>
        <v>0.05</v>
      </c>
      <c r="Z204" s="69">
        <f t="shared" si="50"/>
        <v>2.3298999999999999</v>
      </c>
      <c r="AA204" s="69">
        <f t="shared" si="51"/>
        <v>2.2799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2"/>
        <v>0305-01</v>
      </c>
      <c r="AE204" s="95" t="str">
        <f t="shared" si="53"/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AF204" s="92" t="str">
        <f t="shared" si="54"/>
        <v>"C:\Program Files (x86)\AstroGrep\AstroGrep.exe" /spath="%USERPROFILE%\AppData\Local\Temp\OnboardLogs" /stypes="app*4003*20161002*" /stext=" 01:.+((SYSTEM_STATE.+slice.+state.+changed )|(ment ac)|(system.+state.+changed )|(\[timeout)|(PRM\|1\|D)|(kpr)|(kdp)|(\|lc)|(penalty))" /e /r /s</v>
      </c>
      <c r="AG204" s="1" t="str">
        <f t="shared" si="55"/>
        <v>Other</v>
      </c>
      <c r="AH204" s="96" t="str">
        <f t="shared" si="65"/>
        <v>"%USERPROFILE%\Documents\GitHub\eaglep3\Utilities\RefineRTDCRunTimes.py" --tripid 305-01 --locoid 4003 --swversion DE.1.0.7.0 --startMP 204:500 --initTime 2016-10-01T19:20:10 --startdatetime 2016-10-01T19:23:48 --delay 1 --endMP 300:23299 --enddatetime 2016-10-01T19:32:06 --enforcementcount 0 &gt;&gt;C:\Users\stu\Documents\GitHub\eaglep3-reporting\EC\2016-10-01-refined-times.txt</v>
      </c>
      <c r="AI204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{"issue":{"subject":"","project_id":79,"tracker_id":40,"status_id":1,"priority_id":2,"assigned_to_id":23,"start_date":"2016-10-01","description":"","custom_fields":[{"id":1,"name":"Subdivision","value":"Other"},{"id":4,"name":"Milepost","value":"2.3299"},{"id":17,"name":"Train ID","value":"305-01"},{"id":16,"name":"Locomotive ID","value":"4003"},{"id":130,"name":"Impact","value":""},{"id":150,"name":"Time of Event (Mountain Time)","value":"19:32:06"},{"id":151,"name":"Denver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714</v>
      </c>
      <c r="B205" s="7">
        <v>4046</v>
      </c>
      <c r="C205" s="24" t="s">
        <v>106</v>
      </c>
      <c r="D205" s="24" t="s">
        <v>715</v>
      </c>
      <c r="E205" s="15">
        <v>42644.823020833333</v>
      </c>
      <c r="F205" s="15">
        <v>25568.708333333332</v>
      </c>
      <c r="G205" s="7">
        <v>5</v>
      </c>
      <c r="H205" s="15" t="s">
        <v>716</v>
      </c>
      <c r="I205" s="15">
        <v>25568.708333333332</v>
      </c>
      <c r="J205" s="7">
        <v>0</v>
      </c>
      <c r="K205" s="117" t="str">
        <f t="shared" ref="K205:K217" si="68">IF(ISEVEN(B205),(B205-1)&amp;"/"&amp;B205,B205&amp;"/"&amp;(B205+1))</f>
        <v>4045/4046</v>
      </c>
      <c r="L205" s="24" t="str">
        <f>VLOOKUP(A205,'Trips&amp;Operators'!$C$1:$E$10000,3,FALSE)</f>
        <v>STORY</v>
      </c>
      <c r="M205" s="6">
        <f t="shared" ref="M205:M217" si="69">I205-F205</f>
        <v>0</v>
      </c>
      <c r="N205" s="7">
        <f t="shared" si="63"/>
        <v>0</v>
      </c>
      <c r="O205" s="7"/>
      <c r="P205" s="7"/>
      <c r="Q205" s="25"/>
      <c r="R205" s="25"/>
      <c r="S205" s="37">
        <f t="shared" si="62"/>
        <v>1</v>
      </c>
      <c r="T205" s="52" t="str">
        <f t="shared" ref="T205:T217" si="70">IF(ISEVEN(LEFT(AD205,4)),"Southbound","NorthBound")</f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ref="V205:V217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https://search-rtdc-monitor-bjffxe2xuh6vdkpspy63sjmuny.us-east-1.es.amazonaws.com/_plugin/kibana/#/discover/Steve-Slow-Train-Analysis-(2080s-and-2083s)?_g=(refreshInterval:(display:Off,section:0,value:0),time:(from:'2016-10-01 18:45:09-0600',mode:absolute,to:'1969-12-31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5" s="54" t="str">
        <f t="shared" ref="W205:W217" si="72">IF(AA205&lt;IF(AG205="EC",23,5.65),"Y","N")</f>
        <v>Y</v>
      </c>
      <c r="X205" s="164">
        <f t="shared" si="67"/>
        <v>2</v>
      </c>
      <c r="Y205" s="69">
        <f t="shared" ref="Y205:Y217" si="73">RIGHT(D205,LEN(D205)-4)/10000</f>
        <v>5.0900000000000001E-2</v>
      </c>
      <c r="Z205" s="69">
        <f t="shared" ref="Z205:Z217" si="74">RIGHT(H205,LEN(H205)-4)/10000</f>
        <v>2.3302</v>
      </c>
      <c r="AA205" s="69">
        <f t="shared" ref="AA205:AA217" si="75">ABS(Z205-Y205)</f>
        <v>2.2793000000000001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17" si="76">IF(LEN(A205)=6,"0"&amp;A205,A205)</f>
        <v>0307-01</v>
      </c>
      <c r="AE205" s="95" t="str">
        <f t="shared" ref="AE205:AE217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5" s="92" t="str">
        <f t="shared" ref="AF205:AF217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05" s="1" t="str">
        <f t="shared" ref="AG205:AG217" si="79">IFERROR(IF(VALUE(LEFT(AD205,2))&lt;=2,"EC",IF(OR(VALUE(LEFT(AD205,2))=8,VALUE(LEFT(AD205,2))=18),"NW","Other")),"Other")</f>
        <v>Other</v>
      </c>
      <c r="AH205" s="96" t="str">
        <f t="shared" si="65"/>
        <v>"%USERPROFILE%\Documents\GitHub\eaglep3\Utilities\RefineRTDCRunTimes.py" --tripid 307-01 --locoid 4046 --swversion DE.1.0.7.0 --startMP 204:509 --initTime 2016-10-01T19:45:09 --startdatetime 1969-12-31T17:00:00 --delay 5 --endMP 300:23302 --enddatetime 1969-12-31T17:00:00 --enforcementcount 0 &gt;&gt;C:\Users\stu\Documents\GitHub\eaglep3-reporting\EC\2016-10-01-refined-times.txt</v>
      </c>
      <c r="AI205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ID","value":"307-01"},{"id":16,"name":"Locomotive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717</v>
      </c>
      <c r="B206" s="7">
        <v>4011</v>
      </c>
      <c r="C206" s="24" t="s">
        <v>106</v>
      </c>
      <c r="D206" s="24" t="s">
        <v>209</v>
      </c>
      <c r="E206" s="15">
        <v>42645.047951388886</v>
      </c>
      <c r="F206" s="15">
        <v>25568.708333333332</v>
      </c>
      <c r="G206" s="7">
        <v>2</v>
      </c>
      <c r="H206" s="15" t="s">
        <v>316</v>
      </c>
      <c r="I206" s="15">
        <v>25568.708333333332</v>
      </c>
      <c r="J206" s="7">
        <v>0</v>
      </c>
      <c r="K206" s="117" t="str">
        <f t="shared" si="68"/>
        <v>4011/4012</v>
      </c>
      <c r="L206" s="24" t="str">
        <f>VLOOKUP(A206,'Trips&amp;Operators'!$C$1:$E$10000,3,FALSE)</f>
        <v>NEWELL</v>
      </c>
      <c r="M206" s="6">
        <f t="shared" si="69"/>
        <v>0</v>
      </c>
      <c r="N206" s="7">
        <f t="shared" si="63"/>
        <v>0</v>
      </c>
      <c r="O206" s="7"/>
      <c r="P206" s="7"/>
      <c r="Q206" s="25"/>
      <c r="R206" s="25"/>
      <c r="S206" s="37">
        <f t="shared" si="62"/>
        <v>1</v>
      </c>
      <c r="T206" s="52" t="str">
        <f t="shared" si="70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00:09:03-0600',mode:absolute,to:'1969-12-31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6" s="54" t="str">
        <f t="shared" si="72"/>
        <v>Y</v>
      </c>
      <c r="X206" s="164">
        <f t="shared" si="67"/>
        <v>2</v>
      </c>
      <c r="Y206" s="69">
        <f t="shared" si="73"/>
        <v>4.6600000000000003E-2</v>
      </c>
      <c r="Z206" s="69">
        <f t="shared" si="74"/>
        <v>2.3308</v>
      </c>
      <c r="AA206" s="69">
        <f t="shared" si="75"/>
        <v>2.2841999999999998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0309-01</v>
      </c>
      <c r="AE206" s="95" t="str">
        <f t="shared" si="7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92" t="str">
        <f t="shared" si="78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6" s="1" t="str">
        <f t="shared" si="79"/>
        <v>Other</v>
      </c>
      <c r="AH206" s="96" t="str">
        <f t="shared" si="65"/>
        <v>"%USERPROFILE%\Documents\GitHub\eaglep3\Utilities\RefineRTDCRunTimes.py" --tripid 309-01 --locoid 4011 --swversion DE.1.0.7.0 --startMP 204:466 --initTime 2016-10-02T01:09:03 --startdatetime 1969-12-31T17:00:00 --delay 2 --endMP 300:23308 --enddatetime 1969-12-31T17:00:00 --enforcementcount 0 &gt;&gt;C:\Users\stu\Documents\GitHub\eaglep3-reporting\EC\2016-10-01-refined-times.txt</v>
      </c>
      <c r="AI206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ID","value":"309-01"},{"id":16,"name":"Locomotive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718</v>
      </c>
      <c r="B207" s="7">
        <v>4018</v>
      </c>
      <c r="C207" s="24" t="s">
        <v>106</v>
      </c>
      <c r="D207" s="24" t="s">
        <v>201</v>
      </c>
      <c r="E207" s="15">
        <v>42645.071793981479</v>
      </c>
      <c r="F207" s="15">
        <v>42645.073553240742</v>
      </c>
      <c r="G207" s="7">
        <v>1</v>
      </c>
      <c r="H207" s="15" t="s">
        <v>719</v>
      </c>
      <c r="I207" s="15">
        <v>42645.080497685187</v>
      </c>
      <c r="J207" s="7">
        <v>0</v>
      </c>
      <c r="K207" s="117" t="str">
        <f t="shared" si="68"/>
        <v>4017/4018</v>
      </c>
      <c r="L207" s="24" t="str">
        <f>VLOOKUP(A207,'Trips&amp;Operators'!$C$1:$E$10000,3,FALSE)</f>
        <v>CHANDLER</v>
      </c>
      <c r="M207" s="6">
        <f t="shared" si="69"/>
        <v>6.9444444452528842E-3</v>
      </c>
      <c r="N207" s="7">
        <f t="shared" si="63"/>
        <v>10.000000001164153</v>
      </c>
      <c r="O207" s="7"/>
      <c r="P207" s="7"/>
      <c r="Q207" s="25"/>
      <c r="R207" s="25"/>
      <c r="S207" s="37">
        <f t="shared" si="62"/>
        <v>1</v>
      </c>
      <c r="T207" s="52" t="str">
        <f t="shared" si="70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00:43:23-0600',mode:absolute,to:'2016-10-02 02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7" s="54" t="str">
        <f t="shared" si="72"/>
        <v>Y</v>
      </c>
      <c r="X207" s="164">
        <f t="shared" si="67"/>
        <v>2</v>
      </c>
      <c r="Y207" s="69">
        <f t="shared" si="73"/>
        <v>4.7100000000000003E-2</v>
      </c>
      <c r="Z207" s="69">
        <f t="shared" si="74"/>
        <v>2.2204000000000002</v>
      </c>
      <c r="AA207" s="69">
        <f t="shared" si="75"/>
        <v>2.1733000000000002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0311-01</v>
      </c>
      <c r="AE207" s="95" t="str">
        <f t="shared" si="77"/>
        <v>aws s3 cp s3://rtdc.mdm.uploadarchive.raw/RTDC4018/ "%USERPROFILE%\AppData\Local\Temp\OnboardLogs"\RTDC4018\2016-10-02 --exclude "*" --recursive --include "*20161002*" &amp; "%USERPROFILE%\Documents\GitHub\mrs-test-scripts\Headless Mode &amp; Sideloading\WalkAndUnGZ.bat" "%USERPROFILE%\AppData\Local\Temp\OnboardLogs"\RTDC4018\2016-10-02 &amp; aws s3 cp s3://rtdc.mdm.uploadarchive.raw/RTDC4018/ "%USERPROFILE%\AppData\Local\Temp\OnboardLogs"\RTDC4018\2016-10-03 --exclude "*" --recursive --include "*20161003*" &amp; "%USERPROFILE%\Documents\GitHub\mrs-test-scripts\Headless Mode &amp; Sideloading\WalkAndUnGZ.bat" "%USERPROFILE%\AppData\Local\Temp\OnboardLogs"\RTDC4018\2016-10-03</v>
      </c>
      <c r="AF207" s="92" t="str">
        <f t="shared" si="78"/>
        <v>"C:\Program Files (x86)\AstroGrep\AstroGrep.exe" /spath="%USERPROFILE%\AppData\Local\Temp\OnboardLogs" /stypes="app*4018*20161002*" /stext=" 07:.+((SYSTEM_STATE.+slice.+state.+changed )|(ment ac)|(system.+state.+changed )|(\[timeout)|(PRM\|1\|D)|(kpr)|(kdp)|(\|lc)|(penalty))" /e /r /s</v>
      </c>
      <c r="AG207" s="1" t="str">
        <f t="shared" si="79"/>
        <v>Other</v>
      </c>
      <c r="AH207" s="96" t="str">
        <f t="shared" si="65"/>
        <v>"%USERPROFILE%\Documents\GitHub\eaglep3\Utilities\RefineRTDCRunTimes.py" --tripid 311-01 --locoid 4018 --swversion DE.1.0.7.0 --startMP 204:471 --initTime 2016-10-02T01:43:23 --startdatetime 2016-10-02T01:45:55 --delay 1 --endMP 300:22204 --enddatetime 2016-10-02T01:55:55 --enforcementcount 0 &gt;&gt;C:\Users\stu\Documents\GitHub\eaglep3-reporting\EC\2016-10-01-refined-times.txt</v>
      </c>
      <c r="AI207" s="130" t="str">
        <f t="shared" si="66"/>
        <v>echo {"issue":{"subject":"","project_id":79,"tracker_id":40,"status_id":1,"priority_id":2,"assigned_to_id":23,"start_date":"2016-10-02","description":"","custom_fields":[{"id":1,"name":"Subdivision","value":"Other"},{"id":4,"name":"Milepost","value":"2.2204"},{"id":17,"name":"Train ID","value":"311-01"},{"id":16,"name":"Locomotive ID","value":"4018"},{"id":130,"name":"Impact","value":""},{"id":150,"name":"Time of Event (Mountain Time)","value":"01:55:55"},{"id":151,"name":"Denver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720</v>
      </c>
      <c r="B208" s="7">
        <v>4009</v>
      </c>
      <c r="C208" s="24" t="s">
        <v>106</v>
      </c>
      <c r="D208" s="24" t="s">
        <v>204</v>
      </c>
      <c r="E208" s="15">
        <v>42645.089513888888</v>
      </c>
      <c r="F208" s="15">
        <v>25568.708333333332</v>
      </c>
      <c r="G208" s="7">
        <v>1</v>
      </c>
      <c r="H208" s="15" t="s">
        <v>721</v>
      </c>
      <c r="I208" s="15">
        <v>25568.708333333332</v>
      </c>
      <c r="J208" s="7">
        <v>0</v>
      </c>
      <c r="K208" s="117" t="str">
        <f t="shared" si="68"/>
        <v>4009/4010</v>
      </c>
      <c r="L208" s="24" t="str">
        <f>VLOOKUP(A208,'Trips&amp;Operators'!$C$1:$E$10000,3,FALSE)</f>
        <v>STURGEON</v>
      </c>
      <c r="M208" s="6">
        <f t="shared" si="69"/>
        <v>0</v>
      </c>
      <c r="N208" s="7">
        <f t="shared" si="63"/>
        <v>0</v>
      </c>
      <c r="O208" s="7"/>
      <c r="P208" s="7"/>
      <c r="Q208" s="25"/>
      <c r="R208" s="25"/>
      <c r="S208" s="37">
        <f t="shared" si="62"/>
        <v>1</v>
      </c>
      <c r="T208" s="52" t="str">
        <f t="shared" si="70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01:08:54-0600',mode:absolute,to:'1969-12-31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8" s="54" t="str">
        <f t="shared" si="72"/>
        <v>Y</v>
      </c>
      <c r="X208" s="164">
        <f t="shared" si="67"/>
        <v>2</v>
      </c>
      <c r="Y208" s="69">
        <f t="shared" si="73"/>
        <v>4.53E-2</v>
      </c>
      <c r="Z208" s="69">
        <f t="shared" si="74"/>
        <v>2.3315999999999999</v>
      </c>
      <c r="AA208" s="69">
        <f t="shared" si="75"/>
        <v>2.2862999999999998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0313-01</v>
      </c>
      <c r="AE208" s="95" t="str">
        <f t="shared" si="7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8" s="92" t="str">
        <f t="shared" si="78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208" s="1" t="str">
        <f t="shared" si="79"/>
        <v>Other</v>
      </c>
      <c r="AH208" s="96" t="str">
        <f t="shared" si="65"/>
        <v>"%USERPROFILE%\Documents\GitHub\eaglep3\Utilities\RefineRTDCRunTimes.py" --tripid 313-01 --locoid 4009 --swversion DE.1.0.7.0 --startMP 204:453 --initTime 2016-10-02T02:08:54 --startdatetime 1969-12-31T17:00:00 --delay 1 --endMP 300:23316 --enddatetime 1969-12-31T17:00:00 --enforcementcount 0 &gt;&gt;C:\Users\stu\Documents\GitHub\eaglep3-reporting\EC\2016-10-01-refined-times.txt</v>
      </c>
      <c r="AI208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ID","value":"313-01"},{"id":16,"name":"Locomotive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365</v>
      </c>
      <c r="B209" s="7">
        <v>4031</v>
      </c>
      <c r="C209" s="24" t="s">
        <v>106</v>
      </c>
      <c r="D209" s="24" t="s">
        <v>216</v>
      </c>
      <c r="E209" s="15">
        <v>42644.089594907404</v>
      </c>
      <c r="F209" s="15">
        <v>42644.091585648152</v>
      </c>
      <c r="G209" s="7">
        <v>2</v>
      </c>
      <c r="H209" s="15" t="s">
        <v>251</v>
      </c>
      <c r="I209" s="15">
        <v>42644.096921296295</v>
      </c>
      <c r="J209" s="7">
        <v>0</v>
      </c>
      <c r="K209" s="117" t="str">
        <f t="shared" si="68"/>
        <v>4031/4032</v>
      </c>
      <c r="L209" s="24" t="str">
        <f>VLOOKUP(A209,'Trips&amp;Operators'!$C$1:$E$10000,3,FALSE)</f>
        <v>STURGEON</v>
      </c>
      <c r="M209" s="6">
        <f t="shared" si="69"/>
        <v>5.3356481439550407E-3</v>
      </c>
      <c r="N209" s="7">
        <f t="shared" si="63"/>
        <v>7.6833333272952586</v>
      </c>
      <c r="O209" s="7"/>
      <c r="P209" s="7"/>
      <c r="Q209" s="25"/>
      <c r="R209" s="25"/>
      <c r="S209" s="37">
        <f t="shared" si="62"/>
        <v>1</v>
      </c>
      <c r="T209" s="52" t="str">
        <f t="shared" si="70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01:09:01-0600',mode:absolute,to:'2016-10-01 03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9" s="54" t="str">
        <f t="shared" si="72"/>
        <v>Y</v>
      </c>
      <c r="X209" s="164">
        <f t="shared" si="67"/>
        <v>0</v>
      </c>
      <c r="Y209" s="69">
        <f t="shared" si="73"/>
        <v>4.6199999999999998E-2</v>
      </c>
      <c r="Z209" s="69">
        <f t="shared" si="74"/>
        <v>2.3306</v>
      </c>
      <c r="AA209" s="69">
        <f t="shared" si="75"/>
        <v>2.2844000000000002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0313-30</v>
      </c>
      <c r="AE209" s="95" t="str">
        <f t="shared" si="77"/>
        <v>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 &amp; 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</v>
      </c>
      <c r="AF209" s="92" t="str">
        <f t="shared" si="78"/>
        <v>"C:\Program Files (x86)\AstroGrep\AstroGrep.exe" /spath="%USERPROFILE%\AppData\Local\Temp\OnboardLogs" /stypes="app*4031*20161001*" /stext=" 08:.+((SYSTEM_STATE.+slice.+state.+changed )|(ment ac)|(system.+state.+changed )|(\[timeout)|(PRM\|1\|D)|(kpr)|(kdp)|(\|lc)|(penalty))" /e /r /s</v>
      </c>
      <c r="AG209" s="1" t="str">
        <f t="shared" si="79"/>
        <v>Other</v>
      </c>
      <c r="AH209" s="96" t="str">
        <f t="shared" si="65"/>
        <v>"%USERPROFILE%\Documents\GitHub\eaglep3\Utilities\RefineRTDCRunTimes.py" --tripid 313-30 --locoid 4031 --swversion DE.1.0.7.0 --startMP 204:462 --initTime 2016-10-01T02:09:01 --startdatetime 2016-10-01T02:11:53 --delay 2 --endMP 300:23306 --enddatetime 2016-10-01T02:19:34 --enforcementcount 0 &gt;&gt;C:\Users\stu\Documents\GitHub\eaglep3-reporting\EC\2016-10-01-refined-times.txt</v>
      </c>
      <c r="AI209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{"issue":{"subject":"","project_id":79,"tracker_id":40,"status_id":1,"priority_id":2,"assigned_to_id":23,"start_date":"2016-10-01","description":"","custom_fields":[{"id":1,"name":"Subdivision","value":"Other"},{"id":4,"name":"Milepost","value":"2.3306"},{"id":17,"name":"Train ID","value":"313-30"},{"id":16,"name":"Locomotive ID","value":"4031"},{"id":130,"name":"Impact","value":""},{"id":150,"name":"Time of Event (Mountain Time)","value":"02:19:34"},{"id":151,"name":"Denver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722</v>
      </c>
      <c r="B210" s="7">
        <v>4029</v>
      </c>
      <c r="C210" s="24" t="s">
        <v>106</v>
      </c>
      <c r="D210" s="24" t="s">
        <v>210</v>
      </c>
      <c r="E210" s="15">
        <v>42645.108356481483</v>
      </c>
      <c r="F210" s="15">
        <v>25568.708333333332</v>
      </c>
      <c r="G210" s="7">
        <v>2</v>
      </c>
      <c r="H210" s="15" t="s">
        <v>316</v>
      </c>
      <c r="I210" s="15">
        <v>25568.708333333332</v>
      </c>
      <c r="J210" s="7">
        <v>0</v>
      </c>
      <c r="K210" s="117" t="str">
        <f t="shared" si="68"/>
        <v>4029/4030</v>
      </c>
      <c r="L210" s="24" t="str">
        <f>VLOOKUP(A210,'Trips&amp;Operators'!$C$1:$E$10000,3,FALSE)</f>
        <v>LEVIN</v>
      </c>
      <c r="M210" s="6">
        <f t="shared" si="69"/>
        <v>0</v>
      </c>
      <c r="N210" s="7">
        <f t="shared" si="63"/>
        <v>0</v>
      </c>
      <c r="O210" s="7"/>
      <c r="P210" s="7"/>
      <c r="Q210" s="25"/>
      <c r="R210" s="25"/>
      <c r="S210" s="37">
        <f t="shared" si="62"/>
        <v>1</v>
      </c>
      <c r="T210" s="52" t="str">
        <f t="shared" si="70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https://search-rtdc-monitor-bjffxe2xuh6vdkpspy63sjmuny.us-east-1.es.amazonaws.com/_plugin/kibana/#/discover/Steve-Slow-Train-Analysis-(2080s-and-2083s)?_g=(refreshInterval:(display:Off,section:0,value:0),time:(from:'2016-10-02 01:36:02-0600',mode:absolute,to:'1969-12-31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10" s="54" t="str">
        <f t="shared" si="72"/>
        <v>Y</v>
      </c>
      <c r="X210" s="164">
        <f t="shared" si="67"/>
        <v>2</v>
      </c>
      <c r="Y210" s="69">
        <f t="shared" si="73"/>
        <v>4.5100000000000001E-2</v>
      </c>
      <c r="Z210" s="69">
        <f t="shared" si="74"/>
        <v>2.3308</v>
      </c>
      <c r="AA210" s="69">
        <f t="shared" si="75"/>
        <v>2.2856999999999998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0315-01</v>
      </c>
      <c r="AE210" s="95" t="str">
        <f t="shared" si="77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0" s="92" t="str">
        <f t="shared" si="78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0" s="1" t="str">
        <f t="shared" si="79"/>
        <v>Other</v>
      </c>
      <c r="AH210" s="96" t="str">
        <f t="shared" si="65"/>
        <v>"%USERPROFILE%\Documents\GitHub\eaglep3\Utilities\RefineRTDCRunTimes.py" --tripid 315-01 --locoid 4029 --swversion DE.1.0.7.0 --startMP 204:451 --initTime 2016-10-02T02:36:02 --startdatetime 1969-12-31T17:00:00 --delay 2 --endMP 300:23308 --enddatetime 1969-12-31T17:00:00 --enforcementcount 0 &gt;&gt;C:\Users\stu\Documents\GitHub\eaglep3-reporting\EC\2016-10-01-refined-times.txt</v>
      </c>
      <c r="AI210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366</v>
      </c>
      <c r="B211" s="7">
        <v>4053</v>
      </c>
      <c r="C211" s="24" t="s">
        <v>106</v>
      </c>
      <c r="D211" s="24" t="s">
        <v>242</v>
      </c>
      <c r="E211" s="15">
        <v>42644.108483796299</v>
      </c>
      <c r="F211" s="15">
        <v>42644.110335648147</v>
      </c>
      <c r="G211" s="7">
        <v>1</v>
      </c>
      <c r="H211" s="15" t="s">
        <v>316</v>
      </c>
      <c r="I211" s="15">
        <v>42644.114791666667</v>
      </c>
      <c r="J211" s="7">
        <v>0</v>
      </c>
      <c r="K211" s="117" t="str">
        <f t="shared" si="68"/>
        <v>4053/4054</v>
      </c>
      <c r="L211" s="24" t="str">
        <f>VLOOKUP(A211,'Trips&amp;Operators'!$C$1:$E$10000,3,FALSE)</f>
        <v>LEVIN</v>
      </c>
      <c r="M211" s="6">
        <f t="shared" si="69"/>
        <v>4.4560185197042301E-3</v>
      </c>
      <c r="N211" s="7">
        <f t="shared" si="63"/>
        <v>6.4166666683740914</v>
      </c>
      <c r="O211" s="7"/>
      <c r="P211" s="7"/>
      <c r="Q211" s="25"/>
      <c r="R211" s="25"/>
      <c r="S211" s="37">
        <f t="shared" ref="S211:S217" si="80">SUM(U211:U211)/IF(AG211="EC",12,1)</f>
        <v>1</v>
      </c>
      <c r="T211" s="52" t="str">
        <f t="shared" si="70"/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01:36:13-0600',mode:absolute,to:'2016-10-01 03:45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11" s="54" t="str">
        <f t="shared" si="72"/>
        <v>Y</v>
      </c>
      <c r="X211" s="164">
        <f t="shared" si="67"/>
        <v>0</v>
      </c>
      <c r="Y211" s="69">
        <f t="shared" si="73"/>
        <v>4.3799999999999999E-2</v>
      </c>
      <c r="Z211" s="69">
        <f t="shared" si="74"/>
        <v>2.3308</v>
      </c>
      <c r="AA211" s="69">
        <f t="shared" si="75"/>
        <v>2.2869999999999999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0315-30</v>
      </c>
      <c r="AE211" s="95" t="str">
        <f t="shared" si="77"/>
        <v>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 &amp; 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</v>
      </c>
      <c r="AF211" s="92" t="str">
        <f t="shared" si="78"/>
        <v>"C:\Program Files (x86)\AstroGrep\AstroGrep.exe" /spath="%USERPROFILE%\AppData\Local\Temp\OnboardLogs" /stypes="app*4053*20161001*" /stext=" 08:.+((SYSTEM_STATE.+slice.+state.+changed )|(ment ac)|(system.+state.+changed )|(\[timeout)|(PRM\|1\|D)|(kpr)|(kdp)|(\|lc)|(penalty))" /e /r /s</v>
      </c>
      <c r="AG211" s="1" t="str">
        <f t="shared" si="79"/>
        <v>Other</v>
      </c>
      <c r="AH211" s="96" t="str">
        <f t="shared" si="65"/>
        <v>"%USERPROFILE%\Documents\GitHub\eaglep3\Utilities\RefineRTDCRunTimes.py" --tripid 315-30 --locoid 4053 --swversion DE.1.0.7.0 --startMP 204:438 --initTime 2016-10-01T02:36:13 --startdatetime 2016-10-01T02:38:53 --delay 1 --endMP 300:23308 --enddatetime 2016-10-01T02:45:18 --enforcementcount 0 &gt;&gt;C:\Users\stu\Documents\GitHub\eaglep3-reporting\EC\2016-10-01-refined-times.txt</v>
      </c>
      <c r="AI211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{"issue":{"subject":"","project_id":79,"tracker_id":40,"status_id":1,"priority_id":2,"assigned_to_id":23,"start_date":"2016-10-01","description":"","custom_fields":[{"id":1,"name":"Subdivision","value":"Other"},{"id":4,"name":"Milepost","value":"2.3308"},{"id":17,"name":"Train ID","value":"315-30"},{"id":16,"name":"Locomotive ID","value":"4053"},{"id":130,"name":"Impact","value":""},{"id":150,"name":"Time of Event (Mountain Time)","value":"02:45:18"},{"id":151,"name":"Denver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633</v>
      </c>
      <c r="B212" s="7">
        <v>4043</v>
      </c>
      <c r="C212" s="24" t="s">
        <v>106</v>
      </c>
      <c r="D212" s="24" t="s">
        <v>634</v>
      </c>
      <c r="E212" s="15">
        <v>42644.94327546296</v>
      </c>
      <c r="F212" s="15">
        <v>42644.946111111109</v>
      </c>
      <c r="G212" s="7">
        <v>1</v>
      </c>
      <c r="H212" s="15" t="s">
        <v>635</v>
      </c>
      <c r="I212" s="15">
        <v>42644.950879629629</v>
      </c>
      <c r="J212" s="7">
        <v>0</v>
      </c>
      <c r="K212" s="117" t="str">
        <f t="shared" si="68"/>
        <v>4043/4044</v>
      </c>
      <c r="L212" s="24" t="str">
        <f>VLOOKUP(A212,'Trips&amp;Operators'!$C$1:$E$10000,3,FALSE)</f>
        <v>HILLS</v>
      </c>
      <c r="M212" s="6">
        <f t="shared" si="69"/>
        <v>4.7685185199952684E-3</v>
      </c>
      <c r="N212" s="7">
        <f t="shared" si="63"/>
        <v>6.8666666687931865</v>
      </c>
      <c r="O212" s="7"/>
      <c r="P212" s="7"/>
      <c r="Q212" s="25"/>
      <c r="R212" s="25"/>
      <c r="S212" s="37">
        <f t="shared" si="80"/>
        <v>0</v>
      </c>
      <c r="T212" s="52" t="str">
        <f t="shared" si="70"/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21:38:19-0600',mode:absolute,to:'2016-10-01 23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2" s="54" t="str">
        <f t="shared" si="72"/>
        <v>Y</v>
      </c>
      <c r="X212" s="164">
        <f t="shared" si="67"/>
        <v>1587</v>
      </c>
      <c r="Y212" s="69">
        <f t="shared" si="73"/>
        <v>5.8634000000000004</v>
      </c>
      <c r="Z212" s="69">
        <f t="shared" si="74"/>
        <v>2.0891999999999999</v>
      </c>
      <c r="AA212" s="69">
        <f t="shared" si="75"/>
        <v>3.7742000000000004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1902-01</v>
      </c>
      <c r="AE212" s="95" t="str">
        <f t="shared" si="77"/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AF212" s="92" t="str">
        <f t="shared" si="78"/>
        <v>"C:\Program Files (x86)\AstroGrep\AstroGrep.exe" /spath="%USERPROFILE%\AppData\Local\Temp\OnboardLogs" /stypes="app*4043*20161002*" /stext=" 04:.+((SYSTEM_STATE.+slice.+state.+changed )|(ment ac)|(system.+state.+changed )|(\[timeout)|(PRM\|1\|D)|(kpr)|(kdp)|(\|lc)|(penalty))" /e /r /s</v>
      </c>
      <c r="AG212" s="1" t="str">
        <f t="shared" si="79"/>
        <v>Other</v>
      </c>
      <c r="AH212" s="96" t="str">
        <f t="shared" si="65"/>
        <v>"%USERPROFILE%\Documents\GitHub\eaglep3\Utilities\RefineRTDCRunTimes.py" --tripid 1902-01 --locoid 4043 --swversion DE.1.0.7.0 --startMP 300:58634 --initTime 2016-10-01T22:38:19 --startdatetime 2016-10-01T22:42:24 --delay 1 --endMP 300:20892 --enddatetime 2016-10-01T22:49:16 --enforcementcount 0 &gt;&gt;C:\Users\stu\Documents\GitHub\eaglep3-reporting\EC\2016-10-01-refined-times.txt</v>
      </c>
      <c r="AI212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{"issue":{"subject":"","project_id":79,"tracker_id":40,"status_id":1,"priority_id":2,"assigned_to_id":23,"start_date":"2016-10-01","description":"","custom_fields":[{"id":1,"name":"Subdivision","value":"Other"},{"id":4,"name":"Milepost","value":"2.0892"},{"id":17,"name":"Train ID","value":"1902-01"},{"id":16,"name":"Locomotive ID","value":"4043"},{"id":130,"name":"Impact","value":""},{"id":150,"name":"Time of Event (Mountain Time)","value":"22:49:16"},{"id":151,"name":"Denver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723</v>
      </c>
      <c r="B213" s="7">
        <v>4005</v>
      </c>
      <c r="C213" s="24" t="s">
        <v>106</v>
      </c>
      <c r="D213" s="24" t="s">
        <v>724</v>
      </c>
      <c r="E213" s="15">
        <v>42644.473958333336</v>
      </c>
      <c r="F213" s="15">
        <v>42644.475138888891</v>
      </c>
      <c r="G213" s="7">
        <v>1</v>
      </c>
      <c r="H213" s="15">
        <v>8.5347222222222232</v>
      </c>
      <c r="I213" s="15">
        <v>42644.481388888889</v>
      </c>
      <c r="J213" s="7">
        <v>0</v>
      </c>
      <c r="K213" s="117" t="str">
        <f t="shared" si="68"/>
        <v>4005/4006</v>
      </c>
      <c r="L213" s="24" t="str">
        <f>VLOOKUP(A213,'Trips&amp;Operators'!$C$1:$E$10000,3,FALSE)</f>
        <v>SWANSON</v>
      </c>
      <c r="M213" s="6">
        <f t="shared" si="69"/>
        <v>6.2499999985448085E-3</v>
      </c>
      <c r="N213" s="7">
        <f t="shared" si="63"/>
        <v>8.9999999979045242</v>
      </c>
      <c r="O213" s="7"/>
      <c r="P213" s="7"/>
      <c r="Q213" s="25"/>
      <c r="R213" s="25"/>
      <c r="S213" s="37">
        <f t="shared" si="80"/>
        <v>0</v>
      </c>
      <c r="T213" s="52" t="e">
        <f t="shared" si="70"/>
        <v>#VALUE!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10:22:30-0600',mode:absolute,to:'2016-10-01 12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3" s="54" t="str">
        <f t="shared" si="72"/>
        <v>N</v>
      </c>
      <c r="X213" s="164" t="e">
        <f t="shared" si="67"/>
        <v>#VALUE!</v>
      </c>
      <c r="Y213" s="69">
        <f t="shared" si="73"/>
        <v>2.206</v>
      </c>
      <c r="Z213" s="69">
        <f t="shared" si="74"/>
        <v>47222222.222199999</v>
      </c>
      <c r="AA213" s="69">
        <f t="shared" si="75"/>
        <v>47222220.016199999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50-01</v>
      </c>
      <c r="AE213" s="95" t="str">
        <f t="shared" si="77"/>
        <v>aws s3 cp s3://rtdc.mdm.uploadarchive.raw/RTDC4005/ "%USERPROFILE%\AppData\Local\Temp\OnboardLogs"\RTDC4005\2016-10-01 --exclude "*" --recursive --include "*20161001*" &amp; "%USERPROFILE%\Documents\GitHub\mrs-test-scripts\Headless Mode &amp; Sideloading\WalkAndUnGZ.bat" "%USERPROFILE%\AppData\Local\Temp\OnboardLogs"\RTDC4005\2016-10-01 &amp; aws s3 cp s3://rtdc.mdm.uploadarchive.raw/RTDC4005/ "%USERPROFILE%\AppData\Local\Temp\OnboardLogs"\RTDC4005\2016-10-02 --exclude "*" --recursive --include "*20161002*" &amp; "%USERPROFILE%\Documents\GitHub\mrs-test-scripts\Headless Mode &amp; Sideloading\WalkAndUnGZ.bat" "%USERPROFILE%\AppData\Local\Temp\OnboardLogs"\RTDC4005\2016-10-02</v>
      </c>
      <c r="AF213" s="92" t="str">
        <f t="shared" si="78"/>
        <v>"C:\Program Files (x86)\AstroGrep\AstroGrep.exe" /spath="%USERPROFILE%\AppData\Local\Temp\OnboardLogs" /stypes="app*4005*20161001*" /stext=" 17:.+((SYSTEM_STATE.+slice.+state.+changed )|(ment ac)|(system.+state.+changed )|(\[timeout)|(PRM\|1\|D)|(kpr)|(kdp)|(\|lc)|(penalty))" /e /r /s</v>
      </c>
      <c r="AG213" s="1" t="str">
        <f t="shared" si="79"/>
        <v>Other</v>
      </c>
      <c r="AH213" s="96" t="str">
        <f t="shared" si="65"/>
        <v>"%USERPROFILE%\Documents\GitHub\eaglep3\Utilities\RefineRTDCRunTimes.py" --tripid 50-01 --locoid 4005 --swversion DE.1.0.7.0 --startMP 300:22060 --initTime 2016-10-01T11:22:30 --startdatetime 2016-10-01T11:24:12 --delay 1 --endMP 8.53472222222222 --enddatetime 2016-10-01T11:33:12 --enforcementcount 0 &gt;&gt;C:\Users\stu\Documents\GitHub\eaglep3-reporting\EC\2016-10-01-refined-times.txt</v>
      </c>
      <c r="AI213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47222222.2222"},{"id":17,"name":"Train ID","value":"50-01"},{"id":16,"name":"Locomotive ID","value":"4005"},{"id":130,"name":"Impact","value":""},{"id":150,"name":"Time of Event (Mountain Time)","value":"11:33:12"},{"id":151,"name":"Denver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725</v>
      </c>
      <c r="B214" s="7">
        <v>4006</v>
      </c>
      <c r="C214" s="24" t="s">
        <v>106</v>
      </c>
      <c r="D214" s="24" t="s">
        <v>726</v>
      </c>
      <c r="E214" s="15">
        <v>42644.520821759259</v>
      </c>
      <c r="F214" s="15">
        <v>42644.522430555553</v>
      </c>
      <c r="G214" s="7">
        <v>1</v>
      </c>
      <c r="H214" s="15" t="s">
        <v>727</v>
      </c>
      <c r="I214" s="15">
        <v>42644.527465277781</v>
      </c>
      <c r="J214" s="7">
        <v>0</v>
      </c>
      <c r="K214" s="117" t="str">
        <f t="shared" si="68"/>
        <v>4005/4006</v>
      </c>
      <c r="L214" s="24" t="str">
        <f>VLOOKUP(A214,'Trips&amp;Operators'!$C$1:$E$10000,3,FALSE)</f>
        <v>GEBRETEKLE</v>
      </c>
      <c r="M214" s="6">
        <f t="shared" si="69"/>
        <v>5.0347222277196124E-3</v>
      </c>
      <c r="N214" s="7">
        <f t="shared" si="63"/>
        <v>7.2500000079162419</v>
      </c>
      <c r="O214" s="7"/>
      <c r="P214" s="7"/>
      <c r="Q214" s="25"/>
      <c r="R214" s="25"/>
      <c r="S214" s="37">
        <f t="shared" si="80"/>
        <v>0</v>
      </c>
      <c r="T214" s="52" t="e">
        <f t="shared" si="70"/>
        <v>#VALUE!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11:29:59-0600',mode:absolute,to:'2016-10-01 13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4" s="54" t="str">
        <f t="shared" si="72"/>
        <v>Y</v>
      </c>
      <c r="X214" s="164" t="e">
        <f t="shared" si="67"/>
        <v>#VALUE!</v>
      </c>
      <c r="Y214" s="69">
        <f t="shared" si="73"/>
        <v>3.5700000000000003E-2</v>
      </c>
      <c r="Z214" s="69">
        <f t="shared" si="74"/>
        <v>2.4258000000000002</v>
      </c>
      <c r="AA214" s="69">
        <f t="shared" si="75"/>
        <v>2.3901000000000003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51-01</v>
      </c>
      <c r="AE214" s="95" t="str">
        <f t="shared" si="77"/>
        <v>aws s3 cp s3://rtdc.mdm.uploadarchive.raw/RTDC4006/ "%USERPROFILE%\AppData\Local\Temp\OnboardLogs"\RTDC4006\2016-10-01 --exclude "*" --recursive --include "*20161001*" &amp; "%USERPROFILE%\Documents\GitHub\mrs-test-scripts\Headless Mode &amp; Sideloading\WalkAndUnGZ.bat" "%USERPROFILE%\AppData\Local\Temp\OnboardLogs"\RTDC4006\2016-10-01 &amp; aws s3 cp s3://rtdc.mdm.uploadarchive.raw/RTDC4006/ "%USERPROFILE%\AppData\Local\Temp\OnboardLogs"\RTDC4006\2016-10-02 --exclude "*" --recursive --include "*20161002*" &amp; "%USERPROFILE%\Documents\GitHub\mrs-test-scripts\Headless Mode &amp; Sideloading\WalkAndUnGZ.bat" "%USERPROFILE%\AppData\Local\Temp\OnboardLogs"\RTDC4006\2016-10-02</v>
      </c>
      <c r="AF214" s="92" t="str">
        <f t="shared" si="78"/>
        <v>"C:\Program Files (x86)\AstroGrep\AstroGrep.exe" /spath="%USERPROFILE%\AppData\Local\Temp\OnboardLogs" /stypes="app*4006*20161001*" /stext=" 18:.+((SYSTEM_STATE.+slice.+state.+changed )|(ment ac)|(system.+state.+changed )|(\[timeout)|(PRM\|1\|D)|(kpr)|(kdp)|(\|lc)|(penalty))" /e /r /s</v>
      </c>
      <c r="AG214" s="1" t="str">
        <f t="shared" si="79"/>
        <v>Other</v>
      </c>
      <c r="AH214" s="96" t="str">
        <f t="shared" si="65"/>
        <v>"%USERPROFILE%\Documents\GitHub\eaglep3\Utilities\RefineRTDCRunTimes.py" --tripid 51-01 --locoid 4006 --swversion DE.1.0.7.0 --startMP 204:357 --initTime 2016-10-01T12:29:59 --startdatetime 2016-10-01T12:32:18 --delay 1 --endMP 300:24258 --enddatetime 2016-10-01T12:39:33 --enforcementcount 0 &gt;&gt;C:\Users\stu\Documents\GitHub\eaglep3-reporting\EC\2016-10-01-refined-times.txt</v>
      </c>
      <c r="AI214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{"issue":{"subject":"","project_id":79,"tracker_id":40,"status_id":1,"priority_id":2,"assigned_to_id":23,"start_date":"2016-10-01","description":"","custom_fields":[{"id":1,"name":"Subdivision","value":"Other"},{"id":4,"name":"Milepost","value":"2.4258"},{"id":17,"name":"Train ID","value":"51-01"},{"id":16,"name":"Locomotive ID","value":"4006"},{"id":130,"name":"Impact","value":""},{"id":150,"name":"Time of Event (Mountain Time)","value":"12:39:33"},{"id":151,"name":"Denver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728</v>
      </c>
      <c r="B215" s="7">
        <v>4040</v>
      </c>
      <c r="C215" s="24" t="s">
        <v>106</v>
      </c>
      <c r="D215" s="24" t="s">
        <v>729</v>
      </c>
      <c r="E215" s="15">
        <v>42644.713958333334</v>
      </c>
      <c r="F215" s="15">
        <v>25568.708333333332</v>
      </c>
      <c r="G215" s="7">
        <v>1</v>
      </c>
      <c r="H215" s="15" t="s">
        <v>730</v>
      </c>
      <c r="I215" s="15">
        <v>25568.708333333332</v>
      </c>
      <c r="J215" s="7">
        <v>0</v>
      </c>
      <c r="K215" s="117" t="str">
        <f t="shared" si="68"/>
        <v>4039/4040</v>
      </c>
      <c r="L215" s="24" t="str">
        <f>VLOOKUP(A215,'Trips&amp;Operators'!$C$1:$E$10000,3,FALSE)</f>
        <v>ISHMAEL</v>
      </c>
      <c r="M215" s="6">
        <f t="shared" si="69"/>
        <v>0</v>
      </c>
      <c r="N215" s="7">
        <f t="shared" si="63"/>
        <v>0</v>
      </c>
      <c r="O215" s="7"/>
      <c r="P215" s="7"/>
      <c r="Q215" s="25"/>
      <c r="R215" s="25"/>
      <c r="S215" s="37">
        <f t="shared" si="80"/>
        <v>0</v>
      </c>
      <c r="T215" s="52" t="e">
        <f t="shared" si="70"/>
        <v>#VALUE!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16:08:06-0600',mode:absolute,to:'1969-12-31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5" s="54" t="str">
        <f t="shared" si="72"/>
        <v>Y</v>
      </c>
      <c r="X215" s="164" t="e">
        <f t="shared" si="67"/>
        <v>#VALUE!</v>
      </c>
      <c r="Y215" s="69">
        <f t="shared" si="73"/>
        <v>0.15090000000000001</v>
      </c>
      <c r="Z215" s="69">
        <f t="shared" si="74"/>
        <v>0.17380000000000001</v>
      </c>
      <c r="AA215" s="69">
        <f t="shared" si="75"/>
        <v>2.2900000000000004E-2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63-01</v>
      </c>
      <c r="AE215" s="95" t="str">
        <f t="shared" si="7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5" s="92" t="str">
        <f t="shared" si="78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15" s="1" t="str">
        <f t="shared" si="79"/>
        <v>Other</v>
      </c>
      <c r="AH215" s="96" t="str">
        <f t="shared" si="65"/>
        <v>"%USERPROFILE%\Documents\GitHub\eaglep3\Utilities\RefineRTDCRunTimes.py" --tripid 63-01 --locoid 4040 --swversion DE.1.0.7.0 --startMP 204:1509 --initTime 2016-10-01T17:08:06 --startdatetime 1969-12-31T17:00:00 --delay 1 --endMP 204:1738 --enddatetime 1969-12-31T17:00:00 --enforcementcount 0 &gt;&gt;C:\Users\stu\Documents\GitHub\eaglep3-reporting\EC\2016-10-01-refined-times.txt</v>
      </c>
      <c r="AI215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{"issue":{"subject":"","project_id":79,"tracker_id":40,"status_id":1,"priority_id":2,"assigned_to_id":23,"start_date":"1969-12-31","description":"","custom_fields":[{"id":1,"name":"Subdivision","value":"Other"},{"id":4,"name":"Milepost","value":"0.1738"},{"id":17,"name":"Train ID","value":"63-01"},{"id":16,"name":"Locomotive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728</v>
      </c>
      <c r="B216" s="7">
        <v>4040</v>
      </c>
      <c r="C216" s="24" t="s">
        <v>106</v>
      </c>
      <c r="D216" s="24" t="s">
        <v>731</v>
      </c>
      <c r="E216" s="15">
        <v>42644.719594907408</v>
      </c>
      <c r="F216" s="15">
        <v>25568.708333333332</v>
      </c>
      <c r="G216" s="7">
        <v>1</v>
      </c>
      <c r="H216" s="15" t="s">
        <v>716</v>
      </c>
      <c r="I216" s="15">
        <v>25568.708333333332</v>
      </c>
      <c r="J216" s="7">
        <v>0</v>
      </c>
      <c r="K216" s="117" t="str">
        <f t="shared" si="68"/>
        <v>4039/4040</v>
      </c>
      <c r="L216" s="24" t="str">
        <f>VLOOKUP(A216,'Trips&amp;Operators'!$C$1:$E$10000,3,FALSE)</f>
        <v>ISHMAEL</v>
      </c>
      <c r="M216" s="6">
        <f t="shared" si="69"/>
        <v>0</v>
      </c>
      <c r="N216" s="7">
        <f t="shared" si="63"/>
        <v>0</v>
      </c>
      <c r="O216" s="7"/>
      <c r="P216" s="7"/>
      <c r="Q216" s="25"/>
      <c r="R216" s="25"/>
      <c r="S216" s="37">
        <f t="shared" si="80"/>
        <v>0</v>
      </c>
      <c r="T216" s="52" t="e">
        <f t="shared" si="70"/>
        <v>#VALUE!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16:16:13-0600',mode:absolute,to:'1969-12-31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6" s="54" t="str">
        <f t="shared" si="72"/>
        <v>Y</v>
      </c>
      <c r="X216" s="164" t="e">
        <f t="shared" si="67"/>
        <v>#VALUE!</v>
      </c>
      <c r="Y216" s="69">
        <f t="shared" si="73"/>
        <v>0.1729</v>
      </c>
      <c r="Z216" s="69">
        <f t="shared" si="74"/>
        <v>2.3302</v>
      </c>
      <c r="AA216" s="69">
        <f t="shared" si="75"/>
        <v>2.1573000000000002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63-01</v>
      </c>
      <c r="AE216" s="95" t="str">
        <f t="shared" si="7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16" s="92" t="str">
        <f t="shared" si="78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16" s="1" t="str">
        <f t="shared" si="79"/>
        <v>Other</v>
      </c>
      <c r="AH216" s="96" t="str">
        <f t="shared" si="65"/>
        <v>"%USERPROFILE%\Documents\GitHub\eaglep3\Utilities\RefineRTDCRunTimes.py" --tripid 63-01 --locoid 4040 --swversion DE.1.0.7.0 --startMP 204:1729 --initTime 2016-10-01T17:16:13 --startdatetime 1969-12-31T17:00:00 --delay 1 --endMP 300:23302 --enddatetime 1969-12-31T17:00:00 --enforcementcount 0 &gt;&gt;C:\Users\stu\Documents\GitHub\eaglep3-reporting\EC\2016-10-01-refined-times.txt</v>
      </c>
      <c r="AI216" s="130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ID","value":"63-01"},{"id":16,"name":"Locomotive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732</v>
      </c>
      <c r="B217" s="7">
        <v>4001</v>
      </c>
      <c r="C217" s="24" t="s">
        <v>106</v>
      </c>
      <c r="D217" s="24" t="s">
        <v>733</v>
      </c>
      <c r="E217" s="15">
        <v>42644.743703703702</v>
      </c>
      <c r="F217" s="15">
        <v>42644.747152777774</v>
      </c>
      <c r="G217" s="7">
        <v>4</v>
      </c>
      <c r="H217" s="15" t="s">
        <v>734</v>
      </c>
      <c r="I217" s="15">
        <v>42644.754814814813</v>
      </c>
      <c r="J217" s="7">
        <v>0</v>
      </c>
      <c r="K217" s="117" t="str">
        <f t="shared" si="68"/>
        <v>4001/4002</v>
      </c>
      <c r="L217" s="24" t="str">
        <f>VLOOKUP(A217,'Trips&amp;Operators'!$C$1:$E$10000,3,FALSE)</f>
        <v>ARVIDSON</v>
      </c>
      <c r="M217" s="6">
        <f t="shared" si="69"/>
        <v>7.662037038244307E-3</v>
      </c>
      <c r="N217" s="7">
        <f t="shared" si="63"/>
        <v>11.033333335071802</v>
      </c>
      <c r="O217" s="7"/>
      <c r="P217" s="7"/>
      <c r="Q217" s="25"/>
      <c r="R217" s="25"/>
      <c r="S217" s="37">
        <f t="shared" si="80"/>
        <v>0</v>
      </c>
      <c r="T217" s="52" t="e">
        <f t="shared" si="70"/>
        <v>#VALUE!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https://search-rtdc-monitor-bjffxe2xuh6vdkpspy63sjmuny.us-east-1.es.amazonaws.com/_plugin/kibana/#/discover/Steve-Slow-Train-Analysis-(2080s-and-2083s)?_g=(refreshInterval:(display:Off,section:0,value:0),time:(from:'2016-10-01 16:50:56-0600',mode:absolute,to:'2016-10-01 19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7" s="54" t="str">
        <f t="shared" si="72"/>
        <v>Y</v>
      </c>
      <c r="X217" s="164" t="e">
        <f t="shared" si="67"/>
        <v>#VALUE!</v>
      </c>
      <c r="Y217" s="69">
        <f t="shared" si="73"/>
        <v>2.214</v>
      </c>
      <c r="Z217" s="69">
        <f t="shared" si="74"/>
        <v>8.7900000000000006E-2</v>
      </c>
      <c r="AA217" s="69">
        <f t="shared" si="75"/>
        <v>2.1261000000000001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66-01</v>
      </c>
      <c r="AE217" s="95" t="str">
        <f t="shared" si="77"/>
        <v>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 &amp; aws s3 cp s3://rtdc.mdm.uploadarchive.raw/RTDC4001/ "%USERPROFILE%\AppData\Local\Temp\OnboardLogs"\RTDC4001\2016-10-02 --exclude "*" --recursive --include "*20161002*" &amp; "%USERPROFILE%\Documents\GitHub\mrs-test-scripts\Headless Mode &amp; Sideloading\WalkAndUnGZ.bat" "%USERPROFILE%\AppData\Local\Temp\OnboardLogs"\RTDC4001\2016-10-02</v>
      </c>
      <c r="AF217" s="92" t="str">
        <f t="shared" si="78"/>
        <v>"C:\Program Files (x86)\AstroGrep\AstroGrep.exe" /spath="%USERPROFILE%\AppData\Local\Temp\OnboardLogs" /stypes="app*4001*20161002*" /stext=" 00:.+((SYSTEM_STATE.+slice.+state.+changed )|(ment ac)|(system.+state.+changed )|(\[timeout)|(PRM\|1\|D)|(kpr)|(kdp)|(\|lc)|(penalty))" /e /r /s</v>
      </c>
      <c r="AG217" s="1" t="str">
        <f t="shared" si="79"/>
        <v>Other</v>
      </c>
      <c r="AH217" s="96" t="str">
        <f t="shared" si="65"/>
        <v>"%USERPROFILE%\Documents\GitHub\eaglep3\Utilities\RefineRTDCRunTimes.py" --tripid 66-01 --locoid 4001 --swversion DE.1.0.7.0 --startMP 300:22140 --initTime 2016-10-01T17:50:56 --startdatetime 2016-10-01T17:55:54 --delay 4 --endMP 204:879 --enddatetime 2016-10-01T18:06:56 --enforcementcount 0 &gt;&gt;C:\Users\stu\Documents\GitHub\eaglep3-reporting\EC\2016-10-01-refined-times.txt</v>
      </c>
      <c r="AI217" s="130" t="str">
        <f t="shared" si="66"/>
        <v>echo {"issue":{"subject":"","project_id":79,"tracker_id":40,"status_id":1,"priority_id":2,"assigned_to_id":23,"start_date":"2016-10-01","description":"","custom_fields":[{"id":1,"name":"Subdivision","value":"Other"},{"id":4,"name":"Milepost","value":"0.0879"},{"id":17,"name":"Train ID","value":"66-01"},{"id":16,"name":"Locomotive ID","value":"4001"},{"id":130,"name":"Impact","value":""},{"id":150,"name":"Time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17"/>
      <c r="L218" s="24"/>
      <c r="M218" s="6"/>
      <c r="N218" s="7"/>
      <c r="O218" s="7"/>
      <c r="P218" s="7"/>
      <c r="Q218" s="25"/>
      <c r="R218" s="25"/>
      <c r="S218" s="37"/>
      <c r="T218" s="52"/>
      <c r="U218" s="159"/>
      <c r="V218" s="102"/>
      <c r="W218" s="54"/>
      <c r="X218" s="164"/>
      <c r="Y218" s="69"/>
      <c r="Z218" s="69"/>
      <c r="AA218" s="69"/>
      <c r="AB218" s="66"/>
      <c r="AC218" s="62"/>
      <c r="AD218" s="63"/>
      <c r="AE218" s="95"/>
      <c r="AF218" s="92"/>
      <c r="AG218" s="1"/>
      <c r="AI218" s="130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17"/>
      <c r="L219" s="24"/>
      <c r="M219" s="6"/>
      <c r="N219" s="7"/>
      <c r="O219" s="7"/>
      <c r="P219" s="7"/>
      <c r="Q219" s="25"/>
      <c r="R219" s="25"/>
      <c r="S219" s="37"/>
      <c r="T219" s="52"/>
      <c r="U219" s="159"/>
      <c r="V219" s="102"/>
      <c r="W219" s="54"/>
      <c r="X219" s="164"/>
      <c r="Y219" s="69"/>
      <c r="Z219" s="69"/>
      <c r="AA219" s="69"/>
      <c r="AB219" s="66"/>
      <c r="AC219" s="62"/>
      <c r="AD219" s="63"/>
      <c r="AE219" s="95"/>
      <c r="AF219" s="92"/>
      <c r="AG219" s="1"/>
      <c r="AI219" s="130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17"/>
      <c r="L220" s="24"/>
      <c r="M220" s="6"/>
      <c r="N220" s="7"/>
      <c r="O220" s="7"/>
      <c r="P220" s="7"/>
      <c r="Q220" s="25"/>
      <c r="R220" s="25"/>
      <c r="S220" s="37"/>
      <c r="T220" s="52"/>
      <c r="U220" s="159"/>
      <c r="V220" s="102"/>
      <c r="W220" s="54"/>
      <c r="X220" s="164"/>
      <c r="Y220" s="69"/>
      <c r="Z220" s="69"/>
      <c r="AA220" s="69"/>
      <c r="AB220" s="66"/>
      <c r="AC220" s="62"/>
      <c r="AD220" s="63"/>
      <c r="AE220" s="95"/>
      <c r="AF220" s="92"/>
      <c r="AG220" s="1"/>
      <c r="AI220" s="130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17"/>
      <c r="L221" s="24"/>
      <c r="M221" s="6"/>
      <c r="N221" s="7"/>
      <c r="O221" s="7"/>
      <c r="P221" s="7"/>
      <c r="Q221" s="25"/>
      <c r="R221" s="25"/>
      <c r="S221" s="37"/>
      <c r="T221" s="52"/>
      <c r="U221" s="159"/>
      <c r="V221" s="102"/>
      <c r="W221" s="54"/>
      <c r="X221" s="164"/>
      <c r="Y221" s="69"/>
      <c r="Z221" s="69"/>
      <c r="AA221" s="69"/>
      <c r="AB221" s="66"/>
      <c r="AC221" s="62"/>
      <c r="AD221" s="63"/>
      <c r="AE221" s="95"/>
      <c r="AF221" s="92"/>
      <c r="AG221" s="1"/>
      <c r="AI221" s="130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17"/>
      <c r="L222" s="24"/>
      <c r="M222" s="6"/>
      <c r="N222" s="7"/>
      <c r="O222" s="7"/>
      <c r="P222" s="7"/>
      <c r="Q222" s="25"/>
      <c r="R222" s="25"/>
      <c r="S222" s="37"/>
      <c r="T222" s="52"/>
      <c r="U222" s="159"/>
      <c r="V222" s="102"/>
      <c r="W222" s="54"/>
      <c r="X222" s="164"/>
      <c r="Y222" s="69"/>
      <c r="Z222" s="69"/>
      <c r="AA222" s="69"/>
      <c r="AB222" s="66"/>
      <c r="AC222" s="62"/>
      <c r="AD222" s="63"/>
      <c r="AE222" s="95"/>
      <c r="AF222" s="92"/>
      <c r="AG222" s="1"/>
      <c r="AI222" s="130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17"/>
      <c r="L223" s="24"/>
      <c r="M223" s="6"/>
      <c r="N223" s="7"/>
      <c r="O223" s="7"/>
      <c r="P223" s="7"/>
      <c r="Q223" s="25"/>
      <c r="R223" s="25"/>
      <c r="S223" s="37"/>
      <c r="T223" s="52"/>
      <c r="U223" s="159"/>
      <c r="V223" s="102"/>
      <c r="W223" s="54"/>
      <c r="X223" s="164"/>
      <c r="Y223" s="69"/>
      <c r="Z223" s="69"/>
      <c r="AA223" s="69"/>
      <c r="AB223" s="66"/>
      <c r="AC223" s="62"/>
      <c r="AD223" s="63"/>
      <c r="AE223" s="95"/>
      <c r="AF223" s="92"/>
      <c r="AG223" s="1"/>
      <c r="AI223" s="130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17"/>
      <c r="L224" s="24"/>
      <c r="M224" s="6"/>
      <c r="N224" s="7"/>
      <c r="O224" s="7"/>
      <c r="P224" s="7"/>
      <c r="Q224" s="25"/>
      <c r="R224" s="25"/>
      <c r="S224" s="37"/>
      <c r="T224" s="52"/>
      <c r="U224" s="159"/>
      <c r="V224" s="102"/>
      <c r="W224" s="54"/>
      <c r="X224" s="164"/>
      <c r="Y224" s="69"/>
      <c r="Z224" s="69"/>
      <c r="AA224" s="69"/>
      <c r="AB224" s="66"/>
      <c r="AC224" s="62"/>
      <c r="AD224" s="63"/>
      <c r="AE224" s="95"/>
      <c r="AF224" s="92"/>
      <c r="AG224" s="1"/>
      <c r="AI224" s="130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17"/>
      <c r="L225" s="24"/>
      <c r="M225" s="6"/>
      <c r="N225" s="7"/>
      <c r="O225" s="7"/>
      <c r="P225" s="7"/>
      <c r="Q225" s="25"/>
      <c r="R225" s="25"/>
      <c r="S225" s="37"/>
      <c r="T225" s="52"/>
      <c r="U225" s="159"/>
      <c r="V225" s="102"/>
      <c r="W225" s="54"/>
      <c r="X225" s="164"/>
      <c r="Y225" s="69"/>
      <c r="Z225" s="69"/>
      <c r="AA225" s="69"/>
      <c r="AB225" s="66"/>
      <c r="AC225" s="62"/>
      <c r="AD225" s="63"/>
      <c r="AE225" s="95"/>
      <c r="AF225" s="92"/>
      <c r="AG225" s="1"/>
      <c r="AI225" s="130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</sheetData>
  <autoFilter ref="A12:AG24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28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Values'!$C$2:$C$20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4"/>
  <sheetViews>
    <sheetView topLeftCell="A2" workbookViewId="0">
      <selection activeCell="P32" sqref="P3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COUNTIF($O$7:$O$398,"=Y")</f>
        <v>4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COUNTA($O$7:$O$398)-O2</f>
        <v>37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0" t="str">
        <f>"Eagle P3 Braking Events - "&amp;TEXT(Variables!$A$2,"YYYY-mm-dd")</f>
        <v>Eagle P3 Braking Events - 2016-10-01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175</v>
      </c>
      <c r="J6" s="132" t="s">
        <v>30</v>
      </c>
      <c r="K6" s="133" t="s">
        <v>29</v>
      </c>
      <c r="L6" s="145" t="s">
        <v>28</v>
      </c>
      <c r="M6" s="133" t="s">
        <v>176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158</v>
      </c>
      <c r="Z6" s="141" t="s">
        <v>159</v>
      </c>
      <c r="AA6" s="141" t="s">
        <v>132</v>
      </c>
      <c r="AB6" s="141" t="s">
        <v>160</v>
      </c>
      <c r="AC6" s="174" t="s">
        <v>224</v>
      </c>
    </row>
    <row r="7" spans="1:29" s="1" customFormat="1" x14ac:dyDescent="0.25">
      <c r="A7" s="38">
        <v>42644.591979166667</v>
      </c>
      <c r="B7" s="33" t="s">
        <v>258</v>
      </c>
      <c r="C7" s="33" t="s">
        <v>544</v>
      </c>
      <c r="D7" s="33" t="s">
        <v>105</v>
      </c>
      <c r="E7" s="33" t="s">
        <v>166</v>
      </c>
      <c r="F7" s="49">
        <v>0</v>
      </c>
      <c r="G7" s="49">
        <v>238</v>
      </c>
      <c r="H7" s="49">
        <v>33236</v>
      </c>
      <c r="I7" s="49">
        <v>33005</v>
      </c>
      <c r="J7" s="33" t="s">
        <v>165</v>
      </c>
      <c r="K7" s="49">
        <v>33257</v>
      </c>
      <c r="L7" s="146" t="s">
        <v>53</v>
      </c>
      <c r="M7" s="149">
        <f t="shared" ref="M7:M47" si="0">CONVERT((I7-K7)/10000,"mi","ft")*IF(L7="Increasing Mileposts (1)",-1,1)</f>
        <v>-133.05600000000001</v>
      </c>
      <c r="N7" s="88" t="str">
        <f>VLOOKUP(C7,'Trips&amp;Operators'!$C$1:$E$99999,3,FALSE)</f>
        <v>STEWART</v>
      </c>
      <c r="O7" s="170" t="s">
        <v>86</v>
      </c>
      <c r="P7" s="10" t="s">
        <v>230</v>
      </c>
      <c r="Q7" s="33"/>
      <c r="R7" s="104" t="str">
        <f>VLOOKUP(C7,'Train Runs'!$A$13:$AE$10004,31,0)</f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S7" s="107" t="str">
        <f>VLOOKUP(C7,'Train Runs'!$A$13:$AE$10004,22,0)</f>
        <v>https://search-rtdc-monitor-bjffxe2xuh6vdkpspy63sjmuny.us-east-1.es.amazonaws.com/_plugin/kibana/#/discover/Steve-Slow-Train-Analysis-(2080s-and-2083s)?_g=(refreshInterval:(display:Off,section:0,value:0),time:(from:'2016-10-01 12:35:41-0600',mode:absolute,to:'2016-10-01 15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7" s="109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/stypes="*4045*201610012*" /stext=" 20:.+((SYSTEM_STATE.+slice.+state.+changed )|(ment ac)|(system.+state.+changed )|(\[timeout)|(PRM\|1\|D)|(kpr)|(kdp)|(\|lc)|(penalty))" /e /r /s</v>
      </c>
      <c r="U7" s="9" t="str">
        <f t="shared" ref="U7:U47" si="2">MID(B7,13,4)</f>
        <v>4045</v>
      </c>
      <c r="V7" s="38">
        <f t="shared" ref="V7:V47" si="3">A7+6/24</f>
        <v>42644.841979166667</v>
      </c>
      <c r="W7" s="52" t="str">
        <f t="shared" ref="W7:W47" si="4">IF(VALUE(LEFT(IF(LEN(C7)=6,"0"&amp;C7,C7),2))&lt;=2,"EC",IF(OR(VALUE(LEFT(IF(LEN(C7)=6,"0"&amp;C7,C7),2))=8,VALUE(LEFT(IF(LEN(C7)=6,"0"&amp;C7,C7),2))=18),"NW","Other"))</f>
        <v>EC</v>
      </c>
      <c r="X7" s="52" t="str">
        <f t="shared" ref="X7:X47" si="5">IF(AND(E7="TRACK WARRANT AUTHORITY",G7&lt;10),"OMIT","KEEP")</f>
        <v>KEEP</v>
      </c>
      <c r="Y7" s="130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arrival","project_id":79,"tracker_id":40,"status_id":1,"priority_id":2,"assigned_to_id":23,"start_date":"2016-10-01","description":"","custom_fields":[{"id":1,"name":"Subdivision","value":"EC"},{"id":4,"name":"Milepost","value":"3.3257"},{"id":17,"name":"Train ID","value":"174-01"},{"id":16,"name":"Locomotive ID","value":"4045"},{"id":130,"name":"Impact","value":""},{"id":150,"name":"Time of Event (Mountain Time)","value":"14:12:27"},{"id":151,"name":"Denver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"%USERPROFILE%\AppData\Local\Temp\OnboardLogs"\RTDC4045\*4045*201610012* | grep -SE "((Enforcement Ac)|(PRM))" -</v>
      </c>
    </row>
    <row r="8" spans="1:29" s="1" customFormat="1" x14ac:dyDescent="0.25">
      <c r="A8" s="38">
        <v>42644.598344907405</v>
      </c>
      <c r="B8" s="33" t="s">
        <v>245</v>
      </c>
      <c r="C8" s="33" t="s">
        <v>547</v>
      </c>
      <c r="D8" s="33" t="s">
        <v>249</v>
      </c>
      <c r="E8" s="33" t="s">
        <v>166</v>
      </c>
      <c r="F8" s="49">
        <v>0</v>
      </c>
      <c r="G8" s="49">
        <v>243</v>
      </c>
      <c r="H8" s="49">
        <v>63189</v>
      </c>
      <c r="I8" s="49">
        <v>62926</v>
      </c>
      <c r="J8" s="33" t="s">
        <v>165</v>
      </c>
      <c r="K8" s="49">
        <v>63309</v>
      </c>
      <c r="L8" s="146" t="s">
        <v>53</v>
      </c>
      <c r="M8" s="149">
        <f t="shared" si="0"/>
        <v>-202.22399999999999</v>
      </c>
      <c r="N8" s="88" t="str">
        <f>VLOOKUP(C8,'Trips&amp;Operators'!$C$1:$E$99999,3,FALSE)</f>
        <v>BARTLETT</v>
      </c>
      <c r="O8" s="170" t="s">
        <v>86</v>
      </c>
      <c r="P8" s="10" t="s">
        <v>230</v>
      </c>
      <c r="Q8" s="33"/>
      <c r="R8" s="104" t="str">
        <f>VLOOKUP(C8,'Train Runs'!$A$13:$AE$10004,31,0)</f>
        <v>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 &amp; aws s3 cp s3://rtdc.mdm.uploadarchive.raw/RTDC4017/ "%USERPROFILE%\AppData\Local\Temp\OnboardLogs"\RTDC4017\2016-10-02 --exclude "*" --recursive --include "*20161002*" &amp; "%USERPROFILE%\Documents\GitHub\mrs-test-scripts\Headless Mode &amp; Sideloading\WalkAndUnGZ.bat" "%USERPROFILE%\AppData\Local\Temp\OnboardLogs"\RTDC4017\2016-10-02</v>
      </c>
      <c r="S8" s="107" t="str">
        <f>VLOOKUP(C8,'Train Runs'!$A$13:$AE$10004,22,0)</f>
        <v>https://search-rtdc-monitor-bjffxe2xuh6vdkpspy63sjmuny.us-east-1.es.amazonaws.com/_plugin/kibana/#/discover/Steve-Slow-Train-Analysis-(2080s-and-2083s)?_g=(refreshInterval:(display:Off,section:0,value:0),time:(from:'2016-10-01 12:40:46-0600',mode:absolute,to:'2016-10-01 15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8" s="109" t="str">
        <f t="shared" si="1"/>
        <v>"C:\Program Files (x86)\AstroGrep\AstroGrep.exe" /spath="%USERPROFILE%\AppData\Local\Temp\OnboardLogs" /stypes="*4017*201610012*" /stext=" 20:.+((SYSTEM_STATE.+slice.+state.+changed )|(ment ac)|(system.+state.+changed )|(\[timeout)|(PRM\|1\|D)|(kpr)|(kdp)|(\|lc)|(penalty))" /e /r /s</v>
      </c>
      <c r="U8" s="9" t="str">
        <f t="shared" si="2"/>
        <v>4017</v>
      </c>
      <c r="V8" s="38">
        <f t="shared" si="3"/>
        <v>42644.848344907405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"%USERPROFILE%\AppData\Local\Temp\OnboardLogs"\RTDC4017\*4017*201610012* | grep -SE "((Enforcement Ac)|(PRM))" -</v>
      </c>
    </row>
    <row r="9" spans="1:29" s="1" customFormat="1" x14ac:dyDescent="0.25">
      <c r="A9" s="38">
        <v>42644.330821759257</v>
      </c>
      <c r="B9" s="33" t="s">
        <v>177</v>
      </c>
      <c r="C9" s="33" t="s">
        <v>457</v>
      </c>
      <c r="D9" s="33" t="s">
        <v>105</v>
      </c>
      <c r="E9" s="33" t="s">
        <v>166</v>
      </c>
      <c r="F9" s="49">
        <v>0</v>
      </c>
      <c r="G9" s="49">
        <v>53</v>
      </c>
      <c r="H9" s="49">
        <v>103756</v>
      </c>
      <c r="I9" s="49">
        <v>103777</v>
      </c>
      <c r="J9" s="33" t="s">
        <v>165</v>
      </c>
      <c r="K9" s="49">
        <v>103738</v>
      </c>
      <c r="L9" s="146" t="s">
        <v>52</v>
      </c>
      <c r="M9" s="149">
        <f t="shared" si="0"/>
        <v>-20.591999999999999</v>
      </c>
      <c r="N9" s="88" t="str">
        <f>VLOOKUP(C9,'Trips&amp;Operators'!$C$1:$E$99999,3,FALSE)</f>
        <v>MALAVE</v>
      </c>
      <c r="O9" s="170" t="s">
        <v>86</v>
      </c>
      <c r="P9" s="10" t="s">
        <v>230</v>
      </c>
      <c r="Q9" s="33"/>
      <c r="R9" s="104" t="str">
        <f>VLOOKUP(C9,'Train Runs'!$A$13:$AE$10004,31,0)</f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S9" s="107" t="str">
        <f>VLOOKUP(C9,'Train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06:32:43-0600',mode:absolute,to:'2016-10-01 09:16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9" s="109" t="str">
        <f t="shared" si="1"/>
        <v>"C:\Program Files (x86)\AstroGrep\AstroGrep.exe" /spath="%USERPROFILE%\AppData\Local\Temp\OnboardLogs" /stypes="*4046*201610011*" /stext=" 13:.+((SYSTEM_STATE.+slice.+state.+changed )|(ment ac)|(system.+state.+changed )|(\[timeout)|(PRM\|1\|D)|(kpr)|(kdp)|(\|lc)|(penalty))" /e /r /s</v>
      </c>
      <c r="U9" s="9" t="str">
        <f t="shared" si="2"/>
        <v>4046</v>
      </c>
      <c r="V9" s="38">
        <f t="shared" si="3"/>
        <v>42644.580821759257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arrival","project_id":79,"tracker_id":40,"status_id":1,"priority_id":2,"assigned_to_id":23,"start_date":"2016-10-01","description":"","custom_fields":[{"id":1,"name":"Subdivision","value":"EC"},{"id":4,"name":"Milepost","value":"10.3738"},{"id":17,"name":"Train ID","value":"131-01"},{"id":16,"name":"Locomotive ID","value":"4046"},{"id":130,"name":"Impact","value":""},{"id":150,"name":"Time of Event (Mountain Time)","value":"07:56:23"},{"id":151,"name":"Denver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"%USERPROFILE%\AppData\Local\Temp\OnboardLogs"\RTDC4046\*4046*201610011* | grep -SE "((Enforcement Ac)|(PRM))" -</v>
      </c>
    </row>
    <row r="10" spans="1:29" s="1" customFormat="1" x14ac:dyDescent="0.25">
      <c r="A10" s="38">
        <v>42644.324293981481</v>
      </c>
      <c r="B10" s="33" t="s">
        <v>259</v>
      </c>
      <c r="C10" s="33" t="s">
        <v>445</v>
      </c>
      <c r="D10" s="33" t="s">
        <v>49</v>
      </c>
      <c r="E10" s="33" t="s">
        <v>166</v>
      </c>
      <c r="F10" s="49">
        <v>0</v>
      </c>
      <c r="G10" s="49">
        <v>192</v>
      </c>
      <c r="H10" s="49">
        <v>110050</v>
      </c>
      <c r="I10" s="49">
        <v>109545</v>
      </c>
      <c r="J10" s="33" t="s">
        <v>165</v>
      </c>
      <c r="K10" s="49">
        <v>109135</v>
      </c>
      <c r="L10" s="146" t="s">
        <v>53</v>
      </c>
      <c r="M10" s="149">
        <f t="shared" si="0"/>
        <v>216.48</v>
      </c>
      <c r="N10" s="88" t="str">
        <f>VLOOKUP(C10,'Trips&amp;Operators'!$C$1:$E$99999,3,FALSE)</f>
        <v>KILLION</v>
      </c>
      <c r="O10" s="170" t="s">
        <v>86</v>
      </c>
      <c r="P10" s="10" t="s">
        <v>749</v>
      </c>
      <c r="Q10" s="33"/>
      <c r="R10" s="104" t="str">
        <f>VLOOKUP(C10,'Train Runs'!$A$13:$AE$10004,31,0)</f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S10" s="107" t="str">
        <f>VLOOKUP(C10,'Train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06:16:00-0600',mode:absolute,to:'2016-10-01 08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0" s="109" t="str">
        <f t="shared" si="1"/>
        <v>"C:\Program Files (x86)\AstroGrep\AstroGrep.exe" /spath="%USERPROFILE%\AppData\Local\Temp\OnboardLogs" /stypes="*4013*201610011*" /stext=" 13:.+((SYSTEM_STATE.+slice.+state.+changed )|(ment ac)|(system.+state.+changed )|(\[timeout)|(PRM\|1\|D)|(kpr)|(kdp)|(\|lc)|(penalty))" /e /r /s</v>
      </c>
      <c r="U10" s="9" t="str">
        <f t="shared" si="2"/>
        <v>4013</v>
      </c>
      <c r="V10" s="38">
        <f t="shared" si="3"/>
        <v>42644.574293981481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{"issue":{"subject":"Form C","project_id":79,"tracker_id":40,"status_id":1,"priority_id":2,"assigned_to_id":23,"start_date":"2016-10-01","description":"","custom_fields":[{"id":1,"name":"Subdivision","value":"EC"},{"id":4,"name":"Milepost","value":"10.9135"},{"id":17,"name":"Train ID","value":"124-01"},{"id":16,"name":"Locomotive ID","value":"4013"},{"id":130,"name":"Impact","value":""},{"id":150,"name":"Time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"%USERPROFILE%\AppData\Local\Temp\OnboardLogs"\RTDC4013\*4013*201610011* | grep -SE "((Enforcement Ac)|(PRM))" -</v>
      </c>
    </row>
    <row r="11" spans="1:29" s="1" customFormat="1" x14ac:dyDescent="0.25">
      <c r="A11" s="38">
        <v>42644.324560185189</v>
      </c>
      <c r="B11" s="33" t="s">
        <v>259</v>
      </c>
      <c r="C11" s="33" t="s">
        <v>445</v>
      </c>
      <c r="D11" s="33" t="s">
        <v>49</v>
      </c>
      <c r="E11" s="33" t="s">
        <v>166</v>
      </c>
      <c r="F11" s="49">
        <v>0</v>
      </c>
      <c r="G11" s="49">
        <v>58</v>
      </c>
      <c r="H11" s="49">
        <v>109450</v>
      </c>
      <c r="I11" s="49">
        <v>109376</v>
      </c>
      <c r="J11" s="33" t="s">
        <v>165</v>
      </c>
      <c r="K11" s="49">
        <v>109135</v>
      </c>
      <c r="L11" s="146" t="s">
        <v>53</v>
      </c>
      <c r="M11" s="149">
        <f t="shared" si="0"/>
        <v>127.248</v>
      </c>
      <c r="N11" s="88" t="str">
        <f>VLOOKUP(C11,'Trips&amp;Operators'!$C$1:$E$99999,3,FALSE)</f>
        <v>KILLION</v>
      </c>
      <c r="O11" s="170" t="s">
        <v>86</v>
      </c>
      <c r="P11" s="10" t="s">
        <v>749</v>
      </c>
      <c r="Q11" s="33"/>
      <c r="R11" s="104" t="str">
        <f>VLOOKUP(C11,'Train Runs'!$A$13:$AE$10004,31,0)</f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S11" s="107" t="str">
        <f>VLOOKUP(C11,'Train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06:16:00-0600',mode:absolute,to:'2016-10-01 08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1" s="109" t="str">
        <f t="shared" si="1"/>
        <v>"C:\Program Files (x86)\AstroGrep\AstroGrep.exe" /spath="%USERPROFILE%\AppData\Local\Temp\OnboardLogs" /stypes="*4013*201610011*" /stext=" 13:.+((SYSTEM_STATE.+slice.+state.+changed )|(ment ac)|(system.+state.+changed )|(\[timeout)|(PRM\|1\|D)|(kpr)|(kdp)|(\|lc)|(penalty))" /e /r /s</v>
      </c>
      <c r="U11" s="9" t="str">
        <f t="shared" si="2"/>
        <v>4013</v>
      </c>
      <c r="V11" s="38">
        <f t="shared" si="3"/>
        <v>42644.574560185189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{"issue":{"subject":"Form C","project_id":79,"tracker_id":40,"status_id":1,"priority_id":2,"assigned_to_id":23,"start_date":"2016-10-01","description":"","custom_fields":[{"id":1,"name":"Subdivision","value":"EC"},{"id":4,"name":"Milepost","value":"10.9135"},{"id":17,"name":"Train ID","value":"124-01"},{"id":16,"name":"Locomotive ID","value":"4013"},{"id":130,"name":"Impact","value":""},{"id":150,"name":"Time of Event (Mountain Time)","value":"07:47:22"},{"id":151,"name":"Denver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"%USERPROFILE%\AppData\Local\Temp\OnboardLogs"\RTDC4013\*4013*201610011* | grep -SE "((Enforcement Ac)|(PRM))" -</v>
      </c>
    </row>
    <row r="12" spans="1:29" s="1" customFormat="1" x14ac:dyDescent="0.25">
      <c r="A12" s="38">
        <v>42644.342650462961</v>
      </c>
      <c r="B12" s="33" t="s">
        <v>736</v>
      </c>
      <c r="C12" s="33" t="s">
        <v>452</v>
      </c>
      <c r="D12" s="33" t="s">
        <v>49</v>
      </c>
      <c r="E12" s="33" t="s">
        <v>166</v>
      </c>
      <c r="F12" s="49">
        <v>0</v>
      </c>
      <c r="G12" s="49">
        <v>196</v>
      </c>
      <c r="H12" s="49">
        <v>110404</v>
      </c>
      <c r="I12" s="49">
        <v>110090</v>
      </c>
      <c r="J12" s="33" t="s">
        <v>165</v>
      </c>
      <c r="K12" s="49">
        <v>109135</v>
      </c>
      <c r="L12" s="146" t="s">
        <v>53</v>
      </c>
      <c r="M12" s="149">
        <f t="shared" si="0"/>
        <v>504.24</v>
      </c>
      <c r="N12" s="88" t="str">
        <f>VLOOKUP(C12,'Trips&amp;Operators'!$C$1:$E$99999,3,FALSE)</f>
        <v>MAELZER</v>
      </c>
      <c r="O12" s="170" t="s">
        <v>86</v>
      </c>
      <c r="P12" s="10" t="s">
        <v>749</v>
      </c>
      <c r="Q12" s="33"/>
      <c r="R12" s="104" t="str">
        <f>VLOOKUP(C12,'Train Runs'!$A$13:$AE$10004,31,0)</f>
        <v>aws s3 cp s3://rtdc.mdm.uploadarchive.raw/RTDC4004/ "%USERPROFILE%\AppData\Local\Temp\OnboardLogs"\RTDC4004\2016-10-01 --exclude "*" --recursive --include "*20161001*" &amp; "%USERPROFILE%\Documents\GitHub\mrs-test-scripts\Headless Mode &amp; Sideloading\WalkAndUnGZ.bat" "%USERPROFILE%\AppData\Local\Temp\OnboardLogs"\RTDC4004\2016-10-01 &amp; aws s3 cp s3://rtdc.mdm.uploadarchive.raw/RTDC4004/ "%USERPROFILE%\AppData\Local\Temp\OnboardLogs"\RTDC4004\2016-10-02 --exclude "*" --recursive --include "*20161002*" &amp; "%USERPROFILE%\Documents\GitHub\mrs-test-scripts\Headless Mode &amp; Sideloading\WalkAndUnGZ.bat" "%USERPROFILE%\AppData\Local\Temp\OnboardLogs"\RTDC4004\2016-10-02</v>
      </c>
      <c r="S12" s="107" t="str">
        <f>VLOOKUP(C12,'Train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06:52:07-0600',mode:absolute,to:'2016-10-01 09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2" s="109" t="str">
        <f t="shared" si="1"/>
        <v>"C:\Program Files (x86)\AstroGrep\AstroGrep.exe" /spath="%USERPROFILE%\AppData\Local\Temp\OnboardLogs" /stypes="*4004*201610011*" /stext=" 14:.+((SYSTEM_STATE.+slice.+state.+changed )|(ment ac)|(system.+state.+changed )|(\[timeout)|(PRM\|1\|D)|(kpr)|(kdp)|(\|lc)|(penalty))" /e /r /s</v>
      </c>
      <c r="U12" s="9" t="str">
        <f t="shared" si="2"/>
        <v>4004</v>
      </c>
      <c r="V12" s="38">
        <f t="shared" si="3"/>
        <v>42644.592650462961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{"issue":{"subject":"Form C","project_id":79,"tracker_id":40,"status_id":1,"priority_id":2,"assigned_to_id":23,"start_date":"2016-10-01","description":"","custom_fields":[{"id":1,"name":"Subdivision","value":"EC"},{"id":4,"name":"Milepost","value":"10.9135"},{"id":17,"name":"Train ID","value":"128-01"},{"id":16,"name":"Locomotive ID","value":"4004"},{"id":130,"name":"Impact","value":""},{"id":150,"name":"Time of Event (Mountain Time)","value":"08:13:25"},{"id":151,"name":"Denver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"%USERPROFILE%\AppData\Local\Temp\OnboardLogs"\RTDC4004\*4004*201610011* | grep -SE "((Enforcement Ac)|(PRM))" -</v>
      </c>
    </row>
    <row r="13" spans="1:29" s="1" customFormat="1" x14ac:dyDescent="0.25">
      <c r="A13" s="38">
        <v>42644.32503472222</v>
      </c>
      <c r="B13" s="33" t="s">
        <v>259</v>
      </c>
      <c r="C13" s="33" t="s">
        <v>445</v>
      </c>
      <c r="D13" s="33" t="s">
        <v>49</v>
      </c>
      <c r="E13" s="33" t="s">
        <v>166</v>
      </c>
      <c r="F13" s="49">
        <v>40</v>
      </c>
      <c r="G13" s="49">
        <v>95</v>
      </c>
      <c r="H13" s="49">
        <v>109240</v>
      </c>
      <c r="I13" s="49">
        <v>109121</v>
      </c>
      <c r="J13" s="33" t="s">
        <v>165</v>
      </c>
      <c r="K13" s="49">
        <v>109135</v>
      </c>
      <c r="L13" s="146" t="s">
        <v>53</v>
      </c>
      <c r="M13" s="149">
        <f t="shared" si="0"/>
        <v>-7.3920000000000003</v>
      </c>
      <c r="N13" s="88" t="str">
        <f>VLOOKUP(C13,'Trips&amp;Operators'!$C$1:$E$99999,3,FALSE)</f>
        <v>KILLION</v>
      </c>
      <c r="O13" s="170" t="s">
        <v>86</v>
      </c>
      <c r="P13" s="10" t="s">
        <v>749</v>
      </c>
      <c r="Q13" s="33"/>
      <c r="R13" s="104" t="str">
        <f>VLOOKUP(C13,'Train Runs'!$A$13:$AE$10004,31,0)</f>
        <v>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 &amp; aws s3 cp s3://rtdc.mdm.uploadarchive.raw/RTDC4013/ "%USERPROFILE%\AppData\Local\Temp\OnboardLogs"\RTDC4013\2016-10-02 --exclude "*" --recursive --include "*20161002*" &amp; "%USERPROFILE%\Documents\GitHub\mrs-test-scripts\Headless Mode &amp; Sideloading\WalkAndUnGZ.bat" "%USERPROFILE%\AppData\Local\Temp\OnboardLogs"\RTDC4013\2016-10-02</v>
      </c>
      <c r="S13" s="107" t="str">
        <f>VLOOKUP(C13,'Train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06:16:00-0600',mode:absolute,to:'2016-10-01 08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13" s="109" t="str">
        <f t="shared" si="1"/>
        <v>"C:\Program Files (x86)\AstroGrep\AstroGrep.exe" /spath="%USERPROFILE%\AppData\Local\Temp\OnboardLogs" /stypes="*4013*201610011*" /stext=" 13:.+((SYSTEM_STATE.+slice.+state.+changed )|(ment ac)|(system.+state.+changed )|(\[timeout)|(PRM\|1\|D)|(kpr)|(kdp)|(\|lc)|(penalty))" /e /r /s</v>
      </c>
      <c r="U13" s="9" t="str">
        <f t="shared" si="2"/>
        <v>4013</v>
      </c>
      <c r="V13" s="38">
        <f t="shared" si="3"/>
        <v>42644.57503472222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{"issue":{"subject":"Form C","project_id":79,"tracker_id":40,"status_id":1,"priority_id":2,"assigned_to_id":23,"start_date":"2016-10-01","description":"","custom_fields":[{"id":1,"name":"Subdivision","value":"EC"},{"id":4,"name":"Milepost","value":"10.9135"},{"id":17,"name":"Train ID","value":"124-01"},{"id":16,"name":"Locomotive ID","value":"4013"},{"id":130,"name":"Impact","value":""},{"id":150,"name":"Time of Event (Mountain Time)","value":"07:48:03"},{"id":151,"name":"Denver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"%USERPROFILE%\AppData\Local\Temp\OnboardLogs"\RTDC4013\*4013*201610011* | grep -SE "((Enforcement Ac)|(PRM))" -</v>
      </c>
    </row>
    <row r="14" spans="1:29" s="1" customFormat="1" x14ac:dyDescent="0.25">
      <c r="A14" s="38">
        <v>42644.294687499998</v>
      </c>
      <c r="B14" s="33" t="s">
        <v>735</v>
      </c>
      <c r="C14" s="33" t="s">
        <v>451</v>
      </c>
      <c r="D14" s="33" t="s">
        <v>49</v>
      </c>
      <c r="E14" s="33" t="s">
        <v>56</v>
      </c>
      <c r="F14" s="49">
        <v>400</v>
      </c>
      <c r="G14" s="49">
        <v>498</v>
      </c>
      <c r="H14" s="49">
        <v>17032</v>
      </c>
      <c r="I14" s="49">
        <v>17846</v>
      </c>
      <c r="J14" s="33" t="s">
        <v>57</v>
      </c>
      <c r="K14" s="49">
        <v>17867</v>
      </c>
      <c r="L14" s="146" t="s">
        <v>52</v>
      </c>
      <c r="M14" s="149">
        <f t="shared" si="0"/>
        <v>11.087999999999999</v>
      </c>
      <c r="N14" s="88" t="str">
        <f>VLOOKUP(C14,'Trips&amp;Operators'!$C$1:$E$99999,3,FALSE)</f>
        <v>MAELZER</v>
      </c>
      <c r="O14" s="170" t="s">
        <v>86</v>
      </c>
      <c r="P14" s="10"/>
      <c r="Q14" s="33"/>
      <c r="R14" s="104" t="str">
        <f>VLOOKUP(C14,'Train Runs'!$A$13:$AE$10004,31,0)</f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S14" s="107" t="str">
        <f>VLOOKUP(C14,'Train Runs'!$A$13:$AE$10004,22,0)</f>
        <v>https://search-rtdc-monitor-bjffxe2xuh6vdkpspy63sjmuny.us-east-1.es.amazonaws.com/_plugin/kibana/#/discover/Steve-Slow-Train-Analysis-(2080s-and-2083s)?_g=(refreshInterval:(display:Off,section:0,value:0),time:(from:'2016-10-01 05:52:54-0600',mode:absolute,to:'2016-10-01 08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4" s="109" t="str">
        <f t="shared" si="1"/>
        <v>"C:\Program Files (x86)\AstroGrep\AstroGrep.exe" /spath="%USERPROFILE%\AppData\Local\Temp\OnboardLogs" /stypes="*4003*201610011*" /stext=" 13:.+((SYSTEM_STATE.+slice.+state.+changed )|(ment ac)|(system.+state.+changed )|(\[timeout)|(PRM\|1\|D)|(kpr)|(kdp)|(\|lc)|(penalty))" /e /r /s</v>
      </c>
      <c r="U14" s="9" t="str">
        <f t="shared" si="2"/>
        <v>4003</v>
      </c>
      <c r="V14" s="38">
        <f t="shared" si="3"/>
        <v>42644.544687499998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{"issue":{"subject":"","project_id":79,"tracker_id":40,"status_id":1,"priority_id":2,"assigned_to_id":23,"start_date":"2016-10-01","description":"","custom_fields":[{"id":1,"name":"Subdivision","value":"EC"},{"id":4,"name":"Milepost","value":"1.7867"},{"id":17,"name":"Train ID","value":"127-01"},{"id":16,"name":"Locomotive ID","value":"4003"},{"id":130,"name":"Impact","value":""},{"id":150,"name":"Time of Event (Mountain Time)","value":"07:04:21"},{"id":151,"name":"Denver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"%USERPROFILE%\AppData\Local\Temp\OnboardLogs"\RTDC4003\*4003*201610011* | grep -SE "((Enforcement Ac)|(PRM))" -</v>
      </c>
    </row>
    <row r="15" spans="1:29" s="1" customFormat="1" x14ac:dyDescent="0.25">
      <c r="A15" s="38">
        <v>42644.377870370372</v>
      </c>
      <c r="B15" s="33" t="s">
        <v>296</v>
      </c>
      <c r="C15" s="33" t="s">
        <v>475</v>
      </c>
      <c r="D15" s="33" t="s">
        <v>49</v>
      </c>
      <c r="E15" s="33" t="s">
        <v>56</v>
      </c>
      <c r="F15" s="49">
        <v>400</v>
      </c>
      <c r="G15" s="49">
        <v>600</v>
      </c>
      <c r="H15" s="49">
        <v>14148</v>
      </c>
      <c r="I15" s="49">
        <v>17553</v>
      </c>
      <c r="J15" s="33" t="s">
        <v>57</v>
      </c>
      <c r="K15" s="49">
        <v>17867</v>
      </c>
      <c r="L15" s="146" t="s">
        <v>52</v>
      </c>
      <c r="M15" s="149">
        <f t="shared" si="0"/>
        <v>165.79199999999997</v>
      </c>
      <c r="N15" s="88" t="str">
        <f>VLOOKUP(C15,'Trips&amp;Operators'!$C$1:$E$99999,3,FALSE)</f>
        <v>STAMBAUGH</v>
      </c>
      <c r="O15" s="170" t="s">
        <v>86</v>
      </c>
      <c r="P15" s="10"/>
      <c r="Q15" s="33"/>
      <c r="R15" s="104" t="str">
        <f>VLOOKUP(C15,'Train Runs'!$A$13:$AE$10004,31,0)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S15" s="107" t="str">
        <f>VLOOKUP(C15,'Train Runs'!$A$13:$AE$10004,22,0)</f>
        <v>https://search-rtdc-monitor-bjffxe2xuh6vdkpspy63sjmuny.us-east-1.es.amazonaws.com/_plugin/kibana/#/discover/Steve-Slow-Train-Analysis-(2080s-and-2083s)?_g=(refreshInterval:(display:Off,section:0,value:0),time:(from:'2016-10-01 07:56:19-0600',mode:absolute,to:'2016-10-01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5" s="109" t="str">
        <f t="shared" si="1"/>
        <v>"C:\Program Files (x86)\AstroGrep\AstroGrep.exe" /spath="%USERPROFILE%\AppData\Local\Temp\OnboardLogs" /stypes="*4011*201610011*" /stext=" 15:.+((SYSTEM_STATE.+slice.+state.+changed )|(ment ac)|(system.+state.+changed )|(\[timeout)|(PRM\|1\|D)|(kpr)|(kdp)|(\|lc)|(penalty))" /e /r /s</v>
      </c>
      <c r="U15" s="9" t="str">
        <f t="shared" si="2"/>
        <v>4011</v>
      </c>
      <c r="V15" s="38">
        <f t="shared" si="3"/>
        <v>42644.627870370372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{"issue":{"subject":"","project_id":79,"tracker_id":40,"status_id":1,"priority_id":2,"assigned_to_id":23,"start_date":"2016-10-01","description":"","custom_fields":[{"id":1,"name":"Subdivision","value":"EC"},{"id":4,"name":"Milepost","value":"1.7867"},{"id":17,"name":"Train ID","value":"143-01"},{"id":16,"name":"Locomotive ID","value":"4011"},{"id":130,"name":"Impact","value":""},{"id":150,"name":"Time of Event (Mountain Time)","value":"09:04:08"},{"id":151,"name":"Denver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"%USERPROFILE%\AppData\Local\Temp\OnboardLogs"\RTDC4011\*4011*201610011* | grep -SE "((Enforcement Ac)|(PRM))" -</v>
      </c>
    </row>
    <row r="16" spans="1:29" s="1" customFormat="1" x14ac:dyDescent="0.25">
      <c r="A16" s="38">
        <v>42645.044606481482</v>
      </c>
      <c r="B16" s="33" t="s">
        <v>239</v>
      </c>
      <c r="C16" s="33" t="s">
        <v>707</v>
      </c>
      <c r="D16" s="33" t="s">
        <v>49</v>
      </c>
      <c r="E16" s="33" t="s">
        <v>56</v>
      </c>
      <c r="F16" s="49">
        <v>400</v>
      </c>
      <c r="G16" s="49">
        <v>484</v>
      </c>
      <c r="H16" s="49">
        <v>17248</v>
      </c>
      <c r="I16" s="49">
        <v>17976</v>
      </c>
      <c r="J16" s="33" t="s">
        <v>57</v>
      </c>
      <c r="K16" s="49">
        <v>17867</v>
      </c>
      <c r="L16" s="146" t="s">
        <v>52</v>
      </c>
      <c r="M16" s="149">
        <f t="shared" si="0"/>
        <v>-57.552</v>
      </c>
      <c r="N16" s="88" t="str">
        <f>VLOOKUP(C16,'Trips&amp;Operators'!$C$1:$E$99999,3,FALSE)</f>
        <v>LEVIN</v>
      </c>
      <c r="O16" s="170" t="s">
        <v>86</v>
      </c>
      <c r="P16" s="10"/>
      <c r="Q16" s="33"/>
      <c r="R16" s="104" t="str">
        <f>VLOOKUP(C16,'Train Runs'!$A$13:$AE$10004,31,0)</f>
        <v>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 &amp; aws s3 cp s3://rtdc.mdm.uploadarchive.raw/RTDC4029/ "%USERPROFILE%\AppData\Local\Temp\OnboardLogs"\RTDC4029\2016-10-03 --exclude "*" --recursive --include "*20161003*" &amp; "%USERPROFILE%\Documents\GitHub\mrs-test-scripts\Headless Mode &amp; Sideloading\WalkAndUnGZ.bat" "%USERPROFILE%\AppData\Local\Temp\OnboardLogs"\RTDC4029\2016-10-03</v>
      </c>
      <c r="S16" s="107" t="str">
        <f>VLOOKUP(C16,'Train Runs'!$A$13:$AE$10004,22,0)</f>
        <v>https://search-rtdc-monitor-bjffxe2xuh6vdkpspy63sjmuny.us-east-1.es.amazonaws.com/_plugin/kibana/#/discover/Steve-Slow-Train-Analysis-(2080s-and-2083s)?_g=(refreshInterval:(display:Off,section:0,value:0),time:(from:'2016-10-01 23:49:41-0600',mode:absolute,to:'2016-10-02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16" s="109" t="str">
        <f t="shared" si="1"/>
        <v>"C:\Program Files (x86)\AstroGrep\AstroGrep.exe" /spath="%USERPROFILE%\AppData\Local\Temp\OnboardLogs" /stypes="*4029*201610020*" /stext=" 07:.+((SYSTEM_STATE.+slice.+state.+changed )|(ment ac)|(system.+state.+changed )|(\[timeout)|(PRM\|1\|D)|(kpr)|(kdp)|(\|lc)|(penalty))" /e /r /s</v>
      </c>
      <c r="U16" s="9" t="str">
        <f t="shared" si="2"/>
        <v>4029</v>
      </c>
      <c r="V16" s="38">
        <f t="shared" si="3"/>
        <v>42645.294606481482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{"issue":{"subject":"","project_id":79,"tracker_id":40,"status_id":1,"priority_id":2,"assigned_to_id":23,"start_date":"2016-10-02","description":"","custom_fields":[{"id":1,"name":"Subdivision","value":"EC"},{"id":4,"name":"Milepost","value":"1.7867"},{"id":17,"name":"Train ID","value":"245-01"},{"id":16,"name":"Locomotive ID","value":"4029"},{"id":130,"name":"Impact","value":""},{"id":150,"name":"Time of Event (Mountain Time)","value":"01:04:14"},{"id":151,"name":"Denver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"%USERPROFILE%\AppData\Local\Temp\OnboardLogs"\RTDC4029\*4029*201610020* | grep -SE "((Enforcement Ac)|(PRM))" -</v>
      </c>
    </row>
    <row r="17" spans="1:29" s="1" customFormat="1" x14ac:dyDescent="0.25">
      <c r="A17" s="38">
        <v>42644.219756944447</v>
      </c>
      <c r="B17" s="33" t="s">
        <v>258</v>
      </c>
      <c r="C17" s="33" t="s">
        <v>415</v>
      </c>
      <c r="D17" s="33" t="s">
        <v>49</v>
      </c>
      <c r="E17" s="33" t="s">
        <v>56</v>
      </c>
      <c r="F17" s="49">
        <v>300</v>
      </c>
      <c r="G17" s="49">
        <v>388</v>
      </c>
      <c r="H17" s="49">
        <v>22543</v>
      </c>
      <c r="I17" s="49">
        <v>21639</v>
      </c>
      <c r="J17" s="33" t="s">
        <v>57</v>
      </c>
      <c r="K17" s="49">
        <v>21848</v>
      </c>
      <c r="L17" s="146" t="s">
        <v>53</v>
      </c>
      <c r="M17" s="149">
        <f t="shared" si="0"/>
        <v>-110.352</v>
      </c>
      <c r="N17" s="88" t="str">
        <f>VLOOKUP(C17,'Trips&amp;Operators'!$C$1:$E$99999,3,FALSE)</f>
        <v>MALAVE</v>
      </c>
      <c r="O17" s="170" t="s">
        <v>86</v>
      </c>
      <c r="P17" s="10"/>
      <c r="Q17" s="33"/>
      <c r="R17" s="104" t="str">
        <f>VLOOKUP(C17,'Train Runs'!$A$13:$AE$10004,31,0)</f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S17" s="107" t="str">
        <f>VLOOKUP(C17,'Train Runs'!$A$13:$AE$10004,22,0)</f>
        <v>https://search-rtdc-monitor-bjffxe2xuh6vdkpspy63sjmuny.us-east-1.es.amazonaws.com/_plugin/kibana/#/discover/Steve-Slow-Train-Analysis-(2080s-and-2083s)?_g=(refreshInterval:(display:Off,section:0,value:0),time:(from:'2016-10-01 03:38:58-0600',mode:absolute,to:'2016-10-01 06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7" s="109" t="str">
        <f t="shared" si="1"/>
        <v>"C:\Program Files (x86)\AstroGrep\AstroGrep.exe" /spath="%USERPROFILE%\AppData\Local\Temp\OnboardLogs" /stypes="*4045*201610011*" /stext=" 11:.+((SYSTEM_STATE.+slice.+state.+changed )|(ment ac)|(system.+state.+changed )|(\[timeout)|(PRM\|1\|D)|(kpr)|(kdp)|(\|lc)|(penalty))" /e /r /s</v>
      </c>
      <c r="U17" s="9" t="str">
        <f t="shared" si="2"/>
        <v>4045</v>
      </c>
      <c r="V17" s="38">
        <f t="shared" si="3"/>
        <v>42644.469756944447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{"issue":{"subject":"","project_id":79,"tracker_id":40,"status_id":1,"priority_id":2,"assigned_to_id":23,"start_date":"2016-10-01","description":"","custom_fields":[{"id":1,"name":"Subdivision","value":"EC"},{"id":4,"name":"Milepost","value":"2.1848"},{"id":17,"name":"Train ID","value":"104-01"},{"id":16,"name":"Locomotive ID","value":"4045"},{"id":130,"name":"Impact","value":""},{"id":150,"name":"Time of Event (Mountain Time)","value":"05:16:27"},{"id":151,"name":"Denver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"%USERPROFILE%\AppData\Local\Temp\OnboardLogs"\RTDC4045\*4045*201610011* | grep -SE "((Enforcement Ac)|(PRM))" -</v>
      </c>
    </row>
    <row r="18" spans="1:29" s="1" customFormat="1" x14ac:dyDescent="0.25">
      <c r="A18" s="38">
        <v>42644.290266203701</v>
      </c>
      <c r="B18" s="33" t="s">
        <v>222</v>
      </c>
      <c r="C18" s="33" t="s">
        <v>434</v>
      </c>
      <c r="D18" s="33" t="s">
        <v>49</v>
      </c>
      <c r="E18" s="33" t="s">
        <v>56</v>
      </c>
      <c r="F18" s="49">
        <v>300</v>
      </c>
      <c r="G18" s="49">
        <v>478</v>
      </c>
      <c r="H18" s="49">
        <v>24142</v>
      </c>
      <c r="I18" s="49">
        <v>22624</v>
      </c>
      <c r="J18" s="33" t="s">
        <v>57</v>
      </c>
      <c r="K18" s="49">
        <v>21848</v>
      </c>
      <c r="L18" s="146" t="s">
        <v>53</v>
      </c>
      <c r="M18" s="149">
        <f t="shared" si="0"/>
        <v>409.72800000000001</v>
      </c>
      <c r="N18" s="88" t="str">
        <f>VLOOKUP(C18,'Trips&amp;Operators'!$C$1:$E$99999,3,FALSE)</f>
        <v>STAMBAUGH</v>
      </c>
      <c r="O18" s="170" t="s">
        <v>86</v>
      </c>
      <c r="P18" s="10"/>
      <c r="Q18" s="33"/>
      <c r="R18" s="104" t="str">
        <f>VLOOKUP(C18,'Train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18" s="107" t="str">
        <f>VLOOKUP(C18,'Train Runs'!$A$13:$AE$10004,22,0)</f>
        <v>https://search-rtdc-monitor-bjffxe2xuh6vdkpspy63sjmuny.us-east-1.es.amazonaws.com/_plugin/kibana/#/discover/Steve-Slow-Train-Analysis-(2080s-and-2083s)?_g=(refreshInterval:(display:Off,section:0,value:0),time:(from:'2016-10-01 05:21:23-0600',mode:absolute,to:'2016-10-01 08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8" s="109" t="str">
        <f t="shared" si="1"/>
        <v>"C:\Program Files (x86)\AstroGrep\AstroGrep.exe" /spath="%USERPROFILE%\AppData\Local\Temp\OnboardLogs" /stypes="*4012*201610011*" /stext=" 12:.+((SYSTEM_STATE.+slice.+state.+changed )|(ment ac)|(system.+state.+changed )|(\[timeout)|(PRM\|1\|D)|(kpr)|(kdp)|(\|lc)|(penalty))" /e /r /s</v>
      </c>
      <c r="U18" s="9" t="str">
        <f t="shared" si="2"/>
        <v>4012</v>
      </c>
      <c r="V18" s="38">
        <f t="shared" si="3"/>
        <v>42644.540266203701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{"issue":{"subject":"","project_id":79,"tracker_id":40,"status_id":1,"priority_id":2,"assigned_to_id":23,"start_date":"2016-10-01","description":"","custom_fields":[{"id":1,"name":"Subdivision","value":"EC"},{"id":4,"name":"Milepost","value":"2.1848"},{"id":17,"name":"Train ID","value":"116-01"},{"id":16,"name":"Locomotive ID","value":"4012"},{"id":130,"name":"Impact","value":""},{"id":150,"name":"Time of Event (Mountain Time)","value":"06:57:59"},{"id":151,"name":"Denver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"%USERPROFILE%\AppData\Local\Temp\OnboardLogs"\RTDC4012\*4012*201610011* | grep -SE "((Enforcement Ac)|(PRM))" -</v>
      </c>
    </row>
    <row r="19" spans="1:29" s="1" customFormat="1" x14ac:dyDescent="0.25">
      <c r="A19" s="38">
        <v>42644.54283564815</v>
      </c>
      <c r="B19" s="33" t="s">
        <v>389</v>
      </c>
      <c r="C19" s="33" t="s">
        <v>527</v>
      </c>
      <c r="D19" s="33" t="s">
        <v>49</v>
      </c>
      <c r="E19" s="33" t="s">
        <v>56</v>
      </c>
      <c r="F19" s="49">
        <v>300</v>
      </c>
      <c r="G19" s="49">
        <v>408</v>
      </c>
      <c r="H19" s="49">
        <v>22995</v>
      </c>
      <c r="I19" s="49">
        <v>21726</v>
      </c>
      <c r="J19" s="33" t="s">
        <v>57</v>
      </c>
      <c r="K19" s="49">
        <v>21848</v>
      </c>
      <c r="L19" s="146" t="s">
        <v>53</v>
      </c>
      <c r="M19" s="149">
        <f t="shared" si="0"/>
        <v>-64.415999999999997</v>
      </c>
      <c r="N19" s="88" t="str">
        <f>VLOOKUP(C19,'Trips&amp;Operators'!$C$1:$E$99999,3,FALSE)</f>
        <v>MOSES</v>
      </c>
      <c r="O19" s="170" t="s">
        <v>86</v>
      </c>
      <c r="P19" s="10"/>
      <c r="Q19" s="33"/>
      <c r="R19" s="104" t="str">
        <f>VLOOKUP(C19,'Train Runs'!$A$13:$AE$10004,31,0)</f>
        <v>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 &amp; aws s3 cp s3://rtdc.mdm.uploadarchive.raw/RTDC4010/ "%USERPROFILE%\AppData\Local\Temp\OnboardLogs"\RTDC4010\2016-10-02 --exclude "*" --recursive --include "*20161002*" &amp; "%USERPROFILE%\Documents\GitHub\mrs-test-scripts\Headless Mode &amp; Sideloading\WalkAndUnGZ.bat" "%USERPROFILE%\AppData\Local\Temp\OnboardLogs"\RTDC4010\2016-10-02</v>
      </c>
      <c r="S19" s="107" t="str">
        <f>VLOOKUP(C19,'Train Runs'!$A$13:$AE$10004,22,0)</f>
        <v>https://search-rtdc-monitor-bjffxe2xuh6vdkpspy63sjmuny.us-east-1.es.amazonaws.com/_plugin/kibana/#/discover/Steve-Slow-Train-Analysis-(2080s-and-2083s)?_g=(refreshInterval:(display:Off,section:0,value:0),time:(from:'2016-10-01 11:20:55-0600',mode:absolute,to:'2016-10-01 14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9" s="109" t="str">
        <f t="shared" si="1"/>
        <v>"C:\Program Files (x86)\AstroGrep\AstroGrep.exe" /spath="%USERPROFILE%\AppData\Local\Temp\OnboardLogs" /stypes="*4010*201610011*" /stext=" 19:.+((SYSTEM_STATE.+slice.+state.+changed )|(ment ac)|(system.+state.+changed )|(\[timeout)|(PRM\|1\|D)|(kpr)|(kdp)|(\|lc)|(penalty))" /e /r /s</v>
      </c>
      <c r="U19" s="9" t="str">
        <f t="shared" si="2"/>
        <v>4010</v>
      </c>
      <c r="V19" s="38">
        <f t="shared" si="3"/>
        <v>42644.79283564815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{"issue":{"subject":"","project_id":79,"tracker_id":40,"status_id":1,"priority_id":2,"assigned_to_id":23,"start_date":"2016-10-01","description":"","custom_fields":[{"id":1,"name":"Subdivision","value":"EC"},{"id":4,"name":"Milepost","value":"2.1848"},{"id":17,"name":"Train ID","value":"164-01"},{"id":16,"name":"Locomotive ID","value":"4010"},{"id":130,"name":"Impact","value":""},{"id":150,"name":"Time of Event (Mountain Time)","value":"13:01:41"},{"id":151,"name":"Denver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"%USERPROFILE%\AppData\Local\Temp\OnboardLogs"\RTDC4010\*4010*201610011* | grep -SE "((Enforcement Ac)|(PRM))" -</v>
      </c>
    </row>
    <row r="20" spans="1:29" x14ac:dyDescent="0.25">
      <c r="A20" s="38">
        <v>42644.364861111113</v>
      </c>
      <c r="B20" s="33" t="s">
        <v>258</v>
      </c>
      <c r="C20" s="33" t="s">
        <v>459</v>
      </c>
      <c r="D20" s="33" t="s">
        <v>105</v>
      </c>
      <c r="E20" s="33" t="s">
        <v>56</v>
      </c>
      <c r="F20" s="49">
        <v>400</v>
      </c>
      <c r="G20" s="49">
        <v>450</v>
      </c>
      <c r="H20" s="49">
        <v>116904</v>
      </c>
      <c r="I20" s="49">
        <v>115302</v>
      </c>
      <c r="J20" s="33" t="s">
        <v>57</v>
      </c>
      <c r="K20" s="49">
        <v>119716</v>
      </c>
      <c r="L20" s="146" t="s">
        <v>53</v>
      </c>
      <c r="M20" s="149">
        <f t="shared" si="0"/>
        <v>-2330.5920000000001</v>
      </c>
      <c r="N20" s="88" t="str">
        <f>VLOOKUP(C20,'Trips&amp;Operators'!$C$1:$E$99999,3,FALSE)</f>
        <v>MALAVE</v>
      </c>
      <c r="O20" s="170" t="s">
        <v>86</v>
      </c>
      <c r="P20" s="10"/>
      <c r="Q20" s="33"/>
      <c r="R20" s="104" t="str">
        <f>VLOOKUP(C20,'Train Runs'!$A$13:$AE$10004,31,0)</f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S20" s="107" t="str">
        <f>VLOOKUP(C20,'Train Runs'!$A$13:$AE$10004,22,0)</f>
        <v>https://search-rtdc-monitor-bjffxe2xuh6vdkpspy63sjmuny.us-east-1.es.amazonaws.com/_plugin/kibana/#/discover/Steve-Slow-Train-Analysis-(2080s-and-2083s)?_g=(refreshInterval:(display:Off,section:0,value:0),time:(from:'2016-10-01 07:24:17-0600',mode:absolute,to:'2016-10-01 10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0" s="109" t="str">
        <f t="shared" si="1"/>
        <v>"C:\Program Files (x86)\AstroGrep\AstroGrep.exe" /spath="%USERPROFILE%\AppData\Local\Temp\OnboardLogs" /stypes="*4045*201610011*" /stext=" 14:.+((SYSTEM_STATE.+slice.+state.+changed )|(ment ac)|(system.+state.+changed )|(\[timeout)|(PRM\|1\|D)|(kpr)|(kdp)|(\|lc)|(penalty))" /e /r /s</v>
      </c>
      <c r="U20" s="9" t="str">
        <f t="shared" si="2"/>
        <v>4045</v>
      </c>
      <c r="V20" s="38">
        <f t="shared" si="3"/>
        <v>42644.614861111113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{"issue":{"subject":"","project_id":79,"tracker_id":40,"status_id":1,"priority_id":2,"assigned_to_id":23,"start_date":"2016-10-01","description":"","custom_fields":[{"id":1,"name":"Subdivision","value":"EC"},{"id":4,"name":"Milepost","value":"11.9716"},{"id":17,"name":"Train ID","value":"132-01"},{"id":16,"name":"Locomotive ID","value":"4045"},{"id":130,"name":"Impact","value":""},{"id":150,"name":"Time of Event (Mountain Time)","value":"08:45:24"},{"id":151,"name":"Denver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"%USERPROFILE%\AppData\Local\Temp\OnboardLogs"\RTDC4045\*4045*201610011* | grep -SE "((Enforcement Ac)|(PRM))" -</v>
      </c>
    </row>
    <row r="21" spans="1:29" s="1" customFormat="1" x14ac:dyDescent="0.25">
      <c r="A21" s="38">
        <v>42644.333009259259</v>
      </c>
      <c r="B21" s="33" t="s">
        <v>296</v>
      </c>
      <c r="C21" s="33" t="s">
        <v>453</v>
      </c>
      <c r="D21" s="33" t="s">
        <v>49</v>
      </c>
      <c r="E21" s="33" t="s">
        <v>56</v>
      </c>
      <c r="F21" s="49">
        <v>150</v>
      </c>
      <c r="G21" s="49">
        <v>299</v>
      </c>
      <c r="H21" s="49">
        <v>229488</v>
      </c>
      <c r="I21" s="49">
        <v>229964</v>
      </c>
      <c r="J21" s="33" t="s">
        <v>57</v>
      </c>
      <c r="K21" s="49">
        <v>230436</v>
      </c>
      <c r="L21" s="146" t="s">
        <v>52</v>
      </c>
      <c r="M21" s="149">
        <f t="shared" si="0"/>
        <v>249.21600000000001</v>
      </c>
      <c r="N21" s="88" t="str">
        <f>VLOOKUP(C21,'Trips&amp;Operators'!$C$1:$E$99999,3,FALSE)</f>
        <v>STAMBAUGH</v>
      </c>
      <c r="O21" s="170" t="s">
        <v>86</v>
      </c>
      <c r="P21" s="10"/>
      <c r="Q21" s="33"/>
      <c r="R21" s="104" t="str">
        <f>VLOOKUP(C21,'Train Runs'!$A$13:$AE$10004,31,0)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S21" s="107" t="str">
        <f>VLOOKUP(C21,'Train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06:06:01-0600',mode:absolute,to:'2016-10-01 09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09" t="str">
        <f t="shared" si="1"/>
        <v>"C:\Program Files (x86)\AstroGrep\AstroGrep.exe" /spath="%USERPROFILE%\AppData\Local\Temp\OnboardLogs" /stypes="*4011*201610011*" /stext=" 13:.+((SYSTEM_STATE.+slice.+state.+changed )|(ment ac)|(system.+state.+changed )|(\[timeout)|(PRM\|1\|D)|(kpr)|(kdp)|(\|lc)|(penalty))" /e /r /s</v>
      </c>
      <c r="U21" s="9" t="str">
        <f t="shared" si="2"/>
        <v>4011</v>
      </c>
      <c r="V21" s="38">
        <f t="shared" si="3"/>
        <v>42644.583009259259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{"issue":{"subject":"","project_id":79,"tracker_id":40,"status_id":1,"priority_id":2,"assigned_to_id":23,"start_date":"2016-10-01","description":"","custom_fields":[{"id":1,"name":"Subdivision","value":"EC"},{"id":4,"name":"Milepost","value":"23.0436"},{"id":17,"name":"Train ID","value":"129-01"},{"id":16,"name":"Locomotive ID","value":"4011"},{"id":130,"name":"Impact","value":""},{"id":150,"name":"Time of Event (Mountain Time)","value":"07:59:32"},{"id":151,"name":"Denver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"%USERPROFILE%\AppData\Local\Temp\OnboardLogs"\RTDC4011\*4011*201610011* | grep -SE "((Enforcement Ac)|(PRM))" -</v>
      </c>
    </row>
    <row r="22" spans="1:29" x14ac:dyDescent="0.25">
      <c r="A22" s="38">
        <v>42644.815462962964</v>
      </c>
      <c r="B22" s="33" t="s">
        <v>239</v>
      </c>
      <c r="C22" s="33" t="s">
        <v>676</v>
      </c>
      <c r="D22" s="33" t="s">
        <v>49</v>
      </c>
      <c r="E22" s="33" t="s">
        <v>56</v>
      </c>
      <c r="F22" s="49">
        <v>150</v>
      </c>
      <c r="G22" s="49">
        <v>217</v>
      </c>
      <c r="H22" s="49">
        <v>229823</v>
      </c>
      <c r="I22" s="49">
        <v>230467</v>
      </c>
      <c r="J22" s="33" t="s">
        <v>57</v>
      </c>
      <c r="K22" s="49">
        <v>230436</v>
      </c>
      <c r="L22" s="146" t="s">
        <v>52</v>
      </c>
      <c r="M22" s="149">
        <f t="shared" si="0"/>
        <v>-16.367999999999999</v>
      </c>
      <c r="N22" s="88" t="str">
        <f>VLOOKUP(C22,'Trips&amp;Operators'!$C$1:$E$99999,3,FALSE)</f>
        <v>LEVIN</v>
      </c>
      <c r="O22" s="170" t="s">
        <v>86</v>
      </c>
      <c r="P22" s="10"/>
      <c r="Q22" s="33"/>
      <c r="R22" s="104" t="str">
        <f>VLOOKUP(C22,'Train Runs'!$A$13:$AE$10004,31,0)</f>
        <v>aws s3 cp s3://rtdc.mdm.uploadarchive.raw/RTDC4029/ "%USERPROFILE%\AppData\Local\Temp\OnboardLogs"\RTDC4029\2016-10-01 --exclude "*" --recursive --include "*20161001*" &amp; "%USERPROFILE%\Documents\GitHub\mrs-test-scripts\Headless Mode &amp; Sideloading\WalkAndUnGZ.bat" "%USERPROFILE%\AppData\Local\Temp\OnboardLogs"\RTDC4029\2016-10-01 &amp; aws s3 cp s3://rtdc.mdm.uploadarchive.raw/RTDC4029/ "%USERPROFILE%\AppData\Local\Temp\OnboardLogs"\RTDC4029\2016-10-02 --exclude "*" --recursive --include "*20161002*" &amp; "%USERPROFILE%\Documents\GitHub\mrs-test-scripts\Headless Mode &amp; Sideloading\WalkAndUnGZ.bat" "%USERPROFILE%\AppData\Local\Temp\OnboardLogs"\RTDC4029\2016-10-02</v>
      </c>
      <c r="S22" s="107" t="str">
        <f>VLOOKUP(C22,'Train Runs'!$A$13:$AE$10004,22,0)</f>
        <v>https://search-rtdc-monitor-bjffxe2xuh6vdkpspy63sjmuny.us-east-1.es.amazonaws.com/_plugin/kibana/#/discover/Steve-Slow-Train-Analysis-(2080s-and-2083s)?_g=(refreshInterval:(display:Off,section:0,value:0),time:(from:'2016-10-01 17:53:04-0600',mode:absolute,to:'2016-10-01 20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22" s="109" t="str">
        <f t="shared" si="1"/>
        <v>"C:\Program Files (x86)\AstroGrep\AstroGrep.exe" /spath="%USERPROFILE%\AppData\Local\Temp\OnboardLogs" /stypes="*4029*201610020*" /stext=" 01:.+((SYSTEM_STATE.+slice.+state.+changed )|(ment ac)|(system.+state.+changed )|(\[timeout)|(PRM\|1\|D)|(kpr)|(kdp)|(\|lc)|(penalty))" /e /r /s</v>
      </c>
      <c r="U22" s="9" t="str">
        <f t="shared" si="2"/>
        <v>4029</v>
      </c>
      <c r="V22" s="38">
        <f t="shared" si="3"/>
        <v>42645.065462962964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{"issue":{"subject":"","project_id":79,"tracker_id":40,"status_id":1,"priority_id":2,"assigned_to_id":23,"start_date":"2016-10-01","description":"","custom_fields":[{"id":1,"name":"Subdivision","value":"EC"},{"id":4,"name":"Milepost","value":"23.0436"},{"id":17,"name":"Train ID","value":"221-01"},{"id":16,"name":"Locomotive ID","value":"4029"},{"id":130,"name":"Impact","value":""},{"id":150,"name":"Time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"%USERPROFILE%\AppData\Local\Temp\OnboardLogs"\RTDC4029\*4029*201610020* | grep -SE "((Enforcement Ac)|(PRM))" -</v>
      </c>
    </row>
    <row r="23" spans="1:29" x14ac:dyDescent="0.25">
      <c r="A23" s="38">
        <v>42644.634074074071</v>
      </c>
      <c r="B23" s="33" t="s">
        <v>222</v>
      </c>
      <c r="C23" s="33" t="s">
        <v>626</v>
      </c>
      <c r="D23" s="33" t="s">
        <v>105</v>
      </c>
      <c r="E23" s="33" t="s">
        <v>56</v>
      </c>
      <c r="F23" s="49">
        <v>350</v>
      </c>
      <c r="G23" s="49">
        <v>400</v>
      </c>
      <c r="H23" s="49">
        <v>228472</v>
      </c>
      <c r="I23" s="49">
        <v>227720</v>
      </c>
      <c r="J23" s="33" t="s">
        <v>57</v>
      </c>
      <c r="K23" s="49">
        <v>232080</v>
      </c>
      <c r="L23" s="146" t="s">
        <v>53</v>
      </c>
      <c r="M23" s="149">
        <f t="shared" si="0"/>
        <v>-2302.08</v>
      </c>
      <c r="N23" s="88" t="str">
        <f>VLOOKUP(C23,'Trips&amp;Operators'!$C$1:$E$99999,3,FALSE)</f>
        <v>STORY</v>
      </c>
      <c r="O23" s="170" t="s">
        <v>86</v>
      </c>
      <c r="P23" s="10"/>
      <c r="Q23" s="33"/>
      <c r="R23" s="104" t="str">
        <f>VLOOKUP(C23,'Train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23" s="107" t="str">
        <f>VLOOKUP(C23,'Train Runs'!$A$13:$AE$10004,22,0)</f>
        <v>https://search-rtdc-monitor-bjffxe2xuh6vdkpspy63sjmuny.us-east-1.es.amazonaws.com/_plugin/kibana/#/discover/Steve-Slow-Train-Analysis-(2080s-and-2083s)?_g=(refreshInterval:(display:Off,section:0,value:0),time:(from:'2016-10-01 14:02:17-0600',mode:absolute,to:'2016-10-01 16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3" s="109" t="str">
        <f t="shared" si="1"/>
        <v>"C:\Program Files (x86)\AstroGrep\AstroGrep.exe" /spath="%USERPROFILE%\AppData\Local\Temp\OnboardLogs" /stypes="*4012*201610012*" /stext=" 21:.+((SYSTEM_STATE.+slice.+state.+changed )|(ment ac)|(system.+state.+changed )|(\[timeout)|(PRM\|1\|D)|(kpr)|(kdp)|(\|lc)|(penalty))" /e /r /s</v>
      </c>
      <c r="U23" s="9" t="str">
        <f t="shared" si="2"/>
        <v>4012</v>
      </c>
      <c r="V23" s="38">
        <f t="shared" si="3"/>
        <v>42644.884074074071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{"issue":{"subject":"","project_id":79,"tracker_id":40,"status_id":1,"priority_id":2,"assigned_to_id":23,"start_date":"2016-10-01","description":"","custom_fields":[{"id":1,"name":"Subdivision","value":"EC"},{"id":4,"name":"Milepost","value":"23.208"},{"id":17,"name":"Train ID","value":"186-01"},{"id":16,"name":"Locomotive ID","value":"4012"},{"id":130,"name":"Impact","value":""},{"id":150,"name":"Time of Event (Mountain Time)","value":"15:13:04"},{"id":151,"name":"Denver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"%USERPROFILE%\AppData\Local\Temp\OnboardLogs"\RTDC4012\*4012*201610012* | grep -SE "((Enforcement Ac)|(PRM))" -</v>
      </c>
    </row>
    <row r="24" spans="1:29" x14ac:dyDescent="0.25">
      <c r="A24" s="38">
        <v>42644.349872685183</v>
      </c>
      <c r="B24" s="33" t="s">
        <v>222</v>
      </c>
      <c r="C24" s="33" t="s">
        <v>455</v>
      </c>
      <c r="D24" s="33" t="s">
        <v>49</v>
      </c>
      <c r="E24" s="33" t="s">
        <v>54</v>
      </c>
      <c r="F24" s="49">
        <v>0</v>
      </c>
      <c r="G24" s="49">
        <v>479</v>
      </c>
      <c r="H24" s="49">
        <v>129872</v>
      </c>
      <c r="I24" s="49">
        <v>128369</v>
      </c>
      <c r="J24" s="33" t="s">
        <v>55</v>
      </c>
      <c r="K24" s="49">
        <v>127587</v>
      </c>
      <c r="L24" s="146" t="s">
        <v>53</v>
      </c>
      <c r="M24" s="149">
        <f t="shared" si="0"/>
        <v>412.89600000000002</v>
      </c>
      <c r="N24" s="88" t="str">
        <f>VLOOKUP(C24,'Trips&amp;Operators'!$C$1:$E$99999,3,FALSE)</f>
        <v>STAMBAUGH</v>
      </c>
      <c r="O24" s="170" t="s">
        <v>86</v>
      </c>
      <c r="P24" s="10" t="s">
        <v>750</v>
      </c>
      <c r="Q24" s="33"/>
      <c r="R24" s="104" t="str">
        <f>VLOOKUP(C24,'Train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24" s="107" t="str">
        <f>VLOOKUP(C24,'Train Runs'!$A$13:$AE$10004,22,0)</f>
        <v>https://search-rtdc-monitor-bjffxe2xuh6vdkpspy63sjmuny.us-east-1.es.amazonaws.com/_plugin/kibana/#/discover/Steve-Slow-Train-Analysis-(2080s-and-2083s)?_g=(refreshInterval:(display:Off,section:0,value:0),time:(from:'2016-10-01 07:09:46-0600',mode:absolute,to:'2016-10-01 09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4" s="109" t="str">
        <f t="shared" si="1"/>
        <v>"C:\Program Files (x86)\AstroGrep\AstroGrep.exe" /spath="%USERPROFILE%\AppData\Local\Temp\OnboardLogs" /stypes="*4012*201610011*" /stext=" 14:.+((SYSTEM_STATE.+slice.+state.+changed )|(ment ac)|(system.+state.+changed )|(\[timeout)|(PRM\|1\|D)|(kpr)|(kdp)|(\|lc)|(penalty))" /e /r /s</v>
      </c>
      <c r="U24" s="9" t="str">
        <f t="shared" si="2"/>
        <v>4012</v>
      </c>
      <c r="V24" s="38">
        <f t="shared" si="3"/>
        <v>42644.599872685183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{"issue":{"subject":"40th 4S STOP, cleared afterward","project_id":79,"tracker_id":40,"status_id":1,"priority_id":2,"assigned_to_id":23,"start_date":"2016-10-01","description":"","custom_fields":[{"id":1,"name":"Subdivision","value":"EC"},{"id":4,"name":"Milepost","value":"12.7587"},{"id":17,"name":"Train ID","value":"130-01"},{"id":16,"name":"Locomotive ID","value":"4012"},{"id":130,"name":"Impact","value":""},{"id":150,"name":"Time of Event (Mountain Time)","value":"08:23:49"},{"id":151,"name":"Denver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"%USERPROFILE%\AppData\Local\Temp\OnboardLogs"\RTDC4012\*4012*201610011* | grep -SE "((Enforcement Ac)|(PRM))" -</v>
      </c>
    </row>
    <row r="25" spans="1:29" ht="15" customHeight="1" x14ac:dyDescent="0.25">
      <c r="A25" s="38">
        <v>42644.716203703705</v>
      </c>
      <c r="B25" s="33" t="s">
        <v>222</v>
      </c>
      <c r="C25" s="33" t="s">
        <v>649</v>
      </c>
      <c r="D25" s="33" t="s">
        <v>49</v>
      </c>
      <c r="E25" s="33" t="s">
        <v>54</v>
      </c>
      <c r="F25" s="49">
        <v>0</v>
      </c>
      <c r="G25" s="49">
        <v>580</v>
      </c>
      <c r="H25" s="49">
        <v>131699</v>
      </c>
      <c r="I25" s="49">
        <v>129700</v>
      </c>
      <c r="J25" s="33" t="s">
        <v>55</v>
      </c>
      <c r="K25" s="49">
        <v>127587</v>
      </c>
      <c r="L25" s="146" t="s">
        <v>53</v>
      </c>
      <c r="M25" s="149">
        <f t="shared" si="0"/>
        <v>1115.664</v>
      </c>
      <c r="N25" s="88" t="str">
        <f>VLOOKUP(C25,'Trips&amp;Operators'!$C$1:$E$99999,3,FALSE)</f>
        <v>STORY</v>
      </c>
      <c r="O25" s="170" t="s">
        <v>86</v>
      </c>
      <c r="P25" s="10" t="s">
        <v>750</v>
      </c>
      <c r="Q25" s="33"/>
      <c r="R25" s="104" t="str">
        <f>VLOOKUP(C25,'Train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25" s="107" t="str">
        <f>VLOOKUP(C25,'Train Runs'!$A$13:$AE$10004,22,0)</f>
        <v>https://search-rtdc-monitor-bjffxe2xuh6vdkpspy63sjmuny.us-east-1.es.amazonaws.com/_plugin/kibana/#/discover/Steve-Slow-Train-Analysis-(2080s-and-2083s)?_g=(refreshInterval:(display:Off,section:0,value:0),time:(from:'2016-10-01 15:48:03-0600',mode:absolute,to:'2016-10-01 18:43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5" s="109" t="str">
        <f t="shared" si="1"/>
        <v>"C:\Program Files (x86)\AstroGrep\AstroGrep.exe" /spath="%USERPROFILE%\AppData\Local\Temp\OnboardLogs" /stypes="*4012*201610012*" /stext=" 23:.+((SYSTEM_STATE.+slice.+state.+changed )|(ment ac)|(system.+state.+changed )|(\[timeout)|(PRM\|1\|D)|(kpr)|(kdp)|(\|lc)|(penalty))" /e /r /s</v>
      </c>
      <c r="U25" s="9" t="str">
        <f t="shared" si="2"/>
        <v>4012</v>
      </c>
      <c r="V25" s="38">
        <f t="shared" si="3"/>
        <v>42644.966203703705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{"issue":{"subject":"40th 4S STOP, cleared afterward","project_id":79,"tracker_id":40,"status_id":1,"priority_id":2,"assigned_to_id":23,"start_date":"2016-10-01","description":"","custom_fields":[{"id":1,"name":"Subdivision","value":"EC"},{"id":4,"name":"Milepost","value":"12.7587"},{"id":17,"name":"Train ID","value":"200-01"},{"id":16,"name":"Locomotive ID","value":"4012"},{"id":130,"name":"Impact","value":""},{"id":150,"name":"Time of Event (Mountain Time)","value":"17:11:20"},{"id":151,"name":"Denver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"%USERPROFILE%\AppData\Local\Temp\OnboardLogs"\RTDC4012\*4012*201610012* | grep -SE "((Enforcement Ac)|(PRM))" -</v>
      </c>
    </row>
    <row r="26" spans="1:29" x14ac:dyDescent="0.25">
      <c r="A26" s="38">
        <v>42644.395011574074</v>
      </c>
      <c r="B26" s="33" t="s">
        <v>296</v>
      </c>
      <c r="C26" s="33" t="s">
        <v>475</v>
      </c>
      <c r="D26" s="33" t="s">
        <v>49</v>
      </c>
      <c r="E26" s="33" t="s">
        <v>54</v>
      </c>
      <c r="F26" s="49">
        <v>0</v>
      </c>
      <c r="G26" s="49">
        <v>804</v>
      </c>
      <c r="H26" s="49">
        <v>146416</v>
      </c>
      <c r="I26" s="49">
        <v>150354</v>
      </c>
      <c r="J26" s="33" t="s">
        <v>55</v>
      </c>
      <c r="K26" s="49">
        <v>149694</v>
      </c>
      <c r="L26" s="146" t="s">
        <v>52</v>
      </c>
      <c r="M26" s="149">
        <f t="shared" si="0"/>
        <v>-348.48</v>
      </c>
      <c r="N26" s="88" t="str">
        <f>VLOOKUP(C26,'Trips&amp;Operators'!$C$1:$E$99999,3,FALSE)</f>
        <v>STAMBAUGH</v>
      </c>
      <c r="O26" s="170" t="s">
        <v>293</v>
      </c>
      <c r="P26" s="10" t="s">
        <v>752</v>
      </c>
      <c r="Q26" s="33"/>
      <c r="R26" s="104" t="str">
        <f>VLOOKUP(C26,'Train Runs'!$A$13:$AE$10004,31,0)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S26" s="107" t="str">
        <f>VLOOKUP(C26,'Train Runs'!$A$13:$AE$10004,22,0)</f>
        <v>https://search-rtdc-monitor-bjffxe2xuh6vdkpspy63sjmuny.us-east-1.es.amazonaws.com/_plugin/kibana/#/discover/Steve-Slow-Train-Analysis-(2080s-and-2083s)?_g=(refreshInterval:(display:Off,section:0,value:0),time:(from:'2016-10-01 07:56:19-0600',mode:absolute,to:'2016-10-01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6" s="109" t="str">
        <f t="shared" si="1"/>
        <v>"C:\Program Files (x86)\AstroGrep\AstroGrep.exe" /spath="%USERPROFILE%\AppData\Local\Temp\OnboardLogs" /stypes="*4011*201610011*" /stext=" 15:.+((SYSTEM_STATE.+slice.+state.+changed )|(ment ac)|(system.+state.+changed )|(\[timeout)|(PRM\|1\|D)|(kpr)|(kdp)|(\|lc)|(penalty))" /e /r /s</v>
      </c>
      <c r="U26" s="9" t="str">
        <f t="shared" si="2"/>
        <v>4011</v>
      </c>
      <c r="V26" s="38">
        <f t="shared" si="3"/>
        <v>42644.645011574074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{"issue":{"subject":"Wi-MAX outage","project_id":79,"tracker_id":40,"status_id":1,"priority_id":2,"assigned_to_id":23,"start_date":"2016-10-01","description":"http://stevetu21.github.io/eaglep3/load_kml.html?kml=http://rtdc.gmaps-snips.s3.amazonaws.com/2f743044-cfe1-4d42-9f04-61481b6596a9.kml","custom_fields":[{"id":1,"name":"Subdivision","value":"EC"},{"id":4,"name":"Milepost","value":"14.9694"},{"id":17,"name":"Train ID","value":"143-01"},{"id":16,"name":"Locomotive ID","value":"4011"},{"id":130,"name":"Impact","value":"Enforcement"},{"id":150,"name":"Time of Event (Mountain Time)","value":"09:28:49"},{"id":151,"name":"Denver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6" s="179" t="s">
        <v>751</v>
      </c>
      <c r="AA26" s="55" t="s">
        <v>135</v>
      </c>
      <c r="AB26" s="23" t="s">
        <v>148</v>
      </c>
      <c r="AC26" s="171" t="str">
        <f t="shared" si="7"/>
        <v>grep -hSE -A100 "Enforcement Action" "%USERPROFILE%\AppData\Local\Temp\OnboardLogs"\RTDC4011\*4011*201610011* | grep -SE "((Enforcement Ac)|(PRM))" -</v>
      </c>
    </row>
    <row r="27" spans="1:29" x14ac:dyDescent="0.25">
      <c r="A27" s="38">
        <v>42644.31517361111</v>
      </c>
      <c r="B27" s="33" t="s">
        <v>735</v>
      </c>
      <c r="C27" s="33" t="s">
        <v>451</v>
      </c>
      <c r="D27" s="33" t="s">
        <v>49</v>
      </c>
      <c r="E27" s="33" t="s">
        <v>54</v>
      </c>
      <c r="F27" s="49">
        <v>0</v>
      </c>
      <c r="G27" s="49">
        <v>455</v>
      </c>
      <c r="H27" s="49">
        <v>153019</v>
      </c>
      <c r="I27" s="49">
        <v>154189</v>
      </c>
      <c r="J27" s="33" t="s">
        <v>55</v>
      </c>
      <c r="K27" s="49">
        <v>155600</v>
      </c>
      <c r="L27" s="146" t="s">
        <v>52</v>
      </c>
      <c r="M27" s="149">
        <f t="shared" si="0"/>
        <v>745.00800000000004</v>
      </c>
      <c r="N27" s="88" t="str">
        <f>VLOOKUP(C27,'Trips&amp;Operators'!$C$1:$E$99999,3,FALSE)</f>
        <v>MAELZER</v>
      </c>
      <c r="O27" s="170" t="s">
        <v>86</v>
      </c>
      <c r="P27" s="10" t="s">
        <v>753</v>
      </c>
      <c r="Q27" s="33"/>
      <c r="R27" s="104" t="str">
        <f>VLOOKUP(C27,'Train Runs'!$A$13:$AE$10004,31,0)</f>
        <v>aws s3 cp s3://rtdc.mdm.uploadarchive.raw/RTDC4003/ "%USERPROFILE%\AppData\Local\Temp\OnboardLogs"\RTDC4003\2016-10-01 --exclude "*" --recursive --include "*20161001*" &amp; "%USERPROFILE%\Documents\GitHub\mrs-test-scripts\Headless Mode &amp; Sideloading\WalkAndUnGZ.bat" "%USERPROFILE%\AppData\Local\Temp\OnboardLogs"\RTDC4003\2016-10-01 &amp; aws s3 cp s3://rtdc.mdm.uploadarchive.raw/RTDC4003/ "%USERPROFILE%\AppData\Local\Temp\OnboardLogs"\RTDC4003\2016-10-02 --exclude "*" --recursive --include "*20161002*" &amp; "%USERPROFILE%\Documents\GitHub\mrs-test-scripts\Headless Mode &amp; Sideloading\WalkAndUnGZ.bat" "%USERPROFILE%\AppData\Local\Temp\OnboardLogs"\RTDC4003\2016-10-02</v>
      </c>
      <c r="S27" s="107" t="str">
        <f>VLOOKUP(C27,'Train Runs'!$A$13:$AE$10004,22,0)</f>
        <v>https://search-rtdc-monitor-bjffxe2xuh6vdkpspy63sjmuny.us-east-1.es.amazonaws.com/_plugin/kibana/#/discover/Steve-Slow-Train-Analysis-(2080s-and-2083s)?_g=(refreshInterval:(display:Off,section:0,value:0),time:(from:'2016-10-01 05:52:54-0600',mode:absolute,to:'2016-10-01 08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7" s="109" t="str">
        <f t="shared" si="1"/>
        <v>"C:\Program Files (x86)\AstroGrep\AstroGrep.exe" /spath="%USERPROFILE%\AppData\Local\Temp\OnboardLogs" /stypes="*4003*201610011*" /stext=" 13:.+((SYSTEM_STATE.+slice.+state.+changed )|(ment ac)|(system.+state.+changed )|(\[timeout)|(PRM\|1\|D)|(kpr)|(kdp)|(\|lc)|(penalty))" /e /r /s</v>
      </c>
      <c r="U27" s="9" t="str">
        <f t="shared" si="2"/>
        <v>4003</v>
      </c>
      <c r="V27" s="38">
        <f t="shared" si="3"/>
        <v>42644.56517361111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{"issue":{"subject":"Chambers 2N STOP, cleared afterward","project_id":79,"tracker_id":40,"status_id":1,"priority_id":2,"assigned_to_id":23,"start_date":"2016-10-01","description":"","custom_fields":[{"id":1,"name":"Subdivision","value":"EC"},{"id":4,"name":"Milepost","value":"15.56"},{"id":17,"name":"Train ID","value":"127-01"},{"id":16,"name":"Locomotive ID","value":"4003"},{"id":130,"name":"Impact","value":""},{"id":150,"name":"Time of Event (Mountain Time)","value":"07:33:51"},{"id":151,"name":"Denver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"%USERPROFILE%\AppData\Local\Temp\OnboardLogs"\RTDC4003\*4003*201610011* | grep -SE "((Enforcement Ac)|(PRM))" -</v>
      </c>
    </row>
    <row r="28" spans="1:29" x14ac:dyDescent="0.25">
      <c r="A28" s="38">
        <v>42644.430763888886</v>
      </c>
      <c r="B28" s="33" t="s">
        <v>258</v>
      </c>
      <c r="C28" s="33" t="s">
        <v>480</v>
      </c>
      <c r="D28" s="33" t="s">
        <v>49</v>
      </c>
      <c r="E28" s="33" t="s">
        <v>54</v>
      </c>
      <c r="F28" s="49">
        <v>0</v>
      </c>
      <c r="G28" s="49">
        <v>444</v>
      </c>
      <c r="H28" s="49">
        <v>158923</v>
      </c>
      <c r="I28" s="49">
        <v>158041</v>
      </c>
      <c r="J28" s="33" t="s">
        <v>55</v>
      </c>
      <c r="K28" s="49">
        <v>157300</v>
      </c>
      <c r="L28" s="146" t="s">
        <v>53</v>
      </c>
      <c r="M28" s="149">
        <f t="shared" si="0"/>
        <v>391.24799999999999</v>
      </c>
      <c r="N28" s="88" t="str">
        <f>VLOOKUP(C28,'Trips&amp;Operators'!$C$1:$E$99999,3,FALSE)</f>
        <v>MALAVE</v>
      </c>
      <c r="O28" s="170" t="s">
        <v>293</v>
      </c>
      <c r="P28" s="10" t="s">
        <v>746</v>
      </c>
      <c r="Q28" s="33"/>
      <c r="R28" s="104" t="str">
        <f>VLOOKUP(C28,'Train Runs'!$A$13:$AE$10004,31,0)</f>
        <v>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 &amp; aws s3 cp s3://rtdc.mdm.uploadarchive.raw/RTDC4045/ "%USERPROFILE%\AppData\Local\Temp\OnboardLogs"\RTDC4045\2016-10-02 --exclude "*" --recursive --include "*20161002*" &amp; "%USERPROFILE%\Documents\GitHub\mrs-test-scripts\Headless Mode &amp; Sideloading\WalkAndUnGZ.bat" "%USERPROFILE%\AppData\Local\Temp\OnboardLogs"\RTDC4045\2016-10-02</v>
      </c>
      <c r="S28" s="107" t="str">
        <f>VLOOKUP(C28,'Train Runs'!$A$13:$AE$10004,22,0)</f>
        <v>https://search-rtdc-monitor-bjffxe2xuh6vdkpspy63sjmuny.us-east-1.es.amazonaws.com/_plugin/kibana/#/discover/Steve-Slow-Train-Analysis-(2080s-and-2083s)?_g=(refreshInterval:(display:Off,section:0,value:0),time:(from:'2016-10-01 09:28:22-0600',mode:absolute,to:'2016-10-01 11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8" s="109" t="str">
        <f t="shared" si="1"/>
        <v>"C:\Program Files (x86)\AstroGrep\AstroGrep.exe" /spath="%USERPROFILE%\AppData\Local\Temp\OnboardLogs" /stypes="*4045*201610011*" /stext=" 16:.+((SYSTEM_STATE.+slice.+state.+changed )|(ment ac)|(system.+state.+changed )|(\[timeout)|(PRM\|1\|D)|(kpr)|(kdp)|(\|lc)|(penalty))" /e /r /s</v>
      </c>
      <c r="U28" s="9" t="str">
        <f t="shared" si="2"/>
        <v>4045</v>
      </c>
      <c r="V28" s="38">
        <f t="shared" si="3"/>
        <v>42644.680763888886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{"issue":{"subject":"CP 61st main/standby transfer issue","project_id":79,"tracker_id":40,"status_id":1,"priority_id":2,"assigned_to_id":23,"start_date":"2016-10-01","description":"","custom_fields":[{"id":1,"name":"Subdivision","value":"EC"},{"id":4,"name":"Milepost","value":"15.73"},{"id":17,"name":"Train ID","value":"146-01"},{"id":16,"name":"Locomotive ID","value":"4045"},{"id":130,"name":"Impact","value":""},{"id":150,"name":"Time of Event (Mountain Time)","value":"10:20:18"},{"id":151,"name":"Denver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"%USERPROFILE%\AppData\Local\Temp\OnboardLogs"\RTDC4045\*4045*201610011* | grep -SE "((Enforcement Ac)|(PRM))" -</v>
      </c>
    </row>
    <row r="29" spans="1:29" x14ac:dyDescent="0.25">
      <c r="A29" s="38">
        <v>42644.294525462959</v>
      </c>
      <c r="B29" s="33" t="s">
        <v>222</v>
      </c>
      <c r="C29" s="33" t="s">
        <v>434</v>
      </c>
      <c r="D29" s="33" t="s">
        <v>49</v>
      </c>
      <c r="E29" s="33" t="s">
        <v>50</v>
      </c>
      <c r="F29" s="49">
        <v>0</v>
      </c>
      <c r="G29" s="49">
        <v>54</v>
      </c>
      <c r="H29" s="49">
        <v>181</v>
      </c>
      <c r="I29" s="49">
        <v>118</v>
      </c>
      <c r="J29" s="33" t="s">
        <v>51</v>
      </c>
      <c r="K29" s="49">
        <v>1</v>
      </c>
      <c r="L29" s="146" t="s">
        <v>53</v>
      </c>
      <c r="M29" s="149">
        <f t="shared" si="0"/>
        <v>61.776000000000003</v>
      </c>
      <c r="N29" s="88" t="str">
        <f>VLOOKUP(C29,'Trips&amp;Operators'!$C$1:$E$99999,3,FALSE)</f>
        <v>STAMBAUGH</v>
      </c>
      <c r="O29" s="170" t="s">
        <v>86</v>
      </c>
      <c r="P29" s="10"/>
      <c r="Q29" s="33"/>
      <c r="R29" s="104" t="str">
        <f>VLOOKUP(C29,'Train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29" s="107" t="str">
        <f>VLOOKUP(C29,'Train Runs'!$A$13:$AE$10004,22,0)</f>
        <v>https://search-rtdc-monitor-bjffxe2xuh6vdkpspy63sjmuny.us-east-1.es.amazonaws.com/_plugin/kibana/#/discover/Steve-Slow-Train-Analysis-(2080s-and-2083s)?_g=(refreshInterval:(display:Off,section:0,value:0),time:(from:'2016-10-01 05:21:23-0600',mode:absolute,to:'2016-10-01 08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9" s="109" t="str">
        <f t="shared" si="1"/>
        <v>"C:\Program Files (x86)\AstroGrep\AstroGrep.exe" /spath="%USERPROFILE%\AppData\Local\Temp\OnboardLogs" /stypes="*4012*201610011*" /stext=" 13:.+((SYSTEM_STATE.+slice.+state.+changed )|(ment ac)|(system.+state.+changed )|(\[timeout)|(PRM\|1\|D)|(kpr)|(kdp)|(\|lc)|(penalty))" /e /r /s</v>
      </c>
      <c r="U29" s="9" t="str">
        <f t="shared" si="2"/>
        <v>4012</v>
      </c>
      <c r="V29" s="38">
        <f t="shared" si="3"/>
        <v>42644.544525462959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{"issue":{"subject":"","project_id":79,"tracker_id":40,"status_id":1,"priority_id":2,"assigned_to_id":23,"start_date":"2016-10-01","description":"","custom_fields":[{"id":1,"name":"Subdivision","value":"EC"},{"id":4,"name":"Milepost","value":"0.0001"},{"id":17,"name":"Train ID","value":"116-01"},{"id":16,"name":"Locomotive ID","value":"4012"},{"id":130,"name":"Impact","value":""},{"id":150,"name":"Time of Event (Mountain Time)","value":"07:04:07"},{"id":151,"name":"Denver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"%USERPROFILE%\AppData\Local\Temp\OnboardLogs"\RTDC4012\*4012*201610011* | grep -SE "((Enforcement Ac)|(PRM))" -</v>
      </c>
    </row>
    <row r="30" spans="1:29" x14ac:dyDescent="0.25">
      <c r="A30" s="38">
        <v>42644.421284722222</v>
      </c>
      <c r="B30" s="33" t="s">
        <v>276</v>
      </c>
      <c r="C30" s="33" t="s">
        <v>472</v>
      </c>
      <c r="D30" s="33" t="s">
        <v>49</v>
      </c>
      <c r="E30" s="33" t="s">
        <v>50</v>
      </c>
      <c r="F30" s="49">
        <v>0</v>
      </c>
      <c r="G30" s="49">
        <v>49</v>
      </c>
      <c r="H30" s="49">
        <v>181</v>
      </c>
      <c r="I30" s="49">
        <v>123</v>
      </c>
      <c r="J30" s="33" t="s">
        <v>51</v>
      </c>
      <c r="K30" s="49">
        <v>1</v>
      </c>
      <c r="L30" s="146" t="s">
        <v>53</v>
      </c>
      <c r="M30" s="149">
        <f t="shared" si="0"/>
        <v>64.415999999999997</v>
      </c>
      <c r="N30" s="88" t="str">
        <f>VLOOKUP(C30,'Trips&amp;Operators'!$C$1:$E$99999,3,FALSE)</f>
        <v>GEBRETEKLE</v>
      </c>
      <c r="O30" s="170" t="s">
        <v>86</v>
      </c>
      <c r="P30" s="10"/>
      <c r="Q30" s="33"/>
      <c r="R30" s="104" t="str">
        <f>VLOOKUP(C30,'Train Runs'!$A$13:$AE$10004,31,0)</f>
        <v>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 &amp; aws s3 cp s3://rtdc.mdm.uploadarchive.raw/RTDC4039/ "%USERPROFILE%\AppData\Local\Temp\OnboardLogs"\RTDC4039\2016-10-02 --exclude "*" --recursive --include "*20161002*" &amp; "%USERPROFILE%\Documents\GitHub\mrs-test-scripts\Headless Mode &amp; Sideloading\WalkAndUnGZ.bat" "%USERPROFILE%\AppData\Local\Temp\OnboardLogs"\RTDC4039\2016-10-02</v>
      </c>
      <c r="S30" s="107" t="str">
        <f>VLOOKUP(C30,'Train Runs'!$A$13:$AE$10004,22,0)</f>
        <v>https://search-rtdc-monitor-bjffxe2xuh6vdkpspy63sjmuny.us-east-1.es.amazonaws.com/_plugin/kibana/#/discover/Steve-Slow-Train-Analysis-(2080s-and-2083s)?_g=(refreshInterval:(display:Off,section:0,value:0),time:(from:'2016-10-01 08:22:07-0600',mode:absolute,to:'2016-10-01 11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0" s="109" t="str">
        <f t="shared" si="1"/>
        <v>"C:\Program Files (x86)\AstroGrep\AstroGrep.exe" /spath="%USERPROFILE%\AppData\Local\Temp\OnboardLogs" /stypes="*4039*201610011*" /stext=" 16:.+((SYSTEM_STATE.+slice.+state.+changed )|(ment ac)|(system.+state.+changed )|(\[timeout)|(PRM\|1\|D)|(kpr)|(kdp)|(\|lc)|(penalty))" /e /r /s</v>
      </c>
      <c r="U30" s="9" t="str">
        <f t="shared" si="2"/>
        <v>4039</v>
      </c>
      <c r="V30" s="38">
        <f t="shared" si="3"/>
        <v>42644.671284722222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{"issue":{"subject":"","project_id":79,"tracker_id":40,"status_id":1,"priority_id":2,"assigned_to_id":23,"start_date":"2016-10-01","description":"","custom_fields":[{"id":1,"name":"Subdivision","value":"EC"},{"id":4,"name":"Milepost","value":"0.0001"},{"id":17,"name":"Train ID","value":"140-01"},{"id":16,"name":"Locomotive ID","value":"4039"},{"id":130,"name":"Impact","value":""},{"id":150,"name":"Time of Event (Mountain Time)","value":"10:06:39"},{"id":151,"name":"Denver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"%USERPROFILE%\AppData\Local\Temp\OnboardLogs"\RTDC4039\*4039*201610011* | grep -SE "((Enforcement Ac)|(PRM))" -</v>
      </c>
    </row>
    <row r="31" spans="1:29" ht="15" customHeight="1" x14ac:dyDescent="0.25">
      <c r="A31" s="38">
        <v>42644.517245370371</v>
      </c>
      <c r="B31" s="33" t="s">
        <v>222</v>
      </c>
      <c r="C31" s="33" t="s">
        <v>512</v>
      </c>
      <c r="D31" s="33" t="s">
        <v>49</v>
      </c>
      <c r="E31" s="33" t="s">
        <v>50</v>
      </c>
      <c r="F31" s="49">
        <v>0</v>
      </c>
      <c r="G31" s="49">
        <v>63</v>
      </c>
      <c r="H31" s="49">
        <v>194</v>
      </c>
      <c r="I31" s="49">
        <v>114</v>
      </c>
      <c r="J31" s="33" t="s">
        <v>51</v>
      </c>
      <c r="K31" s="49">
        <v>1</v>
      </c>
      <c r="L31" s="146" t="s">
        <v>53</v>
      </c>
      <c r="M31" s="149">
        <f t="shared" si="0"/>
        <v>59.664000000000001</v>
      </c>
      <c r="N31" s="88" t="str">
        <f>VLOOKUP(C31,'Trips&amp;Operators'!$C$1:$E$99999,3,FALSE)</f>
        <v>STAMBAUGH</v>
      </c>
      <c r="O31" s="170" t="s">
        <v>86</v>
      </c>
      <c r="P31" s="10"/>
      <c r="Q31" s="33"/>
      <c r="R31" s="104" t="str">
        <f>VLOOKUP(C31,'Train Runs'!$A$13:$AE$10004,31,0)</f>
        <v>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 &amp; aws s3 cp s3://rtdc.mdm.uploadarchive.raw/RTDC4012/ "%USERPROFILE%\AppData\Local\Temp\OnboardLogs"\RTDC4012\2016-10-02 --exclude "*" --recursive --include "*20161002*" &amp; "%USERPROFILE%\Documents\GitHub\mrs-test-scripts\Headless Mode &amp; Sideloading\WalkAndUnGZ.bat" "%USERPROFILE%\AppData\Local\Temp\OnboardLogs"\RTDC4012\2016-10-02</v>
      </c>
      <c r="S31" s="107" t="str">
        <f>VLOOKUP(C31,'Train Runs'!$A$13:$AE$10004,22,0)</f>
        <v>https://search-rtdc-monitor-bjffxe2xuh6vdkpspy63sjmuny.us-east-1.es.amazonaws.com/_plugin/kibana/#/discover/Steve-Slow-Train-Analysis-(2080s-and-2083s)?_g=(refreshInterval:(display:Off,section:0,value:0),time:(from:'2016-10-01 11:00:46-0600',mode:absolute,to:'2016-10-01 13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1" s="109" t="str">
        <f t="shared" si="1"/>
        <v>"C:\Program Files (x86)\AstroGrep\AstroGrep.exe" /spath="%USERPROFILE%\AppData\Local\Temp\OnboardLogs" /stypes="*4012*201610011*" /stext=" 18:.+((SYSTEM_STATE.+slice.+state.+changed )|(ment ac)|(system.+state.+changed )|(\[timeout)|(PRM\|1\|D)|(kpr)|(kdp)|(\|lc)|(penalty))" /e /r /s</v>
      </c>
      <c r="U31" s="9" t="str">
        <f t="shared" si="2"/>
        <v>4012</v>
      </c>
      <c r="V31" s="38">
        <f t="shared" si="3"/>
        <v>42644.767245370371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{"issue":{"subject":"","project_id":79,"tracker_id":40,"status_id":1,"priority_id":2,"assigned_to_id":23,"start_date":"2016-10-01","description":"","custom_fields":[{"id":1,"name":"Subdivision","value":"EC"},{"id":4,"name":"Milepost","value":"0.0001"},{"id":17,"name":"Train ID","value":"158-01"},{"id":16,"name":"Locomotive ID","value":"4012"},{"id":130,"name":"Impact","value":""},{"id":150,"name":"Time of Event (Mountain Time)","value":"12:24:50"},{"id":151,"name":"Denver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"%USERPROFILE%\AppData\Local\Temp\OnboardLogs"\RTDC4012\*4012*201610011* | grep -SE "((Enforcement Ac)|(PRM))" -</v>
      </c>
    </row>
    <row r="32" spans="1:29" x14ac:dyDescent="0.25">
      <c r="A32" s="38">
        <v>42644.639907407407</v>
      </c>
      <c r="B32" s="33" t="s">
        <v>737</v>
      </c>
      <c r="C32" s="33" t="s">
        <v>589</v>
      </c>
      <c r="D32" s="33" t="s">
        <v>49</v>
      </c>
      <c r="E32" s="33" t="s">
        <v>50</v>
      </c>
      <c r="F32" s="49">
        <v>0</v>
      </c>
      <c r="G32" s="49">
        <v>58</v>
      </c>
      <c r="H32" s="49">
        <v>231</v>
      </c>
      <c r="I32" s="49">
        <v>178</v>
      </c>
      <c r="J32" s="33" t="s">
        <v>51</v>
      </c>
      <c r="K32" s="49">
        <v>1</v>
      </c>
      <c r="L32" s="146" t="s">
        <v>53</v>
      </c>
      <c r="M32" s="149">
        <f t="shared" si="0"/>
        <v>93.456000000000003</v>
      </c>
      <c r="N32" s="88" t="str">
        <f>VLOOKUP(C32,'Trips&amp;Operators'!$C$1:$E$99999,3,FALSE)</f>
        <v>SWANSON</v>
      </c>
      <c r="O32" s="170" t="s">
        <v>86</v>
      </c>
      <c r="P32" s="10"/>
      <c r="Q32" s="33"/>
      <c r="R32" s="104" t="str">
        <f>VLOOKUP(C32,'Train Runs'!$A$13:$AE$10004,31,0)</f>
        <v>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 &amp; aws s3 cp s3://rtdc.mdm.uploadarchive.raw/RTDC4030/ "%USERPROFILE%\AppData\Local\Temp\OnboardLogs"\RTDC4030\2016-10-02 --exclude "*" --recursive --include "*20161002*" &amp; "%USERPROFILE%\Documents\GitHub\mrs-test-scripts\Headless Mode &amp; Sideloading\WalkAndUnGZ.bat" "%USERPROFILE%\AppData\Local\Temp\OnboardLogs"\RTDC4030\2016-10-02</v>
      </c>
      <c r="S32" s="107" t="str">
        <f>VLOOKUP(C32,'Train Runs'!$A$13:$AE$10004,22,0)</f>
        <v>https://search-rtdc-monitor-bjffxe2xuh6vdkpspy63sjmuny.us-east-1.es.amazonaws.com/_plugin/kibana/#/discover/Steve-Slow-Train-Analysis-(2080s-and-2083s)?_g=(refreshInterval:(display:Off,section:0,value:0),time:(from:'2016-10-01 13:24:50-0600',mode:absolute,to:'2016-10-01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32" s="109" t="str">
        <f t="shared" si="1"/>
        <v>"C:\Program Files (x86)\AstroGrep\AstroGrep.exe" /spath="%USERPROFILE%\AppData\Local\Temp\OnboardLogs" /stypes="*4030*201610012*" /stext=" 21:.+((SYSTEM_STATE.+slice.+state.+changed )|(ment ac)|(system.+state.+changed )|(\[timeout)|(PRM\|1\|D)|(kpr)|(kdp)|(\|lc)|(penalty))" /e /r /s</v>
      </c>
      <c r="U32" s="9" t="str">
        <f t="shared" si="2"/>
        <v>4030</v>
      </c>
      <c r="V32" s="38">
        <f t="shared" si="3"/>
        <v>42644.889907407407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{"issue":{"subject":"","project_id":79,"tracker_id":40,"status_id":1,"priority_id":2,"assigned_to_id":23,"start_date":"2016-10-01","description":"","custom_fields":[{"id":1,"name":"Subdivision","value":"EC"},{"id":4,"name":"Milepost","value":"0.0001"},{"id":17,"name":"Train ID","value":"182-01"},{"id":16,"name":"Locomotive ID","value":"4030"},{"id":130,"name":"Impact","value":""},{"id":150,"name":"Time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"%USERPROFILE%\AppData\Local\Temp\OnboardLogs"\RTDC4030\*4030*201610012* | grep -SE "((Enforcement Ac)|(PRM))" -</v>
      </c>
    </row>
    <row r="33" spans="1:29" ht="15" customHeight="1" x14ac:dyDescent="0.25">
      <c r="A33" s="38">
        <v>42644.33425925926</v>
      </c>
      <c r="B33" s="33" t="s">
        <v>296</v>
      </c>
      <c r="C33" s="33" t="s">
        <v>453</v>
      </c>
      <c r="D33" s="33" t="s">
        <v>49</v>
      </c>
      <c r="E33" s="33" t="s">
        <v>50</v>
      </c>
      <c r="F33" s="49">
        <v>0</v>
      </c>
      <c r="G33" s="49">
        <v>70</v>
      </c>
      <c r="H33" s="49">
        <v>233281</v>
      </c>
      <c r="I33" s="49">
        <v>233366</v>
      </c>
      <c r="J33" s="33" t="s">
        <v>51</v>
      </c>
      <c r="K33" s="49">
        <v>233491</v>
      </c>
      <c r="L33" s="146" t="s">
        <v>52</v>
      </c>
      <c r="M33" s="149">
        <f t="shared" si="0"/>
        <v>66</v>
      </c>
      <c r="N33" s="88" t="str">
        <f>VLOOKUP(C33,'Trips&amp;Operators'!$C$1:$E$99999,3,FALSE)</f>
        <v>STAMBAUGH</v>
      </c>
      <c r="O33" s="170" t="s">
        <v>86</v>
      </c>
      <c r="P33" s="10"/>
      <c r="Q33" s="33"/>
      <c r="R33" s="104" t="str">
        <f>VLOOKUP(C33,'Train Runs'!$A$13:$AE$10004,31,0)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S33" s="107" t="str">
        <f>VLOOKUP(C33,'Train Runs'!$A$13:$AE$10004,22,0)</f>
        <v>https://search-rtdc-monitor-bjffxe2xuh6vdkpspy63sjmuny.us-east-1.es.amazonaws.com/_plugin/kibana/#/discover/Steve-Slow-Train-Analysis-(2080s-and-2083s)?_g=(refreshInterval:(display:Off,section:0,value:0),time:(from:'2016-10-01 06:06:01-0600',mode:absolute,to:'2016-10-01 09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3" s="109" t="str">
        <f t="shared" si="1"/>
        <v>"C:\Program Files (x86)\AstroGrep\AstroGrep.exe" /spath="%USERPROFILE%\AppData\Local\Temp\OnboardLogs" /stypes="*4011*201610011*" /stext=" 14:.+((SYSTEM_STATE.+slice.+state.+changed )|(ment ac)|(system.+state.+changed )|(\[timeout)|(PRM\|1\|D)|(kpr)|(kdp)|(\|lc)|(penalty))" /e /r /s</v>
      </c>
      <c r="U33" s="9" t="str">
        <f t="shared" si="2"/>
        <v>4011</v>
      </c>
      <c r="V33" s="38">
        <f t="shared" si="3"/>
        <v>42644.58425925926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{"issue":{"subject":"","project_id":79,"tracker_id":40,"status_id":1,"priority_id":2,"assigned_to_id":23,"start_date":"2016-10-01","description":"","custom_fields":[{"id":1,"name":"Subdivision","value":"EC"},{"id":4,"name":"Milepost","value":"23.3491"},{"id":17,"name":"Train ID","value":"129-01"},{"id":16,"name":"Locomotive ID","value":"4011"},{"id":130,"name":"Impact","value":""},{"id":150,"name":"Time of Event (Mountain Time)","value":"08:01:20"},{"id":151,"name":"Denver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"%USERPROFILE%\AppData\Local\Temp\OnboardLogs"\RTDC4011\*4011*201610011* | grep -SE "((Enforcement Ac)|(PRM))" -</v>
      </c>
    </row>
    <row r="34" spans="1:29" x14ac:dyDescent="0.25">
      <c r="A34" s="38">
        <v>42644.694594907407</v>
      </c>
      <c r="B34" s="33" t="s">
        <v>296</v>
      </c>
      <c r="C34" s="33" t="s">
        <v>647</v>
      </c>
      <c r="D34" s="33" t="s">
        <v>49</v>
      </c>
      <c r="E34" s="33" t="s">
        <v>50</v>
      </c>
      <c r="F34" s="49">
        <v>0</v>
      </c>
      <c r="G34" s="49">
        <v>62</v>
      </c>
      <c r="H34" s="49">
        <v>233200</v>
      </c>
      <c r="I34" s="49">
        <v>233266</v>
      </c>
      <c r="J34" s="33" t="s">
        <v>51</v>
      </c>
      <c r="K34" s="49">
        <v>233491</v>
      </c>
      <c r="L34" s="146" t="s">
        <v>52</v>
      </c>
      <c r="M34" s="149">
        <f t="shared" si="0"/>
        <v>118.8</v>
      </c>
      <c r="N34" s="88" t="str">
        <f>VLOOKUP(C34,'Trips&amp;Operators'!$C$1:$E$99999,3,FALSE)</f>
        <v>STORY</v>
      </c>
      <c r="O34" s="170" t="s">
        <v>86</v>
      </c>
      <c r="P34" s="10"/>
      <c r="Q34" s="33"/>
      <c r="R34" s="104" t="str">
        <f>VLOOKUP(C34,'Train Runs'!$A$13:$AE$10004,31,0)</f>
        <v>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 &amp; aws s3 cp s3://rtdc.mdm.uploadarchive.raw/RTDC4011/ "%USERPROFILE%\AppData\Local\Temp\OnboardLogs"\RTDC4011\2016-10-02 --exclude "*" --recursive --include "*20161002*" &amp; "%USERPROFILE%\Documents\GitHub\mrs-test-scripts\Headless Mode &amp; Sideloading\WalkAndUnGZ.bat" "%USERPROFILE%\AppData\Local\Temp\OnboardLogs"\RTDC4011\2016-10-02</v>
      </c>
      <c r="S34" s="107" t="str">
        <f>VLOOKUP(C34,'Train Runs'!$A$13:$AE$10004,22,0)</f>
        <v>https://search-rtdc-monitor-bjffxe2xuh6vdkpspy63sjmuny.us-east-1.es.amazonaws.com/_plugin/kibana/#/discover/Steve-Slow-Train-Analysis-(2080s-and-2083s)?_g=(refreshInterval:(display:Off,section:0,value:0),time:(from:'2016-10-01 14:53:08-0600',mode:absolute,to:'2016-10-01 17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4" s="109" t="str">
        <f t="shared" si="1"/>
        <v>"C:\Program Files (x86)\AstroGrep\AstroGrep.exe" /spath="%USERPROFILE%\AppData\Local\Temp\OnboardLogs" /stypes="*4011*201610012*" /stext=" 22:.+((SYSTEM_STATE.+slice.+state.+changed )|(ment ac)|(system.+state.+changed )|(\[timeout)|(PRM\|1\|D)|(kpr)|(kdp)|(\|lc)|(penalty))" /e /r /s</v>
      </c>
      <c r="U34" s="9" t="str">
        <f t="shared" si="2"/>
        <v>4011</v>
      </c>
      <c r="V34" s="38">
        <f t="shared" si="3"/>
        <v>42644.944594907407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{"issue":{"subject":"","project_id":79,"tracker_id":40,"status_id":1,"priority_id":2,"assigned_to_id":23,"start_date":"2016-10-01","description":"","custom_fields":[{"id":1,"name":"Subdivision","value":"EC"},{"id":4,"name":"Milepost","value":"23.3491"},{"id":17,"name":"Train ID","value":"199-01"},{"id":16,"name":"Locomotive ID","value":"4011"},{"id":130,"name":"Impact","value":""},{"id":150,"name":"Time of Event (Mountain Time)","value":"16:40:13"},{"id":151,"name":"Denver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"%USERPROFILE%\AppData\Local\Temp\OnboardLogs"\RTDC4011\*4011*201610012* | grep -SE "((Enforcement Ac)|(PRM))" -</v>
      </c>
    </row>
    <row r="35" spans="1:29" x14ac:dyDescent="0.25">
      <c r="A35" s="38">
        <v>42644.703796296293</v>
      </c>
      <c r="B35" s="33" t="s">
        <v>177</v>
      </c>
      <c r="C35" s="33" t="s">
        <v>651</v>
      </c>
      <c r="D35" s="33" t="s">
        <v>49</v>
      </c>
      <c r="E35" s="33" t="s">
        <v>50</v>
      </c>
      <c r="F35" s="49">
        <v>0</v>
      </c>
      <c r="G35" s="49">
        <v>133</v>
      </c>
      <c r="H35" s="49">
        <v>232913</v>
      </c>
      <c r="I35" s="49">
        <v>233096</v>
      </c>
      <c r="J35" s="33" t="s">
        <v>51</v>
      </c>
      <c r="K35" s="49">
        <v>233491</v>
      </c>
      <c r="L35" s="146" t="s">
        <v>52</v>
      </c>
      <c r="M35" s="149">
        <f t="shared" si="0"/>
        <v>208.56</v>
      </c>
      <c r="N35" s="88" t="str">
        <f>VLOOKUP(C35,'Trips&amp;Operators'!$C$1:$E$99999,3,FALSE)</f>
        <v>STEWART</v>
      </c>
      <c r="O35" s="170" t="s">
        <v>86</v>
      </c>
      <c r="P35" s="10"/>
      <c r="Q35" s="33"/>
      <c r="R35" s="104" t="str">
        <f>VLOOKUP(C35,'Train Runs'!$A$13:$AE$10004,31,0)</f>
        <v>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 &amp; aws s3 cp s3://rtdc.mdm.uploadarchive.raw/RTDC4046/ "%USERPROFILE%\AppData\Local\Temp\OnboardLogs"\RTDC4046\2016-10-02 --exclude "*" --recursive --include "*20161002*" &amp; "%USERPROFILE%\Documents\GitHub\mrs-test-scripts\Headless Mode &amp; Sideloading\WalkAndUnGZ.bat" "%USERPROFILE%\AppData\Local\Temp\OnboardLogs"\RTDC4046\2016-10-02</v>
      </c>
      <c r="S35" s="107" t="str">
        <f>VLOOKUP(C35,'Train Runs'!$A$13:$AE$10004,22,0)</f>
        <v>https://search-rtdc-monitor-bjffxe2xuh6vdkpspy63sjmuny.us-east-1.es.amazonaws.com/_plugin/kibana/#/discover/Steve-Slow-Train-Analysis-(2080s-and-2083s)?_g=(refreshInterval:(display:Off,section:0,value:0),time:(from:'2016-10-01 15:07:51-0600',mode:absolute,to:'2016-10-01 17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35" s="109" t="str">
        <f t="shared" si="1"/>
        <v>"C:\Program Files (x86)\AstroGrep\AstroGrep.exe" /spath="%USERPROFILE%\AppData\Local\Temp\OnboardLogs" /stypes="*4046*201610012*" /stext=" 22:.+((SYSTEM_STATE.+slice.+state.+changed )|(ment ac)|(system.+state.+changed )|(\[timeout)|(PRM\|1\|D)|(kpr)|(kdp)|(\|lc)|(penalty))" /e /r /s</v>
      </c>
      <c r="U35" s="9" t="str">
        <f t="shared" si="2"/>
        <v>4046</v>
      </c>
      <c r="V35" s="38">
        <f t="shared" si="3"/>
        <v>42644.953796296293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{"issue":{"subject":"","project_id":79,"tracker_id":40,"status_id":1,"priority_id":2,"assigned_to_id":23,"start_date":"2016-10-01","description":"","custom_fields":[{"id":1,"name":"Subdivision","value":"EC"},{"id":4,"name":"Milepost","value":"23.3491"},{"id":17,"name":"Train ID","value":"201-01"},{"id":16,"name":"Locomotive ID","value":"4046"},{"id":130,"name":"Impact","value":""},{"id":150,"name":"Time of Event (Mountain Time)","value":"16:53:28"},{"id":151,"name":"Denver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"%USERPROFILE%\AppData\Local\Temp\OnboardLogs"\RTDC4046\*4046*201610012* | grep -SE "((Enforcement Ac)|(PRM))" -</v>
      </c>
    </row>
    <row r="36" spans="1:29" x14ac:dyDescent="0.25">
      <c r="A36" s="38">
        <v>42644.701828703706</v>
      </c>
      <c r="B36" s="33" t="s">
        <v>218</v>
      </c>
      <c r="C36" s="33" t="s">
        <v>595</v>
      </c>
      <c r="D36" s="33" t="s">
        <v>49</v>
      </c>
      <c r="E36" s="33" t="s">
        <v>166</v>
      </c>
      <c r="F36" s="49">
        <v>0</v>
      </c>
      <c r="G36" s="49">
        <v>373</v>
      </c>
      <c r="H36" s="49">
        <v>16204</v>
      </c>
      <c r="I36" s="49">
        <v>15412</v>
      </c>
      <c r="J36" s="33" t="s">
        <v>165</v>
      </c>
      <c r="K36" s="49">
        <v>15777</v>
      </c>
      <c r="L36" s="146" t="s">
        <v>53</v>
      </c>
      <c r="M36" s="149">
        <f t="shared" si="0"/>
        <v>-192.72</v>
      </c>
      <c r="N36" s="88" t="str">
        <f>VLOOKUP(C36,'Trips&amp;Operators'!$C$1:$E$99999,3,FALSE)</f>
        <v>HILLS</v>
      </c>
      <c r="O36" s="170" t="s">
        <v>293</v>
      </c>
      <c r="P36" s="10" t="s">
        <v>754</v>
      </c>
      <c r="Q36" s="33"/>
      <c r="R36" s="104" t="str">
        <f>VLOOKUP(C36,'Train Runs'!$A$13:$AE$10004,31,0)</f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S36" s="107" t="str">
        <f>VLOOKUP(C36,'Train Runs'!$A$13:$AE$10004,22,0)</f>
        <v>https://search-rtdc-monitor-bjffxe2xuh6vdkpspy63sjmuny.us-east-1.es.amazonaws.com/_plugin/kibana/#/discover/Steve-Slow-Train-Analysis-(2080s-and-2083s)?_g=(refreshInterval:(display:Off,section:0,value:0),time:(from:'2016-10-01 15:35:28-0600',mode:absolute,to:'2016-10-01 17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6" s="109" t="str">
        <f t="shared" si="1"/>
        <v>"C:\Program Files (x86)\AstroGrep\AstroGrep.exe" /spath="%USERPROFILE%\AppData\Local\Temp\OnboardLogs" /stypes="*4043*201610012*" /stext=" 22:.+((SYSTEM_STATE.+slice.+state.+changed )|(ment ac)|(system.+state.+changed )|(\[timeout)|(PRM\|1\|D)|(kpr)|(kdp)|(\|lc)|(penalty))" /e /r /s</v>
      </c>
      <c r="U36" s="9" t="str">
        <f t="shared" si="2"/>
        <v>4043</v>
      </c>
      <c r="V36" s="38">
        <f t="shared" si="3"/>
        <v>42644.951828703706</v>
      </c>
      <c r="W36" s="52" t="str">
        <f t="shared" si="4"/>
        <v>NW</v>
      </c>
      <c r="X36" s="52" t="str">
        <f t="shared" si="5"/>
        <v>KEEP</v>
      </c>
      <c r="Y36" s="130" t="str">
        <f t="shared" si="6"/>
        <v>echo {"issue":{"subject":"Early arrival - Ped XING enabled","project_id":79,"tracker_id":40,"status_id":1,"priority_id":2,"assigned_to_id":23,"start_date":"2016-10-01","description":"","custom_fields":[{"id":1,"name":"Subdivision","value":"NW"},{"id":4,"name":"Milepost","value":"1.5777"},{"id":17,"name":"Train ID","value":"1822-01"},{"id":16,"name":"Locomotive ID","value":"4043"},{"id":130,"name":"Impact","value":""},{"id":150,"name":"Time of Event (Mountain Time)","value":"16:50:38"},{"id":151,"name":"Denver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"%USERPROFILE%\AppData\Local\Temp\OnboardLogs"\RTDC4043\*4043*201610012* | grep -SE "((Enforcement Ac)|(PRM))" -</v>
      </c>
    </row>
    <row r="37" spans="1:29" ht="15" customHeight="1" x14ac:dyDescent="0.25">
      <c r="A37" s="38">
        <v>42644.535810185182</v>
      </c>
      <c r="B37" s="33" t="s">
        <v>218</v>
      </c>
      <c r="C37" s="33" t="s">
        <v>579</v>
      </c>
      <c r="D37" s="33" t="s">
        <v>49</v>
      </c>
      <c r="E37" s="33" t="s">
        <v>56</v>
      </c>
      <c r="F37" s="49">
        <v>200</v>
      </c>
      <c r="G37" s="49">
        <v>342</v>
      </c>
      <c r="H37" s="49">
        <v>7531</v>
      </c>
      <c r="I37" s="49">
        <v>6648</v>
      </c>
      <c r="J37" s="33" t="s">
        <v>57</v>
      </c>
      <c r="K37" s="49">
        <v>5782</v>
      </c>
      <c r="L37" s="146" t="s">
        <v>53</v>
      </c>
      <c r="M37" s="149">
        <f t="shared" si="0"/>
        <v>457.24799999999999</v>
      </c>
      <c r="N37" s="88" t="str">
        <f>VLOOKUP(C37,'Trips&amp;Operators'!$C$1:$E$99999,3,FALSE)</f>
        <v>YORK</v>
      </c>
      <c r="O37" s="170" t="s">
        <v>86</v>
      </c>
      <c r="P37" s="10"/>
      <c r="Q37" s="33"/>
      <c r="R37" s="104" t="str">
        <f>VLOOKUP(C37,'Train Runs'!$A$13:$AE$10004,31,0)</f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S37" s="107" t="str">
        <f>VLOOKUP(C37,'Train Runs'!$A$13:$AE$10004,22,0)</f>
        <v>https://search-rtdc-monitor-bjffxe2xuh6vdkpspy63sjmuny.us-east-1.es.amazonaws.com/_plugin/kibana/#/discover/Steve-Slow-Train-Analysis-(2080s-and-2083s)?_g=(refreshInterval:(display:Off,section:0,value:0),time:(from:'2016-10-01 11:35:41-0600',mode:absolute,to:'2016-10-01 13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7" s="109" t="str">
        <f t="shared" si="1"/>
        <v>"C:\Program Files (x86)\AstroGrep\AstroGrep.exe" /spath="%USERPROFILE%\AppData\Local\Temp\OnboardLogs" /stypes="*4043*201610011*" /stext=" 18:.+((SYSTEM_STATE.+slice.+state.+changed )|(ment ac)|(system.+state.+changed )|(\[timeout)|(PRM\|1\|D)|(kpr)|(kdp)|(\|lc)|(penalty))" /e /r /s</v>
      </c>
      <c r="U37" s="9" t="str">
        <f t="shared" si="2"/>
        <v>4043</v>
      </c>
      <c r="V37" s="38">
        <f t="shared" si="3"/>
        <v>42644.785810185182</v>
      </c>
      <c r="W37" s="52" t="str">
        <f t="shared" si="4"/>
        <v>NW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{"issue":{"subject":"","project_id":79,"tracker_id":40,"status_id":1,"priority_id":2,"assigned_to_id":23,"start_date":"2016-10-01","description":"","custom_fields":[{"id":1,"name":"Subdivision","value":"NW"},{"id":4,"name":"Milepost","value":"0.5782"},{"id":17,"name":"Train ID","value":"1814-01"},{"id":16,"name":"Locomotive ID","value":"4043"},{"id":130,"name":"Impact","value":""},{"id":150,"name":"Time of Event (Mountain Time)","value":"12:51:34"},{"id":151,"name":"Denver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"%USERPROFILE%\AppData\Local\Temp\OnboardLogs"\RTDC4043\*4043*201610011* | grep -SE "((Enforcement Ac)|(PRM))" -</v>
      </c>
    </row>
    <row r="38" spans="1:29" x14ac:dyDescent="0.25">
      <c r="A38" s="38">
        <v>42644.731226851851</v>
      </c>
      <c r="B38" s="33" t="s">
        <v>217</v>
      </c>
      <c r="C38" s="33" t="s">
        <v>597</v>
      </c>
      <c r="D38" s="33" t="s">
        <v>49</v>
      </c>
      <c r="E38" s="33" t="s">
        <v>56</v>
      </c>
      <c r="F38" s="49">
        <v>150</v>
      </c>
      <c r="G38" s="49">
        <v>500</v>
      </c>
      <c r="H38" s="49">
        <v>54451</v>
      </c>
      <c r="I38" s="49">
        <v>55896</v>
      </c>
      <c r="J38" s="33" t="s">
        <v>57</v>
      </c>
      <c r="K38" s="49">
        <v>57008</v>
      </c>
      <c r="L38" s="146" t="s">
        <v>52</v>
      </c>
      <c r="M38" s="149">
        <f t="shared" si="0"/>
        <v>587.13599999999997</v>
      </c>
      <c r="N38" s="88" t="str">
        <f>VLOOKUP(C38,'Trips&amp;Operators'!$C$1:$E$99999,3,FALSE)</f>
        <v>HILLS</v>
      </c>
      <c r="O38" s="170" t="s">
        <v>86</v>
      </c>
      <c r="P38" s="10"/>
      <c r="Q38" s="33"/>
      <c r="R38" s="104" t="str">
        <f>VLOOKUP(C38,'Train Runs'!$A$13:$AE$10004,31,0)</f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S38" s="107" t="str">
        <f>VLOOKUP(C38,'Train Runs'!$A$13:$AE$10004,22,0)</f>
        <v>https://search-rtdc-monitor-bjffxe2xuh6vdkpspy63sjmuny.us-east-1.es.amazonaws.com/_plugin/kibana/#/discover/Steve-Slow-Train-Analysis-(2080s-and-2083s)?_g=(refreshInterval:(display:Off,section:0,value:0),time:(from:'2016-10-01 16:00:37-0600',mode:absolute,to:'2016-10-01 18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38" s="109" t="str">
        <f t="shared" si="1"/>
        <v>"C:\Program Files (x86)\AstroGrep\AstroGrep.exe" /spath="%USERPROFILE%\AppData\Local\Temp\OnboardLogs" /stypes="*4044*201610012*" /stext=" 23:.+((SYSTEM_STATE.+slice.+state.+changed )|(ment ac)|(system.+state.+changed )|(\[timeout)|(PRM\|1\|D)|(kpr)|(kdp)|(\|lc)|(penalty))" /e /r /s</v>
      </c>
      <c r="U38" s="9" t="str">
        <f t="shared" si="2"/>
        <v>4044</v>
      </c>
      <c r="V38" s="38">
        <f t="shared" si="3"/>
        <v>42644.981226851851</v>
      </c>
      <c r="W38" s="52" t="str">
        <f t="shared" si="4"/>
        <v>NW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{"issue":{"subject":"","project_id":79,"tracker_id":40,"status_id":1,"priority_id":2,"assigned_to_id":23,"start_date":"2016-10-01","description":"","custom_fields":[{"id":1,"name":"Subdivision","value":"NW"},{"id":4,"name":"Milepost","value":"5.7008"},{"id":17,"name":"Train ID","value":"1823-01"},{"id":16,"name":"Locomotive ID","value":"4044"},{"id":130,"name":"Impact","value":""},{"id":150,"name":"Time of Event (Mountain Time)","value":"17:32:58"},{"id":151,"name":"Denver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"%USERPROFILE%\AppData\Local\Temp\OnboardLogs"\RTDC4044\*4044*201610012* | grep -SE "((Enforcement Ac)|(PRM))" -</v>
      </c>
    </row>
    <row r="39" spans="1:29" x14ac:dyDescent="0.25">
      <c r="A39" s="38">
        <v>42644.897083333337</v>
      </c>
      <c r="B39" s="33" t="s">
        <v>217</v>
      </c>
      <c r="C39" s="33" t="s">
        <v>617</v>
      </c>
      <c r="D39" s="33" t="s">
        <v>49</v>
      </c>
      <c r="E39" s="33" t="s">
        <v>56</v>
      </c>
      <c r="F39" s="49">
        <v>150</v>
      </c>
      <c r="G39" s="49">
        <v>349</v>
      </c>
      <c r="H39" s="49">
        <v>56073</v>
      </c>
      <c r="I39" s="49">
        <v>56775</v>
      </c>
      <c r="J39" s="33" t="s">
        <v>57</v>
      </c>
      <c r="K39" s="49">
        <v>57008</v>
      </c>
      <c r="L39" s="146" t="s">
        <v>52</v>
      </c>
      <c r="M39" s="149">
        <f t="shared" si="0"/>
        <v>123.024</v>
      </c>
      <c r="N39" s="88" t="str">
        <f>VLOOKUP(C39,'Trips&amp;Operators'!$C$1:$E$99999,3,FALSE)</f>
        <v>HILLS</v>
      </c>
      <c r="O39" s="170" t="s">
        <v>86</v>
      </c>
      <c r="P39" s="10"/>
      <c r="Q39" s="33"/>
      <c r="R39" s="104" t="str">
        <f>VLOOKUP(C39,'Train Runs'!$A$13:$AE$10004,31,0)</f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S39" s="107" t="str">
        <f>VLOOKUP(C39,'Train Runs'!$A$13:$AE$10004,22,0)</f>
        <v>https://search-rtdc-monitor-bjffxe2xuh6vdkpspy63sjmuny.us-east-1.es.amazonaws.com/_plugin/kibana/#/discover/Steve-Slow-Train-Analysis-(2080s-and-2083s)?_g=(refreshInterval:(display:Off,section:0,value:0),time:(from:'2016-10-01 19:56:43-0600',mode:absolute,to:'2016-10-01 22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39" s="109" t="str">
        <f t="shared" si="1"/>
        <v>"C:\Program Files (x86)\AstroGrep\AstroGrep.exe" /spath="%USERPROFILE%\AppData\Local\Temp\OnboardLogs" /stypes="*4044*201610020*" /stext=" 03:.+((SYSTEM_STATE.+slice.+state.+changed )|(ment ac)|(system.+state.+changed )|(\[timeout)|(PRM\|1\|D)|(kpr)|(kdp)|(\|lc)|(penalty))" /e /r /s</v>
      </c>
      <c r="U39" s="9" t="str">
        <f t="shared" si="2"/>
        <v>4044</v>
      </c>
      <c r="V39" s="38">
        <f t="shared" si="3"/>
        <v>42645.147083333337</v>
      </c>
      <c r="W39" s="52" t="str">
        <f t="shared" si="4"/>
        <v>NW</v>
      </c>
      <c r="X39" s="52" t="str">
        <f t="shared" si="5"/>
        <v>KEEP</v>
      </c>
      <c r="Y39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{"issue":{"subject":"","project_id":79,"tracker_id":40,"status_id":1,"priority_id":2,"assigned_to_id":23,"start_date":"2016-10-01","description":"","custom_fields":[{"id":1,"name":"Subdivision","value":"NW"},{"id":4,"name":"Milepost","value":"5.7008"},{"id":17,"name":"Train ID","value":"1831-01"},{"id":16,"name":"Locomotive ID","value":"4044"},{"id":130,"name":"Impact","value":""},{"id":150,"name":"Time of Event (Mountain Time)","value":"21:31:48"},{"id":151,"name":"Denver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"%USERPROFILE%\AppData\Local\Temp\OnboardLogs"\RTDC4044\*4044*201610020* | grep -SE "((Enforcement Ac)|(PRM))" -</v>
      </c>
    </row>
    <row r="40" spans="1:29" x14ac:dyDescent="0.25">
      <c r="A40" s="38">
        <v>42644.618935185186</v>
      </c>
      <c r="B40" s="33" t="s">
        <v>218</v>
      </c>
      <c r="C40" s="33" t="s">
        <v>584</v>
      </c>
      <c r="D40" s="33" t="s">
        <v>105</v>
      </c>
      <c r="E40" s="33" t="s">
        <v>54</v>
      </c>
      <c r="F40" s="49">
        <v>0</v>
      </c>
      <c r="G40" s="49">
        <v>108</v>
      </c>
      <c r="H40" s="49">
        <v>11000</v>
      </c>
      <c r="I40" s="49">
        <v>10856</v>
      </c>
      <c r="J40" s="33" t="s">
        <v>55</v>
      </c>
      <c r="K40" s="49">
        <v>11016</v>
      </c>
      <c r="L40" s="146" t="s">
        <v>53</v>
      </c>
      <c r="M40" s="149">
        <f t="shared" si="0"/>
        <v>-84.48</v>
      </c>
      <c r="N40" s="88" t="str">
        <f>VLOOKUP(C40,'Trips&amp;Operators'!$C$1:$E$99999,3,FALSE)</f>
        <v>HILLS</v>
      </c>
      <c r="O40" s="170" t="s">
        <v>293</v>
      </c>
      <c r="P40" s="10" t="s">
        <v>755</v>
      </c>
      <c r="Q40" s="33"/>
      <c r="R40" s="104" t="str">
        <f>VLOOKUP(C40,'Train Runs'!$A$13:$AE$10004,31,0)</f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S40" s="107" t="str">
        <f>VLOOKUP(C40,'Train Runs'!$A$13:$AE$10004,22,0)</f>
        <v>https://search-rtdc-monitor-bjffxe2xuh6vdkpspy63sjmuny.us-east-1.es.amazonaws.com/_plugin/kibana/#/discover/Steve-Slow-Train-Analysis-(2080s-and-2083s)?_g=(refreshInterval:(display:Off,section:0,value:0),time:(from:'2016-10-01 13:38:25-0600',mode:absolute,to:'2016-10-01 15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0" s="109" t="str">
        <f t="shared" si="1"/>
        <v>"C:\Program Files (x86)\AstroGrep\AstroGrep.exe" /spath="%USERPROFILE%\AppData\Local\Temp\OnboardLogs" /stypes="*4043*201610012*" /stext=" 20:.+((SYSTEM_STATE.+slice.+state.+changed )|(ment ac)|(system.+state.+changed )|(\[timeout)|(PRM\|1\|D)|(kpr)|(kdp)|(\|lc)|(penalty))" /e /r /s</v>
      </c>
      <c r="U40" s="9" t="str">
        <f t="shared" si="2"/>
        <v>4043</v>
      </c>
      <c r="V40" s="38">
        <f t="shared" si="3"/>
        <v>42644.868935185186</v>
      </c>
      <c r="W40" s="52" t="str">
        <f t="shared" si="4"/>
        <v>NW</v>
      </c>
      <c r="X40" s="52" t="str">
        <f t="shared" si="5"/>
        <v>KEEP</v>
      </c>
      <c r="Y40" s="130" t="str">
        <f t="shared" si="6"/>
        <v>echo {"issue":{"subject":"Poor GPS under I-25 bridge","project_id":79,"tracker_id":40,"status_id":1,"priority_id":2,"assigned_to_id":23,"start_date":"2016-10-01","description":"Poor GPS signal under I-25 bridge caused enforcement","custom_fields":[{"id":1,"name":"Subdivision","value":"NW"},{"id":4,"name":"Milepost","value":"1.1016"},{"id":17,"name":"Train ID","value":"1818-01"},{"id":16,"name":"Locomotive ID","value":"4043"},{"id":130,"name":"Impact","value":"Enforcement"},{"id":150,"name":"Time of Event (Mountain Time)","value":"14:51:16"},{"id":151,"name":"Denver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0" s="55" t="s">
        <v>756</v>
      </c>
      <c r="AA40" s="55" t="s">
        <v>135</v>
      </c>
      <c r="AB40" s="23" t="s">
        <v>219</v>
      </c>
      <c r="AC40" s="171" t="str">
        <f t="shared" si="7"/>
        <v>grep -hSE -A100 "Enforcement Action" "%USERPROFILE%\AppData\Local\Temp\OnboardLogs"\RTDC4043\*4043*201610012* | grep -SE "((Enforcement Ac)|(PRM))" -</v>
      </c>
    </row>
    <row r="41" spans="1:29" x14ac:dyDescent="0.25">
      <c r="A41" s="38">
        <v>42644.913032407407</v>
      </c>
      <c r="B41" s="33" t="s">
        <v>218</v>
      </c>
      <c r="C41" s="33" t="s">
        <v>620</v>
      </c>
      <c r="D41" s="33" t="s">
        <v>49</v>
      </c>
      <c r="E41" s="33" t="s">
        <v>50</v>
      </c>
      <c r="F41" s="49">
        <v>0</v>
      </c>
      <c r="G41" s="49">
        <v>159</v>
      </c>
      <c r="H41" s="49">
        <v>1216</v>
      </c>
      <c r="I41" s="49">
        <v>1037</v>
      </c>
      <c r="J41" s="33" t="s">
        <v>51</v>
      </c>
      <c r="K41" s="49">
        <v>575</v>
      </c>
      <c r="L41" s="146" t="s">
        <v>53</v>
      </c>
      <c r="M41" s="149">
        <f t="shared" si="0"/>
        <v>243.93600000000001</v>
      </c>
      <c r="N41" s="88" t="str">
        <f>VLOOKUP(C41,'Trips&amp;Operators'!$C$1:$E$99999,3,FALSE)</f>
        <v>HILLS</v>
      </c>
      <c r="O41" s="170" t="s">
        <v>86</v>
      </c>
      <c r="P41" s="10"/>
      <c r="Q41" s="33"/>
      <c r="R41" s="104" t="str">
        <f>VLOOKUP(C41,'Train Runs'!$A$13:$AE$10004,31,0)</f>
        <v>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 &amp; aws s3 cp s3://rtdc.mdm.uploadarchive.raw/RTDC4043/ "%USERPROFILE%\AppData\Local\Temp\OnboardLogs"\RTDC4043\2016-10-02 --exclude "*" --recursive --include "*20161002*" &amp; "%USERPROFILE%\Documents\GitHub\mrs-test-scripts\Headless Mode &amp; Sideloading\WalkAndUnGZ.bat" "%USERPROFILE%\AppData\Local\Temp\OnboardLogs"\RTDC4043\2016-10-02</v>
      </c>
      <c r="S41" s="107" t="str">
        <f>VLOOKUP(C41,'Train Runs'!$A$13:$AE$10004,22,0)</f>
        <v>https://search-rtdc-monitor-bjffxe2xuh6vdkpspy63sjmuny.us-east-1.es.amazonaws.com/_plugin/kibana/#/discover/Steve-Slow-Train-Analysis-(2080s-and-2083s)?_g=(refreshInterval:(display:Off,section:0,value:0),time:(from:'2016-10-01 20:39:30-0600',mode:absolute,to:'2016-10-01 22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1" s="109" t="str">
        <f t="shared" si="1"/>
        <v>"C:\Program Files (x86)\AstroGrep\AstroGrep.exe" /spath="%USERPROFILE%\AppData\Local\Temp\OnboardLogs" /stypes="*4043*201610020*" /stext=" 03:.+((SYSTEM_STATE.+slice.+state.+changed )|(ment ac)|(system.+state.+changed )|(\[timeout)|(PRM\|1\|D)|(kpr)|(kdp)|(\|lc)|(penalty))" /e /r /s</v>
      </c>
      <c r="U41" s="9" t="str">
        <f t="shared" si="2"/>
        <v>4043</v>
      </c>
      <c r="V41" s="38">
        <f t="shared" si="3"/>
        <v>42645.163032407407</v>
      </c>
      <c r="W41" s="52" t="str">
        <f t="shared" si="4"/>
        <v>NW</v>
      </c>
      <c r="X41" s="52" t="str">
        <f t="shared" si="5"/>
        <v>KEEP</v>
      </c>
      <c r="Y41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{"issue":{"subject":"","project_id":79,"tracker_id":40,"status_id":1,"priority_id":2,"assigned_to_id":23,"start_date":"2016-10-01","description":"","custom_fields":[{"id":1,"name":"Subdivision","value":"NW"},{"id":4,"name":"Milepost","value":"0.0575"},{"id":17,"name":"Train ID","value":"1832-01"},{"id":16,"name":"Locomotive ID","value":"4043"},{"id":130,"name":"Impact","value":""},{"id":150,"name":"Time of Event (Mountain Time)","value":"21:54:46"},{"id":151,"name":"Denver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7"/>
        <v>grep -hSE -A100 "Enforcement Action" "%USERPROFILE%\AppData\Local\Temp\OnboardLogs"\RTDC4043\*4043*201610020* | grep -SE "((Enforcement Ac)|(PRM))" -</v>
      </c>
    </row>
    <row r="42" spans="1:29" x14ac:dyDescent="0.25">
      <c r="A42" s="38">
        <v>42644.398449074077</v>
      </c>
      <c r="B42" s="33" t="s">
        <v>217</v>
      </c>
      <c r="C42" s="33" t="s">
        <v>565</v>
      </c>
      <c r="D42" s="33" t="s">
        <v>49</v>
      </c>
      <c r="E42" s="33" t="s">
        <v>50</v>
      </c>
      <c r="F42" s="49">
        <v>0</v>
      </c>
      <c r="G42" s="49">
        <v>47</v>
      </c>
      <c r="H42" s="49">
        <v>58914</v>
      </c>
      <c r="I42" s="49">
        <v>58954</v>
      </c>
      <c r="J42" s="33" t="s">
        <v>51</v>
      </c>
      <c r="K42" s="49">
        <v>59048</v>
      </c>
      <c r="L42" s="146" t="s">
        <v>52</v>
      </c>
      <c r="M42" s="149">
        <f t="shared" si="0"/>
        <v>49.631999999999998</v>
      </c>
      <c r="N42" s="88" t="str">
        <f>VLOOKUP(C42,'Trips&amp;Operators'!$C$1:$E$99999,3,FALSE)</f>
        <v>YORK</v>
      </c>
      <c r="O42" s="170" t="s">
        <v>86</v>
      </c>
      <c r="P42" s="10"/>
      <c r="Q42" s="33"/>
      <c r="R42" s="104" t="str">
        <f>VLOOKUP(C42,'Train Runs'!$A$13:$AE$10004,31,0)</f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S42" s="107" t="str">
        <f>VLOOKUP(C42,'Train Runs'!$A$13:$AE$10004,22,0)</f>
        <v>https://search-rtdc-monitor-bjffxe2xuh6vdkpspy63sjmuny.us-east-1.es.amazonaws.com/_plugin/kibana/#/discover/Steve-Slow-Train-Analysis-(2080s-and-2083s)?_g=(refreshInterval:(display:Off,section:0,value:0),time:(from:'2016-10-01 08:18:59-0600',mode:absolute,to:'2016-10-01 10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2" s="109" t="str">
        <f t="shared" si="1"/>
        <v>"C:\Program Files (x86)\AstroGrep\AstroGrep.exe" /spath="%USERPROFILE%\AppData\Local\Temp\OnboardLogs" /stypes="*4044*201610011*" /stext=" 15:.+((SYSTEM_STATE.+slice.+state.+changed )|(ment ac)|(system.+state.+changed )|(\[timeout)|(PRM\|1\|D)|(kpr)|(kdp)|(\|lc)|(penalty))" /e /r /s</v>
      </c>
      <c r="U42" s="9" t="str">
        <f t="shared" si="2"/>
        <v>4044</v>
      </c>
      <c r="V42" s="38">
        <f t="shared" si="3"/>
        <v>42644.648449074077</v>
      </c>
      <c r="W42" s="52" t="str">
        <f t="shared" si="4"/>
        <v>NW</v>
      </c>
      <c r="X42" s="52" t="str">
        <f t="shared" si="5"/>
        <v>KEEP</v>
      </c>
      <c r="Y42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{"issue":{"subject":"","project_id":79,"tracker_id":40,"status_id":1,"priority_id":2,"assigned_to_id":23,"start_date":"2016-10-01","description":"","custom_fields":[{"id":1,"name":"Subdivision","value":"NW"},{"id":4,"name":"Milepost","value":"5.9048"},{"id":17,"name":"Train ID","value":"1807-01"},{"id":16,"name":"Locomotive ID","value":"4044"},{"id":130,"name":"Impact","value":""},{"id":150,"name":"Time of Event (Mountain Time)","value":"09:33:46"},{"id":151,"name":"Denver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7"/>
        <v>grep -hSE -A100 "Enforcement Action" "%USERPROFILE%\AppData\Local\Temp\OnboardLogs"\RTDC4044\*4044*201610011* | grep -SE "((Enforcement Ac)|(PRM))" -</v>
      </c>
    </row>
    <row r="43" spans="1:29" x14ac:dyDescent="0.25">
      <c r="A43" s="38">
        <v>42644.815787037034</v>
      </c>
      <c r="B43" s="33" t="s">
        <v>217</v>
      </c>
      <c r="C43" s="33" t="s">
        <v>607</v>
      </c>
      <c r="D43" s="33" t="s">
        <v>49</v>
      </c>
      <c r="E43" s="33" t="s">
        <v>50</v>
      </c>
      <c r="F43" s="49">
        <v>0</v>
      </c>
      <c r="G43" s="49">
        <v>41</v>
      </c>
      <c r="H43" s="49">
        <v>58897</v>
      </c>
      <c r="I43" s="49">
        <v>58939</v>
      </c>
      <c r="J43" s="33" t="s">
        <v>51</v>
      </c>
      <c r="K43" s="49">
        <v>59048</v>
      </c>
      <c r="L43" s="146" t="s">
        <v>52</v>
      </c>
      <c r="M43" s="149">
        <f t="shared" si="0"/>
        <v>57.552</v>
      </c>
      <c r="N43" s="88" t="str">
        <f>VLOOKUP(C43,'Trips&amp;Operators'!$C$1:$E$99999,3,FALSE)</f>
        <v>HILLS</v>
      </c>
      <c r="O43" s="170" t="s">
        <v>86</v>
      </c>
      <c r="P43" s="10"/>
      <c r="Q43" s="33"/>
      <c r="R43" s="104" t="str">
        <f>VLOOKUP(C43,'Train Runs'!$A$13:$AE$10004,31,0)</f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S43" s="107" t="str">
        <f>VLOOKUP(C43,'Train Runs'!$A$13:$AE$10004,22,0)</f>
        <v>https://search-rtdc-monitor-bjffxe2xuh6vdkpspy63sjmuny.us-east-1.es.amazonaws.com/_plugin/kibana/#/discover/Steve-Slow-Train-Analysis-(2080s-and-2083s)?_g=(refreshInterval:(display:Off,section:0,value:0),time:(from:'2016-10-01 17:59:25-0600',mode:absolute,to:'2016-10-01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3" s="109" t="str">
        <f t="shared" si="1"/>
        <v>"C:\Program Files (x86)\AstroGrep\AstroGrep.exe" /spath="%USERPROFILE%\AppData\Local\Temp\OnboardLogs" /stypes="*4044*201610020*" /stext=" 01:.+((SYSTEM_STATE.+slice.+state.+changed )|(ment ac)|(system.+state.+changed )|(\[timeout)|(PRM\|1\|D)|(kpr)|(kdp)|(\|lc)|(penalty))" /e /r /s</v>
      </c>
      <c r="U43" s="9" t="str">
        <f t="shared" si="2"/>
        <v>4044</v>
      </c>
      <c r="V43" s="38">
        <f t="shared" si="3"/>
        <v>42645.065787037034</v>
      </c>
      <c r="W43" s="52" t="str">
        <f t="shared" si="4"/>
        <v>NW</v>
      </c>
      <c r="X43" s="52" t="str">
        <f t="shared" si="5"/>
        <v>KEEP</v>
      </c>
      <c r="Y43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{"issue":{"subject":"","project_id":79,"tracker_id":40,"status_id":1,"priority_id":2,"assigned_to_id":23,"start_date":"2016-10-01","description":"","custom_fields":[{"id":1,"name":"Subdivision","value":"NW"},{"id":4,"name":"Milepost","value":"5.9048"},{"id":17,"name":"Train ID","value":"1827-01"},{"id":16,"name":"Locomotive ID","value":"4044"},{"id":130,"name":"Impact","value":""},{"id":150,"name":"Time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7"/>
        <v>grep -hSE -A100 "Enforcement Action" "%USERPROFILE%\AppData\Local\Temp\OnboardLogs"\RTDC4044\*4044*201610020* | grep -SE "((Enforcement Ac)|(PRM))" -</v>
      </c>
    </row>
    <row r="44" spans="1:29" x14ac:dyDescent="0.25">
      <c r="A44" s="38">
        <v>42644.901238425926</v>
      </c>
      <c r="B44" s="33" t="s">
        <v>217</v>
      </c>
      <c r="C44" s="33" t="s">
        <v>617</v>
      </c>
      <c r="D44" s="33" t="s">
        <v>49</v>
      </c>
      <c r="E44" s="33" t="s">
        <v>50</v>
      </c>
      <c r="F44" s="49">
        <v>0</v>
      </c>
      <c r="G44" s="49">
        <v>37</v>
      </c>
      <c r="H44" s="49">
        <v>58958</v>
      </c>
      <c r="I44" s="49">
        <v>58995</v>
      </c>
      <c r="J44" s="33" t="s">
        <v>51</v>
      </c>
      <c r="K44" s="49">
        <v>59048</v>
      </c>
      <c r="L44" s="146" t="s">
        <v>52</v>
      </c>
      <c r="M44" s="149">
        <f t="shared" si="0"/>
        <v>27.984000000000002</v>
      </c>
      <c r="N44" s="88" t="str">
        <f>VLOOKUP(C44,'Trips&amp;Operators'!$C$1:$E$99999,3,FALSE)</f>
        <v>HILLS</v>
      </c>
      <c r="O44" s="170" t="s">
        <v>86</v>
      </c>
      <c r="P44" s="10"/>
      <c r="Q44" s="33"/>
      <c r="R44" s="104" t="str">
        <f>VLOOKUP(C44,'Train Runs'!$A$13:$AE$10004,31,0)</f>
        <v>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 &amp; aws s3 cp s3://rtdc.mdm.uploadarchive.raw/RTDC4044/ "%USERPROFILE%\AppData\Local\Temp\OnboardLogs"\RTDC4044\2016-10-02 --exclude "*" --recursive --include "*20161002*" &amp; "%USERPROFILE%\Documents\GitHub\mrs-test-scripts\Headless Mode &amp; Sideloading\WalkAndUnGZ.bat" "%USERPROFILE%\AppData\Local\Temp\OnboardLogs"\RTDC4044\2016-10-02</v>
      </c>
      <c r="S44" s="107" t="str">
        <f>VLOOKUP(C44,'Train Runs'!$A$13:$AE$10004,22,0)</f>
        <v>https://search-rtdc-monitor-bjffxe2xuh6vdkpspy63sjmuny.us-east-1.es.amazonaws.com/_plugin/kibana/#/discover/Steve-Slow-Train-Analysis-(2080s-and-2083s)?_g=(refreshInterval:(display:Off,section:0,value:0),time:(from:'2016-10-01 19:56:43-0600',mode:absolute,to:'2016-10-01 22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4" s="109" t="str">
        <f t="shared" si="1"/>
        <v>"C:\Program Files (x86)\AstroGrep\AstroGrep.exe" /spath="%USERPROFILE%\AppData\Local\Temp\OnboardLogs" /stypes="*4044*201610020*" /stext=" 03:.+((SYSTEM_STATE.+slice.+state.+changed )|(ment ac)|(system.+state.+changed )|(\[timeout)|(PRM\|1\|D)|(kpr)|(kdp)|(\|lc)|(penalty))" /e /r /s</v>
      </c>
      <c r="U44" s="9" t="str">
        <f t="shared" si="2"/>
        <v>4044</v>
      </c>
      <c r="V44" s="38">
        <f t="shared" si="3"/>
        <v>42645.151238425926</v>
      </c>
      <c r="W44" s="52" t="str">
        <f t="shared" si="4"/>
        <v>NW</v>
      </c>
      <c r="X44" s="52" t="str">
        <f t="shared" si="5"/>
        <v>KEEP</v>
      </c>
      <c r="Y44" s="130" t="str">
        <f t="shared" si="6"/>
        <v>echo {"issue":{"subject":"","project_id":79,"tracker_id":40,"status_id":1,"priority_id":2,"assigned_to_id":23,"start_date":"2016-10-01","description":"","custom_fields":[{"id":1,"name":"Subdivision","value":"NW"},{"id":4,"name":"Milepost","value":"5.9048"},{"id":17,"name":"Train ID","value":"1831-01"},{"id":16,"name":"Locomotive ID","value":"4044"},{"id":130,"name":"Impact","value":""},{"id":150,"name":"Time of Event (Mountain Time)","value":"21:37:47"},{"id":151,"name":"Denver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7"/>
        <v>grep -hSE -A100 "Enforcement Action" "%USERPROFILE%\AppData\Local\Temp\OnboardLogs"\RTDC4044\*4044*201610020* | grep -SE "((Enforcement Ac)|(PRM))" -</v>
      </c>
    </row>
    <row r="45" spans="1:29" x14ac:dyDescent="0.25">
      <c r="A45" s="38">
        <v>42644.722025462965</v>
      </c>
      <c r="B45" s="33" t="s">
        <v>738</v>
      </c>
      <c r="C45" s="33" t="s">
        <v>728</v>
      </c>
      <c r="D45" s="33" t="s">
        <v>105</v>
      </c>
      <c r="E45" s="33" t="s">
        <v>56</v>
      </c>
      <c r="F45" s="49">
        <v>200</v>
      </c>
      <c r="G45" s="49">
        <v>253</v>
      </c>
      <c r="H45" s="49">
        <v>6105</v>
      </c>
      <c r="I45" s="49">
        <v>6566</v>
      </c>
      <c r="J45" s="33" t="s">
        <v>57</v>
      </c>
      <c r="K45" s="49">
        <v>4790</v>
      </c>
      <c r="L45" s="146" t="s">
        <v>52</v>
      </c>
      <c r="M45" s="149">
        <f t="shared" si="0"/>
        <v>-937.72799999999995</v>
      </c>
      <c r="N45" s="88" t="str">
        <f>VLOOKUP(C45,'Trips&amp;Operators'!$C$1:$E$99999,3,FALSE)</f>
        <v>ISHMAEL</v>
      </c>
      <c r="O45" s="170" t="s">
        <v>86</v>
      </c>
      <c r="P45" s="10"/>
      <c r="Q45" s="33"/>
      <c r="R45" s="104" t="str">
        <f>VLOOKUP(C45,'Train Runs'!$A$13:$AE$10004,31,0)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S45" s="107" t="str">
        <f>VLOOKUP(C45,'Train Runs'!$A$13:$AE$10004,22,0)</f>
        <v>https://search-rtdc-monitor-bjffxe2xuh6vdkpspy63sjmuny.us-east-1.es.amazonaws.com/_plugin/kibana/#/discover/Steve-Slow-Train-Analysis-(2080s-and-2083s)?_g=(refreshInterval:(display:Off,section:0,value:0),time:(from:'2016-10-01 16:08:06-0600',mode:absolute,to:'1969-12-31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5" s="109" t="str">
        <f t="shared" si="1"/>
        <v>"C:\Program Files (x86)\AstroGrep\AstroGrep.exe" /spath="%USERPROFILE%\AppData\Local\Temp\OnboardLogs" /stypes="*4040*201610012*" /stext=" 23:.+((SYSTEM_STATE.+slice.+state.+changed )|(ment ac)|(system.+state.+changed )|(\[timeout)|(PRM\|1\|D)|(kpr)|(kdp)|(\|lc)|(penalty))" /e /r /s</v>
      </c>
      <c r="U45" s="9" t="str">
        <f t="shared" si="2"/>
        <v>4040</v>
      </c>
      <c r="V45" s="38">
        <f t="shared" si="3"/>
        <v>42644.972025462965</v>
      </c>
      <c r="W45" s="52" t="str">
        <f t="shared" si="4"/>
        <v>Other</v>
      </c>
      <c r="X45" s="52" t="str">
        <f t="shared" si="5"/>
        <v>KEEP</v>
      </c>
      <c r="Y45" s="130" t="str">
        <f t="shared" si="6"/>
        <v>echo {"issue":{"subject":"","project_id":79,"tracker_id":40,"status_id":1,"priority_id":2,"assigned_to_id":23,"start_date":"2016-10-01","description":"","custom_fields":[{"id":1,"name":"Subdivision","value":"Other"},{"id":4,"name":"Milepost","value":"0.479"},{"id":17,"name":"Train ID","value":"63-01"},{"id":16,"name":"Locomotive ID","value":"4040"},{"id":130,"name":"Impact","value":""},{"id":150,"name":"Time of Event (Mountain Time)","value":"17:19:43"},{"id":151,"name":"Denver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7"/>
        <v>grep -hSE -A100 "Enforcement Action" "%USERPROFILE%\AppData\Local\Temp\OnboardLogs"\RTDC4040\*4040*201610012* | grep -SE "((Enforcement Ac)|(PRM))" -</v>
      </c>
    </row>
    <row r="46" spans="1:29" x14ac:dyDescent="0.25">
      <c r="A46" s="38">
        <v>42644.719050925924</v>
      </c>
      <c r="B46" s="33" t="s">
        <v>738</v>
      </c>
      <c r="C46" s="33" t="s">
        <v>728</v>
      </c>
      <c r="D46" s="33" t="s">
        <v>105</v>
      </c>
      <c r="E46" s="33" t="s">
        <v>54</v>
      </c>
      <c r="F46" s="49">
        <v>0</v>
      </c>
      <c r="G46" s="49">
        <v>32</v>
      </c>
      <c r="H46" s="49">
        <v>1753</v>
      </c>
      <c r="I46" s="49">
        <v>1768</v>
      </c>
      <c r="J46" s="33" t="s">
        <v>55</v>
      </c>
      <c r="K46" s="49">
        <v>1692</v>
      </c>
      <c r="L46" s="146" t="s">
        <v>52</v>
      </c>
      <c r="M46" s="149">
        <f t="shared" si="0"/>
        <v>-40.128</v>
      </c>
      <c r="N46" s="88" t="str">
        <f>VLOOKUP(C46,'Trips&amp;Operators'!$C$1:$E$99999,3,FALSE)</f>
        <v>ISHMAEL</v>
      </c>
      <c r="O46" s="170" t="s">
        <v>86</v>
      </c>
      <c r="P46" s="10"/>
      <c r="Q46" s="33"/>
      <c r="R46" s="104" t="str">
        <f>VLOOKUP(C46,'Train Runs'!$A$13:$AE$10004,31,0)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S46" s="107" t="str">
        <f>VLOOKUP(C46,'Train Runs'!$A$13:$AE$10004,22,0)</f>
        <v>https://search-rtdc-monitor-bjffxe2xuh6vdkpspy63sjmuny.us-east-1.es.amazonaws.com/_plugin/kibana/#/discover/Steve-Slow-Train-Analysis-(2080s-and-2083s)?_g=(refreshInterval:(display:Off,section:0,value:0),time:(from:'2016-10-01 16:08:06-0600',mode:absolute,to:'1969-12-31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6" s="109" t="str">
        <f t="shared" si="1"/>
        <v>"C:\Program Files (x86)\AstroGrep\AstroGrep.exe" /spath="%USERPROFILE%\AppData\Local\Temp\OnboardLogs" /stypes="*4040*201610012*" /stext=" 23:.+((SYSTEM_STATE.+slice.+state.+changed )|(ment ac)|(system.+state.+changed )|(\[timeout)|(PRM\|1\|D)|(kpr)|(kdp)|(\|lc)|(penalty))" /e /r /s</v>
      </c>
      <c r="U46" s="9" t="str">
        <f t="shared" si="2"/>
        <v>4040</v>
      </c>
      <c r="V46" s="38">
        <f t="shared" si="3"/>
        <v>42644.969050925924</v>
      </c>
      <c r="W46" s="52" t="str">
        <f t="shared" si="4"/>
        <v>Other</v>
      </c>
      <c r="X46" s="52" t="str">
        <f t="shared" si="5"/>
        <v>KEEP</v>
      </c>
      <c r="Y46" s="130" t="str">
        <f t="shared" si="6"/>
        <v>echo {"issue":{"subject":"","project_id":79,"tracker_id":40,"status_id":1,"priority_id":2,"assigned_to_id":23,"start_date":"2016-10-01","description":"","custom_fields":[{"id":1,"name":"Subdivision","value":"Other"},{"id":4,"name":"Milepost","value":"0.1692"},{"id":17,"name":"Train ID","value":"63-01"},{"id":16,"name":"Locomotive ID","value":"4040"},{"id":130,"name":"Impact","value":""},{"id":150,"name":"Time of Event (Mountain Time)","value":"17:15:26"},{"id":151,"name":"Denver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7"/>
        <v>grep -hSE -A100 "Enforcement Action" "%USERPROFILE%\AppData\Local\Temp\OnboardLogs"\RTDC4040\*4040*201610012* | grep -SE "((Enforcement Ac)|(PRM))" -</v>
      </c>
    </row>
    <row r="47" spans="1:29" x14ac:dyDescent="0.25">
      <c r="A47" s="38">
        <v>42644.754942129628</v>
      </c>
      <c r="B47" s="33" t="s">
        <v>275</v>
      </c>
      <c r="C47" s="33" t="s">
        <v>732</v>
      </c>
      <c r="D47" s="33" t="s">
        <v>49</v>
      </c>
      <c r="E47" s="33" t="s">
        <v>50</v>
      </c>
      <c r="F47" s="49">
        <v>0</v>
      </c>
      <c r="G47" s="49">
        <v>9</v>
      </c>
      <c r="H47" s="49">
        <v>845</v>
      </c>
      <c r="I47" s="49">
        <v>0</v>
      </c>
      <c r="J47" s="33" t="s">
        <v>51</v>
      </c>
      <c r="K47" s="49">
        <v>839</v>
      </c>
      <c r="L47" s="146" t="s">
        <v>53</v>
      </c>
      <c r="M47" s="149">
        <f t="shared" si="0"/>
        <v>-442.99200000000002</v>
      </c>
      <c r="N47" s="88" t="str">
        <f>VLOOKUP(C47,'Trips&amp;Operators'!$C$1:$E$99999,3,FALSE)</f>
        <v>ARVIDSON</v>
      </c>
      <c r="O47" s="170" t="s">
        <v>86</v>
      </c>
      <c r="P47" s="10"/>
      <c r="Q47" s="33"/>
      <c r="R47" s="104" t="str">
        <f>VLOOKUP(C47,'Train Runs'!$A$13:$AE$10004,31,0)</f>
        <v>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 &amp; aws s3 cp s3://rtdc.mdm.uploadarchive.raw/RTDC4001/ "%USERPROFILE%\AppData\Local\Temp\OnboardLogs"\RTDC4001\2016-10-02 --exclude "*" --recursive --include "*20161002*" &amp; "%USERPROFILE%\Documents\GitHub\mrs-test-scripts\Headless Mode &amp; Sideloading\WalkAndUnGZ.bat" "%USERPROFILE%\AppData\Local\Temp\OnboardLogs"\RTDC4001\2016-10-02</v>
      </c>
      <c r="S47" s="107" t="str">
        <f>VLOOKUP(C47,'Train Runs'!$A$13:$AE$10004,22,0)</f>
        <v>https://search-rtdc-monitor-bjffxe2xuh6vdkpspy63sjmuny.us-east-1.es.amazonaws.com/_plugin/kibana/#/discover/Steve-Slow-Train-Analysis-(2080s-and-2083s)?_g=(refreshInterval:(display:Off,section:0,value:0),time:(from:'2016-10-01 16:50:56-0600',mode:absolute,to:'2016-10-01 19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7" s="109" t="str">
        <f t="shared" si="1"/>
        <v>"C:\Program Files (x86)\AstroGrep\AstroGrep.exe" /spath="%USERPROFILE%\AppData\Local\Temp\OnboardLogs" /stypes="*4001*201610020*" /stext=" 00:.+((SYSTEM_STATE.+slice.+state.+changed )|(ment ac)|(system.+state.+changed )|(\[timeout)|(PRM\|1\|D)|(kpr)|(kdp)|(\|lc)|(penalty))" /e /r /s</v>
      </c>
      <c r="U47" s="9" t="str">
        <f t="shared" si="2"/>
        <v>4001</v>
      </c>
      <c r="V47" s="38">
        <f t="shared" si="3"/>
        <v>42645.004942129628</v>
      </c>
      <c r="W47" s="52" t="str">
        <f t="shared" si="4"/>
        <v>Other</v>
      </c>
      <c r="X47" s="52" t="str">
        <f t="shared" si="5"/>
        <v>OMIT</v>
      </c>
      <c r="Y47" s="130" t="str">
        <f t="shared" si="6"/>
        <v>echo {"issue":{"subject":"","project_id":79,"tracker_id":40,"status_id":1,"priority_id":2,"assigned_to_id":23,"start_date":"2016-10-01","description":"","custom_fields":[{"id":1,"name":"Subdivision","value":"Other"},{"id":4,"name":"Milepost","value":"0.0839"},{"id":17,"name":"Train ID","value":"66-01"},{"id":16,"name":"Locomotive ID","value":"4001"},{"id":130,"name":"Impact","value":""},{"id":150,"name":"Time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7"/>
        <v>grep -hSE -A100 "Enforcement Action" "%USERPROFILE%\AppData\Local\Temp\OnboardLogs"\RTDC4001\*4001*201610020* | grep -SE "((Enforcement Ac)|(PRM))" -</v>
      </c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B74" s="23"/>
      <c r="C74" s="23"/>
      <c r="D74" s="23"/>
      <c r="E74" s="23"/>
      <c r="J74" s="23"/>
    </row>
  </sheetData>
  <autoFilter ref="A6:AC6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hyperlinks>
    <hyperlink ref="Z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AB7:AB73</xm:sqref>
        </x14:dataValidation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1" t="str">
        <f>"Trips that did not appear in PTC Data "&amp;TEXT(Variables!$A$2,"YYYY-mm-dd")</f>
        <v>Trips that did not appear in PTC Data 2016-10-01</v>
      </c>
      <c r="C1" s="181"/>
      <c r="D1" s="181"/>
      <c r="E1" s="181"/>
      <c r="F1" s="181"/>
    </row>
    <row r="2" spans="1:11" s="26" customFormat="1" ht="45" x14ac:dyDescent="0.25">
      <c r="A2" s="166" t="s">
        <v>167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-01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-01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-01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-01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-01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7" s="23"/>
      <c r="K7" s="23"/>
    </row>
    <row r="8" spans="1:11" x14ac:dyDescent="0.25">
      <c r="C8" s="110"/>
      <c r="D8" s="110"/>
      <c r="I8" s="23"/>
      <c r="J8" s="23"/>
      <c r="K8" s="23"/>
    </row>
    <row r="9" spans="1:11" x14ac:dyDescent="0.25">
      <c r="C9" s="110"/>
      <c r="D9" s="110"/>
      <c r="I9" s="23"/>
      <c r="J9" s="23"/>
      <c r="K9" s="23"/>
    </row>
    <row r="10" spans="1:11" x14ac:dyDescent="0.25">
      <c r="C10" s="110"/>
      <c r="D10" s="110"/>
      <c r="I10" s="23"/>
      <c r="J10" s="23"/>
      <c r="K10" s="23"/>
    </row>
    <row r="11" spans="1:11" x14ac:dyDescent="0.25">
      <c r="C11" s="110"/>
      <c r="D11" s="110"/>
      <c r="I11" s="23"/>
      <c r="J11" s="23"/>
      <c r="K11" s="23"/>
    </row>
    <row r="12" spans="1:11" x14ac:dyDescent="0.25">
      <c r="C12" s="110"/>
      <c r="D12" s="110"/>
      <c r="I12" s="23"/>
      <c r="J12" s="23"/>
      <c r="K12" s="23"/>
    </row>
    <row r="13" spans="1:11" x14ac:dyDescent="0.25">
      <c r="C13" s="110"/>
      <c r="D13" s="110"/>
      <c r="I13" s="23"/>
      <c r="J13" s="23"/>
      <c r="K13" s="23"/>
    </row>
    <row r="14" spans="1:11" x14ac:dyDescent="0.25">
      <c r="C14" s="110"/>
      <c r="D14" s="110"/>
      <c r="I14" s="23"/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I25" s="23"/>
      <c r="J25" s="23"/>
      <c r="K2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234</v>
      </c>
      <c r="B1" s="23" t="s">
        <v>235</v>
      </c>
      <c r="C1" s="23" t="s">
        <v>0</v>
      </c>
      <c r="D1" s="23" t="s">
        <v>236</v>
      </c>
      <c r="E1" s="23" t="s">
        <v>237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42644.036689814813</v>
      </c>
      <c r="B2" s="23" t="s">
        <v>395</v>
      </c>
      <c r="C2" s="23" t="s">
        <v>361</v>
      </c>
      <c r="D2" s="23">
        <v>1300000</v>
      </c>
      <c r="E2" s="23" t="s">
        <v>121</v>
      </c>
      <c r="F2" s="23" t="str">
        <f t="shared" ref="F2:F65" si="0">B2</f>
        <v>rtdc.l.rtdc.4053:itc</v>
      </c>
      <c r="G2" s="8">
        <f t="shared" ref="G2:G65" si="1">A2</f>
        <v>42644.036689814813</v>
      </c>
    </row>
    <row r="3" spans="1:7" x14ac:dyDescent="0.25">
      <c r="A3" s="8">
        <v>42644.036990740744</v>
      </c>
      <c r="B3" s="23" t="s">
        <v>169</v>
      </c>
      <c r="C3" s="23" t="s">
        <v>357</v>
      </c>
      <c r="D3" s="23">
        <v>1800000</v>
      </c>
      <c r="E3" s="23" t="s">
        <v>401</v>
      </c>
      <c r="F3" s="23" t="str">
        <f t="shared" si="0"/>
        <v>rtdc.l.rtdc.4026:itc</v>
      </c>
      <c r="G3" s="8">
        <f t="shared" si="1"/>
        <v>42644.036990740744</v>
      </c>
    </row>
    <row r="4" spans="1:7" x14ac:dyDescent="0.25">
      <c r="A4" s="8">
        <v>42644.047592592593</v>
      </c>
      <c r="B4" s="23" t="s">
        <v>162</v>
      </c>
      <c r="C4" s="23" t="s">
        <v>363</v>
      </c>
      <c r="D4" s="23">
        <v>2230000</v>
      </c>
      <c r="E4" s="23" t="s">
        <v>302</v>
      </c>
      <c r="F4" s="23" t="str">
        <f t="shared" si="0"/>
        <v>rtdc.l.rtdc.4020:itc</v>
      </c>
      <c r="G4" s="8">
        <f t="shared" si="1"/>
        <v>42644.047592592593</v>
      </c>
    </row>
    <row r="5" spans="1:7" x14ac:dyDescent="0.25">
      <c r="A5" s="8">
        <v>42644.054097222222</v>
      </c>
      <c r="B5" s="23" t="s">
        <v>393</v>
      </c>
      <c r="C5" s="23" t="s">
        <v>360</v>
      </c>
      <c r="D5" s="23">
        <v>1480000</v>
      </c>
      <c r="E5" s="23" t="s">
        <v>278</v>
      </c>
      <c r="F5" s="23" t="str">
        <f t="shared" si="0"/>
        <v>rtdc.l.rtdc.4032:itc</v>
      </c>
      <c r="G5" s="8">
        <f t="shared" si="1"/>
        <v>42644.054097222222</v>
      </c>
    </row>
    <row r="6" spans="1:7" x14ac:dyDescent="0.25">
      <c r="A6" s="8">
        <v>42644.069421296299</v>
      </c>
      <c r="B6" s="23" t="s">
        <v>168</v>
      </c>
      <c r="C6" s="23" t="s">
        <v>364</v>
      </c>
      <c r="D6" s="23">
        <v>1800000</v>
      </c>
      <c r="E6" s="23" t="s">
        <v>401</v>
      </c>
      <c r="F6" s="23" t="str">
        <f t="shared" si="0"/>
        <v>rtdc.l.rtdc.4025:itc</v>
      </c>
      <c r="G6" s="8">
        <f t="shared" si="1"/>
        <v>42644.069421296299</v>
      </c>
    </row>
    <row r="7" spans="1:7" x14ac:dyDescent="0.25">
      <c r="A7" s="8">
        <v>42644.077268518522</v>
      </c>
      <c r="B7" s="23" t="s">
        <v>392</v>
      </c>
      <c r="C7" s="23" t="s">
        <v>362</v>
      </c>
      <c r="D7" s="23">
        <v>1300000</v>
      </c>
      <c r="E7" s="23" t="s">
        <v>121</v>
      </c>
      <c r="F7" s="23" t="str">
        <f t="shared" si="0"/>
        <v>rtdc.l.rtdc.4054:itc</v>
      </c>
      <c r="G7" s="8">
        <f t="shared" si="1"/>
        <v>42644.077268518522</v>
      </c>
    </row>
    <row r="8" spans="1:7" x14ac:dyDescent="0.25">
      <c r="A8" s="8">
        <v>42644.090069444443</v>
      </c>
      <c r="B8" s="23" t="s">
        <v>394</v>
      </c>
      <c r="C8" s="23" t="s">
        <v>365</v>
      </c>
      <c r="D8" s="23">
        <v>1480000</v>
      </c>
      <c r="E8" s="23" t="s">
        <v>278</v>
      </c>
      <c r="F8" s="23" t="str">
        <f t="shared" si="0"/>
        <v>rtdc.l.rtdc.4031:itc</v>
      </c>
      <c r="G8" s="8">
        <f t="shared" si="1"/>
        <v>42644.090069444443</v>
      </c>
    </row>
    <row r="9" spans="1:7" ht="15.75" thickBot="1" x14ac:dyDescent="0.3">
      <c r="A9" s="27">
        <v>42644.108842592592</v>
      </c>
      <c r="B9" s="23" t="s">
        <v>395</v>
      </c>
      <c r="C9" s="23" t="s">
        <v>366</v>
      </c>
      <c r="D9" s="23">
        <v>1300000</v>
      </c>
      <c r="E9" s="23" t="s">
        <v>121</v>
      </c>
      <c r="F9" s="23" t="str">
        <f t="shared" si="0"/>
        <v>rtdc.l.rtdc.4053:itc</v>
      </c>
      <c r="G9" s="8">
        <f t="shared" si="1"/>
        <v>42644.108842592592</v>
      </c>
    </row>
    <row r="10" spans="1:7" x14ac:dyDescent="0.25">
      <c r="A10" s="8">
        <v>42644.131423611114</v>
      </c>
      <c r="B10" s="23" t="s">
        <v>738</v>
      </c>
      <c r="C10" s="23" t="s">
        <v>409</v>
      </c>
      <c r="D10" s="23">
        <v>2010000</v>
      </c>
      <c r="E10" s="23" t="s">
        <v>274</v>
      </c>
      <c r="F10" s="23" t="str">
        <f t="shared" si="0"/>
        <v>rtdc.l.rtdc.4040:itc</v>
      </c>
      <c r="G10" s="8">
        <f t="shared" si="1"/>
        <v>42644.131423611114</v>
      </c>
    </row>
    <row r="11" spans="1:7" x14ac:dyDescent="0.25">
      <c r="A11" s="8">
        <v>42644.155949074076</v>
      </c>
      <c r="B11" s="23" t="s">
        <v>296</v>
      </c>
      <c r="C11" s="23" t="s">
        <v>414</v>
      </c>
      <c r="D11" s="23">
        <v>1310000</v>
      </c>
      <c r="E11" s="23" t="s">
        <v>294</v>
      </c>
      <c r="F11" s="23" t="str">
        <f t="shared" si="0"/>
        <v>rtdc.l.rtdc.4011:itc</v>
      </c>
      <c r="G11" s="8">
        <f t="shared" si="1"/>
        <v>42644.155949074076</v>
      </c>
    </row>
    <row r="12" spans="1:7" x14ac:dyDescent="0.25">
      <c r="A12" s="8">
        <v>42644.170520833337</v>
      </c>
      <c r="B12" s="23" t="s">
        <v>736</v>
      </c>
      <c r="C12" s="23" t="s">
        <v>412</v>
      </c>
      <c r="D12" s="23">
        <v>2010000</v>
      </c>
      <c r="E12" s="23" t="s">
        <v>274</v>
      </c>
      <c r="F12" s="23" t="str">
        <f t="shared" si="0"/>
        <v>rtdc.l.rtdc.4004:itc</v>
      </c>
      <c r="G12" s="8">
        <f t="shared" si="1"/>
        <v>42644.170520833337</v>
      </c>
    </row>
    <row r="13" spans="1:7" x14ac:dyDescent="0.25">
      <c r="A13" s="8">
        <v>42644.172210648147</v>
      </c>
      <c r="B13" s="23" t="s">
        <v>246</v>
      </c>
      <c r="C13" s="23" t="s">
        <v>417</v>
      </c>
      <c r="D13" s="23">
        <v>1260000</v>
      </c>
      <c r="E13" s="23" t="s">
        <v>739</v>
      </c>
      <c r="F13" s="23" t="str">
        <f t="shared" si="0"/>
        <v>rtdc.l.rtdc.4018:itc</v>
      </c>
      <c r="G13" s="8">
        <f t="shared" si="1"/>
        <v>42644.172210648147</v>
      </c>
    </row>
    <row r="14" spans="1:7" x14ac:dyDescent="0.25">
      <c r="A14" s="8">
        <v>42644.181504629632</v>
      </c>
      <c r="B14" s="23" t="s">
        <v>399</v>
      </c>
      <c r="C14" s="23" t="s">
        <v>422</v>
      </c>
      <c r="D14" s="23">
        <v>1780000</v>
      </c>
      <c r="E14" s="23" t="s">
        <v>740</v>
      </c>
      <c r="F14" s="23" t="str">
        <f t="shared" si="0"/>
        <v>rtdc.l.rtdc.4009:itc</v>
      </c>
      <c r="G14" s="8">
        <f t="shared" si="1"/>
        <v>42644.181504629632</v>
      </c>
    </row>
    <row r="15" spans="1:7" x14ac:dyDescent="0.25">
      <c r="A15" s="8">
        <v>42644.188298611109</v>
      </c>
      <c r="B15" s="23" t="s">
        <v>231</v>
      </c>
      <c r="C15" s="23" t="s">
        <v>425</v>
      </c>
      <c r="D15" s="23">
        <v>2030000</v>
      </c>
      <c r="E15" s="23" t="s">
        <v>741</v>
      </c>
      <c r="F15" s="23" t="str">
        <f t="shared" si="0"/>
        <v>rtdc.l.rtdc.4014:itc</v>
      </c>
      <c r="G15" s="8">
        <f t="shared" si="1"/>
        <v>42644.188298611109</v>
      </c>
    </row>
    <row r="16" spans="1:7" x14ac:dyDescent="0.25">
      <c r="A16" s="8">
        <v>42644.194178240738</v>
      </c>
      <c r="B16" s="23" t="s">
        <v>258</v>
      </c>
      <c r="C16" s="23" t="s">
        <v>415</v>
      </c>
      <c r="D16" s="23">
        <v>1310000</v>
      </c>
      <c r="E16" s="23" t="s">
        <v>294</v>
      </c>
      <c r="F16" s="23" t="str">
        <f t="shared" si="0"/>
        <v>rtdc.l.rtdc.4045:itc</v>
      </c>
      <c r="G16" s="8">
        <f t="shared" si="1"/>
        <v>42644.194178240738</v>
      </c>
    </row>
    <row r="17" spans="1:7" x14ac:dyDescent="0.25">
      <c r="A17" s="8">
        <v>42644.205150462964</v>
      </c>
      <c r="B17" s="23" t="s">
        <v>738</v>
      </c>
      <c r="C17" s="23" t="s">
        <v>428</v>
      </c>
      <c r="D17" s="23">
        <v>1100000</v>
      </c>
      <c r="E17" s="23" t="s">
        <v>297</v>
      </c>
      <c r="F17" s="23" t="str">
        <f t="shared" si="0"/>
        <v>rtdc.l.rtdc.4040:itc</v>
      </c>
      <c r="G17" s="8">
        <f t="shared" si="1"/>
        <v>42644.205150462964</v>
      </c>
    </row>
    <row r="18" spans="1:7" x14ac:dyDescent="0.25">
      <c r="A18" s="8">
        <v>42644.207442129627</v>
      </c>
      <c r="B18" s="23" t="s">
        <v>735</v>
      </c>
      <c r="C18" s="23" t="s">
        <v>430</v>
      </c>
      <c r="D18" s="23">
        <v>2010000</v>
      </c>
      <c r="E18" s="23" t="s">
        <v>274</v>
      </c>
      <c r="F18" s="23" t="str">
        <f t="shared" si="0"/>
        <v>rtdc.l.rtdc.4003:itc</v>
      </c>
      <c r="G18" s="8">
        <f t="shared" si="1"/>
        <v>42644.207442129627</v>
      </c>
    </row>
    <row r="19" spans="1:7" x14ac:dyDescent="0.25">
      <c r="A19" s="8">
        <v>42644.211597222224</v>
      </c>
      <c r="B19" s="23" t="s">
        <v>737</v>
      </c>
      <c r="C19" s="23" t="s">
        <v>420</v>
      </c>
      <c r="D19" s="23">
        <v>1260000</v>
      </c>
      <c r="E19" s="23" t="s">
        <v>739</v>
      </c>
      <c r="F19" s="23" t="str">
        <f t="shared" si="0"/>
        <v>rtdc.l.rtdc.4030:itc</v>
      </c>
      <c r="G19" s="8">
        <f t="shared" si="1"/>
        <v>42644.211597222224</v>
      </c>
    </row>
    <row r="20" spans="1:7" x14ac:dyDescent="0.25">
      <c r="A20" s="8">
        <v>42644.222824074073</v>
      </c>
      <c r="B20" s="23" t="s">
        <v>389</v>
      </c>
      <c r="C20" s="23" t="s">
        <v>424</v>
      </c>
      <c r="D20" s="23">
        <v>1780000</v>
      </c>
      <c r="E20" s="23" t="s">
        <v>740</v>
      </c>
      <c r="F20" s="23" t="str">
        <f t="shared" si="0"/>
        <v>rtdc.l.rtdc.4010:itc</v>
      </c>
      <c r="G20" s="8">
        <f t="shared" si="1"/>
        <v>42644.222824074073</v>
      </c>
    </row>
    <row r="21" spans="1:7" x14ac:dyDescent="0.25">
      <c r="A21" s="8">
        <v>42644.227789351855</v>
      </c>
      <c r="B21" s="23" t="s">
        <v>296</v>
      </c>
      <c r="C21" s="23" t="s">
        <v>433</v>
      </c>
      <c r="D21" s="23">
        <v>2000000</v>
      </c>
      <c r="E21" s="23" t="s">
        <v>122</v>
      </c>
      <c r="F21" s="23" t="str">
        <f t="shared" si="0"/>
        <v>rtdc.l.rtdc.4011:itc</v>
      </c>
      <c r="G21" s="8">
        <f t="shared" si="1"/>
        <v>42644.227789351855</v>
      </c>
    </row>
    <row r="22" spans="1:7" x14ac:dyDescent="0.25">
      <c r="A22" s="29">
        <v>42644.229942129627</v>
      </c>
      <c r="B22" s="23" t="s">
        <v>259</v>
      </c>
      <c r="C22" s="23" t="s">
        <v>426</v>
      </c>
      <c r="D22" s="23">
        <v>2030000</v>
      </c>
      <c r="E22" s="23" t="s">
        <v>741</v>
      </c>
      <c r="F22" s="23" t="str">
        <f t="shared" si="0"/>
        <v>rtdc.l.rtdc.4013:itc</v>
      </c>
      <c r="G22" s="8">
        <f t="shared" si="1"/>
        <v>42644.229942129627</v>
      </c>
    </row>
    <row r="23" spans="1:7" x14ac:dyDescent="0.25">
      <c r="A23" s="8">
        <v>42644.232060185182</v>
      </c>
      <c r="B23" s="23" t="s">
        <v>218</v>
      </c>
      <c r="C23" s="23" t="s">
        <v>553</v>
      </c>
      <c r="D23" s="23">
        <v>1830000</v>
      </c>
      <c r="E23" s="23" t="s">
        <v>295</v>
      </c>
      <c r="F23" s="23" t="str">
        <f t="shared" si="0"/>
        <v>rtdc.l.rtdc.4043:itc</v>
      </c>
      <c r="G23" s="8">
        <f t="shared" si="1"/>
        <v>42644.232060185182</v>
      </c>
    </row>
    <row r="24" spans="1:7" x14ac:dyDescent="0.25">
      <c r="A24" s="8">
        <v>42644.237523148149</v>
      </c>
      <c r="B24" s="23" t="s">
        <v>177</v>
      </c>
      <c r="C24" s="23" t="s">
        <v>435</v>
      </c>
      <c r="D24" s="23">
        <v>1310000</v>
      </c>
      <c r="E24" s="23" t="s">
        <v>294</v>
      </c>
      <c r="F24" s="23" t="str">
        <f t="shared" si="0"/>
        <v>rtdc.l.rtdc.4046:itc</v>
      </c>
      <c r="G24" s="8">
        <f t="shared" si="1"/>
        <v>42644.237523148149</v>
      </c>
    </row>
    <row r="25" spans="1:7" x14ac:dyDescent="0.25">
      <c r="A25" s="8">
        <v>42644.245300925926</v>
      </c>
      <c r="B25" s="23" t="s">
        <v>276</v>
      </c>
      <c r="C25" s="23" t="s">
        <v>429</v>
      </c>
      <c r="D25" s="23">
        <v>1100000</v>
      </c>
      <c r="E25" s="23" t="s">
        <v>297</v>
      </c>
      <c r="F25" s="23" t="str">
        <f t="shared" si="0"/>
        <v>rtdc.l.rtdc.4039:itc</v>
      </c>
      <c r="G25" s="8">
        <f t="shared" si="1"/>
        <v>42644.245300925926</v>
      </c>
    </row>
    <row r="26" spans="1:7" x14ac:dyDescent="0.25">
      <c r="A26" s="8">
        <v>42644.247337962966</v>
      </c>
      <c r="B26" s="23" t="s">
        <v>246</v>
      </c>
      <c r="C26" s="23" t="s">
        <v>437</v>
      </c>
      <c r="D26" s="23">
        <v>1260000</v>
      </c>
      <c r="E26" s="23" t="s">
        <v>739</v>
      </c>
      <c r="F26" s="23" t="str">
        <f t="shared" si="0"/>
        <v>rtdc.l.rtdc.4018:itc</v>
      </c>
      <c r="G26" s="8">
        <f t="shared" si="1"/>
        <v>42644.247337962966</v>
      </c>
    </row>
    <row r="27" spans="1:7" x14ac:dyDescent="0.25">
      <c r="A27" s="8">
        <v>42644.249618055554</v>
      </c>
      <c r="B27" s="23" t="s">
        <v>736</v>
      </c>
      <c r="C27" s="23" t="s">
        <v>432</v>
      </c>
      <c r="D27" s="23">
        <v>2010000</v>
      </c>
      <c r="E27" s="23" t="s">
        <v>274</v>
      </c>
      <c r="F27" s="23" t="str">
        <f t="shared" si="0"/>
        <v>rtdc.l.rtdc.4004:itc</v>
      </c>
      <c r="G27" s="8">
        <f t="shared" si="1"/>
        <v>42644.249618055554</v>
      </c>
    </row>
    <row r="28" spans="1:7" x14ac:dyDescent="0.25">
      <c r="A28" s="8">
        <v>42644.257199074076</v>
      </c>
      <c r="B28" s="23" t="s">
        <v>399</v>
      </c>
      <c r="C28" s="23" t="s">
        <v>440</v>
      </c>
      <c r="D28" s="23">
        <v>1780000</v>
      </c>
      <c r="E28" s="23" t="s">
        <v>740</v>
      </c>
      <c r="F28" s="23" t="str">
        <f t="shared" si="0"/>
        <v>rtdc.l.rtdc.4009:itc</v>
      </c>
      <c r="G28" s="8">
        <f t="shared" si="1"/>
        <v>42644.257199074076</v>
      </c>
    </row>
    <row r="29" spans="1:7" x14ac:dyDescent="0.25">
      <c r="A29" s="8">
        <v>42644.263553240744</v>
      </c>
      <c r="B29" s="23" t="s">
        <v>217</v>
      </c>
      <c r="C29" s="23" t="s">
        <v>555</v>
      </c>
      <c r="D29" s="23">
        <v>1830000</v>
      </c>
      <c r="E29" s="23" t="s">
        <v>295</v>
      </c>
      <c r="F29" s="23" t="str">
        <f t="shared" si="0"/>
        <v>rtdc.l.rtdc.4044:itc</v>
      </c>
      <c r="G29" s="8">
        <f t="shared" si="1"/>
        <v>42644.263553240744</v>
      </c>
    </row>
    <row r="30" spans="1:7" x14ac:dyDescent="0.25">
      <c r="A30" s="8">
        <v>42644.265543981484</v>
      </c>
      <c r="B30" s="23" t="s">
        <v>222</v>
      </c>
      <c r="C30" s="23" t="s">
        <v>434</v>
      </c>
      <c r="D30" s="23">
        <v>2000000</v>
      </c>
      <c r="E30" s="23" t="s">
        <v>122</v>
      </c>
      <c r="F30" s="23" t="str">
        <f t="shared" si="0"/>
        <v>rtdc.l.rtdc.4012:itc</v>
      </c>
      <c r="G30" s="8">
        <f t="shared" si="1"/>
        <v>42644.265543981484</v>
      </c>
    </row>
    <row r="31" spans="1:7" x14ac:dyDescent="0.25">
      <c r="A31" s="8">
        <v>42644.265949074077</v>
      </c>
      <c r="B31" s="23" t="s">
        <v>231</v>
      </c>
      <c r="C31" s="23" t="s">
        <v>443</v>
      </c>
      <c r="D31" s="23">
        <v>2030000</v>
      </c>
      <c r="E31" s="23" t="s">
        <v>741</v>
      </c>
      <c r="F31" s="23" t="str">
        <f t="shared" si="0"/>
        <v>rtdc.l.rtdc.4014:itc</v>
      </c>
      <c r="G31" s="8">
        <f t="shared" si="1"/>
        <v>42644.265949074077</v>
      </c>
    </row>
    <row r="32" spans="1:7" x14ac:dyDescent="0.25">
      <c r="A32" s="8">
        <v>42644.275752314818</v>
      </c>
      <c r="B32" s="23" t="s">
        <v>218</v>
      </c>
      <c r="C32" s="23" t="s">
        <v>556</v>
      </c>
      <c r="D32" s="23">
        <v>1830000</v>
      </c>
      <c r="E32" s="23" t="s">
        <v>295</v>
      </c>
      <c r="F32" s="23" t="str">
        <f t="shared" si="0"/>
        <v>rtdc.l.rtdc.4043:itc</v>
      </c>
      <c r="G32" s="8">
        <f t="shared" si="1"/>
        <v>42644.275752314818</v>
      </c>
    </row>
    <row r="33" spans="1:7" x14ac:dyDescent="0.25">
      <c r="A33" s="8">
        <v>42644.276944444442</v>
      </c>
      <c r="B33" s="23" t="s">
        <v>738</v>
      </c>
      <c r="C33" s="23" t="s">
        <v>449</v>
      </c>
      <c r="D33" s="23">
        <v>1100000</v>
      </c>
      <c r="E33" s="23" t="s">
        <v>297</v>
      </c>
      <c r="F33" s="23" t="str">
        <f t="shared" si="0"/>
        <v>rtdc.l.rtdc.4040:itc</v>
      </c>
      <c r="G33" s="8">
        <f t="shared" si="1"/>
        <v>42644.276944444442</v>
      </c>
    </row>
    <row r="34" spans="1:7" x14ac:dyDescent="0.25">
      <c r="A34" s="8">
        <v>42644.277048611111</v>
      </c>
      <c r="B34" s="23" t="s">
        <v>258</v>
      </c>
      <c r="C34" s="23" t="s">
        <v>436</v>
      </c>
      <c r="D34" s="23">
        <v>1310000</v>
      </c>
      <c r="E34" s="23" t="s">
        <v>294</v>
      </c>
      <c r="F34" s="23" t="str">
        <f t="shared" si="0"/>
        <v>rtdc.l.rtdc.4045:itc</v>
      </c>
      <c r="G34" s="8">
        <f t="shared" si="1"/>
        <v>42644.277048611111</v>
      </c>
    </row>
    <row r="35" spans="1:7" x14ac:dyDescent="0.25">
      <c r="A35" s="8">
        <v>42644.285162037035</v>
      </c>
      <c r="B35" s="23" t="s">
        <v>245</v>
      </c>
      <c r="C35" s="23" t="s">
        <v>439</v>
      </c>
      <c r="D35" s="23">
        <v>1260000</v>
      </c>
      <c r="E35" s="23" t="s">
        <v>739</v>
      </c>
      <c r="F35" s="23" t="str">
        <f t="shared" si="0"/>
        <v>rtdc.l.rtdc.4017:itc</v>
      </c>
      <c r="G35" s="8">
        <f t="shared" si="1"/>
        <v>42644.285162037035</v>
      </c>
    </row>
    <row r="36" spans="1:7" x14ac:dyDescent="0.25">
      <c r="A36" s="8">
        <v>42644.287060185183</v>
      </c>
      <c r="B36" s="23" t="s">
        <v>735</v>
      </c>
      <c r="C36" s="23" t="s">
        <v>451</v>
      </c>
      <c r="D36" s="23">
        <v>2010000</v>
      </c>
      <c r="E36" s="23" t="s">
        <v>274</v>
      </c>
      <c r="F36" s="23" t="str">
        <f t="shared" si="0"/>
        <v>rtdc.l.rtdc.4003:itc</v>
      </c>
      <c r="G36" s="8">
        <f t="shared" si="1"/>
        <v>42644.287060185183</v>
      </c>
    </row>
    <row r="37" spans="1:7" x14ac:dyDescent="0.25">
      <c r="A37" s="8">
        <v>42644.294317129628</v>
      </c>
      <c r="B37" s="23" t="s">
        <v>389</v>
      </c>
      <c r="C37" s="23" t="s">
        <v>441</v>
      </c>
      <c r="D37" s="23">
        <v>1780000</v>
      </c>
      <c r="E37" s="23" t="s">
        <v>740</v>
      </c>
      <c r="F37" s="23" t="str">
        <f t="shared" si="0"/>
        <v>rtdc.l.rtdc.4010:itc</v>
      </c>
      <c r="G37" s="8">
        <f t="shared" si="1"/>
        <v>42644.294317129628</v>
      </c>
    </row>
    <row r="38" spans="1:7" x14ac:dyDescent="0.25">
      <c r="A38" s="8">
        <v>42644.296990740739</v>
      </c>
      <c r="B38" s="23" t="s">
        <v>296</v>
      </c>
      <c r="C38" s="23" t="s">
        <v>453</v>
      </c>
      <c r="D38" s="23">
        <v>2000000</v>
      </c>
      <c r="E38" s="23" t="s">
        <v>122</v>
      </c>
      <c r="F38" s="23" t="str">
        <f t="shared" si="0"/>
        <v>rtdc.l.rtdc.4011:itc</v>
      </c>
      <c r="G38" s="8">
        <f t="shared" si="1"/>
        <v>42644.296990740739</v>
      </c>
    </row>
    <row r="39" spans="1:7" x14ac:dyDescent="0.25">
      <c r="A39" s="8">
        <v>42644.303159722222</v>
      </c>
      <c r="B39" s="23" t="s">
        <v>259</v>
      </c>
      <c r="C39" s="23" t="s">
        <v>445</v>
      </c>
      <c r="D39" s="23">
        <v>2030000</v>
      </c>
      <c r="E39" s="23" t="s">
        <v>741</v>
      </c>
      <c r="F39" s="23" t="str">
        <f t="shared" si="0"/>
        <v>rtdc.l.rtdc.4013:itc</v>
      </c>
      <c r="G39" s="8">
        <f t="shared" si="1"/>
        <v>42644.303159722222</v>
      </c>
    </row>
    <row r="40" spans="1:7" x14ac:dyDescent="0.25">
      <c r="A40" s="8">
        <v>42644.303993055553</v>
      </c>
      <c r="B40" s="28" t="s">
        <v>217</v>
      </c>
      <c r="C40" s="23" t="s">
        <v>558</v>
      </c>
      <c r="D40" s="23">
        <v>1830000</v>
      </c>
      <c r="E40" s="23" t="s">
        <v>295</v>
      </c>
      <c r="F40" s="23" t="str">
        <f t="shared" si="0"/>
        <v>rtdc.l.rtdc.4044:itc</v>
      </c>
      <c r="G40" s="8">
        <f t="shared" si="1"/>
        <v>42644.303993055553</v>
      </c>
    </row>
    <row r="41" spans="1:7" x14ac:dyDescent="0.25">
      <c r="A41" s="8">
        <v>42644.314652777779</v>
      </c>
      <c r="B41" s="23" t="s">
        <v>177</v>
      </c>
      <c r="C41" s="23" t="s">
        <v>457</v>
      </c>
      <c r="D41" s="23">
        <v>1310000</v>
      </c>
      <c r="E41" s="23" t="s">
        <v>294</v>
      </c>
      <c r="F41" s="23" t="str">
        <f t="shared" si="0"/>
        <v>rtdc.l.rtdc.4046:itc</v>
      </c>
      <c r="G41" s="8">
        <f t="shared" si="1"/>
        <v>42644.314652777779</v>
      </c>
    </row>
    <row r="42" spans="1:7" x14ac:dyDescent="0.25">
      <c r="A42" s="8">
        <v>42644.316631944443</v>
      </c>
      <c r="B42" s="23" t="s">
        <v>218</v>
      </c>
      <c r="C42" s="23" t="s">
        <v>560</v>
      </c>
      <c r="D42" s="23">
        <v>1830000</v>
      </c>
      <c r="E42" s="23" t="s">
        <v>295</v>
      </c>
      <c r="F42" s="23" t="str">
        <f t="shared" si="0"/>
        <v>rtdc.l.rtdc.4043:itc</v>
      </c>
      <c r="G42" s="8">
        <f t="shared" si="1"/>
        <v>42644.316631944443</v>
      </c>
    </row>
    <row r="43" spans="1:7" x14ac:dyDescent="0.25">
      <c r="A43" s="8">
        <v>42644.317800925928</v>
      </c>
      <c r="B43" s="23" t="s">
        <v>276</v>
      </c>
      <c r="C43" s="23" t="s">
        <v>450</v>
      </c>
      <c r="D43" s="23">
        <v>1100000</v>
      </c>
      <c r="E43" s="23" t="s">
        <v>297</v>
      </c>
      <c r="F43" s="23" t="str">
        <f t="shared" si="0"/>
        <v>rtdc.l.rtdc.4039:itc</v>
      </c>
      <c r="G43" s="8">
        <f t="shared" si="1"/>
        <v>42644.317800925928</v>
      </c>
    </row>
    <row r="44" spans="1:7" x14ac:dyDescent="0.25">
      <c r="A44" s="8">
        <v>42644.324803240743</v>
      </c>
      <c r="B44" s="23" t="s">
        <v>246</v>
      </c>
      <c r="C44" s="23" t="s">
        <v>460</v>
      </c>
      <c r="D44" s="23">
        <v>1260000</v>
      </c>
      <c r="E44" s="23" t="s">
        <v>739</v>
      </c>
      <c r="F44" s="23" t="str">
        <f t="shared" si="0"/>
        <v>rtdc.l.rtdc.4018:itc</v>
      </c>
      <c r="G44" s="8">
        <f t="shared" si="1"/>
        <v>42644.324803240743</v>
      </c>
    </row>
    <row r="45" spans="1:7" x14ac:dyDescent="0.25">
      <c r="A45" s="8">
        <v>42644.328182870369</v>
      </c>
      <c r="B45" s="23" t="s">
        <v>736</v>
      </c>
      <c r="C45" s="23" t="s">
        <v>452</v>
      </c>
      <c r="D45" s="23">
        <v>2010000</v>
      </c>
      <c r="E45" s="23" t="s">
        <v>274</v>
      </c>
      <c r="F45" s="23" t="str">
        <f t="shared" si="0"/>
        <v>rtdc.l.rtdc.4004:itc</v>
      </c>
      <c r="G45" s="8">
        <f t="shared" si="1"/>
        <v>42644.328182870369</v>
      </c>
    </row>
    <row r="46" spans="1:7" x14ac:dyDescent="0.25">
      <c r="A46" s="8">
        <v>42644.329050925924</v>
      </c>
      <c r="B46" s="23" t="s">
        <v>259</v>
      </c>
      <c r="C46" s="23" t="s">
        <v>445</v>
      </c>
      <c r="D46" s="23">
        <v>2030000</v>
      </c>
      <c r="E46" s="23" t="s">
        <v>741</v>
      </c>
      <c r="F46" s="23" t="str">
        <f t="shared" si="0"/>
        <v>rtdc.l.rtdc.4013:itc</v>
      </c>
      <c r="G46" s="8">
        <f t="shared" si="1"/>
        <v>42644.329050925924</v>
      </c>
    </row>
    <row r="47" spans="1:7" x14ac:dyDescent="0.25">
      <c r="A47" s="8">
        <v>42644.333912037036</v>
      </c>
      <c r="B47" s="23" t="s">
        <v>399</v>
      </c>
      <c r="C47" s="23" t="s">
        <v>465</v>
      </c>
      <c r="D47" s="23">
        <v>1780000</v>
      </c>
      <c r="E47" s="23" t="s">
        <v>740</v>
      </c>
      <c r="F47" s="23" t="str">
        <f t="shared" si="0"/>
        <v>rtdc.l.rtdc.4009:itc</v>
      </c>
      <c r="G47" s="8">
        <f t="shared" si="1"/>
        <v>42644.333912037036</v>
      </c>
    </row>
    <row r="48" spans="1:7" x14ac:dyDescent="0.25">
      <c r="A48" s="8">
        <v>42644.340543981481</v>
      </c>
      <c r="B48" s="23" t="s">
        <v>222</v>
      </c>
      <c r="C48" s="23" t="s">
        <v>455</v>
      </c>
      <c r="D48" s="23">
        <v>2000000</v>
      </c>
      <c r="E48" s="23" t="s">
        <v>122</v>
      </c>
      <c r="F48" s="23" t="str">
        <f t="shared" si="0"/>
        <v>rtdc.l.rtdc.4012:itc</v>
      </c>
      <c r="G48" s="8">
        <f t="shared" si="1"/>
        <v>42644.340543981481</v>
      </c>
    </row>
    <row r="49" spans="1:7" x14ac:dyDescent="0.25">
      <c r="A49" s="8">
        <v>42644.344166666669</v>
      </c>
      <c r="B49" s="23" t="s">
        <v>231</v>
      </c>
      <c r="C49" s="23" t="s">
        <v>468</v>
      </c>
      <c r="D49" s="23">
        <v>2030000</v>
      </c>
      <c r="E49" s="23" t="s">
        <v>741</v>
      </c>
      <c r="F49" s="23" t="str">
        <f t="shared" si="0"/>
        <v>rtdc.l.rtdc.4014:itc</v>
      </c>
      <c r="G49" s="8">
        <f t="shared" si="1"/>
        <v>42644.344166666669</v>
      </c>
    </row>
    <row r="50" spans="1:7" x14ac:dyDescent="0.25">
      <c r="A50" s="8">
        <v>42644.346875000003</v>
      </c>
      <c r="B50" s="23" t="s">
        <v>217</v>
      </c>
      <c r="C50" s="23" t="s">
        <v>562</v>
      </c>
      <c r="D50" s="23">
        <v>1830000</v>
      </c>
      <c r="E50" s="23" t="s">
        <v>295</v>
      </c>
      <c r="F50" s="23" t="str">
        <f t="shared" si="0"/>
        <v>rtdc.l.rtdc.4044:itc</v>
      </c>
      <c r="G50" s="8">
        <f t="shared" si="1"/>
        <v>42644.346875000003</v>
      </c>
    </row>
    <row r="51" spans="1:7" x14ac:dyDescent="0.25">
      <c r="A51" s="8">
        <v>42644.350486111114</v>
      </c>
      <c r="B51" s="23" t="s">
        <v>258</v>
      </c>
      <c r="C51" s="23" t="s">
        <v>459</v>
      </c>
      <c r="D51" s="23">
        <v>1310000</v>
      </c>
      <c r="E51" s="23" t="s">
        <v>294</v>
      </c>
      <c r="F51" s="23" t="str">
        <f t="shared" si="0"/>
        <v>rtdc.l.rtdc.4045:itc</v>
      </c>
      <c r="G51" s="8">
        <f t="shared" si="1"/>
        <v>42644.350486111114</v>
      </c>
    </row>
    <row r="52" spans="1:7" x14ac:dyDescent="0.25">
      <c r="A52" s="8">
        <v>42644.351203703707</v>
      </c>
      <c r="B52" s="23" t="s">
        <v>738</v>
      </c>
      <c r="C52" s="23" t="s">
        <v>471</v>
      </c>
      <c r="D52" s="23">
        <v>1100000</v>
      </c>
      <c r="E52" s="23" t="s">
        <v>297</v>
      </c>
      <c r="F52" s="23" t="str">
        <f t="shared" si="0"/>
        <v>rtdc.l.rtdc.4040:itc</v>
      </c>
      <c r="G52" s="8">
        <f t="shared" si="1"/>
        <v>42644.351203703707</v>
      </c>
    </row>
    <row r="53" spans="1:7" x14ac:dyDescent="0.25">
      <c r="A53" s="8">
        <v>42644.358715277776</v>
      </c>
      <c r="B53" s="23" t="s">
        <v>218</v>
      </c>
      <c r="C53" s="23" t="s">
        <v>563</v>
      </c>
      <c r="D53" s="23">
        <v>1830000</v>
      </c>
      <c r="E53" s="23" t="s">
        <v>295</v>
      </c>
      <c r="F53" s="23" t="str">
        <f t="shared" si="0"/>
        <v>rtdc.l.rtdc.4043:itc</v>
      </c>
      <c r="G53" s="8">
        <f t="shared" si="1"/>
        <v>42644.358715277776</v>
      </c>
    </row>
    <row r="54" spans="1:7" x14ac:dyDescent="0.25">
      <c r="A54" s="8">
        <v>42644.361331018517</v>
      </c>
      <c r="B54" s="23" t="s">
        <v>245</v>
      </c>
      <c r="C54" s="23" t="s">
        <v>463</v>
      </c>
      <c r="D54" s="23">
        <v>1260000</v>
      </c>
      <c r="E54" s="23" t="s">
        <v>739</v>
      </c>
      <c r="F54" s="23" t="str">
        <f t="shared" si="0"/>
        <v>rtdc.l.rtdc.4017:itc</v>
      </c>
      <c r="G54" s="8">
        <f t="shared" si="1"/>
        <v>42644.361331018517</v>
      </c>
    </row>
    <row r="55" spans="1:7" x14ac:dyDescent="0.25">
      <c r="A55" s="8">
        <v>42644.36178240741</v>
      </c>
      <c r="B55" s="23" t="s">
        <v>735</v>
      </c>
      <c r="C55" s="23" t="s">
        <v>473</v>
      </c>
      <c r="D55" s="23">
        <v>2010000</v>
      </c>
      <c r="E55" s="23" t="s">
        <v>274</v>
      </c>
      <c r="F55" s="23" t="str">
        <f t="shared" si="0"/>
        <v>rtdc.l.rtdc.4003:itc</v>
      </c>
      <c r="G55" s="8">
        <f t="shared" si="1"/>
        <v>42644.36178240741</v>
      </c>
    </row>
    <row r="56" spans="1:7" x14ac:dyDescent="0.25">
      <c r="A56" s="8">
        <v>42644.370659722219</v>
      </c>
      <c r="B56" s="23" t="s">
        <v>389</v>
      </c>
      <c r="C56" s="23" t="s">
        <v>467</v>
      </c>
      <c r="D56" s="23">
        <v>1780000</v>
      </c>
      <c r="E56" s="23" t="s">
        <v>740</v>
      </c>
      <c r="F56" s="23" t="str">
        <f t="shared" si="0"/>
        <v>rtdc.l.rtdc.4010:itc</v>
      </c>
      <c r="G56" s="8">
        <f t="shared" si="1"/>
        <v>42644.370659722219</v>
      </c>
    </row>
    <row r="57" spans="1:7" x14ac:dyDescent="0.25">
      <c r="A57" s="8">
        <v>42644.372789351852</v>
      </c>
      <c r="B57" s="23" t="s">
        <v>296</v>
      </c>
      <c r="C57" s="23" t="s">
        <v>475</v>
      </c>
      <c r="D57" s="23">
        <v>2000000</v>
      </c>
      <c r="E57" s="23" t="s">
        <v>122</v>
      </c>
      <c r="F57" s="23" t="str">
        <f t="shared" si="0"/>
        <v>rtdc.l.rtdc.4011:itc</v>
      </c>
      <c r="G57" s="8">
        <f t="shared" si="1"/>
        <v>42644.372789351852</v>
      </c>
    </row>
    <row r="58" spans="1:7" x14ac:dyDescent="0.25">
      <c r="A58" s="8">
        <v>42644.377905092595</v>
      </c>
      <c r="B58" s="23" t="s">
        <v>259</v>
      </c>
      <c r="C58" s="23" t="s">
        <v>469</v>
      </c>
      <c r="D58" s="23">
        <v>2030000</v>
      </c>
      <c r="E58" s="23" t="s">
        <v>741</v>
      </c>
      <c r="F58" s="23" t="str">
        <f t="shared" si="0"/>
        <v>rtdc.l.rtdc.4013:itc</v>
      </c>
      <c r="G58" s="8">
        <f t="shared" si="1"/>
        <v>42644.377905092595</v>
      </c>
    </row>
    <row r="59" spans="1:7" x14ac:dyDescent="0.25">
      <c r="A59" s="8">
        <v>42644.385046296295</v>
      </c>
      <c r="B59" s="23" t="s">
        <v>177</v>
      </c>
      <c r="C59" s="23" t="s">
        <v>478</v>
      </c>
      <c r="D59" s="23">
        <v>1310000</v>
      </c>
      <c r="E59" s="23" t="s">
        <v>294</v>
      </c>
      <c r="F59" s="23" t="str">
        <f t="shared" si="0"/>
        <v>rtdc.l.rtdc.4046:itc</v>
      </c>
      <c r="G59" s="8">
        <f t="shared" si="1"/>
        <v>42644.385046296295</v>
      </c>
    </row>
    <row r="60" spans="1:7" x14ac:dyDescent="0.25">
      <c r="A60" s="8">
        <v>42644.388506944444</v>
      </c>
      <c r="B60" s="23" t="s">
        <v>217</v>
      </c>
      <c r="C60" s="23" t="s">
        <v>565</v>
      </c>
      <c r="D60" s="23">
        <v>1830000</v>
      </c>
      <c r="E60" s="23" t="s">
        <v>295</v>
      </c>
      <c r="F60" s="23" t="str">
        <f t="shared" si="0"/>
        <v>rtdc.l.rtdc.4044:itc</v>
      </c>
      <c r="G60" s="8">
        <f t="shared" si="1"/>
        <v>42644.388506944444</v>
      </c>
    </row>
    <row r="61" spans="1:7" x14ac:dyDescent="0.25">
      <c r="A61" s="8">
        <v>42644.390682870369</v>
      </c>
      <c r="B61" s="23" t="s">
        <v>276</v>
      </c>
      <c r="C61" s="23" t="s">
        <v>472</v>
      </c>
      <c r="D61" s="23">
        <v>1100000</v>
      </c>
      <c r="E61" s="23" t="s">
        <v>297</v>
      </c>
      <c r="F61" s="23" t="str">
        <f t="shared" si="0"/>
        <v>rtdc.l.rtdc.4039:itc</v>
      </c>
      <c r="G61" s="8">
        <f t="shared" si="1"/>
        <v>42644.390682870369</v>
      </c>
    </row>
    <row r="62" spans="1:7" x14ac:dyDescent="0.25">
      <c r="A62" s="8">
        <v>42644.393263888887</v>
      </c>
      <c r="B62" s="23" t="s">
        <v>246</v>
      </c>
      <c r="C62" s="23" t="s">
        <v>484</v>
      </c>
      <c r="D62" s="23">
        <v>1260000</v>
      </c>
      <c r="E62" s="23" t="s">
        <v>739</v>
      </c>
      <c r="F62" s="23" t="str">
        <f t="shared" si="0"/>
        <v>rtdc.l.rtdc.4018:itc</v>
      </c>
      <c r="G62" s="8">
        <f t="shared" si="1"/>
        <v>42644.393263888887</v>
      </c>
    </row>
    <row r="63" spans="1:7" x14ac:dyDescent="0.25">
      <c r="A63" s="8">
        <v>42644.398159722223</v>
      </c>
      <c r="B63" s="23" t="s">
        <v>736</v>
      </c>
      <c r="C63" s="23" t="s">
        <v>474</v>
      </c>
      <c r="D63" s="23">
        <v>2010000</v>
      </c>
      <c r="E63" s="23" t="s">
        <v>274</v>
      </c>
      <c r="F63" s="23" t="str">
        <f t="shared" si="0"/>
        <v>rtdc.l.rtdc.4004:itc</v>
      </c>
      <c r="G63" s="8">
        <f t="shared" si="1"/>
        <v>42644.398159722223</v>
      </c>
    </row>
    <row r="64" spans="1:7" x14ac:dyDescent="0.25">
      <c r="A64" s="29">
        <v>42644.399953703702</v>
      </c>
      <c r="B64" s="23" t="s">
        <v>218</v>
      </c>
      <c r="C64" s="23" t="s">
        <v>568</v>
      </c>
      <c r="D64" s="23">
        <v>1830000</v>
      </c>
      <c r="E64" s="23" t="s">
        <v>295</v>
      </c>
      <c r="F64" s="23" t="str">
        <f t="shared" si="0"/>
        <v>rtdc.l.rtdc.4043:itc</v>
      </c>
      <c r="G64" s="8">
        <f t="shared" si="1"/>
        <v>42644.399953703702</v>
      </c>
    </row>
    <row r="65" spans="1:7" x14ac:dyDescent="0.25">
      <c r="A65" s="8">
        <v>42644.401689814818</v>
      </c>
      <c r="B65" s="23" t="s">
        <v>399</v>
      </c>
      <c r="C65" s="23" t="s">
        <v>488</v>
      </c>
      <c r="D65" s="23">
        <v>1780000</v>
      </c>
      <c r="E65" s="23" t="s">
        <v>740</v>
      </c>
      <c r="F65" s="23" t="str">
        <f t="shared" si="0"/>
        <v>rtdc.l.rtdc.4009:itc</v>
      </c>
      <c r="G65" s="8">
        <f t="shared" si="1"/>
        <v>42644.401689814818</v>
      </c>
    </row>
    <row r="66" spans="1:7" x14ac:dyDescent="0.25">
      <c r="A66" s="8">
        <v>42644.411874999998</v>
      </c>
      <c r="B66" s="23" t="s">
        <v>231</v>
      </c>
      <c r="C66" s="23" t="s">
        <v>493</v>
      </c>
      <c r="D66" s="23">
        <v>2030000</v>
      </c>
      <c r="E66" s="23" t="s">
        <v>741</v>
      </c>
      <c r="F66" s="23" t="str">
        <f t="shared" ref="F66:F129" si="2">B66</f>
        <v>rtdc.l.rtdc.4014:itc</v>
      </c>
      <c r="G66" s="8">
        <f t="shared" ref="G66:G129" si="3">A66</f>
        <v>42644.411874999998</v>
      </c>
    </row>
    <row r="67" spans="1:7" x14ac:dyDescent="0.25">
      <c r="A67" s="8">
        <v>42644.412731481483</v>
      </c>
      <c r="B67" s="23" t="s">
        <v>222</v>
      </c>
      <c r="C67" s="23" t="s">
        <v>476</v>
      </c>
      <c r="D67" s="23">
        <v>2000000</v>
      </c>
      <c r="E67" s="23" t="s">
        <v>122</v>
      </c>
      <c r="F67" s="23" t="str">
        <f t="shared" si="2"/>
        <v>rtdc.l.rtdc.4012:itc</v>
      </c>
      <c r="G67" s="8">
        <f t="shared" si="3"/>
        <v>42644.412731481483</v>
      </c>
    </row>
    <row r="68" spans="1:7" x14ac:dyDescent="0.25">
      <c r="A68" s="8">
        <v>42644.423101851855</v>
      </c>
      <c r="B68" s="23" t="s">
        <v>258</v>
      </c>
      <c r="C68" s="23" t="s">
        <v>480</v>
      </c>
      <c r="D68" s="23">
        <v>1310000</v>
      </c>
      <c r="E68" s="23" t="s">
        <v>294</v>
      </c>
      <c r="F68" s="23" t="str">
        <f t="shared" si="2"/>
        <v>rtdc.l.rtdc.4045:itc</v>
      </c>
      <c r="G68" s="8">
        <f t="shared" si="3"/>
        <v>42644.423101851855</v>
      </c>
    </row>
    <row r="69" spans="1:7" x14ac:dyDescent="0.25">
      <c r="A69" s="8">
        <v>42644.424027777779</v>
      </c>
      <c r="B69" s="23" t="s">
        <v>738</v>
      </c>
      <c r="C69" s="23" t="s">
        <v>499</v>
      </c>
      <c r="D69" s="23">
        <v>1100000</v>
      </c>
      <c r="E69" s="23" t="s">
        <v>297</v>
      </c>
      <c r="F69" s="23" t="str">
        <f t="shared" si="2"/>
        <v>rtdc.l.rtdc.4040:itc</v>
      </c>
      <c r="G69" s="8">
        <f t="shared" si="3"/>
        <v>42644.424027777779</v>
      </c>
    </row>
    <row r="70" spans="1:7" x14ac:dyDescent="0.25">
      <c r="A70" s="8">
        <v>42644.429236111115</v>
      </c>
      <c r="B70" s="23" t="s">
        <v>245</v>
      </c>
      <c r="C70" s="23" t="s">
        <v>485</v>
      </c>
      <c r="D70" s="23">
        <v>1260000</v>
      </c>
      <c r="E70" s="23" t="s">
        <v>739</v>
      </c>
      <c r="F70" s="23" t="str">
        <f t="shared" si="2"/>
        <v>rtdc.l.rtdc.4017:itc</v>
      </c>
      <c r="G70" s="8">
        <f t="shared" si="3"/>
        <v>42644.429236111115</v>
      </c>
    </row>
    <row r="71" spans="1:7" x14ac:dyDescent="0.25">
      <c r="A71" s="8">
        <v>42644.430509259262</v>
      </c>
      <c r="B71" s="23" t="s">
        <v>217</v>
      </c>
      <c r="C71" s="23" t="s">
        <v>570</v>
      </c>
      <c r="D71" s="23">
        <v>1830000</v>
      </c>
      <c r="E71" s="23" t="s">
        <v>295</v>
      </c>
      <c r="F71" s="23" t="str">
        <f t="shared" si="2"/>
        <v>rtdc.l.rtdc.4044:itc</v>
      </c>
      <c r="G71" s="8">
        <f t="shared" si="3"/>
        <v>42644.430509259262</v>
      </c>
    </row>
    <row r="72" spans="1:7" x14ac:dyDescent="0.25">
      <c r="A72" s="8">
        <v>42644.433136574073</v>
      </c>
      <c r="B72" s="23" t="s">
        <v>735</v>
      </c>
      <c r="C72" s="23" t="s">
        <v>503</v>
      </c>
      <c r="D72" s="23">
        <v>930000</v>
      </c>
      <c r="E72" s="23" t="s">
        <v>397</v>
      </c>
      <c r="F72" s="23" t="str">
        <f t="shared" si="2"/>
        <v>rtdc.l.rtdc.4003:itc</v>
      </c>
      <c r="G72" s="8">
        <f t="shared" si="3"/>
        <v>42644.433136574073</v>
      </c>
    </row>
    <row r="73" spans="1:7" x14ac:dyDescent="0.25">
      <c r="A73" s="8">
        <v>42644.436608796299</v>
      </c>
      <c r="B73" s="23" t="s">
        <v>258</v>
      </c>
      <c r="C73" s="23" t="s">
        <v>480</v>
      </c>
      <c r="D73" s="23">
        <v>1310000</v>
      </c>
      <c r="E73" s="23" t="s">
        <v>294</v>
      </c>
      <c r="F73" s="23" t="str">
        <f t="shared" si="2"/>
        <v>rtdc.l.rtdc.4045:itc</v>
      </c>
      <c r="G73" s="8">
        <f t="shared" si="3"/>
        <v>42644.436608796299</v>
      </c>
    </row>
    <row r="74" spans="1:7" x14ac:dyDescent="0.25">
      <c r="A74" s="8">
        <v>42644.438726851855</v>
      </c>
      <c r="B74" s="23" t="s">
        <v>389</v>
      </c>
      <c r="C74" s="23" t="s">
        <v>490</v>
      </c>
      <c r="D74" s="23">
        <v>1780000</v>
      </c>
      <c r="E74" s="23" t="s">
        <v>740</v>
      </c>
      <c r="F74" s="23" t="str">
        <f t="shared" si="2"/>
        <v>rtdc.l.rtdc.4010:itc</v>
      </c>
      <c r="G74" s="8">
        <f t="shared" si="3"/>
        <v>42644.438726851855</v>
      </c>
    </row>
    <row r="75" spans="1:7" x14ac:dyDescent="0.25">
      <c r="A75" s="8">
        <v>42644.442453703705</v>
      </c>
      <c r="B75" s="23" t="s">
        <v>296</v>
      </c>
      <c r="C75" s="23" t="s">
        <v>510</v>
      </c>
      <c r="D75" s="23">
        <v>2000000</v>
      </c>
      <c r="E75" s="23" t="s">
        <v>122</v>
      </c>
      <c r="F75" s="23" t="str">
        <f t="shared" si="2"/>
        <v>rtdc.l.rtdc.4011:itc</v>
      </c>
      <c r="G75" s="8">
        <f t="shared" si="3"/>
        <v>42644.442453703705</v>
      </c>
    </row>
    <row r="76" spans="1:7" x14ac:dyDescent="0.25">
      <c r="A76" s="8">
        <v>42644.442800925928</v>
      </c>
      <c r="B76" s="23" t="s">
        <v>218</v>
      </c>
      <c r="C76" s="23" t="s">
        <v>573</v>
      </c>
      <c r="D76" s="23">
        <v>1830000</v>
      </c>
      <c r="E76" s="23" t="s">
        <v>295</v>
      </c>
      <c r="F76" s="23" t="str">
        <f t="shared" si="2"/>
        <v>rtdc.l.rtdc.4043:itc</v>
      </c>
      <c r="G76" s="8">
        <f t="shared" si="3"/>
        <v>42644.442800925928</v>
      </c>
    </row>
    <row r="77" spans="1:7" x14ac:dyDescent="0.25">
      <c r="A77" s="8">
        <v>42644.446064814816</v>
      </c>
      <c r="B77" s="23" t="s">
        <v>245</v>
      </c>
      <c r="C77" s="23" t="s">
        <v>485</v>
      </c>
      <c r="D77" s="23">
        <v>1260000</v>
      </c>
      <c r="E77" s="23" t="s">
        <v>739</v>
      </c>
      <c r="F77" s="23" t="str">
        <f t="shared" si="2"/>
        <v>rtdc.l.rtdc.4017:itc</v>
      </c>
      <c r="G77" s="8">
        <f t="shared" si="3"/>
        <v>42644.446064814816</v>
      </c>
    </row>
    <row r="78" spans="1:7" x14ac:dyDescent="0.25">
      <c r="A78" s="8">
        <v>42644.452025462961</v>
      </c>
      <c r="B78" s="23" t="s">
        <v>259</v>
      </c>
      <c r="C78" s="23" t="s">
        <v>495</v>
      </c>
      <c r="D78" s="23">
        <v>2030000</v>
      </c>
      <c r="E78" s="23" t="s">
        <v>741</v>
      </c>
      <c r="F78" s="23" t="str">
        <f t="shared" si="2"/>
        <v>rtdc.l.rtdc.4013:itc</v>
      </c>
      <c r="G78" s="8">
        <f t="shared" si="3"/>
        <v>42644.452025462961</v>
      </c>
    </row>
    <row r="79" spans="1:7" x14ac:dyDescent="0.25">
      <c r="A79" s="8">
        <v>42644.455706018518</v>
      </c>
      <c r="B79" s="23" t="s">
        <v>389</v>
      </c>
      <c r="C79" s="23" t="s">
        <v>490</v>
      </c>
      <c r="D79" s="23">
        <v>1780000</v>
      </c>
      <c r="E79" s="23" t="s">
        <v>740</v>
      </c>
      <c r="F79" s="23" t="str">
        <f t="shared" si="2"/>
        <v>rtdc.l.rtdc.4010:itc</v>
      </c>
      <c r="G79" s="8">
        <f t="shared" si="3"/>
        <v>42644.455706018518</v>
      </c>
    </row>
    <row r="80" spans="1:7" x14ac:dyDescent="0.25">
      <c r="A80" s="8">
        <v>42644.457118055558</v>
      </c>
      <c r="B80" s="23" t="s">
        <v>177</v>
      </c>
      <c r="C80" s="23" t="s">
        <v>515</v>
      </c>
      <c r="D80" s="23">
        <v>880000</v>
      </c>
      <c r="E80" s="23" t="s">
        <v>396</v>
      </c>
      <c r="F80" s="23" t="str">
        <f t="shared" si="2"/>
        <v>rtdc.l.rtdc.4046:itc</v>
      </c>
      <c r="G80" s="8">
        <f t="shared" si="3"/>
        <v>42644.457118055558</v>
      </c>
    </row>
    <row r="81" spans="1:7" x14ac:dyDescent="0.25">
      <c r="A81" s="8">
        <v>42644.460405092592</v>
      </c>
      <c r="B81" s="23" t="s">
        <v>276</v>
      </c>
      <c r="C81" s="23" t="s">
        <v>501</v>
      </c>
      <c r="D81" s="23">
        <v>1100000</v>
      </c>
      <c r="E81" s="23" t="s">
        <v>297</v>
      </c>
      <c r="F81" s="23" t="str">
        <f t="shared" si="2"/>
        <v>rtdc.l.rtdc.4039:itc</v>
      </c>
      <c r="G81" s="8">
        <f t="shared" si="3"/>
        <v>42644.460405092592</v>
      </c>
    </row>
    <row r="82" spans="1:7" x14ac:dyDescent="0.25">
      <c r="A82" s="8">
        <v>42644.465891203705</v>
      </c>
      <c r="B82" s="23" t="s">
        <v>246</v>
      </c>
      <c r="C82" s="23" t="s">
        <v>522</v>
      </c>
      <c r="D82" s="23">
        <v>1280000</v>
      </c>
      <c r="E82" s="23" t="s">
        <v>742</v>
      </c>
      <c r="F82" s="23" t="str">
        <f t="shared" si="2"/>
        <v>rtdc.l.rtdc.4018:itc</v>
      </c>
      <c r="G82" s="8">
        <f t="shared" si="3"/>
        <v>42644.465891203705</v>
      </c>
    </row>
    <row r="83" spans="1:7" x14ac:dyDescent="0.25">
      <c r="A83" s="8">
        <v>42644.46738425926</v>
      </c>
      <c r="B83" s="23" t="s">
        <v>259</v>
      </c>
      <c r="C83" s="23" t="s">
        <v>495</v>
      </c>
      <c r="D83" s="23">
        <v>2030000</v>
      </c>
      <c r="E83" s="23" t="s">
        <v>741</v>
      </c>
      <c r="F83" s="23" t="str">
        <f t="shared" si="2"/>
        <v>rtdc.l.rtdc.4013:itc</v>
      </c>
      <c r="G83" s="8">
        <f t="shared" si="3"/>
        <v>42644.46738425926</v>
      </c>
    </row>
    <row r="84" spans="1:7" x14ac:dyDescent="0.25">
      <c r="A84" s="8">
        <v>42644.472222222219</v>
      </c>
      <c r="B84" s="23" t="s">
        <v>217</v>
      </c>
      <c r="C84" s="23" t="s">
        <v>574</v>
      </c>
      <c r="D84" s="23">
        <v>1830000</v>
      </c>
      <c r="E84" s="23" t="s">
        <v>295</v>
      </c>
      <c r="F84" s="23" t="str">
        <f t="shared" si="2"/>
        <v>rtdc.l.rtdc.4044:itc</v>
      </c>
      <c r="G84" s="8">
        <f t="shared" si="3"/>
        <v>42644.472222222219</v>
      </c>
    </row>
    <row r="85" spans="1:7" x14ac:dyDescent="0.25">
      <c r="A85" s="8">
        <v>42644.472534722219</v>
      </c>
      <c r="B85" s="23" t="s">
        <v>736</v>
      </c>
      <c r="C85" s="23" t="s">
        <v>505</v>
      </c>
      <c r="D85" s="23">
        <v>930000</v>
      </c>
      <c r="E85" s="23" t="s">
        <v>397</v>
      </c>
      <c r="F85" s="23" t="str">
        <f t="shared" si="2"/>
        <v>rtdc.l.rtdc.4004:itc</v>
      </c>
      <c r="G85" s="8">
        <f t="shared" si="3"/>
        <v>42644.472534722219</v>
      </c>
    </row>
    <row r="86" spans="1:7" x14ac:dyDescent="0.25">
      <c r="A86" s="8">
        <v>42644.474537037036</v>
      </c>
      <c r="B86" s="23" t="s">
        <v>261</v>
      </c>
      <c r="C86" s="23" t="s">
        <v>723</v>
      </c>
      <c r="D86" s="23">
        <v>2150000</v>
      </c>
      <c r="E86" s="23" t="s">
        <v>398</v>
      </c>
      <c r="F86" s="23" t="str">
        <f t="shared" si="2"/>
        <v>rtdc.l.rtdc.4005:itc</v>
      </c>
      <c r="G86" s="8">
        <f t="shared" si="3"/>
        <v>42644.474537037036</v>
      </c>
    </row>
    <row r="87" spans="1:7" x14ac:dyDescent="0.25">
      <c r="A87" s="8">
        <v>42644.477708333332</v>
      </c>
      <c r="B87" s="23" t="s">
        <v>399</v>
      </c>
      <c r="C87" s="23" t="s">
        <v>525</v>
      </c>
      <c r="D87" s="23">
        <v>2040000</v>
      </c>
      <c r="E87" s="23" t="s">
        <v>277</v>
      </c>
      <c r="F87" s="23" t="str">
        <f t="shared" si="2"/>
        <v>rtdc.l.rtdc.4009:itc</v>
      </c>
      <c r="G87" s="8">
        <f t="shared" si="3"/>
        <v>42644.477708333332</v>
      </c>
    </row>
    <row r="88" spans="1:7" x14ac:dyDescent="0.25">
      <c r="A88" s="8">
        <v>42644.484467592592</v>
      </c>
      <c r="B88" s="23" t="s">
        <v>259</v>
      </c>
      <c r="C88" s="23" t="s">
        <v>495</v>
      </c>
      <c r="D88" s="23">
        <v>2030000</v>
      </c>
      <c r="E88" s="23" t="s">
        <v>741</v>
      </c>
      <c r="F88" s="23" t="str">
        <f t="shared" si="2"/>
        <v>rtdc.l.rtdc.4013:itc</v>
      </c>
      <c r="G88" s="8">
        <f t="shared" si="3"/>
        <v>42644.484467592592</v>
      </c>
    </row>
    <row r="89" spans="1:7" x14ac:dyDescent="0.25">
      <c r="A89" s="8">
        <v>42644.484548611108</v>
      </c>
      <c r="B89" s="23" t="s">
        <v>218</v>
      </c>
      <c r="C89" s="23" t="s">
        <v>575</v>
      </c>
      <c r="D89" s="23">
        <v>1830000</v>
      </c>
      <c r="E89" s="23" t="s">
        <v>295</v>
      </c>
      <c r="F89" s="23" t="str">
        <f t="shared" si="2"/>
        <v>rtdc.l.rtdc.4043:itc</v>
      </c>
      <c r="G89" s="8">
        <f t="shared" si="3"/>
        <v>42644.484548611108</v>
      </c>
    </row>
    <row r="90" spans="1:7" x14ac:dyDescent="0.25">
      <c r="A90" s="8">
        <v>42644.485439814816</v>
      </c>
      <c r="B90" s="23" t="s">
        <v>222</v>
      </c>
      <c r="C90" s="23" t="s">
        <v>512</v>
      </c>
      <c r="D90" s="23">
        <v>2000000</v>
      </c>
      <c r="E90" s="23" t="s">
        <v>122</v>
      </c>
      <c r="F90" s="23" t="str">
        <f t="shared" si="2"/>
        <v>rtdc.l.rtdc.4012:itc</v>
      </c>
      <c r="G90" s="8">
        <f t="shared" si="3"/>
        <v>42644.485439814816</v>
      </c>
    </row>
    <row r="91" spans="1:7" x14ac:dyDescent="0.25">
      <c r="A91" s="8">
        <v>42644.485833333332</v>
      </c>
      <c r="B91" s="23" t="s">
        <v>276</v>
      </c>
      <c r="C91" s="23" t="s">
        <v>501</v>
      </c>
      <c r="D91" s="23">
        <v>1100000</v>
      </c>
      <c r="E91" s="23" t="s">
        <v>297</v>
      </c>
      <c r="F91" s="23" t="str">
        <f t="shared" si="2"/>
        <v>rtdc.l.rtdc.4039:itc</v>
      </c>
      <c r="G91" s="8">
        <f t="shared" si="3"/>
        <v>42644.485833333332</v>
      </c>
    </row>
    <row r="92" spans="1:7" x14ac:dyDescent="0.25">
      <c r="A92" s="8">
        <v>42644.486979166664</v>
      </c>
      <c r="B92" s="23" t="s">
        <v>231</v>
      </c>
      <c r="C92" s="23" t="s">
        <v>528</v>
      </c>
      <c r="D92" s="23">
        <v>2020000</v>
      </c>
      <c r="E92" s="23" t="s">
        <v>300</v>
      </c>
      <c r="F92" s="23" t="str">
        <f t="shared" si="2"/>
        <v>rtdc.l.rtdc.4014:itc</v>
      </c>
      <c r="G92" s="8">
        <f t="shared" si="3"/>
        <v>42644.486979166664</v>
      </c>
    </row>
    <row r="93" spans="1:7" x14ac:dyDescent="0.25">
      <c r="A93" s="8">
        <v>42644.494791666664</v>
      </c>
      <c r="B93" s="23" t="s">
        <v>258</v>
      </c>
      <c r="C93" s="23" t="s">
        <v>518</v>
      </c>
      <c r="D93" s="23">
        <v>880000</v>
      </c>
      <c r="E93" s="23" t="s">
        <v>396</v>
      </c>
      <c r="F93" s="23" t="str">
        <f t="shared" si="2"/>
        <v>rtdc.l.rtdc.4045:itc</v>
      </c>
      <c r="G93" s="8">
        <f t="shared" si="3"/>
        <v>42644.494791666664</v>
      </c>
    </row>
    <row r="94" spans="1:7" x14ac:dyDescent="0.25">
      <c r="A94" s="8">
        <v>42644.496921296297</v>
      </c>
      <c r="B94" s="23" t="s">
        <v>736</v>
      </c>
      <c r="C94" s="23" t="s">
        <v>505</v>
      </c>
      <c r="D94" s="23">
        <v>930000</v>
      </c>
      <c r="E94" s="23" t="s">
        <v>397</v>
      </c>
      <c r="F94" s="23" t="str">
        <f t="shared" si="2"/>
        <v>rtdc.l.rtdc.4004:itc</v>
      </c>
      <c r="G94" s="8">
        <f t="shared" si="3"/>
        <v>42644.496921296297</v>
      </c>
    </row>
    <row r="95" spans="1:7" x14ac:dyDescent="0.25">
      <c r="A95" s="8">
        <v>42644.499421296299</v>
      </c>
      <c r="B95" s="23" t="s">
        <v>239</v>
      </c>
      <c r="C95" s="23" t="s">
        <v>531</v>
      </c>
      <c r="D95" s="23">
        <v>2150000</v>
      </c>
      <c r="E95" s="23" t="s">
        <v>398</v>
      </c>
      <c r="F95" s="23" t="str">
        <f t="shared" si="2"/>
        <v>rtdc.l.rtdc.4029:itc</v>
      </c>
      <c r="G95" s="8">
        <f t="shared" si="3"/>
        <v>42644.499421296299</v>
      </c>
    </row>
    <row r="96" spans="1:7" x14ac:dyDescent="0.25">
      <c r="A96" s="8">
        <v>42644.500706018516</v>
      </c>
      <c r="B96" s="23" t="s">
        <v>222</v>
      </c>
      <c r="C96" s="23" t="s">
        <v>512</v>
      </c>
      <c r="D96" s="23">
        <v>2000000</v>
      </c>
      <c r="E96" s="23" t="s">
        <v>122</v>
      </c>
      <c r="F96" s="23" t="str">
        <f t="shared" si="2"/>
        <v>rtdc.l.rtdc.4012:itc</v>
      </c>
      <c r="G96" s="8">
        <f t="shared" si="3"/>
        <v>42644.500706018516</v>
      </c>
    </row>
    <row r="97" spans="1:7" x14ac:dyDescent="0.25">
      <c r="A97" s="8">
        <v>42644.501064814816</v>
      </c>
      <c r="B97" s="23" t="s">
        <v>736</v>
      </c>
      <c r="C97" s="23" t="s">
        <v>505</v>
      </c>
      <c r="D97" s="23">
        <v>930000</v>
      </c>
      <c r="E97" s="23" t="s">
        <v>397</v>
      </c>
      <c r="F97" s="23" t="str">
        <f t="shared" si="2"/>
        <v>rtdc.l.rtdc.4004:itc</v>
      </c>
      <c r="G97" s="8">
        <f t="shared" si="3"/>
        <v>42644.501064814816</v>
      </c>
    </row>
    <row r="98" spans="1:7" x14ac:dyDescent="0.25">
      <c r="A98" s="8">
        <v>42644.505671296298</v>
      </c>
      <c r="B98" s="23" t="s">
        <v>245</v>
      </c>
      <c r="C98" s="23" t="s">
        <v>524</v>
      </c>
      <c r="D98" s="23">
        <v>1280000</v>
      </c>
      <c r="E98" s="23" t="s">
        <v>742</v>
      </c>
      <c r="F98" s="23" t="str">
        <f t="shared" si="2"/>
        <v>rtdc.l.rtdc.4017:itc</v>
      </c>
      <c r="G98" s="8">
        <f t="shared" si="3"/>
        <v>42644.505671296298</v>
      </c>
    </row>
    <row r="99" spans="1:7" x14ac:dyDescent="0.25">
      <c r="A99" s="8">
        <v>42644.510717592595</v>
      </c>
      <c r="B99" s="23" t="s">
        <v>258</v>
      </c>
      <c r="C99" s="23" t="s">
        <v>518</v>
      </c>
      <c r="D99" s="23">
        <v>880000</v>
      </c>
      <c r="E99" s="23" t="s">
        <v>396</v>
      </c>
      <c r="F99" s="23" t="str">
        <f t="shared" si="2"/>
        <v>rtdc.l.rtdc.4045:itc</v>
      </c>
      <c r="G99" s="8">
        <f t="shared" si="3"/>
        <v>42644.510717592595</v>
      </c>
    </row>
    <row r="100" spans="1:7" x14ac:dyDescent="0.25">
      <c r="A100" s="8">
        <v>42644.513113425928</v>
      </c>
      <c r="B100" s="23" t="s">
        <v>217</v>
      </c>
      <c r="C100" s="23" t="s">
        <v>577</v>
      </c>
      <c r="D100" s="23">
        <v>1830000</v>
      </c>
      <c r="E100" s="23" t="s">
        <v>295</v>
      </c>
      <c r="F100" s="23" t="str">
        <f t="shared" si="2"/>
        <v>rtdc.l.rtdc.4044:itc</v>
      </c>
      <c r="G100" s="8">
        <f t="shared" si="3"/>
        <v>42644.513113425928</v>
      </c>
    </row>
    <row r="101" spans="1:7" x14ac:dyDescent="0.25">
      <c r="A101" s="8">
        <v>42644.513912037037</v>
      </c>
      <c r="B101" s="23" t="s">
        <v>735</v>
      </c>
      <c r="C101" s="23" t="s">
        <v>533</v>
      </c>
      <c r="D101" s="23">
        <v>930000</v>
      </c>
      <c r="E101" s="23" t="s">
        <v>397</v>
      </c>
      <c r="F101" s="23" t="str">
        <f t="shared" si="2"/>
        <v>rtdc.l.rtdc.4003:itc</v>
      </c>
      <c r="G101" s="8">
        <f t="shared" si="3"/>
        <v>42644.513912037037</v>
      </c>
    </row>
    <row r="102" spans="1:7" x14ac:dyDescent="0.25">
      <c r="A102" s="8">
        <v>42644.516111111108</v>
      </c>
      <c r="B102" s="23" t="s">
        <v>389</v>
      </c>
      <c r="C102" s="23" t="s">
        <v>527</v>
      </c>
      <c r="D102" s="23">
        <v>2040000</v>
      </c>
      <c r="E102" s="23" t="s">
        <v>277</v>
      </c>
      <c r="F102" s="23" t="str">
        <f t="shared" si="2"/>
        <v>rtdc.l.rtdc.4010:itc</v>
      </c>
      <c r="G102" s="8">
        <f t="shared" si="3"/>
        <v>42644.516111111108</v>
      </c>
    </row>
    <row r="103" spans="1:7" x14ac:dyDescent="0.25">
      <c r="A103" s="8">
        <v>42644.520138888889</v>
      </c>
      <c r="B103" s="23" t="s">
        <v>296</v>
      </c>
      <c r="C103" s="23" t="s">
        <v>538</v>
      </c>
      <c r="D103" s="23">
        <v>1740000</v>
      </c>
      <c r="E103" s="23" t="s">
        <v>260</v>
      </c>
      <c r="F103" s="23" t="str">
        <f t="shared" si="2"/>
        <v>rtdc.l.rtdc.4011:itc</v>
      </c>
      <c r="G103" s="8">
        <f t="shared" si="3"/>
        <v>42644.520138888889</v>
      </c>
    </row>
    <row r="104" spans="1:7" x14ac:dyDescent="0.25">
      <c r="A104" s="8">
        <v>42644.52140046296</v>
      </c>
      <c r="B104" s="23" t="s">
        <v>262</v>
      </c>
      <c r="C104" s="23" t="s">
        <v>725</v>
      </c>
      <c r="D104" s="23">
        <v>1100000</v>
      </c>
      <c r="E104" s="23" t="s">
        <v>297</v>
      </c>
      <c r="F104" s="23" t="str">
        <f t="shared" si="2"/>
        <v>rtdc.l.rtdc.4006:itc</v>
      </c>
      <c r="G104" s="8">
        <f t="shared" si="3"/>
        <v>42644.52140046296</v>
      </c>
    </row>
    <row r="105" spans="1:7" x14ac:dyDescent="0.25">
      <c r="A105" s="8">
        <v>42644.523877314816</v>
      </c>
      <c r="B105" s="23" t="s">
        <v>259</v>
      </c>
      <c r="C105" s="23" t="s">
        <v>529</v>
      </c>
      <c r="D105" s="23">
        <v>2020000</v>
      </c>
      <c r="E105" s="23" t="s">
        <v>300</v>
      </c>
      <c r="F105" s="23" t="str">
        <f t="shared" si="2"/>
        <v>rtdc.l.rtdc.4013:itc</v>
      </c>
      <c r="G105" s="8">
        <f t="shared" si="3"/>
        <v>42644.523877314816</v>
      </c>
    </row>
    <row r="106" spans="1:7" x14ac:dyDescent="0.25">
      <c r="A106" s="8">
        <v>42644.525208333333</v>
      </c>
      <c r="B106" s="23" t="s">
        <v>218</v>
      </c>
      <c r="C106" s="23" t="s">
        <v>579</v>
      </c>
      <c r="D106" s="23">
        <v>1830000</v>
      </c>
      <c r="E106" s="23" t="s">
        <v>295</v>
      </c>
      <c r="F106" s="23" t="str">
        <f t="shared" si="2"/>
        <v>rtdc.l.rtdc.4043:itc</v>
      </c>
      <c r="G106" s="8">
        <f t="shared" si="3"/>
        <v>42644.525208333333</v>
      </c>
    </row>
    <row r="107" spans="1:7" x14ac:dyDescent="0.25">
      <c r="A107" s="8">
        <v>42644.529398148145</v>
      </c>
      <c r="B107" s="23" t="s">
        <v>737</v>
      </c>
      <c r="C107" s="23" t="s">
        <v>532</v>
      </c>
      <c r="D107" s="23">
        <v>2150000</v>
      </c>
      <c r="E107" s="23" t="s">
        <v>398</v>
      </c>
      <c r="F107" s="23" t="str">
        <f t="shared" si="2"/>
        <v>rtdc.l.rtdc.4030:itc</v>
      </c>
      <c r="G107" s="8">
        <f t="shared" si="3"/>
        <v>42644.529398148145</v>
      </c>
    </row>
    <row r="108" spans="1:7" x14ac:dyDescent="0.25">
      <c r="A108" s="8">
        <v>42644.530370370368</v>
      </c>
      <c r="B108" s="23" t="s">
        <v>177</v>
      </c>
      <c r="C108" s="23" t="s">
        <v>542</v>
      </c>
      <c r="D108" s="23">
        <v>880000</v>
      </c>
      <c r="E108" s="23" t="s">
        <v>396</v>
      </c>
      <c r="F108" s="23" t="str">
        <f t="shared" si="2"/>
        <v>rtdc.l.rtdc.4046:itc</v>
      </c>
      <c r="G108" s="8">
        <f t="shared" si="3"/>
        <v>42644.530370370368</v>
      </c>
    </row>
    <row r="109" spans="1:7" x14ac:dyDescent="0.25">
      <c r="A109" s="8">
        <v>42644.539594907408</v>
      </c>
      <c r="B109" s="23" t="s">
        <v>246</v>
      </c>
      <c r="C109" s="23" t="s">
        <v>545</v>
      </c>
      <c r="D109" s="23">
        <v>1280000</v>
      </c>
      <c r="E109" s="23" t="s">
        <v>742</v>
      </c>
      <c r="F109" s="23" t="str">
        <f t="shared" si="2"/>
        <v>rtdc.l.rtdc.4018:itc</v>
      </c>
      <c r="G109" s="8">
        <f t="shared" si="3"/>
        <v>42644.539594907408</v>
      </c>
    </row>
    <row r="110" spans="1:7" x14ac:dyDescent="0.25">
      <c r="A110" s="8">
        <v>42644.546851851854</v>
      </c>
      <c r="B110" s="23" t="s">
        <v>736</v>
      </c>
      <c r="C110" s="23" t="s">
        <v>535</v>
      </c>
      <c r="D110" s="23">
        <v>930000</v>
      </c>
      <c r="E110" s="23" t="s">
        <v>397</v>
      </c>
      <c r="F110" s="23" t="str">
        <f t="shared" si="2"/>
        <v>rtdc.l.rtdc.4004:itc</v>
      </c>
      <c r="G110" s="8">
        <f t="shared" si="3"/>
        <v>42644.546851851854</v>
      </c>
    </row>
    <row r="111" spans="1:7" x14ac:dyDescent="0.25">
      <c r="A111" s="8">
        <v>42644.549942129626</v>
      </c>
      <c r="B111" s="23" t="s">
        <v>399</v>
      </c>
      <c r="C111" s="23" t="s">
        <v>549</v>
      </c>
      <c r="D111" s="23">
        <v>530000</v>
      </c>
      <c r="E111" s="23" t="s">
        <v>301</v>
      </c>
      <c r="F111" s="23" t="str">
        <f t="shared" si="2"/>
        <v>rtdc.l.rtdc.4009:itc</v>
      </c>
      <c r="G111" s="8">
        <f t="shared" si="3"/>
        <v>42644.549942129626</v>
      </c>
    </row>
    <row r="112" spans="1:7" x14ac:dyDescent="0.25">
      <c r="A112" s="8">
        <v>42644.551736111112</v>
      </c>
      <c r="B112" s="23" t="s">
        <v>222</v>
      </c>
      <c r="C112" s="23" t="s">
        <v>539</v>
      </c>
      <c r="D112" s="23">
        <v>1740000</v>
      </c>
      <c r="E112" s="23" t="s">
        <v>260</v>
      </c>
      <c r="F112" s="23" t="str">
        <f t="shared" si="2"/>
        <v>rtdc.l.rtdc.4012:itc</v>
      </c>
      <c r="G112" s="8">
        <f t="shared" si="3"/>
        <v>42644.551736111112</v>
      </c>
    </row>
    <row r="113" spans="1:7" x14ac:dyDescent="0.25">
      <c r="A113" s="8">
        <v>42644.555046296293</v>
      </c>
      <c r="B113" s="23" t="s">
        <v>217</v>
      </c>
      <c r="C113" s="23" t="s">
        <v>580</v>
      </c>
      <c r="D113" s="23">
        <v>1830000</v>
      </c>
      <c r="E113" s="23" t="s">
        <v>295</v>
      </c>
      <c r="F113" s="23" t="str">
        <f t="shared" si="2"/>
        <v>rtdc.l.rtdc.4044:itc</v>
      </c>
      <c r="G113" s="8">
        <f t="shared" si="3"/>
        <v>42644.555046296293</v>
      </c>
    </row>
    <row r="114" spans="1:7" x14ac:dyDescent="0.25">
      <c r="A114" s="8">
        <v>42644.558310185188</v>
      </c>
      <c r="B114" s="23" t="s">
        <v>231</v>
      </c>
      <c r="C114" s="23" t="s">
        <v>551</v>
      </c>
      <c r="D114" s="23">
        <v>2020000</v>
      </c>
      <c r="E114" s="23" t="s">
        <v>300</v>
      </c>
      <c r="F114" s="23" t="str">
        <f t="shared" si="2"/>
        <v>rtdc.l.rtdc.4014:itc</v>
      </c>
      <c r="G114" s="8">
        <f t="shared" si="3"/>
        <v>42644.558310185188</v>
      </c>
    </row>
    <row r="115" spans="1:7" x14ac:dyDescent="0.25">
      <c r="A115" s="8">
        <v>42644.56695601852</v>
      </c>
      <c r="B115" s="23" t="s">
        <v>218</v>
      </c>
      <c r="C115" s="23" t="s">
        <v>581</v>
      </c>
      <c r="D115" s="23">
        <v>1830000</v>
      </c>
      <c r="E115" s="23" t="s">
        <v>295</v>
      </c>
      <c r="F115" s="23" t="str">
        <f t="shared" si="2"/>
        <v>rtdc.l.rtdc.4043:itc</v>
      </c>
      <c r="G115" s="8">
        <f t="shared" si="3"/>
        <v>42644.56695601852</v>
      </c>
    </row>
    <row r="116" spans="1:7" x14ac:dyDescent="0.25">
      <c r="A116" s="8">
        <v>42644.567418981482</v>
      </c>
      <c r="B116" s="23" t="s">
        <v>258</v>
      </c>
      <c r="C116" s="23" t="s">
        <v>544</v>
      </c>
      <c r="D116" s="23">
        <v>880000</v>
      </c>
      <c r="E116" s="23" t="s">
        <v>396</v>
      </c>
      <c r="F116" s="23" t="str">
        <f t="shared" si="2"/>
        <v>rtdc.l.rtdc.4045:itc</v>
      </c>
      <c r="G116" s="8">
        <f t="shared" si="3"/>
        <v>42644.567418981482</v>
      </c>
    </row>
    <row r="117" spans="1:7" x14ac:dyDescent="0.25">
      <c r="A117" s="8">
        <v>42644.569780092592</v>
      </c>
      <c r="B117" s="23" t="s">
        <v>239</v>
      </c>
      <c r="C117" s="23" t="s">
        <v>571</v>
      </c>
      <c r="D117" s="23">
        <v>2150000</v>
      </c>
      <c r="E117" s="23" t="s">
        <v>398</v>
      </c>
      <c r="F117" s="23" t="str">
        <f t="shared" si="2"/>
        <v>rtdc.l.rtdc.4029:itc</v>
      </c>
      <c r="G117" s="8">
        <f t="shared" si="3"/>
        <v>42644.569780092592</v>
      </c>
    </row>
    <row r="118" spans="1:7" x14ac:dyDescent="0.25">
      <c r="A118" s="8">
        <v>42644.570902777778</v>
      </c>
      <c r="B118" s="23" t="s">
        <v>245</v>
      </c>
      <c r="C118" s="23" t="s">
        <v>547</v>
      </c>
      <c r="D118" s="23">
        <v>1280000</v>
      </c>
      <c r="E118" s="23" t="s">
        <v>742</v>
      </c>
      <c r="F118" s="23" t="str">
        <f t="shared" si="2"/>
        <v>rtdc.l.rtdc.4017:itc</v>
      </c>
      <c r="G118" s="8">
        <f t="shared" si="3"/>
        <v>42644.570902777778</v>
      </c>
    </row>
    <row r="119" spans="1:7" x14ac:dyDescent="0.25">
      <c r="A119" s="8">
        <v>42644.58152777778</v>
      </c>
      <c r="B119" s="23" t="s">
        <v>735</v>
      </c>
      <c r="C119" s="23" t="s">
        <v>615</v>
      </c>
      <c r="D119" s="23">
        <v>930000</v>
      </c>
      <c r="E119" s="23" t="s">
        <v>397</v>
      </c>
      <c r="F119" s="23" t="str">
        <f t="shared" si="2"/>
        <v>rtdc.l.rtdc.4003:itc</v>
      </c>
      <c r="G119" s="8">
        <f t="shared" si="3"/>
        <v>42644.58152777778</v>
      </c>
    </row>
    <row r="120" spans="1:7" x14ac:dyDescent="0.25">
      <c r="A120" s="8">
        <v>42644.582245370373</v>
      </c>
      <c r="B120" s="23" t="s">
        <v>389</v>
      </c>
      <c r="C120" s="23" t="s">
        <v>550</v>
      </c>
      <c r="D120" s="23">
        <v>530000</v>
      </c>
      <c r="E120" s="23" t="s">
        <v>301</v>
      </c>
      <c r="F120" s="23" t="str">
        <f t="shared" si="2"/>
        <v>rtdc.l.rtdc.4010:itc</v>
      </c>
      <c r="G120" s="8">
        <f t="shared" si="3"/>
        <v>42644.582245370373</v>
      </c>
    </row>
    <row r="121" spans="1:7" x14ac:dyDescent="0.25">
      <c r="A121" s="8">
        <v>42644.583726851852</v>
      </c>
      <c r="B121" s="23" t="s">
        <v>217</v>
      </c>
      <c r="C121" s="23" t="s">
        <v>582</v>
      </c>
      <c r="D121" s="23">
        <v>2220000</v>
      </c>
      <c r="E121" s="23" t="s">
        <v>402</v>
      </c>
      <c r="F121" s="23" t="str">
        <f t="shared" si="2"/>
        <v>rtdc.l.rtdc.4044:itc</v>
      </c>
      <c r="G121" s="8">
        <f t="shared" si="3"/>
        <v>42644.583726851852</v>
      </c>
    </row>
    <row r="122" spans="1:7" x14ac:dyDescent="0.25">
      <c r="A122" s="8">
        <v>42644.590543981481</v>
      </c>
      <c r="B122" s="28" t="s">
        <v>296</v>
      </c>
      <c r="C122" s="23" t="s">
        <v>625</v>
      </c>
      <c r="D122" s="23">
        <v>1740000</v>
      </c>
      <c r="E122" s="23" t="s">
        <v>260</v>
      </c>
      <c r="F122" s="23" t="str">
        <f t="shared" si="2"/>
        <v>rtdc.l.rtdc.4011:itc</v>
      </c>
      <c r="G122" s="8">
        <f t="shared" si="3"/>
        <v>42644.590543981481</v>
      </c>
    </row>
    <row r="123" spans="1:7" x14ac:dyDescent="0.25">
      <c r="A123" s="8">
        <v>42644.595671296294</v>
      </c>
      <c r="B123" s="23" t="s">
        <v>259</v>
      </c>
      <c r="C123" s="23" t="s">
        <v>552</v>
      </c>
      <c r="D123" s="23">
        <v>2020000</v>
      </c>
      <c r="E123" s="23" t="s">
        <v>300</v>
      </c>
      <c r="F123" s="23" t="str">
        <f t="shared" si="2"/>
        <v>rtdc.l.rtdc.4013:itc</v>
      </c>
      <c r="G123" s="8">
        <f t="shared" si="3"/>
        <v>42644.595671296294</v>
      </c>
    </row>
    <row r="124" spans="1:7" x14ac:dyDescent="0.25">
      <c r="A124" s="8">
        <v>42644.601539351854</v>
      </c>
      <c r="B124" s="23" t="s">
        <v>737</v>
      </c>
      <c r="C124" s="23" t="s">
        <v>589</v>
      </c>
      <c r="D124" s="23">
        <v>2150000</v>
      </c>
      <c r="E124" s="23" t="s">
        <v>398</v>
      </c>
      <c r="F124" s="23" t="str">
        <f t="shared" si="2"/>
        <v>rtdc.l.rtdc.4030:itc</v>
      </c>
      <c r="G124" s="8">
        <f t="shared" si="3"/>
        <v>42644.601539351854</v>
      </c>
    </row>
    <row r="125" spans="1:7" x14ac:dyDescent="0.25">
      <c r="A125" s="8">
        <v>42644.6016087963</v>
      </c>
      <c r="B125" s="23" t="s">
        <v>177</v>
      </c>
      <c r="C125" s="23" t="s">
        <v>629</v>
      </c>
      <c r="D125" s="23">
        <v>880000</v>
      </c>
      <c r="E125" s="23" t="s">
        <v>396</v>
      </c>
      <c r="F125" s="23" t="str">
        <f t="shared" si="2"/>
        <v>rtdc.l.rtdc.4046:itc</v>
      </c>
      <c r="G125" s="8">
        <f t="shared" si="3"/>
        <v>42644.6016087963</v>
      </c>
    </row>
    <row r="126" spans="1:7" x14ac:dyDescent="0.25">
      <c r="A126" s="8">
        <v>42644.610868055555</v>
      </c>
      <c r="B126" s="23" t="s">
        <v>246</v>
      </c>
      <c r="C126" s="23" t="s">
        <v>631</v>
      </c>
      <c r="D126" s="23">
        <v>1280000</v>
      </c>
      <c r="E126" s="23" t="s">
        <v>742</v>
      </c>
      <c r="F126" s="23" t="str">
        <f t="shared" si="2"/>
        <v>rtdc.l.rtdc.4018:itc</v>
      </c>
      <c r="G126" s="8">
        <f t="shared" si="3"/>
        <v>42644.610868055555</v>
      </c>
    </row>
    <row r="127" spans="1:7" x14ac:dyDescent="0.25">
      <c r="A127" s="8">
        <v>42644.611111111109</v>
      </c>
      <c r="B127" s="23" t="s">
        <v>218</v>
      </c>
      <c r="C127" s="23" t="s">
        <v>584</v>
      </c>
      <c r="D127" s="23">
        <v>2220000</v>
      </c>
      <c r="E127" s="23" t="s">
        <v>402</v>
      </c>
      <c r="F127" s="23" t="str">
        <f t="shared" si="2"/>
        <v>rtdc.l.rtdc.4043:itc</v>
      </c>
      <c r="G127" s="8">
        <f t="shared" si="3"/>
        <v>42644.611111111109</v>
      </c>
    </row>
    <row r="128" spans="1:7" x14ac:dyDescent="0.25">
      <c r="A128" s="8">
        <v>42644.618935185186</v>
      </c>
      <c r="B128" s="23" t="s">
        <v>736</v>
      </c>
      <c r="C128" s="23" t="s">
        <v>624</v>
      </c>
      <c r="D128" s="23">
        <v>930000</v>
      </c>
      <c r="E128" s="23" t="s">
        <v>397</v>
      </c>
      <c r="F128" s="23" t="str">
        <f t="shared" si="2"/>
        <v>rtdc.l.rtdc.4004:itc</v>
      </c>
      <c r="G128" s="8">
        <f t="shared" si="3"/>
        <v>42644.618935185186</v>
      </c>
    </row>
    <row r="129" spans="1:7" x14ac:dyDescent="0.25">
      <c r="A129" s="8">
        <v>42644.621412037035</v>
      </c>
      <c r="B129" s="23" t="s">
        <v>399</v>
      </c>
      <c r="C129" s="23" t="s">
        <v>636</v>
      </c>
      <c r="D129" s="23">
        <v>2040000</v>
      </c>
      <c r="E129" s="23" t="s">
        <v>277</v>
      </c>
      <c r="F129" s="23" t="str">
        <f t="shared" si="2"/>
        <v>rtdc.l.rtdc.4009:itc</v>
      </c>
      <c r="G129" s="8">
        <f t="shared" si="3"/>
        <v>42644.621412037035</v>
      </c>
    </row>
    <row r="130" spans="1:7" x14ac:dyDescent="0.25">
      <c r="A130" s="8">
        <v>42644.623611111114</v>
      </c>
      <c r="B130" s="23" t="s">
        <v>217</v>
      </c>
      <c r="C130" s="23" t="s">
        <v>586</v>
      </c>
      <c r="D130" s="23">
        <v>2220000</v>
      </c>
      <c r="E130" s="23" t="s">
        <v>402</v>
      </c>
      <c r="F130" s="23" t="str">
        <f t="shared" ref="F130:F193" si="4">B130</f>
        <v>rtdc.l.rtdc.4044:itc</v>
      </c>
      <c r="G130" s="8">
        <f t="shared" ref="G130:G193" si="5">A130</f>
        <v>42644.623611111114</v>
      </c>
    </row>
    <row r="131" spans="1:7" x14ac:dyDescent="0.25">
      <c r="A131" s="8">
        <v>42644.627175925925</v>
      </c>
      <c r="B131" s="23" t="s">
        <v>222</v>
      </c>
      <c r="C131" s="23" t="s">
        <v>626</v>
      </c>
      <c r="D131" s="23">
        <v>1740000</v>
      </c>
      <c r="E131" s="23" t="s">
        <v>260</v>
      </c>
      <c r="F131" s="23" t="str">
        <f t="shared" si="4"/>
        <v>rtdc.l.rtdc.4012:itc</v>
      </c>
      <c r="G131" s="8">
        <f t="shared" si="5"/>
        <v>42644.627175925925</v>
      </c>
    </row>
    <row r="132" spans="1:7" x14ac:dyDescent="0.25">
      <c r="A132" s="8">
        <v>42644.63071759259</v>
      </c>
      <c r="B132" s="23" t="s">
        <v>231</v>
      </c>
      <c r="C132" s="23" t="s">
        <v>639</v>
      </c>
      <c r="D132" s="23">
        <v>2020000</v>
      </c>
      <c r="E132" s="23" t="s">
        <v>300</v>
      </c>
      <c r="F132" s="23" t="str">
        <f t="shared" si="4"/>
        <v>rtdc.l.rtdc.4014:itc</v>
      </c>
      <c r="G132" s="8">
        <f t="shared" si="5"/>
        <v>42644.63071759259</v>
      </c>
    </row>
    <row r="133" spans="1:7" x14ac:dyDescent="0.25">
      <c r="A133" s="8">
        <v>42644.639976851853</v>
      </c>
      <c r="B133" s="23" t="s">
        <v>258</v>
      </c>
      <c r="C133" s="23" t="s">
        <v>630</v>
      </c>
      <c r="D133" s="23">
        <v>880000</v>
      </c>
      <c r="E133" s="23" t="s">
        <v>396</v>
      </c>
      <c r="F133" s="23" t="str">
        <f t="shared" si="4"/>
        <v>rtdc.l.rtdc.4045:itc</v>
      </c>
      <c r="G133" s="8">
        <f t="shared" si="5"/>
        <v>42644.639976851853</v>
      </c>
    </row>
    <row r="134" spans="1:7" x14ac:dyDescent="0.25">
      <c r="A134" s="8">
        <v>42644.641701388886</v>
      </c>
      <c r="B134" s="23" t="s">
        <v>239</v>
      </c>
      <c r="C134" s="23" t="s">
        <v>641</v>
      </c>
      <c r="D134" s="23">
        <v>2150000</v>
      </c>
      <c r="E134" s="23" t="s">
        <v>398</v>
      </c>
      <c r="F134" s="23" t="str">
        <f t="shared" si="4"/>
        <v>rtdc.l.rtdc.4029:itc</v>
      </c>
      <c r="G134" s="8">
        <f t="shared" si="5"/>
        <v>42644.641701388886</v>
      </c>
    </row>
    <row r="135" spans="1:7" x14ac:dyDescent="0.25">
      <c r="A135" s="8">
        <v>42644.642731481479</v>
      </c>
      <c r="B135" s="23" t="s">
        <v>245</v>
      </c>
      <c r="C135" s="23" t="s">
        <v>632</v>
      </c>
      <c r="D135" s="23">
        <v>1280000</v>
      </c>
      <c r="E135" s="23" t="s">
        <v>742</v>
      </c>
      <c r="F135" s="23" t="str">
        <f t="shared" si="4"/>
        <v>rtdc.l.rtdc.4017:itc</v>
      </c>
      <c r="G135" s="8">
        <f t="shared" si="5"/>
        <v>42644.642731481479</v>
      </c>
    </row>
    <row r="136" spans="1:7" x14ac:dyDescent="0.25">
      <c r="A136" s="8">
        <v>42644.651296296295</v>
      </c>
      <c r="B136" s="23" t="s">
        <v>218</v>
      </c>
      <c r="C136" s="23" t="s">
        <v>591</v>
      </c>
      <c r="D136" s="23">
        <v>2220000</v>
      </c>
      <c r="E136" s="23" t="s">
        <v>402</v>
      </c>
      <c r="F136" s="23" t="str">
        <f t="shared" si="4"/>
        <v>rtdc.l.rtdc.4043:itc</v>
      </c>
      <c r="G136" s="8">
        <f t="shared" si="5"/>
        <v>42644.651296296295</v>
      </c>
    </row>
    <row r="137" spans="1:7" x14ac:dyDescent="0.25">
      <c r="A137" s="8">
        <v>42644.653402777774</v>
      </c>
      <c r="B137" s="23" t="s">
        <v>735</v>
      </c>
      <c r="C137" s="23" t="s">
        <v>645</v>
      </c>
      <c r="D137" s="23">
        <v>930000</v>
      </c>
      <c r="E137" s="23" t="s">
        <v>397</v>
      </c>
      <c r="F137" s="23" t="str">
        <f t="shared" si="4"/>
        <v>rtdc.l.rtdc.4003:itc</v>
      </c>
      <c r="G137" s="8">
        <f t="shared" si="5"/>
        <v>42644.653402777774</v>
      </c>
    </row>
    <row r="138" spans="1:7" x14ac:dyDescent="0.25">
      <c r="A138" s="8">
        <v>42644.660138888888</v>
      </c>
      <c r="B138" s="23" t="s">
        <v>389</v>
      </c>
      <c r="C138" s="23" t="s">
        <v>638</v>
      </c>
      <c r="D138" s="23">
        <v>2040000</v>
      </c>
      <c r="E138" s="23" t="s">
        <v>277</v>
      </c>
      <c r="F138" s="23" t="str">
        <f t="shared" si="4"/>
        <v>rtdc.l.rtdc.4010:itc</v>
      </c>
      <c r="G138" s="8">
        <f t="shared" si="5"/>
        <v>42644.660138888888</v>
      </c>
    </row>
    <row r="139" spans="1:7" x14ac:dyDescent="0.25">
      <c r="A139" s="8">
        <v>42644.662453703706</v>
      </c>
      <c r="B139" s="23" t="s">
        <v>296</v>
      </c>
      <c r="C139" s="23" t="s">
        <v>647</v>
      </c>
      <c r="D139" s="23">
        <v>1740000</v>
      </c>
      <c r="E139" s="23" t="s">
        <v>260</v>
      </c>
      <c r="F139" s="23" t="str">
        <f t="shared" si="4"/>
        <v>rtdc.l.rtdc.4011:itc</v>
      </c>
      <c r="G139" s="8">
        <f t="shared" si="5"/>
        <v>42644.662453703706</v>
      </c>
    </row>
    <row r="140" spans="1:7" x14ac:dyDescent="0.25">
      <c r="A140" s="8">
        <v>42644.664687500001</v>
      </c>
      <c r="B140" s="23" t="s">
        <v>217</v>
      </c>
      <c r="C140" s="23" t="s">
        <v>593</v>
      </c>
      <c r="D140" s="23">
        <v>2220000</v>
      </c>
      <c r="E140" s="23" t="s">
        <v>402</v>
      </c>
      <c r="F140" s="23" t="str">
        <f t="shared" si="4"/>
        <v>rtdc.l.rtdc.4044:itc</v>
      </c>
      <c r="G140" s="8">
        <f t="shared" si="5"/>
        <v>42644.664687500001</v>
      </c>
    </row>
    <row r="141" spans="1:7" x14ac:dyDescent="0.25">
      <c r="A141" s="8">
        <v>42644.671273148146</v>
      </c>
      <c r="B141" s="23" t="s">
        <v>259</v>
      </c>
      <c r="C141" s="23" t="s">
        <v>640</v>
      </c>
      <c r="D141" s="23">
        <v>2020000</v>
      </c>
      <c r="E141" s="23" t="s">
        <v>300</v>
      </c>
      <c r="F141" s="23" t="str">
        <f t="shared" si="4"/>
        <v>rtdc.l.rtdc.4013:itc</v>
      </c>
      <c r="G141" s="8">
        <f t="shared" si="5"/>
        <v>42644.671273148146</v>
      </c>
    </row>
    <row r="142" spans="1:7" x14ac:dyDescent="0.25">
      <c r="A142" s="8">
        <v>42644.67324074074</v>
      </c>
      <c r="B142" s="23" t="s">
        <v>177</v>
      </c>
      <c r="C142" s="23" t="s">
        <v>651</v>
      </c>
      <c r="D142" s="23">
        <v>880000</v>
      </c>
      <c r="E142" s="23" t="s">
        <v>396</v>
      </c>
      <c r="F142" s="23" t="str">
        <f t="shared" si="4"/>
        <v>rtdc.l.rtdc.4046:itc</v>
      </c>
      <c r="G142" s="8">
        <f t="shared" si="5"/>
        <v>42644.67324074074</v>
      </c>
    </row>
    <row r="143" spans="1:7" x14ac:dyDescent="0.25">
      <c r="A143" s="8">
        <v>42644.676469907405</v>
      </c>
      <c r="B143" s="23" t="s">
        <v>737</v>
      </c>
      <c r="C143" s="23" t="s">
        <v>643</v>
      </c>
      <c r="D143" s="23">
        <v>2150000</v>
      </c>
      <c r="E143" s="23" t="s">
        <v>398</v>
      </c>
      <c r="F143" s="23" t="str">
        <f t="shared" si="4"/>
        <v>rtdc.l.rtdc.4030:itc</v>
      </c>
      <c r="G143" s="8">
        <f t="shared" si="5"/>
        <v>42644.676469907405</v>
      </c>
    </row>
    <row r="144" spans="1:7" x14ac:dyDescent="0.25">
      <c r="A144" s="8">
        <v>42644.686643518522</v>
      </c>
      <c r="B144" s="23" t="s">
        <v>246</v>
      </c>
      <c r="C144" s="23" t="s">
        <v>653</v>
      </c>
      <c r="D144" s="23">
        <v>1280000</v>
      </c>
      <c r="E144" s="23" t="s">
        <v>742</v>
      </c>
      <c r="F144" s="23" t="str">
        <f t="shared" si="4"/>
        <v>rtdc.l.rtdc.4018:itc</v>
      </c>
      <c r="G144" s="8">
        <f t="shared" si="5"/>
        <v>42644.686643518522</v>
      </c>
    </row>
    <row r="145" spans="1:7" x14ac:dyDescent="0.25">
      <c r="A145" s="8">
        <v>42644.691631944443</v>
      </c>
      <c r="B145" s="23" t="s">
        <v>218</v>
      </c>
      <c r="C145" s="23" t="s">
        <v>595</v>
      </c>
      <c r="D145" s="23">
        <v>2220000</v>
      </c>
      <c r="E145" s="23" t="s">
        <v>402</v>
      </c>
      <c r="F145" s="23" t="str">
        <f t="shared" si="4"/>
        <v>rtdc.l.rtdc.4043:itc</v>
      </c>
      <c r="G145" s="8">
        <f t="shared" si="5"/>
        <v>42644.691631944443</v>
      </c>
    </row>
    <row r="146" spans="1:7" x14ac:dyDescent="0.25">
      <c r="A146" s="8">
        <v>42644.692731481482</v>
      </c>
      <c r="B146" s="23" t="s">
        <v>736</v>
      </c>
      <c r="C146" s="23" t="s">
        <v>646</v>
      </c>
      <c r="D146" s="23">
        <v>930000</v>
      </c>
      <c r="E146" s="23" t="s">
        <v>397</v>
      </c>
      <c r="F146" s="23" t="str">
        <f t="shared" si="4"/>
        <v>rtdc.l.rtdc.4004:itc</v>
      </c>
      <c r="G146" s="8">
        <f t="shared" si="5"/>
        <v>42644.692731481482</v>
      </c>
    </row>
    <row r="147" spans="1:7" x14ac:dyDescent="0.25">
      <c r="A147" s="8">
        <v>42644.699618055558</v>
      </c>
      <c r="B147" s="23" t="s">
        <v>399</v>
      </c>
      <c r="C147" s="23" t="s">
        <v>655</v>
      </c>
      <c r="D147" s="23">
        <v>2040000</v>
      </c>
      <c r="E147" s="23" t="s">
        <v>277</v>
      </c>
      <c r="F147" s="23" t="str">
        <f t="shared" si="4"/>
        <v>rtdc.l.rtdc.4009:itc</v>
      </c>
      <c r="G147" s="8">
        <f t="shared" si="5"/>
        <v>42644.699618055558</v>
      </c>
    </row>
    <row r="148" spans="1:7" x14ac:dyDescent="0.25">
      <c r="A148" s="8">
        <v>42644.700439814813</v>
      </c>
      <c r="B148" s="23" t="s">
        <v>222</v>
      </c>
      <c r="C148" s="23" t="s">
        <v>649</v>
      </c>
      <c r="D148" s="23">
        <v>1740000</v>
      </c>
      <c r="E148" s="23" t="s">
        <v>260</v>
      </c>
      <c r="F148" s="23" t="str">
        <f t="shared" si="4"/>
        <v>rtdc.l.rtdc.4012:itc</v>
      </c>
      <c r="G148" s="8">
        <f t="shared" si="5"/>
        <v>42644.700439814813</v>
      </c>
    </row>
    <row r="149" spans="1:7" x14ac:dyDescent="0.25">
      <c r="A149" s="8">
        <v>42644.705196759256</v>
      </c>
      <c r="B149" s="23" t="s">
        <v>231</v>
      </c>
      <c r="C149" s="23" t="s">
        <v>657</v>
      </c>
      <c r="D149" s="23">
        <v>2020000</v>
      </c>
      <c r="E149" s="23" t="s">
        <v>300</v>
      </c>
      <c r="F149" s="23" t="str">
        <f t="shared" si="4"/>
        <v>rtdc.l.rtdc.4014:itc</v>
      </c>
      <c r="G149" s="8">
        <f t="shared" si="5"/>
        <v>42644.705196759256</v>
      </c>
    </row>
    <row r="150" spans="1:7" x14ac:dyDescent="0.25">
      <c r="A150" s="8">
        <v>42644.70921296296</v>
      </c>
      <c r="B150" s="23" t="s">
        <v>217</v>
      </c>
      <c r="C150" s="23" t="s">
        <v>597</v>
      </c>
      <c r="D150" s="23">
        <v>2220000</v>
      </c>
      <c r="E150" s="23" t="s">
        <v>402</v>
      </c>
      <c r="F150" s="23" t="str">
        <f t="shared" si="4"/>
        <v>rtdc.l.rtdc.4044:itc</v>
      </c>
      <c r="G150" s="8">
        <f t="shared" si="5"/>
        <v>42644.70921296296</v>
      </c>
    </row>
    <row r="151" spans="1:7" x14ac:dyDescent="0.25">
      <c r="A151" s="8">
        <v>42644.714548611111</v>
      </c>
      <c r="B151" s="23" t="s">
        <v>738</v>
      </c>
      <c r="C151" s="23" t="s">
        <v>728</v>
      </c>
      <c r="D151" s="23">
        <v>2100000</v>
      </c>
      <c r="E151" s="23" t="s">
        <v>298</v>
      </c>
      <c r="F151" s="23" t="str">
        <f t="shared" si="4"/>
        <v>rtdc.l.rtdc.4040:itc</v>
      </c>
      <c r="G151" s="8">
        <f t="shared" si="5"/>
        <v>42644.714548611111</v>
      </c>
    </row>
    <row r="152" spans="1:7" x14ac:dyDescent="0.25">
      <c r="A152" s="8">
        <v>42644.714560185188</v>
      </c>
      <c r="B152" s="23" t="s">
        <v>258</v>
      </c>
      <c r="C152" s="23" t="s">
        <v>652</v>
      </c>
      <c r="D152" s="23">
        <v>880000</v>
      </c>
      <c r="E152" s="23" t="s">
        <v>396</v>
      </c>
      <c r="F152" s="23" t="str">
        <f t="shared" si="4"/>
        <v>rtdc.l.rtdc.4045:itc</v>
      </c>
      <c r="G152" s="8">
        <f t="shared" si="5"/>
        <v>42644.714560185188</v>
      </c>
    </row>
    <row r="153" spans="1:7" x14ac:dyDescent="0.25">
      <c r="A153" s="8">
        <v>42644.717037037037</v>
      </c>
      <c r="B153" s="23" t="s">
        <v>245</v>
      </c>
      <c r="C153" s="23" t="s">
        <v>654</v>
      </c>
      <c r="D153" s="23">
        <v>1280000</v>
      </c>
      <c r="E153" s="23" t="s">
        <v>742</v>
      </c>
      <c r="F153" s="23" t="str">
        <f t="shared" si="4"/>
        <v>rtdc.l.rtdc.4017:itc</v>
      </c>
      <c r="G153" s="8">
        <f t="shared" si="5"/>
        <v>42644.717037037037</v>
      </c>
    </row>
    <row r="154" spans="1:7" x14ac:dyDescent="0.25">
      <c r="A154" s="8">
        <v>42644.718935185185</v>
      </c>
      <c r="B154" s="23" t="s">
        <v>239</v>
      </c>
      <c r="C154" s="23" t="s">
        <v>660</v>
      </c>
      <c r="D154" s="23">
        <v>2150000</v>
      </c>
      <c r="E154" s="23" t="s">
        <v>398</v>
      </c>
      <c r="F154" s="23" t="str">
        <f t="shared" si="4"/>
        <v>rtdc.l.rtdc.4029:itc</v>
      </c>
      <c r="G154" s="8">
        <f t="shared" si="5"/>
        <v>42644.718935185185</v>
      </c>
    </row>
    <row r="155" spans="1:7" x14ac:dyDescent="0.25">
      <c r="A155" s="8">
        <v>42644.719768518517</v>
      </c>
      <c r="B155" s="23" t="s">
        <v>738</v>
      </c>
      <c r="C155" s="23" t="s">
        <v>728</v>
      </c>
      <c r="D155" s="23">
        <v>2100000</v>
      </c>
      <c r="E155" s="23" t="s">
        <v>298</v>
      </c>
      <c r="F155" s="23" t="str">
        <f t="shared" si="4"/>
        <v>rtdc.l.rtdc.4040:itc</v>
      </c>
      <c r="G155" s="8">
        <f t="shared" si="5"/>
        <v>42644.719768518517</v>
      </c>
    </row>
    <row r="156" spans="1:7" x14ac:dyDescent="0.25">
      <c r="A156" s="8">
        <v>42644.73</v>
      </c>
      <c r="B156" s="23" t="s">
        <v>735</v>
      </c>
      <c r="C156" s="23" t="s">
        <v>662</v>
      </c>
      <c r="D156" s="23">
        <v>930000</v>
      </c>
      <c r="E156" s="23" t="s">
        <v>397</v>
      </c>
      <c r="F156" s="23" t="str">
        <f t="shared" si="4"/>
        <v>rtdc.l.rtdc.4003:itc</v>
      </c>
      <c r="G156" s="8">
        <f t="shared" si="5"/>
        <v>42644.73</v>
      </c>
    </row>
    <row r="157" spans="1:7" x14ac:dyDescent="0.25">
      <c r="A157" s="8">
        <v>42644.735381944447</v>
      </c>
      <c r="B157" s="23" t="s">
        <v>389</v>
      </c>
      <c r="C157" s="23" t="s">
        <v>656</v>
      </c>
      <c r="D157" s="23">
        <v>2040000</v>
      </c>
      <c r="E157" s="23" t="s">
        <v>277</v>
      </c>
      <c r="F157" s="23" t="str">
        <f t="shared" si="4"/>
        <v>rtdc.l.rtdc.4010:itc</v>
      </c>
      <c r="G157" s="8">
        <f t="shared" si="5"/>
        <v>42644.735381944447</v>
      </c>
    </row>
    <row r="158" spans="1:7" x14ac:dyDescent="0.25">
      <c r="A158" s="8">
        <v>42644.735729166663</v>
      </c>
      <c r="B158" s="23" t="s">
        <v>218</v>
      </c>
      <c r="C158" s="23" t="s">
        <v>599</v>
      </c>
      <c r="D158" s="23">
        <v>2220000</v>
      </c>
      <c r="E158" s="23" t="s">
        <v>402</v>
      </c>
      <c r="F158" s="23" t="str">
        <f t="shared" si="4"/>
        <v>rtdc.l.rtdc.4043:itc</v>
      </c>
      <c r="G158" s="8">
        <f t="shared" si="5"/>
        <v>42644.735729166663</v>
      </c>
    </row>
    <row r="159" spans="1:7" x14ac:dyDescent="0.25">
      <c r="A159" s="8">
        <v>42644.742488425924</v>
      </c>
      <c r="B159" s="23" t="s">
        <v>389</v>
      </c>
      <c r="C159" s="23" t="s">
        <v>656</v>
      </c>
      <c r="D159" s="23">
        <v>2040000</v>
      </c>
      <c r="E159" s="23" t="s">
        <v>277</v>
      </c>
      <c r="F159" s="23" t="str">
        <f t="shared" si="4"/>
        <v>rtdc.l.rtdc.4010:itc</v>
      </c>
      <c r="G159" s="8">
        <f t="shared" si="5"/>
        <v>42644.742488425924</v>
      </c>
    </row>
    <row r="160" spans="1:7" x14ac:dyDescent="0.25">
      <c r="A160" s="8">
        <v>42644.742511574077</v>
      </c>
      <c r="B160" s="23" t="s">
        <v>296</v>
      </c>
      <c r="C160" s="23" t="s">
        <v>666</v>
      </c>
      <c r="D160" s="23">
        <v>1810000</v>
      </c>
      <c r="E160" s="23" t="s">
        <v>299</v>
      </c>
      <c r="F160" s="23" t="str">
        <f t="shared" si="4"/>
        <v>rtdc.l.rtdc.4011:itc</v>
      </c>
      <c r="G160" s="8">
        <f t="shared" si="5"/>
        <v>42644.742511574077</v>
      </c>
    </row>
    <row r="161" spans="1:7" x14ac:dyDescent="0.25">
      <c r="A161" s="8">
        <v>42644.745486111111</v>
      </c>
      <c r="B161" s="23" t="s">
        <v>259</v>
      </c>
      <c r="C161" s="23" t="s">
        <v>658</v>
      </c>
      <c r="D161" s="23">
        <v>2020000</v>
      </c>
      <c r="E161" s="23" t="s">
        <v>300</v>
      </c>
      <c r="F161" s="23" t="str">
        <f t="shared" si="4"/>
        <v>rtdc.l.rtdc.4013:itc</v>
      </c>
      <c r="G161" s="8">
        <f t="shared" si="5"/>
        <v>42644.745486111111</v>
      </c>
    </row>
    <row r="162" spans="1:7" x14ac:dyDescent="0.25">
      <c r="A162" s="8">
        <v>42644.746458333335</v>
      </c>
      <c r="B162" s="23" t="s">
        <v>275</v>
      </c>
      <c r="C162" s="23" t="s">
        <v>732</v>
      </c>
      <c r="D162" s="23">
        <v>2260000</v>
      </c>
      <c r="E162" s="23" t="s">
        <v>400</v>
      </c>
      <c r="F162" s="23" t="str">
        <f t="shared" si="4"/>
        <v>rtdc.l.rtdc.4001:itc</v>
      </c>
      <c r="G162" s="8">
        <f t="shared" si="5"/>
        <v>42644.746458333335</v>
      </c>
    </row>
    <row r="163" spans="1:7" x14ac:dyDescent="0.25">
      <c r="A163" s="8">
        <v>42644.747430555559</v>
      </c>
      <c r="B163" s="23" t="s">
        <v>177</v>
      </c>
      <c r="C163" s="23" t="s">
        <v>668</v>
      </c>
      <c r="D163" s="23">
        <v>1740000</v>
      </c>
      <c r="E163" s="23" t="s">
        <v>260</v>
      </c>
      <c r="F163" s="23" t="str">
        <f t="shared" si="4"/>
        <v>rtdc.l.rtdc.4046:itc</v>
      </c>
      <c r="G163" s="8">
        <f t="shared" si="5"/>
        <v>42644.747430555559</v>
      </c>
    </row>
    <row r="164" spans="1:7" x14ac:dyDescent="0.25">
      <c r="A164" s="8">
        <v>42644.748356481483</v>
      </c>
      <c r="B164" s="23" t="s">
        <v>217</v>
      </c>
      <c r="C164" s="23" t="s">
        <v>602</v>
      </c>
      <c r="D164" s="23">
        <v>2220000</v>
      </c>
      <c r="E164" s="23" t="s">
        <v>402</v>
      </c>
      <c r="F164" s="23" t="str">
        <f t="shared" si="4"/>
        <v>rtdc.l.rtdc.4044:itc</v>
      </c>
      <c r="G164" s="8">
        <f t="shared" si="5"/>
        <v>42644.748356481483</v>
      </c>
    </row>
    <row r="165" spans="1:7" x14ac:dyDescent="0.25">
      <c r="A165" s="8">
        <v>42644.752650462964</v>
      </c>
      <c r="B165" s="23" t="s">
        <v>737</v>
      </c>
      <c r="C165" s="23" t="s">
        <v>661</v>
      </c>
      <c r="D165" s="23">
        <v>2150000</v>
      </c>
      <c r="E165" s="23" t="s">
        <v>398</v>
      </c>
      <c r="F165" s="23" t="str">
        <f t="shared" si="4"/>
        <v>rtdc.l.rtdc.4030:itc</v>
      </c>
      <c r="G165" s="8">
        <f t="shared" si="5"/>
        <v>42644.752650462964</v>
      </c>
    </row>
    <row r="166" spans="1:7" x14ac:dyDescent="0.25">
      <c r="A166" s="8">
        <v>42644.761307870373</v>
      </c>
      <c r="B166" s="23" t="s">
        <v>246</v>
      </c>
      <c r="C166" s="23" t="s">
        <v>672</v>
      </c>
      <c r="D166" s="23">
        <v>1800000</v>
      </c>
      <c r="E166" s="23" t="s">
        <v>401</v>
      </c>
      <c r="F166" s="23" t="str">
        <f t="shared" si="4"/>
        <v>rtdc.l.rtdc.4018:itc</v>
      </c>
      <c r="G166" s="8">
        <f t="shared" si="5"/>
        <v>42644.761307870373</v>
      </c>
    </row>
    <row r="167" spans="1:7" x14ac:dyDescent="0.25">
      <c r="A167" s="8">
        <v>42644.769641203704</v>
      </c>
      <c r="B167" s="23" t="s">
        <v>736</v>
      </c>
      <c r="C167" s="23" t="s">
        <v>664</v>
      </c>
      <c r="D167" s="23">
        <v>930000</v>
      </c>
      <c r="E167" s="23" t="s">
        <v>397</v>
      </c>
      <c r="F167" s="23" t="str">
        <f t="shared" si="4"/>
        <v>rtdc.l.rtdc.4004:itc</v>
      </c>
      <c r="G167" s="8">
        <f t="shared" si="5"/>
        <v>42644.769641203704</v>
      </c>
    </row>
    <row r="168" spans="1:7" x14ac:dyDescent="0.25">
      <c r="A168" s="8">
        <v>42644.772870370369</v>
      </c>
      <c r="B168" s="23" t="s">
        <v>222</v>
      </c>
      <c r="C168" s="23" t="s">
        <v>667</v>
      </c>
      <c r="D168" s="23">
        <v>1810000</v>
      </c>
      <c r="E168" s="23" t="s">
        <v>299</v>
      </c>
      <c r="F168" s="23" t="str">
        <f t="shared" si="4"/>
        <v>rtdc.l.rtdc.4012:itc</v>
      </c>
      <c r="G168" s="8">
        <f t="shared" si="5"/>
        <v>42644.772870370369</v>
      </c>
    </row>
    <row r="169" spans="1:7" x14ac:dyDescent="0.25">
      <c r="A169" s="8">
        <v>42644.773125</v>
      </c>
      <c r="B169" s="23" t="s">
        <v>399</v>
      </c>
      <c r="C169" s="23" t="s">
        <v>674</v>
      </c>
      <c r="D169" s="23">
        <v>1480000</v>
      </c>
      <c r="E169" s="23" t="s">
        <v>278</v>
      </c>
      <c r="F169" s="23" t="str">
        <f t="shared" si="4"/>
        <v>rtdc.l.rtdc.4009:itc</v>
      </c>
      <c r="G169" s="8">
        <f t="shared" si="5"/>
        <v>42644.773125</v>
      </c>
    </row>
    <row r="170" spans="1:7" x14ac:dyDescent="0.25">
      <c r="A170" s="8">
        <v>42644.77584490741</v>
      </c>
      <c r="B170" s="23" t="s">
        <v>218</v>
      </c>
      <c r="C170" s="23" t="s">
        <v>604</v>
      </c>
      <c r="D170" s="23">
        <v>2220000</v>
      </c>
      <c r="E170" s="23" t="s">
        <v>402</v>
      </c>
      <c r="F170" s="23" t="str">
        <f t="shared" si="4"/>
        <v>rtdc.l.rtdc.4043:itc</v>
      </c>
      <c r="G170" s="8">
        <f t="shared" si="5"/>
        <v>42644.77584490741</v>
      </c>
    </row>
    <row r="171" spans="1:7" x14ac:dyDescent="0.25">
      <c r="A171" s="8">
        <v>42644.77789351852</v>
      </c>
      <c r="B171" s="23" t="s">
        <v>231</v>
      </c>
      <c r="C171" s="23" t="s">
        <v>710</v>
      </c>
      <c r="D171" s="23">
        <v>2020000</v>
      </c>
      <c r="E171" s="23" t="s">
        <v>300</v>
      </c>
      <c r="F171" s="23" t="str">
        <f t="shared" si="4"/>
        <v>rtdc.l.rtdc.4014:itc</v>
      </c>
      <c r="G171" s="8">
        <f t="shared" si="5"/>
        <v>42644.77789351852</v>
      </c>
    </row>
    <row r="172" spans="1:7" x14ac:dyDescent="0.25">
      <c r="A172" s="8">
        <v>42644.788761574076</v>
      </c>
      <c r="B172" s="23" t="s">
        <v>258</v>
      </c>
      <c r="C172" s="23" t="s">
        <v>669</v>
      </c>
      <c r="D172" s="23">
        <v>1740000</v>
      </c>
      <c r="E172" s="23" t="s">
        <v>260</v>
      </c>
      <c r="F172" s="23" t="str">
        <f t="shared" si="4"/>
        <v>rtdc.l.rtdc.4045:itc</v>
      </c>
      <c r="G172" s="8">
        <f t="shared" si="5"/>
        <v>42644.788761574076</v>
      </c>
    </row>
    <row r="173" spans="1:7" x14ac:dyDescent="0.25">
      <c r="A173" s="8">
        <v>42644.788923611108</v>
      </c>
      <c r="B173" s="23" t="s">
        <v>239</v>
      </c>
      <c r="C173" s="23" t="s">
        <v>676</v>
      </c>
      <c r="D173" s="23">
        <v>1300000</v>
      </c>
      <c r="E173" s="23" t="s">
        <v>121</v>
      </c>
      <c r="F173" s="23" t="str">
        <f t="shared" si="4"/>
        <v>rtdc.l.rtdc.4029:itc</v>
      </c>
      <c r="G173" s="8">
        <f t="shared" si="5"/>
        <v>42644.788923611108</v>
      </c>
    </row>
    <row r="174" spans="1:7" x14ac:dyDescent="0.25">
      <c r="A174" s="8">
        <v>42644.79173611111</v>
      </c>
      <c r="B174" s="23" t="s">
        <v>217</v>
      </c>
      <c r="C174" s="23" t="s">
        <v>607</v>
      </c>
      <c r="D174" s="23">
        <v>2220000</v>
      </c>
      <c r="E174" s="23" t="s">
        <v>402</v>
      </c>
      <c r="F174" s="23" t="str">
        <f t="shared" si="4"/>
        <v>rtdc.l.rtdc.4044:itc</v>
      </c>
      <c r="G174" s="8">
        <f t="shared" si="5"/>
        <v>42644.79173611111</v>
      </c>
    </row>
    <row r="175" spans="1:7" x14ac:dyDescent="0.25">
      <c r="A175" s="8">
        <v>42644.79828703704</v>
      </c>
      <c r="B175" s="23" t="s">
        <v>245</v>
      </c>
      <c r="C175" s="23" t="s">
        <v>673</v>
      </c>
      <c r="D175" s="23">
        <v>1800000</v>
      </c>
      <c r="E175" s="23" t="s">
        <v>401</v>
      </c>
      <c r="F175" s="23" t="str">
        <f t="shared" si="4"/>
        <v>rtdc.l.rtdc.4017:itc</v>
      </c>
      <c r="G175" s="8">
        <f t="shared" si="5"/>
        <v>42644.79828703704</v>
      </c>
    </row>
    <row r="176" spans="1:7" x14ac:dyDescent="0.25">
      <c r="A176" s="8">
        <v>42644.805428240739</v>
      </c>
      <c r="B176" s="23" t="s">
        <v>389</v>
      </c>
      <c r="C176" s="23" t="s">
        <v>675</v>
      </c>
      <c r="D176" s="23">
        <v>1480000</v>
      </c>
      <c r="E176" s="23" t="s">
        <v>278</v>
      </c>
      <c r="F176" s="23" t="str">
        <f t="shared" si="4"/>
        <v>rtdc.l.rtdc.4010:itc</v>
      </c>
      <c r="G176" s="8">
        <f t="shared" si="5"/>
        <v>42644.805428240739</v>
      </c>
    </row>
    <row r="177" spans="1:7" x14ac:dyDescent="0.25">
      <c r="A177" s="8">
        <v>42644.806238425925</v>
      </c>
      <c r="B177" s="23" t="s">
        <v>735</v>
      </c>
      <c r="C177" s="23" t="s">
        <v>711</v>
      </c>
      <c r="D177" s="23">
        <v>930000</v>
      </c>
      <c r="E177" s="23" t="s">
        <v>397</v>
      </c>
      <c r="F177" s="23" t="str">
        <f t="shared" si="4"/>
        <v>rtdc.l.rtdc.4003:itc</v>
      </c>
      <c r="G177" s="8">
        <f t="shared" si="5"/>
        <v>42644.806238425925</v>
      </c>
    </row>
    <row r="178" spans="1:7" x14ac:dyDescent="0.25">
      <c r="A178" s="8">
        <v>42644.809606481482</v>
      </c>
      <c r="B178" s="23" t="s">
        <v>296</v>
      </c>
      <c r="C178" s="23" t="s">
        <v>678</v>
      </c>
      <c r="D178" s="23">
        <v>1810000</v>
      </c>
      <c r="E178" s="23" t="s">
        <v>299</v>
      </c>
      <c r="F178" s="23" t="str">
        <f t="shared" si="4"/>
        <v>rtdc.l.rtdc.4011:itc</v>
      </c>
      <c r="G178" s="8">
        <f t="shared" si="5"/>
        <v>42644.809606481482</v>
      </c>
    </row>
    <row r="179" spans="1:7" x14ac:dyDescent="0.25">
      <c r="A179" s="8">
        <v>42644.817384259259</v>
      </c>
      <c r="B179" s="23" t="s">
        <v>218</v>
      </c>
      <c r="C179" s="23" t="s">
        <v>610</v>
      </c>
      <c r="D179" s="23">
        <v>2220000</v>
      </c>
      <c r="E179" s="23" t="s">
        <v>402</v>
      </c>
      <c r="F179" s="23" t="str">
        <f t="shared" si="4"/>
        <v>rtdc.l.rtdc.4043:itc</v>
      </c>
      <c r="G179" s="8">
        <f t="shared" si="5"/>
        <v>42644.817384259259</v>
      </c>
    </row>
    <row r="180" spans="1:7" x14ac:dyDescent="0.25">
      <c r="A180" s="8">
        <v>42644.823831018519</v>
      </c>
      <c r="B180" s="23" t="s">
        <v>177</v>
      </c>
      <c r="C180" s="23" t="s">
        <v>714</v>
      </c>
      <c r="D180" s="23">
        <v>1740000</v>
      </c>
      <c r="E180" s="23" t="s">
        <v>260</v>
      </c>
      <c r="F180" s="23" t="str">
        <f t="shared" si="4"/>
        <v>rtdc.l.rtdc.4046:itc</v>
      </c>
      <c r="G180" s="8">
        <f t="shared" si="5"/>
        <v>42644.823831018519</v>
      </c>
    </row>
    <row r="181" spans="1:7" x14ac:dyDescent="0.25">
      <c r="A181" s="8">
        <v>42644.827650462961</v>
      </c>
      <c r="B181" s="23" t="s">
        <v>737</v>
      </c>
      <c r="C181" s="23" t="s">
        <v>677</v>
      </c>
      <c r="D181" s="23">
        <v>1300000</v>
      </c>
      <c r="E181" s="23" t="s">
        <v>121</v>
      </c>
      <c r="F181" s="23" t="str">
        <f t="shared" si="4"/>
        <v>rtdc.l.rtdc.4030:itc</v>
      </c>
      <c r="G181" s="8">
        <f t="shared" si="5"/>
        <v>42644.827650462961</v>
      </c>
    </row>
    <row r="182" spans="1:7" x14ac:dyDescent="0.25">
      <c r="A182" s="8">
        <v>42644.832268518519</v>
      </c>
      <c r="B182" s="23" t="s">
        <v>246</v>
      </c>
      <c r="C182" s="23" t="s">
        <v>680</v>
      </c>
      <c r="D182" s="23">
        <v>1800000</v>
      </c>
      <c r="E182" s="23" t="s">
        <v>401</v>
      </c>
      <c r="F182" s="23" t="str">
        <f t="shared" si="4"/>
        <v>rtdc.l.rtdc.4018:itc</v>
      </c>
      <c r="G182" s="8">
        <f t="shared" si="5"/>
        <v>42644.832268518519</v>
      </c>
    </row>
    <row r="183" spans="1:7" x14ac:dyDescent="0.25">
      <c r="A183" s="8">
        <v>42644.841412037036</v>
      </c>
      <c r="B183" s="23" t="s">
        <v>217</v>
      </c>
      <c r="C183" s="23" t="s">
        <v>613</v>
      </c>
      <c r="D183" s="23">
        <v>2220000</v>
      </c>
      <c r="E183" s="23" t="s">
        <v>402</v>
      </c>
      <c r="F183" s="23" t="str">
        <f t="shared" si="4"/>
        <v>rtdc.l.rtdc.4044:itc</v>
      </c>
      <c r="G183" s="8">
        <f t="shared" si="5"/>
        <v>42644.841412037036</v>
      </c>
    </row>
    <row r="184" spans="1:7" x14ac:dyDescent="0.25">
      <c r="A184" s="8">
        <v>42644.842928240738</v>
      </c>
      <c r="B184" s="23" t="s">
        <v>222</v>
      </c>
      <c r="C184" s="23" t="s">
        <v>679</v>
      </c>
      <c r="D184" s="23">
        <v>1810000</v>
      </c>
      <c r="E184" s="23" t="s">
        <v>299</v>
      </c>
      <c r="F184" s="23" t="str">
        <f t="shared" si="4"/>
        <v>rtdc.l.rtdc.4012:itc</v>
      </c>
      <c r="G184" s="8">
        <f t="shared" si="5"/>
        <v>42644.842928240738</v>
      </c>
    </row>
    <row r="185" spans="1:7" x14ac:dyDescent="0.25">
      <c r="A185" s="8">
        <v>42644.846620370372</v>
      </c>
      <c r="B185" s="23" t="s">
        <v>399</v>
      </c>
      <c r="C185" s="23" t="s">
        <v>682</v>
      </c>
      <c r="D185" s="23">
        <v>1480000</v>
      </c>
      <c r="E185" s="23" t="s">
        <v>278</v>
      </c>
      <c r="F185" s="23" t="str">
        <f t="shared" si="4"/>
        <v>rtdc.l.rtdc.4009:itc</v>
      </c>
      <c r="G185" s="8">
        <f t="shared" si="5"/>
        <v>42644.846620370372</v>
      </c>
    </row>
    <row r="186" spans="1:7" x14ac:dyDescent="0.25">
      <c r="A186" s="8">
        <v>42644.859513888892</v>
      </c>
      <c r="B186" s="23" t="s">
        <v>218</v>
      </c>
      <c r="C186" s="23" t="s">
        <v>616</v>
      </c>
      <c r="D186" s="23">
        <v>2220000</v>
      </c>
      <c r="E186" s="23" t="s">
        <v>402</v>
      </c>
      <c r="F186" s="23" t="str">
        <f t="shared" si="4"/>
        <v>rtdc.l.rtdc.4043:itc</v>
      </c>
      <c r="G186" s="8">
        <f t="shared" si="5"/>
        <v>42644.859513888892</v>
      </c>
    </row>
    <row r="187" spans="1:7" x14ac:dyDescent="0.25">
      <c r="A187" s="8">
        <v>42644.871168981481</v>
      </c>
      <c r="B187" s="23" t="s">
        <v>239</v>
      </c>
      <c r="C187" s="23" t="s">
        <v>684</v>
      </c>
      <c r="D187" s="23">
        <v>1300000</v>
      </c>
      <c r="E187" s="23" t="s">
        <v>121</v>
      </c>
      <c r="F187" s="23" t="str">
        <f t="shared" si="4"/>
        <v>rtdc.l.rtdc.4029:itc</v>
      </c>
      <c r="G187" s="8">
        <f t="shared" si="5"/>
        <v>42644.871168981481</v>
      </c>
    </row>
    <row r="188" spans="1:7" x14ac:dyDescent="0.25">
      <c r="A188" s="8">
        <v>42644.871203703704</v>
      </c>
      <c r="B188" s="23" t="s">
        <v>245</v>
      </c>
      <c r="C188" s="23" t="s">
        <v>681</v>
      </c>
      <c r="D188" s="23">
        <v>1800000</v>
      </c>
      <c r="E188" s="23" t="s">
        <v>401</v>
      </c>
      <c r="F188" s="23" t="str">
        <f t="shared" si="4"/>
        <v>rtdc.l.rtdc.4017:itc</v>
      </c>
      <c r="G188" s="8">
        <f t="shared" si="5"/>
        <v>42644.871203703704</v>
      </c>
    </row>
    <row r="189" spans="1:7" x14ac:dyDescent="0.25">
      <c r="A189" s="8">
        <v>42644.873078703706</v>
      </c>
      <c r="B189" s="23" t="s">
        <v>217</v>
      </c>
      <c r="C189" s="23" t="s">
        <v>617</v>
      </c>
      <c r="D189" s="23">
        <v>2220000</v>
      </c>
      <c r="E189" s="23" t="s">
        <v>402</v>
      </c>
      <c r="F189" s="23" t="str">
        <f t="shared" si="4"/>
        <v>rtdc.l.rtdc.4044:itc</v>
      </c>
      <c r="G189" s="8">
        <f t="shared" si="5"/>
        <v>42644.873078703706</v>
      </c>
    </row>
    <row r="190" spans="1:7" x14ac:dyDescent="0.25">
      <c r="A190" s="8">
        <v>42644.887083333335</v>
      </c>
      <c r="B190" s="23" t="s">
        <v>389</v>
      </c>
      <c r="C190" s="23" t="s">
        <v>683</v>
      </c>
      <c r="D190" s="23">
        <v>1480000</v>
      </c>
      <c r="E190" s="23" t="s">
        <v>278</v>
      </c>
      <c r="F190" s="23" t="str">
        <f t="shared" si="4"/>
        <v>rtdc.l.rtdc.4010:itc</v>
      </c>
      <c r="G190" s="8">
        <f t="shared" si="5"/>
        <v>42644.887083333335</v>
      </c>
    </row>
    <row r="191" spans="1:7" x14ac:dyDescent="0.25">
      <c r="A191" s="8">
        <v>42644.888969907406</v>
      </c>
      <c r="B191" s="23" t="s">
        <v>296</v>
      </c>
      <c r="C191" s="23" t="s">
        <v>688</v>
      </c>
      <c r="D191" s="23">
        <v>1810000</v>
      </c>
      <c r="E191" s="23" t="s">
        <v>299</v>
      </c>
      <c r="F191" s="23" t="str">
        <f t="shared" si="4"/>
        <v>rtdc.l.rtdc.4011:itc</v>
      </c>
      <c r="G191" s="8">
        <f t="shared" si="5"/>
        <v>42644.888969907406</v>
      </c>
    </row>
    <row r="192" spans="1:7" x14ac:dyDescent="0.25">
      <c r="A192" s="8">
        <v>42644.902777777781</v>
      </c>
      <c r="B192" s="23" t="s">
        <v>218</v>
      </c>
      <c r="C192" s="23" t="s">
        <v>620</v>
      </c>
      <c r="D192" s="23">
        <v>2220000</v>
      </c>
      <c r="E192" s="23" t="s">
        <v>402</v>
      </c>
      <c r="F192" s="23" t="str">
        <f t="shared" si="4"/>
        <v>rtdc.l.rtdc.4043:itc</v>
      </c>
      <c r="G192" s="8">
        <f t="shared" si="5"/>
        <v>42644.902777777781</v>
      </c>
    </row>
    <row r="193" spans="1:7" x14ac:dyDescent="0.25">
      <c r="A193" s="8">
        <v>42644.91138888889</v>
      </c>
      <c r="B193" s="23" t="s">
        <v>737</v>
      </c>
      <c r="C193" s="23" t="s">
        <v>686</v>
      </c>
      <c r="D193" s="23">
        <v>1300000</v>
      </c>
      <c r="E193" s="23" t="s">
        <v>121</v>
      </c>
      <c r="F193" s="23" t="str">
        <f t="shared" si="4"/>
        <v>rtdc.l.rtdc.4030:itc</v>
      </c>
      <c r="G193" s="8">
        <f t="shared" si="5"/>
        <v>42644.91138888889</v>
      </c>
    </row>
    <row r="194" spans="1:7" x14ac:dyDescent="0.25">
      <c r="A194" s="8">
        <v>42644.912476851852</v>
      </c>
      <c r="B194" s="23" t="s">
        <v>246</v>
      </c>
      <c r="C194" s="23" t="s">
        <v>690</v>
      </c>
      <c r="D194" s="23">
        <v>1800000</v>
      </c>
      <c r="E194" s="23" t="s">
        <v>401</v>
      </c>
      <c r="F194" s="23" t="str">
        <f t="shared" ref="F194:F235" si="6">B194</f>
        <v>rtdc.l.rtdc.4018:itc</v>
      </c>
      <c r="G194" s="8">
        <f t="shared" ref="G194:G235" si="7">A194</f>
        <v>42644.912476851852</v>
      </c>
    </row>
    <row r="195" spans="1:7" x14ac:dyDescent="0.25">
      <c r="A195" s="8">
        <v>42644.926238425927</v>
      </c>
      <c r="B195" s="23" t="s">
        <v>217</v>
      </c>
      <c r="C195" s="23" t="s">
        <v>622</v>
      </c>
      <c r="D195" s="23">
        <v>2220000</v>
      </c>
      <c r="E195" s="23" t="s">
        <v>402</v>
      </c>
      <c r="F195" s="23" t="str">
        <f t="shared" si="6"/>
        <v>rtdc.l.rtdc.4044:itc</v>
      </c>
      <c r="G195" s="8">
        <f t="shared" si="7"/>
        <v>42644.926238425927</v>
      </c>
    </row>
    <row r="196" spans="1:7" x14ac:dyDescent="0.25">
      <c r="A196" s="8">
        <v>42644.927499999998</v>
      </c>
      <c r="B196" s="23" t="s">
        <v>222</v>
      </c>
      <c r="C196" s="23" t="s">
        <v>689</v>
      </c>
      <c r="D196" s="23">
        <v>1810000</v>
      </c>
      <c r="E196" s="23" t="s">
        <v>299</v>
      </c>
      <c r="F196" s="23" t="str">
        <f t="shared" si="6"/>
        <v>rtdc.l.rtdc.4012:itc</v>
      </c>
      <c r="G196" s="8">
        <f t="shared" si="7"/>
        <v>42644.927499999998</v>
      </c>
    </row>
    <row r="197" spans="1:7" x14ac:dyDescent="0.25">
      <c r="A197" s="8">
        <v>42644.932708333334</v>
      </c>
      <c r="B197" s="23" t="s">
        <v>399</v>
      </c>
      <c r="C197" s="23" t="s">
        <v>692</v>
      </c>
      <c r="D197" s="23">
        <v>1480000</v>
      </c>
      <c r="E197" s="23" t="s">
        <v>278</v>
      </c>
      <c r="F197" s="23" t="str">
        <f t="shared" si="6"/>
        <v>rtdc.l.rtdc.4009:itc</v>
      </c>
      <c r="G197" s="8">
        <f t="shared" si="7"/>
        <v>42644.932708333334</v>
      </c>
    </row>
    <row r="198" spans="1:7" x14ac:dyDescent="0.25">
      <c r="A198" s="8">
        <v>42644.943749999999</v>
      </c>
      <c r="B198" s="23" t="s">
        <v>218</v>
      </c>
      <c r="C198" s="23" t="s">
        <v>633</v>
      </c>
      <c r="D198" s="23">
        <v>2220000</v>
      </c>
      <c r="E198" s="23" t="s">
        <v>402</v>
      </c>
      <c r="F198" s="23" t="str">
        <f t="shared" si="6"/>
        <v>rtdc.l.rtdc.4043:itc</v>
      </c>
      <c r="G198" s="8">
        <f t="shared" si="7"/>
        <v>42644.943749999999</v>
      </c>
    </row>
    <row r="199" spans="1:7" x14ac:dyDescent="0.25">
      <c r="A199" s="8">
        <v>42644.95212962963</v>
      </c>
      <c r="B199" s="23" t="s">
        <v>217</v>
      </c>
      <c r="C199" s="23" t="s">
        <v>617</v>
      </c>
      <c r="D199" s="23">
        <v>2220000</v>
      </c>
      <c r="E199" s="23" t="s">
        <v>402</v>
      </c>
      <c r="F199" s="23" t="str">
        <f t="shared" si="6"/>
        <v>rtdc.l.rtdc.4044:itc</v>
      </c>
      <c r="G199" s="8">
        <f t="shared" si="7"/>
        <v>42644.95212962963</v>
      </c>
    </row>
    <row r="200" spans="1:7" x14ac:dyDescent="0.25">
      <c r="A200" s="8">
        <v>42644.953622685185</v>
      </c>
      <c r="B200" s="23" t="s">
        <v>245</v>
      </c>
      <c r="C200" s="23" t="s">
        <v>691</v>
      </c>
      <c r="D200" s="23">
        <v>1800000</v>
      </c>
      <c r="E200" s="23" t="s">
        <v>401</v>
      </c>
      <c r="F200" s="23" t="str">
        <f t="shared" si="6"/>
        <v>rtdc.l.rtdc.4017:itc</v>
      </c>
      <c r="G200" s="8">
        <f t="shared" si="7"/>
        <v>42644.953622685185</v>
      </c>
    </row>
    <row r="201" spans="1:7" x14ac:dyDescent="0.25">
      <c r="A201" s="8">
        <v>42644.95579861111</v>
      </c>
      <c r="B201" s="23" t="s">
        <v>239</v>
      </c>
      <c r="C201" s="23" t="s">
        <v>694</v>
      </c>
      <c r="D201" s="23">
        <v>1300000</v>
      </c>
      <c r="E201" s="23" t="s">
        <v>121</v>
      </c>
      <c r="F201" s="23" t="str">
        <f t="shared" si="6"/>
        <v>rtdc.l.rtdc.4029:itc</v>
      </c>
      <c r="G201" s="8">
        <f t="shared" si="7"/>
        <v>42644.95579861111</v>
      </c>
    </row>
    <row r="202" spans="1:7" x14ac:dyDescent="0.25">
      <c r="A202" s="29">
        <v>42644.969490740739</v>
      </c>
      <c r="B202" s="23" t="s">
        <v>296</v>
      </c>
      <c r="C202" s="23" t="s">
        <v>699</v>
      </c>
      <c r="D202" s="23">
        <v>1810000</v>
      </c>
      <c r="E202" s="23" t="s">
        <v>299</v>
      </c>
      <c r="F202" s="23" t="str">
        <f t="shared" si="6"/>
        <v>rtdc.l.rtdc.4011:itc</v>
      </c>
      <c r="G202" s="8">
        <f t="shared" si="7"/>
        <v>42644.969490740739</v>
      </c>
    </row>
    <row r="203" spans="1:7" x14ac:dyDescent="0.25">
      <c r="A203" s="8">
        <v>42644.974062499998</v>
      </c>
      <c r="B203" s="23" t="s">
        <v>389</v>
      </c>
      <c r="C203" s="23" t="s">
        <v>693</v>
      </c>
      <c r="D203" s="23">
        <v>1480000</v>
      </c>
      <c r="E203" s="23" t="s">
        <v>278</v>
      </c>
      <c r="F203" s="23" t="str">
        <f t="shared" si="6"/>
        <v>rtdc.l.rtdc.4010:itc</v>
      </c>
      <c r="G203" s="8">
        <f t="shared" si="7"/>
        <v>42644.974062499998</v>
      </c>
    </row>
    <row r="204" spans="1:7" x14ac:dyDescent="0.25">
      <c r="A204" s="8">
        <v>42644.992986111109</v>
      </c>
      <c r="B204" s="23" t="s">
        <v>737</v>
      </c>
      <c r="C204" s="23" t="s">
        <v>696</v>
      </c>
      <c r="D204" s="23">
        <v>1300000</v>
      </c>
      <c r="E204" s="23" t="s">
        <v>121</v>
      </c>
      <c r="F204" s="23" t="str">
        <f t="shared" si="6"/>
        <v>rtdc.l.rtdc.4030:itc</v>
      </c>
      <c r="G204" s="8">
        <f t="shared" si="7"/>
        <v>42644.992986111109</v>
      </c>
    </row>
    <row r="205" spans="1:7" x14ac:dyDescent="0.25">
      <c r="A205" s="8">
        <v>42644.999652777777</v>
      </c>
      <c r="B205" s="23" t="s">
        <v>246</v>
      </c>
      <c r="C205" s="23" t="s">
        <v>701</v>
      </c>
      <c r="D205" s="23">
        <v>1800000</v>
      </c>
      <c r="E205" s="23" t="s">
        <v>401</v>
      </c>
      <c r="F205" s="23" t="str">
        <f t="shared" si="6"/>
        <v>rtdc.l.rtdc.4018:itc</v>
      </c>
      <c r="G205" s="8">
        <f t="shared" si="7"/>
        <v>42644.999652777777</v>
      </c>
    </row>
    <row r="206" spans="1:7" x14ac:dyDescent="0.25">
      <c r="A206" s="8">
        <v>42645.005393518521</v>
      </c>
      <c r="B206" s="23" t="s">
        <v>222</v>
      </c>
      <c r="C206" s="23" t="s">
        <v>700</v>
      </c>
      <c r="D206" s="23">
        <v>1810000</v>
      </c>
      <c r="E206" s="23" t="s">
        <v>299</v>
      </c>
      <c r="F206" s="23" t="str">
        <f t="shared" si="6"/>
        <v>rtdc.l.rtdc.4012:itc</v>
      </c>
      <c r="G206" s="8">
        <f t="shared" si="7"/>
        <v>42645.005393518521</v>
      </c>
    </row>
    <row r="207" spans="1:7" x14ac:dyDescent="0.25">
      <c r="A207" s="8">
        <v>42645.014837962961</v>
      </c>
      <c r="B207" s="23" t="s">
        <v>399</v>
      </c>
      <c r="C207" s="23" t="s">
        <v>704</v>
      </c>
      <c r="D207" s="23">
        <v>1480000</v>
      </c>
      <c r="E207" s="23" t="s">
        <v>278</v>
      </c>
      <c r="F207" s="23" t="str">
        <f t="shared" si="6"/>
        <v>rtdc.l.rtdc.4009:itc</v>
      </c>
      <c r="G207" s="8">
        <f t="shared" si="7"/>
        <v>42645.014837962961</v>
      </c>
    </row>
    <row r="208" spans="1:7" x14ac:dyDescent="0.25">
      <c r="A208" s="8">
        <v>42645.034953703704</v>
      </c>
      <c r="B208" s="23" t="s">
        <v>239</v>
      </c>
      <c r="C208" s="23" t="s">
        <v>707</v>
      </c>
      <c r="D208" s="23">
        <v>1300000</v>
      </c>
      <c r="E208" s="23" t="s">
        <v>121</v>
      </c>
      <c r="F208" s="23" t="str">
        <f t="shared" si="6"/>
        <v>rtdc.l.rtdc.4029:itc</v>
      </c>
      <c r="G208" s="8">
        <f t="shared" si="7"/>
        <v>42645.034953703704</v>
      </c>
    </row>
    <row r="209" spans="1:7" x14ac:dyDescent="0.25">
      <c r="A209" s="8">
        <v>42645.037175925929</v>
      </c>
      <c r="B209" s="23" t="s">
        <v>245</v>
      </c>
      <c r="C209" s="23" t="s">
        <v>703</v>
      </c>
      <c r="D209" s="23">
        <v>1800000</v>
      </c>
      <c r="E209" s="23" t="s">
        <v>401</v>
      </c>
      <c r="F209" s="23" t="str">
        <f t="shared" si="6"/>
        <v>rtdc.l.rtdc.4017:itc</v>
      </c>
      <c r="G209" s="8">
        <f t="shared" si="7"/>
        <v>42645.037175925929</v>
      </c>
    </row>
    <row r="210" spans="1:7" x14ac:dyDescent="0.25">
      <c r="A210" s="8">
        <v>42645.047256944446</v>
      </c>
      <c r="B210" s="23" t="s">
        <v>296</v>
      </c>
      <c r="C210" s="23" t="s">
        <v>717</v>
      </c>
      <c r="D210" s="23">
        <v>1810000</v>
      </c>
      <c r="E210" s="23" t="s">
        <v>299</v>
      </c>
      <c r="F210" s="23" t="str">
        <f t="shared" si="6"/>
        <v>rtdc.l.rtdc.4011:itc</v>
      </c>
      <c r="G210" s="8">
        <f t="shared" si="7"/>
        <v>42645.047256944446</v>
      </c>
    </row>
    <row r="211" spans="1:7" x14ac:dyDescent="0.25">
      <c r="A211" s="8">
        <v>42645.04896990741</v>
      </c>
      <c r="B211" s="23" t="s">
        <v>296</v>
      </c>
      <c r="C211" s="23" t="s">
        <v>717</v>
      </c>
      <c r="D211" s="23">
        <v>1810000</v>
      </c>
      <c r="E211" s="23" t="s">
        <v>299</v>
      </c>
      <c r="F211" s="23" t="str">
        <f t="shared" si="6"/>
        <v>rtdc.l.rtdc.4011:itc</v>
      </c>
      <c r="G211" s="8">
        <f t="shared" si="7"/>
        <v>42645.04896990741</v>
      </c>
    </row>
    <row r="212" spans="1:7" x14ac:dyDescent="0.25">
      <c r="A212" s="8">
        <v>42645.053159722222</v>
      </c>
      <c r="B212" s="23" t="s">
        <v>389</v>
      </c>
      <c r="C212" s="23" t="s">
        <v>706</v>
      </c>
      <c r="D212" s="23">
        <v>1480000</v>
      </c>
      <c r="E212" s="23" t="s">
        <v>278</v>
      </c>
      <c r="F212" s="23" t="str">
        <f t="shared" si="6"/>
        <v>rtdc.l.rtdc.4010:itc</v>
      </c>
      <c r="G212" s="8">
        <f t="shared" si="7"/>
        <v>42645.053159722222</v>
      </c>
    </row>
    <row r="213" spans="1:7" x14ac:dyDescent="0.25">
      <c r="A213" s="8">
        <v>42645.072129629632</v>
      </c>
      <c r="B213" s="23" t="s">
        <v>246</v>
      </c>
      <c r="C213" s="23" t="s">
        <v>718</v>
      </c>
      <c r="D213" s="23">
        <v>1800000</v>
      </c>
      <c r="E213" s="23" t="s">
        <v>401</v>
      </c>
      <c r="F213" s="23" t="str">
        <f t="shared" si="6"/>
        <v>rtdc.l.rtdc.4018:itc</v>
      </c>
      <c r="G213" s="8">
        <f t="shared" si="7"/>
        <v>42645.072129629632</v>
      </c>
    </row>
    <row r="214" spans="1:7" x14ac:dyDescent="0.25">
      <c r="A214" s="8">
        <v>42645.078692129631</v>
      </c>
      <c r="B214" s="23" t="s">
        <v>737</v>
      </c>
      <c r="C214" s="23" t="s">
        <v>709</v>
      </c>
      <c r="D214" s="23">
        <v>1300000</v>
      </c>
      <c r="E214" s="23" t="s">
        <v>121</v>
      </c>
      <c r="F214" s="23" t="str">
        <f t="shared" si="6"/>
        <v>rtdc.l.rtdc.4030:itc</v>
      </c>
      <c r="G214" s="8">
        <f t="shared" si="7"/>
        <v>42645.078692129631</v>
      </c>
    </row>
    <row r="215" spans="1:7" x14ac:dyDescent="0.25">
      <c r="A215" s="8">
        <v>42645.090115740742</v>
      </c>
      <c r="B215" s="23" t="s">
        <v>399</v>
      </c>
      <c r="C215" s="23" t="s">
        <v>720</v>
      </c>
      <c r="D215" s="23">
        <v>1480000</v>
      </c>
      <c r="E215" s="23" t="s">
        <v>278</v>
      </c>
      <c r="F215" s="23" t="str">
        <f t="shared" si="6"/>
        <v>rtdc.l.rtdc.4009:itc</v>
      </c>
      <c r="G215" s="8">
        <f t="shared" si="7"/>
        <v>42645.090115740742</v>
      </c>
    </row>
    <row r="216" spans="1:7" x14ac:dyDescent="0.25">
      <c r="A216" s="8">
        <v>42645.109178240738</v>
      </c>
      <c r="B216" s="23" t="s">
        <v>239</v>
      </c>
      <c r="C216" s="23" t="s">
        <v>722</v>
      </c>
      <c r="D216" s="23">
        <v>1300000</v>
      </c>
      <c r="E216" s="23" t="s">
        <v>121</v>
      </c>
      <c r="F216" s="23" t="str">
        <f t="shared" si="6"/>
        <v>rtdc.l.rtdc.4029:itc</v>
      </c>
      <c r="G216" s="8">
        <f t="shared" si="7"/>
        <v>42645.109178240738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42643.869814814818</v>
      </c>
      <c r="B218" s="23" t="s">
        <v>395</v>
      </c>
      <c r="C218" s="23" t="s">
        <v>342</v>
      </c>
      <c r="D218" s="23">
        <v>1300000</v>
      </c>
      <c r="E218" s="23" t="s">
        <v>121</v>
      </c>
      <c r="F218" s="23" t="str">
        <f t="shared" si="6"/>
        <v>rtdc.l.rtdc.4053:itc</v>
      </c>
      <c r="G218" s="8">
        <f t="shared" si="7"/>
        <v>42643.869814814818</v>
      </c>
    </row>
    <row r="219" spans="1:7" x14ac:dyDescent="0.25">
      <c r="A219" s="8">
        <v>42643.870405092595</v>
      </c>
      <c r="B219" s="23" t="s">
        <v>169</v>
      </c>
      <c r="C219" s="23" t="s">
        <v>340</v>
      </c>
      <c r="D219" s="23">
        <v>1800000</v>
      </c>
      <c r="E219" s="23" t="s">
        <v>401</v>
      </c>
      <c r="F219" s="23" t="str">
        <f t="shared" si="6"/>
        <v>rtdc.l.rtdc.4026:itc</v>
      </c>
      <c r="G219" s="8">
        <f t="shared" si="7"/>
        <v>42643.870405092595</v>
      </c>
    </row>
    <row r="220" spans="1:7" x14ac:dyDescent="0.25">
      <c r="A220" s="8">
        <v>42643.880983796298</v>
      </c>
      <c r="B220" s="23" t="s">
        <v>391</v>
      </c>
      <c r="C220" s="23" t="s">
        <v>386</v>
      </c>
      <c r="D220" s="23">
        <v>1810000</v>
      </c>
      <c r="E220" s="23" t="s">
        <v>299</v>
      </c>
      <c r="F220" s="23" t="str">
        <f t="shared" si="6"/>
        <v>rtdc.l.rtdc.4016:itc</v>
      </c>
      <c r="G220" s="8">
        <f t="shared" si="7"/>
        <v>42643.880983796298</v>
      </c>
    </row>
    <row r="221" spans="1:7" x14ac:dyDescent="0.25">
      <c r="A221" s="8">
        <v>42643.887685185182</v>
      </c>
      <c r="B221" s="23" t="s">
        <v>393</v>
      </c>
      <c r="C221" s="23" t="s">
        <v>341</v>
      </c>
      <c r="D221" s="23">
        <v>1480000</v>
      </c>
      <c r="E221" s="23" t="s">
        <v>278</v>
      </c>
      <c r="F221" s="23" t="str">
        <f t="shared" si="6"/>
        <v>rtdc.l.rtdc.4032:itc</v>
      </c>
      <c r="G221" s="8">
        <f t="shared" si="7"/>
        <v>42643.887685185182</v>
      </c>
    </row>
    <row r="222" spans="1:7" x14ac:dyDescent="0.25">
      <c r="A222" s="8">
        <v>42643.888877314814</v>
      </c>
      <c r="B222" s="23" t="s">
        <v>162</v>
      </c>
      <c r="C222" s="23" t="s">
        <v>344</v>
      </c>
      <c r="D222" s="23">
        <v>2230000</v>
      </c>
      <c r="E222" s="23" t="s">
        <v>302</v>
      </c>
      <c r="F222" s="23" t="str">
        <f t="shared" si="6"/>
        <v>rtdc.l.rtdc.4020:itc</v>
      </c>
      <c r="G222" s="8">
        <f t="shared" si="7"/>
        <v>42643.888877314814</v>
      </c>
    </row>
    <row r="223" spans="1:7" x14ac:dyDescent="0.25">
      <c r="A223" s="8">
        <v>42643.901226851849</v>
      </c>
      <c r="B223" s="23" t="s">
        <v>390</v>
      </c>
      <c r="C223" s="23" t="s">
        <v>385</v>
      </c>
      <c r="D223" s="23">
        <v>1810000</v>
      </c>
      <c r="E223" s="23" t="s">
        <v>299</v>
      </c>
      <c r="F223" s="23" t="str">
        <f t="shared" si="6"/>
        <v>rtdc.l.rtdc.4015:itc</v>
      </c>
      <c r="G223" s="8">
        <f t="shared" si="7"/>
        <v>42643.901226851849</v>
      </c>
    </row>
    <row r="224" spans="1:7" x14ac:dyDescent="0.25">
      <c r="A224" s="8">
        <v>42643.911793981482</v>
      </c>
      <c r="B224" t="s">
        <v>392</v>
      </c>
      <c r="C224" t="s">
        <v>343</v>
      </c>
      <c r="D224">
        <v>1300000</v>
      </c>
      <c r="E224" t="s">
        <v>121</v>
      </c>
      <c r="F224" s="23" t="str">
        <f t="shared" si="6"/>
        <v>rtdc.l.rtdc.4054:itc</v>
      </c>
      <c r="G224" s="8">
        <f t="shared" si="7"/>
        <v>42643.911793981482</v>
      </c>
    </row>
    <row r="225" spans="1:7" x14ac:dyDescent="0.25">
      <c r="A225" s="8">
        <v>42643.912928240738</v>
      </c>
      <c r="B225" t="s">
        <v>168</v>
      </c>
      <c r="C225" t="s">
        <v>347</v>
      </c>
      <c r="D225">
        <v>1800000</v>
      </c>
      <c r="E225" t="s">
        <v>401</v>
      </c>
      <c r="F225" s="23" t="str">
        <f t="shared" si="6"/>
        <v>rtdc.l.rtdc.4025:itc</v>
      </c>
      <c r="G225" s="8">
        <f t="shared" si="7"/>
        <v>42643.912928240738</v>
      </c>
    </row>
    <row r="226" spans="1:7" x14ac:dyDescent="0.25">
      <c r="A226" s="8">
        <v>42643.91642361111</v>
      </c>
      <c r="B226" t="s">
        <v>391</v>
      </c>
      <c r="C226" t="s">
        <v>387</v>
      </c>
      <c r="D226">
        <v>1810000</v>
      </c>
      <c r="E226" t="s">
        <v>299</v>
      </c>
      <c r="F226" s="23" t="str">
        <f t="shared" si="6"/>
        <v>rtdc.l.rtdc.4016:itc</v>
      </c>
      <c r="G226" s="8">
        <f t="shared" si="7"/>
        <v>42643.91642361111</v>
      </c>
    </row>
    <row r="227" spans="1:7" x14ac:dyDescent="0.25">
      <c r="A227" s="8">
        <v>42643.929907407408</v>
      </c>
      <c r="B227" t="s">
        <v>161</v>
      </c>
      <c r="C227" t="s">
        <v>346</v>
      </c>
      <c r="D227">
        <v>2230000</v>
      </c>
      <c r="E227" t="s">
        <v>302</v>
      </c>
      <c r="F227" s="23" t="str">
        <f t="shared" si="6"/>
        <v>rtdc.l.rtdc.4019:itc</v>
      </c>
      <c r="G227" s="8">
        <f t="shared" si="7"/>
        <v>42643.929907407408</v>
      </c>
    </row>
    <row r="228" spans="1:7" x14ac:dyDescent="0.25">
      <c r="A228" s="8">
        <v>42643.930659722224</v>
      </c>
      <c r="B228" t="s">
        <v>394</v>
      </c>
      <c r="C228" t="s">
        <v>350</v>
      </c>
      <c r="D228">
        <v>1480000</v>
      </c>
      <c r="E228" t="s">
        <v>278</v>
      </c>
      <c r="F228" s="23" t="str">
        <f t="shared" si="6"/>
        <v>rtdc.l.rtdc.4031:itc</v>
      </c>
      <c r="G228" s="8">
        <f t="shared" si="7"/>
        <v>42643.930659722224</v>
      </c>
    </row>
    <row r="229" spans="1:7" x14ac:dyDescent="0.25">
      <c r="A229" s="8">
        <v>42643.942291666666</v>
      </c>
      <c r="B229" t="s">
        <v>390</v>
      </c>
      <c r="C229" t="s">
        <v>388</v>
      </c>
      <c r="D229">
        <v>1810000</v>
      </c>
      <c r="E229" t="s">
        <v>299</v>
      </c>
      <c r="F229" s="23" t="str">
        <f t="shared" si="6"/>
        <v>rtdc.l.rtdc.4015:itc</v>
      </c>
      <c r="G229" s="8">
        <f t="shared" si="7"/>
        <v>42643.942291666666</v>
      </c>
    </row>
    <row r="230" spans="1:7" x14ac:dyDescent="0.25">
      <c r="A230" s="8">
        <v>42643.955347222225</v>
      </c>
      <c r="B230" t="s">
        <v>395</v>
      </c>
      <c r="C230" t="s">
        <v>352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42643.955347222225</v>
      </c>
    </row>
    <row r="231" spans="1:7" x14ac:dyDescent="0.25">
      <c r="A231" s="8">
        <v>42643.957835648151</v>
      </c>
      <c r="B231" t="s">
        <v>169</v>
      </c>
      <c r="C231" t="s">
        <v>348</v>
      </c>
      <c r="D231">
        <v>1800000</v>
      </c>
      <c r="E231" t="s">
        <v>401</v>
      </c>
      <c r="F231" s="23" t="str">
        <f t="shared" si="6"/>
        <v>rtdc.l.rtdc.4026:itc</v>
      </c>
      <c r="G231" s="8">
        <f t="shared" si="7"/>
        <v>42643.957835648151</v>
      </c>
    </row>
    <row r="232" spans="1:7" x14ac:dyDescent="0.25">
      <c r="A232" s="8">
        <v>42643.969918981478</v>
      </c>
      <c r="B232" t="s">
        <v>393</v>
      </c>
      <c r="C232" t="s">
        <v>351</v>
      </c>
      <c r="D232">
        <v>1480000</v>
      </c>
      <c r="E232" t="s">
        <v>278</v>
      </c>
      <c r="F232" s="23" t="str">
        <f t="shared" si="6"/>
        <v>rtdc.l.rtdc.4032:itc</v>
      </c>
      <c r="G232" s="8">
        <f t="shared" si="7"/>
        <v>42643.969918981478</v>
      </c>
    </row>
    <row r="233" spans="1:7" x14ac:dyDescent="0.25">
      <c r="A233" s="8">
        <v>42643.972881944443</v>
      </c>
      <c r="B233" t="s">
        <v>162</v>
      </c>
      <c r="C233" t="s">
        <v>354</v>
      </c>
      <c r="D233">
        <v>2230000</v>
      </c>
      <c r="E233" t="s">
        <v>302</v>
      </c>
      <c r="F233" s="23" t="str">
        <f t="shared" si="6"/>
        <v>rtdc.l.rtdc.4020:itc</v>
      </c>
      <c r="G233" s="8">
        <f t="shared" si="7"/>
        <v>42643.972881944443</v>
      </c>
    </row>
    <row r="234" spans="1:7" x14ac:dyDescent="0.25">
      <c r="A234" s="8">
        <v>42643.994120370371</v>
      </c>
      <c r="B234" t="s">
        <v>392</v>
      </c>
      <c r="C234" t="s">
        <v>353</v>
      </c>
      <c r="D234">
        <v>1300000</v>
      </c>
      <c r="E234" t="s">
        <v>121</v>
      </c>
      <c r="F234" s="23" t="str">
        <f t="shared" si="6"/>
        <v>rtdc.l.rtdc.4054:itc</v>
      </c>
      <c r="G234" s="8">
        <f t="shared" si="7"/>
        <v>42643.994120370371</v>
      </c>
    </row>
    <row r="235" spans="1:7" x14ac:dyDescent="0.25">
      <c r="A235" s="8">
        <v>42643.998368055552</v>
      </c>
      <c r="B235" t="s">
        <v>168</v>
      </c>
      <c r="C235" t="s">
        <v>356</v>
      </c>
      <c r="D235">
        <v>1800000</v>
      </c>
      <c r="E235" t="s">
        <v>401</v>
      </c>
      <c r="F235" s="23" t="str">
        <f t="shared" si="6"/>
        <v>rtdc.l.rtdc.4025:itc</v>
      </c>
      <c r="G235" s="8">
        <f t="shared" si="7"/>
        <v>42643.998368055552</v>
      </c>
    </row>
    <row r="236" spans="1:7" x14ac:dyDescent="0.25">
      <c r="A236" s="8">
        <v>42644.007615740738</v>
      </c>
      <c r="B236" t="s">
        <v>394</v>
      </c>
      <c r="C236" t="s">
        <v>358</v>
      </c>
      <c r="D236">
        <v>1480000</v>
      </c>
      <c r="E236" t="s">
        <v>278</v>
      </c>
      <c r="F236" s="23" t="str">
        <f t="shared" ref="F236:F265" si="8">B236</f>
        <v>rtdc.l.rtdc.4031:itc</v>
      </c>
      <c r="G236" s="8">
        <f t="shared" ref="G236:G265" si="9">A236</f>
        <v>42644.007615740738</v>
      </c>
    </row>
    <row r="237" spans="1:7" x14ac:dyDescent="0.25">
      <c r="A237" s="8">
        <v>42644.008726851855</v>
      </c>
      <c r="B237" t="s">
        <v>161</v>
      </c>
      <c r="C237" t="s">
        <v>355</v>
      </c>
      <c r="D237">
        <v>2230000</v>
      </c>
      <c r="E237" t="s">
        <v>302</v>
      </c>
      <c r="F237" s="23" t="str">
        <f t="shared" si="8"/>
        <v>rtdc.l.rtdc.4019:itc</v>
      </c>
      <c r="G237" s="8">
        <f t="shared" si="9"/>
        <v>42644.008726851855</v>
      </c>
    </row>
    <row r="238" spans="1:7" x14ac:dyDescent="0.25">
      <c r="A238" s="8">
        <v>42644.036689814813</v>
      </c>
      <c r="B238" t="s">
        <v>395</v>
      </c>
      <c r="C238" t="s">
        <v>361</v>
      </c>
      <c r="D238">
        <v>1300000</v>
      </c>
      <c r="E238" t="s">
        <v>121</v>
      </c>
      <c r="F238" s="23" t="str">
        <f t="shared" si="8"/>
        <v>rtdc.l.rtdc.4053:itc</v>
      </c>
      <c r="G238" s="8">
        <f t="shared" si="9"/>
        <v>42644.036689814813</v>
      </c>
    </row>
    <row r="239" spans="1:7" x14ac:dyDescent="0.25">
      <c r="A239" s="8">
        <v>42644.036990740744</v>
      </c>
      <c r="B239" t="s">
        <v>169</v>
      </c>
      <c r="C239" t="s">
        <v>357</v>
      </c>
      <c r="D239">
        <v>1800000</v>
      </c>
      <c r="E239" t="s">
        <v>401</v>
      </c>
      <c r="F239" s="23" t="str">
        <f t="shared" si="8"/>
        <v>rtdc.l.rtdc.4026:itc</v>
      </c>
      <c r="G239" s="8">
        <f t="shared" si="9"/>
        <v>42644.036990740744</v>
      </c>
    </row>
    <row r="240" spans="1:7" x14ac:dyDescent="0.25">
      <c r="A240" s="8">
        <v>42644.047592592593</v>
      </c>
      <c r="B240" t="s">
        <v>162</v>
      </c>
      <c r="C240" t="s">
        <v>363</v>
      </c>
      <c r="D240">
        <v>2230000</v>
      </c>
      <c r="E240" t="s">
        <v>302</v>
      </c>
      <c r="F240" s="23" t="str">
        <f t="shared" si="8"/>
        <v>rtdc.l.rtdc.4020:itc</v>
      </c>
      <c r="G240" s="8">
        <f t="shared" si="9"/>
        <v>42644.047592592593</v>
      </c>
    </row>
    <row r="241" spans="1:7" x14ac:dyDescent="0.25">
      <c r="A241" s="8">
        <v>42644.054097222222</v>
      </c>
      <c r="B241" t="s">
        <v>393</v>
      </c>
      <c r="C241" t="s">
        <v>360</v>
      </c>
      <c r="D241">
        <v>1480000</v>
      </c>
      <c r="E241" t="s">
        <v>278</v>
      </c>
      <c r="F241" s="23" t="str">
        <f t="shared" si="8"/>
        <v>rtdc.l.rtdc.4032:itc</v>
      </c>
      <c r="G241" s="8">
        <f t="shared" si="9"/>
        <v>42644.054097222222</v>
      </c>
    </row>
    <row r="242" spans="1:7" x14ac:dyDescent="0.25">
      <c r="A242" s="8">
        <v>42644.069421296299</v>
      </c>
      <c r="B242" t="s">
        <v>168</v>
      </c>
      <c r="C242" t="s">
        <v>364</v>
      </c>
      <c r="D242">
        <v>1800000</v>
      </c>
      <c r="E242" t="s">
        <v>401</v>
      </c>
      <c r="F242" s="23" t="str">
        <f t="shared" si="8"/>
        <v>rtdc.l.rtdc.4025:itc</v>
      </c>
      <c r="G242" s="8">
        <f t="shared" si="9"/>
        <v>42644.069421296299</v>
      </c>
    </row>
    <row r="243" spans="1:7" x14ac:dyDescent="0.25">
      <c r="A243" s="8">
        <v>42644.077268518522</v>
      </c>
      <c r="B243" t="s">
        <v>392</v>
      </c>
      <c r="C243" t="s">
        <v>362</v>
      </c>
      <c r="D243">
        <v>1300000</v>
      </c>
      <c r="E243" t="s">
        <v>121</v>
      </c>
      <c r="F243" s="23" t="str">
        <f t="shared" si="8"/>
        <v>rtdc.l.rtdc.4054:itc</v>
      </c>
      <c r="G243" s="8">
        <f t="shared" si="9"/>
        <v>42644.077268518522</v>
      </c>
    </row>
    <row r="244" spans="1:7" x14ac:dyDescent="0.25">
      <c r="A244" s="8">
        <v>42644.090069444443</v>
      </c>
      <c r="B244" t="s">
        <v>394</v>
      </c>
      <c r="C244" t="s">
        <v>365</v>
      </c>
      <c r="D244">
        <v>1480000</v>
      </c>
      <c r="E244" t="s">
        <v>278</v>
      </c>
      <c r="F244" s="23" t="str">
        <f t="shared" si="8"/>
        <v>rtdc.l.rtdc.4031:itc</v>
      </c>
      <c r="G244" s="8">
        <f t="shared" si="9"/>
        <v>42644.090069444443</v>
      </c>
    </row>
    <row r="245" spans="1:7" x14ac:dyDescent="0.25">
      <c r="A245" s="8">
        <v>42644.108842592592</v>
      </c>
      <c r="B245" t="s">
        <v>395</v>
      </c>
      <c r="C245" t="s">
        <v>366</v>
      </c>
      <c r="D245">
        <v>1300000</v>
      </c>
      <c r="E245" t="s">
        <v>121</v>
      </c>
      <c r="F245" s="23" t="str">
        <f t="shared" si="8"/>
        <v>rtdc.l.rtdc.4053:itc</v>
      </c>
      <c r="G245" s="8">
        <f t="shared" si="9"/>
        <v>42644.108842592592</v>
      </c>
    </row>
    <row r="246" spans="1:7" x14ac:dyDescent="0.25">
      <c r="F246" s="23">
        <f t="shared" si="8"/>
        <v>0</v>
      </c>
      <c r="G246" s="8">
        <f t="shared" si="9"/>
        <v>0</v>
      </c>
    </row>
    <row r="247" spans="1:7" x14ac:dyDescent="0.25">
      <c r="A247" s="8">
        <v>42643.031539351854</v>
      </c>
      <c r="B247" t="s">
        <v>174</v>
      </c>
      <c r="C247" t="s">
        <v>303</v>
      </c>
      <c r="D247">
        <v>1180000</v>
      </c>
      <c r="E247" t="s">
        <v>252</v>
      </c>
      <c r="F247" s="23" t="str">
        <f t="shared" si="8"/>
        <v>rtdc.l.rtdc.4042:itc</v>
      </c>
      <c r="G247" s="8">
        <f t="shared" si="9"/>
        <v>42643.031539351854</v>
      </c>
    </row>
    <row r="248" spans="1:7" x14ac:dyDescent="0.25">
      <c r="A248" s="8">
        <v>42643.034259259257</v>
      </c>
      <c r="B248" t="s">
        <v>258</v>
      </c>
      <c r="C248" t="s">
        <v>304</v>
      </c>
      <c r="D248">
        <v>1300000</v>
      </c>
      <c r="E248" t="s">
        <v>121</v>
      </c>
      <c r="F248" s="23" t="str">
        <f t="shared" si="8"/>
        <v>rtdc.l.rtdc.4045:itc</v>
      </c>
      <c r="G248" s="8">
        <f t="shared" si="9"/>
        <v>42643.034259259257</v>
      </c>
    </row>
    <row r="249" spans="1:7" x14ac:dyDescent="0.25">
      <c r="A249" s="8">
        <v>42643.046157407407</v>
      </c>
      <c r="B249" t="s">
        <v>239</v>
      </c>
      <c r="C249" t="s">
        <v>305</v>
      </c>
      <c r="D249">
        <v>1290000</v>
      </c>
      <c r="E249" t="s">
        <v>170</v>
      </c>
      <c r="F249" s="23" t="str">
        <f t="shared" si="8"/>
        <v>rtdc.l.rtdc.4029:itc</v>
      </c>
      <c r="G249" s="8">
        <f t="shared" si="9"/>
        <v>42643.046157407407</v>
      </c>
    </row>
    <row r="250" spans="1:7" x14ac:dyDescent="0.25">
      <c r="A250" s="8">
        <v>42643.051041666666</v>
      </c>
      <c r="B250" t="s">
        <v>276</v>
      </c>
      <c r="C250" t="s">
        <v>306</v>
      </c>
      <c r="D250">
        <v>1480000</v>
      </c>
      <c r="E250" t="s">
        <v>278</v>
      </c>
      <c r="F250" s="23" t="str">
        <f t="shared" si="8"/>
        <v>rtdc.l.rtdc.4039:itc</v>
      </c>
      <c r="G250" s="8">
        <f t="shared" si="9"/>
        <v>42643.051041666666</v>
      </c>
    </row>
    <row r="251" spans="1:7" x14ac:dyDescent="0.25">
      <c r="A251" s="8">
        <v>42643.066979166666</v>
      </c>
      <c r="B251" t="s">
        <v>177</v>
      </c>
      <c r="C251" t="s">
        <v>307</v>
      </c>
      <c r="D251">
        <v>1300000</v>
      </c>
      <c r="E251" t="s">
        <v>121</v>
      </c>
      <c r="F251" s="23" t="str">
        <f t="shared" si="8"/>
        <v>rtdc.l.rtdc.4046:itc</v>
      </c>
      <c r="G251" s="8">
        <f t="shared" si="9"/>
        <v>42643.066979166666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42621.049062500002</v>
      </c>
      <c r="B253" t="s">
        <v>168</v>
      </c>
      <c r="C253" t="s">
        <v>178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173</v>
      </c>
      <c r="C254" t="s">
        <v>180</v>
      </c>
      <c r="D254">
        <v>1290000</v>
      </c>
      <c r="E254" t="s">
        <v>170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172</v>
      </c>
      <c r="C255" t="s">
        <v>181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171</v>
      </c>
      <c r="C256" t="s">
        <v>179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177</v>
      </c>
      <c r="C257" t="s">
        <v>182</v>
      </c>
      <c r="D257">
        <v>1290000</v>
      </c>
      <c r="E257" t="s">
        <v>170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172</v>
      </c>
      <c r="C258" t="s">
        <v>181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190</v>
      </c>
      <c r="B1" s="151" t="s">
        <v>193</v>
      </c>
      <c r="C1" s="151" t="s">
        <v>186</v>
      </c>
      <c r="D1" s="151" t="s">
        <v>214</v>
      </c>
      <c r="E1" s="151" t="s">
        <v>187</v>
      </c>
      <c r="F1" s="151" t="s">
        <v>185</v>
      </c>
      <c r="G1" s="151" t="s">
        <v>183</v>
      </c>
      <c r="H1" s="151" t="s">
        <v>196</v>
      </c>
      <c r="I1" s="151" t="s">
        <v>197</v>
      </c>
      <c r="J1" s="151" t="s">
        <v>403</v>
      </c>
      <c r="K1" s="151" t="s">
        <v>191</v>
      </c>
      <c r="L1" s="151" t="s">
        <v>189</v>
      </c>
      <c r="M1" s="151" t="s">
        <v>184</v>
      </c>
      <c r="N1" s="151" t="s">
        <v>194</v>
      </c>
      <c r="O1" s="151" t="s">
        <v>188</v>
      </c>
      <c r="P1" s="151" t="s">
        <v>195</v>
      </c>
      <c r="Q1" s="151" t="s">
        <v>192</v>
      </c>
    </row>
    <row r="2" spans="1:17" x14ac:dyDescent="0.25">
      <c r="A2" s="150">
        <v>57.5</v>
      </c>
      <c r="B2" s="150">
        <v>0.27</v>
      </c>
      <c r="C2" s="150">
        <v>47.45</v>
      </c>
      <c r="D2" s="165">
        <v>42644</v>
      </c>
      <c r="E2" s="150">
        <v>0.69</v>
      </c>
      <c r="F2" s="150" t="s">
        <v>308</v>
      </c>
      <c r="G2" s="150">
        <v>286.5</v>
      </c>
      <c r="H2" s="150">
        <v>1.6999999999999999E-3</v>
      </c>
      <c r="I2" s="150">
        <v>0.03</v>
      </c>
      <c r="J2" s="150" t="s">
        <v>404</v>
      </c>
      <c r="K2" s="150">
        <v>1017.57</v>
      </c>
      <c r="L2" s="150" t="s">
        <v>273</v>
      </c>
      <c r="M2" s="150">
        <v>57.5</v>
      </c>
      <c r="N2" s="150">
        <v>1475301600</v>
      </c>
      <c r="O2" s="150">
        <v>6.26</v>
      </c>
      <c r="P2" s="150">
        <v>201</v>
      </c>
      <c r="Q2" s="150">
        <v>2.17</v>
      </c>
    </row>
    <row r="3" spans="1:17" x14ac:dyDescent="0.25">
      <c r="A3" s="150">
        <v>55.65</v>
      </c>
      <c r="B3" s="150">
        <v>0.19</v>
      </c>
      <c r="C3" s="150">
        <v>46.46</v>
      </c>
      <c r="D3" s="165">
        <v>42644.041666666664</v>
      </c>
      <c r="E3" s="150">
        <v>0.71</v>
      </c>
      <c r="F3" s="150" t="s">
        <v>243</v>
      </c>
      <c r="G3" s="150">
        <v>285.92</v>
      </c>
      <c r="H3" s="150">
        <v>1.1999999999999999E-3</v>
      </c>
      <c r="I3" s="150">
        <v>0.02</v>
      </c>
      <c r="J3" s="150" t="s">
        <v>404</v>
      </c>
      <c r="K3" s="150">
        <v>1017.51</v>
      </c>
      <c r="L3" s="150" t="s">
        <v>244</v>
      </c>
      <c r="M3" s="150">
        <v>55.65</v>
      </c>
      <c r="N3" s="150">
        <v>1475305200</v>
      </c>
      <c r="O3" s="150">
        <v>6.42</v>
      </c>
      <c r="P3" s="150">
        <v>220</v>
      </c>
      <c r="Q3" s="150">
        <v>2.19</v>
      </c>
    </row>
    <row r="4" spans="1:17" x14ac:dyDescent="0.25">
      <c r="A4" s="150">
        <v>54.71</v>
      </c>
      <c r="B4" s="150">
        <v>0.11</v>
      </c>
      <c r="C4" s="150">
        <v>45.92</v>
      </c>
      <c r="D4" s="165">
        <v>42644.083333333336</v>
      </c>
      <c r="E4" s="150">
        <v>0.72</v>
      </c>
      <c r="F4" s="150" t="s">
        <v>243</v>
      </c>
      <c r="G4" s="150">
        <v>285.33999999999997</v>
      </c>
      <c r="H4" s="150">
        <v>0</v>
      </c>
      <c r="I4" s="150">
        <v>0</v>
      </c>
      <c r="K4" s="150">
        <v>1017.46</v>
      </c>
      <c r="L4" s="150" t="s">
        <v>244</v>
      </c>
      <c r="M4" s="150">
        <v>54.71</v>
      </c>
      <c r="N4" s="150">
        <v>1475308800</v>
      </c>
      <c r="O4" s="150">
        <v>6.37</v>
      </c>
      <c r="P4" s="150">
        <v>229</v>
      </c>
      <c r="Q4" s="150">
        <v>2.21</v>
      </c>
    </row>
    <row r="5" spans="1:17" x14ac:dyDescent="0.25">
      <c r="A5" s="150">
        <v>53.72</v>
      </c>
      <c r="B5" s="150">
        <v>0.06</v>
      </c>
      <c r="C5" s="150">
        <v>45.11</v>
      </c>
      <c r="D5" s="165">
        <v>42644.125</v>
      </c>
      <c r="E5" s="150">
        <v>0.73</v>
      </c>
      <c r="F5" s="150" t="s">
        <v>243</v>
      </c>
      <c r="G5" s="150">
        <v>284.76</v>
      </c>
      <c r="H5" s="150">
        <v>0</v>
      </c>
      <c r="I5" s="150">
        <v>0</v>
      </c>
      <c r="K5" s="150">
        <v>1017.41</v>
      </c>
      <c r="L5" s="150" t="s">
        <v>244</v>
      </c>
      <c r="M5" s="150">
        <v>53.72</v>
      </c>
      <c r="N5" s="150">
        <v>1475312400</v>
      </c>
      <c r="O5" s="150">
        <v>5.79</v>
      </c>
      <c r="P5" s="150">
        <v>226</v>
      </c>
      <c r="Q5" s="150">
        <v>2.2400000000000002</v>
      </c>
    </row>
    <row r="6" spans="1:17" x14ac:dyDescent="0.25">
      <c r="A6" s="150">
        <v>52.81</v>
      </c>
      <c r="B6" s="150">
        <v>0.04</v>
      </c>
      <c r="C6" s="150">
        <v>44.19</v>
      </c>
      <c r="D6" s="165">
        <v>42644.166666666664</v>
      </c>
      <c r="E6" s="150">
        <v>0.72</v>
      </c>
      <c r="F6" s="150" t="s">
        <v>243</v>
      </c>
      <c r="G6" s="150">
        <v>283.76</v>
      </c>
      <c r="H6" s="150">
        <v>0</v>
      </c>
      <c r="I6" s="150">
        <v>0</v>
      </c>
      <c r="K6" s="150">
        <v>1017.56</v>
      </c>
      <c r="L6" s="150" t="s">
        <v>244</v>
      </c>
      <c r="M6" s="150">
        <v>52.81</v>
      </c>
      <c r="N6" s="150">
        <v>1475316000</v>
      </c>
      <c r="O6" s="150">
        <v>5.68</v>
      </c>
      <c r="P6" s="150">
        <v>215</v>
      </c>
      <c r="Q6" s="150">
        <v>2.06</v>
      </c>
    </row>
    <row r="7" spans="1:17" x14ac:dyDescent="0.25">
      <c r="A7" s="150">
        <v>51.92</v>
      </c>
      <c r="B7" s="150">
        <v>0.05</v>
      </c>
      <c r="C7" s="150">
        <v>43.43</v>
      </c>
      <c r="D7" s="165">
        <v>42644.208333333336</v>
      </c>
      <c r="E7" s="150">
        <v>0.73</v>
      </c>
      <c r="F7" s="150" t="s">
        <v>243</v>
      </c>
      <c r="G7" s="150">
        <v>282.60000000000002</v>
      </c>
      <c r="H7" s="150">
        <v>0</v>
      </c>
      <c r="I7" s="150">
        <v>0</v>
      </c>
      <c r="K7" s="150">
        <v>1017.77</v>
      </c>
      <c r="L7" s="150" t="s">
        <v>244</v>
      </c>
      <c r="M7" s="150">
        <v>51.92</v>
      </c>
      <c r="N7" s="150">
        <v>1475319600</v>
      </c>
      <c r="O7" s="150">
        <v>6.09</v>
      </c>
      <c r="P7" s="150">
        <v>228</v>
      </c>
      <c r="Q7" s="150">
        <v>2.33</v>
      </c>
    </row>
    <row r="8" spans="1:17" x14ac:dyDescent="0.25">
      <c r="A8" s="150">
        <v>52</v>
      </c>
      <c r="B8" s="150">
        <v>0.1</v>
      </c>
      <c r="C8" s="150">
        <v>42.92</v>
      </c>
      <c r="D8" s="165">
        <v>42644.25</v>
      </c>
      <c r="E8" s="150">
        <v>0.71</v>
      </c>
      <c r="F8" s="150" t="s">
        <v>243</v>
      </c>
      <c r="G8" s="150">
        <v>281.61</v>
      </c>
      <c r="H8" s="150">
        <v>0</v>
      </c>
      <c r="I8" s="150">
        <v>0</v>
      </c>
      <c r="K8" s="150">
        <v>1017.84</v>
      </c>
      <c r="L8" s="150" t="s">
        <v>244</v>
      </c>
      <c r="M8" s="150">
        <v>52</v>
      </c>
      <c r="N8" s="150">
        <v>1475323200</v>
      </c>
      <c r="O8" s="150">
        <v>4.66</v>
      </c>
      <c r="P8" s="150">
        <v>216</v>
      </c>
      <c r="Q8" s="150">
        <v>2.14</v>
      </c>
    </row>
    <row r="9" spans="1:17" x14ac:dyDescent="0.25">
      <c r="A9" s="150">
        <v>52.34</v>
      </c>
      <c r="B9" s="150">
        <v>0.13</v>
      </c>
      <c r="C9" s="150">
        <v>42.66</v>
      </c>
      <c r="D9" s="165">
        <v>42644.291666666664</v>
      </c>
      <c r="E9" s="150">
        <v>0.69</v>
      </c>
      <c r="F9" s="150" t="s">
        <v>243</v>
      </c>
      <c r="G9" s="150">
        <v>280.89</v>
      </c>
      <c r="H9" s="150">
        <v>0</v>
      </c>
      <c r="I9" s="150">
        <v>0</v>
      </c>
      <c r="K9" s="150">
        <v>1017.65</v>
      </c>
      <c r="L9" s="150" t="s">
        <v>244</v>
      </c>
      <c r="M9" s="150">
        <v>52.34</v>
      </c>
      <c r="N9" s="150">
        <v>1475326800</v>
      </c>
      <c r="O9" s="150">
        <v>3.86</v>
      </c>
      <c r="P9" s="150">
        <v>216</v>
      </c>
      <c r="Q9" s="150">
        <v>1.89</v>
      </c>
    </row>
    <row r="10" spans="1:17" x14ac:dyDescent="0.25">
      <c r="A10" s="150">
        <v>55.68</v>
      </c>
      <c r="B10" s="150">
        <v>0.17</v>
      </c>
      <c r="C10" s="150">
        <v>43.97</v>
      </c>
      <c r="D10" s="165">
        <v>42644.333333333336</v>
      </c>
      <c r="E10" s="150">
        <v>0.65</v>
      </c>
      <c r="F10" s="150" t="s">
        <v>743</v>
      </c>
      <c r="G10" s="150">
        <v>280.35000000000002</v>
      </c>
      <c r="H10" s="150">
        <v>0</v>
      </c>
      <c r="I10" s="150">
        <v>0</v>
      </c>
      <c r="K10" s="150">
        <v>1017.28</v>
      </c>
      <c r="L10" s="150" t="s">
        <v>244</v>
      </c>
      <c r="M10" s="150">
        <v>55.68</v>
      </c>
      <c r="N10" s="150">
        <v>1475330400</v>
      </c>
      <c r="O10" s="150">
        <v>3.49</v>
      </c>
      <c r="P10" s="150">
        <v>195</v>
      </c>
      <c r="Q10" s="150">
        <v>1.65</v>
      </c>
    </row>
    <row r="11" spans="1:17" x14ac:dyDescent="0.25">
      <c r="A11" s="150">
        <v>60.84</v>
      </c>
      <c r="B11" s="150">
        <v>0.15</v>
      </c>
      <c r="C11" s="150">
        <v>44.19</v>
      </c>
      <c r="D11" s="165">
        <v>42644.375</v>
      </c>
      <c r="E11" s="150">
        <v>0.54</v>
      </c>
      <c r="F11" s="150" t="s">
        <v>743</v>
      </c>
      <c r="G11" s="150">
        <v>280</v>
      </c>
      <c r="H11" s="150">
        <v>0</v>
      </c>
      <c r="I11" s="150">
        <v>0</v>
      </c>
      <c r="K11" s="150">
        <v>1016.78</v>
      </c>
      <c r="L11" s="150" t="s">
        <v>244</v>
      </c>
      <c r="M11" s="150">
        <v>60.84</v>
      </c>
      <c r="N11" s="150">
        <v>1475334000</v>
      </c>
      <c r="O11" s="150">
        <v>3.32</v>
      </c>
      <c r="P11" s="150">
        <v>184</v>
      </c>
      <c r="Q11" s="150">
        <v>1.77</v>
      </c>
    </row>
    <row r="12" spans="1:17" x14ac:dyDescent="0.25">
      <c r="A12" s="150">
        <v>65.89</v>
      </c>
      <c r="B12" s="150">
        <v>0.13</v>
      </c>
      <c r="C12" s="150">
        <v>43.94</v>
      </c>
      <c r="D12" s="165">
        <v>42644.416666666664</v>
      </c>
      <c r="E12" s="150">
        <v>0.45</v>
      </c>
      <c r="F12" s="150" t="s">
        <v>743</v>
      </c>
      <c r="G12" s="150">
        <v>279.98</v>
      </c>
      <c r="H12" s="150">
        <v>0</v>
      </c>
      <c r="I12" s="150">
        <v>0</v>
      </c>
      <c r="K12" s="150">
        <v>1016.06</v>
      </c>
      <c r="L12" s="150" t="s">
        <v>244</v>
      </c>
      <c r="M12" s="150">
        <v>65.89</v>
      </c>
      <c r="N12" s="150">
        <v>1475337600</v>
      </c>
      <c r="O12" s="150">
        <v>3.27</v>
      </c>
      <c r="P12" s="150">
        <v>172</v>
      </c>
      <c r="Q12" s="150">
        <v>1.2</v>
      </c>
    </row>
    <row r="13" spans="1:17" x14ac:dyDescent="0.25">
      <c r="A13" s="150">
        <v>70.2</v>
      </c>
      <c r="B13" s="150">
        <v>0.08</v>
      </c>
      <c r="C13" s="150">
        <v>43.63</v>
      </c>
      <c r="D13" s="165">
        <v>42644.458333333336</v>
      </c>
      <c r="E13" s="150">
        <v>0.38</v>
      </c>
      <c r="F13" s="150" t="s">
        <v>743</v>
      </c>
      <c r="G13" s="150">
        <v>280.14999999999998</v>
      </c>
      <c r="H13" s="150">
        <v>1.5E-3</v>
      </c>
      <c r="I13" s="150">
        <v>0.03</v>
      </c>
      <c r="J13" s="150" t="s">
        <v>404</v>
      </c>
      <c r="K13" s="150">
        <v>1015.16</v>
      </c>
      <c r="L13" s="150" t="s">
        <v>244</v>
      </c>
      <c r="M13" s="150">
        <v>70.2</v>
      </c>
      <c r="N13" s="150">
        <v>1475341200</v>
      </c>
      <c r="O13" s="150">
        <v>3.27</v>
      </c>
      <c r="P13" s="150">
        <v>117</v>
      </c>
      <c r="Q13" s="150">
        <v>1.23</v>
      </c>
    </row>
    <row r="14" spans="1:17" x14ac:dyDescent="0.25">
      <c r="A14" s="150">
        <v>72.790000000000006</v>
      </c>
      <c r="B14" s="150">
        <v>0.09</v>
      </c>
      <c r="C14" s="150">
        <v>43.69</v>
      </c>
      <c r="D14" s="165">
        <v>42644.5</v>
      </c>
      <c r="E14" s="150">
        <v>0.35</v>
      </c>
      <c r="F14" s="150" t="s">
        <v>743</v>
      </c>
      <c r="G14" s="150">
        <v>280.14</v>
      </c>
      <c r="H14" s="150">
        <v>2.0999999999999999E-3</v>
      </c>
      <c r="I14" s="150">
        <v>0.05</v>
      </c>
      <c r="J14" s="150" t="s">
        <v>404</v>
      </c>
      <c r="K14" s="150">
        <v>1014.28</v>
      </c>
      <c r="L14" s="150" t="s">
        <v>244</v>
      </c>
      <c r="M14" s="150">
        <v>72.790000000000006</v>
      </c>
      <c r="N14" s="150">
        <v>1475344800</v>
      </c>
      <c r="O14" s="150">
        <v>3.31</v>
      </c>
      <c r="P14" s="150">
        <v>110</v>
      </c>
      <c r="Q14" s="150">
        <v>2.15</v>
      </c>
    </row>
    <row r="15" spans="1:17" x14ac:dyDescent="0.25">
      <c r="A15" s="150">
        <v>75.41</v>
      </c>
      <c r="B15" s="150">
        <v>0.1</v>
      </c>
      <c r="C15" s="150">
        <v>43.62</v>
      </c>
      <c r="D15" s="165">
        <v>42644.541666666664</v>
      </c>
      <c r="E15" s="150">
        <v>0.32</v>
      </c>
      <c r="F15" s="150" t="s">
        <v>743</v>
      </c>
      <c r="G15" s="150">
        <v>279.75</v>
      </c>
      <c r="H15" s="150">
        <v>2.3E-3</v>
      </c>
      <c r="I15" s="150">
        <v>0.06</v>
      </c>
      <c r="J15" s="150" t="s">
        <v>404</v>
      </c>
      <c r="K15" s="150">
        <v>1013.41</v>
      </c>
      <c r="L15" s="150" t="s">
        <v>244</v>
      </c>
      <c r="M15" s="150">
        <v>75.41</v>
      </c>
      <c r="N15" s="150">
        <v>1475348400</v>
      </c>
      <c r="O15" s="150">
        <v>3.32</v>
      </c>
      <c r="P15" s="150">
        <v>116</v>
      </c>
      <c r="Q15" s="150">
        <v>2.77</v>
      </c>
    </row>
    <row r="16" spans="1:17" x14ac:dyDescent="0.25">
      <c r="A16" s="150">
        <v>76.67</v>
      </c>
      <c r="B16" s="150">
        <v>0.21</v>
      </c>
      <c r="C16" s="150">
        <v>42.45</v>
      </c>
      <c r="D16" s="165">
        <v>42644.583333333336</v>
      </c>
      <c r="E16" s="150">
        <v>0.28999999999999998</v>
      </c>
      <c r="F16" s="150" t="s">
        <v>743</v>
      </c>
      <c r="G16" s="150">
        <v>279.17</v>
      </c>
      <c r="H16" s="150">
        <v>2.3999999999999998E-3</v>
      </c>
      <c r="I16" s="150">
        <v>0.06</v>
      </c>
      <c r="J16" s="150" t="s">
        <v>404</v>
      </c>
      <c r="K16" s="150">
        <v>1012.54</v>
      </c>
      <c r="L16" s="150" t="s">
        <v>244</v>
      </c>
      <c r="M16" s="150">
        <v>76.67</v>
      </c>
      <c r="N16" s="150">
        <v>1475352000</v>
      </c>
      <c r="O16" s="150">
        <v>3.32</v>
      </c>
      <c r="P16" s="150">
        <v>113</v>
      </c>
      <c r="Q16" s="150">
        <v>2.4</v>
      </c>
    </row>
    <row r="17" spans="1:17" x14ac:dyDescent="0.25">
      <c r="A17" s="150">
        <v>77.42</v>
      </c>
      <c r="B17" s="150">
        <v>0.27</v>
      </c>
      <c r="C17" s="150">
        <v>42.21</v>
      </c>
      <c r="D17" s="165">
        <v>42644.625</v>
      </c>
      <c r="E17" s="150">
        <v>0.28999999999999998</v>
      </c>
      <c r="F17" s="150" t="s">
        <v>272</v>
      </c>
      <c r="G17" s="150">
        <v>278.64</v>
      </c>
      <c r="H17" s="150">
        <v>2.3E-3</v>
      </c>
      <c r="I17" s="150">
        <v>0.06</v>
      </c>
      <c r="J17" s="150" t="s">
        <v>404</v>
      </c>
      <c r="K17" s="150">
        <v>1011.86</v>
      </c>
      <c r="L17" s="150" t="s">
        <v>273</v>
      </c>
      <c r="M17" s="150">
        <v>77.42</v>
      </c>
      <c r="N17" s="150">
        <v>1475355600</v>
      </c>
      <c r="O17" s="150">
        <v>3.31</v>
      </c>
      <c r="P17" s="150">
        <v>130</v>
      </c>
      <c r="Q17" s="150">
        <v>1.85</v>
      </c>
    </row>
    <row r="18" spans="1:17" x14ac:dyDescent="0.25">
      <c r="A18" s="150">
        <v>75.87</v>
      </c>
      <c r="B18" s="150">
        <v>0.28999999999999998</v>
      </c>
      <c r="C18" s="150">
        <v>41.04</v>
      </c>
      <c r="D18" s="165">
        <v>42644.666666666664</v>
      </c>
      <c r="E18" s="150">
        <v>0.28999999999999998</v>
      </c>
      <c r="F18" s="150" t="s">
        <v>272</v>
      </c>
      <c r="G18" s="150">
        <v>278.37</v>
      </c>
      <c r="H18" s="150">
        <v>1.8E-3</v>
      </c>
      <c r="I18" s="150">
        <v>0.04</v>
      </c>
      <c r="J18" s="150" t="s">
        <v>404</v>
      </c>
      <c r="K18" s="150">
        <v>1011.41</v>
      </c>
      <c r="L18" s="150" t="s">
        <v>273</v>
      </c>
      <c r="M18" s="150">
        <v>75.87</v>
      </c>
      <c r="N18" s="150">
        <v>1475359200</v>
      </c>
      <c r="O18" s="150">
        <v>3.32</v>
      </c>
      <c r="P18" s="150">
        <v>86</v>
      </c>
      <c r="Q18" s="150">
        <v>0.99</v>
      </c>
    </row>
    <row r="19" spans="1:17" x14ac:dyDescent="0.25">
      <c r="A19" s="150">
        <v>76.98</v>
      </c>
      <c r="B19" s="150">
        <v>0.28000000000000003</v>
      </c>
      <c r="C19" s="150">
        <v>42.81</v>
      </c>
      <c r="D19" s="165">
        <v>42644.708333333336</v>
      </c>
      <c r="E19" s="150">
        <v>0.3</v>
      </c>
      <c r="F19" s="150" t="s">
        <v>272</v>
      </c>
      <c r="G19" s="150">
        <v>278.14</v>
      </c>
      <c r="H19" s="150">
        <v>0</v>
      </c>
      <c r="I19" s="150">
        <v>0</v>
      </c>
      <c r="K19" s="150">
        <v>1011.18</v>
      </c>
      <c r="L19" s="150" t="s">
        <v>273</v>
      </c>
      <c r="M19" s="150">
        <v>76.98</v>
      </c>
      <c r="N19" s="150">
        <v>1475362800</v>
      </c>
      <c r="O19" s="150">
        <v>5.64</v>
      </c>
      <c r="P19" s="150">
        <v>112</v>
      </c>
      <c r="Q19" s="150">
        <v>2.2400000000000002</v>
      </c>
    </row>
    <row r="20" spans="1:17" x14ac:dyDescent="0.25">
      <c r="A20" s="150">
        <v>73.27</v>
      </c>
      <c r="B20" s="150">
        <v>0.2</v>
      </c>
      <c r="C20" s="150">
        <v>41.59</v>
      </c>
      <c r="D20" s="165">
        <v>42644.75</v>
      </c>
      <c r="E20" s="150">
        <v>0.32</v>
      </c>
      <c r="F20" s="150" t="s">
        <v>743</v>
      </c>
      <c r="G20" s="150">
        <v>277.52999999999997</v>
      </c>
      <c r="H20" s="150">
        <v>0</v>
      </c>
      <c r="I20" s="150">
        <v>0</v>
      </c>
      <c r="K20" s="150">
        <v>1011.25</v>
      </c>
      <c r="L20" s="150" t="s">
        <v>244</v>
      </c>
      <c r="M20" s="150">
        <v>73.27</v>
      </c>
      <c r="N20" s="150">
        <v>1475366400</v>
      </c>
      <c r="O20" s="150">
        <v>5.86</v>
      </c>
      <c r="P20" s="150">
        <v>134</v>
      </c>
      <c r="Q20" s="150">
        <v>2.25</v>
      </c>
    </row>
    <row r="21" spans="1:17" x14ac:dyDescent="0.25">
      <c r="A21" s="150">
        <v>68.83</v>
      </c>
      <c r="B21" s="150">
        <v>0.22</v>
      </c>
      <c r="C21" s="150">
        <v>42.78</v>
      </c>
      <c r="D21" s="165">
        <v>42644.791666666664</v>
      </c>
      <c r="E21" s="150">
        <v>0.39</v>
      </c>
      <c r="F21" s="150" t="s">
        <v>243</v>
      </c>
      <c r="G21" s="150">
        <v>276.27999999999997</v>
      </c>
      <c r="H21" s="150">
        <v>2.5000000000000001E-3</v>
      </c>
      <c r="I21" s="150">
        <v>7.0000000000000007E-2</v>
      </c>
      <c r="J21" s="150" t="s">
        <v>404</v>
      </c>
      <c r="K21" s="150">
        <v>1011.61</v>
      </c>
      <c r="L21" s="150" t="s">
        <v>244</v>
      </c>
      <c r="M21" s="150">
        <v>68.83</v>
      </c>
      <c r="N21" s="150">
        <v>1475370000</v>
      </c>
      <c r="O21" s="150">
        <v>6.07</v>
      </c>
      <c r="P21" s="150">
        <v>191</v>
      </c>
      <c r="Q21" s="150">
        <v>2.39</v>
      </c>
    </row>
    <row r="22" spans="1:17" x14ac:dyDescent="0.25">
      <c r="A22" s="150">
        <v>66.16</v>
      </c>
      <c r="B22" s="150">
        <v>0.25</v>
      </c>
      <c r="C22" s="150">
        <v>43.82</v>
      </c>
      <c r="D22" s="165">
        <v>42644.833333333336</v>
      </c>
      <c r="E22" s="150">
        <v>0.44</v>
      </c>
      <c r="F22" s="150" t="s">
        <v>308</v>
      </c>
      <c r="G22" s="150">
        <v>274.66000000000003</v>
      </c>
      <c r="H22" s="150">
        <v>1E-3</v>
      </c>
      <c r="I22" s="150">
        <v>0.01</v>
      </c>
      <c r="J22" s="150" t="s">
        <v>404</v>
      </c>
      <c r="K22" s="150">
        <v>1012.44</v>
      </c>
      <c r="L22" s="150" t="s">
        <v>273</v>
      </c>
      <c r="M22" s="150">
        <v>66.16</v>
      </c>
      <c r="N22" s="150">
        <v>1475373600</v>
      </c>
      <c r="O22" s="150">
        <v>6.83</v>
      </c>
      <c r="P22" s="150">
        <v>195</v>
      </c>
      <c r="Q22" s="150">
        <v>2.9</v>
      </c>
    </row>
    <row r="23" spans="1:17" x14ac:dyDescent="0.25">
      <c r="A23" s="150">
        <v>63.95</v>
      </c>
      <c r="B23" s="150">
        <v>0.25</v>
      </c>
      <c r="C23" s="150">
        <v>44.55</v>
      </c>
      <c r="D23" s="165">
        <v>42644.875</v>
      </c>
      <c r="E23" s="150">
        <v>0.49</v>
      </c>
      <c r="F23" s="150" t="s">
        <v>308</v>
      </c>
      <c r="G23" s="150">
        <v>273.01</v>
      </c>
      <c r="H23" s="150">
        <v>1.1999999999999999E-3</v>
      </c>
      <c r="I23" s="150">
        <v>0.02</v>
      </c>
      <c r="J23" s="150" t="s">
        <v>404</v>
      </c>
      <c r="K23" s="150">
        <v>1013.22</v>
      </c>
      <c r="L23" s="150" t="s">
        <v>273</v>
      </c>
      <c r="M23" s="150">
        <v>63.95</v>
      </c>
      <c r="N23" s="150">
        <v>1475377200</v>
      </c>
      <c r="O23" s="150">
        <v>7.28</v>
      </c>
      <c r="P23" s="150">
        <v>187</v>
      </c>
      <c r="Q23" s="150">
        <v>3.17</v>
      </c>
    </row>
    <row r="24" spans="1:17" x14ac:dyDescent="0.25">
      <c r="A24" s="150">
        <v>60.94</v>
      </c>
      <c r="B24" s="150">
        <v>0.24</v>
      </c>
      <c r="C24" s="150">
        <v>43.43</v>
      </c>
      <c r="D24" s="165">
        <v>42644.916666666664</v>
      </c>
      <c r="E24" s="150">
        <v>0.52</v>
      </c>
      <c r="F24" s="150" t="s">
        <v>243</v>
      </c>
      <c r="G24" s="150">
        <v>271.38</v>
      </c>
      <c r="H24" s="150">
        <v>8.9999999999999998E-4</v>
      </c>
      <c r="I24" s="150">
        <v>0.01</v>
      </c>
      <c r="J24" s="150" t="s">
        <v>404</v>
      </c>
      <c r="K24" s="150">
        <v>1013.68</v>
      </c>
      <c r="L24" s="150" t="s">
        <v>244</v>
      </c>
      <c r="M24" s="150">
        <v>60.94</v>
      </c>
      <c r="N24" s="150">
        <v>1475380800</v>
      </c>
      <c r="O24" s="150">
        <v>8.5</v>
      </c>
      <c r="P24" s="150">
        <v>196</v>
      </c>
      <c r="Q24" s="150">
        <v>3.07</v>
      </c>
    </row>
    <row r="25" spans="1:17" x14ac:dyDescent="0.25">
      <c r="A25" s="150">
        <v>59.26</v>
      </c>
      <c r="B25" s="150">
        <v>0.23</v>
      </c>
      <c r="C25" s="150">
        <v>43.1</v>
      </c>
      <c r="D25" s="165">
        <v>42644.958333333336</v>
      </c>
      <c r="E25" s="150">
        <v>0.55000000000000004</v>
      </c>
      <c r="F25" s="150" t="s">
        <v>243</v>
      </c>
      <c r="G25" s="150">
        <v>269.72000000000003</v>
      </c>
      <c r="H25" s="150">
        <v>0</v>
      </c>
      <c r="I25" s="150">
        <v>0</v>
      </c>
      <c r="K25" s="150">
        <v>1013.98</v>
      </c>
      <c r="L25" s="150" t="s">
        <v>244</v>
      </c>
      <c r="M25" s="150">
        <v>59.26</v>
      </c>
      <c r="N25" s="150">
        <v>1475384400</v>
      </c>
      <c r="O25" s="150">
        <v>8.5299999999999994</v>
      </c>
      <c r="P25" s="150">
        <v>199</v>
      </c>
      <c r="Q25" s="150">
        <v>3.04</v>
      </c>
    </row>
    <row r="26" spans="1:17" x14ac:dyDescent="0.25">
      <c r="A26" s="150">
        <v>57.43</v>
      </c>
      <c r="B26" s="150">
        <v>0.23</v>
      </c>
      <c r="C26" s="150">
        <v>42.71</v>
      </c>
      <c r="D26" s="165">
        <v>42645</v>
      </c>
      <c r="E26" s="150">
        <v>0.57999999999999996</v>
      </c>
      <c r="F26" s="150" t="s">
        <v>243</v>
      </c>
      <c r="G26" s="150">
        <v>268.31</v>
      </c>
      <c r="H26" s="150">
        <v>0</v>
      </c>
      <c r="I26" s="150">
        <v>0</v>
      </c>
      <c r="K26" s="150">
        <v>1014.21</v>
      </c>
      <c r="L26" s="150" t="s">
        <v>244</v>
      </c>
      <c r="M26" s="150">
        <v>57.43</v>
      </c>
      <c r="N26" s="150">
        <v>1475388000</v>
      </c>
      <c r="O26" s="150">
        <v>8.81</v>
      </c>
      <c r="P26" s="150">
        <v>199</v>
      </c>
      <c r="Q26" s="150">
        <v>3.06</v>
      </c>
    </row>
    <row r="27" spans="1:17" x14ac:dyDescent="0.25">
      <c r="A27" s="150">
        <v>55.85</v>
      </c>
      <c r="B27" s="150">
        <v>0.23</v>
      </c>
      <c r="C27" s="150">
        <v>41.31</v>
      </c>
      <c r="D27" s="165">
        <v>42645.041666666664</v>
      </c>
      <c r="E27" s="150">
        <v>0.57999999999999996</v>
      </c>
      <c r="F27" s="150" t="s">
        <v>243</v>
      </c>
      <c r="G27" s="150">
        <v>267.45999999999998</v>
      </c>
      <c r="H27" s="150">
        <v>0</v>
      </c>
      <c r="I27" s="150">
        <v>0</v>
      </c>
      <c r="K27" s="150">
        <v>1014.36</v>
      </c>
      <c r="L27" s="150" t="s">
        <v>244</v>
      </c>
      <c r="M27" s="150">
        <v>55.85</v>
      </c>
      <c r="N27" s="150">
        <v>1475391600</v>
      </c>
      <c r="O27" s="150">
        <v>8.9700000000000006</v>
      </c>
      <c r="P27" s="150">
        <v>217</v>
      </c>
      <c r="Q27" s="150">
        <v>3.4</v>
      </c>
    </row>
    <row r="28" spans="1:17" x14ac:dyDescent="0.25">
      <c r="A28" s="150">
        <v>55.57</v>
      </c>
      <c r="B28" s="150">
        <v>0.25</v>
      </c>
      <c r="C28" s="150">
        <v>41.22</v>
      </c>
      <c r="D28" s="165">
        <v>42645.083333333336</v>
      </c>
      <c r="E28" s="150">
        <v>0.57999999999999996</v>
      </c>
      <c r="F28" s="150" t="s">
        <v>308</v>
      </c>
      <c r="G28" s="150">
        <v>266.61</v>
      </c>
      <c r="H28" s="150">
        <v>0</v>
      </c>
      <c r="I28" s="150">
        <v>0</v>
      </c>
      <c r="K28" s="150">
        <v>1014.51</v>
      </c>
      <c r="L28" s="150" t="s">
        <v>273</v>
      </c>
      <c r="M28" s="150">
        <v>55.57</v>
      </c>
      <c r="N28" s="150">
        <v>1475395200</v>
      </c>
      <c r="O28" s="150">
        <v>9</v>
      </c>
      <c r="P28" s="150">
        <v>223</v>
      </c>
      <c r="Q28" s="150">
        <v>3.49</v>
      </c>
    </row>
    <row r="29" spans="1:17" x14ac:dyDescent="0.25">
      <c r="A29" s="150">
        <v>55.03</v>
      </c>
      <c r="B29" s="150">
        <v>0.34</v>
      </c>
      <c r="C29" s="150">
        <v>40.83</v>
      </c>
      <c r="D29" s="165">
        <v>42645.125</v>
      </c>
      <c r="E29" s="150">
        <v>0.59</v>
      </c>
      <c r="F29" s="150" t="s">
        <v>308</v>
      </c>
      <c r="G29" s="150">
        <v>265.76</v>
      </c>
      <c r="H29" s="150">
        <v>0</v>
      </c>
      <c r="I29" s="150">
        <v>0</v>
      </c>
      <c r="K29" s="150">
        <v>1014.65</v>
      </c>
      <c r="L29" s="150" t="s">
        <v>273</v>
      </c>
      <c r="M29" s="150">
        <v>55.03</v>
      </c>
      <c r="N29" s="150">
        <v>1475398800</v>
      </c>
      <c r="O29" s="150">
        <v>8.1199999999999992</v>
      </c>
      <c r="P29" s="150">
        <v>235</v>
      </c>
      <c r="Q29" s="150">
        <v>3.08</v>
      </c>
    </row>
    <row r="31" spans="1:17" x14ac:dyDescent="0.25">
      <c r="A31" s="150" t="s">
        <v>744</v>
      </c>
    </row>
    <row r="33" spans="1:1" x14ac:dyDescent="0.25">
      <c r="A33" s="150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42644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270</v>
      </c>
    </row>
    <row r="21" spans="10:13" x14ac:dyDescent="0.25">
      <c r="J21" s="23" t="s">
        <v>97</v>
      </c>
      <c r="K21" s="23" t="s">
        <v>98</v>
      </c>
      <c r="M21" s="70" t="s">
        <v>292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163</v>
      </c>
      <c r="M25" s="70" t="b">
        <v>1</v>
      </c>
    </row>
    <row r="26" spans="10:13" x14ac:dyDescent="0.25">
      <c r="J26" t="s">
        <v>164</v>
      </c>
      <c r="M26" s="70" t="str">
        <f>"C:\Users\stu\Documents\GitHub\eaglep3-reporting\EC\"&amp;TEXT(A2,"yyyy-mm-dd")&amp;"-refined-times.txt"</f>
        <v>C:\Users\stu\Documents\GitHub\eaglep3-reporting\EC\2016-10-01-refined-times.txt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132</v>
      </c>
      <c r="B1" s="123" t="s">
        <v>133</v>
      </c>
      <c r="C1" s="124" t="s">
        <v>134</v>
      </c>
      <c r="H1" t="s">
        <v>128</v>
      </c>
      <c r="I1" s="125" t="s">
        <v>130</v>
      </c>
      <c r="J1"/>
    </row>
    <row r="2" spans="1:11" x14ac:dyDescent="0.25">
      <c r="A2" s="124" t="s">
        <v>135</v>
      </c>
      <c r="B2" s="124" t="s">
        <v>136</v>
      </c>
      <c r="C2" s="124" t="s">
        <v>137</v>
      </c>
      <c r="H2" t="s">
        <v>129</v>
      </c>
      <c r="I2" s="110" t="s">
        <v>131</v>
      </c>
      <c r="J2"/>
    </row>
    <row r="3" spans="1:11" x14ac:dyDescent="0.25">
      <c r="A3" s="124" t="s">
        <v>138</v>
      </c>
      <c r="B3" s="124" t="s">
        <v>139</v>
      </c>
      <c r="C3" s="124" t="s">
        <v>140</v>
      </c>
      <c r="H3" t="s">
        <v>154</v>
      </c>
      <c r="I3" s="110">
        <v>1</v>
      </c>
      <c r="J3"/>
      <c r="K3" s="70"/>
    </row>
    <row r="4" spans="1:11" x14ac:dyDescent="0.25">
      <c r="A4" s="124" t="s">
        <v>141</v>
      </c>
      <c r="C4" s="124" t="s">
        <v>142</v>
      </c>
      <c r="H4" t="s">
        <v>155</v>
      </c>
      <c r="I4" s="110">
        <v>2</v>
      </c>
      <c r="J4"/>
      <c r="K4" s="70"/>
    </row>
    <row r="5" spans="1:11" x14ac:dyDescent="0.25">
      <c r="A5" s="124" t="s">
        <v>143</v>
      </c>
      <c r="C5" s="124" t="s">
        <v>144</v>
      </c>
      <c r="H5" t="s">
        <v>156</v>
      </c>
      <c r="I5" s="110">
        <v>23</v>
      </c>
      <c r="J5"/>
      <c r="K5" s="70"/>
    </row>
    <row r="6" spans="1:11" x14ac:dyDescent="0.25">
      <c r="A6" s="124" t="s">
        <v>145</v>
      </c>
      <c r="C6" s="124" t="s">
        <v>146</v>
      </c>
      <c r="H6" s="127" t="s">
        <v>157</v>
      </c>
      <c r="I6" s="128" t="s">
        <v>136</v>
      </c>
    </row>
    <row r="7" spans="1:11" x14ac:dyDescent="0.25">
      <c r="A7" s="124" t="s">
        <v>147</v>
      </c>
      <c r="C7" s="124" t="s">
        <v>148</v>
      </c>
    </row>
    <row r="8" spans="1:11" x14ac:dyDescent="0.25">
      <c r="C8" s="124" t="s">
        <v>149</v>
      </c>
    </row>
    <row r="9" spans="1:11" x14ac:dyDescent="0.25">
      <c r="C9" s="127" t="s">
        <v>219</v>
      </c>
    </row>
    <row r="10" spans="1:11" x14ac:dyDescent="0.25">
      <c r="C10" s="124" t="s">
        <v>150</v>
      </c>
    </row>
    <row r="11" spans="1:11" x14ac:dyDescent="0.25">
      <c r="C11" s="124" t="s">
        <v>151</v>
      </c>
    </row>
    <row r="12" spans="1:11" x14ac:dyDescent="0.25">
      <c r="C12" s="124" t="s">
        <v>152</v>
      </c>
    </row>
    <row r="13" spans="1:11" x14ac:dyDescent="0.25">
      <c r="C13" s="124" t="s">
        <v>153</v>
      </c>
    </row>
    <row r="14" spans="1:11" x14ac:dyDescent="0.25">
      <c r="C14" s="127" t="s">
        <v>220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2016-10-03T17:11:28Z</dcterms:modified>
</cp:coreProperties>
</file>